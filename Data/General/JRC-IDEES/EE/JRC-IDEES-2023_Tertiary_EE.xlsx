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E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27" i="6"/>
  <c r="Y119" i="6"/>
  <c r="Y173" i="6" s="1"/>
  <c r="X119" i="6"/>
  <c r="X173" i="6" s="1"/>
  <c r="X26" i="12"/>
  <c r="X24" i="12"/>
  <c r="Y16" i="7"/>
  <c r="X16" i="7"/>
  <c r="Y14" i="13"/>
  <c r="X13" i="12"/>
  <c r="X21" i="12"/>
  <c r="X20" i="12"/>
  <c r="X16" i="8"/>
  <c r="Y6" i="12"/>
  <c r="Y33" i="10"/>
  <c r="Y22" i="13"/>
  <c r="X22" i="13"/>
  <c r="Y21" i="13"/>
  <c r="X21" i="13"/>
  <c r="Y20" i="13"/>
  <c r="Y18" i="13"/>
  <c r="X18" i="10"/>
  <c r="Y17" i="13"/>
  <c r="X17" i="10"/>
  <c r="Y6" i="13"/>
  <c r="Y17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24" i="28" s="1"/>
  <c r="Y14" i="24"/>
  <c r="X13" i="23"/>
  <c r="Y10" i="24"/>
  <c r="X9" i="23"/>
  <c r="Y8" i="23"/>
  <c r="Y7" i="25"/>
  <c r="X24" i="23"/>
  <c r="Y23" i="23"/>
  <c r="X23" i="23"/>
  <c r="Y22" i="23"/>
  <c r="Y20" i="23"/>
  <c r="Y20" i="26" s="1"/>
  <c r="X5" i="21"/>
  <c r="Y33" i="24"/>
  <c r="Y22" i="24"/>
  <c r="X20" i="21"/>
  <c r="Y18" i="21"/>
  <c r="X18" i="24"/>
  <c r="Y17" i="24"/>
  <c r="Y20" i="21"/>
  <c r="Y33" i="25"/>
  <c r="Y33" i="28" s="1"/>
  <c r="X33" i="25"/>
  <c r="X33" i="28" s="1"/>
  <c r="Y26" i="25"/>
  <c r="Y26" i="28" s="1"/>
  <c r="X25" i="25"/>
  <c r="X25" i="28" s="1"/>
  <c r="Y23" i="25"/>
  <c r="X23" i="25"/>
  <c r="Y22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X24" i="25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Y10" i="30"/>
  <c r="X8" i="30"/>
  <c r="X14" i="32"/>
  <c r="X12" i="34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33" i="27" l="1"/>
  <c r="Y7" i="28"/>
  <c r="Y18" i="10"/>
  <c r="X7" i="12"/>
  <c r="X5" i="10"/>
  <c r="X8" i="12"/>
  <c r="Y5" i="10"/>
  <c r="X25" i="23"/>
  <c r="Y24" i="12"/>
  <c r="X25" i="12"/>
  <c r="Y23" i="10"/>
  <c r="Y10" i="12"/>
  <c r="X8" i="13"/>
  <c r="X11" i="12"/>
  <c r="Y8" i="24"/>
  <c r="Y8" i="27" s="1"/>
  <c r="Y8" i="13"/>
  <c r="X8" i="24"/>
  <c r="X9" i="21"/>
  <c r="X25" i="24"/>
  <c r="X17" i="24"/>
  <c r="X25" i="13"/>
  <c r="X12" i="12"/>
  <c r="X14" i="30"/>
  <c r="Y23" i="28"/>
  <c r="X7" i="14"/>
  <c r="Y25" i="13"/>
  <c r="X31" i="23"/>
  <c r="X31" i="26" s="1"/>
  <c r="X26" i="13"/>
  <c r="Y26" i="24"/>
  <c r="Y31" i="23"/>
  <c r="Y31" i="26" s="1"/>
  <c r="Y10" i="13"/>
  <c r="Y26" i="13"/>
  <c r="X27" i="21"/>
  <c r="X32" i="23"/>
  <c r="X11" i="13"/>
  <c r="Y14" i="12"/>
  <c r="Y24" i="23"/>
  <c r="Y24" i="26" s="1"/>
  <c r="Y11" i="24"/>
  <c r="Y11" i="27" s="1"/>
  <c r="X13" i="29"/>
  <c r="X5" i="29" s="1"/>
  <c r="X12" i="24"/>
  <c r="X12" i="13"/>
  <c r="X30" i="13"/>
  <c r="X7" i="21"/>
  <c r="Y13" i="29"/>
  <c r="Y9" i="25"/>
  <c r="Y9" i="28" s="1"/>
  <c r="Y12" i="24"/>
  <c r="Y21" i="25"/>
  <c r="X10" i="14"/>
  <c r="X30" i="14"/>
  <c r="Y12" i="13"/>
  <c r="X23" i="21"/>
  <c r="Y8" i="25"/>
  <c r="Y8" i="28" s="1"/>
  <c r="Y52" i="38"/>
  <c r="X14" i="29"/>
  <c r="X6" i="29" s="1"/>
  <c r="X10" i="25"/>
  <c r="X10" i="28" s="1"/>
  <c r="X13" i="21"/>
  <c r="X31" i="24"/>
  <c r="X17" i="23"/>
  <c r="X22" i="24"/>
  <c r="Y10" i="14"/>
  <c r="X31" i="13"/>
  <c r="Y33" i="12"/>
  <c r="X8" i="25"/>
  <c r="X8" i="28" s="1"/>
  <c r="Y17" i="23"/>
  <c r="Y17" i="26" s="1"/>
  <c r="X31" i="14"/>
  <c r="Y31" i="13"/>
  <c r="Y19" i="22"/>
  <c r="X9" i="36"/>
  <c r="Y53" i="38"/>
  <c r="Y31" i="14"/>
  <c r="X32" i="10"/>
  <c r="Y7" i="24"/>
  <c r="Y14" i="21"/>
  <c r="Y32" i="21"/>
  <c r="X17" i="13"/>
  <c r="X21" i="21"/>
  <c r="Y45" i="37"/>
  <c r="X15" i="21"/>
  <c r="X33" i="21"/>
  <c r="X33" i="10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17" i="25"/>
  <c r="Y31" i="21"/>
  <c r="Y6" i="23"/>
  <c r="Y6" i="26" s="1"/>
  <c r="Y10" i="23"/>
  <c r="Y10" i="26" s="1"/>
  <c r="Y14" i="23"/>
  <c r="Y14" i="26" s="1"/>
  <c r="Y19" i="19"/>
  <c r="Y5" i="23"/>
  <c r="Y5" i="26" s="1"/>
  <c r="X14" i="36"/>
  <c r="X22" i="25"/>
  <c r="X17" i="21"/>
  <c r="X32" i="21"/>
  <c r="X7" i="23"/>
  <c r="X11" i="23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25" i="27" s="1"/>
  <c r="Y8" i="14"/>
  <c r="Y12" i="12"/>
  <c r="Y18" i="12"/>
  <c r="Y28" i="12"/>
  <c r="X82" i="6"/>
  <c r="X81" i="6" s="1"/>
  <c r="X93" i="6" s="1"/>
  <c r="X107" i="6"/>
  <c r="X24" i="28"/>
  <c r="X9" i="25"/>
  <c r="X9" i="28" s="1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24" i="15" s="1"/>
  <c r="Y68" i="29"/>
  <c r="Y6" i="30" s="1"/>
  <c r="X101" i="6"/>
  <c r="X118" i="6"/>
  <c r="Y73" i="29"/>
  <c r="Y6" i="35" s="1"/>
  <c r="Y118" i="6"/>
  <c r="X48" i="6"/>
  <c r="X47" i="6" s="1"/>
  <c r="X60" i="6" s="1"/>
  <c r="X37" i="6"/>
  <c r="Y12" i="27"/>
  <c r="X21" i="27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7" s="1"/>
  <c r="X5" i="23"/>
  <c r="X5" i="26" s="1"/>
  <c r="X30" i="23"/>
  <c r="X30" i="26" s="1"/>
  <c r="X18" i="13"/>
  <c r="X20" i="10"/>
  <c r="X10" i="13"/>
  <c r="X14" i="10"/>
  <c r="X19" i="9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X17" i="28"/>
  <c r="Y29" i="22"/>
  <c r="Y29" i="25" s="1"/>
  <c r="Y29" i="28" s="1"/>
  <c r="Y5" i="21"/>
  <c r="Y23" i="24"/>
  <c r="Y23" i="27" s="1"/>
  <c r="Y28" i="24"/>
  <c r="Y28" i="27" s="1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5" i="28" s="1"/>
  <c r="X28" i="13"/>
  <c r="X8" i="27"/>
  <c r="X11" i="26"/>
  <c r="Y9" i="13"/>
  <c r="Y16" i="9"/>
  <c r="Y16" i="13" s="1"/>
  <c r="Y9" i="39"/>
  <c r="Y17" i="38"/>
  <c r="Y46" i="37"/>
  <c r="Y17" i="27"/>
  <c r="X6" i="25"/>
  <c r="X6" i="28" s="1"/>
  <c r="Y15" i="21"/>
  <c r="X51" i="39"/>
  <c r="Y32" i="24"/>
  <c r="Y32" i="27" s="1"/>
  <c r="Y16" i="22"/>
  <c r="X6" i="24"/>
  <c r="X6" i="27" s="1"/>
  <c r="X24" i="24"/>
  <c r="X30" i="24"/>
  <c r="X6" i="13"/>
  <c r="Y11" i="10"/>
  <c r="Y15" i="10"/>
  <c r="X8" i="14"/>
  <c r="Y22" i="26"/>
  <c r="X13" i="13"/>
  <c r="X9" i="39"/>
  <c r="X46" i="37"/>
  <c r="X17" i="27"/>
  <c r="X21" i="23"/>
  <c r="X21" i="26" s="1"/>
  <c r="Y13" i="13"/>
  <c r="X19" i="7"/>
  <c r="X27" i="12" s="1"/>
  <c r="X29" i="7"/>
  <c r="Y19" i="18"/>
  <c r="Y31" i="25"/>
  <c r="Y31" i="28" s="1"/>
  <c r="Y9" i="38"/>
  <c r="Y52" i="37"/>
  <c r="X32" i="24"/>
  <c r="Y51" i="39"/>
  <c r="Y6" i="24"/>
  <c r="Y6" i="27" s="1"/>
  <c r="Y24" i="24"/>
  <c r="Y24" i="27" s="1"/>
  <c r="Y18" i="23"/>
  <c r="Y18" i="26" s="1"/>
  <c r="X16" i="9"/>
  <c r="X16" i="13" s="1"/>
  <c r="X19" i="8"/>
  <c r="Y33" i="6"/>
  <c r="Y31" i="6" s="1"/>
  <c r="X91" i="6"/>
  <c r="X16" i="10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22" i="10"/>
  <c r="Y72" i="29"/>
  <c r="Y6" i="34" s="1"/>
  <c r="Y22" i="10"/>
  <c r="Y25" i="12"/>
  <c r="X29" i="18"/>
  <c r="X17" i="29"/>
  <c r="X5" i="35" s="1"/>
  <c r="X18" i="27"/>
  <c r="X11" i="21"/>
  <c r="X23" i="10"/>
  <c r="X24" i="10"/>
  <c r="X104" i="6"/>
  <c r="Y8" i="30"/>
  <c r="Y24" i="10"/>
  <c r="Y16" i="11"/>
  <c r="Y16" i="14" s="1"/>
  <c r="Y6" i="10"/>
  <c r="X25" i="10"/>
  <c r="X16" i="19"/>
  <c r="X7" i="10"/>
  <c r="Y25" i="10"/>
  <c r="Y19" i="9"/>
  <c r="X12" i="23"/>
  <c r="Y22" i="21"/>
  <c r="Y13" i="21"/>
  <c r="Y16" i="19"/>
  <c r="Y16" i="23" s="1"/>
  <c r="Y16" i="26" s="1"/>
  <c r="X8" i="10"/>
  <c r="X26" i="10"/>
  <c r="X114" i="6"/>
  <c r="X30" i="25"/>
  <c r="Y23" i="21"/>
  <c r="X14" i="21"/>
  <c r="X33" i="23"/>
  <c r="X4" i="11"/>
  <c r="Y8" i="10"/>
  <c r="Y26" i="10"/>
  <c r="X15" i="7"/>
  <c r="X15" i="13" s="1"/>
  <c r="Y19" i="7"/>
  <c r="Y27" i="12" s="1"/>
  <c r="Y17" i="37"/>
  <c r="X31" i="25"/>
  <c r="X31" i="28" s="1"/>
  <c r="Y24" i="21"/>
  <c r="X7" i="13"/>
  <c r="X9" i="10"/>
  <c r="X115" i="6"/>
  <c r="X23" i="24"/>
  <c r="X23" i="27" s="1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32" i="27"/>
  <c r="X17" i="38"/>
  <c r="X53" i="37"/>
  <c r="X17" i="39"/>
  <c r="X47" i="38"/>
  <c r="Y14" i="29"/>
  <c r="X7" i="24"/>
  <c r="X26" i="24"/>
  <c r="X26" i="27" s="1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28" i="27" s="1"/>
  <c r="X23" i="26"/>
  <c r="X4" i="19"/>
  <c r="X26" i="23"/>
  <c r="Y9" i="14"/>
  <c r="Y25" i="6"/>
  <c r="Y49" i="37"/>
  <c r="X16" i="29"/>
  <c r="Y9" i="23"/>
  <c r="Y9" i="26" s="1"/>
  <c r="X26" i="6"/>
  <c r="X33" i="39"/>
  <c r="Y51" i="38"/>
  <c r="X9" i="38"/>
  <c r="X52" i="38"/>
  <c r="X68" i="29"/>
  <c r="X6" i="30" s="1"/>
  <c r="X10" i="23"/>
  <c r="X10" i="26" s="1"/>
  <c r="Y5" i="29"/>
  <c r="Y5" i="31"/>
  <c r="Y12" i="29"/>
  <c r="Y16" i="29"/>
  <c r="X8" i="23"/>
  <c r="X8" i="26" s="1"/>
  <c r="Y30" i="23"/>
  <c r="Y30" i="26" s="1"/>
  <c r="X24" i="21"/>
  <c r="X29" i="20"/>
  <c r="X31" i="21"/>
  <c r="X4" i="18"/>
  <c r="X3" i="18" s="1"/>
  <c r="X15" i="18"/>
  <c r="X6" i="23"/>
  <c r="Y32" i="14"/>
  <c r="Y29" i="11"/>
  <c r="Y29" i="8"/>
  <c r="Y30" i="12"/>
  <c r="X69" i="29"/>
  <c r="X6" i="31" s="1"/>
  <c r="Y22" i="28"/>
  <c r="Y8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7" i="27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28" i="16" s="1"/>
  <c r="Y7" i="12"/>
  <c r="Y4" i="7"/>
  <c r="Y3" i="7" s="1"/>
  <c r="Y7" i="14"/>
  <c r="Y15" i="7"/>
  <c r="Y15" i="12" s="1"/>
  <c r="X10" i="24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X14" i="24"/>
  <c r="X14" i="27" s="1"/>
  <c r="Y21" i="28"/>
  <c r="Y10" i="27"/>
  <c r="Y14" i="27"/>
  <c r="Y18" i="27"/>
  <c r="Y22" i="27"/>
  <c r="Y26" i="27"/>
  <c r="Y33" i="26"/>
  <c r="X16" i="22"/>
  <c r="Y7" i="21"/>
  <c r="X16" i="20"/>
  <c r="X18" i="21"/>
  <c r="Y28" i="23"/>
  <c r="Y28" i="26" s="1"/>
  <c r="X16" i="18"/>
  <c r="X18" i="23"/>
  <c r="Y7" i="13"/>
  <c r="Y11" i="13"/>
  <c r="Y23" i="13"/>
  <c r="X92" i="6"/>
  <c r="X149" i="6"/>
  <c r="X122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5" i="39" l="1"/>
  <c r="X12" i="36"/>
  <c r="X90" i="6"/>
  <c r="X29" i="13"/>
  <c r="X94" i="6"/>
  <c r="X113" i="6"/>
  <c r="X89" i="6"/>
  <c r="Y29" i="12"/>
  <c r="X4" i="13"/>
  <c r="Y29" i="14"/>
  <c r="Y19" i="23"/>
  <c r="Y19" i="26" s="1"/>
  <c r="X5" i="31"/>
  <c r="Y5" i="39"/>
  <c r="Y37" i="39" s="1"/>
  <c r="X30" i="28"/>
  <c r="X25" i="26"/>
  <c r="X14" i="26"/>
  <c r="Y10" i="16"/>
  <c r="Y139" i="6"/>
  <c r="X12" i="26"/>
  <c r="X26" i="26"/>
  <c r="X163" i="6"/>
  <c r="X22" i="28"/>
  <c r="X10" i="27"/>
  <c r="X7" i="28"/>
  <c r="X19" i="10"/>
  <c r="X31" i="6"/>
  <c r="X4" i="14"/>
  <c r="X4" i="17" s="1"/>
  <c r="X29" i="23"/>
  <c r="X29" i="26" s="1"/>
  <c r="X15" i="12"/>
  <c r="X15" i="15" s="1"/>
  <c r="X4" i="23"/>
  <c r="X4" i="26" s="1"/>
  <c r="X29" i="10"/>
  <c r="Y5" i="37"/>
  <c r="X3" i="8"/>
  <c r="X3" i="19"/>
  <c r="X9" i="29"/>
  <c r="Y27" i="24"/>
  <c r="Y27" i="27" s="1"/>
  <c r="X13" i="26"/>
  <c r="X5" i="32"/>
  <c r="X17" i="26"/>
  <c r="X11" i="27"/>
  <c r="X27" i="13"/>
  <c r="X28" i="26"/>
  <c r="X33" i="27"/>
  <c r="X9" i="27"/>
  <c r="X13" i="27"/>
  <c r="X21" i="28"/>
  <c r="X22" i="26"/>
  <c r="X4" i="12"/>
  <c r="X4" i="15" s="1"/>
  <c r="X7" i="27"/>
  <c r="X30" i="27"/>
  <c r="X24" i="27"/>
  <c r="Y30" i="15"/>
  <c r="Y15" i="13"/>
  <c r="Y15" i="16" s="1"/>
  <c r="X33" i="26"/>
  <c r="X32" i="26"/>
  <c r="Y16" i="25"/>
  <c r="Y16" i="28" s="1"/>
  <c r="Y10" i="17"/>
  <c r="X22" i="15"/>
  <c r="X18" i="26"/>
  <c r="X6" i="26"/>
  <c r="X23" i="28"/>
  <c r="X22" i="27"/>
  <c r="X7" i="26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53" i="6" s="1"/>
  <c r="X12" i="27"/>
  <c r="X24" i="26"/>
  <c r="X58" i="6"/>
  <c r="Y50" i="39"/>
  <c r="Y48" i="38"/>
  <c r="X19" i="14"/>
  <c r="X19" i="17" s="1"/>
  <c r="X31" i="27"/>
  <c r="X16" i="23"/>
  <c r="X16" i="26" s="1"/>
  <c r="X5" i="37"/>
  <c r="X44" i="39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X168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9" i="15"/>
  <c r="Y20" i="15"/>
  <c r="X27" i="16"/>
  <c r="Y25" i="15"/>
  <c r="Y11" i="16"/>
  <c r="Y17" i="16"/>
  <c r="Y22" i="15"/>
  <c r="Y18" i="16"/>
  <c r="Y17" i="15"/>
  <c r="Y29" i="17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29" i="16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144" i="6"/>
  <c r="X29" i="25"/>
  <c r="X29" i="28" s="1"/>
  <c r="X140" i="6"/>
  <c r="X16" i="15"/>
  <c r="X20" i="17"/>
  <c r="X32" i="16"/>
  <c r="X8" i="15"/>
  <c r="X23" i="15"/>
  <c r="Y31" i="36"/>
  <c r="Y34" i="36"/>
  <c r="Y32" i="36"/>
  <c r="X8" i="36"/>
  <c r="X3" i="11"/>
  <c r="Y44" i="37"/>
  <c r="Y159" i="6"/>
  <c r="Y135" i="6"/>
  <c r="Y34" i="37"/>
  <c r="X5" i="38"/>
  <c r="X38" i="38" s="1"/>
  <c r="X44" i="37"/>
  <c r="X3" i="31"/>
  <c r="Y163" i="6"/>
  <c r="Y165" i="6"/>
  <c r="Y3" i="31"/>
  <c r="X158" i="6"/>
  <c r="X125" i="6"/>
  <c r="Y164" i="6"/>
  <c r="X3" i="32"/>
  <c r="X3" i="30"/>
  <c r="X3" i="33"/>
  <c r="Y171" i="6"/>
  <c r="Y162" i="6"/>
  <c r="Y157" i="6"/>
  <c r="Y124" i="6"/>
  <c r="Y134" i="6"/>
  <c r="Y125" i="6"/>
  <c r="X12" i="15"/>
  <c r="X13" i="16"/>
  <c r="X16" i="16"/>
  <c r="Y169" i="6"/>
  <c r="X35" i="39"/>
  <c r="X16" i="25"/>
  <c r="X16" i="28" s="1"/>
  <c r="X30" i="16"/>
  <c r="X9" i="17"/>
  <c r="X31" i="17"/>
  <c r="X147" i="6"/>
  <c r="X26" i="15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X143" i="6"/>
  <c r="X167" i="6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X31" i="36"/>
  <c r="X34" i="36"/>
  <c r="X32" i="36"/>
  <c r="X38" i="39"/>
  <c r="X37" i="39"/>
  <c r="Y38" i="39" l="1"/>
  <c r="Y36" i="39"/>
  <c r="Y44" i="39"/>
  <c r="Y35" i="39"/>
  <c r="X3" i="23"/>
  <c r="X34" i="37"/>
  <c r="X40" i="37"/>
  <c r="X36" i="37"/>
  <c r="Y32" i="37"/>
  <c r="X35" i="37"/>
  <c r="Y35" i="37"/>
  <c r="X38" i="37"/>
  <c r="Y37" i="37"/>
  <c r="Y39" i="37"/>
  <c r="X32" i="37"/>
  <c r="Y40" i="37"/>
  <c r="Y33" i="37"/>
  <c r="X33" i="37"/>
  <c r="Y38" i="37"/>
  <c r="Y36" i="37"/>
  <c r="Y31" i="37" s="1"/>
  <c r="X37" i="37"/>
  <c r="X39" i="37"/>
  <c r="X3" i="35"/>
  <c r="X3" i="29"/>
  <c r="X3" i="12"/>
  <c r="X3" i="15" s="1"/>
  <c r="X129" i="6"/>
  <c r="X3" i="10"/>
  <c r="X3" i="14"/>
  <c r="X3" i="13"/>
  <c r="Y39" i="38"/>
  <c r="Y44" i="38"/>
  <c r="X154" i="6"/>
  <c r="X121" i="6"/>
  <c r="X31" i="39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9" i="38"/>
  <c r="X37" i="38"/>
  <c r="Y3" i="35"/>
  <c r="X32" i="38"/>
  <c r="Y3" i="14"/>
  <c r="Y3" i="34"/>
  <c r="Y3" i="2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X31" i="37" l="1"/>
  <c r="X3" i="17"/>
  <c r="X3" i="16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T7" i="29"/>
  <c r="R7" i="29"/>
  <c r="V8" i="29"/>
  <c r="W8" i="29"/>
  <c r="W3" i="34" s="1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8" i="32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S8" i="34"/>
  <c r="W3" i="33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S3" i="33" l="1"/>
  <c r="U19" i="23"/>
  <c r="U3" i="34"/>
  <c r="S3" i="35"/>
  <c r="R3" i="35"/>
  <c r="N3" i="29"/>
  <c r="W3" i="31"/>
  <c r="T3" i="35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2" l="1"/>
  <c r="V3" i="23"/>
  <c r="T3" i="14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J10" i="28" s="1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F31" i="21"/>
  <c r="F29" i="19"/>
  <c r="F29" i="23" s="1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P29" i="25" l="1"/>
  <c r="P29" i="28" s="1"/>
  <c r="E4" i="24"/>
  <c r="K29" i="24"/>
  <c r="J19" i="24"/>
  <c r="E19" i="14"/>
  <c r="K29" i="13"/>
  <c r="K29" i="12"/>
  <c r="J29" i="23"/>
  <c r="C4" i="24"/>
  <c r="F16" i="12"/>
  <c r="K16" i="24"/>
  <c r="O4" i="24"/>
  <c r="J29" i="12"/>
  <c r="N19" i="24"/>
  <c r="F16" i="13"/>
  <c r="L16" i="25"/>
  <c r="L16" i="28" s="1"/>
  <c r="O4" i="23"/>
  <c r="N19" i="23"/>
  <c r="G16" i="12"/>
  <c r="C4" i="13"/>
  <c r="O4" i="12"/>
  <c r="O4" i="15" s="1"/>
  <c r="F4" i="24"/>
  <c r="C16" i="13"/>
  <c r="C16" i="16" s="1"/>
  <c r="E4" i="23"/>
  <c r="E4" i="26" s="1"/>
  <c r="H4" i="12"/>
  <c r="J29" i="13"/>
  <c r="J29" i="16" s="1"/>
  <c r="C4" i="12"/>
  <c r="C4" i="15" s="1"/>
  <c r="P29" i="24"/>
  <c r="P29" i="27" s="1"/>
  <c r="G19" i="24"/>
  <c r="G19" i="27" s="1"/>
  <c r="P29" i="12"/>
  <c r="P29" i="15" s="1"/>
  <c r="H29" i="23"/>
  <c r="H29" i="26" s="1"/>
  <c r="O29" i="13"/>
  <c r="O29" i="16" s="1"/>
  <c r="P19" i="24"/>
  <c r="P19" i="27" s="1"/>
  <c r="J19" i="23"/>
  <c r="P29" i="13"/>
  <c r="P29" i="16" s="1"/>
  <c r="H29" i="24"/>
  <c r="G19" i="23"/>
  <c r="G19" i="26" s="1"/>
  <c r="O29" i="23"/>
  <c r="O29" i="26" s="1"/>
  <c r="O29" i="12"/>
  <c r="O29" i="15" s="1"/>
  <c r="C17" i="16"/>
  <c r="E4" i="13"/>
  <c r="P4" i="12"/>
  <c r="O4" i="13"/>
  <c r="O4" i="16" s="1"/>
  <c r="K4" i="24"/>
  <c r="K4" i="27" s="1"/>
  <c r="D16" i="13"/>
  <c r="O16" i="24"/>
  <c r="B16" i="13"/>
  <c r="M29" i="24"/>
  <c r="L19" i="24"/>
  <c r="N29" i="13"/>
  <c r="N29" i="16" s="1"/>
  <c r="K19" i="12"/>
  <c r="K19" i="15" s="1"/>
  <c r="H29" i="12"/>
  <c r="H29" i="15" s="1"/>
  <c r="D16" i="25"/>
  <c r="O29" i="24"/>
  <c r="O29" i="27" s="1"/>
  <c r="J4" i="12"/>
  <c r="J4" i="15" s="1"/>
  <c r="H4" i="23"/>
  <c r="H4" i="26" s="1"/>
  <c r="Q16" i="13"/>
  <c r="Q16" i="16" s="1"/>
  <c r="O16" i="12"/>
  <c r="O16" i="15" s="1"/>
  <c r="N4" i="12"/>
  <c r="N4" i="15" s="1"/>
  <c r="L4" i="23"/>
  <c r="L4" i="26" s="1"/>
  <c r="N29" i="24"/>
  <c r="D16" i="14"/>
  <c r="D16" i="17" s="1"/>
  <c r="K16" i="12"/>
  <c r="K16" i="15" s="1"/>
  <c r="I29" i="23"/>
  <c r="I29" i="26" s="1"/>
  <c r="C19" i="23"/>
  <c r="C19" i="26" s="1"/>
  <c r="F4" i="12"/>
  <c r="F4" i="15" s="1"/>
  <c r="E19" i="24"/>
  <c r="E19" i="27" s="1"/>
  <c r="P16" i="25"/>
  <c r="G29" i="12"/>
  <c r="G29" i="13"/>
  <c r="G29" i="16" s="1"/>
  <c r="I4" i="23"/>
  <c r="I4" i="26" s="1"/>
  <c r="G16" i="13"/>
  <c r="G16" i="16" s="1"/>
  <c r="N29" i="23"/>
  <c r="C19" i="13"/>
  <c r="C19" i="16" s="1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M4" i="17" s="1"/>
  <c r="O16" i="13"/>
  <c r="O16" i="16" s="1"/>
  <c r="O16" i="23"/>
  <c r="O16" i="26" s="1"/>
  <c r="F19" i="12"/>
  <c r="F19" i="15" s="1"/>
  <c r="M16" i="24"/>
  <c r="M16" i="27" s="1"/>
  <c r="J4" i="23"/>
  <c r="J4" i="26" s="1"/>
  <c r="P19" i="12"/>
  <c r="P19" i="15" s="1"/>
  <c r="H4" i="24"/>
  <c r="M4" i="12"/>
  <c r="M4" i="15" s="1"/>
  <c r="O19" i="24"/>
  <c r="O19" i="27" s="1"/>
  <c r="P16" i="24"/>
  <c r="P16" i="27" s="1"/>
  <c r="L19" i="13"/>
  <c r="G4" i="23"/>
  <c r="P4" i="24"/>
  <c r="P4" i="27" s="1"/>
  <c r="C29" i="24"/>
  <c r="C29" i="27" s="1"/>
  <c r="G4" i="24"/>
  <c r="G4" i="27" s="1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19" i="27" s="1"/>
  <c r="D4" i="24"/>
  <c r="D4" i="27" s="1"/>
  <c r="P19" i="23"/>
  <c r="P19" i="26" s="1"/>
  <c r="N16" i="14"/>
  <c r="N16" i="17" s="1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G16" i="27" s="1"/>
  <c r="I4" i="12"/>
  <c r="I4" i="15" s="1"/>
  <c r="L16" i="13"/>
  <c r="L16" i="16" s="1"/>
  <c r="B29" i="13"/>
  <c r="B29" i="16" s="1"/>
  <c r="L4" i="24"/>
  <c r="L4" i="27" s="1"/>
  <c r="Q29" i="23"/>
  <c r="Q29" i="26" s="1"/>
  <c r="G16" i="25"/>
  <c r="G16" i="28" s="1"/>
  <c r="Q4" i="24"/>
  <c r="D4" i="23"/>
  <c r="D4" i="26" s="1"/>
  <c r="C29" i="13"/>
  <c r="C29" i="16" s="1"/>
  <c r="B29" i="12"/>
  <c r="B29" i="15" s="1"/>
  <c r="H19" i="24"/>
  <c r="H19" i="27" s="1"/>
  <c r="Q4" i="12"/>
  <c r="Q4" i="15" s="1"/>
  <c r="B4" i="14"/>
  <c r="B4" i="17" s="1"/>
  <c r="N19" i="12"/>
  <c r="N19" i="15" s="1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4" i="16" s="1"/>
  <c r="H19" i="13"/>
  <c r="H19" i="16" s="1"/>
  <c r="I19" i="24"/>
  <c r="I19" i="27" s="1"/>
  <c r="K16" i="23"/>
  <c r="K16" i="26" s="1"/>
  <c r="E29" i="13"/>
  <c r="E29" i="16" s="1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M16" i="15" s="1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I27" i="15" s="1"/>
  <c r="E27" i="12"/>
  <c r="E27" i="15" s="1"/>
  <c r="E27" i="13"/>
  <c r="E27" i="16" s="1"/>
  <c r="E19" i="23"/>
  <c r="E19" i="26" s="1"/>
  <c r="D15" i="23"/>
  <c r="D15" i="26" s="1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G15" i="23"/>
  <c r="G15" i="24"/>
  <c r="G15" i="27" s="1"/>
  <c r="H27" i="23"/>
  <c r="H27" i="26" s="1"/>
  <c r="H27" i="24"/>
  <c r="H27" i="27" s="1"/>
  <c r="Q29" i="13"/>
  <c r="Q29" i="16" s="1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N4" i="27" s="1"/>
  <c r="P4" i="13"/>
  <c r="P4" i="16" s="1"/>
  <c r="G29" i="23"/>
  <c r="G29" i="26" s="1"/>
  <c r="B19" i="13"/>
  <c r="B19" i="16" s="1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O19" i="15" s="1"/>
  <c r="G27" i="24"/>
  <c r="G27" i="27" s="1"/>
  <c r="G27" i="23"/>
  <c r="G27" i="26" s="1"/>
  <c r="L4" i="13"/>
  <c r="K4" i="12"/>
  <c r="K4" i="15" s="1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D19" i="26" s="1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H19" i="26" s="1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B19" i="15" s="1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0"/>
  <c r="F3" i="8"/>
  <c r="F16" i="15"/>
  <c r="G16" i="21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3" i="8"/>
  <c r="J16" i="15"/>
  <c r="J19" i="15"/>
  <c r="J29" i="15"/>
  <c r="D19" i="21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1"/>
  <c r="H19" i="21"/>
  <c r="D3" i="19"/>
  <c r="L3" i="19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N30" i="15"/>
  <c r="N31" i="15"/>
  <c r="N32" i="15"/>
  <c r="N33" i="15"/>
  <c r="N4" i="25"/>
  <c r="N4" i="28" s="1"/>
  <c r="N3" i="22"/>
  <c r="N3" i="25" s="1"/>
  <c r="N3" i="28" s="1"/>
  <c r="P29" i="21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L19" i="10"/>
  <c r="L1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0"/>
  <c r="O19" i="10"/>
  <c r="O29" i="10"/>
  <c r="N3" i="8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0"/>
  <c r="B146" i="6"/>
  <c r="B170" i="6"/>
  <c r="B124" i="6"/>
  <c r="B133" i="6"/>
  <c r="B157" i="6"/>
  <c r="O3" i="8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E19" i="10"/>
  <c r="J29" i="10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0"/>
  <c r="C19" i="10"/>
  <c r="C29" i="10"/>
  <c r="B4" i="15"/>
  <c r="B3" i="8"/>
  <c r="B16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C15" i="15"/>
  <c r="E9" i="16"/>
  <c r="C21" i="15"/>
  <c r="M32" i="15"/>
  <c r="M5" i="15"/>
  <c r="M9" i="15"/>
  <c r="M13" i="15"/>
  <c r="B154" i="6" l="1"/>
  <c r="B130" i="6"/>
  <c r="G3" i="13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5" i="4"/>
  <c r="B30" i="4"/>
  <c r="B39" i="4"/>
  <c r="B27" i="4"/>
  <c r="B43" i="4"/>
  <c r="B21" i="4"/>
  <c r="B44" i="4"/>
  <c r="B10" i="4"/>
  <c r="B12" i="4"/>
  <c r="B36" i="4"/>
  <c r="B38" i="4"/>
  <c r="B26" i="4"/>
  <c r="B11" i="4"/>
  <c r="B37" i="4"/>
  <c r="B9" i="4"/>
  <c r="B20" i="4"/>
  <c r="B4" i="4"/>
  <c r="B45" i="4"/>
  <c r="B35" i="4"/>
  <c r="B24" i="4"/>
  <c r="B42" i="4"/>
  <c r="B28" i="4"/>
  <c r="B7" i="4"/>
  <c r="B14" i="4"/>
  <c r="B23" i="4"/>
  <c r="B33" i="4"/>
  <c r="B8" i="4"/>
  <c r="B29" i="4"/>
  <c r="B13" i="4"/>
  <c r="B34" i="4"/>
  <c r="B17" i="4"/>
  <c r="B25" i="4"/>
  <c r="B22" i="4"/>
  <c r="B16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<sst xmlns="http://schemas.openxmlformats.org/spreadsheetml/2006/main" count="2101" uniqueCount="1057">
  <si>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</si>
  <si>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</si>
  <si>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</si>
  <si>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</si>
  <si>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</si>
  <si>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</si>
  <si>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</si>
  <si>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</si>
  <si>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</si>
  <si>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</si>
  <si>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</si>
  <si>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</si>
  <si>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</si>
  <si>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</si>
  <si>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</si>
  <si>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</si>
  <si>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</si>
  <si>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</si>
  <si>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</si>
  <si>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</si>
  <si>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</si>
  <si>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</si>
  <si>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</si>
  <si>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</si>
  <si>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</si>
  <si>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</si>
  <si>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</si>
  <si>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</si>
  <si>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</si>
  <si>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</si>
  <si>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</si>
  <si>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</si>
  <si>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</si>
  <si>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</si>
  <si>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</si>
  <si>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</si>
  <si>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</si>
  <si>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</si>
  <si>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</si>
  <si>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</si>
  <si>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</si>
  <si>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</si>
  <si>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</si>
  <si>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</si>
  <si>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</si>
  <si>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</si>
  <si>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</si>
  <si>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</si>
  <si>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</si>
  <si>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</si>
  <si>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</si>
  <si>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</si>
  <si>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</si>
  <si>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</si>
  <si>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</si>
  <si>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</si>
  <si>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</si>
  <si>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</si>
  <si>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</si>
  <si>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</si>
  <si>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</si>
  <si>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</si>
  <si>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</si>
  <si>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</si>
  <si>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</si>
  <si>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</si>
  <si>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</si>
  <si>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</si>
  <si>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</si>
  <si>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</si>
  <si>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</si>
  <si>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</si>
  <si>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</si>
  <si>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</si>
  <si>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</si>
  <si>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</si>
  <si>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</si>
  <si>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</si>
  <si>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</si>
  <si>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</si>
  <si>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</si>
  <si>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</si>
  <si>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</si>
  <si>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</si>
  <si>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</si>
  <si>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</si>
  <si>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</si>
  <si>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</si>
  <si>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</si>
  <si>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</si>
  <si>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</si>
  <si>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</si>
  <si>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</si>
  <si>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</si>
  <si>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</si>
  <si>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</si>
  <si>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</si>
  <si>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</si>
  <si>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</si>
  <si>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</si>
  <si>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</si>
  <si>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</si>
  <si>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</si>
  <si>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</si>
  <si>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</si>
  <si>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</si>
  <si>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</si>
  <si>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</si>
  <si>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</si>
  <si>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</si>
  <si>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</si>
  <si>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</si>
  <si>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</si>
  <si>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</si>
  <si>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</si>
  <si>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</si>
  <si>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</si>
  <si>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</si>
  <si>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</si>
  <si>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</si>
  <si>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</si>
  <si>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</si>
  <si>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</si>
  <si>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</si>
  <si>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</si>
  <si>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</si>
  <si>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</si>
  <si>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</si>
  <si>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</si>
  <si>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</si>
  <si>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</si>
  <si>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</si>
  <si>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</si>
  <si>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</si>
  <si>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</si>
  <si>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</si>
  <si>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</si>
  <si>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</si>
  <si>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</si>
  <si>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</si>
  <si>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</si>
  <si>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</si>
  <si>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</si>
  <si>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</si>
  <si>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</si>
  <si>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</si>
  <si>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</si>
  <si>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</si>
  <si>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</si>
  <si>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</si>
  <si>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</si>
  <si>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</si>
  <si>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</si>
  <si>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</si>
  <si>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</si>
  <si>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</si>
  <si>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</si>
  <si>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</si>
  <si>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</si>
  <si>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</si>
  <si>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</si>
  <si>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</si>
  <si>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</si>
  <si>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</si>
  <si>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</si>
  <si>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</si>
  <si>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</si>
  <si>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</si>
  <si>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</si>
  <si>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</si>
  <si>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</si>
  <si>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</si>
  <si>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</si>
  <si>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</si>
  <si>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</si>
  <si>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</si>
  <si>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</si>
  <si>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</si>
  <si>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</si>
  <si>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</si>
  <si>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</si>
  <si>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</si>
  <si>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</si>
  <si>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</si>
  <si>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</si>
  <si>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EE</t>
  </si>
  <si>
    <t>Estonia</t>
  </si>
  <si>
    <t>EE - Services sector summary</t>
  </si>
  <si>
    <t>Macro.number.EE.Population</t>
  </si>
  <si>
    <t>Macro.Meuro2015.EE.GDP</t>
  </si>
  <si>
    <t>Macro.Meuro2015.EE.VA</t>
  </si>
  <si>
    <t>Macro.number.EE.Employees</t>
  </si>
  <si>
    <t>NUM.number.EE.Ser.Bld</t>
  </si>
  <si>
    <t>SurfaceArea.ksqm.EE.Ser.Bld</t>
  </si>
  <si>
    <t>NUM.number.EE.Ser.BldNew</t>
  </si>
  <si>
    <t>SurfaceArea.ksqm.EE.Ser.BldNew</t>
  </si>
  <si>
    <t>HDD.Celsius.EE.Actual</t>
  </si>
  <si>
    <t>HDD.Celsius.EE.Mean</t>
  </si>
  <si>
    <t>HDD.ratio.EE.Relative</t>
  </si>
  <si>
    <t>FEC.ktoe.EE.ES.Ser</t>
  </si>
  <si>
    <t>FEC.ktoe.EE.ES.Ser.Solids</t>
  </si>
  <si>
    <t>FEC.ktoe.EE.ES.Ser.LPG</t>
  </si>
  <si>
    <t>FEC.ktoe.EE.ES.Ser.Oil</t>
  </si>
  <si>
    <t>FEC.ktoe.EE.ES.Ser.NG</t>
  </si>
  <si>
    <t>FEC.ktoe.EE.ES.Ser.Biomass_Waste</t>
  </si>
  <si>
    <t>FEC.ktoe.EE.ES.Ser.Biogas</t>
  </si>
  <si>
    <t>FEC.ktoe.EE.ES.Ser.LiqBio</t>
  </si>
  <si>
    <t>FEC.ktoe.EE.ES.Ser.Solar</t>
  </si>
  <si>
    <t>FEC.ktoe.EE.ES.Ser.Geo</t>
  </si>
  <si>
    <t>FEC.ktoe.EE.ES.Ser.Ambient</t>
  </si>
  <si>
    <t>FEC.ktoe.EE.ES.Ser.Steam_Distr</t>
  </si>
  <si>
    <t>FEC.ktoe.EE.ES.Ser.Elec</t>
  </si>
  <si>
    <t>FEC.ktoe.EE.Ser</t>
  </si>
  <si>
    <t>FEC.ktoe.EE.Ser.Bld.Thermal</t>
  </si>
  <si>
    <t>FEC.ktoe.EE.Ser.Bld.Thermal.SH</t>
  </si>
  <si>
    <t>FEC.ktoe.EE.Ser.Bld.Thermal.SC</t>
  </si>
  <si>
    <t>FEC.ktoe.EE.Ser.Bld.Thermal.HW</t>
  </si>
  <si>
    <t>FEC.ktoe.EE.Ser.Bld.Thermal.CA</t>
  </si>
  <si>
    <t>FEC.ktoe.EE.Ser.SEU</t>
  </si>
  <si>
    <t>EMI.ktCO2.EE.ES.Ser</t>
  </si>
  <si>
    <t>EMI.ktCO2.EE.ES.Ser.Solids</t>
  </si>
  <si>
    <t>EMI.ktCO2.EE.ES.Ser.LPG</t>
  </si>
  <si>
    <t>EMI.ktCO2.EE.ES.Ser.Oil</t>
  </si>
  <si>
    <t>EMI.ktCO2.EE.ES.Ser.NG</t>
  </si>
  <si>
    <t>EMI.ktCO2.EE.ES.Ser.Biomass_Waste</t>
  </si>
  <si>
    <t>EMI.ktCO2.EE.ES.Ser.Biogas</t>
  </si>
  <si>
    <t>EMI.ktCO2.EE.ES.Ser.LiqBio</t>
  </si>
  <si>
    <t>EMI.ktCO2.EE.ES.Ser.Solar</t>
  </si>
  <si>
    <t>EMI.ktCO2.EE.ES.Ser.Geo</t>
  </si>
  <si>
    <t>EMI.ktCO2.EE.ES.Ser.Ambient</t>
  </si>
  <si>
    <t>EMI.ktCO2.EE.ES.Ser.Steam_Distr</t>
  </si>
  <si>
    <t>EMI.ktCO2.EE.ES.Ser.Elec</t>
  </si>
  <si>
    <t>EMI.ktCO2.EE.Ser</t>
  </si>
  <si>
    <t>EMI.ktCO2.EE.Ser.Bld.Thermal</t>
  </si>
  <si>
    <t>EMI.ktCO2.EE.Ser.Bld.Thermal.SH</t>
  </si>
  <si>
    <t>EMI.ktCO2.EE.Ser.Bld.Thermal.SC</t>
  </si>
  <si>
    <t>EMI.ktCO2.EE.Ser.Bld.Thermal.HW</t>
  </si>
  <si>
    <t>EMI.ktCO2.EE.Ser.Bld.Thermal.CA</t>
  </si>
  <si>
    <t>EMI.ktCO2.EE.Ser.SEU</t>
  </si>
  <si>
    <t>Eff.ratio.EE.Ser.Bld.Thermal</t>
  </si>
  <si>
    <t>Eff.ratio.EE.Ser.Bld.Thermal.SH</t>
  </si>
  <si>
    <t>Eff.ratio.EE.Ser.Bld.Thermal.SC</t>
  </si>
  <si>
    <t>Eff.ratio.EE.Ser.Bld.Thermal.HW</t>
  </si>
  <si>
    <t>Eff.ratio.EE.Ser.Bld.Thermal.CA</t>
  </si>
  <si>
    <t>EE - Number of buildings</t>
  </si>
  <si>
    <t>NUM.number.EE.Ser.Bld.Thermal</t>
  </si>
  <si>
    <t>NUM.number.EE.Ser.Bld.Thermal.SH</t>
  </si>
  <si>
    <t>NUM.number.EE.Ser.Bld.Thermal.SH.Solids</t>
  </si>
  <si>
    <t>NUM.number.EE.Ser.Bld.Thermal.SH.LPG</t>
  </si>
  <si>
    <t>NUM.number.EE.Ser.Bld.Thermal.SH.Oil</t>
  </si>
  <si>
    <t>NUM.number.EE.Ser.Bld.Thermal.SH.GasHP</t>
  </si>
  <si>
    <t>NUM.number.EE.Ser.Bld.Thermal.SH.GasTH</t>
  </si>
  <si>
    <t>NUM.number.EE.Ser.Bld.Thermal.SH.Biomass</t>
  </si>
  <si>
    <t>NUM.number.EE.Ser.Bld.Thermal.SH.Geo</t>
  </si>
  <si>
    <t>NUM.number.EE.Ser.Bld.Thermal.SH.DistrHeat</t>
  </si>
  <si>
    <t>NUM.number.EE.Ser.Bld.Thermal.SH.AdvElc</t>
  </si>
  <si>
    <t>NUM.number.EE.Ser.Bld.Thermal.SH.ConvElc</t>
  </si>
  <si>
    <t>NUM.number.EE.Ser.Bld.Thermal.SC</t>
  </si>
  <si>
    <t>NUM.number.EE.Ser.Bld.Thermal.SC.GasHP</t>
  </si>
  <si>
    <t>NUM.number.EE.Ser.Bld.Thermal.SC.AC</t>
  </si>
  <si>
    <t>NUM.number.EE.Ser.Bld.Thermal.HW</t>
  </si>
  <si>
    <t>NUM.number.EE.Ser.Bld.Thermal.HW.Solids</t>
  </si>
  <si>
    <t>NUM.number.EE.Ser.Bld.Thermal.HW.LPG</t>
  </si>
  <si>
    <t>NUM.number.EE.Ser.Bld.Thermal.HW.Oil</t>
  </si>
  <si>
    <t>NUM.number.EE.Ser.Bld.Thermal.HW.Gas</t>
  </si>
  <si>
    <t>NUM.number.EE.Ser.Bld.Thermal.HW.Biomass</t>
  </si>
  <si>
    <t>NUM.number.EE.Ser.Bld.Thermal.HW.DistrHeat</t>
  </si>
  <si>
    <t>NUM.number.EE.Ser.Bld.Thermal.HW.Elc</t>
  </si>
  <si>
    <t>NUM.number.EE.Ser.Bld.Thermal.HW.Solar</t>
  </si>
  <si>
    <t>NUM.number.EE.Ser.Bld.Thermal.CA</t>
  </si>
  <si>
    <t>NUM.number.EE.Ser.Bld.Thermal.CA.LPG</t>
  </si>
  <si>
    <t>NUM.number.EE.Ser.Bld.Thermal.CA.Gas</t>
  </si>
  <si>
    <t>NUM.number.EE.Ser.Bld.Thermal.CA.Biomass</t>
  </si>
  <si>
    <t>NUM.number.EE.Ser.Bld.Thermal.CA.Elc</t>
  </si>
  <si>
    <t>EE - Final energy consumption</t>
  </si>
  <si>
    <t>FEC.ktoe.EE.Ser.Bld.Thermal.SH.Solids.Solids</t>
  </si>
  <si>
    <t>FEC.ktoe.EE.Ser.Bld.Thermal.SH.LPG.LPG</t>
  </si>
  <si>
    <t>FEC.ktoe.EE.Ser.Bld.Thermal.SH.Oil.Oil_LiqBio</t>
  </si>
  <si>
    <t>FEC.ktoe.EE.Ser.Bld.Thermal.SH.GasHP.NG_Biogas</t>
  </si>
  <si>
    <t>FEC.ktoe.EE.Ser.Bld.Thermal.SH.GasTH.NG_Biogas</t>
  </si>
  <si>
    <t>FEC.ktoe.EE.Ser.Bld.Thermal.SH.Biomass.Biomass_Waste</t>
  </si>
  <si>
    <t>FEC.ktoe.EE.Ser.Bld.Thermal.SH.Geo.Geo</t>
  </si>
  <si>
    <t>FEC.ktoe.EE.Ser.Bld.Thermal.SH.DistrHeat.Steam_Distr</t>
  </si>
  <si>
    <t>FEC.ktoe.EE.Ser.Bld.Thermal.SH.AdvElc.Elec</t>
  </si>
  <si>
    <t>FEC.ktoe.EE.Ser.Bld.Thermal.SH.ConvElc.Elec</t>
  </si>
  <si>
    <t>FEC.ktoe.EE.Ser.Bld.Thermal.SH.TotalCirculation.Elec</t>
  </si>
  <si>
    <t>FEC.ktoe.EE.Ser.Bld.Thermal.SC.GasHP.NG_Biogas</t>
  </si>
  <si>
    <t>FEC.ktoe.EE.Ser.Bld.Thermal.SC.AC.Elec</t>
  </si>
  <si>
    <t>FEC.ktoe.EE.Ser.Bld.Thermal.HW.Solids.Solids</t>
  </si>
  <si>
    <t>FEC.ktoe.EE.Ser.Bld.Thermal.HW.LPG.LPG</t>
  </si>
  <si>
    <t>FEC.ktoe.EE.Ser.Bld.Thermal.HW.Oil.Oil_LiqBio</t>
  </si>
  <si>
    <t>FEC.ktoe.EE.Ser.Bld.Thermal.HW.Gas.NG_Biogas</t>
  </si>
  <si>
    <t>FEC.ktoe.EE.Ser.Bld.Thermal.HW.Biomass.Biomass_Waste</t>
  </si>
  <si>
    <t>FEC.ktoe.EE.Ser.Bld.Thermal.HW.DistrHeat.Steam_Distr</t>
  </si>
  <si>
    <t>FEC.ktoe.EE.Ser.Bld.Thermal.HW.Elc.Elec</t>
  </si>
  <si>
    <t>FEC.ktoe.EE.Ser.Bld.Thermal.HW.TotalSolar.Solar</t>
  </si>
  <si>
    <t>FEC.ktoe.EE.Ser.Bld.Thermal.CA.LPG</t>
  </si>
  <si>
    <t>FEC.ktoe.EE.Ser.Bld.Thermal.CA.Gas.NG_Biogas</t>
  </si>
  <si>
    <t>FEC.ktoe.EE.Ser.Bld.Thermal.CA.Biomass.Biomass_Waste</t>
  </si>
  <si>
    <t>FEC.ktoe.EE.Ser.Bld.Thermal.CA.Elc.Elec</t>
  </si>
  <si>
    <t>EE - Thermal energy service</t>
  </si>
  <si>
    <t>TES.ktoe.EE.Ser.Bld.Thermal</t>
  </si>
  <si>
    <t>TES.ktoe.EE.Ser.Bld.Thermal.SH</t>
  </si>
  <si>
    <t>TES.ktoe.EE.Ser.Bld.Thermal.SH.Solids.Solids</t>
  </si>
  <si>
    <t>TES.ktoe.EE.Ser.Bld.Thermal.SH.LPG.LPG</t>
  </si>
  <si>
    <t>TES.ktoe.EE.Ser.Bld.Thermal.SH.Oil.Oil_LiqBio</t>
  </si>
  <si>
    <t>TES.ktoe.EE.Ser.Bld.Thermal.SH.GasHP.NG_Biogas</t>
  </si>
  <si>
    <t>TES.ktoe.EE.Ser.Bld.Thermal.SH.GasTH.NG_Biogas</t>
  </si>
  <si>
    <t>TES.ktoe.EE.Ser.Bld.Thermal.SH.Biomass.Biomass_Waste</t>
  </si>
  <si>
    <t>TES.ktoe.EE.Ser.Bld.Thermal.SH.Geo.Geo</t>
  </si>
  <si>
    <t>TES.ktoe.EE.Ser.Bld.Thermal.SH.DistrHeat.Steam_Distr</t>
  </si>
  <si>
    <t>TES.ktoe.EE.Ser.Bld.Thermal.SH.AdvElc.Elec</t>
  </si>
  <si>
    <t>TES.ktoe.EE.Ser.Bld.Thermal.SH.ConvElc.Elec</t>
  </si>
  <si>
    <t>TES.ktoe.EE.Ser.Bld.Thermal.SH.TotalCirculation.Elec</t>
  </si>
  <si>
    <t>TES.ktoe.EE.Ser.Bld.Thermal.SC</t>
  </si>
  <si>
    <t>TES.ktoe.EE.Ser.Bld.Thermal.SC.GasHP.NG_Biogas</t>
  </si>
  <si>
    <t>TES.ktoe.EE.Ser.Bld.Thermal.SC.AC.Elec</t>
  </si>
  <si>
    <t>TES.ktoe.EE.Ser.Bld.Thermal.HW</t>
  </si>
  <si>
    <t>TES.ktoe.EE.Ser.Bld.Thermal.HW.Solids.Solids</t>
  </si>
  <si>
    <t>TES.ktoe.EE.Ser.Bld.Thermal.HW.LPG.LPG</t>
  </si>
  <si>
    <t>TES.ktoe.EE.Ser.Bld.Thermal.HW.Oil.Oil_LiqBio</t>
  </si>
  <si>
    <t>TES.ktoe.EE.Ser.Bld.Thermal.HW.Gas.NG_Biogas</t>
  </si>
  <si>
    <t>TES.ktoe.EE.Ser.Bld.Thermal.HW.Biomass.Biomass_Waste</t>
  </si>
  <si>
    <t>TES.ktoe.EE.Ser.Bld.Thermal.HW.DistrHeat.Steam_Distr</t>
  </si>
  <si>
    <t>TES.ktoe.EE.Ser.Bld.Thermal.HW.Elc.Elec</t>
  </si>
  <si>
    <t>TES.ktoe.EE.Ser.Bld.Thermal.HW.TotalSolar.Solar</t>
  </si>
  <si>
    <t>TES.ktoe.EE.Ser.Bld.Thermal.CA</t>
  </si>
  <si>
    <t>TES.ktoe.EE.Ser.Bld.Thermal.CA.LPG</t>
  </si>
  <si>
    <t>TES.ktoe.EE.Ser.Bld.Thermal.CA.Gas.NG_Biogas</t>
  </si>
  <si>
    <t>TES.ktoe.EE.Ser.Bld.Thermal.CA.Biomass.Biomass_Waste</t>
  </si>
  <si>
    <t>TES.ktoe.EE.Ser.Bld.Thermal.CA.Elc.Elec</t>
  </si>
  <si>
    <t>EE - System efficiency indicator of total stock</t>
  </si>
  <si>
    <t>Eff.ratio.EE.Ser.Bld.Thermal.SH.Solids.Solids</t>
  </si>
  <si>
    <t>Eff.ratio.EE.Ser.Bld.Thermal.SH.LPG.LPG</t>
  </si>
  <si>
    <t>Eff.ratio.EE.Ser.Bld.Thermal.SH.Oil.Oil_LiqBio</t>
  </si>
  <si>
    <t>Eff.ratio.EE.Ser.Bld.Thermal.SH.GasHP.NG_Biogas</t>
  </si>
  <si>
    <t>Eff.ratio.EE.Ser.Bld.Thermal.SH.GasTH.NG_Biogas</t>
  </si>
  <si>
    <t>Eff.ratio.EE.Ser.Bld.Thermal.SH.Biomass.Biomass_Waste</t>
  </si>
  <si>
    <t>Eff.ratio.EE.Ser.Bld.Thermal.SH.Geo.Geo</t>
  </si>
  <si>
    <t>Eff.ratio.EE.Ser.Bld.Thermal.SH.DistrHeat.Steam_Distr</t>
  </si>
  <si>
    <t>Eff.ratio.EE.Ser.Bld.Thermal.SH.AdvElc.Elec</t>
  </si>
  <si>
    <t>Eff.ratio.EE.Ser.Bld.Thermal.SH.ConvElc.Elec</t>
  </si>
  <si>
    <t>Eff.ratio.EE.Ser.Bld.Thermal.SH.TotalCirculation.Elec</t>
  </si>
  <si>
    <t>Eff.ratio.EE.Ser.Bld.Thermal.SC.GasHP.NG_Biogas</t>
  </si>
  <si>
    <t>Eff.ratio.EE.Ser.Bld.Thermal.SC.AC.Elec</t>
  </si>
  <si>
    <t>Eff.ratio.EE.Ser.Bld.Thermal.HW.Solids.Solids</t>
  </si>
  <si>
    <t>Eff.ratio.EE.Ser.Bld.Thermal.HW.LPG.LPG</t>
  </si>
  <si>
    <t>Eff.ratio.EE.Ser.Bld.Thermal.HW.Oil.Oil_LiqBio</t>
  </si>
  <si>
    <t>Eff.ratio.EE.Ser.Bld.Thermal.HW.Gas.NG_Biogas</t>
  </si>
  <si>
    <t>Eff.ratio.EE.Ser.Bld.Thermal.HW.Biomass.Biomass_Waste</t>
  </si>
  <si>
    <t>Eff.ratio.EE.Ser.Bld.Thermal.HW.DistrHeat.Steam_Distr</t>
  </si>
  <si>
    <t>Eff.ratio.EE.Ser.Bld.Thermal.HW.Elc.Elec</t>
  </si>
  <si>
    <t>Eff.ratio.EE.Ser.Bld.Thermal.HW.TotalSolar.Solar</t>
  </si>
  <si>
    <t>Eff.ratio.EE.Ser.Bld.Thermal.CA.LPG</t>
  </si>
  <si>
    <t>Eff.ratio.EE.Ser.Bld.Thermal.CA.Gas.NG_Biogas</t>
  </si>
  <si>
    <t>Eff.ratio.EE.Ser.Bld.Thermal.CA.Biomass.Biomass_Waste</t>
  </si>
  <si>
    <t>Eff.ratio.EE.Ser.Bld.Thermal.CA.Elc.Elec</t>
  </si>
  <si>
    <t>EE - CO2 emissions</t>
  </si>
  <si>
    <t>EMI.ktCO2.EE.Ser.Bld.Thermal.SH.Solids.Solids</t>
  </si>
  <si>
    <t>EMI.ktCO2.EE.Ser.Bld.Thermal.SH.LPG.LPG</t>
  </si>
  <si>
    <t>EMI.ktCO2.EE.Ser.Bld.Thermal.SH.Oil.Oil_LiqBio</t>
  </si>
  <si>
    <t>EMI.ktCO2.EE.Ser.Bld.Thermal.SH.GasHP.NG_Biogas</t>
  </si>
  <si>
    <t>EMI.ktCO2.EE.Ser.Bld.Thermal.SH.GasTH.NG_Biogas</t>
  </si>
  <si>
    <t>EMI.ktCO2.EE.Ser.Bld.Thermal.SH.Biomass.Biomass_Waste</t>
  </si>
  <si>
    <t>EMI.ktCO2.EE.Ser.Bld.Thermal.SH.Geo.Geo</t>
  </si>
  <si>
    <t>EMI.ktCO2.EE.Ser.Bld.Thermal.SH.DistrHeat.Steam_Distr</t>
  </si>
  <si>
    <t>EMI.ktCO2.EE.Ser.Bld.Thermal.SH.AdvElc.Elec</t>
  </si>
  <si>
    <t>EMI.ktCO2.EE.Ser.Bld.Thermal.SH.ConvElc.Elec</t>
  </si>
  <si>
    <t>EMI.ktCO2.EE.Ser.Bld.Thermal.SH.TotalCirculation.Elec</t>
  </si>
  <si>
    <t>EMI.ktCO2.EE.Ser.Bld.Thermal.SC.GasHP.NG_Biogas</t>
  </si>
  <si>
    <t>EMI.ktCO2.EE.Ser.Bld.Thermal.SC.AC.Elec</t>
  </si>
  <si>
    <t>EMI.ktCO2.EE.Ser.Bld.Thermal.HW.Solids.Solids</t>
  </si>
  <si>
    <t>EMI.ktCO2.EE.Ser.Bld.Thermal.HW.LPG.LPG</t>
  </si>
  <si>
    <t>EMI.ktCO2.EE.Ser.Bld.Thermal.HW.Oil.Oil_LiqBio</t>
  </si>
  <si>
    <t>EMI.ktCO2.EE.Ser.Bld.Thermal.HW.Gas.NG_Biogas</t>
  </si>
  <si>
    <t>EMI.ktCO2.EE.Ser.Bld.Thermal.HW.Biomass.Biomass_Waste</t>
  </si>
  <si>
    <t>EMI.ktCO2.EE.Ser.Bld.Thermal.HW.DistrHeat.Steam_Distr</t>
  </si>
  <si>
    <t>EMI.ktCO2.EE.Ser.Bld.Thermal.HW.Elc.Elec</t>
  </si>
  <si>
    <t>EMI.ktCO2.EE.Ser.Bld.Thermal.HW.TotalSolar.Solar</t>
  </si>
  <si>
    <t>EMI.ktCO2.EE.Ser.Bld.Thermal.CA.LPG</t>
  </si>
  <si>
    <t>EMI.ktCO2.EE.Ser.Bld.Thermal.CA.Gas.NG_Biogas</t>
  </si>
  <si>
    <t>EMI.ktCO2.EE.Ser.Bld.Thermal.CA.Biomass.Biomass_Waste</t>
  </si>
  <si>
    <t>EMI.ktCO2.EE.Ser.Bld.Thermal.CA.Elc.Elec</t>
  </si>
  <si>
    <t>EE - Final energy consumption per building</t>
  </si>
  <si>
    <t>FEC_per_building.kWh.EE.Ser.Bld.Thermal</t>
  </si>
  <si>
    <t>FEC_per_building.kWh.EE.Ser.Bld.Thermal.SH</t>
  </si>
  <si>
    <t>FEC_per_building.kWh.EE.Ser.Bld.Thermal.SH.Solids.Solids</t>
  </si>
  <si>
    <t>FEC_per_building.kWh.EE.Ser.Bld.Thermal.SH.LPG.LPG</t>
  </si>
  <si>
    <t>FEC_per_building.kWh.EE.Ser.Bld.Thermal.SH.Oil.Oil_LiqBio</t>
  </si>
  <si>
    <t>FEC_per_building.kWh.EE.Ser.Bld.Thermal.SH.GasHP.NG_Biogas</t>
  </si>
  <si>
    <t>FEC_per_building.kWh.EE.Ser.Bld.Thermal.SH.GasTH.NG_Biogas</t>
  </si>
  <si>
    <t>FEC_per_building.kWh.EE.Ser.Bld.Thermal.SH.Biomass.Biomass_Waste</t>
  </si>
  <si>
    <t>FEC_per_building.kWh.EE.Ser.Bld.Thermal.SH.Geo.Geo</t>
  </si>
  <si>
    <t>FEC_per_building.kWh.EE.Ser.Bld.Thermal.SH.DistrHeat.Steam_Distr</t>
  </si>
  <si>
    <t>FEC_per_building.kWh.EE.Ser.Bld.Thermal.SH.AdvElc.Elec</t>
  </si>
  <si>
    <t>FEC_per_building.kWh.EE.Ser.Bld.Thermal.SH.ConvElc.Elec</t>
  </si>
  <si>
    <t>FEC_per_building.kWh.EE.Ser.Bld.Thermal.SH.TotalCirculation.Elec</t>
  </si>
  <si>
    <t>FEC_per_building.kWh.EE.Ser.Bld.Thermal.SC</t>
  </si>
  <si>
    <t>FEC_per_building.kWh.EE.Ser.Bld.Thermal.SC.GasHP.NG_Biogas</t>
  </si>
  <si>
    <t>FEC_per_building.kWh.EE.Ser.Bld.Thermal.SC.AC.Elec</t>
  </si>
  <si>
    <t>FEC_per_building.kWh.EE.Ser.Bld.Thermal.HW</t>
  </si>
  <si>
    <t>FEC_per_building.kWh.EE.Ser.Bld.Thermal.HW.Solids.Solids</t>
  </si>
  <si>
    <t>FEC_per_building.kWh.EE.Ser.Bld.Thermal.HW.LPG.LPG</t>
  </si>
  <si>
    <t>FEC_per_building.kWh.EE.Ser.Bld.Thermal.HW.Oil.Oil_LiqBio</t>
  </si>
  <si>
    <t>FEC_per_building.kWh.EE.Ser.Bld.Thermal.HW.Gas.NG_Biogas</t>
  </si>
  <si>
    <t>FEC_per_building.kWh.EE.Ser.Bld.Thermal.HW.Biomass.Biomass_Waste</t>
  </si>
  <si>
    <t>FEC_per_building.kWh.EE.Ser.Bld.Thermal.HW.DistrHeat.Steam_Distr</t>
  </si>
  <si>
    <t>FEC_per_building.kWh.EE.Ser.Bld.Thermal.HW.Elc.Elec</t>
  </si>
  <si>
    <t>FEC_per_building.kWh.EE.Ser.Bld.Thermal.HW.TotalSolar.Solar</t>
  </si>
  <si>
    <t>FEC_per_building.kWh.EE.Ser.Bld.Thermal.CA</t>
  </si>
  <si>
    <t>FEC_per_building.kWh.EE.Ser.Bld.Thermal.CA.LPG</t>
  </si>
  <si>
    <t>FEC_per_building.kWh.EE.Ser.Bld.Thermal.CA.Gas.NG_Biogas</t>
  </si>
  <si>
    <t>FEC_per_building.kWh.EE.Ser.Bld.Thermal.CA.Biomass.Biomass_Waste</t>
  </si>
  <si>
    <t>FEC_per_building.kWh.EE.Ser.Bld.Thermal.CA.Elc.Elec</t>
  </si>
  <si>
    <t>EE - Thermal energy service per building</t>
  </si>
  <si>
    <t>TES_per_building.kWh.EE.Ser.Bld.Thermal</t>
  </si>
  <si>
    <t>TES_per_building.kWh.EE.Ser.Bld.Thermal.SH</t>
  </si>
  <si>
    <t>TES_per_building.kWh.EE.Ser.Bld.Thermal.SH.Solids.Solids</t>
  </si>
  <si>
    <t>TES_per_building.kWh.EE.Ser.Bld.Thermal.SH.LPG.LPG</t>
  </si>
  <si>
    <t>TES_per_building.kWh.EE.Ser.Bld.Thermal.SH.Oil.Oil_LiqBio</t>
  </si>
  <si>
    <t>TES_per_building.kWh.EE.Ser.Bld.Thermal.SH.GasHP.NG_Biogas</t>
  </si>
  <si>
    <t>TES_per_building.kWh.EE.Ser.Bld.Thermal.SH.GasTH.NG_Biogas</t>
  </si>
  <si>
    <t>TES_per_building.kWh.EE.Ser.Bld.Thermal.SH.Biomass.Biomass_Waste</t>
  </si>
  <si>
    <t>TES_per_building.kWh.EE.Ser.Bld.Thermal.SH.Geo.Geo</t>
  </si>
  <si>
    <t>TES_per_building.kWh.EE.Ser.Bld.Thermal.SH.DistrHeat.Steam_Distr</t>
  </si>
  <si>
    <t>TES_per_building.kWh.EE.Ser.Bld.Thermal.SH.AdvElc.Elec</t>
  </si>
  <si>
    <t>TES_per_building.kWh.EE.Ser.Bld.Thermal.SH.ConvElc.Elec</t>
  </si>
  <si>
    <t>TES_per_building.kWh.EE.Ser.Bld.Thermal.SH.TotalCirculation.Elec</t>
  </si>
  <si>
    <t>TES_per_building.kWh.EE.Ser.Bld.Thermal.SC</t>
  </si>
  <si>
    <t>TES_per_building.kWh.EE.Ser.Bld.Thermal.SC.GasHP.NG_Biogas</t>
  </si>
  <si>
    <t>TES_per_building.kWh.EE.Ser.Bld.Thermal.SC.AC.Elec</t>
  </si>
  <si>
    <t>TES_per_building.kWh.EE.Ser.Bld.Thermal.HW</t>
  </si>
  <si>
    <t>TES_per_building.kWh.EE.Ser.Bld.Thermal.HW.Solids.Solids</t>
  </si>
  <si>
    <t>TES_per_building.kWh.EE.Ser.Bld.Thermal.HW.LPG.LPG</t>
  </si>
  <si>
    <t>TES_per_building.kWh.EE.Ser.Bld.Thermal.HW.Oil.Oil_LiqBio</t>
  </si>
  <si>
    <t>TES_per_building.kWh.EE.Ser.Bld.Thermal.HW.Gas.NG_Biogas</t>
  </si>
  <si>
    <t>TES_per_building.kWh.EE.Ser.Bld.Thermal.HW.Biomass.Biomass_Waste</t>
  </si>
  <si>
    <t>TES_per_building.kWh.EE.Ser.Bld.Thermal.HW.DistrHeat.Steam_Distr</t>
  </si>
  <si>
    <t>TES_per_building.kWh.EE.Ser.Bld.Thermal.HW.Elc.Elec</t>
  </si>
  <si>
    <t>TES_per_building.kWh.EE.Ser.Bld.Thermal.HW.TotalSolar.Solar</t>
  </si>
  <si>
    <t>TES_per_building.kWh.EE.Ser.Bld.Thermal.CA</t>
  </si>
  <si>
    <t>TES_per_building.kWh.EE.Ser.Bld.Thermal.CA.LPG</t>
  </si>
  <si>
    <t>TES_per_building.kWh.EE.Ser.Bld.Thermal.CA.Gas.NG_Biogas</t>
  </si>
  <si>
    <t>TES_per_building.kWh.EE.Ser.Bld.Thermal.CA.Biomass.Biomass_Waste</t>
  </si>
  <si>
    <t>TES_per_building.kWh.EE.Ser.Bld.Thermal.CA.Elc.Elec</t>
  </si>
  <si>
    <t>EE - CO2 emissions per building</t>
  </si>
  <si>
    <t>EMI_per_building.kgCO2.EE.Ser.Bld.Thermal</t>
  </si>
  <si>
    <t>EMI_per_building.kgCO2.EE.Ser.Bld.Thermal.SH</t>
  </si>
  <si>
    <t>EMI_per_building.kgCO2.EE.Ser.Bld.Thermal.SH.Solids.Solids</t>
  </si>
  <si>
    <t>EMI_per_building.kgCO2.EE.Ser.Bld.Thermal.SH.LPG.LPG</t>
  </si>
  <si>
    <t>EMI_per_building.kgCO2.EE.Ser.Bld.Thermal.SH.Oil.Oil_LiqBio</t>
  </si>
  <si>
    <t>EMI_per_building.kgCO2.EE.Ser.Bld.Thermal.SH.GasHP.NG_Biogas</t>
  </si>
  <si>
    <t>EMI_per_building.kgCO2.EE.Ser.Bld.Thermal.SH.GasTH.NG_Biogas</t>
  </si>
  <si>
    <t>EMI_per_building.kgCO2.EE.Ser.Bld.Thermal.SH.Biomass.Biomass_Waste</t>
  </si>
  <si>
    <t>EMI_per_building.kgCO2.EE.Ser.Bld.Thermal.SH.Geo.Geo</t>
  </si>
  <si>
    <t>EMI_per_building.kgCO2.EE.Ser.Bld.Thermal.SH.DistrHeat.Steam_Distr</t>
  </si>
  <si>
    <t>EMI_per_building.kgCO2.EE.Ser.Bld.Thermal.SH.AdvElc.Elec</t>
  </si>
  <si>
    <t>EMI_per_building.kgCO2.EE.Ser.Bld.Thermal.SH.ConvElc.Elec</t>
  </si>
  <si>
    <t>EMI_per_building.kgCO2.EE.Ser.Bld.Thermal.SH.TotalCirculation.Elec</t>
  </si>
  <si>
    <t>EMI_per_building.kgCO2.EE.Ser.Bld.Thermal.SC</t>
  </si>
  <si>
    <t>EMI_per_building.kgCO2.EE.Ser.Bld.Thermal.SC.GasHP.NG_Biogas</t>
  </si>
  <si>
    <t>EMI_per_building.kgCO2.EE.Ser.Bld.Thermal.SC.AC.Elec</t>
  </si>
  <si>
    <t>EMI_per_building.kgCO2.EE.Ser.Bld.Thermal.HW</t>
  </si>
  <si>
    <t>EMI_per_building.kgCO2.EE.Ser.Bld.Thermal.HW.Solids.Solids</t>
  </si>
  <si>
    <t>EMI_per_building.kgCO2.EE.Ser.Bld.Thermal.HW.LPG.LPG</t>
  </si>
  <si>
    <t>EMI_per_building.kgCO2.EE.Ser.Bld.Thermal.HW.Oil.Oil_LiqBio</t>
  </si>
  <si>
    <t>EMI_per_building.kgCO2.EE.Ser.Bld.Thermal.HW.Gas.NG_Biogas</t>
  </si>
  <si>
    <t>EMI_per_building.kgCO2.EE.Ser.Bld.Thermal.HW.Biomass.Biomass_Waste</t>
  </si>
  <si>
    <t>EMI_per_building.kgCO2.EE.Ser.Bld.Thermal.HW.DistrHeat.Steam_Distr</t>
  </si>
  <si>
    <t>EMI_per_building.kgCO2.EE.Ser.Bld.Thermal.HW.Elc.Elec</t>
  </si>
  <si>
    <t>EMI_per_building.kgCO2.EE.Ser.Bld.Thermal.HW.TotalSolar.Solar</t>
  </si>
  <si>
    <t>EMI_per_building.kgCO2.EE.Ser.Bld.Thermal.CA</t>
  </si>
  <si>
    <t>EMI_per_building.kgCO2.EE.Ser.Bld.Thermal.CA.LPG</t>
  </si>
  <si>
    <t>EMI_per_building.kgCO2.EE.Ser.Bld.Thermal.CA.Gas.NG_Biogas</t>
  </si>
  <si>
    <t>EMI_per_building.kgCO2.EE.Ser.Bld.Thermal.CA.Biomass.Biomass_Waste</t>
  </si>
  <si>
    <t>EMI_per_building.kgCO2.EE.Ser.Bld.Thermal.CA.Elc.Elec</t>
  </si>
  <si>
    <t>EE - Final energy consumption per useful surface area</t>
  </si>
  <si>
    <t>FEC_per_sqm.kWh.EE.Ser.Bld.Thermal</t>
  </si>
  <si>
    <t>FEC_per_sqm.kWh.EE.Ser.Bld.Thermal.SH</t>
  </si>
  <si>
    <t>FEC_per_sqm.kWh.EE.Ser.Bld.Thermal.SH.Solids.Solids</t>
  </si>
  <si>
    <t>FEC_per_sqm.kWh.EE.Ser.Bld.Thermal.SH.LPG.LPG</t>
  </si>
  <si>
    <t>FEC_per_sqm.kWh.EE.Ser.Bld.Thermal.SH.Oil.Oil_LiqBio</t>
  </si>
  <si>
    <t>FEC_per_sqm.kWh.EE.Ser.Bld.Thermal.SH.GasHP.NG_Biogas</t>
  </si>
  <si>
    <t>FEC_per_sqm.kWh.EE.Ser.Bld.Thermal.SH.GasTH.NG_Biogas</t>
  </si>
  <si>
    <t>FEC_per_sqm.kWh.EE.Ser.Bld.Thermal.SH.Biomass.Biomass_Waste</t>
  </si>
  <si>
    <t>FEC_per_sqm.kWh.EE.Ser.Bld.Thermal.SH.Geo.Geo</t>
  </si>
  <si>
    <t>FEC_per_sqm.kWh.EE.Ser.Bld.Thermal.SH.DistrHeat.Steam_Distr</t>
  </si>
  <si>
    <t>FEC_per_sqm.kWh.EE.Ser.Bld.Thermal.SH.AdvElc.Elec</t>
  </si>
  <si>
    <t>FEC_per_sqm.kWh.EE.Ser.Bld.Thermal.SH.ConvElc.Elec</t>
  </si>
  <si>
    <t>FEC_per_sqm.kWh.EE.Ser.Bld.Thermal.SH.TotalCirculation.Elec</t>
  </si>
  <si>
    <t>FEC_per_sqm.kWh.EE.Ser.Bld.Thermal.SC</t>
  </si>
  <si>
    <t>FEC_per_sqm.kWh.EE.Ser.Bld.Thermal.SC.GasHP.NG_Biogas</t>
  </si>
  <si>
    <t>FEC_per_sqm.kWh.EE.Ser.Bld.Thermal.SC.AC.Elec</t>
  </si>
  <si>
    <t>FEC_per_sqm.kWh.EE.Ser.Bld.Thermal.HW</t>
  </si>
  <si>
    <t>FEC_per_sqm.kWh.EE.Ser.Bld.Thermal.HW.Solids.Solids</t>
  </si>
  <si>
    <t>FEC_per_sqm.kWh.EE.Ser.Bld.Thermal.HW.LPG.LPG</t>
  </si>
  <si>
    <t>FEC_per_sqm.kWh.EE.Ser.Bld.Thermal.HW.Oil.Oil_LiqBio</t>
  </si>
  <si>
    <t>FEC_per_sqm.kWh.EE.Ser.Bld.Thermal.HW.Gas.NG_Biogas</t>
  </si>
  <si>
    <t>FEC_per_sqm.kWh.EE.Ser.Bld.Thermal.HW.Biomass.Biomass_Waste</t>
  </si>
  <si>
    <t>FEC_per_sqm.kWh.EE.Ser.Bld.Thermal.HW.DistrHeat.Steam_Distr</t>
  </si>
  <si>
    <t>FEC_per_sqm.kWh.EE.Ser.Bld.Thermal.HW.Elc.Elec</t>
  </si>
  <si>
    <t>FEC_per_sqm.kWh.EE.Ser.Bld.Thermal.HW.TotalSolar.Solar</t>
  </si>
  <si>
    <t>FEC_per_sqm.kWh.EE.Ser.Bld.Thermal.CA</t>
  </si>
  <si>
    <t>FEC_per_sqm.kWh.EE.Ser.Bld.Thermal.CA.LPG</t>
  </si>
  <si>
    <t>FEC_per_sqm.kWh.EE.Ser.Bld.Thermal.CA.Gas.NG_Biogas</t>
  </si>
  <si>
    <t>FEC_per_sqm.kWh.EE.Ser.Bld.Thermal.CA.Biomass.Biomass_Waste</t>
  </si>
  <si>
    <t>FEC_per_sqm.kWh.EE.Ser.Bld.Thermal.CA.Elc.Elec</t>
  </si>
  <si>
    <t>EE - Thermal energy service per useful surface area</t>
  </si>
  <si>
    <t>TES_per_sqm.kWh.EE.Ser.Bld.Thermal</t>
  </si>
  <si>
    <t>TES_per_sqm.kWh.EE.Ser.Bld.Thermal.SH</t>
  </si>
  <si>
    <t>TES_per_sqm.kWh.EE.Ser.Bld.Thermal.SH.Solids.Solids</t>
  </si>
  <si>
    <t>TES_per_sqm.kWh.EE.Ser.Bld.Thermal.SH.LPG.LPG</t>
  </si>
  <si>
    <t>TES_per_sqm.kWh.EE.Ser.Bld.Thermal.SH.Oil.Oil_LiqBio</t>
  </si>
  <si>
    <t>TES_per_sqm.kWh.EE.Ser.Bld.Thermal.SH.GasHP.NG_Biogas</t>
  </si>
  <si>
    <t>TES_per_sqm.kWh.EE.Ser.Bld.Thermal.SH.GasTH.NG_Biogas</t>
  </si>
  <si>
    <t>TES_per_sqm.kWh.EE.Ser.Bld.Thermal.SH.Biomass.Biomass_Waste</t>
  </si>
  <si>
    <t>TES_per_sqm.kWh.EE.Ser.Bld.Thermal.SH.Geo.Geo</t>
  </si>
  <si>
    <t>TES_per_sqm.kWh.EE.Ser.Bld.Thermal.SH.DistrHeat.Steam_Distr</t>
  </si>
  <si>
    <t>TES_per_sqm.kWh.EE.Ser.Bld.Thermal.SH.AdvElc.Elec</t>
  </si>
  <si>
    <t>TES_per_sqm.kWh.EE.Ser.Bld.Thermal.SH.ConvElc.Elec</t>
  </si>
  <si>
    <t>TES_per_sqm.kWh.EE.Ser.Bld.Thermal.SH.TotalCirculation.Elec</t>
  </si>
  <si>
    <t>TES_per_sqm.kWh.EE.Ser.Bld.Thermal.SC</t>
  </si>
  <si>
    <t>TES_per_sqm.kWh.EE.Ser.Bld.Thermal.SC.GasHP.NG_Biogas</t>
  </si>
  <si>
    <t>TES_per_sqm.kWh.EE.Ser.Bld.Thermal.SC.AC.Elec</t>
  </si>
  <si>
    <t>TES_per_sqm.kWh.EE.Ser.Bld.Thermal.HW</t>
  </si>
  <si>
    <t>TES_per_sqm.kWh.EE.Ser.Bld.Thermal.HW.Solids.Solids</t>
  </si>
  <si>
    <t>TES_per_sqm.kWh.EE.Ser.Bld.Thermal.HW.LPG.LPG</t>
  </si>
  <si>
    <t>TES_per_sqm.kWh.EE.Ser.Bld.Thermal.HW.Oil.Oil_LiqBio</t>
  </si>
  <si>
    <t>TES_per_sqm.kWh.EE.Ser.Bld.Thermal.HW.Gas.NG_Biogas</t>
  </si>
  <si>
    <t>TES_per_sqm.kWh.EE.Ser.Bld.Thermal.HW.Biomass.Biomass_Waste</t>
  </si>
  <si>
    <t>TES_per_sqm.kWh.EE.Ser.Bld.Thermal.HW.DistrHeat.Steam_Distr</t>
  </si>
  <si>
    <t>TES_per_sqm.kWh.EE.Ser.Bld.Thermal.HW.Elc.Elec</t>
  </si>
  <si>
    <t>TES_per_sqm.kWh.EE.Ser.Bld.Thermal.HW.TotalSolar.Solar</t>
  </si>
  <si>
    <t>TES_per_sqm.kWh.EE.Ser.Bld.Thermal.CA</t>
  </si>
  <si>
    <t>TES_per_sqm.kWh.EE.Ser.Bld.Thermal.CA.LPG</t>
  </si>
  <si>
    <t>TES_per_sqm.kWh.EE.Ser.Bld.Thermal.CA.Gas.NG_Biogas</t>
  </si>
  <si>
    <t>TES_per_sqm.kWh.EE.Ser.Bld.Thermal.CA.Biomass.Biomass_Waste</t>
  </si>
  <si>
    <t>TES_per_sqm.kWh.EE.Ser.Bld.Thermal.CA.Elc.Elec</t>
  </si>
  <si>
    <t>EE - CO2 emissions per useful surface area</t>
  </si>
  <si>
    <t>EMI_per_sqm.kgCO2.EE.Ser.Bld.Thermal</t>
  </si>
  <si>
    <t>EMI_per_sqm.kgCO2.EE.Ser.Bld.Thermal.SH</t>
  </si>
  <si>
    <t>EMI_per_sqm.kgCO2.EE.Ser.Bld.Thermal.SH.Solids.Solids</t>
  </si>
  <si>
    <t>EMI_per_sqm.kgCO2.EE.Ser.Bld.Thermal.SH.LPG.LPG</t>
  </si>
  <si>
    <t>EMI_per_sqm.kgCO2.EE.Ser.Bld.Thermal.SH.Oil.Oil_LiqBio</t>
  </si>
  <si>
    <t>EMI_per_sqm.kgCO2.EE.Ser.Bld.Thermal.SH.GasHP.NG_Biogas</t>
  </si>
  <si>
    <t>EMI_per_sqm.kgCO2.EE.Ser.Bld.Thermal.SH.GasTH.NG_Biogas</t>
  </si>
  <si>
    <t>EMI_per_sqm.kgCO2.EE.Ser.Bld.Thermal.SH.Biomass.Biomass_Waste</t>
  </si>
  <si>
    <t>EMI_per_sqm.kgCO2.EE.Ser.Bld.Thermal.SH.Geo.Geo</t>
  </si>
  <si>
    <t>EMI_per_sqm.kgCO2.EE.Ser.Bld.Thermal.SH.DistrHeat.Steam_Distr</t>
  </si>
  <si>
    <t>EMI_per_sqm.kgCO2.EE.Ser.Bld.Thermal.SH.AdvElc.Elec</t>
  </si>
  <si>
    <t>EMI_per_sqm.kgCO2.EE.Ser.Bld.Thermal.SH.ConvElc.Elec</t>
  </si>
  <si>
    <t>EMI_per_sqm.kgCO2.EE.Ser.Bld.Thermal.SH.TotalCirculation.Elec</t>
  </si>
  <si>
    <t>EMI_per_sqm.kgCO2.EE.Ser.Bld.Thermal.SC</t>
  </si>
  <si>
    <t>EMI_per_sqm.kgCO2.EE.Ser.Bld.Thermal.SC.GasHP.NG_Biogas</t>
  </si>
  <si>
    <t>EMI_per_sqm.kgCO2.EE.Ser.Bld.Thermal.SC.AC.Elec</t>
  </si>
  <si>
    <t>EMI_per_sqm.kgCO2.EE.Ser.Bld.Thermal.HW</t>
  </si>
  <si>
    <t>EMI_per_sqm.kgCO2.EE.Ser.Bld.Thermal.HW.Solids.Solids</t>
  </si>
  <si>
    <t>EMI_per_sqm.kgCO2.EE.Ser.Bld.Thermal.HW.LPG.LPG</t>
  </si>
  <si>
    <t>EMI_per_sqm.kgCO2.EE.Ser.Bld.Thermal.HW.Oil.Oil_LiqBio</t>
  </si>
  <si>
    <t>EMI_per_sqm.kgCO2.EE.Ser.Bld.Thermal.HW.Gas.NG_Biogas</t>
  </si>
  <si>
    <t>EMI_per_sqm.kgCO2.EE.Ser.Bld.Thermal.HW.Biomass.Biomass_Waste</t>
  </si>
  <si>
    <t>EMI_per_sqm.kgCO2.EE.Ser.Bld.Thermal.HW.DistrHeat.Steam_Distr</t>
  </si>
  <si>
    <t>EMI_per_sqm.kgCO2.EE.Ser.Bld.Thermal.HW.Elc.Elec</t>
  </si>
  <si>
    <t>EMI_per_sqm.kgCO2.EE.Ser.Bld.Thermal.HW.TotalSolar.Solar</t>
  </si>
  <si>
    <t>EMI_per_sqm.kgCO2.EE.Ser.Bld.Thermal.CA</t>
  </si>
  <si>
    <t>EMI_per_sqm.kgCO2.EE.Ser.Bld.Thermal.CA.LPG</t>
  </si>
  <si>
    <t>EMI_per_sqm.kgCO2.EE.Ser.Bld.Thermal.CA.Gas.NG_Biogas</t>
  </si>
  <si>
    <t>EMI_per_sqm.kgCO2.EE.Ser.Bld.Thermal.CA.Biomass.Biomass_Waste</t>
  </si>
  <si>
    <t>EMI_per_sqm.kgCO2.EE.Ser.Bld.Thermal.CA.Elc.Elec</t>
  </si>
  <si>
    <t>EE - Number of new and renovated buildings</t>
  </si>
  <si>
    <t>NUM.number.EE.Ser.BldNew.Thermal</t>
  </si>
  <si>
    <t>NUM.number.EE.Ser.BldNew.Thermal.SH</t>
  </si>
  <si>
    <t>NUM.number.EE.Ser.BldNew.Thermal.SH.Solids</t>
  </si>
  <si>
    <t>NUM.number.EE.Ser.BldNew.Thermal.SH.LPG</t>
  </si>
  <si>
    <t>NUM.number.EE.Ser.BldNew.Thermal.SH.Oil</t>
  </si>
  <si>
    <t>NUM.number.EE.Ser.BldNew.Thermal.SH.GasHP</t>
  </si>
  <si>
    <t>NUM.number.EE.Ser.BldNew.Thermal.SH.GasTH</t>
  </si>
  <si>
    <t>NUM.number.EE.Ser.BldNew.Thermal.SH.Biomass</t>
  </si>
  <si>
    <t>NUM.number.EE.Ser.BldNew.Thermal.SH.Geo</t>
  </si>
  <si>
    <t>NUM.number.EE.Ser.BldNew.Thermal.SH.DistrHeat</t>
  </si>
  <si>
    <t>NUM.number.EE.Ser.BldNew.Thermal.SH.AdvElc</t>
  </si>
  <si>
    <t>NUM.number.EE.Ser.BldNew.Thermal.SH.ConvElc</t>
  </si>
  <si>
    <t>NUM.number.EE.Ser.BldNew.Thermal.SC</t>
  </si>
  <si>
    <t>NUM.number.EE.Ser.BldNew.Thermal.SC.GasHP</t>
  </si>
  <si>
    <t>NUM.number.EE.Ser.BldNew.Thermal.SC.AC</t>
  </si>
  <si>
    <t>NUM.number.EE.Ser.BldNew.Thermal.HW</t>
  </si>
  <si>
    <t>NUM.number.EE.Ser.BldNew.Thermal.HW.Solids</t>
  </si>
  <si>
    <t>NUM.number.EE.Ser.BldNew.Thermal.HW.LPG</t>
  </si>
  <si>
    <t>NUM.number.EE.Ser.BldNew.Thermal.HW.Oil</t>
  </si>
  <si>
    <t>NUM.number.EE.Ser.BldNew.Thermal.HW.Gas</t>
  </si>
  <si>
    <t>NUM.number.EE.Ser.BldNew.Thermal.HW.Biomass</t>
  </si>
  <si>
    <t>NUM.number.EE.Ser.BldNew.Thermal.HW.DistrHeat</t>
  </si>
  <si>
    <t>NUM.number.EE.Ser.BldNew.Thermal.HW.Elc</t>
  </si>
  <si>
    <t>NUM.number.EE.Ser.BldNew.Thermal.HW.Solar</t>
  </si>
  <si>
    <t>NUM.number.EE.Ser.BldNew.Thermal.CA</t>
  </si>
  <si>
    <t>NUM.number.EE.Ser.BldNew.Thermal.CA.LPG</t>
  </si>
  <si>
    <t>NUM.number.EE.Ser.BldNew.Thermal.CA.Gas</t>
  </si>
  <si>
    <t>NUM.number.EE.Ser.BldNew.Thermal.CA.Biomass</t>
  </si>
  <si>
    <t>NUM.number.EE.Ser.BldNew.Thermal.CA.Elc</t>
  </si>
  <si>
    <t>EE - Final energy consumption in new and renovated buildings</t>
  </si>
  <si>
    <t>FEC.ktoe.EE.Ser.BldNew.Thermal</t>
  </si>
  <si>
    <t>FEC.ktoe.EE.Ser.BldNew.Thermal.SH</t>
  </si>
  <si>
    <t>FEC.ktoe.EE.Ser.BldNew.Thermal.SH.Solids.Solids</t>
  </si>
  <si>
    <t>FEC.ktoe.EE.Ser.BldNew.Thermal.SH.LPG.LPG</t>
  </si>
  <si>
    <t>FEC.ktoe.EE.Ser.BldNew.Thermal.SH.Oil.Oil_LiqBio</t>
  </si>
  <si>
    <t>FEC.ktoe.EE.Ser.BldNew.Thermal.SH.GasHP.NG_Biogas</t>
  </si>
  <si>
    <t>FEC.ktoe.EE.Ser.BldNew.Thermal.SH.GasTH.NG_Biogas</t>
  </si>
  <si>
    <t>FEC.ktoe.EE.Ser.BldNew.Thermal.SH.Biomass.Biomass_Waste</t>
  </si>
  <si>
    <t>FEC.ktoe.EE.Ser.BldNew.Thermal.SH.Geo.Geo</t>
  </si>
  <si>
    <t>FEC.ktoe.EE.Ser.BldNew.Thermal.SH.DistrHeat.Steam_Distr</t>
  </si>
  <si>
    <t>FEC.ktoe.EE.Ser.BldNew.Thermal.SH.AdvElc.Elec</t>
  </si>
  <si>
    <t>FEC.ktoe.EE.Ser.BldNew.Thermal.SH.ConvElc.Elec</t>
  </si>
  <si>
    <t>FEC.ktoe.EE.Ser.BldNew.Thermal.SH.TotalCirculation.Elec</t>
  </si>
  <si>
    <t>FEC.ktoe.EE.Ser.BldNew.Thermal.SC</t>
  </si>
  <si>
    <t>FEC.ktoe.EE.Ser.BldNew.Thermal.SC.GasHP.NG_Biogas</t>
  </si>
  <si>
    <t>FEC.ktoe.EE.Ser.BldNew.Thermal.SC.AC.Elec</t>
  </si>
  <si>
    <t>FEC.ktoe.EE.Ser.BldNew.Thermal.HW</t>
  </si>
  <si>
    <t>FEC.ktoe.EE.Ser.BldNew.Thermal.HW.Solids.Solids</t>
  </si>
  <si>
    <t>FEC.ktoe.EE.Ser.BldNew.Thermal.HW.LPG.LPG</t>
  </si>
  <si>
    <t>FEC.ktoe.EE.Ser.BldNew.Thermal.HW.Oil.Oil_LiqBio</t>
  </si>
  <si>
    <t>FEC.ktoe.EE.Ser.BldNew.Thermal.HW.Gas.NG_Biogas</t>
  </si>
  <si>
    <t>FEC.ktoe.EE.Ser.BldNew.Thermal.HW.Biomass.Biomass_Waste</t>
  </si>
  <si>
    <t>FEC.ktoe.EE.Ser.BldNew.Thermal.HW.DistrHeat.Steam_Distr</t>
  </si>
  <si>
    <t>FEC.ktoe.EE.Ser.BldNew.Thermal.HW.Elc.Elec</t>
  </si>
  <si>
    <t>FEC.ktoe.EE.Ser.BldNew.Thermal.HW.TotalSolar.Solar</t>
  </si>
  <si>
    <t>FEC.ktoe.EE.Ser.BldNew.Thermal.CA</t>
  </si>
  <si>
    <t>FEC.ktoe.EE.Ser.BldNew.Thermal.CA.LPG</t>
  </si>
  <si>
    <t>FEC.ktoe.EE.Ser.BldNew.Thermal.CA.Gas.NG_Biogas</t>
  </si>
  <si>
    <t>FEC.ktoe.EE.Ser.BldNew.Thermal.CA.Biomass.Biomass_Waste</t>
  </si>
  <si>
    <t>FEC.ktoe.EE.Ser.BldNew.Thermal.CA.Elc.Elec</t>
  </si>
  <si>
    <t>EE - Thermal energy service in new and renovated buildings</t>
  </si>
  <si>
    <t>TES.ktoe.EE.Ser.BldNew.Thermal</t>
  </si>
  <si>
    <t>TES.ktoe.EE.Ser.BldNew.Thermal.SH</t>
  </si>
  <si>
    <t>TES.ktoe.EE.Ser.BldNew.Thermal.SH.Solids.Solids</t>
  </si>
  <si>
    <t>TES.ktoe.EE.Ser.BldNew.Thermal.SH.LPG.LPG</t>
  </si>
  <si>
    <t>TES.ktoe.EE.Ser.BldNew.Thermal.SH.Oil.Oil_LiqBio</t>
  </si>
  <si>
    <t>TES.ktoe.EE.Ser.BldNew.Thermal.SH.GasHP.NG_Biogas</t>
  </si>
  <si>
    <t>TES.ktoe.EE.Ser.BldNew.Thermal.SH.GasTH.NG_Biogas</t>
  </si>
  <si>
    <t>TES.ktoe.EE.Ser.BldNew.Thermal.SH.Biomass.Biomass_Waste</t>
  </si>
  <si>
    <t>TES.ktoe.EE.Ser.BldNew.Thermal.SH.Geo.Geo</t>
  </si>
  <si>
    <t>TES.ktoe.EE.Ser.BldNew.Thermal.SH.DistrHeat.Steam_Distr</t>
  </si>
  <si>
    <t>TES.ktoe.EE.Ser.BldNew.Thermal.SH.AdvElc.Elec</t>
  </si>
  <si>
    <t>TES.ktoe.EE.Ser.BldNew.Thermal.SH.ConvElc.Elec</t>
  </si>
  <si>
    <t>TES.ktoe.EE.Ser.BldNew.Thermal.SH.TotalCirculation.Elec</t>
  </si>
  <si>
    <t>TES.ktoe.EE.Ser.BldNew.Thermal.SC</t>
  </si>
  <si>
    <t>TES.ktoe.EE.Ser.BldNew.Thermal.SC.GasHP.NG_Biogas</t>
  </si>
  <si>
    <t>TES.ktoe.EE.Ser.BldNew.Thermal.SC.AC.Elec</t>
  </si>
  <si>
    <t>TES.ktoe.EE.Ser.BldNew.Thermal.HW</t>
  </si>
  <si>
    <t>TES.ktoe.EE.Ser.BldNew.Thermal.HW.Solids.Solids</t>
  </si>
  <si>
    <t>TES.ktoe.EE.Ser.BldNew.Thermal.HW.LPG.LPG</t>
  </si>
  <si>
    <t>TES.ktoe.EE.Ser.BldNew.Thermal.HW.Oil.Oil_LiqBio</t>
  </si>
  <si>
    <t>TES.ktoe.EE.Ser.BldNew.Thermal.HW.Gas.NG_Biogas</t>
  </si>
  <si>
    <t>TES.ktoe.EE.Ser.BldNew.Thermal.HW.Biomass.Biomass_Waste</t>
  </si>
  <si>
    <t>TES.ktoe.EE.Ser.BldNew.Thermal.HW.DistrHeat.Steam_Distr</t>
  </si>
  <si>
    <t>TES.ktoe.EE.Ser.BldNew.Thermal.HW.Elc.Elec</t>
  </si>
  <si>
    <t>TES.ktoe.EE.Ser.BldNew.Thermal.HW.TotalSolar.Solar</t>
  </si>
  <si>
    <t>TES.ktoe.EE.Ser.BldNew.Thermal.CA</t>
  </si>
  <si>
    <t>TES.ktoe.EE.Ser.BldNew.Thermal.CA.LPG</t>
  </si>
  <si>
    <t>TES.ktoe.EE.Ser.BldNew.Thermal.CA.Gas.NG_Biogas</t>
  </si>
  <si>
    <t>TES.ktoe.EE.Ser.BldNew.Thermal.CA.Biomass.Biomass_Waste</t>
  </si>
  <si>
    <t>TES.ktoe.EE.Ser.BldNew.Thermal.CA.Elc.Elec</t>
  </si>
  <si>
    <t>EE - System efficiency indicator of new and renovated buildings</t>
  </si>
  <si>
    <t>Eff.ratio.EE.Ser.BldNew.Thermal</t>
  </si>
  <si>
    <t>Eff.ratio.EE.Ser.BldNew.Thermal.SH</t>
  </si>
  <si>
    <t>Eff.ratio.EE.Ser.BldNew.Thermal.SH.Solids.Solids</t>
  </si>
  <si>
    <t>Eff.ratio.EE.Ser.BldNew.Thermal.SH.LPG.LPG</t>
  </si>
  <si>
    <t>Eff.ratio.EE.Ser.BldNew.Thermal.SH.Oil.Oil_LiqBio</t>
  </si>
  <si>
    <t>Eff.ratio.EE.Ser.BldNew.Thermal.SH.GasHP.NG_Biogas</t>
  </si>
  <si>
    <t>Eff.ratio.EE.Ser.BldNew.Thermal.SH.GasTH.NG_Biogas</t>
  </si>
  <si>
    <t>Eff.ratio.EE.Ser.BldNew.Thermal.SH.Biomass.Biomass_Waste</t>
  </si>
  <si>
    <t>Eff.ratio.EE.Ser.BldNew.Thermal.SH.Geo.Geo</t>
  </si>
  <si>
    <t>Eff.ratio.EE.Ser.BldNew.Thermal.SH.DistrHeat.Steam_Distr</t>
  </si>
  <si>
    <t>Eff.ratio.EE.Ser.BldNew.Thermal.SH.AdvElc.Elec</t>
  </si>
  <si>
    <t>Eff.ratio.EE.Ser.BldNew.Thermal.SH.ConvElc.Elec</t>
  </si>
  <si>
    <t>Eff.ratio.EE.Ser.BldNew.Thermal.SH.TotalCirculation.Elec</t>
  </si>
  <si>
    <t>Eff.ratio.EE.Ser.BldNew.Thermal.SC</t>
  </si>
  <si>
    <t>Eff.ratio.EE.Ser.BldNew.Thermal.SC.GasHP.NG_Biogas</t>
  </si>
  <si>
    <t>Eff.ratio.EE.Ser.BldNew.Thermal.SC.AC.Elec</t>
  </si>
  <si>
    <t>Eff.ratio.EE.Ser.BldNew.Thermal.HW</t>
  </si>
  <si>
    <t>Eff.ratio.EE.Ser.BldNew.Thermal.HW.Solids.Solids</t>
  </si>
  <si>
    <t>Eff.ratio.EE.Ser.BldNew.Thermal.HW.LPG.LPG</t>
  </si>
  <si>
    <t>Eff.ratio.EE.Ser.BldNew.Thermal.HW.Oil.Oil_LiqBio</t>
  </si>
  <si>
    <t>Eff.ratio.EE.Ser.BldNew.Thermal.HW.Gas.NG_Biogas</t>
  </si>
  <si>
    <t>Eff.ratio.EE.Ser.BldNew.Thermal.HW.Biomass.Biomass_Waste</t>
  </si>
  <si>
    <t>Eff.ratio.EE.Ser.BldNew.Thermal.HW.DistrHeat.Steam_Distr</t>
  </si>
  <si>
    <t>Eff.ratio.EE.Ser.BldNew.Thermal.HW.Elc.Elec</t>
  </si>
  <si>
    <t>Eff.ratio.EE.Ser.BldNew.Thermal.HW.TotalSolar.Solar</t>
  </si>
  <si>
    <t>Eff.ratio.EE.Ser.BldNew.Thermal.CA</t>
  </si>
  <si>
    <t>Eff.ratio.EE.Ser.BldNew.Thermal.CA.LPG</t>
  </si>
  <si>
    <t>Eff.ratio.EE.Ser.BldNew.Thermal.CA.Gas.NG_Biogas</t>
  </si>
  <si>
    <t>Eff.ratio.EE.Ser.BldNew.Thermal.CA.Biomass.Biomass_Waste</t>
  </si>
  <si>
    <t>Eff.ratio.EE.Ser.BldNew.Thermal.CA.Elc.Elec</t>
  </si>
  <si>
    <t>EE - CO2 emissions in new and renovated buildings</t>
  </si>
  <si>
    <t>EMI.ktCO2.EE.Ser.BldNew.Thermal</t>
  </si>
  <si>
    <t>EMI.ktCO2.EE.Ser.BldNew.Thermal.SH</t>
  </si>
  <si>
    <t>EMI.ktCO2.EE.Ser.BldNew.Thermal.SH.Solids.Solids</t>
  </si>
  <si>
    <t>EMI.ktCO2.EE.Ser.BldNew.Thermal.SH.LPG.LPG</t>
  </si>
  <si>
    <t>EMI.ktCO2.EE.Ser.BldNew.Thermal.SH.Oil.Oil_LiqBio</t>
  </si>
  <si>
    <t>EMI.ktCO2.EE.Ser.BldNew.Thermal.SH.GasHP.NG_Biogas</t>
  </si>
  <si>
    <t>EMI.ktCO2.EE.Ser.BldNew.Thermal.SH.GasTH.NG_Biogas</t>
  </si>
  <si>
    <t>EMI.ktCO2.EE.Ser.BldNew.Thermal.SH.Biomass.Biomass_Waste</t>
  </si>
  <si>
    <t>EMI.ktCO2.EE.Ser.BldNew.Thermal.SH.Geo.Geo</t>
  </si>
  <si>
    <t>EMI.ktCO2.EE.Ser.BldNew.Thermal.SH.DistrHeat.Steam_Distr</t>
  </si>
  <si>
    <t>EMI.ktCO2.EE.Ser.BldNew.Thermal.SH.AdvElc.Elec</t>
  </si>
  <si>
    <t>EMI.ktCO2.EE.Ser.BldNew.Thermal.SH.ConvElc.Elec</t>
  </si>
  <si>
    <t>EMI.ktCO2.EE.Ser.BldNew.Thermal.SH.TotalCirculation.Elec</t>
  </si>
  <si>
    <t>EMI.ktCO2.EE.Ser.BldNew.Thermal.SC</t>
  </si>
  <si>
    <t>EMI.ktCO2.EE.Ser.BldNew.Thermal.SC.GasHP.NG_Biogas</t>
  </si>
  <si>
    <t>EMI.ktCO2.EE.Ser.BldNew.Thermal.SC.AC.Elec</t>
  </si>
  <si>
    <t>EMI.ktCO2.EE.Ser.BldNew.Thermal.HW</t>
  </si>
  <si>
    <t>EMI.ktCO2.EE.Ser.BldNew.Thermal.HW.Solids.Solids</t>
  </si>
  <si>
    <t>EMI.ktCO2.EE.Ser.BldNew.Thermal.HW.LPG.LPG</t>
  </si>
  <si>
    <t>EMI.ktCO2.EE.Ser.BldNew.Thermal.HW.Oil.Oil_LiqBio</t>
  </si>
  <si>
    <t>EMI.ktCO2.EE.Ser.BldNew.Thermal.HW.Gas.NG_Biogas</t>
  </si>
  <si>
    <t>EMI.ktCO2.EE.Ser.BldNew.Thermal.HW.Biomass.Biomass_Waste</t>
  </si>
  <si>
    <t>EMI.ktCO2.EE.Ser.BldNew.Thermal.HW.DistrHeat.Steam_Distr</t>
  </si>
  <si>
    <t>EMI.ktCO2.EE.Ser.BldNew.Thermal.HW.Elc.Elec</t>
  </si>
  <si>
    <t>EMI.ktCO2.EE.Ser.BldNew.Thermal.HW.TotalSolar.Solar</t>
  </si>
  <si>
    <t>EMI.ktCO2.EE.Ser.BldNew.Thermal.CA</t>
  </si>
  <si>
    <t>EMI.ktCO2.EE.Ser.BldNew.Thermal.CA.LPG</t>
  </si>
  <si>
    <t>EMI.ktCO2.EE.Ser.BldNew.Thermal.CA.Gas.NG_Biogas</t>
  </si>
  <si>
    <t>EMI.ktCO2.EE.Ser.BldNew.Thermal.CA.Biomass.Biomass_Waste</t>
  </si>
  <si>
    <t>EMI.ktCO2.EE.Ser.BldNew.Thermal.CA.Elc.Elec</t>
  </si>
  <si>
    <t>EE - Final energy consumption of new and renovated buildings (per building)</t>
  </si>
  <si>
    <t>FEC_per_building.kWh.EE.Ser.BldNew.Thermal</t>
  </si>
  <si>
    <t>FEC_per_building.kWh.EE.Ser.BldNew.Thermal.SH</t>
  </si>
  <si>
    <t>FEC_per_building.kWh.EE.Ser.BldNew.Thermal.SH.Solids.Solids</t>
  </si>
  <si>
    <t>FEC_per_building.kWh.EE.Ser.BldNew.Thermal.SH.LPG.LPG</t>
  </si>
  <si>
    <t>FEC_per_building.kWh.EE.Ser.BldNew.Thermal.SH.Oil.Oil_LiqBio</t>
  </si>
  <si>
    <t>FEC_per_building.kWh.EE.Ser.BldNew.Thermal.SH.GasHP.NG_Biogas</t>
  </si>
  <si>
    <t>FEC_per_building.kWh.EE.Ser.BldNew.Thermal.SH.GasTH.NG_Biogas</t>
  </si>
  <si>
    <t>FEC_per_building.kWh.EE.Ser.BldNew.Thermal.SH.Biomass.Biomass_Waste</t>
  </si>
  <si>
    <t>FEC_per_building.kWh.EE.Ser.BldNew.Thermal.SH.Geo.Geo</t>
  </si>
  <si>
    <t>FEC_per_building.kWh.EE.Ser.BldNew.Thermal.SH.DistrHeat.Steam_Distr</t>
  </si>
  <si>
    <t>FEC_per_building.kWh.EE.Ser.BldNew.Thermal.SH.AdvElc.Elec</t>
  </si>
  <si>
    <t>FEC_per_building.kWh.EE.Ser.BldNew.Thermal.SH.ConvElc.Elec</t>
  </si>
  <si>
    <t>FEC_per_building.kWh.EE.Ser.BldNew.Thermal.SH.TotalCirculation.Elec</t>
  </si>
  <si>
    <t>FEC_per_building.kWh.EE.Ser.BldNew.Thermal.SC</t>
  </si>
  <si>
    <t>FEC_per_building.kWh.EE.Ser.BldNew.Thermal.SC.GasHP.NG_Biogas</t>
  </si>
  <si>
    <t>FEC_per_building.kWh.EE.Ser.BldNew.Thermal.SC.AC.Elec</t>
  </si>
  <si>
    <t>FEC_per_building.kWh.EE.Ser.BldNew.Thermal.HW</t>
  </si>
  <si>
    <t>FEC_per_building.kWh.EE.Ser.BldNew.Thermal.HW.Solids.Solids</t>
  </si>
  <si>
    <t>FEC_per_building.kWh.EE.Ser.BldNew.Thermal.HW.LPG.LPG</t>
  </si>
  <si>
    <t>FEC_per_building.kWh.EE.Ser.BldNew.Thermal.HW.Oil.Oil_LiqBio</t>
  </si>
  <si>
    <t>FEC_per_building.kWh.EE.Ser.BldNew.Thermal.HW.Gas.NG_Biogas</t>
  </si>
  <si>
    <t>FEC_per_building.kWh.EE.Ser.BldNew.Thermal.HW.Biomass.Biomass_Waste</t>
  </si>
  <si>
    <t>FEC_per_building.kWh.EE.Ser.BldNew.Thermal.HW.DistrHeat.Steam_Distr</t>
  </si>
  <si>
    <t>FEC_per_building.kWh.EE.Ser.BldNew.Thermal.HW.Elc.Elec</t>
  </si>
  <si>
    <t>FEC_per_building.kWh.EE.Ser.BldNew.Thermal.HW.TotalSolar.Solar</t>
  </si>
  <si>
    <t>FEC_per_building.kWh.EE.Ser.BldNew.Thermal.CA</t>
  </si>
  <si>
    <t>FEC_per_building.kWh.EE.Ser.BldNew.Thermal.CA.LPG</t>
  </si>
  <si>
    <t>FEC_per_building.kWh.EE.Ser.BldNew.Thermal.CA.Gas.NG_Biogas</t>
  </si>
  <si>
    <t>FEC_per_building.kWh.EE.Ser.BldNew.Thermal.CA.Biomass.Biomass_Waste</t>
  </si>
  <si>
    <t>FEC_per_building.kWh.EE.Ser.BldNew.Thermal.CA.Elc.Elec</t>
  </si>
  <si>
    <t>EE - Thermal energy service of new and renovated buildings (per building)</t>
  </si>
  <si>
    <t>TES_per_building.kWh.EE.Ser.BldNew.Thermal</t>
  </si>
  <si>
    <t>TES_per_building.kWh.EE.Ser.BldNew.Thermal.SH</t>
  </si>
  <si>
    <t>TES_per_building.kWh.EE.Ser.BldNew.Thermal.SH.Solids.Solids</t>
  </si>
  <si>
    <t>TES_per_building.kWh.EE.Ser.BldNew.Thermal.SH.LPG.LPG</t>
  </si>
  <si>
    <t>TES_per_building.kWh.EE.Ser.BldNew.Thermal.SH.Oil.Oil_LiqBio</t>
  </si>
  <si>
    <t>TES_per_building.kWh.EE.Ser.BldNew.Thermal.SH.GasHP.NG_Biogas</t>
  </si>
  <si>
    <t>TES_per_building.kWh.EE.Ser.BldNew.Thermal.SH.GasTH.NG_Biogas</t>
  </si>
  <si>
    <t>TES_per_building.kWh.EE.Ser.BldNew.Thermal.SH.Biomass.Biomass_Waste</t>
  </si>
  <si>
    <t>TES_per_building.kWh.EE.Ser.BldNew.Thermal.SH.Geo.Geo</t>
  </si>
  <si>
    <t>TES_per_building.kWh.EE.Ser.BldNew.Thermal.SH.DistrHeat.Steam_Distr</t>
  </si>
  <si>
    <t>TES_per_building.kWh.EE.Ser.BldNew.Thermal.SH.AdvElc.Elec</t>
  </si>
  <si>
    <t>TES_per_building.kWh.EE.Ser.BldNew.Thermal.SH.ConvElc.Elec</t>
  </si>
  <si>
    <t>TES_per_building.kWh.EE.Ser.BldNew.Thermal.SH.TotalCirculation.Elec</t>
  </si>
  <si>
    <t>TES_per_building.kWh.EE.Ser.BldNew.Thermal.SC</t>
  </si>
  <si>
    <t>TES_per_building.kWh.EE.Ser.BldNew.Thermal.SC.GasHP.NG_Biogas</t>
  </si>
  <si>
    <t>TES_per_building.kWh.EE.Ser.BldNew.Thermal.SC.AC.Elec</t>
  </si>
  <si>
    <t>TES_per_building.kWh.EE.Ser.BldNew.Thermal.HW</t>
  </si>
  <si>
    <t>TES_per_building.kWh.EE.Ser.BldNew.Thermal.HW.Solids.Solids</t>
  </si>
  <si>
    <t>TES_per_building.kWh.EE.Ser.BldNew.Thermal.HW.LPG.LPG</t>
  </si>
  <si>
    <t>TES_per_building.kWh.EE.Ser.BldNew.Thermal.HW.Oil.Oil_LiqBio</t>
  </si>
  <si>
    <t>TES_per_building.kWh.EE.Ser.BldNew.Thermal.HW.Gas.NG_Biogas</t>
  </si>
  <si>
    <t>TES_per_building.kWh.EE.Ser.BldNew.Thermal.HW.Biomass.Biomass_Waste</t>
  </si>
  <si>
    <t>TES_per_building.kWh.EE.Ser.BldNew.Thermal.HW.DistrHeat.Steam_Distr</t>
  </si>
  <si>
    <t>TES_per_building.kWh.EE.Ser.BldNew.Thermal.HW.Elc.Elec</t>
  </si>
  <si>
    <t>TES_per_building.kWh.EE.Ser.BldNew.Thermal.HW.TotalSolar.Solar</t>
  </si>
  <si>
    <t>TES_per_building.kWh.EE.Ser.BldNew.Thermal.CA</t>
  </si>
  <si>
    <t>TES_per_building.kWh.EE.Ser.BldNew.Thermal.CA.LPG</t>
  </si>
  <si>
    <t>TES_per_building.kWh.EE.Ser.BldNew.Thermal.CA.Gas.NG_Biogas</t>
  </si>
  <si>
    <t>TES_per_building.kWh.EE.Ser.BldNew.Thermal.CA.Biomass.Biomass_Waste</t>
  </si>
  <si>
    <t>TES_per_building.kWh.EE.Ser.BldNew.Thermal.CA.Elc.Elec</t>
  </si>
  <si>
    <t>EE - CO2 emissions in new and renovated buildings (per building)</t>
  </si>
  <si>
    <t>EMI_per_building.kgCO2.EE.Ser.BldNew.Thermal</t>
  </si>
  <si>
    <t>EMI_per_building.kgCO2.EE.Ser.BldNew.Thermal.SH</t>
  </si>
  <si>
    <t>EMI_per_building.kgCO2.EE.Ser.BldNew.Thermal.SH.Solids.Solids</t>
  </si>
  <si>
    <t>EMI_per_building.kgCO2.EE.Ser.BldNew.Thermal.SH.LPG.LPG</t>
  </si>
  <si>
    <t>EMI_per_building.kgCO2.EE.Ser.BldNew.Thermal.SH.Oil.Oil_LiqBio</t>
  </si>
  <si>
    <t>EMI_per_building.kgCO2.EE.Ser.BldNew.Thermal.SH.GasHP.NG_Biogas</t>
  </si>
  <si>
    <t>EMI_per_building.kgCO2.EE.Ser.BldNew.Thermal.SH.GasTH.NG_Biogas</t>
  </si>
  <si>
    <t>EMI_per_building.kgCO2.EE.Ser.BldNew.Thermal.SH.Biomass.Biomass_Waste</t>
  </si>
  <si>
    <t>EMI_per_building.kgCO2.EE.Ser.BldNew.Thermal.SH.Geo.Geo</t>
  </si>
  <si>
    <t>EMI_per_building.kgCO2.EE.Ser.BldNew.Thermal.SH.DistrHeat.Steam_Distr</t>
  </si>
  <si>
    <t>EMI_per_building.kgCO2.EE.Ser.BldNew.Thermal.SH.AdvElc.Elec</t>
  </si>
  <si>
    <t>EMI_per_building.kgCO2.EE.Ser.BldNew.Thermal.SH.ConvElc.Elec</t>
  </si>
  <si>
    <t>EMI_per_building.kgCO2.EE.Ser.BldNew.Thermal.SH.TotalCirculation.Elec</t>
  </si>
  <si>
    <t>EMI_per_building.kgCO2.EE.Ser.BldNew.Thermal.SC</t>
  </si>
  <si>
    <t>EMI_per_building.kgCO2.EE.Ser.BldNew.Thermal.SC.GasHP.NG_Biogas</t>
  </si>
  <si>
    <t>EMI_per_building.kgCO2.EE.Ser.BldNew.Thermal.SC.AC.Elec</t>
  </si>
  <si>
    <t>EMI_per_building.kgCO2.EE.Ser.BldNew.Thermal.HW</t>
  </si>
  <si>
    <t>EMI_per_building.kgCO2.EE.Ser.BldNew.Thermal.HW.Solids.Solids</t>
  </si>
  <si>
    <t>EMI_per_building.kgCO2.EE.Ser.BldNew.Thermal.HW.LPG.LPG</t>
  </si>
  <si>
    <t>EMI_per_building.kgCO2.EE.Ser.BldNew.Thermal.HW.Oil.Oil_LiqBio</t>
  </si>
  <si>
    <t>EMI_per_building.kgCO2.EE.Ser.BldNew.Thermal.HW.Gas.NG_Biogas</t>
  </si>
  <si>
    <t>EMI_per_building.kgCO2.EE.Ser.BldNew.Thermal.HW.Biomass.Biomass_Waste</t>
  </si>
  <si>
    <t>EMI_per_building.kgCO2.EE.Ser.BldNew.Thermal.HW.DistrHeat.Steam_Distr</t>
  </si>
  <si>
    <t>EMI_per_building.kgCO2.EE.Ser.BldNew.Thermal.HW.Elc.Elec</t>
  </si>
  <si>
    <t>EMI_per_building.kgCO2.EE.Ser.BldNew.Thermal.HW.TotalSolar.Solar</t>
  </si>
  <si>
    <t>EMI_per_building.kgCO2.EE.Ser.BldNew.Thermal.CA</t>
  </si>
  <si>
    <t>EMI_per_building.kgCO2.EE.Ser.BldNew.Thermal.CA.LPG</t>
  </si>
  <si>
    <t>EMI_per_building.kgCO2.EE.Ser.BldNew.Thermal.CA.Gas.NG_Biogas</t>
  </si>
  <si>
    <t>EMI_per_building.kgCO2.EE.Ser.BldNew.Thermal.CA.Biomass.Biomass_Waste</t>
  </si>
  <si>
    <t>EMI_per_building.kgCO2.EE.Ser.BldNew.Thermal.CA.Elc.Elec</t>
  </si>
  <si>
    <t>EE - Final energy consumption in new and renovated buildings per surface area</t>
  </si>
  <si>
    <t>FEC_per_sqm.kWh.EE.Ser.BldNew.Thermal</t>
  </si>
  <si>
    <t>FEC_per_sqm.kWh.EE.Ser.BldNew.Thermal.SH</t>
  </si>
  <si>
    <t>FEC_per_sqm.kWh.EE.Ser.BldNew.Thermal.SH.Solids.Solids</t>
  </si>
  <si>
    <t>FEC_per_sqm.kWh.EE.Ser.BldNew.Thermal.SH.LPG.LPG</t>
  </si>
  <si>
    <t>FEC_per_sqm.kWh.EE.Ser.BldNew.Thermal.SH.Oil.Oil_LiqBio</t>
  </si>
  <si>
    <t>FEC_per_sqm.kWh.EE.Ser.BldNew.Thermal.SH.GasHP.NG_Biogas</t>
  </si>
  <si>
    <t>FEC_per_sqm.kWh.EE.Ser.BldNew.Thermal.SH.GasTH.NG_Biogas</t>
  </si>
  <si>
    <t>FEC_per_sqm.kWh.EE.Ser.BldNew.Thermal.SH.Biomass.Biomass_Waste</t>
  </si>
  <si>
    <t>FEC_per_sqm.kWh.EE.Ser.BldNew.Thermal.SH.Geo.Geo</t>
  </si>
  <si>
    <t>FEC_per_sqm.kWh.EE.Ser.BldNew.Thermal.SH.DistrHeat.Steam_Distr</t>
  </si>
  <si>
    <t>FEC_per_sqm.kWh.EE.Ser.BldNew.Thermal.SH.AdvElc.Elec</t>
  </si>
  <si>
    <t>FEC_per_sqm.kWh.EE.Ser.BldNew.Thermal.SH.ConvElc.Elec</t>
  </si>
  <si>
    <t>FEC_per_sqm.kWh.EE.Ser.BldNew.Thermal.SH.TotalCirculation.Elec</t>
  </si>
  <si>
    <t>FEC_per_sqm.kWh.EE.Ser.BldNew.Thermal.SC</t>
  </si>
  <si>
    <t>FEC_per_sqm.kWh.EE.Ser.BldNew.Thermal.SC.GasHP.NG_Biogas</t>
  </si>
  <si>
    <t>FEC_per_sqm.kWh.EE.Ser.BldNew.Thermal.SC.AC.Elec</t>
  </si>
  <si>
    <t>FEC_per_sqm.kWh.EE.Ser.BldNew.Thermal.HW</t>
  </si>
  <si>
    <t>FEC_per_sqm.kWh.EE.Ser.BldNew.Thermal.HW.Solids.Solids</t>
  </si>
  <si>
    <t>FEC_per_sqm.kWh.EE.Ser.BldNew.Thermal.HW.LPG.LPG</t>
  </si>
  <si>
    <t>FEC_per_sqm.kWh.EE.Ser.BldNew.Thermal.HW.Oil.Oil_LiqBio</t>
  </si>
  <si>
    <t>FEC_per_sqm.kWh.EE.Ser.BldNew.Thermal.HW.Gas.NG_Biogas</t>
  </si>
  <si>
    <t>FEC_per_sqm.kWh.EE.Ser.BldNew.Thermal.HW.Biomass.Biomass_Waste</t>
  </si>
  <si>
    <t>FEC_per_sqm.kWh.EE.Ser.BldNew.Thermal.HW.DistrHeat.Steam_Distr</t>
  </si>
  <si>
    <t>FEC_per_sqm.kWh.EE.Ser.BldNew.Thermal.HW.Elc.Elec</t>
  </si>
  <si>
    <t>FEC_per_sqm.kWh.EE.Ser.BldNew.Thermal.HW.TotalSolar.Solar</t>
  </si>
  <si>
    <t>FEC_per_sqm.kWh.EE.Ser.BldNew.Thermal.CA</t>
  </si>
  <si>
    <t>FEC_per_sqm.kWh.EE.Ser.BldNew.Thermal.CA.LPG</t>
  </si>
  <si>
    <t>FEC_per_sqm.kWh.EE.Ser.BldNew.Thermal.CA.Gas.NG_Biogas</t>
  </si>
  <si>
    <t>FEC_per_sqm.kWh.EE.Ser.BldNew.Thermal.CA.Biomass.Biomass_Waste</t>
  </si>
  <si>
    <t>FEC_per_sqm.kWh.EE.Ser.BldNew.Thermal.CA.Elc.Elec</t>
  </si>
  <si>
    <t>EE - Thermal energy service in new and renovated buildings per surface area</t>
  </si>
  <si>
    <t>TES_per_sqm.kWh.EE.Ser.BldNew.Thermal</t>
  </si>
  <si>
    <t>TES_per_sqm.kWh.EE.Ser.BldNew.Thermal.SH</t>
  </si>
  <si>
    <t>TES_per_sqm.kWh.EE.Ser.BldNew.Thermal.SH.Solids.Solids</t>
  </si>
  <si>
    <t>TES_per_sqm.kWh.EE.Ser.BldNew.Thermal.SH.LPG.LPG</t>
  </si>
  <si>
    <t>TES_per_sqm.kWh.EE.Ser.BldNew.Thermal.SH.Oil.Oil_LiqBio</t>
  </si>
  <si>
    <t>TES_per_sqm.kWh.EE.Ser.BldNew.Thermal.SH.GasHP.NG_Biogas</t>
  </si>
  <si>
    <t>TES_per_sqm.kWh.EE.Ser.BldNew.Thermal.SH.GasTH.NG_Biogas</t>
  </si>
  <si>
    <t>TES_per_sqm.kWh.EE.Ser.BldNew.Thermal.SH.Biomass.Biomass_Waste</t>
  </si>
  <si>
    <t>TES_per_sqm.kWh.EE.Ser.BldNew.Thermal.SH.Geo.Geo</t>
  </si>
  <si>
    <t>TES_per_sqm.kWh.EE.Ser.BldNew.Thermal.SH.DistrHeat.Steam_Distr</t>
  </si>
  <si>
    <t>TES_per_sqm.kWh.EE.Ser.BldNew.Thermal.SH.AdvElc.Elec</t>
  </si>
  <si>
    <t>TES_per_sqm.kWh.EE.Ser.BldNew.Thermal.SH.ConvElc.Elec</t>
  </si>
  <si>
    <t>TES_per_sqm.kWh.EE.Ser.BldNew.Thermal.SH.TotalCirculation.Elec</t>
  </si>
  <si>
    <t>TES_per_sqm.kWh.EE.Ser.BldNew.Thermal.SC</t>
  </si>
  <si>
    <t>TES_per_sqm.kWh.EE.Ser.BldNew.Thermal.SC.GasHP.NG_Biogas</t>
  </si>
  <si>
    <t>TES_per_sqm.kWh.EE.Ser.BldNew.Thermal.SC.AC.Elec</t>
  </si>
  <si>
    <t>TES_per_sqm.kWh.EE.Ser.BldNew.Thermal.HW</t>
  </si>
  <si>
    <t>TES_per_sqm.kWh.EE.Ser.BldNew.Thermal.HW.Solids.Solids</t>
  </si>
  <si>
    <t>TES_per_sqm.kWh.EE.Ser.BldNew.Thermal.HW.LPG.LPG</t>
  </si>
  <si>
    <t>TES_per_sqm.kWh.EE.Ser.BldNew.Thermal.HW.Oil.Oil_LiqBio</t>
  </si>
  <si>
    <t>TES_per_sqm.kWh.EE.Ser.BldNew.Thermal.HW.Gas.NG_Biogas</t>
  </si>
  <si>
    <t>TES_per_sqm.kWh.EE.Ser.BldNew.Thermal.HW.Biomass.Biomass_Waste</t>
  </si>
  <si>
    <t>TES_per_sqm.kWh.EE.Ser.BldNew.Thermal.HW.DistrHeat.Steam_Distr</t>
  </si>
  <si>
    <t>TES_per_sqm.kWh.EE.Ser.BldNew.Thermal.HW.Elc.Elec</t>
  </si>
  <si>
    <t>TES_per_sqm.kWh.EE.Ser.BldNew.Thermal.HW.TotalSolar.Solar</t>
  </si>
  <si>
    <t>TES_per_sqm.kWh.EE.Ser.BldNew.Thermal.CA</t>
  </si>
  <si>
    <t>TES_per_sqm.kWh.EE.Ser.BldNew.Thermal.CA.LPG</t>
  </si>
  <si>
    <t>TES_per_sqm.kWh.EE.Ser.BldNew.Thermal.CA.Gas.NG_Biogas</t>
  </si>
  <si>
    <t>TES_per_sqm.kWh.EE.Ser.BldNew.Thermal.CA.Biomass.Biomass_Waste</t>
  </si>
  <si>
    <t>TES_per_sqm.kWh.EE.Ser.BldNew.Thermal.CA.Elc.Elec</t>
  </si>
  <si>
    <t>EE - CO2 emissions in new and renovated buildings per surface area</t>
  </si>
  <si>
    <t>EMI_per_sqm.kgCO2.EE.Ser.BldNew.Thermal</t>
  </si>
  <si>
    <t>EMI_per_sqm.kgCO2.EE.Ser.BldNew.Thermal.SH</t>
  </si>
  <si>
    <t>EMI_per_sqm.kgCO2.EE.Ser.BldNew.Thermal.SH.Solids.Solids</t>
  </si>
  <si>
    <t>EMI_per_sqm.kgCO2.EE.Ser.BldNew.Thermal.SH.LPG.LPG</t>
  </si>
  <si>
    <t>EMI_per_sqm.kgCO2.EE.Ser.BldNew.Thermal.SH.Oil.Oil_LiqBio</t>
  </si>
  <si>
    <t>EMI_per_sqm.kgCO2.EE.Ser.BldNew.Thermal.SH.GasHP.NG_Biogas</t>
  </si>
  <si>
    <t>EMI_per_sqm.kgCO2.EE.Ser.BldNew.Thermal.SH.GasTH.NG_Biogas</t>
  </si>
  <si>
    <t>EMI_per_sqm.kgCO2.EE.Ser.BldNew.Thermal.SH.Biomass.Biomass_Waste</t>
  </si>
  <si>
    <t>EMI_per_sqm.kgCO2.EE.Ser.BldNew.Thermal.SH.Geo.Geo</t>
  </si>
  <si>
    <t>EMI_per_sqm.kgCO2.EE.Ser.BldNew.Thermal.SH.DistrHeat.Steam_Distr</t>
  </si>
  <si>
    <t>EMI_per_sqm.kgCO2.EE.Ser.BldNew.Thermal.SH.AdvElc.Elec</t>
  </si>
  <si>
    <t>EMI_per_sqm.kgCO2.EE.Ser.BldNew.Thermal.SH.ConvElc.Elec</t>
  </si>
  <si>
    <t>EMI_per_sqm.kgCO2.EE.Ser.BldNew.Thermal.SH.TotalCirculation.Elec</t>
  </si>
  <si>
    <t>EMI_per_sqm.kgCO2.EE.Ser.BldNew.Thermal.SC</t>
  </si>
  <si>
    <t>EMI_per_sqm.kgCO2.EE.Ser.BldNew.Thermal.SC.GasHP.NG_Biogas</t>
  </si>
  <si>
    <t>EMI_per_sqm.kgCO2.EE.Ser.BldNew.Thermal.SC.AC.Elec</t>
  </si>
  <si>
    <t>EMI_per_sqm.kgCO2.EE.Ser.BldNew.Thermal.HW</t>
  </si>
  <si>
    <t>EMI_per_sqm.kgCO2.EE.Ser.BldNew.Thermal.HW.Solids.Solids</t>
  </si>
  <si>
    <t>EMI_per_sqm.kgCO2.EE.Ser.BldNew.Thermal.HW.LPG.LPG</t>
  </si>
  <si>
    <t>EMI_per_sqm.kgCO2.EE.Ser.BldNew.Thermal.HW.Oil.Oil_LiqBio</t>
  </si>
  <si>
    <t>EMI_per_sqm.kgCO2.EE.Ser.BldNew.Thermal.HW.Gas.NG_Biogas</t>
  </si>
  <si>
    <t>EMI_per_sqm.kgCO2.EE.Ser.BldNew.Thermal.HW.Biomass.Biomass_Waste</t>
  </si>
  <si>
    <t>EMI_per_sqm.kgCO2.EE.Ser.BldNew.Thermal.HW.DistrHeat.Steam_Distr</t>
  </si>
  <si>
    <t>EMI_per_sqm.kgCO2.EE.Ser.BldNew.Thermal.HW.Elc.Elec</t>
  </si>
  <si>
    <t>EMI_per_sqm.kgCO2.EE.Ser.BldNew.Thermal.HW.TotalSolar.Solar</t>
  </si>
  <si>
    <t>EMI_per_sqm.kgCO2.EE.Ser.BldNew.Thermal.CA</t>
  </si>
  <si>
    <t>EMI_per_sqm.kgCO2.EE.Ser.BldNew.Thermal.CA.LPG</t>
  </si>
  <si>
    <t>EMI_per_sqm.kgCO2.EE.Ser.BldNew.Thermal.CA.Gas.NG_Biogas</t>
  </si>
  <si>
    <t>EMI_per_sqm.kgCO2.EE.Ser.BldNew.Thermal.CA.Biomass.Biomass_Waste</t>
  </si>
  <si>
    <t>EMI_per_sqm.kgCO2.EE.Ser.BldNew.Thermal.CA.Elc.Elec</t>
  </si>
  <si>
    <t>FEC.ktoe.EE.Ser.SEU.VE</t>
  </si>
  <si>
    <t>FEC.ktoe.EE.Ser.SEU.SL</t>
  </si>
  <si>
    <t>FEC.ktoe.EE.Ser.SEU.BL</t>
  </si>
  <si>
    <t>FEC.ktoe.EE.Ser.SEU.CR</t>
  </si>
  <si>
    <t>FEC.ktoe.EE.Ser.SEU.BT</t>
  </si>
  <si>
    <t>FEC.ktoe.EE.Ser.SEU.IT</t>
  </si>
  <si>
    <t>Size.MW.EE.Ser.SEU</t>
  </si>
  <si>
    <t>Size.MW.EE.Ser.SEU.VE</t>
  </si>
  <si>
    <t>Size.MW.EE.Ser.SEU.SL</t>
  </si>
  <si>
    <t>Size.MW.EE.Ser.SEU.BL</t>
  </si>
  <si>
    <t>Size.MW.EE.Ser.SEU.CR</t>
  </si>
  <si>
    <t>Size.MW.EE.Ser.SEU.BT</t>
  </si>
  <si>
    <t>Size.MW.EE.Ser.SEU.IT</t>
  </si>
  <si>
    <t>NUM.Msqm.EE.Ser.SEU.VE</t>
  </si>
  <si>
    <t>NUM.k.EE.Ser.SEU.SL</t>
  </si>
  <si>
    <t>NUM.M.EE.Ser.SEU.BL</t>
  </si>
  <si>
    <t>NUM.k.EE.Ser.SEU.CR</t>
  </si>
  <si>
    <t>NUM.Msqm.EE.Ser.SEU.BT</t>
  </si>
  <si>
    <t>NUM.k.EE.Ser.SEU.IT</t>
  </si>
  <si>
    <t>NUM.Msqm.EE.Ser.SEUnew.VE</t>
  </si>
  <si>
    <t>NUM.k.EE.Ser.SEUnew.SL</t>
  </si>
  <si>
    <t>NUM.M.EE.Ser.SEUnew.BL</t>
  </si>
  <si>
    <t>NUM.k.EE.Ser.SEUnew.CR</t>
  </si>
  <si>
    <t>NUM.Msqm.EE.Ser.SEUnew.BT</t>
  </si>
  <si>
    <t>NUM.k.EE.Ser.SEUnew.IT</t>
  </si>
  <si>
    <t>NUM.Msqm.EE.Ser.SEUrepl.VE</t>
  </si>
  <si>
    <t>NUM.k.EE.Ser.SEUrepl.SL</t>
  </si>
  <si>
    <t>NUM.M.EE.Ser.SEUrepl.BL</t>
  </si>
  <si>
    <t>NUM.k.EE.Ser.SEUrepl.CR</t>
  </si>
  <si>
    <t>NUM.Msqm.EE.Ser.SEUrepl.BT</t>
  </si>
  <si>
    <t>NUM.k.EE.Ser.SEUrepl.IT</t>
  </si>
  <si>
    <t>Op.hours.EE.Ser.SEU.VE</t>
  </si>
  <si>
    <t>Op.hours.EE.Ser.SEU.SL</t>
  </si>
  <si>
    <t>Op.hours.EE.Ser.SEU.BL</t>
  </si>
  <si>
    <t>Op.hours.EE.Ser.SEU.CR</t>
  </si>
  <si>
    <t>Op.hours.EE.Ser.SEU.BT</t>
  </si>
  <si>
    <t>Op.hours.EE.Ser.SEU.IT</t>
  </si>
  <si>
    <t>Size_per_appl.W.EE.Ser.SEU.VE</t>
  </si>
  <si>
    <t>Size_per_appl.W.EE.Ser.SEU.SL</t>
  </si>
  <si>
    <t>Size_per_appl.W.EE.Ser.SEU.BL</t>
  </si>
  <si>
    <t>Size_per_appl.W.EE.Ser.SEU.CR</t>
  </si>
  <si>
    <t>Size_per_appl.W.EE.Ser.SEU.BT</t>
  </si>
  <si>
    <t>Size_per_appl.W.EE.Ser.SEU.IT</t>
  </si>
  <si>
    <t>Size_per_appl.W.EE.Ser.SEUnew.VE</t>
  </si>
  <si>
    <t>Size_per_appl.W.EE.Ser.SEUnew.SL</t>
  </si>
  <si>
    <t>Size_per_appl.W.EE.Ser.SEUnew.BL</t>
  </si>
  <si>
    <t>Size_per_appl.W.EE.Ser.SEUnew.CR</t>
  </si>
  <si>
    <t>Size_per_appl.W.EE.Ser.SEUnew.BT</t>
  </si>
  <si>
    <t>Size_per_appl.W.EE.Ser.SEUnew.IT</t>
  </si>
  <si>
    <t>NUM.sqm_per_building.EE.Ser.SEU.VE</t>
  </si>
  <si>
    <t>NUM.number_per_capita.EE.Ser.SEU.SL</t>
  </si>
  <si>
    <t>NUM.number_per_building.EE.Ser.SEU.BL</t>
  </si>
  <si>
    <t>NUM.number_per_capita.EE.Ser.SEU.CR</t>
  </si>
  <si>
    <t>NUM.sqm_per_building.EE.Ser.SEU.BT</t>
  </si>
  <si>
    <t>NUM.number_per_capita.EE.Ser.SEU.IT</t>
  </si>
  <si>
    <t>Lumens_per_sqm.lumen.EE.Ser.SEU.BL</t>
  </si>
  <si>
    <t>FEC.ktoe.EE.Ser.SEU.IT.DataCenters</t>
  </si>
  <si>
    <t>EE - Services / specific electric uses</t>
  </si>
  <si>
    <t>EE - Ventilation and others</t>
  </si>
  <si>
    <t>EE - Street lighting</t>
  </si>
  <si>
    <t>EE - Building lighting</t>
  </si>
  <si>
    <t>EE - Commercial refrigeration</t>
  </si>
  <si>
    <t>EE - Miscellaneous building technologies</t>
  </si>
  <si>
    <t>EE - ICT and multimedia</t>
  </si>
  <si>
    <t>EE - Agriculture, forestry and fishing</t>
  </si>
  <si>
    <t>VA.Meuro2015.Meuro2023.EE.AGR.AGR</t>
  </si>
  <si>
    <t>OUTPUT.index.index.EE.AGR.AGR</t>
  </si>
  <si>
    <t>CAP.index.index.EE.AGR.AGR</t>
  </si>
  <si>
    <t>NEWCAP.index.index.EE.AGR.AGR</t>
  </si>
  <si>
    <t>CAPOUT.index.EE.AGR.AGR</t>
  </si>
  <si>
    <t>CAPIDLE.index.EE.AGR.AGR</t>
  </si>
  <si>
    <t>FEC.ktoe.EE.ES.AGR</t>
  </si>
  <si>
    <t>FEC.ktoe.EE.ES.AGR.Solids</t>
  </si>
  <si>
    <t>FEC.ktoe.EE.ES.AGR.LPG</t>
  </si>
  <si>
    <t>FEC.ktoe.EE.ES.AGR.Diesel</t>
  </si>
  <si>
    <t>FEC.ktoe.EE.ES.AGR.RFO</t>
  </si>
  <si>
    <t>FEC.ktoe.EE.ES.AGR.NG</t>
  </si>
  <si>
    <t>FEC.ktoe.EE.ES.AGR.Biomass_Waste</t>
  </si>
  <si>
    <t>FEC.ktoe.EE.ES.AGR.Biogas</t>
  </si>
  <si>
    <t>FEC.ktoe.EE.ES.AGR.LiqBio</t>
  </si>
  <si>
    <t>FEC.ktoe.EE.ES.AGR.Solar</t>
  </si>
  <si>
    <t>FEC.ktoe.EE.ES.AGR.Geo</t>
  </si>
  <si>
    <t>FEC.ktoe.EE.ES.AGR.Ambient</t>
  </si>
  <si>
    <t>FEC.ktoe.EE.ES.AGR.Steam_Distr</t>
  </si>
  <si>
    <t>FEC.ktoe.EE.ES.AGR.Elec</t>
  </si>
  <si>
    <t>EE - Agriculture, forestry and fishing / final energy consumption</t>
  </si>
  <si>
    <t>FEC.ktoe.ktoe.EE.AGR.AGR.LIGHT.GENERIC.ELEC</t>
  </si>
  <si>
    <t>FEC.ktoe.ktoe.EE.AGR.AGR.FANS.GENERIC.ELEC</t>
  </si>
  <si>
    <t>FEC.ktoe.ktoe.EE.AGR.AGR.MOTOR.GENERIC.ELEC</t>
  </si>
  <si>
    <t>FEC.ktoe.ktoe.EE.AGR.AGR.LOW_ENTH.THERM.DIESEL_LIQBIO</t>
  </si>
  <si>
    <t>FEC.ktoe.ktoe.EE.AGR.AGR.LOW_ENTH.THERM.NG_BIOGAS</t>
  </si>
  <si>
    <t>FEC.ktoe.ktoe.EE.AGR.AGR.LOW_ENTH.THERM.SOLAR_GEO</t>
  </si>
  <si>
    <t>FEC.ktoe.ktoe.EE.AGR.AGR.LOW_ENTH.HP.AMBIENT</t>
  </si>
  <si>
    <t>FEC.ktoe.ktoe.EE.AGR.AGR.LOW_ENTH.THERM.STEAM_DISTR</t>
  </si>
  <si>
    <t>FEC.ktoe.ktoe.EE.AGR.AGR.LOW_ENTH.THERM.ELEC</t>
  </si>
  <si>
    <t>FEC.ktoe.ktoe.EE.AGR.AGR.FARM_DRIVES.MECH.DIESEL_LIQBIO</t>
  </si>
  <si>
    <t>FEC.ktoe.ktoe.EE.AGR.AGR.HEAT_USE.THERM.SOLIDS</t>
  </si>
  <si>
    <t>FEC.ktoe.ktoe.EE.AGR.AGR.HEAT_USE.THERM.LPG</t>
  </si>
  <si>
    <t>FEC.ktoe.ktoe.EE.AGR.AGR.HEAT_USE.THERM.DIESEL_LIQBIO</t>
  </si>
  <si>
    <t>FEC.ktoe.ktoe.EE.AGR.AGR.HEAT_USE.THERM.RFO</t>
  </si>
  <si>
    <t>FEC.ktoe.ktoe.EE.AGR.AGR.HEAT_USE.THERM.NG_BIOGAS</t>
  </si>
  <si>
    <t>FEC.ktoe.ktoe.EE.AGR.AGR.HEAT_USE.THERM.BIOMASS_WASTE</t>
  </si>
  <si>
    <t>FEC.ktoe.ktoe.EE.AGR.AGR.HEAT_USE.THERM.SOLAR_GEO</t>
  </si>
  <si>
    <t>FEC.ktoe.ktoe.EE.AGR.AGR.FARM_PUMP.MECH.DIESEL_LIQBIO</t>
  </si>
  <si>
    <t>FEC.ktoe.ktoe.EE.AGR.AGR.FARM_PUMP_ELEC.MECH.ELEC</t>
  </si>
  <si>
    <t>FEC.ktoe.ktoe.EE.AGR.AGR.GENERIC.MECH.ELEC</t>
  </si>
  <si>
    <t>EE - Agriculture, forestry and fishing / useful energy demand</t>
  </si>
  <si>
    <t>UED.ktoe.ktoe.EE.AGR.AGR.LIGHT.GENERIC.ELEC</t>
  </si>
  <si>
    <t>UED.ktoe.ktoe.EE.AGR.AGR.FANS.GENERIC.ELEC</t>
  </si>
  <si>
    <t>UED.ktoe.ktoe.EE.AGR.AGR.MOTOR.GENERIC.ELEC</t>
  </si>
  <si>
    <t>UED.ktoe.ktoe.EE.AGR.AGR.LOW_ENTH.THERM.DIESEL_LIQBIO</t>
  </si>
  <si>
    <t>UED.ktoe.ktoe.EE.AGR.AGR.LOW_ENTH.THERM.NG_BIOGAS</t>
  </si>
  <si>
    <t>UED.ktoe.ktoe.EE.AGR.AGR.LOW_ENTH.THERM.SOLAR_GEO</t>
  </si>
  <si>
    <t>UED.ktoe.ktoe.EE.AGR.AGR.LOW_ENTH.HP.AMBIENT</t>
  </si>
  <si>
    <t>UED.ktoe.ktoe.EE.AGR.AGR.LOW_ENTH.THERM.STEAM_DISTR</t>
  </si>
  <si>
    <t>UED.ktoe.ktoe.EE.AGR.AGR.LOW_ENTH.THERM.ELEC</t>
  </si>
  <si>
    <t>UED.ktoe.ktoe.EE.AGR.AGR.FARM_DRIVES.MECH.DIESEL_LIQBIO</t>
  </si>
  <si>
    <t>UED.ktoe.ktoe.EE.AGR.AGR.HEAT_USE.THERM.SOLIDS</t>
  </si>
  <si>
    <t>UED.ktoe.ktoe.EE.AGR.AGR.HEAT_USE.THERM.LPG</t>
  </si>
  <si>
    <t>UED.ktoe.ktoe.EE.AGR.AGR.HEAT_USE.THERM.DIESEL_LIQBIO</t>
  </si>
  <si>
    <t>UED.ktoe.ktoe.EE.AGR.AGR.HEAT_USE.THERM.RFO</t>
  </si>
  <si>
    <t>UED.ktoe.ktoe.EE.AGR.AGR.HEAT_USE.THERM.NG_BIOGAS</t>
  </si>
  <si>
    <t>UED.ktoe.ktoe.EE.AGR.AGR.HEAT_USE.THERM.BIOMASS_WASTE</t>
  </si>
  <si>
    <t>UED.ktoe.ktoe.EE.AGR.AGR.HEAT_USE.THERM.SOLAR_GEO</t>
  </si>
  <si>
    <t>UED.ktoe.ktoe.EE.AGR.AGR.FARM_PUMP.MECH.DIESEL_LIQBIO</t>
  </si>
  <si>
    <t>UED.ktoe.ktoe.EE.AGR.AGR.FARM_PUMP_ELEC.MECH.ELEC</t>
  </si>
  <si>
    <t>UED.ktoe.ktoe.EE.AGR.AGR.GENERIC.MECH.ELEC</t>
  </si>
  <si>
    <t>EE - Agriculture, forestry and fishing / CO2 emissions</t>
  </si>
  <si>
    <t>FUEL_EMI.ktCO2.ktCO2.EE.AGR.AGR.LIGHT.GENERIC.ELEC</t>
  </si>
  <si>
    <t>FUEL_EMI.ktCO2.ktCO2.EE.AGR.AGR.FANS.GENERIC.ELEC</t>
  </si>
  <si>
    <t>FUEL_EMI.ktCO2.ktCO2.EE.AGR.AGR.MOTOR.GENERIC.ELEC</t>
  </si>
  <si>
    <t>FUEL_EMI.ktCO2.ktCO2.EE.AGR.AGR.LOW_ENTH.THERM.DIESEL_LIQBIO</t>
  </si>
  <si>
    <t>FUEL_EMI.ktCO2.ktCO2.EE.AGR.AGR.LOW_ENTH.THERM.NG_BIOGAS</t>
  </si>
  <si>
    <t>FUEL_EMI.ktCO2.ktCO2.EE.AGR.AGR.LOW_ENTH.THERM.SOLAR_GEO</t>
  </si>
  <si>
    <t>FUEL_EMI.ktCO2.ktCO2.EE.AGR.AGR.LOW_ENTH.HP.AMBIENT</t>
  </si>
  <si>
    <t>FUEL_EMI.ktCO2.ktCO2.EE.AGR.AGR.LOW_ENTH.THERM.STEAM_DISTR</t>
  </si>
  <si>
    <t>FUEL_EMI.ktCO2.ktCO2.EE.AGR.AGR.LOW_ENTH.THERM.ELEC</t>
  </si>
  <si>
    <t>FUEL_EMI.ktCO2.ktCO2.EE.AGR.AGR.FARM_DRIVES.MECH.DIESEL_LIQBIO</t>
  </si>
  <si>
    <t>FUEL_EMI.ktCO2.ktCO2.EE.AGR.AGR.HEAT_USE.THERM.SOLIDS</t>
  </si>
  <si>
    <t>FUEL_EMI.ktCO2.ktCO2.EE.AGR.AGR.HEAT_USE.THERM.LPG</t>
  </si>
  <si>
    <t>FUEL_EMI.ktCO2.ktCO2.EE.AGR.AGR.HEAT_USE.THERM.DIESEL_LIQBIO</t>
  </si>
  <si>
    <t>FUEL_EMI.ktCO2.ktCO2.EE.AGR.AGR.HEAT_USE.THERM.RFO</t>
  </si>
  <si>
    <t>FUEL_EMI.ktCO2.ktCO2.EE.AGR.AGR.HEAT_USE.THERM.NG_BIOGAS</t>
  </si>
  <si>
    <t>FUEL_EMI.ktCO2.ktCO2.EE.AGR.AGR.HEAT_USE.THERM.BIOMASS_WASTE</t>
  </si>
  <si>
    <t>FUEL_EMI.ktCO2.ktCO2.EE.AGR.AGR.HEAT_USE.THERM.SOLAR_GEO</t>
  </si>
  <si>
    <t>FUEL_EMI.ktCO2.ktCO2.EE.AGR.AGR.FARM_PUMP.MECH.DIESEL_LIQBIO</t>
  </si>
  <si>
    <t>FUEL_EMI.ktCO2.ktCO2.EE.AGR.AGR.FARM_PUMP_ELEC.MECH.ELEC</t>
  </si>
  <si>
    <t>FUEL_EMI.ktCO2.ktCO2.EE.AGR.AGR.GENERIC.MECH.ELEC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</si>
</sst>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45967.473923611113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1401250</v>
      </c>
      <c r="C3" s="34">
        <v>1392720</v>
      </c>
      <c r="D3" s="34">
        <v>1383510</v>
      </c>
      <c r="E3" s="34">
        <v>1375190</v>
      </c>
      <c r="F3" s="34">
        <v>1366250</v>
      </c>
      <c r="G3" s="34">
        <v>1358850</v>
      </c>
      <c r="H3" s="34">
        <v>1350700</v>
      </c>
      <c r="I3" s="34">
        <v>1342920</v>
      </c>
      <c r="J3" s="34">
        <v>1338440</v>
      </c>
      <c r="K3" s="34">
        <v>1335740</v>
      </c>
      <c r="L3" s="34">
        <v>1333290</v>
      </c>
      <c r="M3" s="34">
        <v>1329660</v>
      </c>
      <c r="N3" s="34">
        <v>1325217</v>
      </c>
      <c r="O3" s="34">
        <v>1320174</v>
      </c>
      <c r="P3" s="34">
        <v>1315819</v>
      </c>
      <c r="Q3" s="34">
        <v>1314870</v>
      </c>
      <c r="R3" s="34">
        <v>1315944</v>
      </c>
      <c r="S3" s="34">
        <v>1315635</v>
      </c>
      <c r="T3" s="34">
        <v>1319133</v>
      </c>
      <c r="U3" s="34">
        <v>1324820</v>
      </c>
      <c r="V3" s="34">
        <v>1328976</v>
      </c>
      <c r="W3" s="34">
        <v>1330068</v>
      </c>
      <c r="X3" s="34">
        <v>1331796</v>
      </c>
      <c r="Y3" s="34">
        <v>1365884</v>
      </c>
      <c r="DA3" s="88" t="s">
        <v>188</v>
      </c>
    </row>
    <row r="4" spans="1:105" ht="12" customHeight="1" x14ac:dyDescent="0.25">
      <c r="A4" s="35" t="s">
        <v>178</v>
      </c>
      <c r="B4" s="36">
        <v>19440.735291835947</v>
      </c>
      <c r="C4" s="36">
        <v>20583.974660858268</v>
      </c>
      <c r="D4" s="36">
        <v>22011.347265368629</v>
      </c>
      <c r="E4" s="36">
        <v>23682.980321482471</v>
      </c>
      <c r="F4" s="36">
        <v>25293.719548090787</v>
      </c>
      <c r="G4" s="36">
        <v>27702.439061906567</v>
      </c>
      <c r="H4" s="36">
        <v>30407.0080678419</v>
      </c>
      <c r="I4" s="36">
        <v>32709.006327706986</v>
      </c>
      <c r="J4" s="36">
        <v>31032.69998184701</v>
      </c>
      <c r="K4" s="36">
        <v>26492.406664965798</v>
      </c>
      <c r="L4" s="36">
        <v>27141.615831802017</v>
      </c>
      <c r="M4" s="36">
        <v>29206.332378346604</v>
      </c>
      <c r="N4" s="36">
        <v>30278.688989671031</v>
      </c>
      <c r="O4" s="36">
        <v>30810.401625524915</v>
      </c>
      <c r="P4" s="36">
        <v>31834.376950663562</v>
      </c>
      <c r="Q4" s="36">
        <v>32419.398482000004</v>
      </c>
      <c r="R4" s="36">
        <v>33422.02014857623</v>
      </c>
      <c r="S4" s="36">
        <v>35305.262939089684</v>
      </c>
      <c r="T4" s="36">
        <v>36611.570873420445</v>
      </c>
      <c r="U4" s="36">
        <v>37976.090573377245</v>
      </c>
      <c r="V4" s="36">
        <v>36880.736745742353</v>
      </c>
      <c r="W4" s="36">
        <v>39925.148559112182</v>
      </c>
      <c r="X4" s="36">
        <v>39435.597841346738</v>
      </c>
      <c r="Y4" s="36">
        <v>38353.4</v>
      </c>
      <c r="DA4" s="89" t="s">
        <v>189</v>
      </c>
    </row>
    <row r="5" spans="1:105" ht="12" customHeight="1" x14ac:dyDescent="0.25">
      <c r="A5" s="35" t="s">
        <v>179</v>
      </c>
      <c r="B5" s="36">
        <v>11905.346231363894</v>
      </c>
      <c r="C5" s="36">
        <v>12556.390833010035</v>
      </c>
      <c r="D5" s="36">
        <v>13359.645618345072</v>
      </c>
      <c r="E5" s="36">
        <v>14264.350096459755</v>
      </c>
      <c r="F5" s="36">
        <v>15189.194706104943</v>
      </c>
      <c r="G5" s="36">
        <v>16433.933104872638</v>
      </c>
      <c r="H5" s="36">
        <v>17712.054204633478</v>
      </c>
      <c r="I5" s="36">
        <v>18694.87667549272</v>
      </c>
      <c r="J5" s="36">
        <v>18707.397192031123</v>
      </c>
      <c r="K5" s="36">
        <v>16646.90313444017</v>
      </c>
      <c r="L5" s="36">
        <v>16905.992595818814</v>
      </c>
      <c r="M5" s="36">
        <v>17705.47456880485</v>
      </c>
      <c r="N5" s="36">
        <v>18564.541558954312</v>
      </c>
      <c r="O5" s="36">
        <v>18961.104476312838</v>
      </c>
      <c r="P5" s="36">
        <v>19708.69491482637</v>
      </c>
      <c r="Q5" s="36">
        <v>20407.154672000001</v>
      </c>
      <c r="R5" s="36">
        <v>21122.608196674799</v>
      </c>
      <c r="S5" s="36">
        <v>22487.311020635905</v>
      </c>
      <c r="T5" s="36">
        <v>23560.435638998682</v>
      </c>
      <c r="U5" s="36">
        <v>24625.4337432795</v>
      </c>
      <c r="V5" s="36">
        <v>24250.558875384118</v>
      </c>
      <c r="W5" s="36">
        <v>25733.884856620592</v>
      </c>
      <c r="X5" s="36">
        <v>25245.856544214847</v>
      </c>
      <c r="Y5" s="36">
        <v>25473.212692712517</v>
      </c>
      <c r="DA5" s="89" t="s">
        <v>190</v>
      </c>
    </row>
    <row r="6" spans="1:105" ht="12" customHeight="1" x14ac:dyDescent="0.25">
      <c r="A6" s="37" t="s">
        <v>70</v>
      </c>
      <c r="B6" s="38">
        <v>366720</v>
      </c>
      <c r="C6" s="38">
        <v>373090</v>
      </c>
      <c r="D6" s="38">
        <v>378199.99999999994</v>
      </c>
      <c r="E6" s="38">
        <v>377609.99999999994</v>
      </c>
      <c r="F6" s="38">
        <v>380710.00000000006</v>
      </c>
      <c r="G6" s="38">
        <v>389750</v>
      </c>
      <c r="H6" s="38">
        <v>398439.99999999994</v>
      </c>
      <c r="I6" s="38">
        <v>404559.99999999994</v>
      </c>
      <c r="J6" s="38">
        <v>396980</v>
      </c>
      <c r="K6" s="38">
        <v>388700.00000000006</v>
      </c>
      <c r="L6" s="38">
        <v>382840.00000000006</v>
      </c>
      <c r="M6" s="38">
        <v>386750</v>
      </c>
      <c r="N6" s="38">
        <v>397719.99999999994</v>
      </c>
      <c r="O6" s="38">
        <v>407310</v>
      </c>
      <c r="P6" s="38">
        <v>415560</v>
      </c>
      <c r="Q6" s="38">
        <v>423390.00000000006</v>
      </c>
      <c r="R6" s="38">
        <v>432680.00000000006</v>
      </c>
      <c r="S6" s="38">
        <v>442490</v>
      </c>
      <c r="T6" s="38">
        <v>453150</v>
      </c>
      <c r="U6" s="38">
        <v>450110</v>
      </c>
      <c r="V6" s="38">
        <v>451460</v>
      </c>
      <c r="W6" s="38">
        <v>456749.99999999994</v>
      </c>
      <c r="X6" s="38">
        <v>474400.00000000006</v>
      </c>
      <c r="Y6" s="38">
        <v>491690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12898.905851480862</v>
      </c>
      <c r="C8" s="34">
        <v>13343.510041058458</v>
      </c>
      <c r="D8" s="34">
        <v>13820.440223099002</v>
      </c>
      <c r="E8" s="34">
        <v>14346.233302105393</v>
      </c>
      <c r="F8" s="34">
        <v>14723.184232768555</v>
      </c>
      <c r="G8" s="34">
        <v>15456.794435126712</v>
      </c>
      <c r="H8" s="34">
        <v>16361.159342903693</v>
      </c>
      <c r="I8" s="34">
        <v>16906.668653433822</v>
      </c>
      <c r="J8" s="34">
        <v>16586.946820310015</v>
      </c>
      <c r="K8" s="34">
        <v>16397.520237962595</v>
      </c>
      <c r="L8" s="34">
        <v>16445.233714106555</v>
      </c>
      <c r="M8" s="34">
        <v>16877.155969264106</v>
      </c>
      <c r="N8" s="34">
        <v>17145.476844967627</v>
      </c>
      <c r="O8" s="34">
        <v>17225.773692538962</v>
      </c>
      <c r="P8" s="34">
        <v>17418.193143585759</v>
      </c>
      <c r="Q8" s="34">
        <v>17806.585081906949</v>
      </c>
      <c r="R8" s="34">
        <v>17982.194583095028</v>
      </c>
      <c r="S8" s="34">
        <v>18286.833448233243</v>
      </c>
      <c r="T8" s="34">
        <v>18523.242572569929</v>
      </c>
      <c r="U8" s="34">
        <v>18712.403646947041</v>
      </c>
      <c r="V8" s="34">
        <v>18888.884444444444</v>
      </c>
      <c r="W8" s="34">
        <v>19049.91703822479</v>
      </c>
      <c r="X8" s="34">
        <v>19198.98805859284</v>
      </c>
      <c r="Y8" s="34">
        <v>19335.543778754247</v>
      </c>
      <c r="DA8" s="88" t="s">
        <v>192</v>
      </c>
    </row>
    <row r="9" spans="1:105" ht="12" customHeight="1" x14ac:dyDescent="0.25">
      <c r="A9" s="39" t="s">
        <v>68</v>
      </c>
      <c r="B9" s="40">
        <v>11609.015266332775</v>
      </c>
      <c r="C9" s="40">
        <v>12009.159036952613</v>
      </c>
      <c r="D9" s="40">
        <v>12438.396200789102</v>
      </c>
      <c r="E9" s="40">
        <v>12911.609971894854</v>
      </c>
      <c r="F9" s="40">
        <v>13250.865809491701</v>
      </c>
      <c r="G9" s="40">
        <v>13911.11499161404</v>
      </c>
      <c r="H9" s="40">
        <v>14725.043408613325</v>
      </c>
      <c r="I9" s="40">
        <v>15216.001788090442</v>
      </c>
      <c r="J9" s="40">
        <v>14928.252138279015</v>
      </c>
      <c r="K9" s="40">
        <v>14757.768214166335</v>
      </c>
      <c r="L9" s="40">
        <v>14800.710342695897</v>
      </c>
      <c r="M9" s="40">
        <v>15189.440372337696</v>
      </c>
      <c r="N9" s="40">
        <v>15430.929160470863</v>
      </c>
      <c r="O9" s="40">
        <v>15503.196323285065</v>
      </c>
      <c r="P9" s="40">
        <v>15676.373829227183</v>
      </c>
      <c r="Q9" s="40">
        <v>16025.926573716255</v>
      </c>
      <c r="R9" s="40">
        <v>16183.975124785527</v>
      </c>
      <c r="S9" s="40">
        <v>16458.150103409916</v>
      </c>
      <c r="T9" s="40">
        <v>16670.918315312934</v>
      </c>
      <c r="U9" s="40">
        <v>16841.163282252339</v>
      </c>
      <c r="V9" s="40">
        <v>16999.995999999999</v>
      </c>
      <c r="W9" s="40">
        <v>17144.925334402313</v>
      </c>
      <c r="X9" s="40">
        <v>17279.089252733556</v>
      </c>
      <c r="Y9" s="40">
        <v>17401.989400878821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496.06625535343284</v>
      </c>
      <c r="D10" s="41">
        <v>530.09347313127876</v>
      </c>
      <c r="E10" s="41">
        <v>581.08290174075637</v>
      </c>
      <c r="F10" s="41">
        <v>434.36728504116201</v>
      </c>
      <c r="G10" s="41">
        <v>792.30247572232645</v>
      </c>
      <c r="H10" s="41">
        <v>966.03432544223983</v>
      </c>
      <c r="I10" s="41">
        <v>611.0064851539164</v>
      </c>
      <c r="J10" s="41">
        <v>67.623706267417745</v>
      </c>
      <c r="K10" s="41">
        <v>66.347787281240073</v>
      </c>
      <c r="L10" s="41">
        <v>113.21065076774767</v>
      </c>
      <c r="M10" s="41">
        <v>497.84473611006678</v>
      </c>
      <c r="N10" s="41">
        <v>335.94458197093923</v>
      </c>
      <c r="O10" s="41">
        <v>148.77116649620402</v>
      </c>
      <c r="P10" s="41">
        <v>261.319076300392</v>
      </c>
      <c r="Q10" s="41">
        <v>458.14217623223698</v>
      </c>
      <c r="R10" s="41">
        <v>268.83769533419593</v>
      </c>
      <c r="S10" s="41">
        <v>398.78648075650898</v>
      </c>
      <c r="T10" s="41">
        <v>332.15170783529271</v>
      </c>
      <c r="U10" s="41">
        <v>286.14140198219599</v>
      </c>
      <c r="V10" s="41">
        <v>274.45149721963588</v>
      </c>
      <c r="W10" s="41">
        <v>259.92727673555038</v>
      </c>
      <c r="X10" s="41">
        <v>248.80880590849534</v>
      </c>
      <c r="Y10" s="41">
        <v>237.07398224828097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446.45962981808958</v>
      </c>
      <c r="D11" s="42">
        <v>477.08412581815088</v>
      </c>
      <c r="E11" s="42">
        <v>522.97461156668078</v>
      </c>
      <c r="F11" s="42">
        <v>390.93055653704579</v>
      </c>
      <c r="G11" s="42">
        <v>713.07222815009379</v>
      </c>
      <c r="H11" s="42">
        <v>869.43089289801594</v>
      </c>
      <c r="I11" s="42">
        <v>549.90583663852487</v>
      </c>
      <c r="J11" s="42">
        <v>60.861335640675982</v>
      </c>
      <c r="K11" s="42">
        <v>59.713008553116069</v>
      </c>
      <c r="L11" s="42">
        <v>101.88958569097289</v>
      </c>
      <c r="M11" s="42">
        <v>448.06026249906017</v>
      </c>
      <c r="N11" s="42">
        <v>302.35012377384533</v>
      </c>
      <c r="O11" s="42">
        <v>133.89404984658361</v>
      </c>
      <c r="P11" s="42">
        <v>235.1871686703528</v>
      </c>
      <c r="Q11" s="42">
        <v>412.32795860901325</v>
      </c>
      <c r="R11" s="42">
        <v>241.95392580077635</v>
      </c>
      <c r="S11" s="42">
        <v>358.90783268085801</v>
      </c>
      <c r="T11" s="42">
        <v>298.93653705176342</v>
      </c>
      <c r="U11" s="42">
        <v>257.52726178397643</v>
      </c>
      <c r="V11" s="42">
        <v>247.00634749767232</v>
      </c>
      <c r="W11" s="42">
        <v>233.93454906199534</v>
      </c>
      <c r="X11" s="42">
        <v>223.92792531764584</v>
      </c>
      <c r="Y11" s="42">
        <v>213.36658402345287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3904.14</v>
      </c>
      <c r="C13" s="43">
        <v>4356.83</v>
      </c>
      <c r="D13" s="43">
        <v>4277.7</v>
      </c>
      <c r="E13" s="43">
        <v>4436.75</v>
      </c>
      <c r="F13" s="43">
        <v>4338.2</v>
      </c>
      <c r="G13" s="43">
        <v>4331.9399999999996</v>
      </c>
      <c r="H13" s="43">
        <v>4173.78</v>
      </c>
      <c r="I13" s="43">
        <v>4056.17</v>
      </c>
      <c r="J13" s="43">
        <v>3882.35</v>
      </c>
      <c r="K13" s="43">
        <v>4318.1499999999996</v>
      </c>
      <c r="L13" s="43">
        <v>4887.2299999999996</v>
      </c>
      <c r="M13" s="43">
        <v>4084</v>
      </c>
      <c r="N13" s="43">
        <v>4579.62</v>
      </c>
      <c r="O13" s="43">
        <v>4154.32</v>
      </c>
      <c r="P13" s="43">
        <v>4143.17</v>
      </c>
      <c r="Q13" s="43">
        <v>3795.56</v>
      </c>
      <c r="R13" s="43">
        <v>4208.45</v>
      </c>
      <c r="S13" s="43">
        <v>4209.57</v>
      </c>
      <c r="T13" s="43">
        <v>4064.64</v>
      </c>
      <c r="U13" s="43">
        <v>3883.05</v>
      </c>
      <c r="V13" s="43">
        <v>3554.43</v>
      </c>
      <c r="W13" s="43">
        <v>4283.1000000000004</v>
      </c>
      <c r="X13" s="43">
        <v>4116.74</v>
      </c>
      <c r="Y13" s="43">
        <v>3985.22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4173.3357142857139</v>
      </c>
      <c r="C14" s="44">
        <f t="shared" ref="C14:Y14" si="0">AVERAGE($B$13:$V$13)</f>
        <v>4173.3357142857139</v>
      </c>
      <c r="D14" s="44">
        <f t="shared" si="0"/>
        <v>4173.3357142857139</v>
      </c>
      <c r="E14" s="44">
        <f t="shared" si="0"/>
        <v>4173.3357142857139</v>
      </c>
      <c r="F14" s="44">
        <f t="shared" si="0"/>
        <v>4173.3357142857139</v>
      </c>
      <c r="G14" s="44">
        <f t="shared" si="0"/>
        <v>4173.3357142857139</v>
      </c>
      <c r="H14" s="44">
        <f t="shared" si="0"/>
        <v>4173.3357142857139</v>
      </c>
      <c r="I14" s="44">
        <f t="shared" si="0"/>
        <v>4173.3357142857139</v>
      </c>
      <c r="J14" s="44">
        <f t="shared" si="0"/>
        <v>4173.3357142857139</v>
      </c>
      <c r="K14" s="44">
        <f t="shared" si="0"/>
        <v>4173.3357142857139</v>
      </c>
      <c r="L14" s="44">
        <f t="shared" si="0"/>
        <v>4173.3357142857139</v>
      </c>
      <c r="M14" s="44">
        <f t="shared" si="0"/>
        <v>4173.3357142857139</v>
      </c>
      <c r="N14" s="44">
        <f t="shared" si="0"/>
        <v>4173.3357142857139</v>
      </c>
      <c r="O14" s="44">
        <f t="shared" si="0"/>
        <v>4173.3357142857139</v>
      </c>
      <c r="P14" s="44">
        <f t="shared" si="0"/>
        <v>4173.3357142857139</v>
      </c>
      <c r="Q14" s="44">
        <f t="shared" si="0"/>
        <v>4173.3357142857139</v>
      </c>
      <c r="R14" s="44">
        <f t="shared" si="0"/>
        <v>4173.3357142857139</v>
      </c>
      <c r="S14" s="44">
        <f t="shared" si="0"/>
        <v>4173.3357142857139</v>
      </c>
      <c r="T14" s="44">
        <f t="shared" si="0"/>
        <v>4173.3357142857139</v>
      </c>
      <c r="U14" s="44">
        <f t="shared" si="0"/>
        <v>4173.3357142857139</v>
      </c>
      <c r="V14" s="44">
        <f t="shared" si="0"/>
        <v>4173.3357142857139</v>
      </c>
      <c r="W14" s="44">
        <f t="shared" si="0"/>
        <v>4173.3357142857139</v>
      </c>
      <c r="X14" s="44">
        <f t="shared" si="0"/>
        <v>4173.3357142857139</v>
      </c>
      <c r="Y14" s="44">
        <f t="shared" si="0"/>
        <v>4173.3357142857139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0.93549627139646774</v>
      </c>
      <c r="C15" s="46">
        <f t="shared" ref="C15:W15" si="1">C13/C14</f>
        <v>1.043968254239928</v>
      </c>
      <c r="D15" s="46">
        <f t="shared" si="1"/>
        <v>1.0250074024375841</v>
      </c>
      <c r="E15" s="46">
        <f t="shared" si="1"/>
        <v>1.0631184030588756</v>
      </c>
      <c r="F15" s="46">
        <f t="shared" si="1"/>
        <v>1.0395041992787544</v>
      </c>
      <c r="G15" s="46">
        <f t="shared" si="1"/>
        <v>1.0380042001345275</v>
      </c>
      <c r="H15" s="46">
        <f t="shared" si="1"/>
        <v>1.0001064581775114</v>
      </c>
      <c r="I15" s="46">
        <f t="shared" si="1"/>
        <v>0.97192516435122989</v>
      </c>
      <c r="J15" s="46">
        <f t="shared" si="1"/>
        <v>0.93027502836887932</v>
      </c>
      <c r="K15" s="46">
        <f t="shared" si="1"/>
        <v>1.0346998889206476</v>
      </c>
      <c r="L15" s="46">
        <f t="shared" si="1"/>
        <v>1.1710608334887989</v>
      </c>
      <c r="M15" s="46">
        <f t="shared" si="1"/>
        <v>0.97859369089816817</v>
      </c>
      <c r="N15" s="46">
        <f t="shared" si="1"/>
        <v>1.0973524090869415</v>
      </c>
      <c r="O15" s="46">
        <f t="shared" si="1"/>
        <v>0.99544352154066551</v>
      </c>
      <c r="P15" s="46">
        <f t="shared" si="1"/>
        <v>0.99277179782530944</v>
      </c>
      <c r="Q15" s="46">
        <f t="shared" si="1"/>
        <v>0.90947871435490968</v>
      </c>
      <c r="R15" s="46">
        <f t="shared" si="1"/>
        <v>1.0084139614251704</v>
      </c>
      <c r="S15" s="46">
        <f t="shared" si="1"/>
        <v>1.0086823318790896</v>
      </c>
      <c r="T15" s="46">
        <f t="shared" si="1"/>
        <v>0.97395471590899374</v>
      </c>
      <c r="U15" s="46">
        <f t="shared" si="1"/>
        <v>0.93044275990257885</v>
      </c>
      <c r="V15" s="46">
        <f t="shared" si="1"/>
        <v>0.8516999933249696</v>
      </c>
      <c r="W15" s="46">
        <f t="shared" si="1"/>
        <v>1.0263013314118377</v>
      </c>
      <c r="X15" s="46">
        <f t="shared" ref="X15:Y15" si="2">X13/X14</f>
        <v>0.98643873434577001</v>
      </c>
      <c r="Y15" s="46">
        <f t="shared" si="2"/>
        <v>0.95492437532840302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13873.852126198712</v>
      </c>
      <c r="C19" s="34">
        <f t="shared" si="3"/>
        <v>14779.693449407108</v>
      </c>
      <c r="D19" s="34">
        <f t="shared" ref="D19:W19" si="4">D4*1000000/D3</f>
        <v>15909.785448149005</v>
      </c>
      <c r="E19" s="34">
        <f t="shared" si="4"/>
        <v>17221.605975525181</v>
      </c>
      <c r="F19" s="34">
        <f t="shared" si="4"/>
        <v>18513.243951027107</v>
      </c>
      <c r="G19" s="34">
        <f t="shared" si="4"/>
        <v>20386.679222803523</v>
      </c>
      <c r="H19" s="34">
        <f t="shared" si="4"/>
        <v>22512.036771927076</v>
      </c>
      <c r="I19" s="34">
        <f t="shared" si="4"/>
        <v>24356.630571967791</v>
      </c>
      <c r="J19" s="34">
        <f t="shared" si="4"/>
        <v>23185.723664749268</v>
      </c>
      <c r="K19" s="34">
        <f t="shared" si="4"/>
        <v>19833.505521258478</v>
      </c>
      <c r="L19" s="34">
        <f t="shared" si="4"/>
        <v>20356.87347223936</v>
      </c>
      <c r="M19" s="34">
        <f t="shared" si="4"/>
        <v>21965.263584936452</v>
      </c>
      <c r="N19" s="34">
        <f t="shared" si="4"/>
        <v>22848.098831867559</v>
      </c>
      <c r="O19" s="34">
        <f t="shared" si="4"/>
        <v>23338.136961889049</v>
      </c>
      <c r="P19" s="34">
        <f t="shared" si="4"/>
        <v>24193.583578488808</v>
      </c>
      <c r="Q19" s="34">
        <f t="shared" si="4"/>
        <v>24655.972439860976</v>
      </c>
      <c r="R19" s="34">
        <f t="shared" si="4"/>
        <v>25397.752600852491</v>
      </c>
      <c r="S19" s="34">
        <f t="shared" si="4"/>
        <v>26835.150280351074</v>
      </c>
      <c r="T19" s="34">
        <f t="shared" si="4"/>
        <v>27754.268048347247</v>
      </c>
      <c r="U19" s="34">
        <f t="shared" si="4"/>
        <v>28665.09455879081</v>
      </c>
      <c r="V19" s="34">
        <f t="shared" si="4"/>
        <v>27751.243623468261</v>
      </c>
      <c r="W19" s="34">
        <f t="shared" si="4"/>
        <v>30017.373968182215</v>
      </c>
      <c r="X19" s="34">
        <f t="shared" ref="X19:Y19" si="5">X4*1000000/X3</f>
        <v>29610.839679160126</v>
      </c>
      <c r="Y19" s="34">
        <f t="shared" si="5"/>
        <v>28079.544090127711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32464.403990412015</v>
      </c>
      <c r="C20" s="36">
        <f t="shared" si="6"/>
        <v>33655.125661395468</v>
      </c>
      <c r="D20" s="36">
        <f t="shared" ref="D20:W20" si="7">D5*1000000/D6</f>
        <v>35324.287726983275</v>
      </c>
      <c r="E20" s="36">
        <f t="shared" si="7"/>
        <v>37775.350484520422</v>
      </c>
      <c r="F20" s="36">
        <f t="shared" si="7"/>
        <v>39897.020582871322</v>
      </c>
      <c r="G20" s="36">
        <f t="shared" si="7"/>
        <v>42165.31906317547</v>
      </c>
      <c r="H20" s="36">
        <f t="shared" si="7"/>
        <v>44453.504177877418</v>
      </c>
      <c r="I20" s="36">
        <f t="shared" si="7"/>
        <v>46210.393206181347</v>
      </c>
      <c r="J20" s="36">
        <f t="shared" si="7"/>
        <v>47124.281303922427</v>
      </c>
      <c r="K20" s="36">
        <f t="shared" si="7"/>
        <v>42827.124091690683</v>
      </c>
      <c r="L20" s="36">
        <f t="shared" si="7"/>
        <v>44159.420634779046</v>
      </c>
      <c r="M20" s="36">
        <f t="shared" si="7"/>
        <v>45780.154024059084</v>
      </c>
      <c r="N20" s="36">
        <f t="shared" si="7"/>
        <v>46677.415163819554</v>
      </c>
      <c r="O20" s="36">
        <f t="shared" si="7"/>
        <v>46552.022970987295</v>
      </c>
      <c r="P20" s="36">
        <f t="shared" si="7"/>
        <v>47426.833465267038</v>
      </c>
      <c r="Q20" s="36">
        <f t="shared" si="7"/>
        <v>48199.425286378981</v>
      </c>
      <c r="R20" s="36">
        <f t="shared" si="7"/>
        <v>48818.083102234436</v>
      </c>
      <c r="S20" s="36">
        <f t="shared" si="7"/>
        <v>50819.930440543074</v>
      </c>
      <c r="T20" s="36">
        <f t="shared" si="7"/>
        <v>51992.575612928798</v>
      </c>
      <c r="U20" s="36">
        <f t="shared" si="7"/>
        <v>54709.812586433312</v>
      </c>
      <c r="V20" s="36">
        <f t="shared" si="7"/>
        <v>53715.85273420484</v>
      </c>
      <c r="W20" s="36">
        <f t="shared" si="7"/>
        <v>56341.291421172624</v>
      </c>
      <c r="X20" s="36">
        <f t="shared" ref="X20:Y20" si="8">X5*1000000/X6</f>
        <v>53216.392378193181</v>
      </c>
      <c r="Y20" s="36">
        <f t="shared" si="8"/>
        <v>51807.465461393389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8496.2328145326628</v>
      </c>
      <c r="C21" s="36">
        <f t="shared" si="9"/>
        <v>9015.7324035053953</v>
      </c>
      <c r="D21" s="36">
        <f t="shared" ref="D21:W21" si="10">D5*1000000/D3</f>
        <v>9656.341926220317</v>
      </c>
      <c r="E21" s="36">
        <f t="shared" si="10"/>
        <v>10372.639487241584</v>
      </c>
      <c r="F21" s="36">
        <f t="shared" si="10"/>
        <v>11117.434368603801</v>
      </c>
      <c r="G21" s="36">
        <f t="shared" si="10"/>
        <v>12094.000886685535</v>
      </c>
      <c r="H21" s="36">
        <f t="shared" si="10"/>
        <v>13113.240693443013</v>
      </c>
      <c r="I21" s="36">
        <f t="shared" si="10"/>
        <v>13921.065048917822</v>
      </c>
      <c r="J21" s="36">
        <f t="shared" si="10"/>
        <v>13977.015923038107</v>
      </c>
      <c r="K21" s="36">
        <f t="shared" si="10"/>
        <v>12462.682209442084</v>
      </c>
      <c r="L21" s="36">
        <f t="shared" si="10"/>
        <v>12679.906543826784</v>
      </c>
      <c r="M21" s="36">
        <f t="shared" si="10"/>
        <v>13315.79093061749</v>
      </c>
      <c r="N21" s="36">
        <f t="shared" si="10"/>
        <v>14008.680509648089</v>
      </c>
      <c r="O21" s="36">
        <f t="shared" si="10"/>
        <v>14362.579838955195</v>
      </c>
      <c r="P21" s="36">
        <f t="shared" si="10"/>
        <v>14978.272022843848</v>
      </c>
      <c r="Q21" s="36">
        <f t="shared" si="10"/>
        <v>15520.283124567448</v>
      </c>
      <c r="R21" s="36">
        <f t="shared" si="10"/>
        <v>16051.297165133772</v>
      </c>
      <c r="S21" s="36">
        <f t="shared" si="10"/>
        <v>17092.363019101733</v>
      </c>
      <c r="T21" s="36">
        <f t="shared" si="10"/>
        <v>17860.546009385471</v>
      </c>
      <c r="U21" s="36">
        <f t="shared" si="10"/>
        <v>18587.758143203981</v>
      </c>
      <c r="V21" s="36">
        <f t="shared" si="10"/>
        <v>18247.552156987123</v>
      </c>
      <c r="W21" s="36">
        <f t="shared" si="10"/>
        <v>19347.796395838854</v>
      </c>
      <c r="X21" s="36">
        <f t="shared" ref="X21:Y21" si="11">X5*1000000/X3</f>
        <v>18956.248963215723</v>
      </c>
      <c r="Y21" s="36">
        <f t="shared" si="11"/>
        <v>18649.61643354232</v>
      </c>
      <c r="DA21" s="89"/>
    </row>
    <row r="22" spans="1:105" ht="12" customHeight="1" x14ac:dyDescent="0.25">
      <c r="A22" s="51" t="s">
        <v>148</v>
      </c>
      <c r="B22" s="52">
        <v>0.46357025499604976</v>
      </c>
      <c r="C22" s="52">
        <v>0.47964748349758324</v>
      </c>
      <c r="D22" s="52">
        <v>0.50356788658354779</v>
      </c>
      <c r="E22" s="52">
        <v>0.53501087201117981</v>
      </c>
      <c r="F22" s="52">
        <v>0.56042495586995578</v>
      </c>
      <c r="G22" s="52">
        <v>0.59677681871108113</v>
      </c>
      <c r="H22" s="52">
        <v>0.62784110095898815</v>
      </c>
      <c r="I22" s="52">
        <v>0.64670360416728601</v>
      </c>
      <c r="J22" s="52">
        <v>0.64067443038288263</v>
      </c>
      <c r="K22" s="52">
        <v>0.58448059763703097</v>
      </c>
      <c r="L22" s="52">
        <v>0.58585496791161784</v>
      </c>
      <c r="M22" s="52">
        <v>0.60311622535292408</v>
      </c>
      <c r="N22" s="52">
        <v>0.6365171097332103</v>
      </c>
      <c r="O22" s="52">
        <v>0.64884195732067151</v>
      </c>
      <c r="P22" s="52">
        <v>0.66565310552615264</v>
      </c>
      <c r="Q22" s="52">
        <v>0.67846500785651154</v>
      </c>
      <c r="R22" s="52">
        <v>0.69006435808290123</v>
      </c>
      <c r="S22" s="52">
        <v>0.71558729645989128</v>
      </c>
      <c r="T22" s="52">
        <v>0.73196204999792869</v>
      </c>
      <c r="U22" s="52">
        <v>0.7475949939680343</v>
      </c>
      <c r="V22" s="52">
        <v>0.77543193458369253</v>
      </c>
      <c r="W22" s="52">
        <v>0.77472409912175044</v>
      </c>
      <c r="X22" s="52">
        <v>0.73613370815273371</v>
      </c>
      <c r="Y22" s="52">
        <v>0.72254096143960089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28.430318371375556</v>
      </c>
      <c r="C23" s="53">
        <f t="shared" si="12"/>
        <v>27.960409131629437</v>
      </c>
      <c r="D23" s="53">
        <f t="shared" ref="D23:W23" si="13">D6/D8</f>
        <v>27.365264339980261</v>
      </c>
      <c r="E23" s="53">
        <f t="shared" si="13"/>
        <v>26.321194703043307</v>
      </c>
      <c r="F23" s="53">
        <f t="shared" si="13"/>
        <v>25.857857511059017</v>
      </c>
      <c r="G23" s="53">
        <f t="shared" si="13"/>
        <v>25.215448237718956</v>
      </c>
      <c r="H23" s="53">
        <f t="shared" si="13"/>
        <v>24.352797479037747</v>
      </c>
      <c r="I23" s="53">
        <f t="shared" si="13"/>
        <v>23.929019270028217</v>
      </c>
      <c r="J23" s="53">
        <f t="shared" si="13"/>
        <v>23.93327743198132</v>
      </c>
      <c r="K23" s="53">
        <f t="shared" si="13"/>
        <v>23.704803797107331</v>
      </c>
      <c r="L23" s="53">
        <f t="shared" si="13"/>
        <v>23.279693475660597</v>
      </c>
      <c r="M23" s="53">
        <f t="shared" si="13"/>
        <v>22.915590796478458</v>
      </c>
      <c r="N23" s="53">
        <f t="shared" si="13"/>
        <v>23.196788493913182</v>
      </c>
      <c r="O23" s="53">
        <f t="shared" si="13"/>
        <v>23.64538204611495</v>
      </c>
      <c r="P23" s="53">
        <f t="shared" si="13"/>
        <v>23.857813297530793</v>
      </c>
      <c r="Q23" s="53">
        <f t="shared" si="13"/>
        <v>23.777158733832767</v>
      </c>
      <c r="R23" s="53">
        <f t="shared" si="13"/>
        <v>24.061579247216041</v>
      </c>
      <c r="S23" s="53">
        <f t="shared" si="13"/>
        <v>24.197190905282213</v>
      </c>
      <c r="T23" s="53">
        <f t="shared" si="13"/>
        <v>24.463859295944513</v>
      </c>
      <c r="U23" s="53">
        <f t="shared" si="13"/>
        <v>24.054098473524334</v>
      </c>
      <c r="V23" s="53">
        <f t="shared" si="13"/>
        <v>23.900829153136272</v>
      </c>
      <c r="W23" s="53">
        <f t="shared" si="13"/>
        <v>23.976482369109743</v>
      </c>
      <c r="X23" s="53">
        <f t="shared" ref="X23:Y23" si="14">X6/X8</f>
        <v>24.709635661639684</v>
      </c>
      <c r="Y23" s="53">
        <f t="shared" si="14"/>
        <v>25.429333957510178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8.2847566575077796</v>
      </c>
      <c r="C24" s="54">
        <f t="shared" si="15"/>
        <v>8.6228093492967819</v>
      </c>
      <c r="D24" s="54">
        <f t="shared" ref="D24:W24" si="16">D9*1000/D3</f>
        <v>8.9904635317338517</v>
      </c>
      <c r="E24" s="54">
        <f t="shared" si="16"/>
        <v>9.3889644135681998</v>
      </c>
      <c r="F24" s="54">
        <f t="shared" si="16"/>
        <v>9.6987123948704124</v>
      </c>
      <c r="G24" s="54">
        <f t="shared" si="16"/>
        <v>10.237417663181397</v>
      </c>
      <c r="H24" s="54">
        <f t="shared" si="16"/>
        <v>10.901786783603557</v>
      </c>
      <c r="I24" s="54">
        <f t="shared" si="16"/>
        <v>11.330534795885415</v>
      </c>
      <c r="J24" s="54">
        <f t="shared" si="16"/>
        <v>11.153471308597334</v>
      </c>
      <c r="K24" s="54">
        <f t="shared" si="16"/>
        <v>11.048383827815545</v>
      </c>
      <c r="L24" s="54">
        <f t="shared" si="16"/>
        <v>11.100893536061845</v>
      </c>
      <c r="M24" s="54">
        <f t="shared" si="16"/>
        <v>11.42355216546914</v>
      </c>
      <c r="N24" s="54">
        <f t="shared" si="16"/>
        <v>11.644077279774455</v>
      </c>
      <c r="O24" s="54">
        <f t="shared" si="16"/>
        <v>11.743297719304474</v>
      </c>
      <c r="P24" s="54">
        <f t="shared" si="16"/>
        <v>11.913776765062051</v>
      </c>
      <c r="Q24" s="54">
        <f t="shared" si="16"/>
        <v>12.188221325086324</v>
      </c>
      <c r="R24" s="54">
        <f t="shared" si="16"/>
        <v>12.298376773468725</v>
      </c>
      <c r="S24" s="54">
        <f t="shared" si="16"/>
        <v>12.509662712994041</v>
      </c>
      <c r="T24" s="54">
        <f t="shared" si="16"/>
        <v>12.637784298712059</v>
      </c>
      <c r="U24" s="54">
        <f t="shared" si="16"/>
        <v>12.712038829616354</v>
      </c>
      <c r="V24" s="54">
        <f t="shared" si="16"/>
        <v>12.791800604375098</v>
      </c>
      <c r="W24" s="54">
        <f t="shared" si="16"/>
        <v>12.890262253059475</v>
      </c>
      <c r="X24" s="54">
        <f t="shared" ref="X24:Y24" si="17">X9*1000/X3</f>
        <v>12.974276280101122</v>
      </c>
      <c r="Y24" s="54">
        <f t="shared" si="17"/>
        <v>12.740459219727898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31.656346166919654</v>
      </c>
      <c r="C25" s="54">
        <f t="shared" si="18"/>
        <v>32.188370197412453</v>
      </c>
      <c r="D25" s="54">
        <f t="shared" ref="D25:W25" si="19">D9*1000/D6</f>
        <v>32.888408780510588</v>
      </c>
      <c r="E25" s="54">
        <f t="shared" si="19"/>
        <v>34.192976806479848</v>
      </c>
      <c r="F25" s="54">
        <f t="shared" si="19"/>
        <v>34.805667856089144</v>
      </c>
      <c r="G25" s="54">
        <f t="shared" si="19"/>
        <v>35.692405366553018</v>
      </c>
      <c r="H25" s="54">
        <f t="shared" si="19"/>
        <v>36.956739806779758</v>
      </c>
      <c r="I25" s="54">
        <f t="shared" si="19"/>
        <v>37.611236375544898</v>
      </c>
      <c r="J25" s="54">
        <f t="shared" si="19"/>
        <v>37.604544657864416</v>
      </c>
      <c r="K25" s="54">
        <f t="shared" si="19"/>
        <v>37.966987944858076</v>
      </c>
      <c r="L25" s="54">
        <f t="shared" si="19"/>
        <v>38.660302848960129</v>
      </c>
      <c r="M25" s="54">
        <f t="shared" si="19"/>
        <v>39.274571098481438</v>
      </c>
      <c r="N25" s="54">
        <f t="shared" si="19"/>
        <v>38.798474204140767</v>
      </c>
      <c r="O25" s="54">
        <f t="shared" si="19"/>
        <v>38.062400440168581</v>
      </c>
      <c r="P25" s="54">
        <f t="shared" si="19"/>
        <v>37.723490781661333</v>
      </c>
      <c r="Q25" s="54">
        <f t="shared" si="19"/>
        <v>37.851452735577723</v>
      </c>
      <c r="R25" s="54">
        <f t="shared" si="19"/>
        <v>37.404028669653151</v>
      </c>
      <c r="S25" s="54">
        <f t="shared" si="19"/>
        <v>37.194400107143473</v>
      </c>
      <c r="T25" s="54">
        <f t="shared" si="19"/>
        <v>36.788962408281883</v>
      </c>
      <c r="U25" s="54">
        <f t="shared" si="19"/>
        <v>37.415661243367929</v>
      </c>
      <c r="V25" s="54">
        <f t="shared" si="19"/>
        <v>37.655597395118065</v>
      </c>
      <c r="W25" s="54">
        <f t="shared" si="19"/>
        <v>37.536782341329641</v>
      </c>
      <c r="X25" s="54">
        <f t="shared" ref="X25:Y25" si="20">X9*1000/X6</f>
        <v>36.423038053822836</v>
      </c>
      <c r="Y25" s="54">
        <f t="shared" si="20"/>
        <v>35.392197117856412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900</v>
      </c>
      <c r="C26" s="55">
        <f t="shared" si="21"/>
        <v>900</v>
      </c>
      <c r="D26" s="55">
        <f t="shared" ref="D26:W26" si="22">D9*1000/D8</f>
        <v>900</v>
      </c>
      <c r="E26" s="55">
        <f t="shared" si="22"/>
        <v>900</v>
      </c>
      <c r="F26" s="55">
        <f t="shared" si="22"/>
        <v>900.00000000000011</v>
      </c>
      <c r="G26" s="55">
        <f t="shared" si="22"/>
        <v>899.99999999999989</v>
      </c>
      <c r="H26" s="55">
        <f t="shared" si="22"/>
        <v>900</v>
      </c>
      <c r="I26" s="55">
        <f t="shared" si="22"/>
        <v>900.00000000000011</v>
      </c>
      <c r="J26" s="55">
        <f t="shared" si="22"/>
        <v>900.00000000000011</v>
      </c>
      <c r="K26" s="55">
        <f t="shared" si="22"/>
        <v>900</v>
      </c>
      <c r="L26" s="55">
        <f t="shared" si="22"/>
        <v>899.99999999999989</v>
      </c>
      <c r="M26" s="55">
        <f t="shared" si="22"/>
        <v>900.00000000000011</v>
      </c>
      <c r="N26" s="55">
        <f t="shared" si="22"/>
        <v>900</v>
      </c>
      <c r="O26" s="55">
        <f t="shared" si="22"/>
        <v>900</v>
      </c>
      <c r="P26" s="55">
        <f t="shared" si="22"/>
        <v>900</v>
      </c>
      <c r="Q26" s="55">
        <f t="shared" si="22"/>
        <v>900</v>
      </c>
      <c r="R26" s="55">
        <f t="shared" si="22"/>
        <v>900.00000000000011</v>
      </c>
      <c r="S26" s="55">
        <f t="shared" si="22"/>
        <v>899.99999999999989</v>
      </c>
      <c r="T26" s="55">
        <f t="shared" si="22"/>
        <v>900</v>
      </c>
      <c r="U26" s="55">
        <f t="shared" si="22"/>
        <v>900</v>
      </c>
      <c r="V26" s="55">
        <f t="shared" si="22"/>
        <v>900</v>
      </c>
      <c r="W26" s="55">
        <f t="shared" si="22"/>
        <v>900</v>
      </c>
      <c r="X26" s="55">
        <f t="shared" ref="X26:Y26" si="23">X9*1000/X8</f>
        <v>899.99999999999989</v>
      </c>
      <c r="Y26" s="55">
        <f t="shared" si="23"/>
        <v>899.99999999999989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900.00000000000011</v>
      </c>
      <c r="D27" s="57">
        <f t="shared" ref="D27:W27" si="25">IF(SUM(D11)=0,"",D11*1000/D10)</f>
        <v>900</v>
      </c>
      <c r="E27" s="57">
        <f t="shared" si="25"/>
        <v>900.00000000000011</v>
      </c>
      <c r="F27" s="57">
        <f t="shared" si="25"/>
        <v>900</v>
      </c>
      <c r="G27" s="57">
        <f t="shared" si="25"/>
        <v>900</v>
      </c>
      <c r="H27" s="57">
        <f t="shared" si="25"/>
        <v>900.00000000000011</v>
      </c>
      <c r="I27" s="57">
        <f t="shared" si="25"/>
        <v>900.00000000000023</v>
      </c>
      <c r="J27" s="57">
        <f t="shared" si="25"/>
        <v>900.00000000000023</v>
      </c>
      <c r="K27" s="57">
        <f t="shared" si="25"/>
        <v>900</v>
      </c>
      <c r="L27" s="57">
        <f t="shared" si="25"/>
        <v>899.99999999999989</v>
      </c>
      <c r="M27" s="57">
        <f t="shared" si="25"/>
        <v>900.00000000000023</v>
      </c>
      <c r="N27" s="57">
        <f t="shared" si="25"/>
        <v>900</v>
      </c>
      <c r="O27" s="57">
        <f t="shared" si="25"/>
        <v>899.99999999999989</v>
      </c>
      <c r="P27" s="57">
        <f t="shared" si="25"/>
        <v>900</v>
      </c>
      <c r="Q27" s="57">
        <f t="shared" si="25"/>
        <v>899.99999999999989</v>
      </c>
      <c r="R27" s="57">
        <f t="shared" si="25"/>
        <v>900</v>
      </c>
      <c r="S27" s="57">
        <f t="shared" si="25"/>
        <v>899.99999999999989</v>
      </c>
      <c r="T27" s="57">
        <f t="shared" si="25"/>
        <v>900</v>
      </c>
      <c r="U27" s="57">
        <f t="shared" si="25"/>
        <v>900.00000000000011</v>
      </c>
      <c r="V27" s="57">
        <f t="shared" si="25"/>
        <v>900</v>
      </c>
      <c r="W27" s="57">
        <f t="shared" si="25"/>
        <v>900</v>
      </c>
      <c r="X27" s="57">
        <f t="shared" ref="X27:Y27" si="26">IF(SUM(X11)=0,"",X11*1000/X10)</f>
        <v>900.00000000000011</v>
      </c>
      <c r="Y27" s="57">
        <f t="shared" si="26"/>
        <v>899.99999999999989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295.66268271711084</v>
      </c>
      <c r="C31" s="80">
        <f t="shared" ref="C31:W31" si="27">SUM(C32:C33,C36:C37,C44:C45)</f>
        <v>303.83757523645738</v>
      </c>
      <c r="D31" s="80">
        <f t="shared" si="27"/>
        <v>306.93989681857266</v>
      </c>
      <c r="E31" s="80">
        <f t="shared" si="27"/>
        <v>347.31771281169392</v>
      </c>
      <c r="F31" s="80">
        <f t="shared" si="27"/>
        <v>388.34703353396384</v>
      </c>
      <c r="G31" s="80">
        <f t="shared" si="27"/>
        <v>398.95795356835765</v>
      </c>
      <c r="H31" s="80">
        <f t="shared" si="27"/>
        <v>404.57463456577807</v>
      </c>
      <c r="I31" s="80">
        <f t="shared" si="27"/>
        <v>417.12101976323049</v>
      </c>
      <c r="J31" s="80">
        <f t="shared" si="27"/>
        <v>441.80215219947411</v>
      </c>
      <c r="K31" s="80">
        <f t="shared" si="27"/>
        <v>426.34436946291277</v>
      </c>
      <c r="L31" s="80">
        <f t="shared" si="27"/>
        <v>429.92358544726551</v>
      </c>
      <c r="M31" s="80">
        <f t="shared" si="27"/>
        <v>407.44649512817239</v>
      </c>
      <c r="N31" s="80">
        <f t="shared" si="27"/>
        <v>428.50043219988726</v>
      </c>
      <c r="O31" s="80">
        <f t="shared" si="27"/>
        <v>421.88388982143272</v>
      </c>
      <c r="P31" s="80">
        <f t="shared" si="27"/>
        <v>460.31656603564869</v>
      </c>
      <c r="Q31" s="80">
        <f t="shared" si="27"/>
        <v>468.93453651027016</v>
      </c>
      <c r="R31" s="80">
        <f t="shared" si="27"/>
        <v>501.7636291333136</v>
      </c>
      <c r="S31" s="80">
        <f t="shared" si="27"/>
        <v>469.9997381913185</v>
      </c>
      <c r="T31" s="80">
        <f t="shared" si="27"/>
        <v>492.90102498707063</v>
      </c>
      <c r="U31" s="80">
        <f t="shared" si="27"/>
        <v>465.70498098082066</v>
      </c>
      <c r="V31" s="80">
        <f t="shared" si="27"/>
        <v>471.78629560524377</v>
      </c>
      <c r="W31" s="80">
        <f t="shared" si="27"/>
        <v>513.54858784137639</v>
      </c>
      <c r="X31" s="80">
        <f t="shared" ref="X31:Y31" si="28">SUM(X32:X33,X36:X37,X44:X45)</f>
        <v>456.83901191472376</v>
      </c>
      <c r="Y31" s="80">
        <f t="shared" si="28"/>
        <v>430.62145541651569</v>
      </c>
      <c r="DA31" s="103" t="s">
        <v>199</v>
      </c>
    </row>
    <row r="32" spans="1:105" ht="12" customHeight="1" x14ac:dyDescent="0.25">
      <c r="A32" s="58" t="s">
        <v>29</v>
      </c>
      <c r="B32" s="59">
        <v>5.5365434221840077</v>
      </c>
      <c r="C32" s="59">
        <v>6.8846947549441104</v>
      </c>
      <c r="D32" s="59">
        <v>5.9856405846947549</v>
      </c>
      <c r="E32" s="59">
        <v>6.3698194325021493</v>
      </c>
      <c r="F32" s="59">
        <v>6.2254514187446262</v>
      </c>
      <c r="G32" s="59">
        <v>7.3104901117798802</v>
      </c>
      <c r="H32" s="59">
        <v>4.491315563198623</v>
      </c>
      <c r="I32" s="59">
        <v>4.9223559759243329</v>
      </c>
      <c r="J32" s="59">
        <v>3.358727429062768</v>
      </c>
      <c r="K32" s="59">
        <v>2.7104041272570929</v>
      </c>
      <c r="L32" s="59">
        <v>2.328202923473774</v>
      </c>
      <c r="M32" s="59">
        <v>1.6836629406706791</v>
      </c>
      <c r="N32" s="59">
        <v>2.0276010318142732</v>
      </c>
      <c r="O32" s="59">
        <v>3.3198624247635422</v>
      </c>
      <c r="P32" s="59">
        <v>2.0232158211521925</v>
      </c>
      <c r="Q32" s="59">
        <v>1.7260533104041271</v>
      </c>
      <c r="R32" s="59">
        <v>2.2128976784178849</v>
      </c>
      <c r="S32" s="59">
        <v>1</v>
      </c>
      <c r="T32" s="59">
        <v>1.050902837489252</v>
      </c>
      <c r="U32" s="59">
        <v>0.95907136715391217</v>
      </c>
      <c r="V32" s="59">
        <v>1.030524505588994</v>
      </c>
      <c r="W32" s="59">
        <v>1.0126397248495269</v>
      </c>
      <c r="X32" s="59">
        <v>0.98693035253654338</v>
      </c>
      <c r="Y32" s="59">
        <v>0.47652622527944971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53.668701633705929</v>
      </c>
      <c r="C33" s="55">
        <f t="shared" ref="C33:W33" si="29">SUM(C34:C35)</f>
        <v>65.265176268271702</v>
      </c>
      <c r="D33" s="55">
        <f t="shared" si="29"/>
        <v>45.006964746345659</v>
      </c>
      <c r="E33" s="55">
        <f t="shared" si="29"/>
        <v>40.572914875322446</v>
      </c>
      <c r="F33" s="55">
        <f t="shared" si="29"/>
        <v>41.510576096302671</v>
      </c>
      <c r="G33" s="55">
        <f t="shared" si="29"/>
        <v>46.856663800515911</v>
      </c>
      <c r="H33" s="55">
        <f t="shared" si="29"/>
        <v>36.753310404127255</v>
      </c>
      <c r="I33" s="55">
        <f t="shared" si="29"/>
        <v>39.073860705073088</v>
      </c>
      <c r="J33" s="55">
        <f t="shared" si="29"/>
        <v>38.111865864144448</v>
      </c>
      <c r="K33" s="55">
        <f t="shared" si="29"/>
        <v>35.404643164230436</v>
      </c>
      <c r="L33" s="55">
        <f t="shared" si="29"/>
        <v>30.174462596732585</v>
      </c>
      <c r="M33" s="55">
        <f t="shared" si="29"/>
        <v>43.558383490971622</v>
      </c>
      <c r="N33" s="55">
        <f t="shared" si="29"/>
        <v>44.421152192605327</v>
      </c>
      <c r="O33" s="55">
        <f t="shared" si="29"/>
        <v>40.707566638005162</v>
      </c>
      <c r="P33" s="55">
        <f t="shared" si="29"/>
        <v>31.594067067927774</v>
      </c>
      <c r="Q33" s="55">
        <f t="shared" si="29"/>
        <v>34.625365434221841</v>
      </c>
      <c r="R33" s="55">
        <f t="shared" si="29"/>
        <v>27.445399828030951</v>
      </c>
      <c r="S33" s="55">
        <f t="shared" si="29"/>
        <v>31.222527944969912</v>
      </c>
      <c r="T33" s="55">
        <f t="shared" si="29"/>
        <v>28.677558039552885</v>
      </c>
      <c r="U33" s="55">
        <f t="shared" si="29"/>
        <v>21.69561478933792</v>
      </c>
      <c r="V33" s="55">
        <f t="shared" si="29"/>
        <v>22.154256233877899</v>
      </c>
      <c r="W33" s="55">
        <f t="shared" si="29"/>
        <v>22.799656061908856</v>
      </c>
      <c r="X33" s="55">
        <f t="shared" ref="X33:Y33" si="30">SUM(X34:X35)</f>
        <v>24.813585554600174</v>
      </c>
      <c r="Y33" s="55">
        <f t="shared" si="30"/>
        <v>30.50593293207222</v>
      </c>
      <c r="DA33" s="101"/>
    </row>
    <row r="34" spans="1:105" ht="12" customHeight="1" x14ac:dyDescent="0.25">
      <c r="A34" s="61" t="s">
        <v>52</v>
      </c>
      <c r="B34" s="55">
        <v>0</v>
      </c>
      <c r="C34" s="55">
        <v>0</v>
      </c>
      <c r="D34" s="55">
        <v>0</v>
      </c>
      <c r="E34" s="55">
        <v>0</v>
      </c>
      <c r="F34" s="55">
        <v>1.086758383490972</v>
      </c>
      <c r="G34" s="55">
        <v>1.086758383490972</v>
      </c>
      <c r="H34" s="55">
        <v>1.086758383490972</v>
      </c>
      <c r="I34" s="55">
        <v>1.086758383490972</v>
      </c>
      <c r="J34" s="55">
        <v>1.086758383490972</v>
      </c>
      <c r="K34" s="55">
        <v>1.086758383490972</v>
      </c>
      <c r="L34" s="55">
        <v>1.0760963026655199</v>
      </c>
      <c r="M34" s="55">
        <v>1.0760963026655199</v>
      </c>
      <c r="N34" s="55">
        <v>1.086758383490972</v>
      </c>
      <c r="O34" s="55">
        <v>1.086758383490972</v>
      </c>
      <c r="P34" s="55">
        <v>1.086758383490972</v>
      </c>
      <c r="Q34" s="55">
        <v>1.086758383490972</v>
      </c>
      <c r="R34" s="55">
        <v>2.1735167669819431</v>
      </c>
      <c r="S34" s="55">
        <v>3.2602751504729151</v>
      </c>
      <c r="T34" s="55">
        <v>1.086758383490972</v>
      </c>
      <c r="U34" s="55">
        <v>2.1735167669819431</v>
      </c>
      <c r="V34" s="55">
        <v>2.249613069647463</v>
      </c>
      <c r="W34" s="55">
        <v>1.6300945829750639</v>
      </c>
      <c r="X34" s="55">
        <v>2.1735167669819431</v>
      </c>
      <c r="Y34" s="55">
        <v>3.9546861564918312</v>
      </c>
      <c r="DA34" s="101" t="s">
        <v>201</v>
      </c>
    </row>
    <row r="35" spans="1:105" ht="12" customHeight="1" x14ac:dyDescent="0.25">
      <c r="A35" s="61" t="s">
        <v>163</v>
      </c>
      <c r="B35" s="55">
        <v>53.668701633705929</v>
      </c>
      <c r="C35" s="55">
        <v>65.265176268271702</v>
      </c>
      <c r="D35" s="55">
        <v>45.006964746345659</v>
      </c>
      <c r="E35" s="55">
        <v>40.572914875322446</v>
      </c>
      <c r="F35" s="55">
        <v>40.423817712811697</v>
      </c>
      <c r="G35" s="55">
        <v>45.769905417024937</v>
      </c>
      <c r="H35" s="55">
        <v>35.666552020636281</v>
      </c>
      <c r="I35" s="55">
        <v>37.987102321582114</v>
      </c>
      <c r="J35" s="55">
        <v>37.025107480653475</v>
      </c>
      <c r="K35" s="55">
        <v>34.317884780739462</v>
      </c>
      <c r="L35" s="55">
        <v>29.098366294067066</v>
      </c>
      <c r="M35" s="55">
        <v>42.482287188306103</v>
      </c>
      <c r="N35" s="55">
        <v>43.334393809114353</v>
      </c>
      <c r="O35" s="55">
        <v>39.620808254514188</v>
      </c>
      <c r="P35" s="55">
        <v>30.507308684436801</v>
      </c>
      <c r="Q35" s="55">
        <v>33.538607050730867</v>
      </c>
      <c r="R35" s="55">
        <v>25.271883061049007</v>
      </c>
      <c r="S35" s="55">
        <v>27.962252794496997</v>
      </c>
      <c r="T35" s="55">
        <v>27.590799656061911</v>
      </c>
      <c r="U35" s="55">
        <v>19.522098022355976</v>
      </c>
      <c r="V35" s="55">
        <v>19.904643164230436</v>
      </c>
      <c r="W35" s="55">
        <v>21.16956147893379</v>
      </c>
      <c r="X35" s="55">
        <v>22.64006878761823</v>
      </c>
      <c r="Y35" s="55">
        <v>26.551246775580388</v>
      </c>
      <c r="DA35" s="101" t="s">
        <v>202</v>
      </c>
    </row>
    <row r="36" spans="1:105" ht="12" customHeight="1" x14ac:dyDescent="0.25">
      <c r="A36" s="60" t="s">
        <v>149</v>
      </c>
      <c r="B36" s="55">
        <v>10.662080825451421</v>
      </c>
      <c r="C36" s="55">
        <v>22.42046431642304</v>
      </c>
      <c r="D36" s="55">
        <v>27.51504729148753</v>
      </c>
      <c r="E36" s="55">
        <v>64.208942390369728</v>
      </c>
      <c r="F36" s="55">
        <v>58.533963886500423</v>
      </c>
      <c r="G36" s="55">
        <v>46.238177128116938</v>
      </c>
      <c r="H36" s="55">
        <v>49.247635425623393</v>
      </c>
      <c r="I36" s="55">
        <v>43.895098882201196</v>
      </c>
      <c r="J36" s="55">
        <v>33.942390369733452</v>
      </c>
      <c r="K36" s="55">
        <v>27.257093723129831</v>
      </c>
      <c r="L36" s="55">
        <v>29.729148753224418</v>
      </c>
      <c r="M36" s="55">
        <v>30.99742046431642</v>
      </c>
      <c r="N36" s="55">
        <v>34.866723989681851</v>
      </c>
      <c r="O36" s="55">
        <v>43.314703353396389</v>
      </c>
      <c r="P36" s="55">
        <v>66.831470335339631</v>
      </c>
      <c r="Q36" s="55">
        <v>69.991401547721409</v>
      </c>
      <c r="R36" s="55">
        <v>79.320722269991393</v>
      </c>
      <c r="S36" s="55">
        <v>70.895356835769562</v>
      </c>
      <c r="T36" s="55">
        <v>75.866113958180321</v>
      </c>
      <c r="U36" s="55">
        <v>72.870871005563018</v>
      </c>
      <c r="V36" s="55">
        <v>74.299473988742889</v>
      </c>
      <c r="W36" s="55">
        <v>78.260633446006977</v>
      </c>
      <c r="X36" s="55">
        <v>45.622834237801435</v>
      </c>
      <c r="Y36" s="55">
        <v>37.534895623601692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8.7417884780739463</v>
      </c>
      <c r="C37" s="55">
        <f t="shared" ref="C37:W37" si="31">SUM(C38:C42)</f>
        <v>12.61109200343938</v>
      </c>
      <c r="D37" s="55">
        <f t="shared" si="31"/>
        <v>12.348323301805671</v>
      </c>
      <c r="E37" s="55">
        <f t="shared" si="31"/>
        <v>13.017110920034391</v>
      </c>
      <c r="F37" s="55">
        <f t="shared" si="31"/>
        <v>24.983319002579531</v>
      </c>
      <c r="G37" s="55">
        <f t="shared" si="31"/>
        <v>16.981943250214957</v>
      </c>
      <c r="H37" s="55">
        <f t="shared" si="31"/>
        <v>20.684092863284611</v>
      </c>
      <c r="I37" s="55">
        <f t="shared" si="31"/>
        <v>22.141014617368874</v>
      </c>
      <c r="J37" s="55">
        <f t="shared" si="31"/>
        <v>22.141014617368874</v>
      </c>
      <c r="K37" s="55">
        <f t="shared" si="31"/>
        <v>15.333963886500424</v>
      </c>
      <c r="L37" s="55">
        <f t="shared" si="31"/>
        <v>18.31943250214961</v>
      </c>
      <c r="M37" s="55">
        <f t="shared" si="31"/>
        <v>19.680911435941532</v>
      </c>
      <c r="N37" s="55">
        <f t="shared" si="31"/>
        <v>11.918400687876183</v>
      </c>
      <c r="O37" s="55">
        <f t="shared" si="31"/>
        <v>12.324419604471194</v>
      </c>
      <c r="P37" s="55">
        <f t="shared" si="31"/>
        <v>10.604729148753224</v>
      </c>
      <c r="Q37" s="55">
        <f t="shared" si="31"/>
        <v>11.560103181427342</v>
      </c>
      <c r="R37" s="55">
        <f t="shared" si="31"/>
        <v>15.071195184866724</v>
      </c>
      <c r="S37" s="55">
        <f t="shared" si="31"/>
        <v>13.232072226999135</v>
      </c>
      <c r="T37" s="55">
        <f t="shared" si="31"/>
        <v>12.019612611037211</v>
      </c>
      <c r="U37" s="55">
        <f t="shared" si="31"/>
        <v>14.040994858581417</v>
      </c>
      <c r="V37" s="55">
        <f t="shared" si="31"/>
        <v>16.289519992340519</v>
      </c>
      <c r="W37" s="55">
        <f t="shared" si="31"/>
        <v>15.308670079358455</v>
      </c>
      <c r="X37" s="55">
        <f t="shared" ref="X37:Y37" si="32">SUM(X38:X42)</f>
        <v>14.394792589369676</v>
      </c>
      <c r="Y37" s="55">
        <f t="shared" si="32"/>
        <v>10.444812029020827</v>
      </c>
      <c r="DA37" s="101"/>
    </row>
    <row r="38" spans="1:105" ht="12" customHeight="1" x14ac:dyDescent="0.25">
      <c r="A38" s="61" t="s">
        <v>164</v>
      </c>
      <c r="B38" s="55">
        <v>8.7417884780739463</v>
      </c>
      <c r="C38" s="55">
        <v>12.61109200343938</v>
      </c>
      <c r="D38" s="55">
        <v>12.348323301805671</v>
      </c>
      <c r="E38" s="55">
        <v>13.017110920034391</v>
      </c>
      <c r="F38" s="55">
        <v>24.983319002579531</v>
      </c>
      <c r="G38" s="55">
        <v>16.456491831470331</v>
      </c>
      <c r="H38" s="55">
        <v>20.015305245055892</v>
      </c>
      <c r="I38" s="55">
        <v>20.97067927773001</v>
      </c>
      <c r="J38" s="55">
        <v>21.257265692175409</v>
      </c>
      <c r="K38" s="55">
        <v>14.42631126397248</v>
      </c>
      <c r="L38" s="55">
        <v>17.364058469475491</v>
      </c>
      <c r="M38" s="55">
        <v>18.630008598452278</v>
      </c>
      <c r="N38" s="55">
        <v>11.201891659501291</v>
      </c>
      <c r="O38" s="55">
        <v>10.17480653482373</v>
      </c>
      <c r="P38" s="55">
        <v>8.8850386930352521</v>
      </c>
      <c r="Q38" s="55">
        <v>9.5538263112639719</v>
      </c>
      <c r="R38" s="55">
        <v>8.8373172828890816</v>
      </c>
      <c r="S38" s="55">
        <v>10.031556319862419</v>
      </c>
      <c r="T38" s="55">
        <v>9.1</v>
      </c>
      <c r="U38" s="55">
        <v>10.98693035253654</v>
      </c>
      <c r="V38" s="55">
        <v>13.397850386930349</v>
      </c>
      <c r="W38" s="55">
        <v>12.18116938950989</v>
      </c>
      <c r="X38" s="55">
        <v>11.942304385210658</v>
      </c>
      <c r="Y38" s="55">
        <v>6.5644883920894239</v>
      </c>
      <c r="DA38" s="101" t="s">
        <v>204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0.52545141874462586</v>
      </c>
      <c r="H39" s="55">
        <v>0.66878761822871879</v>
      </c>
      <c r="I39" s="55">
        <v>1.1703353396388649</v>
      </c>
      <c r="J39" s="55">
        <v>0.88374892519346515</v>
      </c>
      <c r="K39" s="55">
        <v>0.90765262252794487</v>
      </c>
      <c r="L39" s="55">
        <v>0.95537403267411869</v>
      </c>
      <c r="M39" s="55">
        <v>1.050902837489252</v>
      </c>
      <c r="N39" s="55">
        <v>0.7165090283748925</v>
      </c>
      <c r="O39" s="55">
        <v>2.1496130696474629</v>
      </c>
      <c r="P39" s="55">
        <v>1.7196904557179711</v>
      </c>
      <c r="Q39" s="55">
        <v>2.00627687016337</v>
      </c>
      <c r="R39" s="55">
        <v>6.2338779019776434</v>
      </c>
      <c r="S39" s="55">
        <v>3.2005159071367149</v>
      </c>
      <c r="T39" s="55">
        <v>2.9196126110372109</v>
      </c>
      <c r="U39" s="55">
        <v>3.0540645060448774</v>
      </c>
      <c r="V39" s="55">
        <v>2.8916696054101703</v>
      </c>
      <c r="W39" s="55">
        <v>3.1275006898485649</v>
      </c>
      <c r="X39" s="55">
        <v>2.4524882041590166</v>
      </c>
      <c r="Y39" s="55">
        <v>3.8803236369314034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DA40" s="101" t="s">
        <v>206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X41" s="55">
        <v>0</v>
      </c>
      <c r="Y41" s="55">
        <v>0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  <c r="DA42" s="101" t="s">
        <v>208</v>
      </c>
    </row>
    <row r="43" spans="1:105" ht="12" customHeight="1" x14ac:dyDescent="0.25">
      <c r="A43" s="61" t="s">
        <v>151</v>
      </c>
      <c r="B43" s="309">
        <v>0</v>
      </c>
      <c r="C43" s="309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X43" s="55">
        <v>0</v>
      </c>
      <c r="Y43" s="55">
        <v>0</v>
      </c>
      <c r="DA43" s="101" t="s">
        <v>209</v>
      </c>
    </row>
    <row r="44" spans="1:105" ht="12" customHeight="1" x14ac:dyDescent="0.25">
      <c r="A44" s="60" t="s">
        <v>162</v>
      </c>
      <c r="B44" s="55">
        <v>90.140412725709368</v>
      </c>
      <c r="C44" s="55">
        <v>63.724075666380052</v>
      </c>
      <c r="D44" s="55">
        <v>74.209458297506444</v>
      </c>
      <c r="E44" s="55">
        <v>73.277901977644021</v>
      </c>
      <c r="F44" s="55">
        <v>92.433361994840922</v>
      </c>
      <c r="G44" s="55">
        <v>108.0539122957867</v>
      </c>
      <c r="H44" s="55">
        <v>100.36302665520201</v>
      </c>
      <c r="I44" s="55">
        <v>98.834393809114346</v>
      </c>
      <c r="J44" s="55">
        <v>118.96913155631989</v>
      </c>
      <c r="K44" s="55">
        <v>118.8975064488392</v>
      </c>
      <c r="L44" s="55">
        <v>128.7140154772141</v>
      </c>
      <c r="M44" s="55">
        <v>102.91865864144449</v>
      </c>
      <c r="N44" s="55">
        <v>113.23680137575229</v>
      </c>
      <c r="O44" s="55">
        <v>101.9871883061049</v>
      </c>
      <c r="P44" s="55">
        <v>107.5761822871883</v>
      </c>
      <c r="Q44" s="55">
        <v>108.00610490111779</v>
      </c>
      <c r="R44" s="55">
        <v>120.8560619088564</v>
      </c>
      <c r="S44" s="55">
        <v>118.9452278589854</v>
      </c>
      <c r="T44" s="55">
        <v>121.8114359415305</v>
      </c>
      <c r="U44" s="55">
        <v>102.7036973344798</v>
      </c>
      <c r="V44" s="55">
        <v>109.8691315563199</v>
      </c>
      <c r="W44" s="55">
        <v>116.4612209802235</v>
      </c>
      <c r="X44" s="55">
        <v>121.381513327601</v>
      </c>
      <c r="Y44" s="55">
        <v>126.6051590713671</v>
      </c>
      <c r="DA44" s="101" t="s">
        <v>210</v>
      </c>
    </row>
    <row r="45" spans="1:105" ht="12" customHeight="1" x14ac:dyDescent="0.25">
      <c r="A45" s="62" t="s">
        <v>24</v>
      </c>
      <c r="B45" s="63">
        <v>126.91315563198619</v>
      </c>
      <c r="C45" s="63">
        <v>132.93207222699911</v>
      </c>
      <c r="D45" s="63">
        <v>141.8744625967326</v>
      </c>
      <c r="E45" s="63">
        <v>149.8710232158212</v>
      </c>
      <c r="F45" s="63">
        <v>164.6603611349957</v>
      </c>
      <c r="G45" s="63">
        <v>173.51676698194328</v>
      </c>
      <c r="H45" s="63">
        <v>193.0352536543422</v>
      </c>
      <c r="I45" s="63">
        <v>208.25429577354862</v>
      </c>
      <c r="J45" s="63">
        <v>225.27902236284467</v>
      </c>
      <c r="K45" s="63">
        <v>226.7407581129558</v>
      </c>
      <c r="L45" s="63">
        <v>220.65832319447102</v>
      </c>
      <c r="M45" s="63">
        <v>208.60745815482767</v>
      </c>
      <c r="N45" s="63">
        <v>222.02975292215734</v>
      </c>
      <c r="O45" s="63">
        <v>220.23014949469152</v>
      </c>
      <c r="P45" s="63">
        <v>241.68690137528756</v>
      </c>
      <c r="Q45" s="63">
        <v>243.02550813537766</v>
      </c>
      <c r="R45" s="63">
        <v>256.85735226315023</v>
      </c>
      <c r="S45" s="63">
        <v>234.70455332459449</v>
      </c>
      <c r="T45" s="63">
        <v>253.47540159928042</v>
      </c>
      <c r="U45" s="63">
        <v>253.43473162570464</v>
      </c>
      <c r="V45" s="63">
        <v>248.14338932837359</v>
      </c>
      <c r="W45" s="63">
        <v>279.70576754902908</v>
      </c>
      <c r="X45" s="63">
        <v>249.63935585281496</v>
      </c>
      <c r="Y45" s="63">
        <v>225.05412953517438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295.66268271711084</v>
      </c>
      <c r="C47" s="82">
        <f t="shared" ref="C47:W47" si="34">SUM(C48,C53)</f>
        <v>303.83757523645738</v>
      </c>
      <c r="D47" s="82">
        <f t="shared" si="34"/>
        <v>306.93989681857266</v>
      </c>
      <c r="E47" s="82">
        <f t="shared" si="34"/>
        <v>347.31771281169392</v>
      </c>
      <c r="F47" s="82">
        <f t="shared" si="34"/>
        <v>388.3470335339639</v>
      </c>
      <c r="G47" s="82">
        <f t="shared" si="34"/>
        <v>398.95795356835765</v>
      </c>
      <c r="H47" s="82">
        <f t="shared" si="34"/>
        <v>404.57463456577801</v>
      </c>
      <c r="I47" s="82">
        <f t="shared" si="34"/>
        <v>417.12101976323049</v>
      </c>
      <c r="J47" s="82">
        <f t="shared" si="34"/>
        <v>441.80215219947405</v>
      </c>
      <c r="K47" s="82">
        <f t="shared" si="34"/>
        <v>426.34436946291282</v>
      </c>
      <c r="L47" s="82">
        <f t="shared" si="34"/>
        <v>429.9235854472654</v>
      </c>
      <c r="M47" s="82">
        <f t="shared" si="34"/>
        <v>407.44649512817239</v>
      </c>
      <c r="N47" s="82">
        <f t="shared" si="34"/>
        <v>428.50043219988726</v>
      </c>
      <c r="O47" s="82">
        <f t="shared" si="34"/>
        <v>421.88388982143266</v>
      </c>
      <c r="P47" s="82">
        <f t="shared" si="34"/>
        <v>460.31656603564858</v>
      </c>
      <c r="Q47" s="82">
        <f t="shared" si="34"/>
        <v>468.93453651027005</v>
      </c>
      <c r="R47" s="82">
        <f t="shared" si="34"/>
        <v>501.76362913331354</v>
      </c>
      <c r="S47" s="82">
        <f t="shared" si="34"/>
        <v>469.9997381913185</v>
      </c>
      <c r="T47" s="82">
        <f t="shared" si="34"/>
        <v>492.90102498707051</v>
      </c>
      <c r="U47" s="82">
        <f t="shared" si="34"/>
        <v>465.70498098082078</v>
      </c>
      <c r="V47" s="82">
        <f t="shared" si="34"/>
        <v>471.78629560524399</v>
      </c>
      <c r="W47" s="82">
        <f t="shared" si="34"/>
        <v>513.5485878413765</v>
      </c>
      <c r="X47" s="82">
        <f t="shared" ref="X47:Y47" si="35">SUM(X48,X53)</f>
        <v>456.83901191472359</v>
      </c>
      <c r="Y47" s="82">
        <f t="shared" si="35"/>
        <v>430.62145541651557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240.82634670882541</v>
      </c>
      <c r="C48" s="64">
        <f t="shared" ref="C48:W48" si="37">SUM(C49:C52)</f>
        <v>244.8917138671836</v>
      </c>
      <c r="D48" s="64">
        <f t="shared" si="37"/>
        <v>244.11492235144001</v>
      </c>
      <c r="E48" s="64">
        <f t="shared" si="37"/>
        <v>279.85015664381302</v>
      </c>
      <c r="F48" s="64">
        <f t="shared" si="37"/>
        <v>316.72156752457823</v>
      </c>
      <c r="G48" s="64">
        <f t="shared" si="37"/>
        <v>322.38660783497346</v>
      </c>
      <c r="H48" s="64">
        <f t="shared" si="37"/>
        <v>323.2274623049791</v>
      </c>
      <c r="I48" s="64">
        <f t="shared" si="37"/>
        <v>331.90161814352365</v>
      </c>
      <c r="J48" s="64">
        <f t="shared" si="37"/>
        <v>355.06761735943832</v>
      </c>
      <c r="K48" s="64">
        <f t="shared" si="37"/>
        <v>338.07823084536449</v>
      </c>
      <c r="L48" s="64">
        <f t="shared" si="37"/>
        <v>340.06140851164344</v>
      </c>
      <c r="M48" s="64">
        <f t="shared" si="37"/>
        <v>316.42309729508651</v>
      </c>
      <c r="N48" s="64">
        <f t="shared" si="37"/>
        <v>335.87323891787509</v>
      </c>
      <c r="O48" s="64">
        <f t="shared" si="37"/>
        <v>327.33216092020189</v>
      </c>
      <c r="P48" s="64">
        <f t="shared" si="37"/>
        <v>362.9041741662702</v>
      </c>
      <c r="Q48" s="64">
        <f t="shared" si="37"/>
        <v>367.55680048156137</v>
      </c>
      <c r="R48" s="64">
        <f t="shared" si="37"/>
        <v>399.01669527069498</v>
      </c>
      <c r="S48" s="64">
        <f t="shared" si="37"/>
        <v>367.21371098253456</v>
      </c>
      <c r="T48" s="64">
        <f t="shared" si="37"/>
        <v>390.67291941474707</v>
      </c>
      <c r="U48" s="64">
        <f t="shared" si="37"/>
        <v>363.99370042624321</v>
      </c>
      <c r="V48" s="64">
        <f t="shared" si="37"/>
        <v>370.73677890380964</v>
      </c>
      <c r="W48" s="64">
        <f t="shared" si="37"/>
        <v>406.84509490027108</v>
      </c>
      <c r="X48" s="64">
        <f t="shared" ref="X48:Y48" si="38">SUM(X49:X52)</f>
        <v>352.49021210916129</v>
      </c>
      <c r="Y48" s="64">
        <f t="shared" si="38"/>
        <v>324.93229308833367</v>
      </c>
      <c r="DA48" s="108" t="s">
        <v>213</v>
      </c>
    </row>
    <row r="49" spans="1:105" ht="12" customHeight="1" x14ac:dyDescent="0.25">
      <c r="A49" s="61" t="s">
        <v>32</v>
      </c>
      <c r="B49" s="65">
        <v>180.68323939006248</v>
      </c>
      <c r="C49" s="65">
        <v>182.85886568135024</v>
      </c>
      <c r="D49" s="65">
        <v>181.29013182366015</v>
      </c>
      <c r="E49" s="65">
        <v>214.77860697272925</v>
      </c>
      <c r="F49" s="65">
        <v>251.38976326598319</v>
      </c>
      <c r="G49" s="65">
        <v>253.1475788919241</v>
      </c>
      <c r="H49" s="65">
        <v>252.02625908550542</v>
      </c>
      <c r="I49" s="65">
        <v>260.29155266528909</v>
      </c>
      <c r="J49" s="65">
        <v>283.02375274542254</v>
      </c>
      <c r="K49" s="65">
        <v>265.5450209399549</v>
      </c>
      <c r="L49" s="65">
        <v>266.89126174225686</v>
      </c>
      <c r="M49" s="65">
        <v>240.4924157481185</v>
      </c>
      <c r="N49" s="65">
        <v>259.53267098850074</v>
      </c>
      <c r="O49" s="65">
        <v>250.01135980909964</v>
      </c>
      <c r="P49" s="65">
        <v>285.43075138753335</v>
      </c>
      <c r="Q49" s="65">
        <v>288.6624149374494</v>
      </c>
      <c r="R49" s="65">
        <v>320.2270347807617</v>
      </c>
      <c r="S49" s="65">
        <v>287.18222007574491</v>
      </c>
      <c r="T49" s="65">
        <v>310.83949164205006</v>
      </c>
      <c r="U49" s="65">
        <v>283.18714682922575</v>
      </c>
      <c r="V49" s="65">
        <v>294.49542930336429</v>
      </c>
      <c r="W49" s="65">
        <v>323.67056706536869</v>
      </c>
      <c r="X49" s="65">
        <v>265.17225761337795</v>
      </c>
      <c r="Y49" s="65">
        <v>228.96788109431054</v>
      </c>
      <c r="DA49" s="109" t="s">
        <v>214</v>
      </c>
    </row>
    <row r="50" spans="1:105" ht="12" customHeight="1" x14ac:dyDescent="0.25">
      <c r="A50" s="61" t="s">
        <v>31</v>
      </c>
      <c r="B50" s="65">
        <v>0.35392190642045068</v>
      </c>
      <c r="C50" s="65">
        <v>0.37383742865245484</v>
      </c>
      <c r="D50" s="65">
        <v>0.39344593443916542</v>
      </c>
      <c r="E50" s="65">
        <v>0.42746777660865848</v>
      </c>
      <c r="F50" s="65">
        <v>0.41504957647136798</v>
      </c>
      <c r="G50" s="65">
        <v>0.44458353246845633</v>
      </c>
      <c r="H50" s="65">
        <v>0.49501059454510543</v>
      </c>
      <c r="I50" s="65">
        <v>0.50864150294144406</v>
      </c>
      <c r="J50" s="65">
        <v>0.51294337792830369</v>
      </c>
      <c r="K50" s="65">
        <v>0.52135881997333189</v>
      </c>
      <c r="L50" s="65">
        <v>0.61924304295503296</v>
      </c>
      <c r="M50" s="65">
        <v>0.58183046032853547</v>
      </c>
      <c r="N50" s="65">
        <v>0.56435322818434575</v>
      </c>
      <c r="O50" s="65">
        <v>0.56269712715568054</v>
      </c>
      <c r="P50" s="65">
        <v>0.57561665970672482</v>
      </c>
      <c r="Q50" s="65">
        <v>0.56948325146916301</v>
      </c>
      <c r="R50" s="65">
        <v>0.57178779653112921</v>
      </c>
      <c r="S50" s="65">
        <v>0.57663027702149505</v>
      </c>
      <c r="T50" s="65">
        <v>0.63364280983411125</v>
      </c>
      <c r="U50" s="65">
        <v>0.60199606865169919</v>
      </c>
      <c r="V50" s="65">
        <v>0.58029017891838275</v>
      </c>
      <c r="W50" s="65">
        <v>0.65304250355150639</v>
      </c>
      <c r="X50" s="65">
        <v>0.64066516878827029</v>
      </c>
      <c r="Y50" s="65">
        <v>0.62928939933920236</v>
      </c>
      <c r="DA50" s="109" t="s">
        <v>215</v>
      </c>
    </row>
    <row r="51" spans="1:105" ht="12" customHeight="1" x14ac:dyDescent="0.25">
      <c r="A51" s="61" t="s">
        <v>35</v>
      </c>
      <c r="B51" s="65">
        <v>31.575504275201169</v>
      </c>
      <c r="C51" s="65">
        <v>32.033327691966491</v>
      </c>
      <c r="D51" s="65">
        <v>31.973806858420403</v>
      </c>
      <c r="E51" s="65">
        <v>32.576768856836352</v>
      </c>
      <c r="F51" s="65">
        <v>32.24610052886522</v>
      </c>
      <c r="G51" s="65">
        <v>33.798512649808785</v>
      </c>
      <c r="H51" s="65">
        <v>34.679157132240547</v>
      </c>
      <c r="I51" s="65">
        <v>34.185262092533684</v>
      </c>
      <c r="J51" s="65">
        <v>34.047625356501754</v>
      </c>
      <c r="K51" s="65">
        <v>33.450456863594368</v>
      </c>
      <c r="L51" s="65">
        <v>33.3294678036645</v>
      </c>
      <c r="M51" s="65">
        <v>34.813927524740848</v>
      </c>
      <c r="N51" s="65">
        <v>35.13969815769596</v>
      </c>
      <c r="O51" s="65">
        <v>35.128072071616792</v>
      </c>
      <c r="P51" s="65">
        <v>35.434893482618435</v>
      </c>
      <c r="Q51" s="65">
        <v>36.487289386801493</v>
      </c>
      <c r="R51" s="65">
        <v>35.918742809601042</v>
      </c>
      <c r="S51" s="65">
        <v>36.128601871416905</v>
      </c>
      <c r="T51" s="65">
        <v>36.273192905267052</v>
      </c>
      <c r="U51" s="65">
        <v>36.719593105203082</v>
      </c>
      <c r="V51" s="65">
        <v>35.121116225545634</v>
      </c>
      <c r="W51" s="65">
        <v>37.510946591423838</v>
      </c>
      <c r="X51" s="65">
        <v>38.177754681296364</v>
      </c>
      <c r="Y51" s="65">
        <v>41.193900523633658</v>
      </c>
      <c r="DA51" s="109" t="s">
        <v>216</v>
      </c>
    </row>
    <row r="52" spans="1:105" ht="12" customHeight="1" x14ac:dyDescent="0.25">
      <c r="A52" s="66" t="s">
        <v>34</v>
      </c>
      <c r="B52" s="67">
        <v>28.213681137141329</v>
      </c>
      <c r="C52" s="67">
        <v>29.625683065214407</v>
      </c>
      <c r="D52" s="67">
        <v>30.45753773492029</v>
      </c>
      <c r="E52" s="67">
        <v>32.067313037638776</v>
      </c>
      <c r="F52" s="67">
        <v>32.670654153258432</v>
      </c>
      <c r="G52" s="67">
        <v>34.995932760772149</v>
      </c>
      <c r="H52" s="67">
        <v>36.027035492688036</v>
      </c>
      <c r="I52" s="67">
        <v>36.916161882759475</v>
      </c>
      <c r="J52" s="67">
        <v>37.483295879585683</v>
      </c>
      <c r="K52" s="67">
        <v>38.561394221841908</v>
      </c>
      <c r="L52" s="67">
        <v>39.221435922767064</v>
      </c>
      <c r="M52" s="67">
        <v>40.534923561898601</v>
      </c>
      <c r="N52" s="67">
        <v>40.636516543493997</v>
      </c>
      <c r="O52" s="67">
        <v>41.630031912329827</v>
      </c>
      <c r="P52" s="67">
        <v>41.462912636411723</v>
      </c>
      <c r="Q52" s="67">
        <v>41.837612905841333</v>
      </c>
      <c r="R52" s="67">
        <v>42.299129883801122</v>
      </c>
      <c r="S52" s="67">
        <v>43.326258758351287</v>
      </c>
      <c r="T52" s="67">
        <v>42.926592057595805</v>
      </c>
      <c r="U52" s="67">
        <v>43.48496442316263</v>
      </c>
      <c r="V52" s="67">
        <v>40.539943195981309</v>
      </c>
      <c r="W52" s="67">
        <v>45.010538739927114</v>
      </c>
      <c r="X52" s="67">
        <v>48.499534645698716</v>
      </c>
      <c r="Y52" s="67">
        <v>54.141222071050272</v>
      </c>
      <c r="DA52" s="110" t="s">
        <v>217</v>
      </c>
    </row>
    <row r="53" spans="1:105" ht="12" customHeight="1" x14ac:dyDescent="0.25">
      <c r="A53" s="78" t="s">
        <v>33</v>
      </c>
      <c r="B53" s="68">
        <v>54.836336008285421</v>
      </c>
      <c r="C53" s="68">
        <v>58.9458613692738</v>
      </c>
      <c r="D53" s="68">
        <v>62.824974467132662</v>
      </c>
      <c r="E53" s="68">
        <v>67.4675561678809</v>
      </c>
      <c r="F53" s="68">
        <v>71.625466009385676</v>
      </c>
      <c r="G53" s="68">
        <v>76.571345733384163</v>
      </c>
      <c r="H53" s="68">
        <v>81.347172260798914</v>
      </c>
      <c r="I53" s="68">
        <v>85.219401619706844</v>
      </c>
      <c r="J53" s="68">
        <v>86.734534840035721</v>
      </c>
      <c r="K53" s="68">
        <v>88.266138617548307</v>
      </c>
      <c r="L53" s="68">
        <v>89.862176935621989</v>
      </c>
      <c r="M53" s="68">
        <v>91.023397833085866</v>
      </c>
      <c r="N53" s="68">
        <v>92.627193282012172</v>
      </c>
      <c r="O53" s="68">
        <v>94.551728901230774</v>
      </c>
      <c r="P53" s="68">
        <v>97.412391869378396</v>
      </c>
      <c r="Q53" s="68">
        <v>101.37773602870868</v>
      </c>
      <c r="R53" s="68">
        <v>102.74693386261856</v>
      </c>
      <c r="S53" s="68">
        <v>102.78602720878395</v>
      </c>
      <c r="T53" s="68">
        <v>102.22810557232344</v>
      </c>
      <c r="U53" s="68">
        <v>101.7112805545776</v>
      </c>
      <c r="V53" s="68">
        <v>101.04951670143434</v>
      </c>
      <c r="W53" s="68">
        <v>106.7034929411054</v>
      </c>
      <c r="X53" s="68">
        <v>104.34879980556228</v>
      </c>
      <c r="Y53" s="68">
        <v>105.68916232818189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0.81453075002788677</v>
      </c>
      <c r="C56" s="70">
        <f t="shared" ref="C56:W56" si="43">IF(C48=0,0,C48/C$47)</f>
        <v>0.80599548517526187</v>
      </c>
      <c r="D56" s="70">
        <f t="shared" si="43"/>
        <v>0.79531831763054417</v>
      </c>
      <c r="E56" s="70">
        <f t="shared" si="43"/>
        <v>0.80574686035531984</v>
      </c>
      <c r="F56" s="70">
        <f t="shared" si="43"/>
        <v>0.81556324672396019</v>
      </c>
      <c r="G56" s="70">
        <f t="shared" si="43"/>
        <v>0.80807164000989284</v>
      </c>
      <c r="H56" s="70">
        <f t="shared" si="43"/>
        <v>0.79893160541785513</v>
      </c>
      <c r="I56" s="70">
        <f t="shared" si="43"/>
        <v>0.79569621864637807</v>
      </c>
      <c r="J56" s="70">
        <f t="shared" si="43"/>
        <v>0.80368014413638478</v>
      </c>
      <c r="K56" s="70">
        <f t="shared" si="43"/>
        <v>0.79296985033778777</v>
      </c>
      <c r="L56" s="70">
        <f t="shared" si="43"/>
        <v>0.79098104877838926</v>
      </c>
      <c r="M56" s="70">
        <f t="shared" si="43"/>
        <v>0.77660036613039896</v>
      </c>
      <c r="N56" s="70">
        <f t="shared" si="43"/>
        <v>0.78383407268349414</v>
      </c>
      <c r="O56" s="70">
        <f t="shared" si="43"/>
        <v>0.77588210599544127</v>
      </c>
      <c r="P56" s="70">
        <f t="shared" si="43"/>
        <v>0.78837956515813423</v>
      </c>
      <c r="Q56" s="70">
        <f t="shared" si="43"/>
        <v>0.78381260466941871</v>
      </c>
      <c r="R56" s="70">
        <f t="shared" si="43"/>
        <v>0.79522841454233872</v>
      </c>
      <c r="S56" s="70">
        <f t="shared" si="43"/>
        <v>0.78130620326655631</v>
      </c>
      <c r="T56" s="70">
        <f t="shared" si="43"/>
        <v>0.79259912154776913</v>
      </c>
      <c r="U56" s="70">
        <f t="shared" si="43"/>
        <v>0.78159718124473665</v>
      </c>
      <c r="V56" s="70">
        <f t="shared" si="43"/>
        <v>0.78581506575598981</v>
      </c>
      <c r="W56" s="70">
        <f t="shared" si="43"/>
        <v>0.79222317913555684</v>
      </c>
      <c r="X56" s="70">
        <f t="shared" ref="X56:Y56" si="44">IF(X48=0,0,X48/X$47)</f>
        <v>0.77158518190420944</v>
      </c>
      <c r="Y56" s="70">
        <f t="shared" si="44"/>
        <v>0.75456596275270393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0.61111276448417962</v>
      </c>
      <c r="C57" s="71">
        <f t="shared" ref="C57:W57" si="46">IF(C49=0,0,C49/C$47)</f>
        <v>0.60183098005255886</v>
      </c>
      <c r="D57" s="71">
        <f t="shared" si="46"/>
        <v>0.59063723452939676</v>
      </c>
      <c r="E57" s="71">
        <f t="shared" si="46"/>
        <v>0.61839232221702523</v>
      </c>
      <c r="F57" s="71">
        <f t="shared" si="46"/>
        <v>0.64733277599247385</v>
      </c>
      <c r="G57" s="71">
        <f t="shared" si="46"/>
        <v>0.63452195056577476</v>
      </c>
      <c r="H57" s="71">
        <f t="shared" si="46"/>
        <v>0.62294132541453129</v>
      </c>
      <c r="I57" s="71">
        <f t="shared" si="46"/>
        <v>0.62401926619051185</v>
      </c>
      <c r="J57" s="71">
        <f t="shared" si="46"/>
        <v>0.64061198284438658</v>
      </c>
      <c r="K57" s="71">
        <f t="shared" si="46"/>
        <v>0.62284162747235328</v>
      </c>
      <c r="L57" s="71">
        <f t="shared" si="46"/>
        <v>0.62078767198733709</v>
      </c>
      <c r="M57" s="71">
        <f t="shared" si="46"/>
        <v>0.59024293649271831</v>
      </c>
      <c r="N57" s="71">
        <f t="shared" si="46"/>
        <v>0.60567656759663124</v>
      </c>
      <c r="O57" s="71">
        <f t="shared" si="46"/>
        <v>0.59260703203177512</v>
      </c>
      <c r="P57" s="71">
        <f t="shared" si="46"/>
        <v>0.62007490594077064</v>
      </c>
      <c r="Q57" s="71">
        <f t="shared" si="46"/>
        <v>0.61557081524774293</v>
      </c>
      <c r="R57" s="71">
        <f t="shared" si="46"/>
        <v>0.63820296288490175</v>
      </c>
      <c r="S57" s="71">
        <f t="shared" si="46"/>
        <v>0.61102634052711802</v>
      </c>
      <c r="T57" s="71">
        <f t="shared" si="46"/>
        <v>0.63063267448105598</v>
      </c>
      <c r="U57" s="71">
        <f t="shared" si="46"/>
        <v>0.60808270985808566</v>
      </c>
      <c r="V57" s="71">
        <f t="shared" si="46"/>
        <v>0.62421361545816578</v>
      </c>
      <c r="W57" s="71">
        <f t="shared" si="46"/>
        <v>0.63026279251563866</v>
      </c>
      <c r="X57" s="71">
        <f t="shared" ref="X57:Y57" si="47">IF(X49=0,0,X49/X$47)</f>
        <v>0.58045011633743016</v>
      </c>
      <c r="Y57" s="71">
        <f t="shared" si="47"/>
        <v>0.53171498589832911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1.1970462527362037E-3</v>
      </c>
      <c r="C58" s="72">
        <f t="shared" ref="C58:W58" si="49">IF(C50=0,0,C50/C$47)</f>
        <v>1.23038576898042E-3</v>
      </c>
      <c r="D58" s="72">
        <f t="shared" si="49"/>
        <v>1.2818338004189959E-3</v>
      </c>
      <c r="E58" s="72">
        <f t="shared" si="49"/>
        <v>1.2307687193610529E-3</v>
      </c>
      <c r="F58" s="72">
        <f t="shared" si="49"/>
        <v>1.0687594873441174E-3</v>
      </c>
      <c r="G58" s="72">
        <f t="shared" si="49"/>
        <v>1.1143618732049696E-3</v>
      </c>
      <c r="H58" s="72">
        <f t="shared" si="49"/>
        <v>1.223533440440206E-3</v>
      </c>
      <c r="I58" s="72">
        <f t="shared" si="49"/>
        <v>1.2194099046606741E-3</v>
      </c>
      <c r="J58" s="72">
        <f t="shared" si="49"/>
        <v>1.1610250773443705E-3</v>
      </c>
      <c r="K58" s="72">
        <f t="shared" si="49"/>
        <v>1.2228584621162312E-3</v>
      </c>
      <c r="L58" s="72">
        <f t="shared" si="49"/>
        <v>1.4403560630683043E-3</v>
      </c>
      <c r="M58" s="72">
        <f t="shared" si="49"/>
        <v>1.427992306438926E-3</v>
      </c>
      <c r="N58" s="72">
        <f t="shared" si="49"/>
        <v>1.3170423779668109E-3</v>
      </c>
      <c r="O58" s="72">
        <f t="shared" si="49"/>
        <v>1.3337724922225609E-3</v>
      </c>
      <c r="P58" s="72">
        <f t="shared" si="49"/>
        <v>1.2504800004572224E-3</v>
      </c>
      <c r="Q58" s="72">
        <f t="shared" si="49"/>
        <v>1.2144195130244814E-3</v>
      </c>
      <c r="R58" s="72">
        <f t="shared" si="49"/>
        <v>1.1395560844431212E-3</v>
      </c>
      <c r="S58" s="72">
        <f t="shared" si="49"/>
        <v>1.2268736132503364E-3</v>
      </c>
      <c r="T58" s="72">
        <f t="shared" si="49"/>
        <v>1.2855376185325089E-3</v>
      </c>
      <c r="U58" s="72">
        <f t="shared" si="49"/>
        <v>1.292655421859212E-3</v>
      </c>
      <c r="V58" s="72">
        <f t="shared" si="49"/>
        <v>1.2299852376465102E-3</v>
      </c>
      <c r="W58" s="72">
        <f t="shared" si="49"/>
        <v>1.2716274935083969E-3</v>
      </c>
      <c r="X58" s="72">
        <f t="shared" ref="X58:Y58" si="50">IF(X50=0,0,X50/X$47)</f>
        <v>1.4023871693949396E-3</v>
      </c>
      <c r="Y58" s="72">
        <f t="shared" si="50"/>
        <v>1.4613517079183308E-3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0.10679570375613658</v>
      </c>
      <c r="C59" s="72">
        <f t="shared" ref="C59:W59" si="52">IF(C51=0,0,C51/C$47)</f>
        <v>0.10542911839339489</v>
      </c>
      <c r="D59" s="72">
        <f t="shared" si="52"/>
        <v>0.10416960189870532</v>
      </c>
      <c r="E59" s="72">
        <f t="shared" si="52"/>
        <v>9.3795299390614664E-2</v>
      </c>
      <c r="F59" s="72">
        <f t="shared" si="52"/>
        <v>8.3034239338524662E-2</v>
      </c>
      <c r="G59" s="72">
        <f t="shared" si="52"/>
        <v>8.4716979189180974E-2</v>
      </c>
      <c r="H59" s="72">
        <f t="shared" si="52"/>
        <v>8.5717576361308473E-2</v>
      </c>
      <c r="I59" s="72">
        <f t="shared" si="52"/>
        <v>8.1955261118075967E-2</v>
      </c>
      <c r="J59" s="72">
        <f t="shared" si="52"/>
        <v>7.7065322536340256E-2</v>
      </c>
      <c r="K59" s="72">
        <f t="shared" si="52"/>
        <v>7.8458774782773771E-2</v>
      </c>
      <c r="L59" s="72">
        <f t="shared" si="52"/>
        <v>7.7524166926061108E-2</v>
      </c>
      <c r="M59" s="72">
        <f t="shared" si="52"/>
        <v>8.5444169826001976E-2</v>
      </c>
      <c r="N59" s="72">
        <f t="shared" si="52"/>
        <v>8.2006214036451572E-2</v>
      </c>
      <c r="O59" s="72">
        <f t="shared" si="52"/>
        <v>8.3264786637112786E-2</v>
      </c>
      <c r="P59" s="72">
        <f t="shared" si="52"/>
        <v>7.6979400910533874E-2</v>
      </c>
      <c r="Q59" s="72">
        <f t="shared" si="52"/>
        <v>7.7808919040882787E-2</v>
      </c>
      <c r="R59" s="72">
        <f t="shared" si="52"/>
        <v>7.1584986882454557E-2</v>
      </c>
      <c r="S59" s="72">
        <f t="shared" si="52"/>
        <v>7.6869408503181691E-2</v>
      </c>
      <c r="T59" s="72">
        <f t="shared" si="52"/>
        <v>7.3591230422413001E-2</v>
      </c>
      <c r="U59" s="72">
        <f t="shared" si="52"/>
        <v>7.8847327395700134E-2</v>
      </c>
      <c r="V59" s="72">
        <f t="shared" si="52"/>
        <v>7.4442849554350765E-2</v>
      </c>
      <c r="W59" s="72">
        <f t="shared" si="52"/>
        <v>7.3042643830636175E-2</v>
      </c>
      <c r="X59" s="72">
        <f t="shared" ref="X59:Y59" si="53">IF(X51=0,0,X51/X$47)</f>
        <v>8.3569383711964734E-2</v>
      </c>
      <c r="Y59" s="72">
        <f t="shared" si="53"/>
        <v>9.5661514319552762E-2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9.5425235534834452E-2</v>
      </c>
      <c r="C60" s="73">
        <f t="shared" ref="C60:W60" si="55">IF(C52=0,0,C52/C$47)</f>
        <v>9.7505000960327673E-2</v>
      </c>
      <c r="D60" s="73">
        <f t="shared" si="55"/>
        <v>9.9229647402023016E-2</v>
      </c>
      <c r="E60" s="73">
        <f t="shared" si="55"/>
        <v>9.2328470028318968E-2</v>
      </c>
      <c r="F60" s="73">
        <f t="shared" si="55"/>
        <v>8.4127471905617465E-2</v>
      </c>
      <c r="G60" s="73">
        <f t="shared" si="55"/>
        <v>8.7718348381732231E-2</v>
      </c>
      <c r="H60" s="73">
        <f t="shared" si="55"/>
        <v>8.9049170201575156E-2</v>
      </c>
      <c r="I60" s="73">
        <f t="shared" si="55"/>
        <v>8.8502281433129687E-2</v>
      </c>
      <c r="J60" s="73">
        <f t="shared" si="55"/>
        <v>8.4841813678313505E-2</v>
      </c>
      <c r="K60" s="73">
        <f t="shared" si="55"/>
        <v>9.0446589620544568E-2</v>
      </c>
      <c r="L60" s="73">
        <f t="shared" si="55"/>
        <v>9.122885380192286E-2</v>
      </c>
      <c r="M60" s="73">
        <f t="shared" si="55"/>
        <v>9.9485267505239769E-2</v>
      </c>
      <c r="N60" s="73">
        <f t="shared" si="55"/>
        <v>9.4834248672444374E-2</v>
      </c>
      <c r="O60" s="73">
        <f t="shared" si="55"/>
        <v>9.8676514834330903E-2</v>
      </c>
      <c r="P60" s="73">
        <f t="shared" si="55"/>
        <v>9.0074778306372505E-2</v>
      </c>
      <c r="Q60" s="73">
        <f t="shared" si="55"/>
        <v>8.9218450867768528E-2</v>
      </c>
      <c r="R60" s="73">
        <f t="shared" si="55"/>
        <v>8.430090869053937E-2</v>
      </c>
      <c r="S60" s="73">
        <f t="shared" si="55"/>
        <v>9.2183580623006356E-2</v>
      </c>
      <c r="T60" s="73">
        <f t="shared" si="55"/>
        <v>8.7089679025767558E-2</v>
      </c>
      <c r="U60" s="73">
        <f t="shared" si="55"/>
        <v>9.3374488569091516E-2</v>
      </c>
      <c r="V60" s="73">
        <f t="shared" si="55"/>
        <v>8.59286155058267E-2</v>
      </c>
      <c r="W60" s="73">
        <f t="shared" si="55"/>
        <v>8.7646115295773819E-2</v>
      </c>
      <c r="X60" s="73">
        <f t="shared" ref="X60:Y60" si="56">IF(X52=0,0,X52/X$47)</f>
        <v>0.1061632946854196</v>
      </c>
      <c r="Y60" s="73">
        <f t="shared" si="56"/>
        <v>0.12572811082690377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0.1854692499721132</v>
      </c>
      <c r="C61" s="70">
        <f t="shared" ref="C61:W61" si="58">IF(C53=0,0,C53/C$47)</f>
        <v>0.19400451482473818</v>
      </c>
      <c r="D61" s="70">
        <f t="shared" si="58"/>
        <v>0.20468168236945591</v>
      </c>
      <c r="E61" s="70">
        <f t="shared" si="58"/>
        <v>0.19425313964468016</v>
      </c>
      <c r="F61" s="70">
        <f t="shared" si="58"/>
        <v>0.18443675327603987</v>
      </c>
      <c r="G61" s="70">
        <f t="shared" si="58"/>
        <v>0.19192835999010704</v>
      </c>
      <c r="H61" s="70">
        <f t="shared" si="58"/>
        <v>0.20106839458214484</v>
      </c>
      <c r="I61" s="70">
        <f t="shared" si="58"/>
        <v>0.2043037813536219</v>
      </c>
      <c r="J61" s="70">
        <f t="shared" si="58"/>
        <v>0.19631985586361517</v>
      </c>
      <c r="K61" s="70">
        <f t="shared" si="58"/>
        <v>0.20703014966221214</v>
      </c>
      <c r="L61" s="70">
        <f t="shared" si="58"/>
        <v>0.20901895122161079</v>
      </c>
      <c r="M61" s="70">
        <f t="shared" si="58"/>
        <v>0.22339963386960096</v>
      </c>
      <c r="N61" s="70">
        <f t="shared" si="58"/>
        <v>0.21616592731650586</v>
      </c>
      <c r="O61" s="70">
        <f t="shared" si="58"/>
        <v>0.22411789400455873</v>
      </c>
      <c r="P61" s="70">
        <f t="shared" si="58"/>
        <v>0.21162043484186582</v>
      </c>
      <c r="Q61" s="70">
        <f t="shared" si="58"/>
        <v>0.21618739533058134</v>
      </c>
      <c r="R61" s="70">
        <f t="shared" si="58"/>
        <v>0.20477158545766125</v>
      </c>
      <c r="S61" s="70">
        <f t="shared" si="58"/>
        <v>0.21869379673344366</v>
      </c>
      <c r="T61" s="70">
        <f t="shared" si="58"/>
        <v>0.2074008784522309</v>
      </c>
      <c r="U61" s="70">
        <f t="shared" si="58"/>
        <v>0.21840281875526341</v>
      </c>
      <c r="V61" s="70">
        <f t="shared" si="58"/>
        <v>0.21418493424401019</v>
      </c>
      <c r="W61" s="70">
        <f t="shared" si="58"/>
        <v>0.20777682086444307</v>
      </c>
      <c r="X61" s="70">
        <f t="shared" ref="X61:Y61" si="59">IF(X53=0,0,X53/X$47)</f>
        <v>0.22841481809579056</v>
      </c>
      <c r="Y61" s="70">
        <f t="shared" si="59"/>
        <v>0.24543403724729598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217.93047548214881</v>
      </c>
      <c r="C65" s="80">
        <v>287.42059230719656</v>
      </c>
      <c r="D65" s="80">
        <v>231.03616708363205</v>
      </c>
      <c r="E65" s="80">
        <v>303.92520810651149</v>
      </c>
      <c r="F65" s="80">
        <v>293.24959444061028</v>
      </c>
      <c r="G65" s="80">
        <v>283.42368009005497</v>
      </c>
      <c r="H65" s="80">
        <v>247.81814218095616</v>
      </c>
      <c r="I65" s="80">
        <v>243.80627754773025</v>
      </c>
      <c r="J65" s="80">
        <v>211.51025166334409</v>
      </c>
      <c r="K65" s="80">
        <v>184.48655097066126</v>
      </c>
      <c r="L65" s="80">
        <v>172.60887602864909</v>
      </c>
      <c r="M65" s="80">
        <v>214.37343717323699</v>
      </c>
      <c r="N65" s="80">
        <v>227.57453617472686</v>
      </c>
      <c r="O65" s="80">
        <v>241.14934078044226</v>
      </c>
      <c r="P65" s="80">
        <v>262.74325561509659</v>
      </c>
      <c r="Q65" s="80">
        <v>278.50618950956556</v>
      </c>
      <c r="R65" s="80">
        <v>279.68308929209968</v>
      </c>
      <c r="S65" s="80">
        <v>265.56915151389023</v>
      </c>
      <c r="T65" s="80">
        <v>271.03344916101145</v>
      </c>
      <c r="U65" s="80">
        <v>241.51037713677516</v>
      </c>
      <c r="V65" s="80">
        <v>246.11125362131006</v>
      </c>
      <c r="W65" s="80">
        <v>257.64100804029033</v>
      </c>
      <c r="X65" s="80">
        <v>187.33916425901</v>
      </c>
      <c r="Y65" s="80">
        <v>183.65054023047634</v>
      </c>
      <c r="DA65" s="103" t="s">
        <v>219</v>
      </c>
    </row>
    <row r="66" spans="1:105" ht="12" customHeight="1" x14ac:dyDescent="0.25">
      <c r="A66" s="58" t="s">
        <v>29</v>
      </c>
      <c r="B66" s="59">
        <v>22.585157962148777</v>
      </c>
      <c r="C66" s="59">
        <v>27.77286390719652</v>
      </c>
      <c r="D66" s="59">
        <v>24.312761563632037</v>
      </c>
      <c r="E66" s="59">
        <v>26.008082346511472</v>
      </c>
      <c r="F66" s="59">
        <v>25.362541000610264</v>
      </c>
      <c r="G66" s="59">
        <v>29.623188330054955</v>
      </c>
      <c r="H66" s="59">
        <v>18.24192946095615</v>
      </c>
      <c r="I66" s="59">
        <v>19.880949907730233</v>
      </c>
      <c r="J66" s="59">
        <v>14.002714383344072</v>
      </c>
      <c r="K66" s="59">
        <v>11.172600570661256</v>
      </c>
      <c r="L66" s="59">
        <v>9.4869500686490582</v>
      </c>
      <c r="M66" s="59">
        <v>6.9010286132370053</v>
      </c>
      <c r="N66" s="59">
        <v>8.4123922947268586</v>
      </c>
      <c r="O66" s="59">
        <v>13.611110740442202</v>
      </c>
      <c r="P66" s="59">
        <v>8.32575409509659</v>
      </c>
      <c r="Q66" s="59">
        <v>7.1396914295655396</v>
      </c>
      <c r="R66" s="59">
        <v>9.2853724520997147</v>
      </c>
      <c r="S66" s="59">
        <v>3.944458993890164</v>
      </c>
      <c r="T66" s="59">
        <v>4.1469743598300726</v>
      </c>
      <c r="U66" s="59">
        <v>3.7904892474379381</v>
      </c>
      <c r="V66" s="59">
        <v>4.0760449538154866</v>
      </c>
      <c r="W66" s="59">
        <v>4.0025660776030403</v>
      </c>
      <c r="X66" s="59">
        <v>4.3786274399999989</v>
      </c>
      <c r="Y66" s="59">
        <v>1.8878020112179166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170.30227752000002</v>
      </c>
      <c r="C67" s="55">
        <f t="shared" ref="C67:W67" si="60">SUM(C68:C69)</f>
        <v>206.98665840000001</v>
      </c>
      <c r="D67" s="55">
        <f t="shared" si="60"/>
        <v>142.09620552000001</v>
      </c>
      <c r="E67" s="55">
        <f t="shared" si="60"/>
        <v>127.10349576000002</v>
      </c>
      <c r="F67" s="55">
        <f t="shared" si="60"/>
        <v>130.40278344000001</v>
      </c>
      <c r="G67" s="55">
        <f t="shared" si="60"/>
        <v>145.19650176000002</v>
      </c>
      <c r="H67" s="55">
        <f t="shared" si="60"/>
        <v>113.90362271999999</v>
      </c>
      <c r="I67" s="55">
        <f t="shared" si="60"/>
        <v>120.82474764000001</v>
      </c>
      <c r="J67" s="55">
        <f t="shared" si="60"/>
        <v>117.78382728</v>
      </c>
      <c r="K67" s="55">
        <f t="shared" si="60"/>
        <v>109.29263039999999</v>
      </c>
      <c r="L67" s="55">
        <f t="shared" si="60"/>
        <v>93.294255960000015</v>
      </c>
      <c r="M67" s="55">
        <f t="shared" si="60"/>
        <v>134.66582855999999</v>
      </c>
      <c r="N67" s="55">
        <f t="shared" si="60"/>
        <v>137.26736388</v>
      </c>
      <c r="O67" s="55">
        <f t="shared" si="60"/>
        <v>125.80088004000002</v>
      </c>
      <c r="P67" s="55">
        <f t="shared" si="60"/>
        <v>97.444091520000001</v>
      </c>
      <c r="Q67" s="55">
        <f t="shared" si="60"/>
        <v>106.97105808000001</v>
      </c>
      <c r="R67" s="55">
        <f t="shared" si="60"/>
        <v>84.089616839999991</v>
      </c>
      <c r="S67" s="55">
        <f t="shared" si="60"/>
        <v>95.106047040000021</v>
      </c>
      <c r="T67" s="55">
        <f t="shared" si="60"/>
        <v>88.692540840000007</v>
      </c>
      <c r="U67" s="55">
        <f t="shared" si="60"/>
        <v>66.561165000000017</v>
      </c>
      <c r="V67" s="55">
        <f t="shared" si="60"/>
        <v>67.520990519999998</v>
      </c>
      <c r="W67" s="55">
        <f t="shared" si="60"/>
        <v>69.820273080000007</v>
      </c>
      <c r="X67" s="55">
        <f t="shared" ref="X67:Y67" si="61">SUM(X68:X69)</f>
        <v>75.801861000000017</v>
      </c>
      <c r="Y67" s="55">
        <f t="shared" si="61"/>
        <v>93.600970559999993</v>
      </c>
      <c r="DA67" s="101"/>
    </row>
    <row r="68" spans="1:105" ht="12" customHeight="1" x14ac:dyDescent="0.25">
      <c r="A68" s="61" t="s">
        <v>52</v>
      </c>
      <c r="B68" s="55">
        <v>0</v>
      </c>
      <c r="C68" s="55">
        <v>0</v>
      </c>
      <c r="D68" s="55">
        <v>0</v>
      </c>
      <c r="E68" s="55">
        <v>0</v>
      </c>
      <c r="F68" s="55">
        <v>2.8710752400000015</v>
      </c>
      <c r="G68" s="55">
        <v>2.8710752400000015</v>
      </c>
      <c r="H68" s="55">
        <v>2.8710752400000015</v>
      </c>
      <c r="I68" s="55">
        <v>2.8710752400000015</v>
      </c>
      <c r="J68" s="55">
        <v>2.8710752400000015</v>
      </c>
      <c r="K68" s="55">
        <v>2.8710752400000015</v>
      </c>
      <c r="L68" s="55">
        <v>2.8429073999999996</v>
      </c>
      <c r="M68" s="55">
        <v>2.8429073999999996</v>
      </c>
      <c r="N68" s="55">
        <v>2.8710752400000015</v>
      </c>
      <c r="O68" s="55">
        <v>2.8710752400000015</v>
      </c>
      <c r="P68" s="55">
        <v>2.8710752400000015</v>
      </c>
      <c r="Q68" s="55">
        <v>2.8710752400000015</v>
      </c>
      <c r="R68" s="55">
        <v>5.7421504800000003</v>
      </c>
      <c r="S68" s="55">
        <v>8.6132257200000026</v>
      </c>
      <c r="T68" s="55">
        <v>2.8710752400000015</v>
      </c>
      <c r="U68" s="55">
        <v>5.7421504800000003</v>
      </c>
      <c r="V68" s="55">
        <v>5.9431870799999995</v>
      </c>
      <c r="W68" s="55">
        <v>4.3064992799999988</v>
      </c>
      <c r="X68" s="55">
        <v>5.7421504800000003</v>
      </c>
      <c r="Y68" s="55">
        <v>10.447769880000001</v>
      </c>
      <c r="DA68" s="101" t="s">
        <v>221</v>
      </c>
    </row>
    <row r="69" spans="1:105" ht="12" customHeight="1" x14ac:dyDescent="0.25">
      <c r="A69" s="61" t="s">
        <v>163</v>
      </c>
      <c r="B69" s="55">
        <v>170.30227752000002</v>
      </c>
      <c r="C69" s="55">
        <v>206.98665840000001</v>
      </c>
      <c r="D69" s="55">
        <v>142.09620552000001</v>
      </c>
      <c r="E69" s="55">
        <v>127.10349576000002</v>
      </c>
      <c r="F69" s="55">
        <v>127.53170820000001</v>
      </c>
      <c r="G69" s="55">
        <v>142.32542652000001</v>
      </c>
      <c r="H69" s="55">
        <v>111.03254747999999</v>
      </c>
      <c r="I69" s="55">
        <v>117.95367240000002</v>
      </c>
      <c r="J69" s="55">
        <v>114.91275204</v>
      </c>
      <c r="K69" s="55">
        <v>106.42155516</v>
      </c>
      <c r="L69" s="55">
        <v>90.451348560000014</v>
      </c>
      <c r="M69" s="55">
        <v>131.82292115999999</v>
      </c>
      <c r="N69" s="55">
        <v>134.39628863999999</v>
      </c>
      <c r="O69" s="55">
        <v>122.92980480000003</v>
      </c>
      <c r="P69" s="55">
        <v>94.573016280000004</v>
      </c>
      <c r="Q69" s="55">
        <v>104.09998284000001</v>
      </c>
      <c r="R69" s="55">
        <v>78.347466359999984</v>
      </c>
      <c r="S69" s="55">
        <v>86.492821320000019</v>
      </c>
      <c r="T69" s="55">
        <v>85.82146560000001</v>
      </c>
      <c r="U69" s="55">
        <v>60.819014520000017</v>
      </c>
      <c r="V69" s="55">
        <v>61.577803439999997</v>
      </c>
      <c r="W69" s="55">
        <v>65.51377380000001</v>
      </c>
      <c r="X69" s="55">
        <v>70.05971052000001</v>
      </c>
      <c r="Y69" s="55">
        <v>83.153200679999998</v>
      </c>
      <c r="DA69" s="101" t="s">
        <v>222</v>
      </c>
    </row>
    <row r="70" spans="1:105" ht="12" customHeight="1" x14ac:dyDescent="0.25">
      <c r="A70" s="60" t="s">
        <v>149</v>
      </c>
      <c r="B70" s="55">
        <v>25.043040000000008</v>
      </c>
      <c r="C70" s="55">
        <v>52.661069999999995</v>
      </c>
      <c r="D70" s="55">
        <v>64.627200000000002</v>
      </c>
      <c r="E70" s="55">
        <v>150.81363000000002</v>
      </c>
      <c r="F70" s="55">
        <v>137.48427000000001</v>
      </c>
      <c r="G70" s="55">
        <v>108.60399000000001</v>
      </c>
      <c r="H70" s="55">
        <v>115.67259000000003</v>
      </c>
      <c r="I70" s="55">
        <v>103.10057999999999</v>
      </c>
      <c r="J70" s="55">
        <v>79.723710000000025</v>
      </c>
      <c r="K70" s="55">
        <v>64.021319999999989</v>
      </c>
      <c r="L70" s="55">
        <v>69.827670000000012</v>
      </c>
      <c r="M70" s="55">
        <v>72.806579999999997</v>
      </c>
      <c r="N70" s="55">
        <v>81.894779999999997</v>
      </c>
      <c r="O70" s="55">
        <v>101.73735000000002</v>
      </c>
      <c r="P70" s="55">
        <v>156.97341</v>
      </c>
      <c r="Q70" s="55">
        <v>164.39544000000001</v>
      </c>
      <c r="R70" s="55">
        <v>186.3081</v>
      </c>
      <c r="S70" s="55">
        <v>166.51864548000003</v>
      </c>
      <c r="T70" s="55">
        <v>178.19393396118139</v>
      </c>
      <c r="U70" s="55">
        <v>171.15872288933721</v>
      </c>
      <c r="V70" s="55">
        <v>174.51421814749457</v>
      </c>
      <c r="W70" s="55">
        <v>183.8181688826873</v>
      </c>
      <c r="X70" s="55">
        <v>107.15867581900999</v>
      </c>
      <c r="Y70" s="55">
        <v>88.161767659258416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0</v>
      </c>
      <c r="F71" s="55">
        <f t="shared" si="62"/>
        <v>0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0</v>
      </c>
      <c r="K71" s="55">
        <f t="shared" si="62"/>
        <v>0</v>
      </c>
      <c r="L71" s="55">
        <f t="shared" si="62"/>
        <v>0</v>
      </c>
      <c r="M71" s="55">
        <f t="shared" si="62"/>
        <v>0</v>
      </c>
      <c r="N71" s="55">
        <f t="shared" si="62"/>
        <v>0</v>
      </c>
      <c r="O71" s="55">
        <f t="shared" si="62"/>
        <v>0</v>
      </c>
      <c r="P71" s="55">
        <f t="shared" si="62"/>
        <v>0</v>
      </c>
      <c r="Q71" s="55">
        <f t="shared" si="62"/>
        <v>0</v>
      </c>
      <c r="R71" s="55">
        <f t="shared" si="62"/>
        <v>0</v>
      </c>
      <c r="S71" s="55">
        <f t="shared" si="62"/>
        <v>0</v>
      </c>
      <c r="T71" s="55">
        <f t="shared" si="62"/>
        <v>0</v>
      </c>
      <c r="U71" s="55">
        <f t="shared" si="62"/>
        <v>0</v>
      </c>
      <c r="V71" s="55">
        <f t="shared" si="62"/>
        <v>0</v>
      </c>
      <c r="W71" s="55">
        <f t="shared" si="62"/>
        <v>0</v>
      </c>
      <c r="X71" s="55">
        <f t="shared" ref="X71:Y71" si="63">SUM(X72:X76)</f>
        <v>0</v>
      </c>
      <c r="Y71" s="55">
        <f t="shared" si="63"/>
        <v>0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217.93047548214881</v>
      </c>
      <c r="C81" s="82">
        <f t="shared" ref="C81:W81" si="65">C82+C87</f>
        <v>287.4205923071965</v>
      </c>
      <c r="D81" s="82">
        <f t="shared" si="65"/>
        <v>231.03616708363205</v>
      </c>
      <c r="E81" s="82">
        <f t="shared" si="65"/>
        <v>303.92520810651149</v>
      </c>
      <c r="F81" s="82">
        <f t="shared" si="65"/>
        <v>293.24959444061028</v>
      </c>
      <c r="G81" s="82">
        <f t="shared" si="65"/>
        <v>283.42368009005492</v>
      </c>
      <c r="H81" s="82">
        <f t="shared" si="65"/>
        <v>247.81814218095619</v>
      </c>
      <c r="I81" s="82">
        <f t="shared" si="65"/>
        <v>243.80627754773025</v>
      </c>
      <c r="J81" s="82">
        <f t="shared" si="65"/>
        <v>211.51025166334406</v>
      </c>
      <c r="K81" s="82">
        <f t="shared" si="65"/>
        <v>184.4865509706612</v>
      </c>
      <c r="L81" s="82">
        <f t="shared" si="65"/>
        <v>172.60887602864906</v>
      </c>
      <c r="M81" s="82">
        <f t="shared" si="65"/>
        <v>214.37343717323705</v>
      </c>
      <c r="N81" s="82">
        <f t="shared" si="65"/>
        <v>227.57453617472672</v>
      </c>
      <c r="O81" s="82">
        <f t="shared" si="65"/>
        <v>241.14934078044226</v>
      </c>
      <c r="P81" s="82">
        <f t="shared" si="65"/>
        <v>262.74325561509653</v>
      </c>
      <c r="Q81" s="82">
        <f t="shared" si="65"/>
        <v>278.50618950956556</v>
      </c>
      <c r="R81" s="82">
        <f t="shared" si="65"/>
        <v>279.68308929209962</v>
      </c>
      <c r="S81" s="82">
        <f t="shared" si="65"/>
        <v>265.56915151389023</v>
      </c>
      <c r="T81" s="82">
        <f t="shared" si="65"/>
        <v>271.03344916101139</v>
      </c>
      <c r="U81" s="82">
        <f t="shared" si="65"/>
        <v>241.51037713677516</v>
      </c>
      <c r="V81" s="82">
        <f t="shared" si="65"/>
        <v>246.11125362131003</v>
      </c>
      <c r="W81" s="82">
        <f t="shared" si="65"/>
        <v>257.64100804029044</v>
      </c>
      <c r="X81" s="82">
        <f t="shared" ref="X81:Y81" si="66">X82+X87</f>
        <v>187.33916425901</v>
      </c>
      <c r="Y81" s="82">
        <f t="shared" si="66"/>
        <v>183.65054023047634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217.93047548214881</v>
      </c>
      <c r="C82" s="64">
        <f t="shared" ref="C82:W82" si="68">SUM(C83:C86)</f>
        <v>287.4205923071965</v>
      </c>
      <c r="D82" s="64">
        <f t="shared" si="68"/>
        <v>231.03616708363205</v>
      </c>
      <c r="E82" s="64">
        <f t="shared" si="68"/>
        <v>303.92520810651149</v>
      </c>
      <c r="F82" s="64">
        <f t="shared" si="68"/>
        <v>293.24959444061028</v>
      </c>
      <c r="G82" s="64">
        <f t="shared" si="68"/>
        <v>283.42368009005492</v>
      </c>
      <c r="H82" s="64">
        <f t="shared" si="68"/>
        <v>247.81814218095619</v>
      </c>
      <c r="I82" s="64">
        <f t="shared" si="68"/>
        <v>243.80627754773025</v>
      </c>
      <c r="J82" s="64">
        <f t="shared" si="68"/>
        <v>211.51025166334406</v>
      </c>
      <c r="K82" s="64">
        <f t="shared" si="68"/>
        <v>184.4865509706612</v>
      </c>
      <c r="L82" s="64">
        <f t="shared" si="68"/>
        <v>172.60887602864906</v>
      </c>
      <c r="M82" s="64">
        <f t="shared" si="68"/>
        <v>214.37343717323705</v>
      </c>
      <c r="N82" s="64">
        <f t="shared" si="68"/>
        <v>227.57453617472672</v>
      </c>
      <c r="O82" s="64">
        <f t="shared" si="68"/>
        <v>241.14934078044226</v>
      </c>
      <c r="P82" s="64">
        <f t="shared" si="68"/>
        <v>262.74325561509653</v>
      </c>
      <c r="Q82" s="64">
        <f t="shared" si="68"/>
        <v>278.50618950956556</v>
      </c>
      <c r="R82" s="64">
        <f t="shared" si="68"/>
        <v>279.68308929209962</v>
      </c>
      <c r="S82" s="64">
        <f t="shared" si="68"/>
        <v>265.56915151389023</v>
      </c>
      <c r="T82" s="64">
        <f t="shared" si="68"/>
        <v>271.03344916101139</v>
      </c>
      <c r="U82" s="64">
        <f t="shared" si="68"/>
        <v>241.51037713677516</v>
      </c>
      <c r="V82" s="64">
        <f t="shared" si="68"/>
        <v>246.11125362131003</v>
      </c>
      <c r="W82" s="64">
        <f t="shared" si="68"/>
        <v>257.64100804029044</v>
      </c>
      <c r="X82" s="64">
        <f t="shared" ref="X82:Y82" si="69">SUM(X83:X86)</f>
        <v>187.33916425901</v>
      </c>
      <c r="Y82" s="64">
        <f t="shared" si="69"/>
        <v>183.65054023047634</v>
      </c>
      <c r="DA82" s="108" t="s">
        <v>233</v>
      </c>
    </row>
    <row r="83" spans="1:105" ht="12" customHeight="1" x14ac:dyDescent="0.25">
      <c r="A83" s="61" t="s">
        <v>32</v>
      </c>
      <c r="B83" s="65">
        <v>190.49495620506926</v>
      </c>
      <c r="C83" s="65">
        <v>252.11402535610603</v>
      </c>
      <c r="D83" s="65">
        <v>194.94765638790065</v>
      </c>
      <c r="E83" s="65">
        <v>272.61184547905629</v>
      </c>
      <c r="F83" s="65">
        <v>261.5709559799929</v>
      </c>
      <c r="G83" s="65">
        <v>252.70799871080186</v>
      </c>
      <c r="H83" s="65">
        <v>218.00856887230975</v>
      </c>
      <c r="I83" s="65">
        <v>214.73877691301072</v>
      </c>
      <c r="J83" s="65">
        <v>182.6665116361805</v>
      </c>
      <c r="K83" s="65">
        <v>156.97240075070133</v>
      </c>
      <c r="L83" s="65">
        <v>144.94183895833243</v>
      </c>
      <c r="M83" s="65">
        <v>185.57472292147821</v>
      </c>
      <c r="N83" s="65">
        <v>197.90331044899841</v>
      </c>
      <c r="O83" s="65">
        <v>209.55544525429451</v>
      </c>
      <c r="P83" s="65">
        <v>227.282950336292</v>
      </c>
      <c r="Q83" s="65">
        <v>242.57689557751908</v>
      </c>
      <c r="R83" s="65">
        <v>238.17144527931248</v>
      </c>
      <c r="S83" s="65">
        <v>220.01393200785378</v>
      </c>
      <c r="T83" s="65">
        <v>228.01431186022671</v>
      </c>
      <c r="U83" s="65">
        <v>193.84775606284984</v>
      </c>
      <c r="V83" s="65">
        <v>198.69927933611865</v>
      </c>
      <c r="W83" s="65">
        <v>213.748641744586</v>
      </c>
      <c r="X83" s="65">
        <v>146.31316601295907</v>
      </c>
      <c r="Y83" s="65">
        <v>140.31489454271178</v>
      </c>
      <c r="DA83" s="109" t="s">
        <v>234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DA84" s="109" t="s">
        <v>235</v>
      </c>
    </row>
    <row r="85" spans="1:105" ht="12" customHeight="1" x14ac:dyDescent="0.25">
      <c r="A85" s="61" t="s">
        <v>35</v>
      </c>
      <c r="B85" s="65">
        <v>24.962999842159064</v>
      </c>
      <c r="C85" s="65">
        <v>27.218497451220529</v>
      </c>
      <c r="D85" s="65">
        <v>24.571973868952167</v>
      </c>
      <c r="E85" s="65">
        <v>19.675340855531584</v>
      </c>
      <c r="F85" s="65">
        <v>17.348990875429525</v>
      </c>
      <c r="G85" s="65">
        <v>16.691589825437944</v>
      </c>
      <c r="H85" s="65">
        <v>16.100213957165575</v>
      </c>
      <c r="I85" s="65">
        <v>15.67076815634211</v>
      </c>
      <c r="J85" s="65">
        <v>15.752136229276889</v>
      </c>
      <c r="K85" s="65">
        <v>15.412452436821042</v>
      </c>
      <c r="L85" s="65">
        <v>15.107619621444059</v>
      </c>
      <c r="M85" s="65">
        <v>16.050526139001047</v>
      </c>
      <c r="N85" s="65">
        <v>16.157546301340236</v>
      </c>
      <c r="O85" s="65">
        <v>18.309087061401399</v>
      </c>
      <c r="P85" s="65">
        <v>21.870723510829478</v>
      </c>
      <c r="Q85" s="65">
        <v>22.11971595373425</v>
      </c>
      <c r="R85" s="65">
        <v>21.227208001079717</v>
      </c>
      <c r="S85" s="65">
        <v>22.35725105983871</v>
      </c>
      <c r="T85" s="65">
        <v>23.867509903623422</v>
      </c>
      <c r="U85" s="65">
        <v>22.808503044253886</v>
      </c>
      <c r="V85" s="65">
        <v>22.881684568218354</v>
      </c>
      <c r="W85" s="65">
        <v>21.636561853246942</v>
      </c>
      <c r="X85" s="65">
        <v>20.201243330471801</v>
      </c>
      <c r="Y85" s="65">
        <v>18.565585255600944</v>
      </c>
      <c r="DA85" s="109" t="s">
        <v>236</v>
      </c>
    </row>
    <row r="86" spans="1:105" ht="12" customHeight="1" x14ac:dyDescent="0.25">
      <c r="A86" s="66" t="s">
        <v>34</v>
      </c>
      <c r="B86" s="67">
        <v>2.4725194349204864</v>
      </c>
      <c r="C86" s="67">
        <v>8.0880694998699614</v>
      </c>
      <c r="D86" s="67">
        <v>11.516536826779236</v>
      </c>
      <c r="E86" s="67">
        <v>11.638021771923617</v>
      </c>
      <c r="F86" s="67">
        <v>14.329647585187871</v>
      </c>
      <c r="G86" s="67">
        <v>14.024091553815131</v>
      </c>
      <c r="H86" s="67">
        <v>13.709359351480856</v>
      </c>
      <c r="I86" s="67">
        <v>13.396732478377402</v>
      </c>
      <c r="J86" s="67">
        <v>13.091603797886668</v>
      </c>
      <c r="K86" s="67">
        <v>12.101697783138817</v>
      </c>
      <c r="L86" s="67">
        <v>12.559417448872587</v>
      </c>
      <c r="M86" s="67">
        <v>12.7481881127578</v>
      </c>
      <c r="N86" s="67">
        <v>13.513679424388075</v>
      </c>
      <c r="O86" s="67">
        <v>13.28480846474636</v>
      </c>
      <c r="P86" s="67">
        <v>13.589581767975051</v>
      </c>
      <c r="Q86" s="67">
        <v>13.809577978312255</v>
      </c>
      <c r="R86" s="67">
        <v>20.284436011707427</v>
      </c>
      <c r="S86" s="67">
        <v>23.197968446197727</v>
      </c>
      <c r="T86" s="67">
        <v>19.151627397161256</v>
      </c>
      <c r="U86" s="67">
        <v>24.854118029671454</v>
      </c>
      <c r="V86" s="67">
        <v>24.530289716973019</v>
      </c>
      <c r="W86" s="67">
        <v>22.255804442457521</v>
      </c>
      <c r="X86" s="67">
        <v>20.824754915579113</v>
      </c>
      <c r="Y86" s="67">
        <v>24.770060432163596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0.87410884495901142</v>
      </c>
      <c r="C91" s="71">
        <f t="shared" ref="C91:W91" si="77">IF(C83=0,0,C83/C$81)</f>
        <v>0.87716062141659412</v>
      </c>
      <c r="D91" s="71">
        <f t="shared" si="77"/>
        <v>0.84379713725657579</v>
      </c>
      <c r="E91" s="71">
        <f t="shared" si="77"/>
        <v>0.89697016965936782</v>
      </c>
      <c r="F91" s="71">
        <f t="shared" si="77"/>
        <v>0.89197380299520579</v>
      </c>
      <c r="G91" s="71">
        <f t="shared" si="77"/>
        <v>0.89162627000858408</v>
      </c>
      <c r="H91" s="71">
        <f t="shared" si="77"/>
        <v>0.87971190064495131</v>
      </c>
      <c r="I91" s="71">
        <f t="shared" si="77"/>
        <v>0.88077624199389637</v>
      </c>
      <c r="J91" s="71">
        <f t="shared" si="77"/>
        <v>0.86362958863538464</v>
      </c>
      <c r="K91" s="71">
        <f t="shared" si="77"/>
        <v>0.85086094311375882</v>
      </c>
      <c r="L91" s="71">
        <f t="shared" si="77"/>
        <v>0.83971254719412836</v>
      </c>
      <c r="M91" s="71">
        <f t="shared" si="77"/>
        <v>0.86566099498378457</v>
      </c>
      <c r="N91" s="71">
        <f t="shared" si="77"/>
        <v>0.86961974645991413</v>
      </c>
      <c r="O91" s="71">
        <f t="shared" si="77"/>
        <v>0.86898618331736244</v>
      </c>
      <c r="P91" s="71">
        <f t="shared" si="77"/>
        <v>0.8650381902447315</v>
      </c>
      <c r="Q91" s="71">
        <f t="shared" si="77"/>
        <v>0.87099283504141856</v>
      </c>
      <c r="R91" s="71">
        <f t="shared" si="77"/>
        <v>0.8515761388439449</v>
      </c>
      <c r="S91" s="71">
        <f t="shared" si="77"/>
        <v>0.8284619307387675</v>
      </c>
      <c r="T91" s="71">
        <f t="shared" si="77"/>
        <v>0.8412773868540907</v>
      </c>
      <c r="U91" s="71">
        <f t="shared" si="77"/>
        <v>0.80264773034190395</v>
      </c>
      <c r="V91" s="71">
        <f t="shared" si="77"/>
        <v>0.8073555207753973</v>
      </c>
      <c r="W91" s="71">
        <f t="shared" si="77"/>
        <v>0.82963749975376411</v>
      </c>
      <c r="X91" s="71">
        <f t="shared" ref="X91:Y91" si="78">IF(X83=0,0,X83/X$81)</f>
        <v>0.78100682573063307</v>
      </c>
      <c r="Y91" s="71">
        <f t="shared" si="78"/>
        <v>0.76403202716757856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0</v>
      </c>
      <c r="C92" s="72">
        <f t="shared" ref="C92:W92" si="80">IF(C84=0,0,C84/C$81)</f>
        <v>0</v>
      </c>
      <c r="D92" s="72">
        <f t="shared" si="80"/>
        <v>0</v>
      </c>
      <c r="E92" s="72">
        <f t="shared" si="80"/>
        <v>0</v>
      </c>
      <c r="F92" s="72">
        <f t="shared" si="80"/>
        <v>0</v>
      </c>
      <c r="G92" s="72">
        <f t="shared" si="80"/>
        <v>0</v>
      </c>
      <c r="H92" s="72">
        <f t="shared" si="80"/>
        <v>0</v>
      </c>
      <c r="I92" s="72">
        <f t="shared" si="80"/>
        <v>0</v>
      </c>
      <c r="J92" s="72">
        <f t="shared" si="80"/>
        <v>0</v>
      </c>
      <c r="K92" s="72">
        <f t="shared" si="80"/>
        <v>0</v>
      </c>
      <c r="L92" s="72">
        <f t="shared" si="80"/>
        <v>0</v>
      </c>
      <c r="M92" s="72">
        <f t="shared" si="80"/>
        <v>0</v>
      </c>
      <c r="N92" s="72">
        <f t="shared" si="80"/>
        <v>0</v>
      </c>
      <c r="O92" s="72">
        <f t="shared" si="80"/>
        <v>0</v>
      </c>
      <c r="P92" s="72">
        <f t="shared" si="80"/>
        <v>0</v>
      </c>
      <c r="Q92" s="72">
        <f t="shared" si="80"/>
        <v>0</v>
      </c>
      <c r="R92" s="72">
        <f t="shared" si="80"/>
        <v>0</v>
      </c>
      <c r="S92" s="72">
        <f t="shared" si="80"/>
        <v>0</v>
      </c>
      <c r="T92" s="72">
        <f t="shared" si="80"/>
        <v>0</v>
      </c>
      <c r="U92" s="72">
        <f t="shared" si="80"/>
        <v>0</v>
      </c>
      <c r="V92" s="72">
        <f t="shared" si="80"/>
        <v>0</v>
      </c>
      <c r="W92" s="72">
        <f t="shared" si="80"/>
        <v>0</v>
      </c>
      <c r="X92" s="72">
        <f t="shared" ref="X92:Y92" si="81">IF(X84=0,0,X84/X$81)</f>
        <v>0</v>
      </c>
      <c r="Y92" s="72">
        <f t="shared" si="81"/>
        <v>0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0.11454570448181232</v>
      </c>
      <c r="C93" s="72">
        <f t="shared" ref="C93:W93" si="83">IF(C85=0,0,C85/C$81)</f>
        <v>9.4699190592889976E-2</v>
      </c>
      <c r="D93" s="72">
        <f t="shared" si="83"/>
        <v>0.1063555294356032</v>
      </c>
      <c r="E93" s="72">
        <f t="shared" si="83"/>
        <v>6.4737443064072198E-2</v>
      </c>
      <c r="F93" s="72">
        <f t="shared" si="83"/>
        <v>5.9161176023188294E-2</v>
      </c>
      <c r="G93" s="72">
        <f t="shared" si="83"/>
        <v>5.8892714328366513E-2</v>
      </c>
      <c r="H93" s="72">
        <f t="shared" si="83"/>
        <v>6.4967858347550839E-2</v>
      </c>
      <c r="I93" s="72">
        <f t="shared" si="83"/>
        <v>6.4275490828058043E-2</v>
      </c>
      <c r="J93" s="72">
        <f t="shared" si="83"/>
        <v>7.4474575607565333E-2</v>
      </c>
      <c r="K93" s="72">
        <f t="shared" si="83"/>
        <v>8.3542417350910725E-2</v>
      </c>
      <c r="L93" s="72">
        <f t="shared" si="83"/>
        <v>8.7525160750925368E-2</v>
      </c>
      <c r="M93" s="72">
        <f t="shared" si="83"/>
        <v>7.4871804784426135E-2</v>
      </c>
      <c r="N93" s="72">
        <f t="shared" si="83"/>
        <v>7.0998920059029927E-2</v>
      </c>
      <c r="O93" s="72">
        <f t="shared" si="83"/>
        <v>7.5924267518820046E-2</v>
      </c>
      <c r="P93" s="72">
        <f t="shared" si="83"/>
        <v>8.3239904520589506E-2</v>
      </c>
      <c r="Q93" s="72">
        <f t="shared" si="83"/>
        <v>7.9422708675472825E-2</v>
      </c>
      <c r="R93" s="72">
        <f t="shared" si="83"/>
        <v>7.5897359596561548E-2</v>
      </c>
      <c r="S93" s="72">
        <f t="shared" si="83"/>
        <v>8.4186174984519399E-2</v>
      </c>
      <c r="T93" s="72">
        <f t="shared" si="83"/>
        <v>8.8061122999783609E-2</v>
      </c>
      <c r="U93" s="72">
        <f t="shared" si="83"/>
        <v>9.4441089093810202E-2</v>
      </c>
      <c r="V93" s="72">
        <f t="shared" si="83"/>
        <v>9.2972930865755005E-2</v>
      </c>
      <c r="W93" s="72">
        <f t="shared" si="83"/>
        <v>8.3979495414267941E-2</v>
      </c>
      <c r="X93" s="72">
        <f t="shared" ref="X93:Y93" si="84">IF(X85=0,0,X85/X$81)</f>
        <v>0.10783246210355735</v>
      </c>
      <c r="Y93" s="72">
        <f t="shared" si="84"/>
        <v>0.10109191746619231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1.1345450559176228E-2</v>
      </c>
      <c r="C94" s="73">
        <f t="shared" ref="C94:W94" si="86">IF(C86=0,0,C86/C$81)</f>
        <v>2.8140187990515982E-2</v>
      </c>
      <c r="D94" s="73">
        <f t="shared" si="86"/>
        <v>4.9847333307821026E-2</v>
      </c>
      <c r="E94" s="73">
        <f t="shared" si="86"/>
        <v>3.8292387276559953E-2</v>
      </c>
      <c r="F94" s="73">
        <f t="shared" si="86"/>
        <v>4.8865020981606E-2</v>
      </c>
      <c r="G94" s="73">
        <f t="shared" si="86"/>
        <v>4.9481015663049473E-2</v>
      </c>
      <c r="H94" s="73">
        <f t="shared" si="86"/>
        <v>5.5320241007497814E-2</v>
      </c>
      <c r="I94" s="73">
        <f t="shared" si="86"/>
        <v>5.4948267178045518E-2</v>
      </c>
      <c r="J94" s="73">
        <f t="shared" si="86"/>
        <v>6.1895835757050058E-2</v>
      </c>
      <c r="K94" s="73">
        <f t="shared" si="86"/>
        <v>6.5596639535330376E-2</v>
      </c>
      <c r="L94" s="73">
        <f t="shared" si="86"/>
        <v>7.2762292054946331E-2</v>
      </c>
      <c r="M94" s="73">
        <f t="shared" si="86"/>
        <v>5.9467200231789343E-2</v>
      </c>
      <c r="N94" s="73">
        <f t="shared" si="86"/>
        <v>5.9381333481055933E-2</v>
      </c>
      <c r="O94" s="73">
        <f t="shared" si="86"/>
        <v>5.5089549163817524E-2</v>
      </c>
      <c r="P94" s="73">
        <f t="shared" si="86"/>
        <v>5.1721905234678955E-2</v>
      </c>
      <c r="Q94" s="73">
        <f t="shared" si="86"/>
        <v>4.9584456283108751E-2</v>
      </c>
      <c r="R94" s="73">
        <f t="shared" si="86"/>
        <v>7.2526501559493514E-2</v>
      </c>
      <c r="S94" s="73">
        <f t="shared" si="86"/>
        <v>8.7351894276713041E-2</v>
      </c>
      <c r="T94" s="73">
        <f t="shared" si="86"/>
        <v>7.0661490146125661E-2</v>
      </c>
      <c r="U94" s="73">
        <f t="shared" si="86"/>
        <v>0.1029111805642859</v>
      </c>
      <c r="V94" s="73">
        <f t="shared" si="86"/>
        <v>9.9671548358847645E-2</v>
      </c>
      <c r="W94" s="73">
        <f t="shared" si="86"/>
        <v>8.6383004831968022E-2</v>
      </c>
      <c r="X94" s="73">
        <f t="shared" ref="X94:Y94" si="87">IF(X86=0,0,X86/X$81)</f>
        <v>0.11116071216580947</v>
      </c>
      <c r="Y94" s="73">
        <f t="shared" si="87"/>
        <v>0.13487605536622901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266577.41668881429</v>
      </c>
      <c r="C99" s="82">
        <f t="shared" ref="C99:W99" si="92">C47*11630*1000/C$8</f>
        <v>264820.20016673952</v>
      </c>
      <c r="D99" s="82">
        <f t="shared" si="92"/>
        <v>258292.13414155284</v>
      </c>
      <c r="E99" s="82">
        <f t="shared" si="92"/>
        <v>281558.57464043953</v>
      </c>
      <c r="F99" s="82">
        <f t="shared" si="92"/>
        <v>306759.4569623014</v>
      </c>
      <c r="G99" s="82">
        <f t="shared" si="92"/>
        <v>300183.9106726764</v>
      </c>
      <c r="H99" s="82">
        <f t="shared" si="92"/>
        <v>287583.71588384907</v>
      </c>
      <c r="I99" s="82">
        <f t="shared" si="92"/>
        <v>286935.14726575575</v>
      </c>
      <c r="J99" s="82">
        <f t="shared" si="92"/>
        <v>309771.23672865611</v>
      </c>
      <c r="K99" s="82">
        <f t="shared" si="92"/>
        <v>302386.27212511731</v>
      </c>
      <c r="L99" s="82">
        <f t="shared" si="92"/>
        <v>304040.1483903958</v>
      </c>
      <c r="M99" s="82">
        <f t="shared" si="92"/>
        <v>280770.21667456109</v>
      </c>
      <c r="N99" s="82">
        <f t="shared" si="92"/>
        <v>290657.41778697661</v>
      </c>
      <c r="O99" s="82">
        <f t="shared" si="92"/>
        <v>284835.37089242204</v>
      </c>
      <c r="P99" s="82">
        <f t="shared" si="92"/>
        <v>307350.00001799903</v>
      </c>
      <c r="Q99" s="82">
        <f t="shared" si="92"/>
        <v>306274.82105796284</v>
      </c>
      <c r="R99" s="82">
        <f t="shared" si="92"/>
        <v>324516.06392394239</v>
      </c>
      <c r="S99" s="82">
        <f t="shared" si="92"/>
        <v>298908.88275646942</v>
      </c>
      <c r="T99" s="82">
        <f t="shared" si="92"/>
        <v>309472.75554704934</v>
      </c>
      <c r="U99" s="82">
        <f t="shared" si="92"/>
        <v>289441.64688808424</v>
      </c>
      <c r="V99" s="82">
        <f t="shared" si="92"/>
        <v>290481.6657662795</v>
      </c>
      <c r="W99" s="82">
        <f t="shared" si="92"/>
        <v>313522.10430160357</v>
      </c>
      <c r="X99" s="82">
        <f t="shared" ref="X99:Y99" si="93">X47*11630*1000/X$8</f>
        <v>276735.29939981882</v>
      </c>
      <c r="Y99" s="82">
        <f t="shared" si="93"/>
        <v>259011.46529930906</v>
      </c>
      <c r="DA99" s="107"/>
    </row>
    <row r="100" spans="1:105" ht="12" customHeight="1" x14ac:dyDescent="0.25">
      <c r="A100" s="77" t="s">
        <v>36</v>
      </c>
      <c r="B100" s="64">
        <f t="shared" si="91"/>
        <v>217135.50315603643</v>
      </c>
      <c r="C100" s="64">
        <f t="shared" ref="C100:W100" si="94">C48*11630*1000/C$8</f>
        <v>213443.88571760117</v>
      </c>
      <c r="D100" s="64">
        <f t="shared" si="94"/>
        <v>205424.46558266267</v>
      </c>
      <c r="E100" s="64">
        <f t="shared" si="94"/>
        <v>226864.93752265311</v>
      </c>
      <c r="F100" s="64">
        <f t="shared" si="94"/>
        <v>250181.73868345347</v>
      </c>
      <c r="G100" s="64">
        <f t="shared" si="94"/>
        <v>242570.10500185285</v>
      </c>
      <c r="H100" s="64">
        <f t="shared" si="94"/>
        <v>229759.71982311585</v>
      </c>
      <c r="I100" s="64">
        <f t="shared" si="94"/>
        <v>228313.2116761035</v>
      </c>
      <c r="J100" s="64">
        <f t="shared" si="94"/>
        <v>248956.99218339249</v>
      </c>
      <c r="K100" s="64">
        <f t="shared" si="94"/>
        <v>239783.19695125587</v>
      </c>
      <c r="L100" s="64">
        <f t="shared" si="94"/>
        <v>240489.99544457236</v>
      </c>
      <c r="M100" s="64">
        <f t="shared" si="94"/>
        <v>218046.25306797557</v>
      </c>
      <c r="N100" s="64">
        <f t="shared" si="94"/>
        <v>227827.18753963374</v>
      </c>
      <c r="O100" s="64">
        <f t="shared" si="94"/>
        <v>220998.66743000504</v>
      </c>
      <c r="P100" s="64">
        <f t="shared" si="94"/>
        <v>242308.4593655426</v>
      </c>
      <c r="Q100" s="64">
        <f t="shared" si="94"/>
        <v>240062.0652381019</v>
      </c>
      <c r="R100" s="64">
        <f t="shared" si="94"/>
        <v>258064.39500775692</v>
      </c>
      <c r="S100" s="64">
        <f t="shared" si="94"/>
        <v>233539.36430910538</v>
      </c>
      <c r="T100" s="64">
        <f t="shared" si="94"/>
        <v>245287.83418955875</v>
      </c>
      <c r="U100" s="64">
        <f t="shared" si="94"/>
        <v>226226.77534256104</v>
      </c>
      <c r="V100" s="64">
        <f t="shared" si="94"/>
        <v>228264.86928503841</v>
      </c>
      <c r="W100" s="64">
        <f t="shared" si="94"/>
        <v>248379.47819908604</v>
      </c>
      <c r="X100" s="64">
        <f t="shared" ref="X100:Y100" si="95">X48*11630*1000/X$8</f>
        <v>213524.85632672504</v>
      </c>
      <c r="Y100" s="64">
        <f t="shared" si="95"/>
        <v>195441.23567756169</v>
      </c>
      <c r="DA100" s="108"/>
    </row>
    <row r="101" spans="1:105" ht="12" customHeight="1" x14ac:dyDescent="0.25">
      <c r="A101" s="61" t="s">
        <v>32</v>
      </c>
      <c r="B101" s="65">
        <f t="shared" si="91"/>
        <v>162908.86206175238</v>
      </c>
      <c r="C101" s="65">
        <f t="shared" ref="C101:W101" si="96">C49*11630*1000/C$8</f>
        <v>159377.00060406365</v>
      </c>
      <c r="D101" s="65">
        <f t="shared" si="96"/>
        <v>152556.95181006275</v>
      </c>
      <c r="E101" s="65">
        <f t="shared" si="96"/>
        <v>174113.66081201701</v>
      </c>
      <c r="F101" s="65">
        <f t="shared" si="96"/>
        <v>198575.45083735036</v>
      </c>
      <c r="G101" s="65">
        <f t="shared" si="96"/>
        <v>190473.28052848895</v>
      </c>
      <c r="H101" s="65">
        <f t="shared" si="96"/>
        <v>179147.78114032093</v>
      </c>
      <c r="I101" s="65">
        <f t="shared" si="96"/>
        <v>179053.06004104338</v>
      </c>
      <c r="J101" s="65">
        <f t="shared" si="96"/>
        <v>198443.16618890225</v>
      </c>
      <c r="K101" s="65">
        <f t="shared" si="96"/>
        <v>188338.757855706</v>
      </c>
      <c r="L101" s="65">
        <f t="shared" si="96"/>
        <v>188744.37590995833</v>
      </c>
      <c r="M101" s="65">
        <f t="shared" si="96"/>
        <v>165722.6371696897</v>
      </c>
      <c r="N101" s="65">
        <f t="shared" si="96"/>
        <v>176044.38715171602</v>
      </c>
      <c r="O101" s="65">
        <f t="shared" si="96"/>
        <v>168795.4437622281</v>
      </c>
      <c r="P101" s="65">
        <f t="shared" si="96"/>
        <v>190580.02235205661</v>
      </c>
      <c r="Q101" s="65">
        <f t="shared" si="96"/>
        <v>188533.84128850675</v>
      </c>
      <c r="R101" s="65">
        <f t="shared" si="96"/>
        <v>207107.11350000618</v>
      </c>
      <c r="S101" s="65">
        <f t="shared" si="96"/>
        <v>182641.20078173489</v>
      </c>
      <c r="T101" s="65">
        <f t="shared" si="96"/>
        <v>195163.63150965775</v>
      </c>
      <c r="U101" s="65">
        <f t="shared" si="96"/>
        <v>176004.46098549341</v>
      </c>
      <c r="V101" s="65">
        <f t="shared" si="96"/>
        <v>181322.61081227983</v>
      </c>
      <c r="W101" s="65">
        <f t="shared" si="96"/>
        <v>197601.31697250804</v>
      </c>
      <c r="X101" s="65">
        <f t="shared" ref="X101:Y101" si="97">X49*11630*1000/X$8</f>
        <v>160631.0367312984</v>
      </c>
      <c r="Y101" s="65">
        <f t="shared" si="97"/>
        <v>137720.27761912765</v>
      </c>
      <c r="DA101" s="109"/>
    </row>
    <row r="102" spans="1:105" ht="12" customHeight="1" x14ac:dyDescent="0.25">
      <c r="A102" s="61" t="s">
        <v>31</v>
      </c>
      <c r="B102" s="65">
        <f t="shared" si="91"/>
        <v>319.10549771144275</v>
      </c>
      <c r="C102" s="65">
        <f t="shared" ref="C102:W102" si="98">C50*11630*1000/C$8</f>
        <v>325.83100562370248</v>
      </c>
      <c r="D102" s="65">
        <f t="shared" si="98"/>
        <v>331.08758792499975</v>
      </c>
      <c r="E102" s="65">
        <f t="shared" si="98"/>
        <v>346.53348633533716</v>
      </c>
      <c r="F102" s="65">
        <f t="shared" si="98"/>
        <v>327.85207996098904</v>
      </c>
      <c r="G102" s="65">
        <f t="shared" si="98"/>
        <v>334.513505003197</v>
      </c>
      <c r="H102" s="65">
        <f t="shared" si="98"/>
        <v>351.86829330994459</v>
      </c>
      <c r="I102" s="65">
        <f t="shared" si="98"/>
        <v>349.89156057113172</v>
      </c>
      <c r="J102" s="65">
        <f t="shared" si="98"/>
        <v>359.65217408194923</v>
      </c>
      <c r="K102" s="65">
        <f t="shared" si="98"/>
        <v>369.77561169598124</v>
      </c>
      <c r="L102" s="65">
        <f t="shared" si="98"/>
        <v>437.92607115029358</v>
      </c>
      <c r="M102" s="65">
        <f t="shared" si="98"/>
        <v>400.93770928846345</v>
      </c>
      <c r="N102" s="65">
        <f t="shared" si="98"/>
        <v>382.80813669585245</v>
      </c>
      <c r="O102" s="65">
        <f t="shared" si="98"/>
        <v>379.90558250832322</v>
      </c>
      <c r="P102" s="65">
        <f t="shared" si="98"/>
        <v>384.33502816303462</v>
      </c>
      <c r="Q102" s="65">
        <f t="shared" si="98"/>
        <v>371.94611904087134</v>
      </c>
      <c r="R102" s="65">
        <f t="shared" si="98"/>
        <v>369.80425514406141</v>
      </c>
      <c r="S102" s="65">
        <f t="shared" si="98"/>
        <v>366.72342102005081</v>
      </c>
      <c r="T102" s="65">
        <f t="shared" si="98"/>
        <v>397.83886916664699</v>
      </c>
      <c r="U102" s="65">
        <f t="shared" si="98"/>
        <v>374.14831416174167</v>
      </c>
      <c r="V102" s="65">
        <f t="shared" si="98"/>
        <v>357.28816069949147</v>
      </c>
      <c r="W102" s="65">
        <f t="shared" si="98"/>
        <v>398.68332765252643</v>
      </c>
      <c r="X102" s="65">
        <f t="shared" ref="X102:Y102" si="99">X50*11630*1000/X$8</f>
        <v>388.09003319697297</v>
      </c>
      <c r="Y102" s="65">
        <f t="shared" si="99"/>
        <v>378.50684718557471</v>
      </c>
      <c r="DA102" s="109"/>
    </row>
    <row r="103" spans="1:105" ht="12" customHeight="1" x14ac:dyDescent="0.25">
      <c r="A103" s="61" t="s">
        <v>35</v>
      </c>
      <c r="B103" s="65">
        <f t="shared" si="91"/>
        <v>28469.322820774789</v>
      </c>
      <c r="C103" s="65">
        <f t="shared" ref="C103:W103" si="100">C51*11630*1000/C$8</f>
        <v>27919.760236341714</v>
      </c>
      <c r="D103" s="65">
        <f t="shared" si="100"/>
        <v>26906.188787092553</v>
      </c>
      <c r="E103" s="65">
        <f t="shared" si="100"/>
        <v>26408.870804394748</v>
      </c>
      <c r="F103" s="65">
        <f t="shared" si="100"/>
        <v>25471.538168763589</v>
      </c>
      <c r="G103" s="65">
        <f t="shared" si="100"/>
        <v>25430.674113384088</v>
      </c>
      <c r="H103" s="65">
        <f t="shared" si="100"/>
        <v>24650.979126542672</v>
      </c>
      <c r="I103" s="65">
        <f t="shared" si="100"/>
        <v>23515.844918118597</v>
      </c>
      <c r="J103" s="65">
        <f t="shared" si="100"/>
        <v>23872.620270974894</v>
      </c>
      <c r="K103" s="65">
        <f t="shared" si="100"/>
        <v>23724.856422067121</v>
      </c>
      <c r="L103" s="65">
        <f t="shared" si="100"/>
        <v>23570.459216041432</v>
      </c>
      <c r="M103" s="65">
        <f t="shared" si="100"/>
        <v>23990.178075624572</v>
      </c>
      <c r="N103" s="65">
        <f t="shared" si="100"/>
        <v>23835.71441432113</v>
      </c>
      <c r="O103" s="65">
        <f t="shared" si="100"/>
        <v>23716.756384060409</v>
      </c>
      <c r="P103" s="65">
        <f t="shared" si="100"/>
        <v>23659.618871238141</v>
      </c>
      <c r="Q103" s="65">
        <f t="shared" si="100"/>
        <v>23830.912755959889</v>
      </c>
      <c r="R103" s="65">
        <f t="shared" si="100"/>
        <v>23230.478179141199</v>
      </c>
      <c r="S103" s="65">
        <f t="shared" si="100"/>
        <v>22976.949013836689</v>
      </c>
      <c r="T103" s="65">
        <f t="shared" si="100"/>
        <v>22774.480862921995</v>
      </c>
      <c r="U103" s="65">
        <f t="shared" si="100"/>
        <v>22821.700294135408</v>
      </c>
      <c r="V103" s="65">
        <f t="shared" si="100"/>
        <v>21624.282942936348</v>
      </c>
      <c r="W103" s="65">
        <f t="shared" si="100"/>
        <v>22900.483397533601</v>
      </c>
      <c r="X103" s="65">
        <f t="shared" ref="X103:Y103" si="101">X51*11630*1000/X$8</f>
        <v>23126.598422188898</v>
      </c>
      <c r="Y103" s="65">
        <f t="shared" si="101"/>
        <v>24777.428996658193</v>
      </c>
      <c r="DA103" s="109"/>
    </row>
    <row r="104" spans="1:105" ht="12" customHeight="1" x14ac:dyDescent="0.25">
      <c r="A104" s="66" t="s">
        <v>34</v>
      </c>
      <c r="B104" s="67">
        <f t="shared" si="91"/>
        <v>25438.212775797812</v>
      </c>
      <c r="C104" s="67">
        <f t="shared" ref="C104:W104" si="102">C52*11630*1000/C$8</f>
        <v>25821.293871572099</v>
      </c>
      <c r="D104" s="67">
        <f t="shared" si="102"/>
        <v>25630.237397582325</v>
      </c>
      <c r="E104" s="67">
        <f t="shared" si="102"/>
        <v>25995.872419906027</v>
      </c>
      <c r="F104" s="67">
        <f t="shared" si="102"/>
        <v>25806.897597378484</v>
      </c>
      <c r="G104" s="67">
        <f t="shared" si="102"/>
        <v>26331.636854976619</v>
      </c>
      <c r="H104" s="67">
        <f t="shared" si="102"/>
        <v>25609.091262942304</v>
      </c>
      <c r="I104" s="67">
        <f t="shared" si="102"/>
        <v>25394.415156370429</v>
      </c>
      <c r="J104" s="67">
        <f t="shared" si="102"/>
        <v>26281.553549433385</v>
      </c>
      <c r="K104" s="67">
        <f t="shared" si="102"/>
        <v>27349.8070617868</v>
      </c>
      <c r="L104" s="67">
        <f t="shared" si="102"/>
        <v>27737.234247422348</v>
      </c>
      <c r="M104" s="67">
        <f t="shared" si="102"/>
        <v>27932.500113372836</v>
      </c>
      <c r="N104" s="67">
        <f t="shared" si="102"/>
        <v>27564.277836900692</v>
      </c>
      <c r="O104" s="67">
        <f t="shared" si="102"/>
        <v>28106.561701208233</v>
      </c>
      <c r="P104" s="67">
        <f t="shared" si="102"/>
        <v>27684.483114084844</v>
      </c>
      <c r="Q104" s="67">
        <f t="shared" si="102"/>
        <v>27325.365074594451</v>
      </c>
      <c r="R104" s="67">
        <f t="shared" si="102"/>
        <v>27356.9990734655</v>
      </c>
      <c r="S104" s="67">
        <f t="shared" si="102"/>
        <v>27554.491092513752</v>
      </c>
      <c r="T104" s="67">
        <f t="shared" si="102"/>
        <v>26951.882947812348</v>
      </c>
      <c r="U104" s="67">
        <f t="shared" si="102"/>
        <v>27026.465748770446</v>
      </c>
      <c r="V104" s="67">
        <f t="shared" si="102"/>
        <v>24960.687369122697</v>
      </c>
      <c r="W104" s="67">
        <f t="shared" si="102"/>
        <v>27478.994501391975</v>
      </c>
      <c r="X104" s="67">
        <f t="shared" ref="X104:Y104" si="103">X52*11630*1000/X$8</f>
        <v>29379.131140040783</v>
      </c>
      <c r="Y104" s="67">
        <f t="shared" si="103"/>
        <v>32565.022214590266</v>
      </c>
      <c r="DA104" s="110"/>
    </row>
    <row r="105" spans="1:105" ht="12" customHeight="1" x14ac:dyDescent="0.25">
      <c r="A105" s="78" t="s">
        <v>33</v>
      </c>
      <c r="B105" s="68">
        <f t="shared" si="91"/>
        <v>49441.913532777879</v>
      </c>
      <c r="C105" s="68">
        <f t="shared" ref="C105:W105" si="104">C53*11630*1000/C$8</f>
        <v>51376.31444913835</v>
      </c>
      <c r="D105" s="68">
        <f t="shared" si="104"/>
        <v>52867.668558890218</v>
      </c>
      <c r="E105" s="68">
        <f t="shared" si="104"/>
        <v>54693.637117786406</v>
      </c>
      <c r="F105" s="68">
        <f t="shared" si="104"/>
        <v>56577.718278847955</v>
      </c>
      <c r="G105" s="68">
        <f t="shared" si="104"/>
        <v>57613.805670823582</v>
      </c>
      <c r="H105" s="68">
        <f t="shared" si="104"/>
        <v>57823.996060733196</v>
      </c>
      <c r="I105" s="68">
        <f t="shared" si="104"/>
        <v>58621.935589652261</v>
      </c>
      <c r="J105" s="68">
        <f t="shared" si="104"/>
        <v>60814.24454526358</v>
      </c>
      <c r="K105" s="68">
        <f t="shared" si="104"/>
        <v>62603.075173861442</v>
      </c>
      <c r="L105" s="68">
        <f t="shared" si="104"/>
        <v>63550.152945823451</v>
      </c>
      <c r="M105" s="68">
        <f t="shared" si="104"/>
        <v>62723.963606585472</v>
      </c>
      <c r="N105" s="68">
        <f t="shared" si="104"/>
        <v>62830.230247342857</v>
      </c>
      <c r="O105" s="68">
        <f t="shared" si="104"/>
        <v>63836.703462417012</v>
      </c>
      <c r="P105" s="68">
        <f t="shared" si="104"/>
        <v>65041.540652456417</v>
      </c>
      <c r="Q105" s="68">
        <f t="shared" si="104"/>
        <v>66212.75581986086</v>
      </c>
      <c r="R105" s="68">
        <f t="shared" si="104"/>
        <v>66451.66891618543</v>
      </c>
      <c r="S105" s="68">
        <f t="shared" si="104"/>
        <v>65369.518447364069</v>
      </c>
      <c r="T105" s="68">
        <f t="shared" si="104"/>
        <v>64184.921357490552</v>
      </c>
      <c r="U105" s="68">
        <f t="shared" si="104"/>
        <v>63214.871545523216</v>
      </c>
      <c r="V105" s="68">
        <f t="shared" si="104"/>
        <v>62216.79648124113</v>
      </c>
      <c r="W105" s="68">
        <f t="shared" si="104"/>
        <v>65142.626102517534</v>
      </c>
      <c r="X105" s="68">
        <f t="shared" ref="X105:Y105" si="105">X53*11630*1000/X$8</f>
        <v>63210.443073093753</v>
      </c>
      <c r="Y105" s="68">
        <f t="shared" si="105"/>
        <v>63570.229621747327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136619.89502306638</v>
      </c>
      <c r="C107" s="85">
        <f t="shared" ref="C107:W107" si="107">SUM(C108:C111)</f>
        <v>128489.13589842779</v>
      </c>
      <c r="D107" s="85">
        <f t="shared" si="107"/>
        <v>128446.32890246387</v>
      </c>
      <c r="E107" s="85">
        <f t="shared" si="107"/>
        <v>139711.59851564839</v>
      </c>
      <c r="F107" s="85">
        <f t="shared" si="107"/>
        <v>156459.93962338299</v>
      </c>
      <c r="G107" s="85">
        <f t="shared" si="107"/>
        <v>155376.83060553041</v>
      </c>
      <c r="H107" s="85">
        <f t="shared" si="107"/>
        <v>149009.79495951795</v>
      </c>
      <c r="I107" s="85">
        <f t="shared" si="107"/>
        <v>149325.75753225025</v>
      </c>
      <c r="J107" s="85">
        <f t="shared" si="107"/>
        <v>167030.16483772761</v>
      </c>
      <c r="K107" s="85">
        <f t="shared" si="107"/>
        <v>163954.37960393677</v>
      </c>
      <c r="L107" s="85">
        <f t="shared" si="107"/>
        <v>166314.02460315684</v>
      </c>
      <c r="M107" s="85">
        <f t="shared" si="107"/>
        <v>148536.56244169016</v>
      </c>
      <c r="N107" s="85">
        <f t="shared" si="107"/>
        <v>158219.37075912219</v>
      </c>
      <c r="O107" s="85">
        <f t="shared" si="107"/>
        <v>154076.98850756616</v>
      </c>
      <c r="P107" s="85">
        <f t="shared" si="107"/>
        <v>170015.29882933601</v>
      </c>
      <c r="Q107" s="85">
        <f t="shared" si="107"/>
        <v>169144.47030890529</v>
      </c>
      <c r="R107" s="85">
        <f t="shared" si="107"/>
        <v>184443.56136601561</v>
      </c>
      <c r="S107" s="85">
        <f t="shared" si="107"/>
        <v>168854.38643197835</v>
      </c>
      <c r="T107" s="85">
        <f t="shared" si="107"/>
        <v>180403.2528383655</v>
      </c>
      <c r="U107" s="85">
        <f t="shared" si="107"/>
        <v>168435.94173111024</v>
      </c>
      <c r="V107" s="85">
        <f t="shared" si="107"/>
        <v>171617.4303702699</v>
      </c>
      <c r="W107" s="85">
        <f t="shared" si="107"/>
        <v>189849.36437733041</v>
      </c>
      <c r="X107" s="85">
        <f t="shared" ref="X107:Y107" si="108">SUM(X108:X111)</f>
        <v>166490.8673292528</v>
      </c>
      <c r="Y107" s="85">
        <f t="shared" si="108"/>
        <v>154566.06704935318</v>
      </c>
      <c r="DA107" s="117"/>
    </row>
    <row r="108" spans="1:105" ht="12" customHeight="1" x14ac:dyDescent="0.25">
      <c r="A108" s="61" t="s">
        <v>32</v>
      </c>
      <c r="B108" s="65">
        <v>100376.11999341895</v>
      </c>
      <c r="C108" s="65">
        <v>92543.975125702724</v>
      </c>
      <c r="D108" s="65">
        <v>93203.807728929591</v>
      </c>
      <c r="E108" s="65">
        <v>104134.66842681137</v>
      </c>
      <c r="F108" s="65">
        <v>121494.68868505611</v>
      </c>
      <c r="G108" s="65">
        <v>119758.25385622188</v>
      </c>
      <c r="H108" s="65">
        <v>114075.08132473814</v>
      </c>
      <c r="I108" s="65">
        <v>115027.73856225891</v>
      </c>
      <c r="J108" s="65">
        <v>131636.8042178016</v>
      </c>
      <c r="K108" s="65">
        <v>127587.82041567289</v>
      </c>
      <c r="L108" s="65">
        <v>129359.16751885451</v>
      </c>
      <c r="M108" s="65">
        <v>111079.49560569243</v>
      </c>
      <c r="N108" s="65">
        <v>120963.77760439896</v>
      </c>
      <c r="O108" s="65">
        <v>116240.272027548</v>
      </c>
      <c r="P108" s="65">
        <v>132285.26802857613</v>
      </c>
      <c r="Q108" s="65">
        <v>131252.8430194394</v>
      </c>
      <c r="R108" s="65">
        <v>146868.13352053528</v>
      </c>
      <c r="S108" s="65">
        <v>130866.73753718022</v>
      </c>
      <c r="T108" s="65">
        <v>142158.23402493203</v>
      </c>
      <c r="U108" s="65">
        <v>129838.3318285178</v>
      </c>
      <c r="V108" s="65">
        <v>135084.78661972392</v>
      </c>
      <c r="W108" s="65">
        <v>149322.57318415726</v>
      </c>
      <c r="X108" s="65">
        <v>123517.01992127554</v>
      </c>
      <c r="Y108" s="65">
        <v>107263.374793369</v>
      </c>
      <c r="DA108" s="109"/>
    </row>
    <row r="109" spans="1:105" ht="12" customHeight="1" x14ac:dyDescent="0.25">
      <c r="A109" s="61" t="s">
        <v>31</v>
      </c>
      <c r="B109" s="65">
        <v>652.00260124075771</v>
      </c>
      <c r="C109" s="65">
        <v>701.87381395164948</v>
      </c>
      <c r="D109" s="65">
        <v>756.06643880528952</v>
      </c>
      <c r="E109" s="65">
        <v>835.7809002591373</v>
      </c>
      <c r="F109" s="65">
        <v>833.40586540201514</v>
      </c>
      <c r="G109" s="65">
        <v>907.4467041578655</v>
      </c>
      <c r="H109" s="65">
        <v>1021.8351439116565</v>
      </c>
      <c r="I109" s="65">
        <v>1077.3448100849062</v>
      </c>
      <c r="J109" s="65">
        <v>1173.19057704287</v>
      </c>
      <c r="K109" s="65">
        <v>1228.981947076212</v>
      </c>
      <c r="L109" s="65">
        <v>1497.2185300690196</v>
      </c>
      <c r="M109" s="65">
        <v>1431.1733401643353</v>
      </c>
      <c r="N109" s="65">
        <v>1422.49822035029</v>
      </c>
      <c r="O109" s="65">
        <v>1469.9469195569409</v>
      </c>
      <c r="P109" s="65">
        <v>1552.4078927983726</v>
      </c>
      <c r="Q109" s="65">
        <v>1576.0149976538898</v>
      </c>
      <c r="R109" s="65">
        <v>1635.0591881140263</v>
      </c>
      <c r="S109" s="65">
        <v>1682.0756134711701</v>
      </c>
      <c r="T109" s="65">
        <v>1883.9435709984291</v>
      </c>
      <c r="U109" s="65">
        <v>1815.8248523484167</v>
      </c>
      <c r="V109" s="65">
        <v>1774.8524173294252</v>
      </c>
      <c r="W109" s="65">
        <v>2024.6300473437336</v>
      </c>
      <c r="X109" s="65">
        <v>2006.4169630748372</v>
      </c>
      <c r="Y109" s="65">
        <v>1984.1720140310879</v>
      </c>
      <c r="DA109" s="109"/>
    </row>
    <row r="110" spans="1:105" ht="12" customHeight="1" x14ac:dyDescent="0.25">
      <c r="A110" s="61" t="s">
        <v>35</v>
      </c>
      <c r="B110" s="65">
        <v>17650.017208587797</v>
      </c>
      <c r="C110" s="65">
        <v>17334.707406739792</v>
      </c>
      <c r="D110" s="65">
        <v>16861.879643887747</v>
      </c>
      <c r="E110" s="65">
        <v>16793.352284352903</v>
      </c>
      <c r="F110" s="65">
        <v>16367.433322690331</v>
      </c>
      <c r="G110" s="65">
        <v>16470.708184942418</v>
      </c>
      <c r="H110" s="65">
        <v>16081.547279173294</v>
      </c>
      <c r="I110" s="65">
        <v>15460.85296750556</v>
      </c>
      <c r="J110" s="65">
        <v>15764.602930216457</v>
      </c>
      <c r="K110" s="65">
        <v>15800.566509566308</v>
      </c>
      <c r="L110" s="65">
        <v>15809.311645994216</v>
      </c>
      <c r="M110" s="65">
        <v>16198.280483709377</v>
      </c>
      <c r="N110" s="65">
        <v>16255.674092993073</v>
      </c>
      <c r="O110" s="65">
        <v>16326.43261230781</v>
      </c>
      <c r="P110" s="65">
        <v>16361.52208704994</v>
      </c>
      <c r="Q110" s="65">
        <v>16654.206598161731</v>
      </c>
      <c r="R110" s="65">
        <v>16468.979476594377</v>
      </c>
      <c r="S110" s="65">
        <v>16577.000159451025</v>
      </c>
      <c r="T110" s="65">
        <v>16717.574616286704</v>
      </c>
      <c r="U110" s="65">
        <v>17125.703581865284</v>
      </c>
      <c r="V110" s="65">
        <v>16456.218194346453</v>
      </c>
      <c r="W110" s="65">
        <v>17829.919585443917</v>
      </c>
      <c r="X110" s="65">
        <v>18366.812741535919</v>
      </c>
      <c r="Y110" s="65">
        <v>20042.675555990019</v>
      </c>
      <c r="DA110" s="109"/>
    </row>
    <row r="111" spans="1:105" ht="12" customHeight="1" x14ac:dyDescent="0.25">
      <c r="A111" s="74" t="s">
        <v>34</v>
      </c>
      <c r="B111" s="68">
        <v>17941.75521981885</v>
      </c>
      <c r="C111" s="68">
        <v>17908.579552033621</v>
      </c>
      <c r="D111" s="68">
        <v>17624.575090841237</v>
      </c>
      <c r="E111" s="68">
        <v>17947.796904224982</v>
      </c>
      <c r="F111" s="68">
        <v>17764.411750234522</v>
      </c>
      <c r="G111" s="68">
        <v>18240.421860208251</v>
      </c>
      <c r="H111" s="68">
        <v>17831.331211694855</v>
      </c>
      <c r="I111" s="68">
        <v>17759.821192400887</v>
      </c>
      <c r="J111" s="68">
        <v>18455.567112666678</v>
      </c>
      <c r="K111" s="68">
        <v>19337.010731621347</v>
      </c>
      <c r="L111" s="68">
        <v>19648.326908239102</v>
      </c>
      <c r="M111" s="68">
        <v>19827.613012124017</v>
      </c>
      <c r="N111" s="68">
        <v>19577.42084137987</v>
      </c>
      <c r="O111" s="68">
        <v>20040.33694815341</v>
      </c>
      <c r="P111" s="68">
        <v>19816.100820911579</v>
      </c>
      <c r="Q111" s="68">
        <v>19661.405693650267</v>
      </c>
      <c r="R111" s="68">
        <v>19471.389180771937</v>
      </c>
      <c r="S111" s="68">
        <v>19728.573121875914</v>
      </c>
      <c r="T111" s="68">
        <v>19643.500626148321</v>
      </c>
      <c r="U111" s="68">
        <v>19656.081468378754</v>
      </c>
      <c r="V111" s="68">
        <v>18301.573138870084</v>
      </c>
      <c r="W111" s="68">
        <v>20672.241560385519</v>
      </c>
      <c r="X111" s="68">
        <v>22600.617703366501</v>
      </c>
      <c r="Y111" s="68">
        <v>25275.844685963064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16895.268326741778</v>
      </c>
      <c r="C113" s="82">
        <f t="shared" ref="C113:W113" si="110">C81*1000000/C$8</f>
        <v>21540.103872428848</v>
      </c>
      <c r="D113" s="82">
        <f t="shared" si="110"/>
        <v>16716.990439818717</v>
      </c>
      <c r="E113" s="82">
        <f t="shared" si="110"/>
        <v>21185.017816621501</v>
      </c>
      <c r="F113" s="82">
        <f t="shared" si="110"/>
        <v>19917.538883194935</v>
      </c>
      <c r="G113" s="82">
        <f t="shared" si="110"/>
        <v>18336.510929197168</v>
      </c>
      <c r="H113" s="82">
        <f t="shared" si="110"/>
        <v>15146.734836271982</v>
      </c>
      <c r="I113" s="82">
        <f t="shared" si="110"/>
        <v>14420.71661457753</v>
      </c>
      <c r="J113" s="82">
        <f t="shared" si="110"/>
        <v>12751.608475910629</v>
      </c>
      <c r="K113" s="82">
        <f t="shared" si="110"/>
        <v>11250.881126741868</v>
      </c>
      <c r="L113" s="82">
        <f t="shared" si="110"/>
        <v>10495.981937951232</v>
      </c>
      <c r="M113" s="82">
        <f t="shared" si="110"/>
        <v>12701.988271225557</v>
      </c>
      <c r="N113" s="82">
        <f t="shared" si="110"/>
        <v>13273.152927299434</v>
      </c>
      <c r="O113" s="82">
        <f t="shared" si="110"/>
        <v>13999.332923135513</v>
      </c>
      <c r="P113" s="82">
        <f t="shared" si="110"/>
        <v>15084.415096858173</v>
      </c>
      <c r="Q113" s="82">
        <f t="shared" si="110"/>
        <v>15640.628915004721</v>
      </c>
      <c r="R113" s="82">
        <f t="shared" si="110"/>
        <v>15553.334605500726</v>
      </c>
      <c r="S113" s="82">
        <f t="shared" si="110"/>
        <v>14522.42414006061</v>
      </c>
      <c r="T113" s="82">
        <f t="shared" si="110"/>
        <v>14632.073628532524</v>
      </c>
      <c r="U113" s="82">
        <f t="shared" si="110"/>
        <v>12906.432636524381</v>
      </c>
      <c r="V113" s="82">
        <f t="shared" si="110"/>
        <v>13029.422375109914</v>
      </c>
      <c r="W113" s="82">
        <f t="shared" si="110"/>
        <v>13524.521262917757</v>
      </c>
      <c r="X113" s="82">
        <f t="shared" ref="X113:Y113" si="111">X81*1000000/X$8</f>
        <v>9757.7624241066769</v>
      </c>
      <c r="Y113" s="82">
        <f t="shared" si="111"/>
        <v>9498.0799263721874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16895.268326741778</v>
      </c>
      <c r="C114" s="64">
        <f t="shared" ref="C114:W114" si="113">C82*1000000/C$8</f>
        <v>21540.103872428848</v>
      </c>
      <c r="D114" s="64">
        <f t="shared" si="113"/>
        <v>16716.990439818717</v>
      </c>
      <c r="E114" s="64">
        <f t="shared" si="113"/>
        <v>21185.017816621501</v>
      </c>
      <c r="F114" s="64">
        <f t="shared" si="113"/>
        <v>19917.538883194935</v>
      </c>
      <c r="G114" s="64">
        <f t="shared" si="113"/>
        <v>18336.510929197168</v>
      </c>
      <c r="H114" s="64">
        <f t="shared" si="113"/>
        <v>15146.734836271982</v>
      </c>
      <c r="I114" s="64">
        <f t="shared" si="113"/>
        <v>14420.71661457753</v>
      </c>
      <c r="J114" s="64">
        <f t="shared" si="113"/>
        <v>12751.608475910629</v>
      </c>
      <c r="K114" s="64">
        <f t="shared" si="113"/>
        <v>11250.881126741868</v>
      </c>
      <c r="L114" s="64">
        <f t="shared" si="113"/>
        <v>10495.981937951232</v>
      </c>
      <c r="M114" s="64">
        <f t="shared" si="113"/>
        <v>12701.988271225557</v>
      </c>
      <c r="N114" s="64">
        <f t="shared" si="113"/>
        <v>13273.152927299434</v>
      </c>
      <c r="O114" s="64">
        <f t="shared" si="113"/>
        <v>13999.332923135513</v>
      </c>
      <c r="P114" s="64">
        <f t="shared" si="113"/>
        <v>15084.415096858173</v>
      </c>
      <c r="Q114" s="64">
        <f t="shared" si="113"/>
        <v>15640.628915004721</v>
      </c>
      <c r="R114" s="64">
        <f t="shared" si="113"/>
        <v>15553.334605500726</v>
      </c>
      <c r="S114" s="64">
        <f t="shared" si="113"/>
        <v>14522.42414006061</v>
      </c>
      <c r="T114" s="64">
        <f t="shared" si="113"/>
        <v>14632.073628532524</v>
      </c>
      <c r="U114" s="64">
        <f t="shared" si="113"/>
        <v>12906.432636524381</v>
      </c>
      <c r="V114" s="64">
        <f t="shared" si="113"/>
        <v>13029.422375109914</v>
      </c>
      <c r="W114" s="64">
        <f t="shared" si="113"/>
        <v>13524.521262917757</v>
      </c>
      <c r="X114" s="64">
        <f t="shared" ref="X114:Y114" si="114">X82*1000000/X$8</f>
        <v>9757.7624241066769</v>
      </c>
      <c r="Y114" s="64">
        <f t="shared" si="114"/>
        <v>9498.0799263721874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14768.303482360825</v>
      </c>
      <c r="C115" s="65">
        <f t="shared" ref="C115:W115" si="116">C83*1000000/C$8</f>
        <v>18894.13089811767</v>
      </c>
      <c r="D115" s="65">
        <f t="shared" si="116"/>
        <v>14105.748676664578</v>
      </c>
      <c r="E115" s="65">
        <f t="shared" si="116"/>
        <v>19002.329025211722</v>
      </c>
      <c r="F115" s="65">
        <f t="shared" si="116"/>
        <v>17765.922903948267</v>
      </c>
      <c r="G115" s="65">
        <f t="shared" si="116"/>
        <v>16349.314844771707</v>
      </c>
      <c r="H115" s="65">
        <f t="shared" si="116"/>
        <v>13324.762891381921</v>
      </c>
      <c r="I115" s="65">
        <f t="shared" si="116"/>
        <v>12701.424586646541</v>
      </c>
      <c r="J115" s="65">
        <f t="shared" si="116"/>
        <v>11012.666382490181</v>
      </c>
      <c r="K115" s="65">
        <f t="shared" si="116"/>
        <v>9572.9353263603771</v>
      </c>
      <c r="L115" s="65">
        <f t="shared" si="116"/>
        <v>8813.607728420593</v>
      </c>
      <c r="M115" s="65">
        <f t="shared" si="116"/>
        <v>10995.615805141477</v>
      </c>
      <c r="N115" s="65">
        <f t="shared" si="116"/>
        <v>11542.595883361802</v>
      </c>
      <c r="O115" s="65">
        <f t="shared" si="116"/>
        <v>12165.226885864624</v>
      </c>
      <c r="P115" s="65">
        <f t="shared" si="116"/>
        <v>13048.5951362865</v>
      </c>
      <c r="Q115" s="65">
        <f t="shared" si="116"/>
        <v>13622.875720510749</v>
      </c>
      <c r="R115" s="65">
        <f t="shared" si="116"/>
        <v>13244.848629500222</v>
      </c>
      <c r="S115" s="65">
        <f t="shared" si="116"/>
        <v>12031.275542081898</v>
      </c>
      <c r="T115" s="65">
        <f t="shared" si="116"/>
        <v>12309.632666468495</v>
      </c>
      <c r="U115" s="65">
        <f t="shared" si="116"/>
        <v>10359.318862516971</v>
      </c>
      <c r="V115" s="65">
        <f t="shared" si="116"/>
        <v>10519.376087059478</v>
      </c>
      <c r="W115" s="65">
        <f t="shared" si="116"/>
        <v>11220.450005933708</v>
      </c>
      <c r="X115" s="65">
        <f t="shared" ref="X115:Y115" si="117">X83*1000000/X$8</f>
        <v>7620.8790570852025</v>
      </c>
      <c r="Y115" s="65">
        <f t="shared" si="117"/>
        <v>7256.8372603458283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</v>
      </c>
      <c r="C116" s="65">
        <f t="shared" ref="C116:W116" si="119">C84*1000000/C$8</f>
        <v>0</v>
      </c>
      <c r="D116" s="65">
        <f t="shared" si="119"/>
        <v>0</v>
      </c>
      <c r="E116" s="65">
        <f t="shared" si="119"/>
        <v>0</v>
      </c>
      <c r="F116" s="65">
        <f t="shared" si="119"/>
        <v>0</v>
      </c>
      <c r="G116" s="65">
        <f t="shared" si="119"/>
        <v>0</v>
      </c>
      <c r="H116" s="65">
        <f t="shared" si="119"/>
        <v>0</v>
      </c>
      <c r="I116" s="65">
        <f t="shared" si="119"/>
        <v>0</v>
      </c>
      <c r="J116" s="65">
        <f t="shared" si="119"/>
        <v>0</v>
      </c>
      <c r="K116" s="65">
        <f t="shared" si="119"/>
        <v>0</v>
      </c>
      <c r="L116" s="65">
        <f t="shared" si="119"/>
        <v>0</v>
      </c>
      <c r="M116" s="65">
        <f t="shared" si="119"/>
        <v>0</v>
      </c>
      <c r="N116" s="65">
        <f t="shared" si="119"/>
        <v>0</v>
      </c>
      <c r="O116" s="65">
        <f t="shared" si="119"/>
        <v>0</v>
      </c>
      <c r="P116" s="65">
        <f t="shared" si="119"/>
        <v>0</v>
      </c>
      <c r="Q116" s="65">
        <f t="shared" si="119"/>
        <v>0</v>
      </c>
      <c r="R116" s="65">
        <f t="shared" si="119"/>
        <v>0</v>
      </c>
      <c r="S116" s="65">
        <f t="shared" si="119"/>
        <v>0</v>
      </c>
      <c r="T116" s="65">
        <f t="shared" si="119"/>
        <v>0</v>
      </c>
      <c r="U116" s="65">
        <f t="shared" si="119"/>
        <v>0</v>
      </c>
      <c r="V116" s="65">
        <f t="shared" si="119"/>
        <v>0</v>
      </c>
      <c r="W116" s="65">
        <f t="shared" si="119"/>
        <v>0</v>
      </c>
      <c r="X116" s="65">
        <f t="shared" ref="X116:Y116" si="120">X84*1000000/X$8</f>
        <v>0</v>
      </c>
      <c r="Y116" s="65">
        <f t="shared" si="120"/>
        <v>0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1935.2804128958876</v>
      </c>
      <c r="C117" s="65">
        <f t="shared" ref="C117:W117" si="122">C85*1000000/C$8</f>
        <v>2039.8304020057867</v>
      </c>
      <c r="D117" s="65">
        <f t="shared" si="122"/>
        <v>1777.9443687968367</v>
      </c>
      <c r="E117" s="65">
        <f t="shared" si="122"/>
        <v>1371.4638847148899</v>
      </c>
      <c r="F117" s="65">
        <f t="shared" si="122"/>
        <v>1178.3450238173928</v>
      </c>
      <c r="G117" s="65">
        <f t="shared" si="122"/>
        <v>1079.8868999321792</v>
      </c>
      <c r="H117" s="65">
        <f t="shared" si="122"/>
        <v>984.05092327083185</v>
      </c>
      <c r="I117" s="65">
        <f t="shared" si="122"/>
        <v>926.8986384943023</v>
      </c>
      <c r="J117" s="65">
        <f t="shared" si="122"/>
        <v>949.67062955727727</v>
      </c>
      <c r="K117" s="65">
        <f t="shared" si="122"/>
        <v>939.92580665575383</v>
      </c>
      <c r="L117" s="65">
        <f t="shared" si="122"/>
        <v>918.66250635799076</v>
      </c>
      <c r="M117" s="65">
        <f t="shared" si="122"/>
        <v>951.02078621727037</v>
      </c>
      <c r="N117" s="65">
        <f t="shared" si="122"/>
        <v>942.37952361661155</v>
      </c>
      <c r="O117" s="65">
        <f t="shared" si="122"/>
        <v>1062.8890979411658</v>
      </c>
      <c r="P117" s="65">
        <f t="shared" si="122"/>
        <v>1255.6252724114133</v>
      </c>
      <c r="Q117" s="65">
        <f t="shared" si="122"/>
        <v>1242.2211138175965</v>
      </c>
      <c r="R117" s="65">
        <f t="shared" si="122"/>
        <v>1180.4570294793334</v>
      </c>
      <c r="S117" s="65">
        <f t="shared" si="122"/>
        <v>1222.5873398545511</v>
      </c>
      <c r="T117" s="65">
        <f t="shared" si="122"/>
        <v>1288.5168355440926</v>
      </c>
      <c r="U117" s="65">
        <f t="shared" si="122"/>
        <v>1218.897554509259</v>
      </c>
      <c r="V117" s="65">
        <f t="shared" si="122"/>
        <v>1211.3835857018155</v>
      </c>
      <c r="W117" s="65">
        <f t="shared" si="122"/>
        <v>1135.7824713793711</v>
      </c>
      <c r="X117" s="65">
        <f t="shared" ref="X117:Y117" si="123">X85*1000000/X$8</f>
        <v>1052.2035468129991</v>
      </c>
      <c r="Y117" s="65">
        <f t="shared" si="123"/>
        <v>960.17911200411504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191.68443148506495</v>
      </c>
      <c r="C118" s="67">
        <f t="shared" ref="C118:W118" si="125">C86*1000000/C$8</f>
        <v>606.14257230538908</v>
      </c>
      <c r="D118" s="67">
        <f t="shared" si="125"/>
        <v>833.29739435730107</v>
      </c>
      <c r="E118" s="67">
        <f t="shared" si="125"/>
        <v>811.22490669489321</v>
      </c>
      <c r="F118" s="67">
        <f t="shared" si="125"/>
        <v>973.27095542927373</v>
      </c>
      <c r="G118" s="67">
        <f t="shared" si="125"/>
        <v>907.30918449328283</v>
      </c>
      <c r="H118" s="67">
        <f t="shared" si="125"/>
        <v>837.92102161922901</v>
      </c>
      <c r="I118" s="67">
        <f t="shared" si="125"/>
        <v>792.39338943668622</v>
      </c>
      <c r="J118" s="67">
        <f t="shared" si="125"/>
        <v>789.27146386317179</v>
      </c>
      <c r="K118" s="67">
        <f t="shared" si="125"/>
        <v>738.019993725738</v>
      </c>
      <c r="L118" s="67">
        <f t="shared" si="125"/>
        <v>763.71170317264909</v>
      </c>
      <c r="M118" s="67">
        <f t="shared" si="125"/>
        <v>755.35167986680983</v>
      </c>
      <c r="N118" s="67">
        <f t="shared" si="125"/>
        <v>788.17752032102146</v>
      </c>
      <c r="O118" s="67">
        <f t="shared" si="125"/>
        <v>771.216939329723</v>
      </c>
      <c r="P118" s="67">
        <f t="shared" si="125"/>
        <v>780.19468816025892</v>
      </c>
      <c r="Q118" s="67">
        <f t="shared" si="125"/>
        <v>775.53208067637843</v>
      </c>
      <c r="R118" s="67">
        <f t="shared" si="125"/>
        <v>1128.0289465211731</v>
      </c>
      <c r="S118" s="67">
        <f t="shared" si="125"/>
        <v>1268.5612581241596</v>
      </c>
      <c r="T118" s="67">
        <f t="shared" si="125"/>
        <v>1033.924126519936</v>
      </c>
      <c r="U118" s="67">
        <f t="shared" si="125"/>
        <v>1328.2162194981531</v>
      </c>
      <c r="V118" s="67">
        <f t="shared" si="125"/>
        <v>1298.6627023486192</v>
      </c>
      <c r="W118" s="67">
        <f t="shared" si="125"/>
        <v>1168.2887856046789</v>
      </c>
      <c r="X118" s="67">
        <f t="shared" ref="X118:Y118" si="126">X86*1000000/X$8</f>
        <v>1084.6798202084735</v>
      </c>
      <c r="Y118" s="67">
        <f t="shared" si="126"/>
        <v>1281.0635540222436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0.62919187805455068</v>
      </c>
      <c r="C121" s="86">
        <f t="shared" ref="C121:W121" si="131">IF(C107=0,"",C107/C100)</f>
        <v>0.60198086942826035</v>
      </c>
      <c r="D121" s="86">
        <f t="shared" si="131"/>
        <v>0.62527279084378173</v>
      </c>
      <c r="E121" s="86">
        <f t="shared" si="131"/>
        <v>0.6158360125689224</v>
      </c>
      <c r="F121" s="86">
        <f t="shared" si="131"/>
        <v>0.62538513181150479</v>
      </c>
      <c r="G121" s="86">
        <f t="shared" si="131"/>
        <v>0.64054402171423219</v>
      </c>
      <c r="H121" s="86">
        <f t="shared" si="131"/>
        <v>0.64854620763916104</v>
      </c>
      <c r="I121" s="86">
        <f t="shared" si="131"/>
        <v>0.65403905641733606</v>
      </c>
      <c r="J121" s="86">
        <f t="shared" si="131"/>
        <v>0.67091975755670263</v>
      </c>
      <c r="K121" s="86">
        <f t="shared" si="131"/>
        <v>0.68376092106765141</v>
      </c>
      <c r="L121" s="86">
        <f t="shared" si="131"/>
        <v>0.69156317415910362</v>
      </c>
      <c r="M121" s="86">
        <f t="shared" si="131"/>
        <v>0.68121584458222317</v>
      </c>
      <c r="N121" s="86">
        <f t="shared" si="131"/>
        <v>0.69447098244847405</v>
      </c>
      <c r="O121" s="86">
        <f t="shared" si="131"/>
        <v>0.69718514731029135</v>
      </c>
      <c r="P121" s="86">
        <f t="shared" si="131"/>
        <v>0.7016482184505729</v>
      </c>
      <c r="Q121" s="86">
        <f t="shared" si="131"/>
        <v>0.70458641660498056</v>
      </c>
      <c r="R121" s="86">
        <f t="shared" si="131"/>
        <v>0.71471913574312174</v>
      </c>
      <c r="S121" s="86">
        <f t="shared" si="131"/>
        <v>0.72302323392679946</v>
      </c>
      <c r="T121" s="86">
        <f t="shared" si="131"/>
        <v>0.73547574601253818</v>
      </c>
      <c r="U121" s="86">
        <f t="shared" si="131"/>
        <v>0.74454467856891937</v>
      </c>
      <c r="V121" s="86">
        <f t="shared" si="131"/>
        <v>0.75183461610979718</v>
      </c>
      <c r="W121" s="86">
        <f t="shared" si="131"/>
        <v>0.76435205417880214</v>
      </c>
      <c r="X121" s="86">
        <f t="shared" ref="X121:Y121" si="132">IF(X107=0,"",X107/X100)</f>
        <v>0.77972593071083396</v>
      </c>
      <c r="Y121" s="86">
        <f t="shared" si="132"/>
        <v>0.79085698836020346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0.61614892353351702</v>
      </c>
      <c r="C122" s="75">
        <f t="shared" ref="C122:W122" si="134">IF(C108=0,"",C108/C101)</f>
        <v>0.58066079029563011</v>
      </c>
      <c r="D122" s="75">
        <f t="shared" si="134"/>
        <v>0.61094434978597822</v>
      </c>
      <c r="E122" s="75">
        <f t="shared" si="134"/>
        <v>0.59808442336549961</v>
      </c>
      <c r="F122" s="75">
        <f t="shared" si="134"/>
        <v>0.61183136270238292</v>
      </c>
      <c r="G122" s="75">
        <f t="shared" si="134"/>
        <v>0.62874043815457747</v>
      </c>
      <c r="H122" s="75">
        <f t="shared" si="134"/>
        <v>0.63676524821363345</v>
      </c>
      <c r="I122" s="75">
        <f t="shared" si="134"/>
        <v>0.64242263458603677</v>
      </c>
      <c r="J122" s="75">
        <f t="shared" si="134"/>
        <v>0.66334763119277051</v>
      </c>
      <c r="K122" s="75">
        <f t="shared" si="134"/>
        <v>0.67743794144285008</v>
      </c>
      <c r="L122" s="75">
        <f t="shared" si="134"/>
        <v>0.68536700442171639</v>
      </c>
      <c r="M122" s="75">
        <f t="shared" si="134"/>
        <v>0.67027352148610764</v>
      </c>
      <c r="N122" s="75">
        <f t="shared" si="134"/>
        <v>0.68712089923180408</v>
      </c>
      <c r="O122" s="75">
        <f t="shared" si="134"/>
        <v>0.68864579183362684</v>
      </c>
      <c r="P122" s="75">
        <f t="shared" si="134"/>
        <v>0.69411928068833395</v>
      </c>
      <c r="Q122" s="75">
        <f t="shared" si="134"/>
        <v>0.6961765703303513</v>
      </c>
      <c r="R122" s="75">
        <f t="shared" si="134"/>
        <v>0.70914094179836518</v>
      </c>
      <c r="S122" s="75">
        <f t="shared" si="134"/>
        <v>0.71652363747636727</v>
      </c>
      <c r="T122" s="75">
        <f t="shared" si="134"/>
        <v>0.7284053536270525</v>
      </c>
      <c r="U122" s="75">
        <f t="shared" si="134"/>
        <v>0.73769909638380871</v>
      </c>
      <c r="V122" s="75">
        <f t="shared" si="134"/>
        <v>0.74499692021076658</v>
      </c>
      <c r="W122" s="75">
        <f t="shared" si="134"/>
        <v>0.75567600192124362</v>
      </c>
      <c r="X122" s="75">
        <f t="shared" ref="X122:Y122" si="135">IF(X108=0,"",X108/X101)</f>
        <v>0.76894865671503621</v>
      </c>
      <c r="Y122" s="75">
        <f t="shared" si="135"/>
        <v>0.77884953942665769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2.0432195807241889</v>
      </c>
      <c r="C123" s="76">
        <f t="shared" ref="C123:W123" si="137">IF(C109=0,"",C109/C102)</f>
        <v>2.1541038201939364</v>
      </c>
      <c r="D123" s="76">
        <f t="shared" si="137"/>
        <v>2.2835843637139273</v>
      </c>
      <c r="E123" s="76">
        <f t="shared" si="137"/>
        <v>2.4118330066675289</v>
      </c>
      <c r="F123" s="76">
        <f t="shared" si="137"/>
        <v>2.5420179292477929</v>
      </c>
      <c r="G123" s="76">
        <f t="shared" si="137"/>
        <v>2.7127356312540889</v>
      </c>
      <c r="H123" s="76">
        <f t="shared" si="137"/>
        <v>2.9040273401717638</v>
      </c>
      <c r="I123" s="76">
        <f t="shared" si="137"/>
        <v>3.0790820113704509</v>
      </c>
      <c r="J123" s="76">
        <f t="shared" si="137"/>
        <v>3.2620144172284373</v>
      </c>
      <c r="K123" s="76">
        <f t="shared" si="137"/>
        <v>3.3235884363478392</v>
      </c>
      <c r="L123" s="76">
        <f t="shared" si="137"/>
        <v>3.4188842106072812</v>
      </c>
      <c r="M123" s="76">
        <f t="shared" si="137"/>
        <v>3.5695653140339716</v>
      </c>
      <c r="N123" s="76">
        <f t="shared" si="137"/>
        <v>3.7159560730039782</v>
      </c>
      <c r="O123" s="76">
        <f t="shared" si="137"/>
        <v>3.8692427467151957</v>
      </c>
      <c r="P123" s="76">
        <f t="shared" si="137"/>
        <v>4.0392048058129175</v>
      </c>
      <c r="Q123" s="76">
        <f t="shared" si="137"/>
        <v>4.2372131794732057</v>
      </c>
      <c r="R123" s="76">
        <f t="shared" si="137"/>
        <v>4.4214179944388974</v>
      </c>
      <c r="S123" s="76">
        <f t="shared" si="137"/>
        <v>4.5867689846272501</v>
      </c>
      <c r="T123" s="76">
        <f t="shared" si="137"/>
        <v>4.7354437110298582</v>
      </c>
      <c r="U123" s="76">
        <f t="shared" si="137"/>
        <v>4.853222060927016</v>
      </c>
      <c r="V123" s="76">
        <f t="shared" si="137"/>
        <v>4.9675657146171748</v>
      </c>
      <c r="W123" s="76">
        <f t="shared" si="137"/>
        <v>5.0782912324548111</v>
      </c>
      <c r="X123" s="76">
        <f t="shared" ref="X123:Y123" si="138">IF(X109=0,"",X109/X102)</f>
        <v>5.1699780758257488</v>
      </c>
      <c r="Y123" s="76">
        <f t="shared" si="138"/>
        <v>5.2421033563450603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0.61996617621365169</v>
      </c>
      <c r="C124" s="76">
        <f t="shared" ref="C124:W124" si="140">IF(C110=0,"",C110/C103)</f>
        <v>0.62087594091069942</v>
      </c>
      <c r="D124" s="76">
        <f t="shared" si="140"/>
        <v>0.62669149381634959</v>
      </c>
      <c r="E124" s="76">
        <f t="shared" si="140"/>
        <v>0.63589815743118749</v>
      </c>
      <c r="F124" s="76">
        <f t="shared" si="140"/>
        <v>0.64257734316030202</v>
      </c>
      <c r="G124" s="76">
        <f t="shared" si="140"/>
        <v>0.64767092337021193</v>
      </c>
      <c r="H124" s="76">
        <f t="shared" si="140"/>
        <v>0.65236951427449241</v>
      </c>
      <c r="I124" s="76">
        <f t="shared" si="140"/>
        <v>0.65746533970349541</v>
      </c>
      <c r="J124" s="76">
        <f t="shared" si="140"/>
        <v>0.66036332632423989</v>
      </c>
      <c r="K124" s="76">
        <f t="shared" si="140"/>
        <v>0.66599208140495969</v>
      </c>
      <c r="L124" s="76">
        <f t="shared" si="140"/>
        <v>0.67072565286444719</v>
      </c>
      <c r="M124" s="76">
        <f t="shared" si="140"/>
        <v>0.67520467887513436</v>
      </c>
      <c r="N124" s="76">
        <f t="shared" si="140"/>
        <v>0.68198812128854136</v>
      </c>
      <c r="O124" s="76">
        <f t="shared" si="140"/>
        <v>0.68839230575731269</v>
      </c>
      <c r="P124" s="76">
        <f t="shared" si="140"/>
        <v>0.69153785511481147</v>
      </c>
      <c r="Q124" s="76">
        <f t="shared" si="140"/>
        <v>0.69884887619324054</v>
      </c>
      <c r="R124" s="76">
        <f t="shared" si="140"/>
        <v>0.70893846220444934</v>
      </c>
      <c r="S124" s="76">
        <f t="shared" si="140"/>
        <v>0.72146219889631025</v>
      </c>
      <c r="T124" s="76">
        <f t="shared" si="140"/>
        <v>0.73404854832514577</v>
      </c>
      <c r="U124" s="76">
        <f t="shared" si="140"/>
        <v>0.75041313141186727</v>
      </c>
      <c r="V124" s="76">
        <f t="shared" si="140"/>
        <v>0.76100642216772041</v>
      </c>
      <c r="W124" s="76">
        <f t="shared" si="140"/>
        <v>0.778582673384275</v>
      </c>
      <c r="X124" s="76">
        <f t="shared" ref="X124:Y124" si="141">IF(X110=0,"",X110/X103)</f>
        <v>0.79418565611074976</v>
      </c>
      <c r="Y124" s="76">
        <f t="shared" si="141"/>
        <v>0.8089086062437405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0.70530722334742113</v>
      </c>
      <c r="C125" s="56">
        <f t="shared" ref="C125:W125" si="143">IF(C111=0,"",C111/C104)</f>
        <v>0.69355856608525868</v>
      </c>
      <c r="D125" s="56">
        <f t="shared" si="143"/>
        <v>0.68764775048489202</v>
      </c>
      <c r="E125" s="56">
        <f t="shared" si="143"/>
        <v>0.69040948556439574</v>
      </c>
      <c r="F125" s="56">
        <f t="shared" si="143"/>
        <v>0.6883590591702532</v>
      </c>
      <c r="G125" s="56">
        <f t="shared" si="143"/>
        <v>0.69271887504254614</v>
      </c>
      <c r="H125" s="56">
        <f t="shared" si="143"/>
        <v>0.69628910407679034</v>
      </c>
      <c r="I125" s="56">
        <f t="shared" si="143"/>
        <v>0.69935933090176594</v>
      </c>
      <c r="J125" s="56">
        <f t="shared" si="143"/>
        <v>0.70222512067078957</v>
      </c>
      <c r="K125" s="56">
        <f t="shared" si="143"/>
        <v>0.7070254897205126</v>
      </c>
      <c r="L125" s="56">
        <f t="shared" si="143"/>
        <v>0.70837368762046071</v>
      </c>
      <c r="M125" s="56">
        <f t="shared" si="143"/>
        <v>0.70984025531719008</v>
      </c>
      <c r="N125" s="56">
        <f t="shared" si="143"/>
        <v>0.71024610030491342</v>
      </c>
      <c r="O125" s="56">
        <f t="shared" si="143"/>
        <v>0.71301275343443826</v>
      </c>
      <c r="P125" s="56">
        <f t="shared" si="143"/>
        <v>0.71578366622383782</v>
      </c>
      <c r="Q125" s="56">
        <f t="shared" si="143"/>
        <v>0.71952947892836427</v>
      </c>
      <c r="R125" s="56">
        <f t="shared" si="143"/>
        <v>0.71175164821560821</v>
      </c>
      <c r="S125" s="56">
        <f t="shared" si="143"/>
        <v>0.71598394089869244</v>
      </c>
      <c r="T125" s="56">
        <f t="shared" si="143"/>
        <v>0.72883592824236276</v>
      </c>
      <c r="U125" s="56">
        <f t="shared" si="143"/>
        <v>0.72729011817880762</v>
      </c>
      <c r="V125" s="56">
        <f t="shared" si="143"/>
        <v>0.73321591141395459</v>
      </c>
      <c r="W125" s="56">
        <f t="shared" si="143"/>
        <v>0.7522925032551081</v>
      </c>
      <c r="X125" s="56">
        <f t="shared" ref="X125:Y125" si="144">IF(X111=0,"",X111/X104)</f>
        <v>0.76927454374456106</v>
      </c>
      <c r="Y125" s="56">
        <f t="shared" si="144"/>
        <v>0.77616543662723503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296.1971296542381</v>
      </c>
      <c r="C129" s="82">
        <f t="shared" ref="C129:W129" si="146">IF(C99=0,0,C99/C$26)</f>
        <v>294.24466685193278</v>
      </c>
      <c r="D129" s="82">
        <f t="shared" si="146"/>
        <v>286.99126015728092</v>
      </c>
      <c r="E129" s="82">
        <f t="shared" si="146"/>
        <v>312.84286071159949</v>
      </c>
      <c r="F129" s="82">
        <f t="shared" si="146"/>
        <v>340.84384106922374</v>
      </c>
      <c r="G129" s="82">
        <f t="shared" si="146"/>
        <v>333.53767852519604</v>
      </c>
      <c r="H129" s="82">
        <f t="shared" si="146"/>
        <v>319.53746209316563</v>
      </c>
      <c r="I129" s="82">
        <f t="shared" si="146"/>
        <v>318.81683029528415</v>
      </c>
      <c r="J129" s="82">
        <f t="shared" si="146"/>
        <v>344.19026303184006</v>
      </c>
      <c r="K129" s="82">
        <f t="shared" si="146"/>
        <v>335.98474680568592</v>
      </c>
      <c r="L129" s="82">
        <f t="shared" si="146"/>
        <v>337.82238710043981</v>
      </c>
      <c r="M129" s="82">
        <f t="shared" si="146"/>
        <v>311.96690741617897</v>
      </c>
      <c r="N129" s="82">
        <f t="shared" si="146"/>
        <v>322.95268642997399</v>
      </c>
      <c r="O129" s="82">
        <f t="shared" si="146"/>
        <v>316.48374543602449</v>
      </c>
      <c r="P129" s="82">
        <f t="shared" si="146"/>
        <v>341.50000001999894</v>
      </c>
      <c r="Q129" s="82">
        <f t="shared" si="146"/>
        <v>340.30535673106982</v>
      </c>
      <c r="R129" s="82">
        <f t="shared" si="146"/>
        <v>360.57340435993592</v>
      </c>
      <c r="S129" s="82">
        <f t="shared" si="146"/>
        <v>332.12098084052161</v>
      </c>
      <c r="T129" s="82">
        <f t="shared" si="146"/>
        <v>343.85861727449924</v>
      </c>
      <c r="U129" s="82">
        <f t="shared" si="146"/>
        <v>321.60182987564917</v>
      </c>
      <c r="V129" s="82">
        <f t="shared" si="146"/>
        <v>322.75740640697722</v>
      </c>
      <c r="W129" s="82">
        <f t="shared" si="146"/>
        <v>348.35789366844841</v>
      </c>
      <c r="X129" s="82">
        <f t="shared" ref="X129:Y129" si="147">IF(X99=0,0,X99/X$26)</f>
        <v>307.48366599979875</v>
      </c>
      <c r="Y129" s="82">
        <f t="shared" si="147"/>
        <v>287.7905169992323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241.2616701733738</v>
      </c>
      <c r="C130" s="64">
        <f t="shared" ref="C130:W130" si="149">IF(C100=0,0,C100/C$26)</f>
        <v>237.15987301955684</v>
      </c>
      <c r="D130" s="64">
        <f t="shared" si="149"/>
        <v>228.24940620295851</v>
      </c>
      <c r="E130" s="64">
        <f t="shared" si="149"/>
        <v>252.0721528029479</v>
      </c>
      <c r="F130" s="64">
        <f t="shared" si="149"/>
        <v>277.97970964828158</v>
      </c>
      <c r="G130" s="64">
        <f t="shared" si="149"/>
        <v>269.52233889094765</v>
      </c>
      <c r="H130" s="64">
        <f t="shared" si="149"/>
        <v>255.28857758123985</v>
      </c>
      <c r="I130" s="64">
        <f t="shared" si="149"/>
        <v>253.68134630678162</v>
      </c>
      <c r="J130" s="64">
        <f t="shared" si="149"/>
        <v>276.61888020376938</v>
      </c>
      <c r="K130" s="64">
        <f t="shared" si="149"/>
        <v>266.42577439028429</v>
      </c>
      <c r="L130" s="64">
        <f t="shared" si="149"/>
        <v>267.21110604952486</v>
      </c>
      <c r="M130" s="64">
        <f t="shared" si="149"/>
        <v>242.27361451997282</v>
      </c>
      <c r="N130" s="64">
        <f t="shared" si="149"/>
        <v>253.14131948848194</v>
      </c>
      <c r="O130" s="64">
        <f t="shared" si="149"/>
        <v>245.55407492222781</v>
      </c>
      <c r="P130" s="64">
        <f t="shared" si="149"/>
        <v>269.23162151726956</v>
      </c>
      <c r="Q130" s="64">
        <f t="shared" si="149"/>
        <v>266.73562804233546</v>
      </c>
      <c r="R130" s="64">
        <f t="shared" si="149"/>
        <v>286.7382166752854</v>
      </c>
      <c r="S130" s="64">
        <f t="shared" si="149"/>
        <v>259.48818256567267</v>
      </c>
      <c r="T130" s="64">
        <f t="shared" si="149"/>
        <v>272.54203798839859</v>
      </c>
      <c r="U130" s="64">
        <f t="shared" si="149"/>
        <v>251.36308371395671</v>
      </c>
      <c r="V130" s="64">
        <f t="shared" si="149"/>
        <v>253.62763253893158</v>
      </c>
      <c r="W130" s="64">
        <f t="shared" si="149"/>
        <v>275.97719799898448</v>
      </c>
      <c r="X130" s="64">
        <f t="shared" ref="X130:Y130" si="150">IF(X100=0,0,X100/X$26)</f>
        <v>237.24984036302786</v>
      </c>
      <c r="Y130" s="64">
        <f t="shared" si="150"/>
        <v>217.15692853062413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181.00984673528043</v>
      </c>
      <c r="C131" s="65">
        <f t="shared" ref="C131:W131" si="152">IF(C101=0,0,C101/C$26)</f>
        <v>177.0855562267374</v>
      </c>
      <c r="D131" s="65">
        <f t="shared" si="152"/>
        <v>169.50772423340305</v>
      </c>
      <c r="E131" s="65">
        <f t="shared" si="152"/>
        <v>193.45962312446335</v>
      </c>
      <c r="F131" s="65">
        <f t="shared" si="152"/>
        <v>220.63938981927816</v>
      </c>
      <c r="G131" s="65">
        <f t="shared" si="152"/>
        <v>211.63697836498775</v>
      </c>
      <c r="H131" s="65">
        <f t="shared" si="152"/>
        <v>199.05309015591214</v>
      </c>
      <c r="I131" s="65">
        <f t="shared" si="152"/>
        <v>198.94784449004817</v>
      </c>
      <c r="J131" s="65">
        <f t="shared" si="152"/>
        <v>220.49240687655802</v>
      </c>
      <c r="K131" s="65">
        <f t="shared" si="152"/>
        <v>209.26528650634</v>
      </c>
      <c r="L131" s="65">
        <f t="shared" si="152"/>
        <v>209.71597323328706</v>
      </c>
      <c r="M131" s="65">
        <f t="shared" si="152"/>
        <v>184.13626352187742</v>
      </c>
      <c r="N131" s="65">
        <f t="shared" si="152"/>
        <v>195.60487461301778</v>
      </c>
      <c r="O131" s="65">
        <f t="shared" si="152"/>
        <v>187.55049306914233</v>
      </c>
      <c r="P131" s="65">
        <f t="shared" si="152"/>
        <v>211.75558039117402</v>
      </c>
      <c r="Q131" s="65">
        <f t="shared" si="152"/>
        <v>209.4820458761186</v>
      </c>
      <c r="R131" s="65">
        <f t="shared" si="152"/>
        <v>230.11901500000684</v>
      </c>
      <c r="S131" s="65">
        <f t="shared" si="152"/>
        <v>202.93466753526101</v>
      </c>
      <c r="T131" s="65">
        <f t="shared" si="152"/>
        <v>216.84847945517527</v>
      </c>
      <c r="U131" s="65">
        <f t="shared" si="152"/>
        <v>195.56051220610379</v>
      </c>
      <c r="V131" s="65">
        <f t="shared" si="152"/>
        <v>201.46956756919982</v>
      </c>
      <c r="W131" s="65">
        <f t="shared" si="152"/>
        <v>219.55701885834227</v>
      </c>
      <c r="X131" s="65">
        <f t="shared" ref="X131:Y131" si="153">IF(X101=0,0,X101/X$26)</f>
        <v>178.47892970144269</v>
      </c>
      <c r="Y131" s="65">
        <f t="shared" si="153"/>
        <v>153.02253068791964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0.35456166412382528</v>
      </c>
      <c r="C132" s="65">
        <f t="shared" ref="C132:W132" si="155">IF(C102=0,0,C102/C$26)</f>
        <v>0.36203445069300277</v>
      </c>
      <c r="D132" s="65">
        <f t="shared" si="155"/>
        <v>0.36787509769444415</v>
      </c>
      <c r="E132" s="65">
        <f t="shared" si="155"/>
        <v>0.38503720703926353</v>
      </c>
      <c r="F132" s="65">
        <f t="shared" si="155"/>
        <v>0.36428008884554336</v>
      </c>
      <c r="G132" s="65">
        <f t="shared" si="155"/>
        <v>0.37168167222577447</v>
      </c>
      <c r="H132" s="65">
        <f t="shared" si="155"/>
        <v>0.39096477034438287</v>
      </c>
      <c r="I132" s="65">
        <f t="shared" si="155"/>
        <v>0.38876840063459073</v>
      </c>
      <c r="J132" s="65">
        <f t="shared" si="155"/>
        <v>0.39961352675772133</v>
      </c>
      <c r="K132" s="65">
        <f t="shared" si="155"/>
        <v>0.41086179077331247</v>
      </c>
      <c r="L132" s="65">
        <f t="shared" si="155"/>
        <v>0.48658452350032627</v>
      </c>
      <c r="M132" s="65">
        <f t="shared" si="155"/>
        <v>0.4454863436538482</v>
      </c>
      <c r="N132" s="65">
        <f t="shared" si="155"/>
        <v>0.42534237410650272</v>
      </c>
      <c r="O132" s="65">
        <f t="shared" si="155"/>
        <v>0.42211731389813689</v>
      </c>
      <c r="P132" s="65">
        <f t="shared" si="155"/>
        <v>0.42703892018114958</v>
      </c>
      <c r="Q132" s="65">
        <f t="shared" si="155"/>
        <v>0.41327346560096817</v>
      </c>
      <c r="R132" s="65">
        <f t="shared" si="155"/>
        <v>0.41089361682673486</v>
      </c>
      <c r="S132" s="65">
        <f t="shared" si="155"/>
        <v>0.40747046780005652</v>
      </c>
      <c r="T132" s="65">
        <f t="shared" si="155"/>
        <v>0.44204318796294112</v>
      </c>
      <c r="U132" s="65">
        <f t="shared" si="155"/>
        <v>0.41572034906860184</v>
      </c>
      <c r="V132" s="65">
        <f t="shared" si="155"/>
        <v>0.39698684522165717</v>
      </c>
      <c r="W132" s="65">
        <f t="shared" si="155"/>
        <v>0.44298147516947384</v>
      </c>
      <c r="X132" s="65">
        <f t="shared" ref="X132:Y132" si="156">IF(X102=0,0,X102/X$26)</f>
        <v>0.43121114799663668</v>
      </c>
      <c r="Y132" s="65">
        <f t="shared" si="156"/>
        <v>0.4205631635395275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31.632580911971989</v>
      </c>
      <c r="C133" s="65">
        <f t="shared" ref="C133:W133" si="158">IF(C103=0,0,C103/C$26)</f>
        <v>31.021955818157458</v>
      </c>
      <c r="D133" s="65">
        <f t="shared" si="158"/>
        <v>29.895765318991725</v>
      </c>
      <c r="E133" s="65">
        <f t="shared" si="158"/>
        <v>29.343189782660833</v>
      </c>
      <c r="F133" s="65">
        <f t="shared" si="158"/>
        <v>28.301709076403984</v>
      </c>
      <c r="G133" s="65">
        <f t="shared" si="158"/>
        <v>28.256304570426767</v>
      </c>
      <c r="H133" s="65">
        <f t="shared" si="158"/>
        <v>27.389976807269637</v>
      </c>
      <c r="I133" s="65">
        <f t="shared" si="158"/>
        <v>26.128716575687328</v>
      </c>
      <c r="J133" s="65">
        <f t="shared" si="158"/>
        <v>26.525133634416544</v>
      </c>
      <c r="K133" s="65">
        <f t="shared" si="158"/>
        <v>26.36095158007458</v>
      </c>
      <c r="L133" s="65">
        <f t="shared" si="158"/>
        <v>26.189399128934927</v>
      </c>
      <c r="M133" s="65">
        <f t="shared" si="158"/>
        <v>26.655753417360632</v>
      </c>
      <c r="N133" s="65">
        <f t="shared" si="158"/>
        <v>26.484127127023477</v>
      </c>
      <c r="O133" s="65">
        <f t="shared" si="158"/>
        <v>26.351951537844897</v>
      </c>
      <c r="P133" s="65">
        <f t="shared" si="158"/>
        <v>26.288465412486822</v>
      </c>
      <c r="Q133" s="65">
        <f t="shared" si="158"/>
        <v>26.478791951066544</v>
      </c>
      <c r="R133" s="65">
        <f t="shared" si="158"/>
        <v>25.811642421267994</v>
      </c>
      <c r="S133" s="65">
        <f t="shared" si="158"/>
        <v>25.529943348707434</v>
      </c>
      <c r="T133" s="65">
        <f t="shared" si="158"/>
        <v>25.304978736579994</v>
      </c>
      <c r="U133" s="65">
        <f t="shared" si="158"/>
        <v>25.357444771261562</v>
      </c>
      <c r="V133" s="65">
        <f t="shared" si="158"/>
        <v>24.026981047707054</v>
      </c>
      <c r="W133" s="65">
        <f t="shared" si="158"/>
        <v>25.444981552815111</v>
      </c>
      <c r="X133" s="65">
        <f t="shared" ref="X133:Y133" si="159">IF(X103=0,0,X103/X$26)</f>
        <v>25.69622046909878</v>
      </c>
      <c r="Y133" s="65">
        <f t="shared" si="159"/>
        <v>27.53047666295355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28.264680861997569</v>
      </c>
      <c r="C134" s="67">
        <f t="shared" ref="C134:W134" si="161">IF(C104=0,0,C104/C$26)</f>
        <v>28.690326523968999</v>
      </c>
      <c r="D134" s="67">
        <f t="shared" si="161"/>
        <v>28.47804155286925</v>
      </c>
      <c r="E134" s="67">
        <f t="shared" si="161"/>
        <v>28.884302688784473</v>
      </c>
      <c r="F134" s="67">
        <f t="shared" si="161"/>
        <v>28.674330663753867</v>
      </c>
      <c r="G134" s="67">
        <f t="shared" si="161"/>
        <v>29.25737428330736</v>
      </c>
      <c r="H134" s="67">
        <f t="shared" si="161"/>
        <v>28.454545847713671</v>
      </c>
      <c r="I134" s="67">
        <f t="shared" si="161"/>
        <v>28.216016840411584</v>
      </c>
      <c r="J134" s="67">
        <f t="shared" si="161"/>
        <v>29.201726166037091</v>
      </c>
      <c r="K134" s="67">
        <f t="shared" si="161"/>
        <v>30.388674513096444</v>
      </c>
      <c r="L134" s="67">
        <f t="shared" si="161"/>
        <v>30.819149163802614</v>
      </c>
      <c r="M134" s="67">
        <f t="shared" si="161"/>
        <v>31.036111237080924</v>
      </c>
      <c r="N134" s="67">
        <f t="shared" si="161"/>
        <v>30.626975374334101</v>
      </c>
      <c r="O134" s="67">
        <f t="shared" si="161"/>
        <v>31.229513001342482</v>
      </c>
      <c r="P134" s="67">
        <f t="shared" si="161"/>
        <v>30.760536793427605</v>
      </c>
      <c r="Q134" s="67">
        <f t="shared" si="161"/>
        <v>30.361516749549388</v>
      </c>
      <c r="R134" s="67">
        <f t="shared" si="161"/>
        <v>30.396665637183887</v>
      </c>
      <c r="S134" s="67">
        <f t="shared" si="161"/>
        <v>30.616101213904173</v>
      </c>
      <c r="T134" s="67">
        <f t="shared" si="161"/>
        <v>29.946536608680386</v>
      </c>
      <c r="U134" s="67">
        <f t="shared" si="161"/>
        <v>30.02940638752272</v>
      </c>
      <c r="V134" s="67">
        <f t="shared" si="161"/>
        <v>27.734097076802996</v>
      </c>
      <c r="W134" s="67">
        <f t="shared" si="161"/>
        <v>30.53221611265775</v>
      </c>
      <c r="X134" s="67">
        <f t="shared" ref="X134:Y134" si="162">IF(X104=0,0,X104/X$26)</f>
        <v>32.643479044489766</v>
      </c>
      <c r="Y134" s="67">
        <f t="shared" si="162"/>
        <v>36.183358016211415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54.93545948086431</v>
      </c>
      <c r="C135" s="68">
        <f t="shared" ref="C135:W135" si="164">IF(C105=0,0,C105/C$26)</f>
        <v>57.084793832375944</v>
      </c>
      <c r="D135" s="68">
        <f t="shared" si="164"/>
        <v>58.741853954322465</v>
      </c>
      <c r="E135" s="68">
        <f t="shared" si="164"/>
        <v>60.770707908651559</v>
      </c>
      <c r="F135" s="68">
        <f t="shared" si="164"/>
        <v>62.864131420942165</v>
      </c>
      <c r="G135" s="68">
        <f t="shared" si="164"/>
        <v>64.015339634248434</v>
      </c>
      <c r="H135" s="68">
        <f t="shared" si="164"/>
        <v>64.24888451192578</v>
      </c>
      <c r="I135" s="68">
        <f t="shared" si="164"/>
        <v>65.1354839885025</v>
      </c>
      <c r="J135" s="68">
        <f t="shared" si="164"/>
        <v>67.571382828070639</v>
      </c>
      <c r="K135" s="68">
        <f t="shared" si="164"/>
        <v>69.558972415401598</v>
      </c>
      <c r="L135" s="68">
        <f t="shared" si="164"/>
        <v>70.611281050914954</v>
      </c>
      <c r="M135" s="68">
        <f t="shared" si="164"/>
        <v>69.693292896206074</v>
      </c>
      <c r="N135" s="68">
        <f t="shared" si="164"/>
        <v>69.811366941492068</v>
      </c>
      <c r="O135" s="68">
        <f t="shared" si="164"/>
        <v>70.92967051379668</v>
      </c>
      <c r="P135" s="68">
        <f t="shared" si="164"/>
        <v>72.268378502729348</v>
      </c>
      <c r="Q135" s="68">
        <f t="shared" si="164"/>
        <v>73.569728688734287</v>
      </c>
      <c r="R135" s="68">
        <f t="shared" si="164"/>
        <v>73.835187684650464</v>
      </c>
      <c r="S135" s="68">
        <f t="shared" si="164"/>
        <v>72.63279827484898</v>
      </c>
      <c r="T135" s="68">
        <f t="shared" si="164"/>
        <v>71.31657928610062</v>
      </c>
      <c r="U135" s="68">
        <f t="shared" si="164"/>
        <v>70.238746161692461</v>
      </c>
      <c r="V135" s="68">
        <f t="shared" si="164"/>
        <v>69.129773868045703</v>
      </c>
      <c r="W135" s="68">
        <f t="shared" si="164"/>
        <v>72.380695669463933</v>
      </c>
      <c r="X135" s="68">
        <f t="shared" ref="X135:Y135" si="165">IF(X105=0,0,X105/X$26)</f>
        <v>70.233825636770845</v>
      </c>
      <c r="Y135" s="68">
        <f t="shared" si="165"/>
        <v>70.633588468608153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151.79988335896263</v>
      </c>
      <c r="C137" s="85">
        <f t="shared" ref="C137:W137" si="167">IF(C107=0,0,C107/C$26)</f>
        <v>142.76570655380866</v>
      </c>
      <c r="D137" s="85">
        <f t="shared" si="167"/>
        <v>142.71814322495985</v>
      </c>
      <c r="E137" s="85">
        <f t="shared" si="167"/>
        <v>155.23510946183154</v>
      </c>
      <c r="F137" s="85">
        <f t="shared" si="167"/>
        <v>173.84437735931442</v>
      </c>
      <c r="G137" s="85">
        <f t="shared" si="167"/>
        <v>172.64092289503381</v>
      </c>
      <c r="H137" s="85">
        <f t="shared" si="167"/>
        <v>165.56643884390883</v>
      </c>
      <c r="I137" s="85">
        <f t="shared" si="167"/>
        <v>165.91750836916694</v>
      </c>
      <c r="J137" s="85">
        <f t="shared" si="167"/>
        <v>185.58907204191954</v>
      </c>
      <c r="K137" s="85">
        <f t="shared" si="167"/>
        <v>182.17153289326308</v>
      </c>
      <c r="L137" s="85">
        <f t="shared" si="167"/>
        <v>184.79336067017428</v>
      </c>
      <c r="M137" s="85">
        <f t="shared" si="167"/>
        <v>165.04062493521127</v>
      </c>
      <c r="N137" s="85">
        <f t="shared" si="167"/>
        <v>175.7993008434691</v>
      </c>
      <c r="O137" s="85">
        <f t="shared" si="167"/>
        <v>171.19665389729573</v>
      </c>
      <c r="P137" s="85">
        <f t="shared" si="167"/>
        <v>188.90588758815113</v>
      </c>
      <c r="Q137" s="85">
        <f t="shared" si="167"/>
        <v>187.93830034322809</v>
      </c>
      <c r="R137" s="85">
        <f t="shared" si="167"/>
        <v>204.93729040668399</v>
      </c>
      <c r="S137" s="85">
        <f t="shared" si="167"/>
        <v>187.61598492442042</v>
      </c>
      <c r="T137" s="85">
        <f t="shared" si="167"/>
        <v>200.448058709295</v>
      </c>
      <c r="U137" s="85">
        <f t="shared" si="167"/>
        <v>187.15104636790028</v>
      </c>
      <c r="V137" s="85">
        <f t="shared" si="167"/>
        <v>190.68603374474432</v>
      </c>
      <c r="W137" s="85">
        <f t="shared" si="167"/>
        <v>210.94373819703378</v>
      </c>
      <c r="X137" s="85">
        <f t="shared" ref="X137:Y137" si="168">IF(X107=0,0,X107/X$26)</f>
        <v>184.98985258805868</v>
      </c>
      <c r="Y137" s="85">
        <f t="shared" si="168"/>
        <v>171.74007449928132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111.52902221490994</v>
      </c>
      <c r="C138" s="65">
        <f t="shared" ref="C138:W138" si="170">IF(C108=0,0,C108/C$26)</f>
        <v>102.82663902855859</v>
      </c>
      <c r="D138" s="65">
        <f t="shared" si="170"/>
        <v>103.55978636547732</v>
      </c>
      <c r="E138" s="65">
        <f t="shared" si="170"/>
        <v>115.70518714090153</v>
      </c>
      <c r="F138" s="65">
        <f t="shared" si="170"/>
        <v>134.99409853895122</v>
      </c>
      <c r="G138" s="65">
        <f t="shared" si="170"/>
        <v>133.06472650691322</v>
      </c>
      <c r="H138" s="65">
        <f t="shared" si="170"/>
        <v>126.75009036082017</v>
      </c>
      <c r="I138" s="65">
        <f t="shared" si="170"/>
        <v>127.80859840250989</v>
      </c>
      <c r="J138" s="65">
        <f t="shared" si="170"/>
        <v>146.26311579755733</v>
      </c>
      <c r="K138" s="65">
        <f t="shared" si="170"/>
        <v>141.76424490630322</v>
      </c>
      <c r="L138" s="65">
        <f t="shared" si="170"/>
        <v>143.7324083542828</v>
      </c>
      <c r="M138" s="65">
        <f t="shared" si="170"/>
        <v>123.42166178410268</v>
      </c>
      <c r="N138" s="65">
        <f t="shared" si="170"/>
        <v>134.40419733822105</v>
      </c>
      <c r="O138" s="65">
        <f t="shared" si="170"/>
        <v>129.15585780838666</v>
      </c>
      <c r="P138" s="65">
        <f t="shared" si="170"/>
        <v>146.98363114286238</v>
      </c>
      <c r="Q138" s="65">
        <f t="shared" si="170"/>
        <v>145.83649224382157</v>
      </c>
      <c r="R138" s="65">
        <f t="shared" si="170"/>
        <v>163.18681502281694</v>
      </c>
      <c r="S138" s="65">
        <f t="shared" si="170"/>
        <v>145.40748615242248</v>
      </c>
      <c r="T138" s="65">
        <f t="shared" si="170"/>
        <v>157.95359336103559</v>
      </c>
      <c r="U138" s="65">
        <f t="shared" si="170"/>
        <v>144.26481314279755</v>
      </c>
      <c r="V138" s="65">
        <f t="shared" si="170"/>
        <v>150.09420735524881</v>
      </c>
      <c r="W138" s="65">
        <f t="shared" si="170"/>
        <v>165.91397020461918</v>
      </c>
      <c r="X138" s="65">
        <f t="shared" ref="X138:Y138" si="171">IF(X108=0,0,X108/X$26)</f>
        <v>137.24113324586173</v>
      </c>
      <c r="Y138" s="65">
        <f t="shared" si="171"/>
        <v>119.1815275481878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0.72444733471195299</v>
      </c>
      <c r="C139" s="65">
        <f t="shared" ref="C139:W139" si="173">IF(C109=0,0,C109/C$26)</f>
        <v>0.77985979327961052</v>
      </c>
      <c r="D139" s="65">
        <f t="shared" si="173"/>
        <v>0.84007382089476612</v>
      </c>
      <c r="E139" s="65">
        <f t="shared" si="173"/>
        <v>0.92864544473237476</v>
      </c>
      <c r="F139" s="65">
        <f t="shared" si="173"/>
        <v>0.92600651711335003</v>
      </c>
      <c r="G139" s="65">
        <f t="shared" si="173"/>
        <v>1.0082741157309618</v>
      </c>
      <c r="H139" s="65">
        <f t="shared" si="173"/>
        <v>1.1353723821240627</v>
      </c>
      <c r="I139" s="65">
        <f t="shared" si="173"/>
        <v>1.197049788983229</v>
      </c>
      <c r="J139" s="65">
        <f t="shared" si="173"/>
        <v>1.3035450856031887</v>
      </c>
      <c r="K139" s="65">
        <f t="shared" si="173"/>
        <v>1.3655354967513467</v>
      </c>
      <c r="L139" s="65">
        <f t="shared" si="173"/>
        <v>1.663576144521133</v>
      </c>
      <c r="M139" s="65">
        <f t="shared" si="173"/>
        <v>1.5901926001825946</v>
      </c>
      <c r="N139" s="65">
        <f t="shared" si="173"/>
        <v>1.5805535781669888</v>
      </c>
      <c r="O139" s="65">
        <f t="shared" si="173"/>
        <v>1.6332743550632676</v>
      </c>
      <c r="P139" s="65">
        <f t="shared" si="173"/>
        <v>1.7248976586648583</v>
      </c>
      <c r="Q139" s="65">
        <f t="shared" si="173"/>
        <v>1.7511277751709888</v>
      </c>
      <c r="R139" s="65">
        <f t="shared" si="173"/>
        <v>1.8167324312378068</v>
      </c>
      <c r="S139" s="65">
        <f t="shared" si="173"/>
        <v>1.8689729038568559</v>
      </c>
      <c r="T139" s="65">
        <f t="shared" si="173"/>
        <v>2.0932706344426988</v>
      </c>
      <c r="U139" s="65">
        <f t="shared" si="173"/>
        <v>2.0175831692760187</v>
      </c>
      <c r="V139" s="65">
        <f t="shared" si="173"/>
        <v>1.972058241477139</v>
      </c>
      <c r="W139" s="65">
        <f t="shared" si="173"/>
        <v>2.2495889414930375</v>
      </c>
      <c r="X139" s="65">
        <f t="shared" ref="X139:Y139" si="174">IF(X109=0,0,X109/X$26)</f>
        <v>2.229352181194264</v>
      </c>
      <c r="Y139" s="65">
        <f t="shared" si="174"/>
        <v>2.2046355711456536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19.611130231764218</v>
      </c>
      <c r="C140" s="65">
        <f t="shared" ref="C140:W140" si="176">IF(C110=0,0,C110/C$26)</f>
        <v>19.260786007488658</v>
      </c>
      <c r="D140" s="65">
        <f t="shared" si="176"/>
        <v>18.735421826541941</v>
      </c>
      <c r="E140" s="65">
        <f t="shared" si="176"/>
        <v>18.659280315947669</v>
      </c>
      <c r="F140" s="65">
        <f t="shared" si="176"/>
        <v>18.186037025211476</v>
      </c>
      <c r="G140" s="65">
        <f t="shared" si="176"/>
        <v>18.300786872158245</v>
      </c>
      <c r="H140" s="65">
        <f t="shared" si="176"/>
        <v>17.868385865748103</v>
      </c>
      <c r="I140" s="65">
        <f t="shared" si="176"/>
        <v>17.178725519450619</v>
      </c>
      <c r="J140" s="65">
        <f t="shared" si="176"/>
        <v>17.516225478018285</v>
      </c>
      <c r="K140" s="65">
        <f t="shared" si="176"/>
        <v>17.556185010629232</v>
      </c>
      <c r="L140" s="65">
        <f t="shared" si="176"/>
        <v>17.565901828882463</v>
      </c>
      <c r="M140" s="65">
        <f t="shared" si="176"/>
        <v>17.99808942634375</v>
      </c>
      <c r="N140" s="65">
        <f t="shared" si="176"/>
        <v>18.061860103325635</v>
      </c>
      <c r="O140" s="65">
        <f t="shared" si="176"/>
        <v>18.140480680342012</v>
      </c>
      <c r="P140" s="65">
        <f t="shared" si="176"/>
        <v>18.179468985611045</v>
      </c>
      <c r="Q140" s="65">
        <f t="shared" si="176"/>
        <v>18.504673997957479</v>
      </c>
      <c r="R140" s="65">
        <f t="shared" si="176"/>
        <v>18.298866085104862</v>
      </c>
      <c r="S140" s="65">
        <f t="shared" si="176"/>
        <v>18.418889066056696</v>
      </c>
      <c r="T140" s="65">
        <f t="shared" si="176"/>
        <v>18.575082906985227</v>
      </c>
      <c r="U140" s="65">
        <f t="shared" si="176"/>
        <v>19.028559535405872</v>
      </c>
      <c r="V140" s="65">
        <f t="shared" si="176"/>
        <v>18.284686882607168</v>
      </c>
      <c r="W140" s="65">
        <f t="shared" si="176"/>
        <v>19.811021761604351</v>
      </c>
      <c r="X140" s="65">
        <f t="shared" ref="X140:Y140" si="177">IF(X110=0,0,X110/X$26)</f>
        <v>20.40756971281769</v>
      </c>
      <c r="Y140" s="65">
        <f t="shared" si="177"/>
        <v>22.269639506655579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19.935283577576499</v>
      </c>
      <c r="C141" s="68">
        <f t="shared" ref="C141:W141" si="179">IF(C111=0,0,C111/C$26)</f>
        <v>19.898421724481803</v>
      </c>
      <c r="D141" s="68">
        <f t="shared" si="179"/>
        <v>19.58286121204582</v>
      </c>
      <c r="E141" s="68">
        <f t="shared" si="179"/>
        <v>19.941996560249979</v>
      </c>
      <c r="F141" s="68">
        <f t="shared" si="179"/>
        <v>19.738235278038356</v>
      </c>
      <c r="G141" s="68">
        <f t="shared" si="179"/>
        <v>20.267135400231393</v>
      </c>
      <c r="H141" s="68">
        <f t="shared" si="179"/>
        <v>19.812590235216504</v>
      </c>
      <c r="I141" s="68">
        <f t="shared" si="179"/>
        <v>19.733134658223204</v>
      </c>
      <c r="J141" s="68">
        <f t="shared" si="179"/>
        <v>20.506185680740753</v>
      </c>
      <c r="K141" s="68">
        <f t="shared" si="179"/>
        <v>21.485567479579274</v>
      </c>
      <c r="L141" s="68">
        <f t="shared" si="179"/>
        <v>21.831474342487894</v>
      </c>
      <c r="M141" s="68">
        <f t="shared" si="179"/>
        <v>22.030681124582237</v>
      </c>
      <c r="N141" s="68">
        <f t="shared" si="179"/>
        <v>21.752689823755411</v>
      </c>
      <c r="O141" s="68">
        <f t="shared" si="179"/>
        <v>22.267041053503789</v>
      </c>
      <c r="P141" s="68">
        <f t="shared" si="179"/>
        <v>22.017889801012867</v>
      </c>
      <c r="Q141" s="68">
        <f t="shared" si="179"/>
        <v>21.846006326278076</v>
      </c>
      <c r="R141" s="68">
        <f t="shared" si="179"/>
        <v>21.634876867524373</v>
      </c>
      <c r="S141" s="68">
        <f t="shared" si="179"/>
        <v>21.920636802084353</v>
      </c>
      <c r="T141" s="68">
        <f t="shared" si="179"/>
        <v>21.826111806831467</v>
      </c>
      <c r="U141" s="68">
        <f t="shared" si="179"/>
        <v>21.840090520420837</v>
      </c>
      <c r="V141" s="68">
        <f t="shared" si="179"/>
        <v>20.335081265411205</v>
      </c>
      <c r="W141" s="68">
        <f t="shared" si="179"/>
        <v>22.969157289317245</v>
      </c>
      <c r="X141" s="68">
        <f t="shared" ref="X141:Y141" si="180">IF(X111=0,0,X111/X$26)</f>
        <v>25.111797448185005</v>
      </c>
      <c r="Y141" s="68">
        <f t="shared" si="180"/>
        <v>28.084271873292298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18.772520363046421</v>
      </c>
      <c r="C143" s="82">
        <f t="shared" ref="C143:W143" si="182">IF(C113=0,0,C113/C$26)</f>
        <v>23.933448747143164</v>
      </c>
      <c r="D143" s="82">
        <f t="shared" si="182"/>
        <v>18.574433822020797</v>
      </c>
      <c r="E143" s="82">
        <f t="shared" si="182"/>
        <v>23.538908685135002</v>
      </c>
      <c r="F143" s="82">
        <f t="shared" si="182"/>
        <v>22.130598759105482</v>
      </c>
      <c r="G143" s="82">
        <f t="shared" si="182"/>
        <v>20.373901032441299</v>
      </c>
      <c r="H143" s="82">
        <f t="shared" si="182"/>
        <v>16.829705373635537</v>
      </c>
      <c r="I143" s="82">
        <f t="shared" si="182"/>
        <v>16.023018460641698</v>
      </c>
      <c r="J143" s="82">
        <f t="shared" si="182"/>
        <v>14.168453862122918</v>
      </c>
      <c r="K143" s="82">
        <f t="shared" si="182"/>
        <v>12.500979029713186</v>
      </c>
      <c r="L143" s="82">
        <f t="shared" si="182"/>
        <v>11.662202153279148</v>
      </c>
      <c r="M143" s="82">
        <f t="shared" si="182"/>
        <v>14.113320301361728</v>
      </c>
      <c r="N143" s="82">
        <f t="shared" si="182"/>
        <v>14.747947696999372</v>
      </c>
      <c r="O143" s="82">
        <f t="shared" si="182"/>
        <v>15.554814359039458</v>
      </c>
      <c r="P143" s="82">
        <f t="shared" si="182"/>
        <v>16.760461218731304</v>
      </c>
      <c r="Q143" s="82">
        <f t="shared" si="182"/>
        <v>17.37847657222747</v>
      </c>
      <c r="R143" s="82">
        <f t="shared" si="182"/>
        <v>17.281482895000803</v>
      </c>
      <c r="S143" s="82">
        <f t="shared" si="182"/>
        <v>16.136026822289569</v>
      </c>
      <c r="T143" s="82">
        <f t="shared" si="182"/>
        <v>16.257859587258359</v>
      </c>
      <c r="U143" s="82">
        <f t="shared" si="182"/>
        <v>14.340480707249313</v>
      </c>
      <c r="V143" s="82">
        <f t="shared" si="182"/>
        <v>14.47713597234435</v>
      </c>
      <c r="W143" s="82">
        <f t="shared" si="182"/>
        <v>15.027245847686396</v>
      </c>
      <c r="X143" s="82">
        <f t="shared" ref="X143:Y143" si="183">IF(X113=0,0,X113/X$26)</f>
        <v>10.841958249007421</v>
      </c>
      <c r="Y143" s="82">
        <f t="shared" si="183"/>
        <v>10.553422140413543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18.772520363046421</v>
      </c>
      <c r="C144" s="64">
        <f t="shared" ref="C144:W144" si="185">IF(C114=0,0,C114/C$26)</f>
        <v>23.933448747143164</v>
      </c>
      <c r="D144" s="64">
        <f t="shared" si="185"/>
        <v>18.574433822020797</v>
      </c>
      <c r="E144" s="64">
        <f t="shared" si="185"/>
        <v>23.538908685135002</v>
      </c>
      <c r="F144" s="64">
        <f t="shared" si="185"/>
        <v>22.130598759105482</v>
      </c>
      <c r="G144" s="64">
        <f t="shared" si="185"/>
        <v>20.373901032441299</v>
      </c>
      <c r="H144" s="64">
        <f t="shared" si="185"/>
        <v>16.829705373635537</v>
      </c>
      <c r="I144" s="64">
        <f t="shared" si="185"/>
        <v>16.023018460641698</v>
      </c>
      <c r="J144" s="64">
        <f t="shared" si="185"/>
        <v>14.168453862122918</v>
      </c>
      <c r="K144" s="64">
        <f t="shared" si="185"/>
        <v>12.500979029713186</v>
      </c>
      <c r="L144" s="64">
        <f t="shared" si="185"/>
        <v>11.662202153279148</v>
      </c>
      <c r="M144" s="64">
        <f t="shared" si="185"/>
        <v>14.113320301361728</v>
      </c>
      <c r="N144" s="64">
        <f t="shared" si="185"/>
        <v>14.747947696999372</v>
      </c>
      <c r="O144" s="64">
        <f t="shared" si="185"/>
        <v>15.554814359039458</v>
      </c>
      <c r="P144" s="64">
        <f t="shared" si="185"/>
        <v>16.760461218731304</v>
      </c>
      <c r="Q144" s="64">
        <f t="shared" si="185"/>
        <v>17.37847657222747</v>
      </c>
      <c r="R144" s="64">
        <f t="shared" si="185"/>
        <v>17.281482895000803</v>
      </c>
      <c r="S144" s="64">
        <f t="shared" si="185"/>
        <v>16.136026822289569</v>
      </c>
      <c r="T144" s="64">
        <f t="shared" si="185"/>
        <v>16.257859587258359</v>
      </c>
      <c r="U144" s="64">
        <f t="shared" si="185"/>
        <v>14.340480707249313</v>
      </c>
      <c r="V144" s="64">
        <f t="shared" si="185"/>
        <v>14.47713597234435</v>
      </c>
      <c r="W144" s="64">
        <f t="shared" si="185"/>
        <v>15.027245847686396</v>
      </c>
      <c r="X144" s="64">
        <f t="shared" ref="X144:Y144" si="186">IF(X114=0,0,X114/X$26)</f>
        <v>10.841958249007421</v>
      </c>
      <c r="Y144" s="64">
        <f t="shared" si="186"/>
        <v>10.553422140413543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16.409226091512028</v>
      </c>
      <c r="C145" s="65">
        <f t="shared" ref="C145:W145" si="188">IF(C115=0,0,C115/C$26)</f>
        <v>20.993478775686299</v>
      </c>
      <c r="D145" s="65">
        <f t="shared" si="188"/>
        <v>15.673054085182864</v>
      </c>
      <c r="E145" s="65">
        <f t="shared" si="188"/>
        <v>21.113698916901914</v>
      </c>
      <c r="F145" s="65">
        <f t="shared" si="188"/>
        <v>19.739914337720293</v>
      </c>
      <c r="G145" s="65">
        <f t="shared" si="188"/>
        <v>18.165905383079675</v>
      </c>
      <c r="H145" s="65">
        <f t="shared" si="188"/>
        <v>14.805292101535468</v>
      </c>
      <c r="I145" s="65">
        <f t="shared" si="188"/>
        <v>14.112693985162821</v>
      </c>
      <c r="J145" s="65">
        <f t="shared" si="188"/>
        <v>12.236295980544643</v>
      </c>
      <c r="K145" s="65">
        <f t="shared" si="188"/>
        <v>10.636594807067086</v>
      </c>
      <c r="L145" s="65">
        <f t="shared" si="188"/>
        <v>9.7928974760228815</v>
      </c>
      <c r="M145" s="65">
        <f t="shared" si="188"/>
        <v>12.217350894601639</v>
      </c>
      <c r="N145" s="65">
        <f t="shared" si="188"/>
        <v>12.825106537068669</v>
      </c>
      <c r="O145" s="65">
        <f t="shared" si="188"/>
        <v>13.516918762071805</v>
      </c>
      <c r="P145" s="65">
        <f t="shared" si="188"/>
        <v>14.498439040318333</v>
      </c>
      <c r="Q145" s="65">
        <f t="shared" si="188"/>
        <v>15.136528578345276</v>
      </c>
      <c r="R145" s="65">
        <f t="shared" si="188"/>
        <v>14.716498477222467</v>
      </c>
      <c r="S145" s="65">
        <f t="shared" si="188"/>
        <v>13.368083935646554</v>
      </c>
      <c r="T145" s="65">
        <f t="shared" si="188"/>
        <v>13.677369629409439</v>
      </c>
      <c r="U145" s="65">
        <f t="shared" si="188"/>
        <v>11.510354291685523</v>
      </c>
      <c r="V145" s="65">
        <f t="shared" si="188"/>
        <v>11.688195652288309</v>
      </c>
      <c r="W145" s="65">
        <f t="shared" si="188"/>
        <v>12.467166673259676</v>
      </c>
      <c r="X145" s="65">
        <f t="shared" ref="X145:Y145" si="189">IF(X115=0,0,X115/X$26)</f>
        <v>8.4676433967613374</v>
      </c>
      <c r="Y145" s="65">
        <f t="shared" si="189"/>
        <v>8.0631525114953657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0</v>
      </c>
      <c r="C146" s="65">
        <f t="shared" ref="C146:W146" si="191">IF(C116=0,0,C116/C$26)</f>
        <v>0</v>
      </c>
      <c r="D146" s="65">
        <f t="shared" si="191"/>
        <v>0</v>
      </c>
      <c r="E146" s="65">
        <f t="shared" si="191"/>
        <v>0</v>
      </c>
      <c r="F146" s="65">
        <f t="shared" si="191"/>
        <v>0</v>
      </c>
      <c r="G146" s="65">
        <f t="shared" si="191"/>
        <v>0</v>
      </c>
      <c r="H146" s="65">
        <f t="shared" si="191"/>
        <v>0</v>
      </c>
      <c r="I146" s="65">
        <f t="shared" si="191"/>
        <v>0</v>
      </c>
      <c r="J146" s="65">
        <f t="shared" si="191"/>
        <v>0</v>
      </c>
      <c r="K146" s="65">
        <f t="shared" si="191"/>
        <v>0</v>
      </c>
      <c r="L146" s="65">
        <f t="shared" si="191"/>
        <v>0</v>
      </c>
      <c r="M146" s="65">
        <f t="shared" si="191"/>
        <v>0</v>
      </c>
      <c r="N146" s="65">
        <f t="shared" si="191"/>
        <v>0</v>
      </c>
      <c r="O146" s="65">
        <f t="shared" si="191"/>
        <v>0</v>
      </c>
      <c r="P146" s="65">
        <f t="shared" si="191"/>
        <v>0</v>
      </c>
      <c r="Q146" s="65">
        <f t="shared" si="191"/>
        <v>0</v>
      </c>
      <c r="R146" s="65">
        <f t="shared" si="191"/>
        <v>0</v>
      </c>
      <c r="S146" s="65">
        <f t="shared" si="191"/>
        <v>0</v>
      </c>
      <c r="T146" s="65">
        <f t="shared" si="191"/>
        <v>0</v>
      </c>
      <c r="U146" s="65">
        <f t="shared" si="191"/>
        <v>0</v>
      </c>
      <c r="V146" s="65">
        <f t="shared" si="191"/>
        <v>0</v>
      </c>
      <c r="W146" s="65">
        <f t="shared" si="191"/>
        <v>0</v>
      </c>
      <c r="X146" s="65">
        <f t="shared" ref="X146:Y146" si="192">IF(X116=0,0,X116/X$26)</f>
        <v>0</v>
      </c>
      <c r="Y146" s="65">
        <f t="shared" si="192"/>
        <v>0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2.1503115698843196</v>
      </c>
      <c r="C147" s="65">
        <f t="shared" ref="C147:W147" si="194">IF(C117=0,0,C117/C$26)</f>
        <v>2.2664782244508741</v>
      </c>
      <c r="D147" s="65">
        <f t="shared" si="194"/>
        <v>1.9754937431075963</v>
      </c>
      <c r="E147" s="65">
        <f t="shared" si="194"/>
        <v>1.5238487607943221</v>
      </c>
      <c r="F147" s="65">
        <f t="shared" si="194"/>
        <v>1.3092722486859918</v>
      </c>
      <c r="G147" s="65">
        <f t="shared" si="194"/>
        <v>1.1998743332579771</v>
      </c>
      <c r="H147" s="65">
        <f t="shared" si="194"/>
        <v>1.0933899147453687</v>
      </c>
      <c r="I147" s="65">
        <f t="shared" si="194"/>
        <v>1.0298873761047802</v>
      </c>
      <c r="J147" s="65">
        <f t="shared" si="194"/>
        <v>1.0551895883969746</v>
      </c>
      <c r="K147" s="65">
        <f t="shared" si="194"/>
        <v>1.044362007395282</v>
      </c>
      <c r="L147" s="65">
        <f t="shared" si="194"/>
        <v>1.0207361181755454</v>
      </c>
      <c r="M147" s="65">
        <f t="shared" si="194"/>
        <v>1.0566897624636336</v>
      </c>
      <c r="N147" s="65">
        <f t="shared" si="194"/>
        <v>1.0470883595740128</v>
      </c>
      <c r="O147" s="65">
        <f t="shared" si="194"/>
        <v>1.1809878866012953</v>
      </c>
      <c r="P147" s="65">
        <f t="shared" si="194"/>
        <v>1.395139191568237</v>
      </c>
      <c r="Q147" s="65">
        <f t="shared" si="194"/>
        <v>1.3802456820195517</v>
      </c>
      <c r="R147" s="65">
        <f t="shared" si="194"/>
        <v>1.3116189216437035</v>
      </c>
      <c r="S147" s="65">
        <f t="shared" si="194"/>
        <v>1.3584303776161681</v>
      </c>
      <c r="T147" s="65">
        <f t="shared" si="194"/>
        <v>1.4316853728267696</v>
      </c>
      <c r="U147" s="65">
        <f t="shared" si="194"/>
        <v>1.3543306161213988</v>
      </c>
      <c r="V147" s="65">
        <f t="shared" si="194"/>
        <v>1.345981761890906</v>
      </c>
      <c r="W147" s="65">
        <f t="shared" si="194"/>
        <v>1.2619805237548569</v>
      </c>
      <c r="X147" s="65">
        <f t="shared" ref="X147:Y147" si="195">IF(X117=0,0,X117/X$26)</f>
        <v>1.1691150520144435</v>
      </c>
      <c r="Y147" s="65">
        <f t="shared" si="195"/>
        <v>1.0668656800045724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0.21298270165007216</v>
      </c>
      <c r="C148" s="67">
        <f t="shared" ref="C148:W148" si="197">IF(C118=0,0,C118/C$26)</f>
        <v>0.67349174700598791</v>
      </c>
      <c r="D148" s="67">
        <f t="shared" si="197"/>
        <v>0.92588599373033453</v>
      </c>
      <c r="E148" s="67">
        <f t="shared" si="197"/>
        <v>0.90136100743877023</v>
      </c>
      <c r="F148" s="67">
        <f t="shared" si="197"/>
        <v>1.081412172699193</v>
      </c>
      <c r="G148" s="67">
        <f t="shared" si="197"/>
        <v>1.0081213161036477</v>
      </c>
      <c r="H148" s="67">
        <f t="shared" si="197"/>
        <v>0.93102335735469888</v>
      </c>
      <c r="I148" s="67">
        <f t="shared" si="197"/>
        <v>0.88043709937409564</v>
      </c>
      <c r="J148" s="67">
        <f t="shared" si="197"/>
        <v>0.87696829318130187</v>
      </c>
      <c r="K148" s="67">
        <f t="shared" si="197"/>
        <v>0.82002221525081997</v>
      </c>
      <c r="L148" s="67">
        <f t="shared" si="197"/>
        <v>0.84856855908072137</v>
      </c>
      <c r="M148" s="67">
        <f t="shared" si="197"/>
        <v>0.8392796442964553</v>
      </c>
      <c r="N148" s="67">
        <f t="shared" si="197"/>
        <v>0.87575280035669056</v>
      </c>
      <c r="O148" s="67">
        <f t="shared" si="197"/>
        <v>0.85690771036635893</v>
      </c>
      <c r="P148" s="67">
        <f t="shared" si="197"/>
        <v>0.86688298684473208</v>
      </c>
      <c r="Q148" s="67">
        <f t="shared" si="197"/>
        <v>0.86170231186264268</v>
      </c>
      <c r="R148" s="67">
        <f t="shared" si="197"/>
        <v>1.2533654961346365</v>
      </c>
      <c r="S148" s="67">
        <f t="shared" si="197"/>
        <v>1.4095125090268441</v>
      </c>
      <c r="T148" s="67">
        <f t="shared" si="197"/>
        <v>1.1488045850221511</v>
      </c>
      <c r="U148" s="67">
        <f t="shared" si="197"/>
        <v>1.4757957994423923</v>
      </c>
      <c r="V148" s="67">
        <f t="shared" si="197"/>
        <v>1.4429585581651325</v>
      </c>
      <c r="W148" s="67">
        <f t="shared" si="197"/>
        <v>1.2980986506718655</v>
      </c>
      <c r="X148" s="67">
        <f t="shared" ref="X148:Y148" si="198">IF(X118=0,0,X118/X$26)</f>
        <v>1.2051998002316373</v>
      </c>
      <c r="Y148" s="67">
        <f t="shared" si="198"/>
        <v>1.4234039489136041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9376.5188699825449</v>
      </c>
      <c r="C153" s="82">
        <f t="shared" ref="C153:W153" si="203">IF(C99=0,0,C99/C$23)</f>
        <v>9471.2562652443103</v>
      </c>
      <c r="D153" s="82">
        <f t="shared" si="203"/>
        <v>9438.6858804865151</v>
      </c>
      <c r="E153" s="82">
        <f t="shared" si="203"/>
        <v>10697.028680384527</v>
      </c>
      <c r="F153" s="82">
        <f t="shared" si="203"/>
        <v>11863.297523049037</v>
      </c>
      <c r="G153" s="82">
        <f t="shared" si="203"/>
        <v>11904.762026940341</v>
      </c>
      <c r="H153" s="82">
        <f t="shared" si="203"/>
        <v>11809.062845095872</v>
      </c>
      <c r="I153" s="82">
        <f t="shared" si="203"/>
        <v>11991.095164737915</v>
      </c>
      <c r="J153" s="82">
        <f t="shared" si="203"/>
        <v>12943.118116982929</v>
      </c>
      <c r="K153" s="82">
        <f t="shared" si="203"/>
        <v>12756.32883162767</v>
      </c>
      <c r="L153" s="82">
        <f t="shared" si="203"/>
        <v>13060.315794461645</v>
      </c>
      <c r="M153" s="82">
        <f t="shared" si="203"/>
        <v>12252.366485690096</v>
      </c>
      <c r="N153" s="82">
        <f t="shared" si="203"/>
        <v>12530.07147361131</v>
      </c>
      <c r="O153" s="82">
        <f t="shared" si="203"/>
        <v>12046.131051590341</v>
      </c>
      <c r="P153" s="82">
        <f t="shared" si="203"/>
        <v>12882.572102691774</v>
      </c>
      <c r="Q153" s="82">
        <f t="shared" si="203"/>
        <v>12881.052125970005</v>
      </c>
      <c r="R153" s="82">
        <f t="shared" si="203"/>
        <v>13486.897954193482</v>
      </c>
      <c r="S153" s="82">
        <f t="shared" si="203"/>
        <v>12353.040645359293</v>
      </c>
      <c r="T153" s="82">
        <f t="shared" si="203"/>
        <v>12650.201744675342</v>
      </c>
      <c r="U153" s="82">
        <f t="shared" si="203"/>
        <v>12032.945121874531</v>
      </c>
      <c r="V153" s="82">
        <f t="shared" si="203"/>
        <v>12153.622951953634</v>
      </c>
      <c r="W153" s="82">
        <f t="shared" si="203"/>
        <v>13076.234431516603</v>
      </c>
      <c r="X153" s="82">
        <f t="shared" ref="X153:Y153" si="204">IF(X99=0,0,X99/X$23)</f>
        <v>11199.489267639618</v>
      </c>
      <c r="Y153" s="82">
        <f t="shared" si="204"/>
        <v>10185.538706286638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7637.4629478175157</v>
      </c>
      <c r="C154" s="64">
        <f t="shared" ref="C154:W154" si="206">IF(C100=0,0,C100/C$23)</f>
        <v>7633.7897887248255</v>
      </c>
      <c r="D154" s="64">
        <f t="shared" si="206"/>
        <v>7506.7597751117082</v>
      </c>
      <c r="E154" s="64">
        <f t="shared" si="206"/>
        <v>8619.0972743506409</v>
      </c>
      <c r="F154" s="64">
        <f t="shared" si="206"/>
        <v>9675.269444750189</v>
      </c>
      <c r="G154" s="64">
        <f t="shared" si="206"/>
        <v>9619.9005750371798</v>
      </c>
      <c r="H154" s="64">
        <f t="shared" si="206"/>
        <v>9434.6335373127877</v>
      </c>
      <c r="I154" s="64">
        <f t="shared" si="206"/>
        <v>9541.2690800108285</v>
      </c>
      <c r="J154" s="64">
        <f t="shared" si="206"/>
        <v>10402.127033831093</v>
      </c>
      <c r="K154" s="64">
        <f t="shared" si="206"/>
        <v>10115.384164475401</v>
      </c>
      <c r="L154" s="64">
        <f t="shared" si="206"/>
        <v>10330.462284480232</v>
      </c>
      <c r="M154" s="64">
        <f t="shared" si="206"/>
        <v>9515.1922987507587</v>
      </c>
      <c r="N154" s="64">
        <f t="shared" si="206"/>
        <v>9821.4969541760238</v>
      </c>
      <c r="O154" s="64">
        <f t="shared" si="206"/>
        <v>9346.3775294049938</v>
      </c>
      <c r="P154" s="64">
        <f t="shared" si="206"/>
        <v>10156.356592438451</v>
      </c>
      <c r="Q154" s="64">
        <f t="shared" si="206"/>
        <v>10096.331017739099</v>
      </c>
      <c r="R154" s="64">
        <f t="shared" si="206"/>
        <v>10725.164477207594</v>
      </c>
      <c r="S154" s="64">
        <f t="shared" si="206"/>
        <v>9651.5072854231221</v>
      </c>
      <c r="T154" s="64">
        <f t="shared" si="206"/>
        <v>10026.538790231731</v>
      </c>
      <c r="U154" s="64">
        <f t="shared" si="206"/>
        <v>9404.9159893297383</v>
      </c>
      <c r="V154" s="64">
        <f t="shared" si="206"/>
        <v>9550.5000191629515</v>
      </c>
      <c r="W154" s="64">
        <f t="shared" si="206"/>
        <v>10359.296012457913</v>
      </c>
      <c r="X154" s="64">
        <f t="shared" ref="X154:Y154" si="207">IF(X100=0,0,X100/X$23)</f>
        <v>8641.359963805955</v>
      </c>
      <c r="Y154" s="64">
        <f t="shared" si="207"/>
        <v>7685.6608200641058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5730.1103678731088</v>
      </c>
      <c r="C155" s="65">
        <f t="shared" ref="C155:W155" si="209">IF(C101=0,0,C101/C$23)</f>
        <v>5700.0954404409213</v>
      </c>
      <c r="D155" s="65">
        <f t="shared" si="209"/>
        <v>5574.8393260422199</v>
      </c>
      <c r="E155" s="65">
        <f t="shared" si="209"/>
        <v>6614.9604064851073</v>
      </c>
      <c r="F155" s="65">
        <f t="shared" si="209"/>
        <v>7679.5013180199721</v>
      </c>
      <c r="G155" s="65">
        <f t="shared" si="209"/>
        <v>7553.8328223555536</v>
      </c>
      <c r="H155" s="65">
        <f t="shared" si="209"/>
        <v>7356.3532606275185</v>
      </c>
      <c r="I155" s="65">
        <f t="shared" si="209"/>
        <v>7482.6744055203499</v>
      </c>
      <c r="J155" s="65">
        <f t="shared" si="209"/>
        <v>8291.5165611095363</v>
      </c>
      <c r="K155" s="65">
        <f t="shared" si="209"/>
        <v>7945.1726100634824</v>
      </c>
      <c r="L155" s="65">
        <f t="shared" si="209"/>
        <v>8107.6830374632937</v>
      </c>
      <c r="M155" s="65">
        <f t="shared" si="209"/>
        <v>7231.8727734986887</v>
      </c>
      <c r="N155" s="65">
        <f t="shared" si="209"/>
        <v>7589.1706818773609</v>
      </c>
      <c r="O155" s="65">
        <f t="shared" si="209"/>
        <v>7138.6219699487583</v>
      </c>
      <c r="P155" s="65">
        <f t="shared" si="209"/>
        <v>7988.1596848517975</v>
      </c>
      <c r="Q155" s="65">
        <f t="shared" si="209"/>
        <v>7929.1997584320279</v>
      </c>
      <c r="R155" s="65">
        <f t="shared" si="209"/>
        <v>8607.3782344925985</v>
      </c>
      <c r="S155" s="65">
        <f t="shared" si="209"/>
        <v>7548.0332199166378</v>
      </c>
      <c r="T155" s="65">
        <f t="shared" si="209"/>
        <v>7977.6305589695294</v>
      </c>
      <c r="U155" s="65">
        <f t="shared" si="209"/>
        <v>7317.0258772830975</v>
      </c>
      <c r="V155" s="65">
        <f t="shared" si="209"/>
        <v>7586.4569237543228</v>
      </c>
      <c r="W155" s="65">
        <f t="shared" si="209"/>
        <v>8241.4640283968001</v>
      </c>
      <c r="X155" s="65">
        <f t="shared" ref="X155:Y155" si="210">IF(X101=0,0,X101/X$23)</f>
        <v>6500.7448483212174</v>
      </c>
      <c r="Y155" s="65">
        <f t="shared" si="210"/>
        <v>5415.8035695800836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11.22412677702291</v>
      </c>
      <c r="C156" s="65">
        <f t="shared" ref="C156:W156" si="212">IF(C102=0,0,C102/C$23)</f>
        <v>11.653298923123238</v>
      </c>
      <c r="D156" s="65">
        <f t="shared" si="212"/>
        <v>12.098826593145146</v>
      </c>
      <c r="E156" s="65">
        <f t="shared" si="212"/>
        <v>13.165568289925316</v>
      </c>
      <c r="F156" s="65">
        <f t="shared" si="212"/>
        <v>12.679011778944625</v>
      </c>
      <c r="G156" s="65">
        <f t="shared" si="212"/>
        <v>13.266212912400633</v>
      </c>
      <c r="H156" s="65">
        <f t="shared" si="212"/>
        <v>14.44878329123476</v>
      </c>
      <c r="I156" s="65">
        <f t="shared" si="212"/>
        <v>14.622060211610131</v>
      </c>
      <c r="J156" s="65">
        <f t="shared" si="212"/>
        <v>15.027284712847427</v>
      </c>
      <c r="K156" s="65">
        <f t="shared" si="212"/>
        <v>15.599184657293156</v>
      </c>
      <c r="L156" s="65">
        <f t="shared" si="212"/>
        <v>18.811505040139568</v>
      </c>
      <c r="M156" s="65">
        <f t="shared" si="212"/>
        <v>17.496285077235598</v>
      </c>
      <c r="N156" s="65">
        <f t="shared" si="212"/>
        <v>16.50263512969914</v>
      </c>
      <c r="O156" s="65">
        <f t="shared" si="212"/>
        <v>16.066798234319226</v>
      </c>
      <c r="P156" s="65">
        <f t="shared" si="212"/>
        <v>16.109398768864207</v>
      </c>
      <c r="Q156" s="65">
        <f t="shared" si="212"/>
        <v>15.643001050063452</v>
      </c>
      <c r="R156" s="65">
        <f t="shared" si="212"/>
        <v>15.369076623964666</v>
      </c>
      <c r="S156" s="65">
        <f t="shared" si="212"/>
        <v>15.155619611200224</v>
      </c>
      <c r="T156" s="65">
        <f t="shared" si="212"/>
        <v>16.262310224805724</v>
      </c>
      <c r="U156" s="65">
        <f t="shared" si="212"/>
        <v>15.554451752725472</v>
      </c>
      <c r="V156" s="65">
        <f t="shared" si="212"/>
        <v>14.948776814824772</v>
      </c>
      <c r="W156" s="65">
        <f t="shared" si="212"/>
        <v>16.628099214677658</v>
      </c>
      <c r="X156" s="65">
        <f t="shared" ref="X156:Y156" si="213">IF(X102=0,0,X102/X$23)</f>
        <v>15.706020052714127</v>
      </c>
      <c r="Y156" s="65">
        <f t="shared" si="213"/>
        <v>14.884654384500241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1001.3719315024803</v>
      </c>
      <c r="C157" s="65">
        <f t="shared" ref="C157:W157" si="215">IF(C103=0,0,C103/C$23)</f>
        <v>998.54619812262547</v>
      </c>
      <c r="D157" s="65">
        <f t="shared" si="215"/>
        <v>983.22415061721131</v>
      </c>
      <c r="E157" s="65">
        <f t="shared" si="215"/>
        <v>1003.3310076666583</v>
      </c>
      <c r="F157" s="65">
        <f t="shared" si="215"/>
        <v>985.05988587298066</v>
      </c>
      <c r="G157" s="65">
        <f t="shared" si="215"/>
        <v>1008.535476888457</v>
      </c>
      <c r="H157" s="65">
        <f t="shared" si="215"/>
        <v>1012.244246179996</v>
      </c>
      <c r="I157" s="65">
        <f t="shared" si="215"/>
        <v>982.73333531779417</v>
      </c>
      <c r="J157" s="65">
        <f t="shared" si="215"/>
        <v>997.46557231123836</v>
      </c>
      <c r="K157" s="65">
        <f t="shared" si="215"/>
        <v>1000.8459308556791</v>
      </c>
      <c r="L157" s="65">
        <f t="shared" si="215"/>
        <v>1012.4901017569169</v>
      </c>
      <c r="M157" s="65">
        <f t="shared" si="215"/>
        <v>1046.8932827737196</v>
      </c>
      <c r="N157" s="65">
        <f t="shared" si="215"/>
        <v>1027.5437231570052</v>
      </c>
      <c r="O157" s="65">
        <f t="shared" si="215"/>
        <v>1003.0185318133689</v>
      </c>
      <c r="P157" s="65">
        <f t="shared" si="215"/>
        <v>991.69268265196945</v>
      </c>
      <c r="Q157" s="65">
        <f t="shared" si="215"/>
        <v>1002.2607420309911</v>
      </c>
      <c r="R157" s="65">
        <f t="shared" si="215"/>
        <v>965.45941313594358</v>
      </c>
      <c r="S157" s="65">
        <f t="shared" si="215"/>
        <v>949.57092762453078</v>
      </c>
      <c r="T157" s="65">
        <f t="shared" si="215"/>
        <v>930.9439114824138</v>
      </c>
      <c r="U157" s="65">
        <f t="shared" si="215"/>
        <v>948.76556355893399</v>
      </c>
      <c r="V157" s="65">
        <f t="shared" si="215"/>
        <v>904.7503249525887</v>
      </c>
      <c r="W157" s="65">
        <f t="shared" si="215"/>
        <v>955.12273422716873</v>
      </c>
      <c r="X157" s="65">
        <f t="shared" ref="X157:Y157" si="216">IF(X103=0,0,X103/X$23)</f>
        <v>935.93441598540596</v>
      </c>
      <c r="Y157" s="65">
        <f t="shared" si="216"/>
        <v>974.36405680379789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894.75652166490408</v>
      </c>
      <c r="C158" s="67">
        <f t="shared" ref="C158:W158" si="218">IF(C104=0,0,C104/C$23)</f>
        <v>923.49485123815577</v>
      </c>
      <c r="D158" s="67">
        <f t="shared" si="218"/>
        <v>936.59747185913034</v>
      </c>
      <c r="E158" s="67">
        <f t="shared" si="218"/>
        <v>987.64029190895099</v>
      </c>
      <c r="F158" s="67">
        <f t="shared" si="218"/>
        <v>998.02922907828929</v>
      </c>
      <c r="G158" s="67">
        <f t="shared" si="218"/>
        <v>1044.2660628807698</v>
      </c>
      <c r="H158" s="67">
        <f t="shared" si="218"/>
        <v>1051.5872472140395</v>
      </c>
      <c r="I158" s="67">
        <f t="shared" si="218"/>
        <v>1061.2392789610756</v>
      </c>
      <c r="J158" s="67">
        <f t="shared" si="218"/>
        <v>1098.1176156974695</v>
      </c>
      <c r="K158" s="67">
        <f t="shared" si="218"/>
        <v>1153.7664388989485</v>
      </c>
      <c r="L158" s="67">
        <f t="shared" si="218"/>
        <v>1191.4776402198852</v>
      </c>
      <c r="M158" s="67">
        <f t="shared" si="218"/>
        <v>1218.9299574011136</v>
      </c>
      <c r="N158" s="67">
        <f t="shared" si="218"/>
        <v>1188.2799140119562</v>
      </c>
      <c r="O158" s="67">
        <f t="shared" si="218"/>
        <v>1188.6702294085485</v>
      </c>
      <c r="P158" s="67">
        <f t="shared" si="218"/>
        <v>1160.3948261658204</v>
      </c>
      <c r="Q158" s="67">
        <f t="shared" si="218"/>
        <v>1149.22751622602</v>
      </c>
      <c r="R158" s="67">
        <f t="shared" si="218"/>
        <v>1136.9577529550868</v>
      </c>
      <c r="S158" s="67">
        <f t="shared" si="218"/>
        <v>1138.7475182707528</v>
      </c>
      <c r="T158" s="67">
        <f t="shared" si="218"/>
        <v>1101.7020095549799</v>
      </c>
      <c r="U158" s="67">
        <f t="shared" si="218"/>
        <v>1123.570096734979</v>
      </c>
      <c r="V158" s="67">
        <f t="shared" si="218"/>
        <v>1044.3439936412144</v>
      </c>
      <c r="W158" s="67">
        <f t="shared" si="218"/>
        <v>1146.0811506192717</v>
      </c>
      <c r="X158" s="67">
        <f t="shared" ref="X158:Y158" si="219">IF(X104=0,0,X104/X$23)</f>
        <v>1188.9746794466187</v>
      </c>
      <c r="Y158" s="67">
        <f t="shared" si="219"/>
        <v>1280.6085392957243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1739.055922165029</v>
      </c>
      <c r="C159" s="68">
        <f t="shared" ref="C159:W159" si="221">IF(C105=0,0,C105/C$23)</f>
        <v>1837.4664765194841</v>
      </c>
      <c r="D159" s="68">
        <f t="shared" si="221"/>
        <v>1931.9261053748094</v>
      </c>
      <c r="E159" s="68">
        <f t="shared" si="221"/>
        <v>2077.9314060338843</v>
      </c>
      <c r="F159" s="68">
        <f t="shared" si="221"/>
        <v>2188.0280782988502</v>
      </c>
      <c r="G159" s="68">
        <f t="shared" si="221"/>
        <v>2284.861451903163</v>
      </c>
      <c r="H159" s="68">
        <f t="shared" si="221"/>
        <v>2374.4293077830825</v>
      </c>
      <c r="I159" s="68">
        <f t="shared" si="221"/>
        <v>2449.8260847270876</v>
      </c>
      <c r="J159" s="68">
        <f t="shared" si="221"/>
        <v>2540.991083151835</v>
      </c>
      <c r="K159" s="68">
        <f t="shared" si="221"/>
        <v>2640.9446671522683</v>
      </c>
      <c r="L159" s="68">
        <f t="shared" si="221"/>
        <v>2729.8535099814117</v>
      </c>
      <c r="M159" s="68">
        <f t="shared" si="221"/>
        <v>2737.1741869393368</v>
      </c>
      <c r="N159" s="68">
        <f t="shared" si="221"/>
        <v>2708.5745194352853</v>
      </c>
      <c r="O159" s="68">
        <f t="shared" si="221"/>
        <v>2699.7535221853473</v>
      </c>
      <c r="P159" s="68">
        <f t="shared" si="221"/>
        <v>2726.2155102533225</v>
      </c>
      <c r="Q159" s="68">
        <f t="shared" si="221"/>
        <v>2784.7211082309022</v>
      </c>
      <c r="R159" s="68">
        <f t="shared" si="221"/>
        <v>2761.7334769858876</v>
      </c>
      <c r="S159" s="68">
        <f t="shared" si="221"/>
        <v>2701.5333599361734</v>
      </c>
      <c r="T159" s="68">
        <f t="shared" si="221"/>
        <v>2623.66295444361</v>
      </c>
      <c r="U159" s="68">
        <f t="shared" si="221"/>
        <v>2628.0291325447943</v>
      </c>
      <c r="V159" s="68">
        <f t="shared" si="221"/>
        <v>2603.1229327906822</v>
      </c>
      <c r="W159" s="68">
        <f t="shared" si="221"/>
        <v>2716.9384190586879</v>
      </c>
      <c r="X159" s="68">
        <f t="shared" ref="X159:Y159" si="222">IF(X105=0,0,X105/X$23)</f>
        <v>2558.1293038336621</v>
      </c>
      <c r="Y159" s="68">
        <f t="shared" si="222"/>
        <v>2499.877886222529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4805.4296557093476</v>
      </c>
      <c r="C161" s="85">
        <f t="shared" ref="C161:W161" si="224">IF(C107=0,0,C107/C$23)</f>
        <v>4595.3954140491469</v>
      </c>
      <c r="D161" s="85">
        <f t="shared" si="224"/>
        <v>4693.7726347779371</v>
      </c>
      <c r="E161" s="85">
        <f t="shared" si="224"/>
        <v>5307.9504973797666</v>
      </c>
      <c r="F161" s="85">
        <f t="shared" si="224"/>
        <v>6050.769657016921</v>
      </c>
      <c r="G161" s="85">
        <f t="shared" si="224"/>
        <v>6161.9698028253706</v>
      </c>
      <c r="H161" s="85">
        <f t="shared" si="224"/>
        <v>6118.7958010894517</v>
      </c>
      <c r="I161" s="85">
        <f t="shared" si="224"/>
        <v>6240.3626261141862</v>
      </c>
      <c r="J161" s="85">
        <f t="shared" si="224"/>
        <v>6978.9925476119797</v>
      </c>
      <c r="K161" s="85">
        <f t="shared" si="224"/>
        <v>6916.504393254836</v>
      </c>
      <c r="L161" s="85">
        <f t="shared" si="224"/>
        <v>7144.1672879860553</v>
      </c>
      <c r="M161" s="85">
        <f t="shared" si="224"/>
        <v>6481.8997581557633</v>
      </c>
      <c r="N161" s="85">
        <f t="shared" si="224"/>
        <v>6820.7446388813187</v>
      </c>
      <c r="O161" s="85">
        <f t="shared" si="224"/>
        <v>6516.1555946558174</v>
      </c>
      <c r="P161" s="85">
        <f t="shared" si="224"/>
        <v>7126.1895090331709</v>
      </c>
      <c r="Q161" s="85">
        <f t="shared" si="224"/>
        <v>7113.7376926465085</v>
      </c>
      <c r="R161" s="85">
        <f t="shared" si="224"/>
        <v>7665.4802858526418</v>
      </c>
      <c r="S161" s="85">
        <f t="shared" si="224"/>
        <v>6978.2640097746917</v>
      </c>
      <c r="T161" s="85">
        <f t="shared" si="224"/>
        <v>7374.276096669334</v>
      </c>
      <c r="U161" s="85">
        <f t="shared" si="224"/>
        <v>7002.3801522431995</v>
      </c>
      <c r="V161" s="85">
        <f t="shared" si="224"/>
        <v>7180.3965155639889</v>
      </c>
      <c r="W161" s="85">
        <f t="shared" si="224"/>
        <v>7918.1491869684805</v>
      </c>
      <c r="X161" s="85">
        <f t="shared" ref="X161:Y161" si="225">IF(X107=0,0,X107/X$23)</f>
        <v>6737.8924403859373</v>
      </c>
      <c r="Y161" s="85">
        <f t="shared" si="225"/>
        <v>6078.2585697139102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3530.6013348932615</v>
      </c>
      <c r="C162" s="65">
        <f t="shared" ref="C162:W162" si="227">IF(C108=0,0,C108/C$23)</f>
        <v>3309.8219232069432</v>
      </c>
      <c r="D162" s="65">
        <f t="shared" si="227"/>
        <v>3405.9165872101648</v>
      </c>
      <c r="E162" s="65">
        <f t="shared" si="227"/>
        <v>3956.304780298256</v>
      </c>
      <c r="F162" s="65">
        <f t="shared" si="227"/>
        <v>4698.5597562789053</v>
      </c>
      <c r="G162" s="65">
        <f t="shared" si="227"/>
        <v>4749.4001584742591</v>
      </c>
      <c r="H162" s="65">
        <f t="shared" si="227"/>
        <v>4684.2701099506539</v>
      </c>
      <c r="I162" s="65">
        <f t="shared" si="227"/>
        <v>4807.0394053438895</v>
      </c>
      <c r="J162" s="65">
        <f t="shared" si="227"/>
        <v>5500.1578698076382</v>
      </c>
      <c r="K162" s="65">
        <f t="shared" si="227"/>
        <v>5382.3613773695215</v>
      </c>
      <c r="L162" s="65">
        <f t="shared" si="227"/>
        <v>5556.7384361869799</v>
      </c>
      <c r="M162" s="65">
        <f t="shared" si="227"/>
        <v>4847.3328308324699</v>
      </c>
      <c r="N162" s="65">
        <f t="shared" si="227"/>
        <v>5214.6777833552151</v>
      </c>
      <c r="O162" s="65">
        <f t="shared" si="227"/>
        <v>4915.9819790962874</v>
      </c>
      <c r="P162" s="65">
        <f t="shared" si="227"/>
        <v>5544.7356544728782</v>
      </c>
      <c r="Q162" s="65">
        <f t="shared" si="227"/>
        <v>5520.1230932894587</v>
      </c>
      <c r="R162" s="65">
        <f t="shared" si="227"/>
        <v>6103.8443076228314</v>
      </c>
      <c r="S162" s="65">
        <f t="shared" si="227"/>
        <v>5408.344218527126</v>
      </c>
      <c r="T162" s="65">
        <f t="shared" si="227"/>
        <v>5810.9488084121813</v>
      </c>
      <c r="U162" s="65">
        <f t="shared" si="227"/>
        <v>5397.7633778886857</v>
      </c>
      <c r="V162" s="65">
        <f t="shared" si="227"/>
        <v>5651.8870435086164</v>
      </c>
      <c r="W162" s="65">
        <f t="shared" si="227"/>
        <v>6227.8765869566405</v>
      </c>
      <c r="X162" s="65">
        <f t="shared" ref="X162:Y162" si="228">IF(X108=0,0,X108/X$23)</f>
        <v>4998.7390187637911</v>
      </c>
      <c r="Y162" s="65">
        <f t="shared" si="228"/>
        <v>4218.0961157926968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22.933355607343895</v>
      </c>
      <c r="C163" s="65">
        <f t="shared" ref="C163:W163" si="230">IF(C109=0,0,C109/C$23)</f>
        <v>25.102415728161652</v>
      </c>
      <c r="D163" s="65">
        <f t="shared" si="230"/>
        <v>27.628691227392505</v>
      </c>
      <c r="E163" s="65">
        <f t="shared" si="230"/>
        <v>31.753152153177254</v>
      </c>
      <c r="F163" s="65">
        <f t="shared" si="230"/>
        <v>32.230275267221188</v>
      </c>
      <c r="G163" s="65">
        <f t="shared" si="230"/>
        <v>35.987728459272276</v>
      </c>
      <c r="H163" s="65">
        <f t="shared" si="230"/>
        <v>41.95966170996271</v>
      </c>
      <c r="I163" s="65">
        <f t="shared" si="230"/>
        <v>45.022522566744364</v>
      </c>
      <c r="J163" s="65">
        <f t="shared" si="230"/>
        <v>49.019219385104805</v>
      </c>
      <c r="K163" s="65">
        <f t="shared" si="230"/>
        <v>51.845269743434166</v>
      </c>
      <c r="L163" s="65">
        <f t="shared" si="230"/>
        <v>64.314357559492464</v>
      </c>
      <c r="M163" s="65">
        <f t="shared" si="230"/>
        <v>62.45413233615038</v>
      </c>
      <c r="N163" s="65">
        <f t="shared" si="230"/>
        <v>61.323067230774306</v>
      </c>
      <c r="O163" s="65">
        <f t="shared" si="230"/>
        <v>62.166342531076182</v>
      </c>
      <c r="P163" s="65">
        <f t="shared" si="230"/>
        <v>65.069160925953</v>
      </c>
      <c r="Q163" s="65">
        <f t="shared" si="230"/>
        <v>66.282730215842051</v>
      </c>
      <c r="R163" s="65">
        <f t="shared" si="230"/>
        <v>67.953111943107601</v>
      </c>
      <c r="S163" s="65">
        <f t="shared" si="230"/>
        <v>69.515325975461693</v>
      </c>
      <c r="T163" s="65">
        <f t="shared" si="230"/>
        <v>77.009254680872829</v>
      </c>
      <c r="U163" s="65">
        <f t="shared" si="230"/>
        <v>75.489208391952161</v>
      </c>
      <c r="V163" s="65">
        <f t="shared" si="230"/>
        <v>74.259031180787659</v>
      </c>
      <c r="W163" s="65">
        <f t="shared" si="230"/>
        <v>84.442330454286278</v>
      </c>
      <c r="X163" s="65">
        <f t="shared" ref="X163:Y163" si="231">IF(X109=0,0,X109/X$23)</f>
        <v>81.199779331011598</v>
      </c>
      <c r="Y163" s="65">
        <f t="shared" si="231"/>
        <v>78.026896707024918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620.81672734127142</v>
      </c>
      <c r="C164" s="65">
        <f t="shared" ref="C164:W164" si="233">IF(C110=0,0,C110/C$23)</f>
        <v>619.97331030218675</v>
      </c>
      <c r="D164" s="65">
        <f t="shared" si="233"/>
        <v>616.17821170661159</v>
      </c>
      <c r="E164" s="65">
        <f t="shared" si="233"/>
        <v>638.01633906880465</v>
      </c>
      <c r="F164" s="65">
        <f t="shared" si="233"/>
        <v>632.9771643180502</v>
      </c>
      <c r="G164" s="65">
        <f t="shared" si="233"/>
        <v>653.1991035679639</v>
      </c>
      <c r="H164" s="65">
        <f t="shared" si="233"/>
        <v>660.35728720759369</v>
      </c>
      <c r="I164" s="65">
        <f t="shared" si="233"/>
        <v>646.11310614266256</v>
      </c>
      <c r="J164" s="65">
        <f t="shared" si="233"/>
        <v>658.68968322536102</v>
      </c>
      <c r="K164" s="65">
        <f t="shared" si="233"/>
        <v>666.5554646562581</v>
      </c>
      <c r="L164" s="65">
        <f t="shared" si="233"/>
        <v>679.10308451969865</v>
      </c>
      <c r="M164" s="65">
        <f t="shared" si="233"/>
        <v>706.86724281176464</v>
      </c>
      <c r="N164" s="65">
        <f t="shared" si="233"/>
        <v>700.77261329767907</v>
      </c>
      <c r="O164" s="65">
        <f t="shared" si="233"/>
        <v>690.47023983231941</v>
      </c>
      <c r="P164" s="65">
        <f t="shared" si="233"/>
        <v>685.79303069419632</v>
      </c>
      <c r="Q164" s="65">
        <f t="shared" si="233"/>
        <v>700.42879322096155</v>
      </c>
      <c r="R164" s="65">
        <f t="shared" si="233"/>
        <v>684.45131166940598</v>
      </c>
      <c r="S164" s="65">
        <f t="shared" si="233"/>
        <v>685.07952945200304</v>
      </c>
      <c r="T164" s="65">
        <f t="shared" si="233"/>
        <v>683.35802679579888</v>
      </c>
      <c r="U164" s="65">
        <f t="shared" si="233"/>
        <v>711.96613752600467</v>
      </c>
      <c r="V164" s="65">
        <f t="shared" si="233"/>
        <v>688.52080774725198</v>
      </c>
      <c r="W164" s="65">
        <f t="shared" si="233"/>
        <v>743.64201182468742</v>
      </c>
      <c r="X164" s="65">
        <f t="shared" ref="X164:Y164" si="234">IF(X110=0,0,X110/X$23)</f>
        <v>743.30568823600106</v>
      </c>
      <c r="Y164" s="65">
        <f t="shared" si="234"/>
        <v>788.17147116315687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631.07823786747019</v>
      </c>
      <c r="C165" s="68">
        <f t="shared" ref="C165:W165" si="236">IF(C111=0,0,C111/C$23)</f>
        <v>640.49776481185461</v>
      </c>
      <c r="D165" s="68">
        <f t="shared" si="236"/>
        <v>644.04914463376792</v>
      </c>
      <c r="E165" s="68">
        <f t="shared" si="236"/>
        <v>681.87622585952852</v>
      </c>
      <c r="F165" s="68">
        <f t="shared" si="236"/>
        <v>687.00246115274433</v>
      </c>
      <c r="G165" s="68">
        <f t="shared" si="236"/>
        <v>723.38281232387556</v>
      </c>
      <c r="H165" s="68">
        <f t="shared" si="236"/>
        <v>732.20874222124166</v>
      </c>
      <c r="I165" s="68">
        <f t="shared" si="236"/>
        <v>742.18759206089032</v>
      </c>
      <c r="J165" s="68">
        <f t="shared" si="236"/>
        <v>771.12577519387537</v>
      </c>
      <c r="K165" s="68">
        <f t="shared" si="236"/>
        <v>815.74228148562099</v>
      </c>
      <c r="L165" s="68">
        <f t="shared" si="236"/>
        <v>844.01140971988468</v>
      </c>
      <c r="M165" s="68">
        <f t="shared" si="236"/>
        <v>865.24555217537818</v>
      </c>
      <c r="N165" s="68">
        <f t="shared" si="236"/>
        <v>843.97117499764977</v>
      </c>
      <c r="O165" s="68">
        <f t="shared" si="236"/>
        <v>847.53703319613453</v>
      </c>
      <c r="P165" s="68">
        <f t="shared" si="236"/>
        <v>830.59166294014392</v>
      </c>
      <c r="Q165" s="68">
        <f t="shared" si="236"/>
        <v>826.90307592024647</v>
      </c>
      <c r="R165" s="68">
        <f t="shared" si="236"/>
        <v>809.23155461729743</v>
      </c>
      <c r="S165" s="68">
        <f t="shared" si="236"/>
        <v>815.32493582009943</v>
      </c>
      <c r="T165" s="68">
        <f t="shared" si="236"/>
        <v>802.96000678048028</v>
      </c>
      <c r="U165" s="68">
        <f t="shared" si="236"/>
        <v>817.16142843655712</v>
      </c>
      <c r="V165" s="68">
        <f t="shared" si="236"/>
        <v>765.72963312733225</v>
      </c>
      <c r="W165" s="68">
        <f t="shared" si="236"/>
        <v>862.18825773286642</v>
      </c>
      <c r="X165" s="68">
        <f t="shared" ref="X165:Y165" si="237">IF(X111=0,0,X111/X$23)</f>
        <v>914.64795405513348</v>
      </c>
      <c r="Y165" s="68">
        <f t="shared" si="237"/>
        <v>993.96408605103147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594.2694030381457</v>
      </c>
      <c r="C167" s="82">
        <f t="shared" ref="C167:W167" si="239">IF(C113=0,0,C113/C$23)</f>
        <v>770.3787083738415</v>
      </c>
      <c r="D167" s="82">
        <f t="shared" si="239"/>
        <v>610.88357240516154</v>
      </c>
      <c r="E167" s="82">
        <f t="shared" si="239"/>
        <v>804.86535872066816</v>
      </c>
      <c r="F167" s="82">
        <f t="shared" si="239"/>
        <v>770.27026986580393</v>
      </c>
      <c r="G167" s="82">
        <f t="shared" si="239"/>
        <v>727.19353454792792</v>
      </c>
      <c r="H167" s="82">
        <f t="shared" si="239"/>
        <v>621.97104251821156</v>
      </c>
      <c r="I167" s="82">
        <f t="shared" si="239"/>
        <v>602.64553477291452</v>
      </c>
      <c r="J167" s="82">
        <f t="shared" si="239"/>
        <v>532.7982559910929</v>
      </c>
      <c r="K167" s="82">
        <f t="shared" si="239"/>
        <v>474.62452012004417</v>
      </c>
      <c r="L167" s="82">
        <f t="shared" si="239"/>
        <v>450.86426713156681</v>
      </c>
      <c r="M167" s="82">
        <f t="shared" si="239"/>
        <v>554.29460161147267</v>
      </c>
      <c r="N167" s="82">
        <f t="shared" si="239"/>
        <v>572.19786828604731</v>
      </c>
      <c r="O167" s="82">
        <f t="shared" si="239"/>
        <v>592.05357290624409</v>
      </c>
      <c r="P167" s="82">
        <f t="shared" si="239"/>
        <v>632.26310428120257</v>
      </c>
      <c r="Q167" s="82">
        <f t="shared" si="239"/>
        <v>657.8005845900127</v>
      </c>
      <c r="R167" s="82">
        <f t="shared" si="239"/>
        <v>646.3970816587306</v>
      </c>
      <c r="S167" s="82">
        <f t="shared" si="239"/>
        <v>600.16983776783718</v>
      </c>
      <c r="T167" s="82">
        <f t="shared" si="239"/>
        <v>598.10978519477305</v>
      </c>
      <c r="U167" s="82">
        <f t="shared" si="239"/>
        <v>536.55856820949361</v>
      </c>
      <c r="V167" s="82">
        <f t="shared" si="239"/>
        <v>545.14520360897984</v>
      </c>
      <c r="W167" s="82">
        <f t="shared" si="239"/>
        <v>564.07445657425387</v>
      </c>
      <c r="X167" s="82">
        <f t="shared" ref="X167:Y167" si="240">IF(X113=0,0,X113/X$23)</f>
        <v>394.89705788155561</v>
      </c>
      <c r="Y167" s="82">
        <f t="shared" si="240"/>
        <v>373.50879666146625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594.2694030381457</v>
      </c>
      <c r="C168" s="64">
        <f t="shared" ref="C168:W168" si="242">IF(C114=0,0,C114/C$23)</f>
        <v>770.3787083738415</v>
      </c>
      <c r="D168" s="64">
        <f t="shared" si="242"/>
        <v>610.88357240516154</v>
      </c>
      <c r="E168" s="64">
        <f t="shared" si="242"/>
        <v>804.86535872066816</v>
      </c>
      <c r="F168" s="64">
        <f t="shared" si="242"/>
        <v>770.27026986580393</v>
      </c>
      <c r="G168" s="64">
        <f t="shared" si="242"/>
        <v>727.19353454792792</v>
      </c>
      <c r="H168" s="64">
        <f t="shared" si="242"/>
        <v>621.97104251821156</v>
      </c>
      <c r="I168" s="64">
        <f t="shared" si="242"/>
        <v>602.64553477291452</v>
      </c>
      <c r="J168" s="64">
        <f t="shared" si="242"/>
        <v>532.7982559910929</v>
      </c>
      <c r="K168" s="64">
        <f t="shared" si="242"/>
        <v>474.62452012004417</v>
      </c>
      <c r="L168" s="64">
        <f t="shared" si="242"/>
        <v>450.86426713156681</v>
      </c>
      <c r="M168" s="64">
        <f t="shared" si="242"/>
        <v>554.29460161147267</v>
      </c>
      <c r="N168" s="64">
        <f t="shared" si="242"/>
        <v>572.19786828604731</v>
      </c>
      <c r="O168" s="64">
        <f t="shared" si="242"/>
        <v>592.05357290624409</v>
      </c>
      <c r="P168" s="64">
        <f t="shared" si="242"/>
        <v>632.26310428120257</v>
      </c>
      <c r="Q168" s="64">
        <f t="shared" si="242"/>
        <v>657.8005845900127</v>
      </c>
      <c r="R168" s="64">
        <f t="shared" si="242"/>
        <v>646.3970816587306</v>
      </c>
      <c r="S168" s="64">
        <f t="shared" si="242"/>
        <v>600.16983776783718</v>
      </c>
      <c r="T168" s="64">
        <f t="shared" si="242"/>
        <v>598.10978519477305</v>
      </c>
      <c r="U168" s="64">
        <f t="shared" si="242"/>
        <v>536.55856820949361</v>
      </c>
      <c r="V168" s="64">
        <f t="shared" si="242"/>
        <v>545.14520360897984</v>
      </c>
      <c r="W168" s="64">
        <f t="shared" si="242"/>
        <v>564.07445657425387</v>
      </c>
      <c r="X168" s="64">
        <f t="shared" ref="X168:Y168" si="243">IF(X114=0,0,X114/X$23)</f>
        <v>394.89705788155561</v>
      </c>
      <c r="Y168" s="64">
        <f t="shared" si="243"/>
        <v>373.50879666146625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519.45614148415473</v>
      </c>
      <c r="C169" s="65">
        <f t="shared" ref="C169:W169" si="245">IF(C115=0,0,C115/C$23)</f>
        <v>675.74586656331178</v>
      </c>
      <c r="D169" s="65">
        <f t="shared" si="245"/>
        <v>515.46180959254536</v>
      </c>
      <c r="E169" s="65">
        <f t="shared" si="245"/>
        <v>721.94021736462582</v>
      </c>
      <c r="F169" s="65">
        <f t="shared" si="245"/>
        <v>687.06090194634453</v>
      </c>
      <c r="G169" s="65">
        <f t="shared" si="245"/>
        <v>648.38485878332745</v>
      </c>
      <c r="H169" s="65">
        <f t="shared" si="245"/>
        <v>547.15532795981767</v>
      </c>
      <c r="I169" s="65">
        <f t="shared" si="245"/>
        <v>530.79586937168961</v>
      </c>
      <c r="J169" s="65">
        <f t="shared" si="245"/>
        <v>460.14033864723791</v>
      </c>
      <c r="K169" s="65">
        <f t="shared" si="245"/>
        <v>403.83946681425607</v>
      </c>
      <c r="L169" s="65">
        <f t="shared" si="245"/>
        <v>378.59638219186189</v>
      </c>
      <c r="M169" s="65">
        <f t="shared" si="245"/>
        <v>479.83121634512787</v>
      </c>
      <c r="N169" s="65">
        <f t="shared" si="245"/>
        <v>497.59456514381594</v>
      </c>
      <c r="O169" s="65">
        <f t="shared" si="245"/>
        <v>514.48637463920488</v>
      </c>
      <c r="P169" s="65">
        <f t="shared" si="245"/>
        <v>546.93173148592734</v>
      </c>
      <c r="Q169" s="65">
        <f t="shared" si="245"/>
        <v>572.93959606395765</v>
      </c>
      <c r="R169" s="65">
        <f t="shared" si="245"/>
        <v>550.45633095893606</v>
      </c>
      <c r="S169" s="65">
        <f t="shared" si="245"/>
        <v>497.21786256831518</v>
      </c>
      <c r="T169" s="65">
        <f t="shared" si="245"/>
        <v>503.17623714052019</v>
      </c>
      <c r="U169" s="65">
        <f t="shared" si="245"/>
        <v>430.66751696885171</v>
      </c>
      <c r="V169" s="65">
        <f t="shared" si="245"/>
        <v>440.12598975793787</v>
      </c>
      <c r="W169" s="65">
        <f t="shared" si="245"/>
        <v>467.97732182722717</v>
      </c>
      <c r="X169" s="65">
        <f t="shared" ref="X169:Y169" si="246">IF(X115=0,0,X115/X$23)</f>
        <v>308.41729766643982</v>
      </c>
      <c r="Y169" s="65">
        <f t="shared" si="246"/>
        <v>285.372683078183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0</v>
      </c>
      <c r="C170" s="65">
        <f t="shared" ref="C170:W170" si="248">IF(C116=0,0,C116/C$23)</f>
        <v>0</v>
      </c>
      <c r="D170" s="65">
        <f t="shared" si="248"/>
        <v>0</v>
      </c>
      <c r="E170" s="65">
        <f t="shared" si="248"/>
        <v>0</v>
      </c>
      <c r="F170" s="65">
        <f t="shared" si="248"/>
        <v>0</v>
      </c>
      <c r="G170" s="65">
        <f t="shared" si="248"/>
        <v>0</v>
      </c>
      <c r="H170" s="65">
        <f t="shared" si="248"/>
        <v>0</v>
      </c>
      <c r="I170" s="65">
        <f t="shared" si="248"/>
        <v>0</v>
      </c>
      <c r="J170" s="65">
        <f t="shared" si="248"/>
        <v>0</v>
      </c>
      <c r="K170" s="65">
        <f t="shared" si="248"/>
        <v>0</v>
      </c>
      <c r="L170" s="65">
        <f t="shared" si="248"/>
        <v>0</v>
      </c>
      <c r="M170" s="65">
        <f t="shared" si="248"/>
        <v>0</v>
      </c>
      <c r="N170" s="65">
        <f t="shared" si="248"/>
        <v>0</v>
      </c>
      <c r="O170" s="65">
        <f t="shared" si="248"/>
        <v>0</v>
      </c>
      <c r="P170" s="65">
        <f t="shared" si="248"/>
        <v>0</v>
      </c>
      <c r="Q170" s="65">
        <f t="shared" si="248"/>
        <v>0</v>
      </c>
      <c r="R170" s="65">
        <f t="shared" si="248"/>
        <v>0</v>
      </c>
      <c r="S170" s="65">
        <f t="shared" si="248"/>
        <v>0</v>
      </c>
      <c r="T170" s="65">
        <f t="shared" si="248"/>
        <v>0</v>
      </c>
      <c r="U170" s="65">
        <f t="shared" si="248"/>
        <v>0</v>
      </c>
      <c r="V170" s="65">
        <f t="shared" si="248"/>
        <v>0</v>
      </c>
      <c r="W170" s="65">
        <f t="shared" si="248"/>
        <v>0</v>
      </c>
      <c r="X170" s="65">
        <f t="shared" ref="X170:Y170" si="249">IF(X116=0,0,X116/X$23)</f>
        <v>0</v>
      </c>
      <c r="Y170" s="65">
        <f t="shared" si="249"/>
        <v>0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68.071007422990462</v>
      </c>
      <c r="C171" s="65">
        <f t="shared" ref="C171:W171" si="251">IF(C117=0,0,C117/C$23)</f>
        <v>72.954240132998805</v>
      </c>
      <c r="D171" s="65">
        <f t="shared" si="251"/>
        <v>64.970845766663587</v>
      </c>
      <c r="E171" s="65">
        <f t="shared" si="251"/>
        <v>52.104925334423314</v>
      </c>
      <c r="F171" s="65">
        <f t="shared" si="251"/>
        <v>45.570095020959577</v>
      </c>
      <c r="G171" s="65">
        <f t="shared" si="251"/>
        <v>42.82640109156624</v>
      </c>
      <c r="H171" s="65">
        <f t="shared" si="251"/>
        <v>40.408126586601689</v>
      </c>
      <c r="I171" s="65">
        <f t="shared" si="251"/>
        <v>38.735337542866603</v>
      </c>
      <c r="J171" s="65">
        <f t="shared" si="251"/>
        <v>39.679923999387604</v>
      </c>
      <c r="K171" s="65">
        <f t="shared" si="251"/>
        <v>39.651279744844452</v>
      </c>
      <c r="L171" s="65">
        <f t="shared" si="251"/>
        <v>39.461967457538542</v>
      </c>
      <c r="M171" s="65">
        <f t="shared" si="251"/>
        <v>41.501037204915441</v>
      </c>
      <c r="N171" s="65">
        <f t="shared" si="251"/>
        <v>40.625430708388414</v>
      </c>
      <c r="O171" s="65">
        <f t="shared" si="251"/>
        <v>44.951233854806908</v>
      </c>
      <c r="P171" s="65">
        <f t="shared" si="251"/>
        <v>52.629520432258829</v>
      </c>
      <c r="Q171" s="65">
        <f t="shared" si="251"/>
        <v>52.244304196448297</v>
      </c>
      <c r="R171" s="65">
        <f t="shared" si="251"/>
        <v>49.059831748820642</v>
      </c>
      <c r="S171" s="65">
        <f t="shared" si="251"/>
        <v>50.526002982753759</v>
      </c>
      <c r="T171" s="65">
        <f t="shared" si="251"/>
        <v>52.670219361411057</v>
      </c>
      <c r="U171" s="65">
        <f t="shared" si="251"/>
        <v>50.673175544320024</v>
      </c>
      <c r="V171" s="65">
        <f t="shared" si="251"/>
        <v>50.683747326935624</v>
      </c>
      <c r="W171" s="65">
        <f t="shared" si="251"/>
        <v>47.370688239183238</v>
      </c>
      <c r="X171" s="65">
        <f t="shared" ref="X171:Y171" si="252">IF(X117=0,0,X117/X$23)</f>
        <v>42.582722028819134</v>
      </c>
      <c r="Y171" s="65">
        <f t="shared" si="252"/>
        <v>37.758720444997749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6.742254131000454</v>
      </c>
      <c r="C172" s="67">
        <f t="shared" ref="C172:W172" si="254">IF(C118=0,0,C118/C$23)</f>
        <v>21.678601677530789</v>
      </c>
      <c r="D172" s="67">
        <f t="shared" si="254"/>
        <v>30.450917045952501</v>
      </c>
      <c r="E172" s="67">
        <f t="shared" si="254"/>
        <v>30.820216021619178</v>
      </c>
      <c r="F172" s="67">
        <f t="shared" si="254"/>
        <v>37.639272898499826</v>
      </c>
      <c r="G172" s="67">
        <f t="shared" si="254"/>
        <v>35.982274673034325</v>
      </c>
      <c r="H172" s="67">
        <f t="shared" si="254"/>
        <v>34.407587971792132</v>
      </c>
      <c r="I172" s="67">
        <f t="shared" si="254"/>
        <v>33.11432785835823</v>
      </c>
      <c r="J172" s="67">
        <f t="shared" si="254"/>
        <v>32.9779933444674</v>
      </c>
      <c r="K172" s="67">
        <f t="shared" si="254"/>
        <v>31.133773560943698</v>
      </c>
      <c r="L172" s="67">
        <f t="shared" si="254"/>
        <v>32.8059174821664</v>
      </c>
      <c r="M172" s="67">
        <f t="shared" si="254"/>
        <v>32.962348061429346</v>
      </c>
      <c r="N172" s="67">
        <f t="shared" si="254"/>
        <v>33.977872433843096</v>
      </c>
      <c r="O172" s="67">
        <f t="shared" si="254"/>
        <v>32.615964412232351</v>
      </c>
      <c r="P172" s="67">
        <f t="shared" si="254"/>
        <v>32.701852363016293</v>
      </c>
      <c r="Q172" s="67">
        <f t="shared" si="254"/>
        <v>32.616684329606876</v>
      </c>
      <c r="R172" s="67">
        <f t="shared" si="254"/>
        <v>46.880918950973992</v>
      </c>
      <c r="S172" s="67">
        <f t="shared" si="254"/>
        <v>52.425972216768123</v>
      </c>
      <c r="T172" s="67">
        <f t="shared" si="254"/>
        <v>42.263328692841782</v>
      </c>
      <c r="U172" s="67">
        <f t="shared" si="254"/>
        <v>55.217875696321904</v>
      </c>
      <c r="V172" s="67">
        <f t="shared" si="254"/>
        <v>54.335466524106273</v>
      </c>
      <c r="W172" s="67">
        <f t="shared" si="254"/>
        <v>48.726446507843512</v>
      </c>
      <c r="X172" s="67">
        <f t="shared" ref="X172:Y172" si="255">IF(X118=0,0,X118/X$23)</f>
        <v>43.897038186296605</v>
      </c>
      <c r="Y172" s="67">
        <f t="shared" si="255"/>
        <v>50.377393138285498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12898.90585148086</v>
      </c>
      <c r="C3" s="124">
        <f t="shared" si="0"/>
        <v>13343.510041058458</v>
      </c>
      <c r="D3" s="124">
        <f t="shared" si="0"/>
        <v>13820.440223099004</v>
      </c>
      <c r="E3" s="124">
        <f t="shared" si="0"/>
        <v>14346.233302105395</v>
      </c>
      <c r="F3" s="124">
        <f t="shared" si="0"/>
        <v>14723.184232768555</v>
      </c>
      <c r="G3" s="124">
        <f t="shared" si="0"/>
        <v>15456.794435126712</v>
      </c>
      <c r="H3" s="124">
        <f t="shared" si="0"/>
        <v>16361.159342903695</v>
      </c>
      <c r="I3" s="124">
        <f t="shared" si="0"/>
        <v>16906.668653433822</v>
      </c>
      <c r="J3" s="124">
        <f t="shared" si="0"/>
        <v>16586.946820310019</v>
      </c>
      <c r="K3" s="124">
        <f t="shared" si="0"/>
        <v>16397.520237962595</v>
      </c>
      <c r="L3" s="124">
        <f t="shared" si="0"/>
        <v>16445.233714106551</v>
      </c>
      <c r="M3" s="124">
        <f t="shared" si="0"/>
        <v>16877.155969264109</v>
      </c>
      <c r="N3" s="124">
        <f t="shared" si="0"/>
        <v>17145.476844967623</v>
      </c>
      <c r="O3" s="124">
        <f t="shared" si="0"/>
        <v>17225.773692538962</v>
      </c>
      <c r="P3" s="124">
        <f t="shared" si="0"/>
        <v>17418.193143585759</v>
      </c>
      <c r="Q3" s="124">
        <f t="shared" si="0"/>
        <v>17806.585081906953</v>
      </c>
      <c r="R3" s="124">
        <f t="shared" si="0"/>
        <v>17982.194583095021</v>
      </c>
      <c r="S3" s="124">
        <f t="shared" si="0"/>
        <v>18286.833448233243</v>
      </c>
      <c r="T3" s="124">
        <f t="shared" si="0"/>
        <v>18523.242572569929</v>
      </c>
      <c r="U3" s="124">
        <f t="shared" si="0"/>
        <v>18712.403646947048</v>
      </c>
      <c r="V3" s="124">
        <f t="shared" si="0"/>
        <v>18888.884444444455</v>
      </c>
      <c r="W3" s="124">
        <f t="shared" si="0"/>
        <v>19049.91703822479</v>
      </c>
      <c r="X3" s="124">
        <f t="shared" si="0"/>
        <v>19198.98805859284</v>
      </c>
      <c r="Y3" s="124">
        <f t="shared" si="0"/>
        <v>19335.543778754247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12898.90585148086</v>
      </c>
      <c r="C4" s="139">
        <f t="shared" si="1"/>
        <v>13343.510041058458</v>
      </c>
      <c r="D4" s="139">
        <f t="shared" si="1"/>
        <v>13820.440223099004</v>
      </c>
      <c r="E4" s="139">
        <f t="shared" si="1"/>
        <v>14346.233302105395</v>
      </c>
      <c r="F4" s="139">
        <f t="shared" si="1"/>
        <v>14723.184232768555</v>
      </c>
      <c r="G4" s="139">
        <f t="shared" si="1"/>
        <v>15456.794435126712</v>
      </c>
      <c r="H4" s="139">
        <f t="shared" si="1"/>
        <v>16361.159342903695</v>
      </c>
      <c r="I4" s="139">
        <f t="shared" si="1"/>
        <v>16906.668653433822</v>
      </c>
      <c r="J4" s="139">
        <f t="shared" si="1"/>
        <v>16586.946820310019</v>
      </c>
      <c r="K4" s="139">
        <f t="shared" si="1"/>
        <v>16397.520237962595</v>
      </c>
      <c r="L4" s="139">
        <f t="shared" si="1"/>
        <v>16445.233714106551</v>
      </c>
      <c r="M4" s="139">
        <f t="shared" si="1"/>
        <v>16877.155969264109</v>
      </c>
      <c r="N4" s="139">
        <f t="shared" si="1"/>
        <v>17145.476844967623</v>
      </c>
      <c r="O4" s="139">
        <f t="shared" si="1"/>
        <v>17225.773692538962</v>
      </c>
      <c r="P4" s="139">
        <f t="shared" si="1"/>
        <v>17418.193143585759</v>
      </c>
      <c r="Q4" s="139">
        <f t="shared" si="1"/>
        <v>17806.585081906953</v>
      </c>
      <c r="R4" s="139">
        <f t="shared" ref="R4:W4" si="2">SUM(R5:R14)</f>
        <v>17982.194583095021</v>
      </c>
      <c r="S4" s="139">
        <f t="shared" si="2"/>
        <v>18286.833448233243</v>
      </c>
      <c r="T4" s="139">
        <f t="shared" si="2"/>
        <v>18523.242572569929</v>
      </c>
      <c r="U4" s="139">
        <f t="shared" si="2"/>
        <v>18712.403646947048</v>
      </c>
      <c r="V4" s="139">
        <f t="shared" si="2"/>
        <v>18888.884444444455</v>
      </c>
      <c r="W4" s="139">
        <f t="shared" si="2"/>
        <v>19049.91703822479</v>
      </c>
      <c r="X4" s="139">
        <f t="shared" ref="X4:Y4" si="3">SUM(X5:X14)</f>
        <v>19198.98805859284</v>
      </c>
      <c r="Y4" s="139">
        <f t="shared" si="3"/>
        <v>19335.543778754247</v>
      </c>
      <c r="DA4" s="169" t="s">
        <v>246</v>
      </c>
    </row>
    <row r="5" spans="1:105" ht="12" customHeight="1" x14ac:dyDescent="0.25">
      <c r="A5" s="131" t="s">
        <v>29</v>
      </c>
      <c r="B5" s="140">
        <v>377.76023021590822</v>
      </c>
      <c r="C5" s="140">
        <v>383.26540988573288</v>
      </c>
      <c r="D5" s="140">
        <v>384.84223422745299</v>
      </c>
      <c r="E5" s="140">
        <v>373.45184280144332</v>
      </c>
      <c r="F5" s="140">
        <v>339.94807575890621</v>
      </c>
      <c r="G5" s="140">
        <v>327.25514634463747</v>
      </c>
      <c r="H5" s="140">
        <v>274.28602237212101</v>
      </c>
      <c r="I5" s="140">
        <v>238.63837965138669</v>
      </c>
      <c r="J5" s="140">
        <v>179.50652645372034</v>
      </c>
      <c r="K5" s="140">
        <v>144.2036186928228</v>
      </c>
      <c r="L5" s="140">
        <v>119.21333315954368</v>
      </c>
      <c r="M5" s="140">
        <v>120.01498722800028</v>
      </c>
      <c r="N5" s="140">
        <v>131.58745357188369</v>
      </c>
      <c r="O5" s="140">
        <v>140.25629278224432</v>
      </c>
      <c r="P5" s="140">
        <v>129.99230214424381</v>
      </c>
      <c r="Q5" s="140">
        <v>110.99184866296856</v>
      </c>
      <c r="R5" s="140">
        <v>92.887804508167221</v>
      </c>
      <c r="S5" s="140">
        <v>72.145978643879928</v>
      </c>
      <c r="T5" s="140">
        <v>62.408162922894476</v>
      </c>
      <c r="U5" s="140">
        <v>56.559488422546892</v>
      </c>
      <c r="V5" s="140">
        <v>56.996089011299446</v>
      </c>
      <c r="W5" s="140">
        <v>54.046355108698066</v>
      </c>
      <c r="X5" s="140">
        <v>52.454072359167363</v>
      </c>
      <c r="Y5" s="140">
        <v>43.384107602924772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2774.1374750847881</v>
      </c>
      <c r="C7" s="140">
        <v>2659.8169563918295</v>
      </c>
      <c r="D7" s="140">
        <v>2261.7753176036808</v>
      </c>
      <c r="E7" s="140">
        <v>1961.4876348303537</v>
      </c>
      <c r="F7" s="140">
        <v>1703.1560058224743</v>
      </c>
      <c r="G7" s="140">
        <v>1666.7470151123787</v>
      </c>
      <c r="H7" s="140">
        <v>1557.7558792258694</v>
      </c>
      <c r="I7" s="140">
        <v>1517.6530515811501</v>
      </c>
      <c r="J7" s="140">
        <v>1395.8912550261246</v>
      </c>
      <c r="K7" s="140">
        <v>1416.9033417480616</v>
      </c>
      <c r="L7" s="140">
        <v>1508.2854653755378</v>
      </c>
      <c r="M7" s="140">
        <v>1852.6358331011213</v>
      </c>
      <c r="N7" s="140">
        <v>1936.0378025010164</v>
      </c>
      <c r="O7" s="140">
        <v>1886.2503838222758</v>
      </c>
      <c r="P7" s="140">
        <v>1576.0960699875457</v>
      </c>
      <c r="Q7" s="140">
        <v>1421.7593948876695</v>
      </c>
      <c r="R7" s="140">
        <v>1219.6217581776452</v>
      </c>
      <c r="S7" s="140">
        <v>1188.6127617624095</v>
      </c>
      <c r="T7" s="140">
        <v>1088.1124702763041</v>
      </c>
      <c r="U7" s="140">
        <v>981.55164734738332</v>
      </c>
      <c r="V7" s="140">
        <v>938.5452019118103</v>
      </c>
      <c r="W7" s="140">
        <v>1014.3727138051444</v>
      </c>
      <c r="X7" s="140">
        <v>1218.7584907384166</v>
      </c>
      <c r="Y7" s="140">
        <v>1497.6822534541625</v>
      </c>
      <c r="DA7" s="170" t="s">
        <v>249</v>
      </c>
    </row>
    <row r="8" spans="1:105" ht="12" customHeight="1" x14ac:dyDescent="0.25">
      <c r="A8" s="131" t="s">
        <v>73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250</v>
      </c>
    </row>
    <row r="9" spans="1:105" ht="12" customHeight="1" x14ac:dyDescent="0.25">
      <c r="A9" s="131" t="s">
        <v>78</v>
      </c>
      <c r="B9" s="140">
        <v>675.18266824654825</v>
      </c>
      <c r="C9" s="140">
        <v>977.47040640869591</v>
      </c>
      <c r="D9" s="140">
        <v>1703.6594923460918</v>
      </c>
      <c r="E9" s="140">
        <v>2408.3487994428033</v>
      </c>
      <c r="F9" s="140">
        <v>2452.8793850641568</v>
      </c>
      <c r="G9" s="140">
        <v>2310.0431847562377</v>
      </c>
      <c r="H9" s="140">
        <v>2107.8019163686749</v>
      </c>
      <c r="I9" s="140">
        <v>1828.3670911312645</v>
      </c>
      <c r="J9" s="140">
        <v>1470.6455690949799</v>
      </c>
      <c r="K9" s="140">
        <v>1240.207336534193</v>
      </c>
      <c r="L9" s="140">
        <v>1214.8506093535218</v>
      </c>
      <c r="M9" s="140">
        <v>1389.8558836169098</v>
      </c>
      <c r="N9" s="140">
        <v>1702.3461752690889</v>
      </c>
      <c r="O9" s="140">
        <v>2205.6162307346185</v>
      </c>
      <c r="P9" s="140">
        <v>2796.0678448726626</v>
      </c>
      <c r="Q9" s="140">
        <v>3206.8936989874051</v>
      </c>
      <c r="R9" s="140">
        <v>3458.7323659236031</v>
      </c>
      <c r="S9" s="140">
        <v>3519.5904216403292</v>
      </c>
      <c r="T9" s="140">
        <v>3551.0978389227203</v>
      </c>
      <c r="U9" s="140">
        <v>3574.8208276575238</v>
      </c>
      <c r="V9" s="140">
        <v>3441.1405494990308</v>
      </c>
      <c r="W9" s="140">
        <v>3153.4186878503565</v>
      </c>
      <c r="X9" s="140">
        <v>2542.3416190659782</v>
      </c>
      <c r="Y9" s="140">
        <v>2191.5056215498698</v>
      </c>
      <c r="DA9" s="170" t="s">
        <v>251</v>
      </c>
    </row>
    <row r="10" spans="1:105" ht="12" customHeight="1" x14ac:dyDescent="0.25">
      <c r="A10" s="131" t="s">
        <v>128</v>
      </c>
      <c r="B10" s="140">
        <v>530.81576945399456</v>
      </c>
      <c r="C10" s="140">
        <v>646.4436202658801</v>
      </c>
      <c r="D10" s="140">
        <v>726.26584743052786</v>
      </c>
      <c r="E10" s="140">
        <v>799.10397824004781</v>
      </c>
      <c r="F10" s="140">
        <v>878.17868732615011</v>
      </c>
      <c r="G10" s="140">
        <v>920.01956025321954</v>
      </c>
      <c r="H10" s="140">
        <v>981.67819321920842</v>
      </c>
      <c r="I10" s="140">
        <v>958.42220865675847</v>
      </c>
      <c r="J10" s="140">
        <v>902.45392228251853</v>
      </c>
      <c r="K10" s="140">
        <v>820.2882535541255</v>
      </c>
      <c r="L10" s="140">
        <v>803.2585591922475</v>
      </c>
      <c r="M10" s="140">
        <v>794.16743955668176</v>
      </c>
      <c r="N10" s="140">
        <v>653.82273387630437</v>
      </c>
      <c r="O10" s="140">
        <v>554.22729511822831</v>
      </c>
      <c r="P10" s="140">
        <v>453.96753428087692</v>
      </c>
      <c r="Q10" s="140">
        <v>435.01097285789882</v>
      </c>
      <c r="R10" s="140">
        <v>411.20562218464079</v>
      </c>
      <c r="S10" s="140">
        <v>437.21053639235788</v>
      </c>
      <c r="T10" s="140">
        <v>453.45111430259004</v>
      </c>
      <c r="U10" s="140">
        <v>506.30245336394341</v>
      </c>
      <c r="V10" s="140">
        <v>497.77851141629679</v>
      </c>
      <c r="W10" s="140">
        <v>532.09800315703251</v>
      </c>
      <c r="X10" s="140">
        <v>517.91542818561459</v>
      </c>
      <c r="Y10" s="140">
        <v>450.15334945906716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253</v>
      </c>
    </row>
    <row r="12" spans="1:105" ht="12" customHeight="1" x14ac:dyDescent="0.25">
      <c r="A12" s="131" t="s">
        <v>162</v>
      </c>
      <c r="B12" s="140">
        <v>6188.3700653225424</v>
      </c>
      <c r="C12" s="140">
        <v>6001.2756975567399</v>
      </c>
      <c r="D12" s="140">
        <v>5877.7420503359144</v>
      </c>
      <c r="E12" s="140">
        <v>5871.0253042943259</v>
      </c>
      <c r="F12" s="140">
        <v>6185.7080389459579</v>
      </c>
      <c r="G12" s="140">
        <v>6698.4665623538776</v>
      </c>
      <c r="H12" s="140">
        <v>7216.6825901853608</v>
      </c>
      <c r="I12" s="140">
        <v>7507.0388409298566</v>
      </c>
      <c r="J12" s="140">
        <v>7403.364670169708</v>
      </c>
      <c r="K12" s="140">
        <v>7473.2012928501281</v>
      </c>
      <c r="L12" s="140">
        <v>7676.6661731573904</v>
      </c>
      <c r="M12" s="140">
        <v>7727.180773512785</v>
      </c>
      <c r="N12" s="140">
        <v>7604.1293424502337</v>
      </c>
      <c r="O12" s="140">
        <v>7157.7095512835085</v>
      </c>
      <c r="P12" s="140">
        <v>6884.0071621741363</v>
      </c>
      <c r="Q12" s="140">
        <v>7003.2816587427569</v>
      </c>
      <c r="R12" s="140">
        <v>7066.0402639629692</v>
      </c>
      <c r="S12" s="140">
        <v>7315.0620241717834</v>
      </c>
      <c r="T12" s="140">
        <v>7253.492138648041</v>
      </c>
      <c r="U12" s="140">
        <v>7041.9064700822464</v>
      </c>
      <c r="V12" s="140">
        <v>7209.6493067430602</v>
      </c>
      <c r="W12" s="140">
        <v>7609.2857758943692</v>
      </c>
      <c r="X12" s="140">
        <v>8649.6749903464661</v>
      </c>
      <c r="Y12" s="140">
        <v>9898.1297740166956</v>
      </c>
      <c r="DA12" s="170" t="s">
        <v>254</v>
      </c>
    </row>
    <row r="13" spans="1:105" ht="12" customHeight="1" x14ac:dyDescent="0.25">
      <c r="A13" s="131" t="s">
        <v>77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DA13" s="170" t="s">
        <v>255</v>
      </c>
    </row>
    <row r="14" spans="1:105" ht="12" customHeight="1" x14ac:dyDescent="0.25">
      <c r="A14" s="60" t="s">
        <v>76</v>
      </c>
      <c r="B14" s="141">
        <v>2352.6396431570802</v>
      </c>
      <c r="C14" s="141">
        <v>2675.2379505495792</v>
      </c>
      <c r="D14" s="141">
        <v>2866.1552811553356</v>
      </c>
      <c r="E14" s="141">
        <v>2932.8157424964215</v>
      </c>
      <c r="F14" s="141">
        <v>3163.3140398509099</v>
      </c>
      <c r="G14" s="141">
        <v>3534.2629663063617</v>
      </c>
      <c r="H14" s="141">
        <v>4222.9547415324596</v>
      </c>
      <c r="I14" s="141">
        <v>4856.5490814834047</v>
      </c>
      <c r="J14" s="141">
        <v>5235.0848772829659</v>
      </c>
      <c r="K14" s="141">
        <v>5302.7163945832654</v>
      </c>
      <c r="L14" s="141">
        <v>5122.9595738683111</v>
      </c>
      <c r="M14" s="141">
        <v>4993.301052248612</v>
      </c>
      <c r="N14" s="141">
        <v>5117.5533372990958</v>
      </c>
      <c r="O14" s="141">
        <v>5281.7139387980878</v>
      </c>
      <c r="P14" s="141">
        <v>5578.062230126292</v>
      </c>
      <c r="Q14" s="141">
        <v>5628.6475077682526</v>
      </c>
      <c r="R14" s="141">
        <v>5733.7067683379955</v>
      </c>
      <c r="S14" s="141">
        <v>5754.2117256224828</v>
      </c>
      <c r="T14" s="141">
        <v>6114.6808474973795</v>
      </c>
      <c r="U14" s="141">
        <v>6551.2627600734058</v>
      </c>
      <c r="V14" s="141">
        <v>6744.7747858629564</v>
      </c>
      <c r="W14" s="141">
        <v>6686.6955024091876</v>
      </c>
      <c r="X14" s="141">
        <v>6217.8434578971983</v>
      </c>
      <c r="Y14" s="141">
        <v>5254.6886726715275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10546.266208323781</v>
      </c>
      <c r="C15" s="143">
        <f t="shared" si="4"/>
        <v>10668.272090508879</v>
      </c>
      <c r="D15" s="143">
        <f t="shared" si="4"/>
        <v>10954.284941943668</v>
      </c>
      <c r="E15" s="143">
        <f t="shared" si="4"/>
        <v>11413.417559608974</v>
      </c>
      <c r="F15" s="143">
        <f t="shared" si="4"/>
        <v>11559.870192917646</v>
      </c>
      <c r="G15" s="143">
        <f t="shared" si="4"/>
        <v>11922.531468820351</v>
      </c>
      <c r="H15" s="143">
        <f t="shared" si="4"/>
        <v>12138.204601371235</v>
      </c>
      <c r="I15" s="143">
        <f t="shared" si="4"/>
        <v>12050.119571950418</v>
      </c>
      <c r="J15" s="143">
        <f t="shared" si="4"/>
        <v>11351.861943027052</v>
      </c>
      <c r="K15" s="143">
        <f t="shared" si="4"/>
        <v>11094.80384337933</v>
      </c>
      <c r="L15" s="143">
        <f t="shared" si="4"/>
        <v>11322.274140238242</v>
      </c>
      <c r="M15" s="143">
        <f t="shared" si="4"/>
        <v>11883.854917015498</v>
      </c>
      <c r="N15" s="143">
        <f t="shared" si="4"/>
        <v>12027.923507668527</v>
      </c>
      <c r="O15" s="143">
        <f t="shared" si="4"/>
        <v>11944.059753740876</v>
      </c>
      <c r="P15" s="143">
        <f t="shared" si="4"/>
        <v>11840.130913459467</v>
      </c>
      <c r="Q15" s="143">
        <f t="shared" si="4"/>
        <v>12177.937574138699</v>
      </c>
      <c r="R15" s="143">
        <f t="shared" ref="R15:W15" si="5">SUM(R5:R12)</f>
        <v>12248.487814757025</v>
      </c>
      <c r="S15" s="143">
        <f t="shared" si="5"/>
        <v>12532.621722610758</v>
      </c>
      <c r="T15" s="143">
        <f t="shared" si="5"/>
        <v>12408.56172507255</v>
      </c>
      <c r="U15" s="143">
        <f t="shared" si="5"/>
        <v>12161.140886873643</v>
      </c>
      <c r="V15" s="143">
        <f t="shared" si="5"/>
        <v>12144.109658581498</v>
      </c>
      <c r="W15" s="143">
        <f t="shared" si="5"/>
        <v>12363.221535815601</v>
      </c>
      <c r="X15" s="143">
        <f t="shared" ref="X15:Y15" si="6">SUM(X5:X12)</f>
        <v>12981.144600695643</v>
      </c>
      <c r="Y15" s="143">
        <f t="shared" si="6"/>
        <v>14080.855106082719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421.33823331404005</v>
      </c>
      <c r="C16" s="139">
        <f t="shared" si="7"/>
        <v>463.11016751155228</v>
      </c>
      <c r="D16" s="139">
        <f t="shared" si="7"/>
        <v>518.14152905450692</v>
      </c>
      <c r="E16" s="139">
        <f t="shared" si="7"/>
        <v>567.1548116187214</v>
      </c>
      <c r="F16" s="139">
        <f t="shared" si="7"/>
        <v>609.39869249059996</v>
      </c>
      <c r="G16" s="139">
        <f t="shared" si="7"/>
        <v>694.86120008119212</v>
      </c>
      <c r="H16" s="139">
        <f t="shared" si="7"/>
        <v>814.58073094628787</v>
      </c>
      <c r="I16" s="139">
        <f t="shared" si="7"/>
        <v>899.46397697285545</v>
      </c>
      <c r="J16" s="139">
        <f t="shared" si="7"/>
        <v>958.98431871612286</v>
      </c>
      <c r="K16" s="139">
        <f t="shared" si="7"/>
        <v>991.91663344247161</v>
      </c>
      <c r="L16" s="139">
        <f t="shared" si="7"/>
        <v>1038.3003462644022</v>
      </c>
      <c r="M16" s="139">
        <f t="shared" si="7"/>
        <v>1120.1435852191237</v>
      </c>
      <c r="N16" s="139">
        <f t="shared" si="7"/>
        <v>1177.1889395569176</v>
      </c>
      <c r="O16" s="139">
        <f t="shared" si="7"/>
        <v>1229.8029967308285</v>
      </c>
      <c r="P16" s="139">
        <f t="shared" si="7"/>
        <v>1285.64432995179</v>
      </c>
      <c r="Q16" s="139">
        <f t="shared" si="7"/>
        <v>1361.5728669084317</v>
      </c>
      <c r="R16" s="139">
        <f t="shared" ref="R16:W16" si="8">SUM(R17:R18)</f>
        <v>1403.5738108241524</v>
      </c>
      <c r="S16" s="139">
        <f t="shared" si="8"/>
        <v>1463.2285522418017</v>
      </c>
      <c r="T16" s="139">
        <f t="shared" si="8"/>
        <v>1548.9076862664722</v>
      </c>
      <c r="U16" s="139">
        <f t="shared" si="8"/>
        <v>1608.4135172492092</v>
      </c>
      <c r="V16" s="139">
        <f t="shared" si="8"/>
        <v>1633.3597672030985</v>
      </c>
      <c r="W16" s="139">
        <f t="shared" si="8"/>
        <v>1668.3076027261893</v>
      </c>
      <c r="X16" s="139">
        <f t="shared" ref="X16:Y16" si="9">SUM(X17:X18)</f>
        <v>1738.5414360154934</v>
      </c>
      <c r="Y16" s="139">
        <f t="shared" si="9"/>
        <v>1809.1465840936403</v>
      </c>
      <c r="DA16" s="169" t="s">
        <v>257</v>
      </c>
    </row>
    <row r="17" spans="1:105" ht="12.95" customHeight="1" x14ac:dyDescent="0.25">
      <c r="A17" s="131" t="s">
        <v>73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258</v>
      </c>
    </row>
    <row r="18" spans="1:105" ht="12" customHeight="1" x14ac:dyDescent="0.25">
      <c r="A18" s="131" t="s">
        <v>72</v>
      </c>
      <c r="B18" s="140">
        <v>421.33823331404005</v>
      </c>
      <c r="C18" s="140">
        <v>463.11016751155228</v>
      </c>
      <c r="D18" s="140">
        <v>518.14152905450692</v>
      </c>
      <c r="E18" s="140">
        <v>567.1548116187214</v>
      </c>
      <c r="F18" s="140">
        <v>609.39869249059996</v>
      </c>
      <c r="G18" s="140">
        <v>694.86120008119212</v>
      </c>
      <c r="H18" s="140">
        <v>814.58073094628787</v>
      </c>
      <c r="I18" s="140">
        <v>899.46397697285545</v>
      </c>
      <c r="J18" s="140">
        <v>958.98431871612286</v>
      </c>
      <c r="K18" s="140">
        <v>991.91663344247161</v>
      </c>
      <c r="L18" s="140">
        <v>1038.3003462644022</v>
      </c>
      <c r="M18" s="140">
        <v>1120.1435852191237</v>
      </c>
      <c r="N18" s="140">
        <v>1177.1889395569176</v>
      </c>
      <c r="O18" s="140">
        <v>1229.8029967308285</v>
      </c>
      <c r="P18" s="140">
        <v>1285.64432995179</v>
      </c>
      <c r="Q18" s="140">
        <v>1361.5728669084317</v>
      </c>
      <c r="R18" s="140">
        <v>1403.5738108241524</v>
      </c>
      <c r="S18" s="140">
        <v>1463.2285522418017</v>
      </c>
      <c r="T18" s="140">
        <v>1548.9076862664722</v>
      </c>
      <c r="U18" s="140">
        <v>1608.4135172492092</v>
      </c>
      <c r="V18" s="140">
        <v>1633.3597672030985</v>
      </c>
      <c r="W18" s="140">
        <v>1668.3076027261893</v>
      </c>
      <c r="X18" s="140">
        <v>1738.5414360154934</v>
      </c>
      <c r="Y18" s="140">
        <v>1809.1465840936403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12898.90585148086</v>
      </c>
      <c r="C19" s="139">
        <f t="shared" si="10"/>
        <v>13343.510041058458</v>
      </c>
      <c r="D19" s="139">
        <f t="shared" si="10"/>
        <v>13820.440223099005</v>
      </c>
      <c r="E19" s="139">
        <f t="shared" si="10"/>
        <v>14346.233302105396</v>
      </c>
      <c r="F19" s="139">
        <f t="shared" si="10"/>
        <v>14723.184232768555</v>
      </c>
      <c r="G19" s="139">
        <f t="shared" si="10"/>
        <v>15456.794435126711</v>
      </c>
      <c r="H19" s="139">
        <f t="shared" si="10"/>
        <v>16361.159342903695</v>
      </c>
      <c r="I19" s="139">
        <f t="shared" si="10"/>
        <v>16906.668653433822</v>
      </c>
      <c r="J19" s="139">
        <f t="shared" si="10"/>
        <v>16586.946820310019</v>
      </c>
      <c r="K19" s="139">
        <f t="shared" si="10"/>
        <v>16397.520237962599</v>
      </c>
      <c r="L19" s="139">
        <f t="shared" si="10"/>
        <v>16445.233714106555</v>
      </c>
      <c r="M19" s="139">
        <f t="shared" si="10"/>
        <v>16877.155969264102</v>
      </c>
      <c r="N19" s="139">
        <f t="shared" si="10"/>
        <v>17145.476844967619</v>
      </c>
      <c r="O19" s="139">
        <f t="shared" si="10"/>
        <v>17225.773692538965</v>
      </c>
      <c r="P19" s="139">
        <f t="shared" si="10"/>
        <v>17418.193143585748</v>
      </c>
      <c r="Q19" s="139">
        <f t="shared" si="10"/>
        <v>17806.585081906953</v>
      </c>
      <c r="R19" s="139">
        <f t="shared" ref="R19:W19" si="11">SUM(R20:R26)</f>
        <v>17982.194583095028</v>
      </c>
      <c r="S19" s="139">
        <f t="shared" si="11"/>
        <v>18286.833448233243</v>
      </c>
      <c r="T19" s="139">
        <f t="shared" si="11"/>
        <v>18523.242572569914</v>
      </c>
      <c r="U19" s="139">
        <f t="shared" si="11"/>
        <v>18712.403646947045</v>
      </c>
      <c r="V19" s="139">
        <f t="shared" si="11"/>
        <v>18888.884444444433</v>
      </c>
      <c r="W19" s="139">
        <f t="shared" si="11"/>
        <v>19049.91703822479</v>
      </c>
      <c r="X19" s="139">
        <f t="shared" ref="X19:Y19" si="12">SUM(X20:X26)</f>
        <v>19198.98805859284</v>
      </c>
      <c r="Y19" s="139">
        <f t="shared" si="12"/>
        <v>19335.543778754269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262</v>
      </c>
    </row>
    <row r="22" spans="1:105" ht="12" customHeight="1" x14ac:dyDescent="0.25">
      <c r="A22" s="131" t="s">
        <v>161</v>
      </c>
      <c r="B22" s="140">
        <v>2326.2266503309083</v>
      </c>
      <c r="C22" s="140">
        <v>2275.0078034296121</v>
      </c>
      <c r="D22" s="140">
        <v>1992.7330100316558</v>
      </c>
      <c r="E22" s="140">
        <v>1684.9357612128176</v>
      </c>
      <c r="F22" s="140">
        <v>1445.2191530824327</v>
      </c>
      <c r="G22" s="140">
        <v>1307.4819393527193</v>
      </c>
      <c r="H22" s="140">
        <v>1248.6648988924062</v>
      </c>
      <c r="I22" s="140">
        <v>1228.798004075989</v>
      </c>
      <c r="J22" s="140">
        <v>1213.8105185627371</v>
      </c>
      <c r="K22" s="140">
        <v>1191.7572731449427</v>
      </c>
      <c r="L22" s="140">
        <v>1167.223700108987</v>
      </c>
      <c r="M22" s="140">
        <v>1141.6141849621899</v>
      </c>
      <c r="N22" s="140">
        <v>1122.8484331328257</v>
      </c>
      <c r="O22" s="140">
        <v>1105.2352601705929</v>
      </c>
      <c r="P22" s="140">
        <v>1078.49664957244</v>
      </c>
      <c r="Q22" s="140">
        <v>1036.6107361736774</v>
      </c>
      <c r="R22" s="140">
        <v>983.2795369795823</v>
      </c>
      <c r="S22" s="140">
        <v>918.18158229178152</v>
      </c>
      <c r="T22" s="140">
        <v>848.51454742510862</v>
      </c>
      <c r="U22" s="140">
        <v>735.42280661639745</v>
      </c>
      <c r="V22" s="140">
        <v>693.87658525665086</v>
      </c>
      <c r="W22" s="140">
        <v>681.84326631448073</v>
      </c>
      <c r="X22" s="140">
        <v>727.09969660779461</v>
      </c>
      <c r="Y22" s="140">
        <v>794.81355468212428</v>
      </c>
      <c r="DA22" s="170" t="s">
        <v>263</v>
      </c>
    </row>
    <row r="23" spans="1:105" ht="12" customHeight="1" x14ac:dyDescent="0.25">
      <c r="A23" s="131" t="s">
        <v>149</v>
      </c>
      <c r="B23" s="140">
        <v>425.3417264851098</v>
      </c>
      <c r="C23" s="140">
        <v>606.89045119861169</v>
      </c>
      <c r="D23" s="140">
        <v>711.98046581262781</v>
      </c>
      <c r="E23" s="140">
        <v>790.40107012096826</v>
      </c>
      <c r="F23" s="140">
        <v>828.80084838070388</v>
      </c>
      <c r="G23" s="140">
        <v>867.6410550073474</v>
      </c>
      <c r="H23" s="140">
        <v>911.3230532341679</v>
      </c>
      <c r="I23" s="140">
        <v>951.9611230712876</v>
      </c>
      <c r="J23" s="140">
        <v>975.32764106525769</v>
      </c>
      <c r="K23" s="140">
        <v>1016.7794571075299</v>
      </c>
      <c r="L23" s="140">
        <v>1080.8757025063655</v>
      </c>
      <c r="M23" s="140">
        <v>1251.1494800693806</v>
      </c>
      <c r="N23" s="140">
        <v>1525.3279695257352</v>
      </c>
      <c r="O23" s="140">
        <v>1956.5400233679179</v>
      </c>
      <c r="P23" s="140">
        <v>2425.2307079915545</v>
      </c>
      <c r="Q23" s="140">
        <v>2746.8921313187343</v>
      </c>
      <c r="R23" s="140">
        <v>3017.0789274993367</v>
      </c>
      <c r="S23" s="140">
        <v>3261.1698163153874</v>
      </c>
      <c r="T23" s="140">
        <v>3524.6608882439368</v>
      </c>
      <c r="U23" s="140">
        <v>3679.7709518000265</v>
      </c>
      <c r="V23" s="140">
        <v>3671.658546266744</v>
      </c>
      <c r="W23" s="140">
        <v>3356.8056154978217</v>
      </c>
      <c r="X23" s="140">
        <v>2907.0257215655288</v>
      </c>
      <c r="Y23" s="140">
        <v>2516.6399528571428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265</v>
      </c>
    </row>
    <row r="25" spans="1:105" ht="12" customHeight="1" x14ac:dyDescent="0.25">
      <c r="A25" s="131" t="s">
        <v>162</v>
      </c>
      <c r="B25" s="140">
        <v>4206.7020394769334</v>
      </c>
      <c r="C25" s="140">
        <v>4359.0839312842891</v>
      </c>
      <c r="D25" s="140">
        <v>4484.8131301009807</v>
      </c>
      <c r="E25" s="140">
        <v>4624.4970636121916</v>
      </c>
      <c r="F25" s="140">
        <v>4821.2154194382747</v>
      </c>
      <c r="G25" s="140">
        <v>5090.5713110515353</v>
      </c>
      <c r="H25" s="140">
        <v>5381.4096317338699</v>
      </c>
      <c r="I25" s="140">
        <v>5675.0838046976851</v>
      </c>
      <c r="J25" s="140">
        <v>5847.2998113538324</v>
      </c>
      <c r="K25" s="140">
        <v>6004.1289745529557</v>
      </c>
      <c r="L25" s="140">
        <v>6068.6837005247426</v>
      </c>
      <c r="M25" s="140">
        <v>6088.3667610654211</v>
      </c>
      <c r="N25" s="140">
        <v>6069.7450156258519</v>
      </c>
      <c r="O25" s="140">
        <v>6026.0604396101071</v>
      </c>
      <c r="P25" s="140">
        <v>5957.4124984904556</v>
      </c>
      <c r="Q25" s="140">
        <v>5879.1380612846633</v>
      </c>
      <c r="R25" s="140">
        <v>5837.1390236694915</v>
      </c>
      <c r="S25" s="140">
        <v>5767.8436126466549</v>
      </c>
      <c r="T25" s="140">
        <v>5637.9726307341043</v>
      </c>
      <c r="U25" s="140">
        <v>5469.6345657921956</v>
      </c>
      <c r="V25" s="140">
        <v>5510.994081148946</v>
      </c>
      <c r="W25" s="140">
        <v>5482.3175738122545</v>
      </c>
      <c r="X25" s="140">
        <v>5667.0498973493077</v>
      </c>
      <c r="Y25" s="140">
        <v>5879.9027696960075</v>
      </c>
      <c r="DA25" s="170" t="s">
        <v>266</v>
      </c>
    </row>
    <row r="26" spans="1:105" ht="12" customHeight="1" x14ac:dyDescent="0.25">
      <c r="A26" s="131" t="s">
        <v>24</v>
      </c>
      <c r="B26" s="141">
        <v>5940.6354351879099</v>
      </c>
      <c r="C26" s="141">
        <v>6102.5278551459451</v>
      </c>
      <c r="D26" s="141">
        <v>6630.9136171537402</v>
      </c>
      <c r="E26" s="141">
        <v>7246.3994071594179</v>
      </c>
      <c r="F26" s="141">
        <v>7627.9488118671443</v>
      </c>
      <c r="G26" s="141">
        <v>8191.1001297151088</v>
      </c>
      <c r="H26" s="141">
        <v>8819.761759043251</v>
      </c>
      <c r="I26" s="141">
        <v>9050.8257215888589</v>
      </c>
      <c r="J26" s="141">
        <v>8550.5088493281892</v>
      </c>
      <c r="K26" s="141">
        <v>8184.8545331571713</v>
      </c>
      <c r="L26" s="141">
        <v>8128.4506109664608</v>
      </c>
      <c r="M26" s="141">
        <v>8396.0255431671085</v>
      </c>
      <c r="N26" s="141">
        <v>8427.5554266832078</v>
      </c>
      <c r="O26" s="141">
        <v>8137.9379693903466</v>
      </c>
      <c r="P26" s="141">
        <v>7957.0532875312974</v>
      </c>
      <c r="Q26" s="141">
        <v>8143.9441531298762</v>
      </c>
      <c r="R26" s="141">
        <v>8144.6970949466186</v>
      </c>
      <c r="S26" s="141">
        <v>8339.6384369794177</v>
      </c>
      <c r="T26" s="141">
        <v>8512.0945061667626</v>
      </c>
      <c r="U26" s="141">
        <v>8827.575322738423</v>
      </c>
      <c r="V26" s="141">
        <v>9012.3552317720951</v>
      </c>
      <c r="W26" s="141">
        <v>9528.9505826002332</v>
      </c>
      <c r="X26" s="141">
        <v>9897.8127430702098</v>
      </c>
      <c r="Y26" s="141">
        <v>10144.187501518993</v>
      </c>
      <c r="DA26" s="171" t="s">
        <v>267</v>
      </c>
    </row>
    <row r="27" spans="1:105" ht="12" customHeight="1" x14ac:dyDescent="0.25">
      <c r="A27" s="144" t="s">
        <v>26</v>
      </c>
      <c r="B27" s="150">
        <v>0</v>
      </c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12898.90585148086</v>
      </c>
      <c r="C29" s="139">
        <f t="shared" si="13"/>
        <v>13343.510041058456</v>
      </c>
      <c r="D29" s="139">
        <f t="shared" si="13"/>
        <v>13820.440223099004</v>
      </c>
      <c r="E29" s="139">
        <f t="shared" si="13"/>
        <v>14346.233302105395</v>
      </c>
      <c r="F29" s="139">
        <f t="shared" si="13"/>
        <v>14723.184232768555</v>
      </c>
      <c r="G29" s="139">
        <f t="shared" si="13"/>
        <v>15456.794435126711</v>
      </c>
      <c r="H29" s="139">
        <f t="shared" si="13"/>
        <v>16361.159342903691</v>
      </c>
      <c r="I29" s="139">
        <f t="shared" si="13"/>
        <v>16906.668653433826</v>
      </c>
      <c r="J29" s="139">
        <f t="shared" si="13"/>
        <v>16586.946820310011</v>
      </c>
      <c r="K29" s="139">
        <f t="shared" si="13"/>
        <v>16397.520237962592</v>
      </c>
      <c r="L29" s="139">
        <f t="shared" si="13"/>
        <v>16445.233714106555</v>
      </c>
      <c r="M29" s="139">
        <f t="shared" si="13"/>
        <v>16877.155969264109</v>
      </c>
      <c r="N29" s="139">
        <f t="shared" si="13"/>
        <v>17145.476844967616</v>
      </c>
      <c r="O29" s="139">
        <f t="shared" si="13"/>
        <v>17225.773692538958</v>
      </c>
      <c r="P29" s="139">
        <f t="shared" si="13"/>
        <v>17418.193143585755</v>
      </c>
      <c r="Q29" s="139">
        <f t="shared" si="13"/>
        <v>17806.585081906956</v>
      </c>
      <c r="R29" s="139">
        <f t="shared" ref="R29:W29" si="14">SUM(R30:R33)</f>
        <v>17982.194583095032</v>
      </c>
      <c r="S29" s="139">
        <f t="shared" si="14"/>
        <v>18286.833448233239</v>
      </c>
      <c r="T29" s="139">
        <f t="shared" si="14"/>
        <v>18523.242572569936</v>
      </c>
      <c r="U29" s="139">
        <f t="shared" si="14"/>
        <v>18712.403646947041</v>
      </c>
      <c r="V29" s="139">
        <f t="shared" si="14"/>
        <v>18888.88444444444</v>
      </c>
      <c r="W29" s="139">
        <f t="shared" si="14"/>
        <v>19049.917038224798</v>
      </c>
      <c r="X29" s="139">
        <f t="shared" ref="X29:Y29" si="15">SUM(X30:X33)</f>
        <v>19198.988058592848</v>
      </c>
      <c r="Y29" s="139">
        <f t="shared" si="15"/>
        <v>19335.543778754254</v>
      </c>
      <c r="DA29" s="169" t="s">
        <v>269</v>
      </c>
    </row>
    <row r="30" spans="1:105" ht="12" customHeight="1" x14ac:dyDescent="0.25">
      <c r="A30" s="131" t="s">
        <v>52</v>
      </c>
      <c r="B30" s="140">
        <v>0</v>
      </c>
      <c r="C30" s="140">
        <v>0</v>
      </c>
      <c r="D30" s="140">
        <v>0</v>
      </c>
      <c r="E30" s="140">
        <v>0</v>
      </c>
      <c r="F30" s="140">
        <v>288.4649524493953</v>
      </c>
      <c r="G30" s="140">
        <v>369.25508644179183</v>
      </c>
      <c r="H30" s="140">
        <v>411.12990098154376</v>
      </c>
      <c r="I30" s="140">
        <v>407.60523443091284</v>
      </c>
      <c r="J30" s="140">
        <v>398.00783341580336</v>
      </c>
      <c r="K30" s="140">
        <v>385.47896891619808</v>
      </c>
      <c r="L30" s="140">
        <v>376.57842658647331</v>
      </c>
      <c r="M30" s="140">
        <v>372.3503760843484</v>
      </c>
      <c r="N30" s="140">
        <v>372.87565131837073</v>
      </c>
      <c r="O30" s="140">
        <v>372.08132922192112</v>
      </c>
      <c r="P30" s="140">
        <v>412.30814416493376</v>
      </c>
      <c r="Q30" s="140">
        <v>527.65192028318995</v>
      </c>
      <c r="R30" s="140">
        <v>681.49984106610293</v>
      </c>
      <c r="S30" s="140">
        <v>693.54262549972441</v>
      </c>
      <c r="T30" s="140">
        <v>739.27503377173537</v>
      </c>
      <c r="U30" s="140">
        <v>714.04116876754006</v>
      </c>
      <c r="V30" s="140">
        <v>650.44813660064858</v>
      </c>
      <c r="W30" s="140">
        <v>751.35040057520303</v>
      </c>
      <c r="X30" s="140">
        <v>736.97868651886824</v>
      </c>
      <c r="Y30" s="140">
        <v>942.45349975984595</v>
      </c>
      <c r="DA30" s="170" t="s">
        <v>270</v>
      </c>
    </row>
    <row r="31" spans="1:105" ht="12" customHeight="1" x14ac:dyDescent="0.25">
      <c r="A31" s="131" t="s">
        <v>149</v>
      </c>
      <c r="B31" s="140">
        <v>655.71876127482835</v>
      </c>
      <c r="C31" s="140">
        <v>1148.8268056961597</v>
      </c>
      <c r="D31" s="140">
        <v>1520.5692943625581</v>
      </c>
      <c r="E31" s="140">
        <v>1702.7939841138893</v>
      </c>
      <c r="F31" s="140">
        <v>1737.6535720692939</v>
      </c>
      <c r="G31" s="140">
        <v>1703.3601371177147</v>
      </c>
      <c r="H31" s="140">
        <v>1671.4913740172169</v>
      </c>
      <c r="I31" s="140">
        <v>1613.5431754752433</v>
      </c>
      <c r="J31" s="140">
        <v>1530.0781595585718</v>
      </c>
      <c r="K31" s="140">
        <v>1436.9823321417716</v>
      </c>
      <c r="L31" s="140">
        <v>1419.9061192310985</v>
      </c>
      <c r="M31" s="140">
        <v>1436.5907869643124</v>
      </c>
      <c r="N31" s="140">
        <v>1487.2048219254593</v>
      </c>
      <c r="O31" s="140">
        <v>1512.8479520798746</v>
      </c>
      <c r="P31" s="140">
        <v>1606.1245362743173</v>
      </c>
      <c r="Q31" s="140">
        <v>1752.0540782892742</v>
      </c>
      <c r="R31" s="140">
        <v>2035.2456057516797</v>
      </c>
      <c r="S31" s="140">
        <v>2233.3030556038125</v>
      </c>
      <c r="T31" s="140">
        <v>2486.5986185065467</v>
      </c>
      <c r="U31" s="140">
        <v>2539.6928678625432</v>
      </c>
      <c r="V31" s="140">
        <v>2515.1308068651115</v>
      </c>
      <c r="W31" s="140">
        <v>2382.5355641423816</v>
      </c>
      <c r="X31" s="140">
        <v>2083.9697450746789</v>
      </c>
      <c r="Y31" s="140">
        <v>1853.360924321094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12243.187090206033</v>
      </c>
      <c r="C33" s="152">
        <v>12194.683235362296</v>
      </c>
      <c r="D33" s="152">
        <v>12299.870928736445</v>
      </c>
      <c r="E33" s="152">
        <v>12643.439317991506</v>
      </c>
      <c r="F33" s="152">
        <v>12697.065708249866</v>
      </c>
      <c r="G33" s="152">
        <v>13384.179211567205</v>
      </c>
      <c r="H33" s="152">
        <v>14278.53806790493</v>
      </c>
      <c r="I33" s="152">
        <v>14885.52024352767</v>
      </c>
      <c r="J33" s="152">
        <v>14658.860827335637</v>
      </c>
      <c r="K33" s="152">
        <v>14575.058936904621</v>
      </c>
      <c r="L33" s="152">
        <v>14648.749168288983</v>
      </c>
      <c r="M33" s="152">
        <v>15068.21480621545</v>
      </c>
      <c r="N33" s="152">
        <v>15285.396371723786</v>
      </c>
      <c r="O33" s="152">
        <v>15340.844411237164</v>
      </c>
      <c r="P33" s="152">
        <v>15399.760463146504</v>
      </c>
      <c r="Q33" s="152">
        <v>15526.879083334492</v>
      </c>
      <c r="R33" s="152">
        <v>15265.449136277248</v>
      </c>
      <c r="S33" s="152">
        <v>15359.987767129704</v>
      </c>
      <c r="T33" s="152">
        <v>15297.368920291652</v>
      </c>
      <c r="U33" s="152">
        <v>15458.669610316958</v>
      </c>
      <c r="V33" s="152">
        <v>15723.305500978682</v>
      </c>
      <c r="W33" s="152">
        <v>15916.031073507214</v>
      </c>
      <c r="X33" s="152">
        <v>16378.0396269993</v>
      </c>
      <c r="Y33" s="152">
        <v>16539.729354673313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240.82634670882541</v>
      </c>
      <c r="C3" s="125">
        <f t="shared" si="0"/>
        <v>244.8917138671836</v>
      </c>
      <c r="D3" s="125">
        <f t="shared" si="0"/>
        <v>244.11492235143999</v>
      </c>
      <c r="E3" s="125">
        <f t="shared" si="0"/>
        <v>279.85015664381302</v>
      </c>
      <c r="F3" s="125">
        <f t="shared" si="0"/>
        <v>316.72156752457823</v>
      </c>
      <c r="G3" s="125">
        <f t="shared" si="0"/>
        <v>322.38660783497346</v>
      </c>
      <c r="H3" s="125">
        <f t="shared" si="0"/>
        <v>323.2274623049791</v>
      </c>
      <c r="I3" s="125">
        <f t="shared" si="0"/>
        <v>331.90161814352365</v>
      </c>
      <c r="J3" s="125">
        <f t="shared" si="0"/>
        <v>355.06761735943832</v>
      </c>
      <c r="K3" s="125">
        <f t="shared" si="0"/>
        <v>338.07823084536449</v>
      </c>
      <c r="L3" s="125">
        <f t="shared" si="0"/>
        <v>340.06140851164344</v>
      </c>
      <c r="M3" s="125">
        <f t="shared" si="0"/>
        <v>316.42309729508645</v>
      </c>
      <c r="N3" s="125">
        <f t="shared" si="0"/>
        <v>335.87323891787509</v>
      </c>
      <c r="O3" s="125">
        <f t="shared" si="0"/>
        <v>327.332160920202</v>
      </c>
      <c r="P3" s="125">
        <f t="shared" si="0"/>
        <v>362.9041741662702</v>
      </c>
      <c r="Q3" s="125">
        <f t="shared" si="0"/>
        <v>367.55680048156137</v>
      </c>
      <c r="R3" s="125">
        <f t="shared" ref="R3:W3" si="1">SUM(R4,R16,R19,R29)</f>
        <v>399.01669527069498</v>
      </c>
      <c r="S3" s="125">
        <f t="shared" si="1"/>
        <v>367.21371098253462</v>
      </c>
      <c r="T3" s="125">
        <f t="shared" si="1"/>
        <v>390.67291941474696</v>
      </c>
      <c r="U3" s="125">
        <f t="shared" si="1"/>
        <v>363.99370042624321</v>
      </c>
      <c r="V3" s="125">
        <f t="shared" si="1"/>
        <v>370.73677890380964</v>
      </c>
      <c r="W3" s="125">
        <f t="shared" si="1"/>
        <v>406.84509490027108</v>
      </c>
      <c r="X3" s="125">
        <f t="shared" ref="X3:Y3" si="2">SUM(X4,X16,X19,X29)</f>
        <v>352.49021210916129</v>
      </c>
      <c r="Y3" s="125">
        <f t="shared" si="2"/>
        <v>324.93229308833367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180.68323939006248</v>
      </c>
      <c r="C4" s="130">
        <f t="shared" si="3"/>
        <v>182.85886568135024</v>
      </c>
      <c r="D4" s="130">
        <f t="shared" si="3"/>
        <v>181.29013182366012</v>
      </c>
      <c r="E4" s="130">
        <f t="shared" si="3"/>
        <v>214.77860697272925</v>
      </c>
      <c r="F4" s="130">
        <f t="shared" si="3"/>
        <v>251.38976326598316</v>
      </c>
      <c r="G4" s="130">
        <f t="shared" si="3"/>
        <v>253.1475788919241</v>
      </c>
      <c r="H4" s="130">
        <f t="shared" si="3"/>
        <v>252.02625908550544</v>
      </c>
      <c r="I4" s="130">
        <f t="shared" si="3"/>
        <v>260.29155266528909</v>
      </c>
      <c r="J4" s="130">
        <f t="shared" si="3"/>
        <v>283.0237527454226</v>
      </c>
      <c r="K4" s="130">
        <f t="shared" si="3"/>
        <v>265.5450209399549</v>
      </c>
      <c r="L4" s="130">
        <f t="shared" si="3"/>
        <v>266.89126174225686</v>
      </c>
      <c r="M4" s="130">
        <f t="shared" si="3"/>
        <v>240.49241574811847</v>
      </c>
      <c r="N4" s="130">
        <f t="shared" si="3"/>
        <v>259.53267098850074</v>
      </c>
      <c r="O4" s="130">
        <f t="shared" si="3"/>
        <v>250.01135980909967</v>
      </c>
      <c r="P4" s="130">
        <f t="shared" si="3"/>
        <v>285.43075138753335</v>
      </c>
      <c r="Q4" s="130">
        <f t="shared" si="3"/>
        <v>288.6624149374494</v>
      </c>
      <c r="R4" s="130">
        <f t="shared" ref="R4:W4" si="4">SUM(R5:R15)</f>
        <v>320.2270347807617</v>
      </c>
      <c r="S4" s="130">
        <f t="shared" si="4"/>
        <v>287.18222007574497</v>
      </c>
      <c r="T4" s="130">
        <f t="shared" si="4"/>
        <v>310.83949164205001</v>
      </c>
      <c r="U4" s="130">
        <f t="shared" si="4"/>
        <v>283.18714682922575</v>
      </c>
      <c r="V4" s="130">
        <f t="shared" si="4"/>
        <v>294.49542930336429</v>
      </c>
      <c r="W4" s="130">
        <f t="shared" si="4"/>
        <v>323.67056706536869</v>
      </c>
      <c r="X4" s="130">
        <f t="shared" ref="X4:Y4" si="5">SUM(X5:X15)</f>
        <v>265.17225761337795</v>
      </c>
      <c r="Y4" s="130">
        <f t="shared" si="5"/>
        <v>228.96788109431054</v>
      </c>
      <c r="DA4" s="155" t="s">
        <v>214</v>
      </c>
    </row>
    <row r="5" spans="1:105" ht="12" customHeight="1" x14ac:dyDescent="0.25">
      <c r="A5" s="131" t="s">
        <v>29</v>
      </c>
      <c r="B5" s="132">
        <v>5.5365434221840077</v>
      </c>
      <c r="C5" s="132">
        <v>6.8846947549441104</v>
      </c>
      <c r="D5" s="132">
        <v>5.985640584694754</v>
      </c>
      <c r="E5" s="132">
        <v>6.3698194325021511</v>
      </c>
      <c r="F5" s="132">
        <v>6.2254514187446262</v>
      </c>
      <c r="G5" s="132">
        <v>7.3104901117798775</v>
      </c>
      <c r="H5" s="132">
        <v>4.4913155631986248</v>
      </c>
      <c r="I5" s="132">
        <v>4.9223559759243312</v>
      </c>
      <c r="J5" s="132">
        <v>3.3587274290627653</v>
      </c>
      <c r="K5" s="132">
        <v>2.7104041272570929</v>
      </c>
      <c r="L5" s="132">
        <v>2.3282029234737753</v>
      </c>
      <c r="M5" s="132">
        <v>1.6836629406706793</v>
      </c>
      <c r="N5" s="132">
        <v>2.0276010318142736</v>
      </c>
      <c r="O5" s="132">
        <v>3.3198624247635431</v>
      </c>
      <c r="P5" s="132">
        <v>2.0232158211521925</v>
      </c>
      <c r="Q5" s="132">
        <v>1.7260533104041278</v>
      </c>
      <c r="R5" s="132">
        <v>2.2128976784178858</v>
      </c>
      <c r="S5" s="132">
        <v>1.0000000000000002</v>
      </c>
      <c r="T5" s="132">
        <v>1.0509028374892517</v>
      </c>
      <c r="U5" s="132">
        <v>0.95907136715391283</v>
      </c>
      <c r="V5" s="132">
        <v>1.0305245055889944</v>
      </c>
      <c r="W5" s="132">
        <v>1.0126397248495267</v>
      </c>
      <c r="X5" s="132">
        <v>0.98693035253654382</v>
      </c>
      <c r="Y5" s="132">
        <v>0.47652622527944977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46.461764139587508</v>
      </c>
      <c r="C7" s="132">
        <v>58.153982144325639</v>
      </c>
      <c r="D7" s="132">
        <v>38.776434022536954</v>
      </c>
      <c r="E7" s="132">
        <v>35.916925336603825</v>
      </c>
      <c r="F7" s="132">
        <v>36.541676608578008</v>
      </c>
      <c r="G7" s="132">
        <v>42.072604850473439</v>
      </c>
      <c r="H7" s="132">
        <v>32.216395637839518</v>
      </c>
      <c r="I7" s="132">
        <v>34.668062574379057</v>
      </c>
      <c r="J7" s="132">
        <v>33.689436366232734</v>
      </c>
      <c r="K7" s="132">
        <v>31.11371789543659</v>
      </c>
      <c r="L7" s="132">
        <v>25.996765113086614</v>
      </c>
      <c r="M7" s="132">
        <v>39.453507486120806</v>
      </c>
      <c r="N7" s="132">
        <v>40.413007595276198</v>
      </c>
      <c r="O7" s="132">
        <v>36.794904183548589</v>
      </c>
      <c r="P7" s="132">
        <v>27.717558644905356</v>
      </c>
      <c r="Q7" s="132">
        <v>30.809721940750734</v>
      </c>
      <c r="R7" s="132">
        <v>22.810395280704473</v>
      </c>
      <c r="S7" s="132">
        <v>25.582726516164836</v>
      </c>
      <c r="T7" s="132">
        <v>25.205864950757913</v>
      </c>
      <c r="U7" s="132">
        <v>17.817333858065208</v>
      </c>
      <c r="V7" s="132">
        <v>18.165059763768948</v>
      </c>
      <c r="W7" s="132">
        <v>19.453574540416724</v>
      </c>
      <c r="X7" s="132">
        <v>20.722939484025883</v>
      </c>
      <c r="Y7" s="132">
        <v>24.306546467475052</v>
      </c>
      <c r="DA7" s="156" t="s">
        <v>277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278</v>
      </c>
    </row>
    <row r="9" spans="1:105" ht="12" customHeight="1" x14ac:dyDescent="0.25">
      <c r="A9" s="131" t="s">
        <v>78</v>
      </c>
      <c r="B9" s="132">
        <v>8.7179501431803175</v>
      </c>
      <c r="C9" s="132">
        <v>16.990608904213818</v>
      </c>
      <c r="D9" s="132">
        <v>20.525314031660983</v>
      </c>
      <c r="E9" s="132">
        <v>57.087221513152443</v>
      </c>
      <c r="F9" s="132">
        <v>51.483569295176721</v>
      </c>
      <c r="G9" s="132">
        <v>39.724568265194463</v>
      </c>
      <c r="H9" s="132">
        <v>42.926505597389948</v>
      </c>
      <c r="I9" s="132">
        <v>38.11967823857978</v>
      </c>
      <c r="J9" s="132">
        <v>28.00280116551982</v>
      </c>
      <c r="K9" s="132">
        <v>21.694825151501973</v>
      </c>
      <c r="L9" s="132">
        <v>24.012668129792338</v>
      </c>
      <c r="M9" s="132">
        <v>24.759980053807563</v>
      </c>
      <c r="N9" s="132">
        <v>27.875287161655109</v>
      </c>
      <c r="O9" s="132">
        <v>36.546836582920491</v>
      </c>
      <c r="P9" s="132">
        <v>58.096005202531948</v>
      </c>
      <c r="Q9" s="132">
        <v>61.229227894952466</v>
      </c>
      <c r="R9" s="132">
        <v>72.633142779220975</v>
      </c>
      <c r="S9" s="132">
        <v>60.932915667200724</v>
      </c>
      <c r="T9" s="132">
        <v>64.314790360972481</v>
      </c>
      <c r="U9" s="132">
        <v>59.685208927541858</v>
      </c>
      <c r="V9" s="132">
        <v>61.229075859852827</v>
      </c>
      <c r="W9" s="132">
        <v>66.212219468564697</v>
      </c>
      <c r="X9" s="132">
        <v>34.907254594996942</v>
      </c>
      <c r="Y9" s="132">
        <v>29.268099552650682</v>
      </c>
      <c r="DA9" s="156" t="s">
        <v>279</v>
      </c>
    </row>
    <row r="10" spans="1:105" ht="12" customHeight="1" x14ac:dyDescent="0.25">
      <c r="A10" s="131" t="s">
        <v>128</v>
      </c>
      <c r="B10" s="132">
        <v>8.7417884780739463</v>
      </c>
      <c r="C10" s="132">
        <v>12.611092003439378</v>
      </c>
      <c r="D10" s="132">
        <v>12.348323301805669</v>
      </c>
      <c r="E10" s="132">
        <v>13.017110920034389</v>
      </c>
      <c r="F10" s="132">
        <v>24.983319002579524</v>
      </c>
      <c r="G10" s="132">
        <v>16.456491831470331</v>
      </c>
      <c r="H10" s="132">
        <v>20.015305245055888</v>
      </c>
      <c r="I10" s="132">
        <v>20.970679277730014</v>
      </c>
      <c r="J10" s="132">
        <v>21.257265692175416</v>
      </c>
      <c r="K10" s="132">
        <v>14.426311263972483</v>
      </c>
      <c r="L10" s="132">
        <v>17.364058469475491</v>
      </c>
      <c r="M10" s="132">
        <v>18.630008598452275</v>
      </c>
      <c r="N10" s="132">
        <v>11.201891659501282</v>
      </c>
      <c r="O10" s="132">
        <v>10.174806534823725</v>
      </c>
      <c r="P10" s="132">
        <v>8.8850386930352521</v>
      </c>
      <c r="Q10" s="132">
        <v>9.5538263112639719</v>
      </c>
      <c r="R10" s="132">
        <v>8.837317282889078</v>
      </c>
      <c r="S10" s="132">
        <v>10.031556319862416</v>
      </c>
      <c r="T10" s="132">
        <v>9.0999999999999979</v>
      </c>
      <c r="U10" s="132">
        <v>10.986930352536532</v>
      </c>
      <c r="V10" s="132">
        <v>13.397850386930349</v>
      </c>
      <c r="W10" s="132">
        <v>12.181169389509886</v>
      </c>
      <c r="X10" s="132">
        <v>11.942304385210656</v>
      </c>
      <c r="Y10" s="132">
        <v>6.564488392089423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281</v>
      </c>
    </row>
    <row r="12" spans="1:105" ht="12" customHeight="1" x14ac:dyDescent="0.25">
      <c r="A12" s="131" t="s">
        <v>162</v>
      </c>
      <c r="B12" s="132">
        <v>81.785211763901188</v>
      </c>
      <c r="C12" s="132">
        <v>54.94229126047113</v>
      </c>
      <c r="D12" s="132">
        <v>65.499110275133276</v>
      </c>
      <c r="E12" s="132">
        <v>64.566017616397872</v>
      </c>
      <c r="F12" s="132">
        <v>83.550796568201847</v>
      </c>
      <c r="G12" s="132">
        <v>98.630662952858302</v>
      </c>
      <c r="H12" s="132">
        <v>90.648160731567103</v>
      </c>
      <c r="I12" s="132">
        <v>88.75363307219871</v>
      </c>
      <c r="J12" s="132">
        <v>108.77249083871513</v>
      </c>
      <c r="K12" s="132">
        <v>108.24152696345736</v>
      </c>
      <c r="L12" s="132">
        <v>118.004706397935</v>
      </c>
      <c r="M12" s="132">
        <v>92.062341621633962</v>
      </c>
      <c r="N12" s="132">
        <v>102.42163688412714</v>
      </c>
      <c r="O12" s="132">
        <v>91.18838428894631</v>
      </c>
      <c r="P12" s="132">
        <v>96.95727481126994</v>
      </c>
      <c r="Q12" s="132">
        <v>97.506571400733492</v>
      </c>
      <c r="R12" s="132">
        <v>110.43813761879943</v>
      </c>
      <c r="S12" s="132">
        <v>108.62870599836749</v>
      </c>
      <c r="T12" s="132">
        <v>111.6235917802079</v>
      </c>
      <c r="U12" s="132">
        <v>92.752183614603624</v>
      </c>
      <c r="V12" s="132">
        <v>101.13418608934646</v>
      </c>
      <c r="W12" s="132">
        <v>106.48145711941061</v>
      </c>
      <c r="X12" s="132">
        <v>110.20675599998307</v>
      </c>
      <c r="Y12" s="132">
        <v>114.62062690222695</v>
      </c>
      <c r="DA12" s="156" t="s">
        <v>282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283</v>
      </c>
    </row>
    <row r="14" spans="1:105" ht="12" customHeight="1" x14ac:dyDescent="0.25">
      <c r="A14" s="60" t="s">
        <v>76</v>
      </c>
      <c r="B14" s="65">
        <v>28.584648382395873</v>
      </c>
      <c r="C14" s="65">
        <v>32.327444838599042</v>
      </c>
      <c r="D14" s="65">
        <v>37.313709721485608</v>
      </c>
      <c r="E14" s="65">
        <v>36.661267771102018</v>
      </c>
      <c r="F14" s="65">
        <v>47.391047358089303</v>
      </c>
      <c r="G14" s="65">
        <v>47.801368552659284</v>
      </c>
      <c r="H14" s="65">
        <v>60.664150852796375</v>
      </c>
      <c r="I14" s="65">
        <v>71.825875030240709</v>
      </c>
      <c r="J14" s="65">
        <v>86.957825957299931</v>
      </c>
      <c r="K14" s="65">
        <v>86.485457900035357</v>
      </c>
      <c r="L14" s="65">
        <v>78.288915405406968</v>
      </c>
      <c r="M14" s="65">
        <v>62.957800222069025</v>
      </c>
      <c r="N14" s="65">
        <v>74.594603348005379</v>
      </c>
      <c r="O14" s="65">
        <v>70.95967105844214</v>
      </c>
      <c r="P14" s="65">
        <v>90.591693405125582</v>
      </c>
      <c r="Q14" s="65">
        <v>86.606842556749882</v>
      </c>
      <c r="R14" s="65">
        <v>101.96893966721491</v>
      </c>
      <c r="S14" s="65">
        <v>79.763070235103299</v>
      </c>
      <c r="T14" s="65">
        <v>98.247271384130258</v>
      </c>
      <c r="U14" s="65">
        <v>99.845898205398129</v>
      </c>
      <c r="V14" s="65">
        <v>98.338942411403053</v>
      </c>
      <c r="W14" s="65">
        <v>117.04620377362349</v>
      </c>
      <c r="X14" s="65">
        <v>85.421355308414761</v>
      </c>
      <c r="Y14" s="65">
        <v>52.768225270725111</v>
      </c>
      <c r="DA14" s="109" t="s">
        <v>284</v>
      </c>
    </row>
    <row r="15" spans="1:105" ht="12" customHeight="1" x14ac:dyDescent="0.25">
      <c r="A15" s="133" t="s">
        <v>80</v>
      </c>
      <c r="B15" s="134">
        <v>0.85533306073964588</v>
      </c>
      <c r="C15" s="134">
        <v>0.94875177535712174</v>
      </c>
      <c r="D15" s="134">
        <v>0.84159988634288241</v>
      </c>
      <c r="E15" s="134">
        <v>1.1602443829365401</v>
      </c>
      <c r="F15" s="134">
        <v>1.2139030146131349</v>
      </c>
      <c r="G15" s="134">
        <v>1.1513923274884084</v>
      </c>
      <c r="H15" s="134">
        <v>1.0644254576579741</v>
      </c>
      <c r="I15" s="134">
        <v>1.0312684962364984</v>
      </c>
      <c r="J15" s="134">
        <v>0.98520529641678189</v>
      </c>
      <c r="K15" s="134">
        <v>0.87277763829403721</v>
      </c>
      <c r="L15" s="134">
        <v>0.89594530308670017</v>
      </c>
      <c r="M15" s="134">
        <v>0.94511482536419811</v>
      </c>
      <c r="N15" s="134">
        <v>0.99864330812137792</v>
      </c>
      <c r="O15" s="134">
        <v>1.0268947356548606</v>
      </c>
      <c r="P15" s="134">
        <v>1.1599648095130832</v>
      </c>
      <c r="Q15" s="134">
        <v>1.2301715225947536</v>
      </c>
      <c r="R15" s="134">
        <v>1.3262044735149567</v>
      </c>
      <c r="S15" s="134">
        <v>1.2432453390461491</v>
      </c>
      <c r="T15" s="134">
        <v>1.2970703284922445</v>
      </c>
      <c r="U15" s="134">
        <v>1.1405205039264721</v>
      </c>
      <c r="V15" s="134">
        <v>1.1997902864736547</v>
      </c>
      <c r="W15" s="134">
        <v>1.2833030489937141</v>
      </c>
      <c r="X15" s="134">
        <v>0.98471748821009553</v>
      </c>
      <c r="Y15" s="134">
        <v>0.9633682838638804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0.35392190642045068</v>
      </c>
      <c r="C16" s="130">
        <f t="shared" si="6"/>
        <v>0.37383742865245484</v>
      </c>
      <c r="D16" s="130">
        <f t="shared" si="6"/>
        <v>0.39344593443916542</v>
      </c>
      <c r="E16" s="130">
        <f t="shared" si="6"/>
        <v>0.42746777660865848</v>
      </c>
      <c r="F16" s="130">
        <f t="shared" si="6"/>
        <v>0.41504957647136798</v>
      </c>
      <c r="G16" s="130">
        <f t="shared" si="6"/>
        <v>0.44458353246845633</v>
      </c>
      <c r="H16" s="130">
        <f t="shared" si="6"/>
        <v>0.49501059454510543</v>
      </c>
      <c r="I16" s="130">
        <f t="shared" si="6"/>
        <v>0.50864150294144406</v>
      </c>
      <c r="J16" s="130">
        <f t="shared" si="6"/>
        <v>0.51294337792830369</v>
      </c>
      <c r="K16" s="130">
        <f t="shared" si="6"/>
        <v>0.52135881997333189</v>
      </c>
      <c r="L16" s="130">
        <f t="shared" si="6"/>
        <v>0.61924304295503296</v>
      </c>
      <c r="M16" s="130">
        <f t="shared" si="6"/>
        <v>0.58183046032853547</v>
      </c>
      <c r="N16" s="130">
        <f t="shared" si="6"/>
        <v>0.56435322818434575</v>
      </c>
      <c r="O16" s="130">
        <f t="shared" si="6"/>
        <v>0.56269712715568054</v>
      </c>
      <c r="P16" s="130">
        <f t="shared" si="6"/>
        <v>0.57561665970672482</v>
      </c>
      <c r="Q16" s="130">
        <f t="shared" si="6"/>
        <v>0.56948325146916301</v>
      </c>
      <c r="R16" s="130">
        <f t="shared" ref="R16:W16" si="7">SUM(R17:R18)</f>
        <v>0.57178779653112921</v>
      </c>
      <c r="S16" s="130">
        <f t="shared" si="7"/>
        <v>0.57663027702149505</v>
      </c>
      <c r="T16" s="130">
        <f t="shared" si="7"/>
        <v>0.63364280983411125</v>
      </c>
      <c r="U16" s="130">
        <f t="shared" si="7"/>
        <v>0.60199606865169919</v>
      </c>
      <c r="V16" s="130">
        <f t="shared" si="7"/>
        <v>0.58029017891838275</v>
      </c>
      <c r="W16" s="130">
        <f t="shared" si="7"/>
        <v>0.65304250355150639</v>
      </c>
      <c r="X16" s="130">
        <f t="shared" ref="X16:Y16" si="8">SUM(X17:X18)</f>
        <v>0.64066516878827029</v>
      </c>
      <c r="Y16" s="130">
        <f t="shared" si="8"/>
        <v>0.62928939933920236</v>
      </c>
      <c r="DA16" s="155" t="s">
        <v>215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286</v>
      </c>
    </row>
    <row r="18" spans="1:105" ht="12" customHeight="1" x14ac:dyDescent="0.25">
      <c r="A18" s="131" t="s">
        <v>72</v>
      </c>
      <c r="B18" s="132">
        <v>0.35392190642045068</v>
      </c>
      <c r="C18" s="132">
        <v>0.37383742865245484</v>
      </c>
      <c r="D18" s="132">
        <v>0.39344593443916542</v>
      </c>
      <c r="E18" s="132">
        <v>0.42746777660865848</v>
      </c>
      <c r="F18" s="132">
        <v>0.41504957647136798</v>
      </c>
      <c r="G18" s="132">
        <v>0.44458353246845633</v>
      </c>
      <c r="H18" s="132">
        <v>0.49501059454510543</v>
      </c>
      <c r="I18" s="132">
        <v>0.50864150294144406</v>
      </c>
      <c r="J18" s="132">
        <v>0.51294337792830369</v>
      </c>
      <c r="K18" s="132">
        <v>0.52135881997333189</v>
      </c>
      <c r="L18" s="132">
        <v>0.61924304295503296</v>
      </c>
      <c r="M18" s="132">
        <v>0.58183046032853547</v>
      </c>
      <c r="N18" s="132">
        <v>0.56435322818434575</v>
      </c>
      <c r="O18" s="132">
        <v>0.56269712715568054</v>
      </c>
      <c r="P18" s="132">
        <v>0.57561665970672482</v>
      </c>
      <c r="Q18" s="132">
        <v>0.56948325146916301</v>
      </c>
      <c r="R18" s="132">
        <v>0.57178779653112921</v>
      </c>
      <c r="S18" s="132">
        <v>0.57663027702149505</v>
      </c>
      <c r="T18" s="132">
        <v>0.63364280983411125</v>
      </c>
      <c r="U18" s="132">
        <v>0.60199606865169919</v>
      </c>
      <c r="V18" s="132">
        <v>0.58029017891838275</v>
      </c>
      <c r="W18" s="132">
        <v>0.65304250355150639</v>
      </c>
      <c r="X18" s="132">
        <v>0.64066516878827029</v>
      </c>
      <c r="Y18" s="132">
        <v>0.62928939933920236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31.575504275201169</v>
      </c>
      <c r="C19" s="130">
        <f t="shared" si="9"/>
        <v>32.033327691966491</v>
      </c>
      <c r="D19" s="130">
        <f t="shared" si="9"/>
        <v>31.973806858420403</v>
      </c>
      <c r="E19" s="130">
        <f t="shared" si="9"/>
        <v>32.576768856836352</v>
      </c>
      <c r="F19" s="130">
        <f t="shared" si="9"/>
        <v>32.24610052886522</v>
      </c>
      <c r="G19" s="130">
        <f t="shared" si="9"/>
        <v>33.798512649808785</v>
      </c>
      <c r="H19" s="130">
        <f t="shared" si="9"/>
        <v>34.679157132240547</v>
      </c>
      <c r="I19" s="130">
        <f t="shared" si="9"/>
        <v>34.185262092533684</v>
      </c>
      <c r="J19" s="130">
        <f t="shared" si="9"/>
        <v>34.047625356501754</v>
      </c>
      <c r="K19" s="130">
        <f t="shared" si="9"/>
        <v>33.450456863594368</v>
      </c>
      <c r="L19" s="130">
        <f t="shared" si="9"/>
        <v>33.3294678036645</v>
      </c>
      <c r="M19" s="130">
        <f t="shared" si="9"/>
        <v>34.813927524740848</v>
      </c>
      <c r="N19" s="130">
        <f t="shared" si="9"/>
        <v>35.13969815769596</v>
      </c>
      <c r="O19" s="130">
        <f t="shared" si="9"/>
        <v>35.128072071616792</v>
      </c>
      <c r="P19" s="130">
        <f t="shared" si="9"/>
        <v>35.434893482618435</v>
      </c>
      <c r="Q19" s="130">
        <f t="shared" si="9"/>
        <v>36.487289386801493</v>
      </c>
      <c r="R19" s="130">
        <f t="shared" ref="R19:W19" si="10">SUM(R20:R27)</f>
        <v>35.918742809601042</v>
      </c>
      <c r="S19" s="130">
        <f t="shared" si="10"/>
        <v>36.128601871416905</v>
      </c>
      <c r="T19" s="130">
        <f t="shared" si="10"/>
        <v>36.273192905267052</v>
      </c>
      <c r="U19" s="130">
        <f t="shared" si="10"/>
        <v>36.719593105203082</v>
      </c>
      <c r="V19" s="130">
        <f t="shared" si="10"/>
        <v>35.121116225545634</v>
      </c>
      <c r="W19" s="130">
        <f t="shared" si="10"/>
        <v>37.510946591423838</v>
      </c>
      <c r="X19" s="130">
        <f t="shared" ref="X19:Y19" si="11">SUM(X20:X27)</f>
        <v>38.177754681296364</v>
      </c>
      <c r="Y19" s="130">
        <f t="shared" si="11"/>
        <v>41.193900523633658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289</v>
      </c>
    </row>
    <row r="22" spans="1:105" ht="12" customHeight="1" x14ac:dyDescent="0.25">
      <c r="A22" s="131" t="s">
        <v>161</v>
      </c>
      <c r="B22" s="132">
        <v>7.2069374941184181</v>
      </c>
      <c r="C22" s="132">
        <v>7.1111941239460617</v>
      </c>
      <c r="D22" s="132">
        <v>6.2305307238087071</v>
      </c>
      <c r="E22" s="132">
        <v>4.6559895387186181</v>
      </c>
      <c r="F22" s="132">
        <v>3.8821411042336793</v>
      </c>
      <c r="G22" s="132">
        <v>3.6973005665514895</v>
      </c>
      <c r="H22" s="132">
        <v>3.4501563827967638</v>
      </c>
      <c r="I22" s="132">
        <v>3.3190397472030577</v>
      </c>
      <c r="J22" s="132">
        <v>3.3356711144207276</v>
      </c>
      <c r="K22" s="132">
        <v>3.2041668853028504</v>
      </c>
      <c r="L22" s="132">
        <v>3.1016011809804445</v>
      </c>
      <c r="M22" s="132">
        <v>3.028779702185322</v>
      </c>
      <c r="N22" s="132">
        <v>2.9213862138381081</v>
      </c>
      <c r="O22" s="132">
        <v>2.8259040709656098</v>
      </c>
      <c r="P22" s="132">
        <v>2.7897500395314236</v>
      </c>
      <c r="Q22" s="132">
        <v>2.7288851099801272</v>
      </c>
      <c r="R22" s="132">
        <v>2.4614877803445228</v>
      </c>
      <c r="S22" s="132">
        <v>2.3795262783321798</v>
      </c>
      <c r="T22" s="132">
        <v>2.3849347053040026</v>
      </c>
      <c r="U22" s="132">
        <v>1.7047641642907554</v>
      </c>
      <c r="V22" s="132">
        <v>1.7395834004614885</v>
      </c>
      <c r="W22" s="132">
        <v>1.7159869385170772</v>
      </c>
      <c r="X22" s="132">
        <v>1.9171293035923522</v>
      </c>
      <c r="Y22" s="132">
        <v>2.2447003081053505</v>
      </c>
      <c r="DA22" s="156" t="s">
        <v>290</v>
      </c>
    </row>
    <row r="23" spans="1:105" ht="12" customHeight="1" x14ac:dyDescent="0.25">
      <c r="A23" s="131" t="s">
        <v>149</v>
      </c>
      <c r="B23" s="132">
        <v>0.89145488661603534</v>
      </c>
      <c r="C23" s="132">
        <v>1.9863577086763442</v>
      </c>
      <c r="D23" s="132">
        <v>2.0865646957701021</v>
      </c>
      <c r="E23" s="132">
        <v>2.1668300660133304</v>
      </c>
      <c r="F23" s="132">
        <v>2.1719044204548581</v>
      </c>
      <c r="G23" s="132">
        <v>2.236699778371245</v>
      </c>
      <c r="H23" s="132">
        <v>2.3128511269638348</v>
      </c>
      <c r="I23" s="132">
        <v>2.3449737770134167</v>
      </c>
      <c r="J23" s="132">
        <v>2.3586493784101954</v>
      </c>
      <c r="K23" s="132">
        <v>2.4091154728739639</v>
      </c>
      <c r="L23" s="132">
        <v>2.402107806554393</v>
      </c>
      <c r="M23" s="132">
        <v>2.9281928511850395</v>
      </c>
      <c r="N23" s="132">
        <v>3.0837406920184312</v>
      </c>
      <c r="O23" s="132">
        <v>4.2637979575597376</v>
      </c>
      <c r="P23" s="132">
        <v>5.7743242016097671</v>
      </c>
      <c r="Q23" s="132">
        <v>5.977886973686938</v>
      </c>
      <c r="R23" s="132">
        <v>6.2434899600285858</v>
      </c>
      <c r="S23" s="132">
        <v>6.6731778806293258</v>
      </c>
      <c r="T23" s="132">
        <v>7.2727387043422258</v>
      </c>
      <c r="U23" s="132">
        <v>7.7617777000530674</v>
      </c>
      <c r="V23" s="132">
        <v>7.7406189384363344</v>
      </c>
      <c r="W23" s="132">
        <v>7.2286020317275437</v>
      </c>
      <c r="X23" s="132">
        <v>6.4014568753078018</v>
      </c>
      <c r="Y23" s="132">
        <v>5.4190240800422282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292</v>
      </c>
    </row>
    <row r="25" spans="1:105" ht="12" customHeight="1" x14ac:dyDescent="0.25">
      <c r="A25" s="131" t="s">
        <v>162</v>
      </c>
      <c r="B25" s="132">
        <v>8.3552009618081797</v>
      </c>
      <c r="C25" s="132">
        <v>8.7817844059089243</v>
      </c>
      <c r="D25" s="132">
        <v>8.7103480223731644</v>
      </c>
      <c r="E25" s="132">
        <v>8.7118843612461472</v>
      </c>
      <c r="F25" s="132">
        <v>8.882565426639065</v>
      </c>
      <c r="G25" s="132">
        <v>9.4232493429284059</v>
      </c>
      <c r="H25" s="132">
        <v>9.7148659236348589</v>
      </c>
      <c r="I25" s="132">
        <v>10.080760736915678</v>
      </c>
      <c r="J25" s="132">
        <v>10.196640717604739</v>
      </c>
      <c r="K25" s="132">
        <v>10.655979485381872</v>
      </c>
      <c r="L25" s="132">
        <v>10.709309079279059</v>
      </c>
      <c r="M25" s="132">
        <v>10.856317019810477</v>
      </c>
      <c r="N25" s="132">
        <v>10.815164491625129</v>
      </c>
      <c r="O25" s="132">
        <v>10.798804017158623</v>
      </c>
      <c r="P25" s="132">
        <v>10.618907475918315</v>
      </c>
      <c r="Q25" s="132">
        <v>10.499533500384219</v>
      </c>
      <c r="R25" s="132">
        <v>10.41792429005705</v>
      </c>
      <c r="S25" s="132">
        <v>10.316521860617957</v>
      </c>
      <c r="T25" s="132">
        <v>10.187844161322579</v>
      </c>
      <c r="U25" s="132">
        <v>9.9515137198762638</v>
      </c>
      <c r="V25" s="132">
        <v>8.7349454669734961</v>
      </c>
      <c r="W25" s="132">
        <v>9.9797638608130779</v>
      </c>
      <c r="X25" s="132">
        <v>11.174757327617806</v>
      </c>
      <c r="Y25" s="132">
        <v>11.984532169140076</v>
      </c>
      <c r="DA25" s="156" t="s">
        <v>293</v>
      </c>
    </row>
    <row r="26" spans="1:105" ht="12" customHeight="1" x14ac:dyDescent="0.25">
      <c r="A26" s="131" t="s">
        <v>24</v>
      </c>
      <c r="B26" s="65">
        <v>15.121910932658535</v>
      </c>
      <c r="C26" s="65">
        <v>14.153991453435157</v>
      </c>
      <c r="D26" s="65">
        <v>14.946363416468429</v>
      </c>
      <c r="E26" s="65">
        <v>17.042064890858253</v>
      </c>
      <c r="F26" s="65">
        <v>17.309489577537619</v>
      </c>
      <c r="G26" s="65">
        <v>18.441262961957648</v>
      </c>
      <c r="H26" s="65">
        <v>19.201283698845092</v>
      </c>
      <c r="I26" s="65">
        <v>18.44048783140153</v>
      </c>
      <c r="J26" s="65">
        <v>18.156664146066088</v>
      </c>
      <c r="K26" s="65">
        <v>17.18119502003568</v>
      </c>
      <c r="L26" s="65">
        <v>17.116449736850605</v>
      </c>
      <c r="M26" s="65">
        <v>18.000637951560005</v>
      </c>
      <c r="N26" s="65">
        <v>18.319406760214289</v>
      </c>
      <c r="O26" s="65">
        <v>17.23956602593282</v>
      </c>
      <c r="P26" s="65">
        <v>16.251911765558933</v>
      </c>
      <c r="Q26" s="65">
        <v>17.280983802750207</v>
      </c>
      <c r="R26" s="65">
        <v>16.795840779170881</v>
      </c>
      <c r="S26" s="65">
        <v>16.759375851837444</v>
      </c>
      <c r="T26" s="65">
        <v>16.427675334298243</v>
      </c>
      <c r="U26" s="65">
        <v>17.301537520982997</v>
      </c>
      <c r="V26" s="65">
        <v>16.905968419674316</v>
      </c>
      <c r="W26" s="65">
        <v>18.586593760366142</v>
      </c>
      <c r="X26" s="65">
        <v>18.684411174778401</v>
      </c>
      <c r="Y26" s="65">
        <v>21.54564396634601</v>
      </c>
      <c r="DA26" s="109" t="s">
        <v>294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28.213681137141329</v>
      </c>
      <c r="C29" s="130">
        <f t="shared" si="12"/>
        <v>29.625683065214407</v>
      </c>
      <c r="D29" s="130">
        <f t="shared" si="12"/>
        <v>30.45753773492029</v>
      </c>
      <c r="E29" s="130">
        <f t="shared" si="12"/>
        <v>32.067313037638776</v>
      </c>
      <c r="F29" s="130">
        <f t="shared" si="12"/>
        <v>32.670654153258432</v>
      </c>
      <c r="G29" s="130">
        <f t="shared" si="12"/>
        <v>34.995932760772149</v>
      </c>
      <c r="H29" s="130">
        <f t="shared" si="12"/>
        <v>36.027035492688036</v>
      </c>
      <c r="I29" s="130">
        <f t="shared" si="12"/>
        <v>36.916161882759475</v>
      </c>
      <c r="J29" s="130">
        <f t="shared" si="12"/>
        <v>37.483295879585683</v>
      </c>
      <c r="K29" s="130">
        <f t="shared" si="12"/>
        <v>38.561394221841908</v>
      </c>
      <c r="L29" s="130">
        <f t="shared" si="12"/>
        <v>39.221435922767064</v>
      </c>
      <c r="M29" s="130">
        <f t="shared" si="12"/>
        <v>40.534923561898601</v>
      </c>
      <c r="N29" s="130">
        <f t="shared" si="12"/>
        <v>40.636516543493997</v>
      </c>
      <c r="O29" s="130">
        <f t="shared" si="12"/>
        <v>41.630031912329827</v>
      </c>
      <c r="P29" s="130">
        <f t="shared" si="12"/>
        <v>41.462912636411723</v>
      </c>
      <c r="Q29" s="130">
        <f t="shared" si="12"/>
        <v>41.837612905841333</v>
      </c>
      <c r="R29" s="130">
        <f t="shared" ref="R29:W29" si="13">SUM(R30:R33)</f>
        <v>42.299129883801122</v>
      </c>
      <c r="S29" s="130">
        <f t="shared" si="13"/>
        <v>43.326258758351287</v>
      </c>
      <c r="T29" s="130">
        <f t="shared" si="13"/>
        <v>42.926592057595805</v>
      </c>
      <c r="U29" s="130">
        <f t="shared" si="13"/>
        <v>43.48496442316263</v>
      </c>
      <c r="V29" s="130">
        <f t="shared" si="13"/>
        <v>40.539943195981309</v>
      </c>
      <c r="W29" s="130">
        <f t="shared" si="13"/>
        <v>45.010538739927114</v>
      </c>
      <c r="X29" s="130">
        <f t="shared" ref="X29:Y29" si="14">SUM(X30:X33)</f>
        <v>48.499534645698716</v>
      </c>
      <c r="Y29" s="130">
        <f t="shared" si="14"/>
        <v>54.141222071050272</v>
      </c>
      <c r="DA29" s="155" t="s">
        <v>217</v>
      </c>
    </row>
    <row r="30" spans="1:105" ht="12" customHeight="1" x14ac:dyDescent="0.25">
      <c r="A30" s="131" t="s">
        <v>52</v>
      </c>
      <c r="B30" s="132">
        <v>0</v>
      </c>
      <c r="C30" s="132">
        <v>0</v>
      </c>
      <c r="D30" s="132">
        <v>0</v>
      </c>
      <c r="E30" s="132">
        <v>0</v>
      </c>
      <c r="F30" s="132">
        <v>1.0867583834909724</v>
      </c>
      <c r="G30" s="132">
        <v>1.0867583834909722</v>
      </c>
      <c r="H30" s="132">
        <v>1.086758383490972</v>
      </c>
      <c r="I30" s="132">
        <v>1.0867583834909718</v>
      </c>
      <c r="J30" s="132">
        <v>1.086758383490972</v>
      </c>
      <c r="K30" s="132">
        <v>1.0867583834909718</v>
      </c>
      <c r="L30" s="132">
        <v>1.0760963026655204</v>
      </c>
      <c r="M30" s="132">
        <v>1.0760963026655208</v>
      </c>
      <c r="N30" s="132">
        <v>1.0867583834909722</v>
      </c>
      <c r="O30" s="132">
        <v>1.0867583834909722</v>
      </c>
      <c r="P30" s="132">
        <v>1.0867583834909722</v>
      </c>
      <c r="Q30" s="132">
        <v>1.086758383490972</v>
      </c>
      <c r="R30" s="132">
        <v>2.1735167669819435</v>
      </c>
      <c r="S30" s="132">
        <v>3.2602751504729151</v>
      </c>
      <c r="T30" s="132">
        <v>1.0867583834909724</v>
      </c>
      <c r="U30" s="132">
        <v>2.1735167669819426</v>
      </c>
      <c r="V30" s="132">
        <v>2.2496130696474608</v>
      </c>
      <c r="W30" s="132">
        <v>1.630094582975063</v>
      </c>
      <c r="X30" s="132">
        <v>2.1735167669819431</v>
      </c>
      <c r="Y30" s="132">
        <v>3.9546861564918272</v>
      </c>
      <c r="DA30" s="156" t="s">
        <v>296</v>
      </c>
    </row>
    <row r="31" spans="1:105" ht="12" customHeight="1" x14ac:dyDescent="0.25">
      <c r="A31" s="131" t="s">
        <v>149</v>
      </c>
      <c r="B31" s="132">
        <v>1.0526757956550679</v>
      </c>
      <c r="C31" s="132">
        <v>3.4434977035328758</v>
      </c>
      <c r="D31" s="132">
        <v>4.9031685640564406</v>
      </c>
      <c r="E31" s="132">
        <v>4.9548908112039483</v>
      </c>
      <c r="F31" s="132">
        <v>4.87849017086885</v>
      </c>
      <c r="G31" s="132">
        <v>4.8023605032958541</v>
      </c>
      <c r="H31" s="132">
        <v>4.6770663194983273</v>
      </c>
      <c r="I31" s="132">
        <v>4.6007822062468664</v>
      </c>
      <c r="J31" s="132">
        <v>4.4646887509969044</v>
      </c>
      <c r="K31" s="132">
        <v>4.060805721281838</v>
      </c>
      <c r="L31" s="132">
        <v>4.2697468495518018</v>
      </c>
      <c r="M31" s="132">
        <v>4.3601503968130642</v>
      </c>
      <c r="N31" s="132">
        <v>4.6242051643832065</v>
      </c>
      <c r="O31" s="132">
        <v>4.653681882563613</v>
      </c>
      <c r="P31" s="132">
        <v>4.6808313869158997</v>
      </c>
      <c r="Q31" s="132">
        <v>4.7905635492453911</v>
      </c>
      <c r="R31" s="132">
        <v>6.6779674327194538</v>
      </c>
      <c r="S31" s="132">
        <v>6.4897791950762063</v>
      </c>
      <c r="T31" s="132">
        <v>7.1981975039027715</v>
      </c>
      <c r="U31" s="132">
        <v>8.4779488840130082</v>
      </c>
      <c r="V31" s="132">
        <v>8.2214487958638802</v>
      </c>
      <c r="W31" s="132">
        <v>7.9473126355633426</v>
      </c>
      <c r="X31" s="132">
        <v>6.7666109716556955</v>
      </c>
      <c r="Y31" s="132">
        <v>6.728095627840168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27.161005341486259</v>
      </c>
      <c r="C33" s="68">
        <v>26.18218536168153</v>
      </c>
      <c r="D33" s="68">
        <v>25.554369170863851</v>
      </c>
      <c r="E33" s="68">
        <v>27.112422226434827</v>
      </c>
      <c r="F33" s="68">
        <v>26.705405598898611</v>
      </c>
      <c r="G33" s="68">
        <v>29.106813873985324</v>
      </c>
      <c r="H33" s="68">
        <v>30.263210789698739</v>
      </c>
      <c r="I33" s="68">
        <v>31.228621293021639</v>
      </c>
      <c r="J33" s="68">
        <v>31.93184874509781</v>
      </c>
      <c r="K33" s="68">
        <v>33.413830117069097</v>
      </c>
      <c r="L33" s="68">
        <v>33.875592770549744</v>
      </c>
      <c r="M33" s="68">
        <v>35.098676862420014</v>
      </c>
      <c r="N33" s="68">
        <v>34.925552995619817</v>
      </c>
      <c r="O33" s="68">
        <v>35.889591646275242</v>
      </c>
      <c r="P33" s="68">
        <v>35.695322866004851</v>
      </c>
      <c r="Q33" s="68">
        <v>35.960290973104968</v>
      </c>
      <c r="R33" s="68">
        <v>33.447645684099726</v>
      </c>
      <c r="S33" s="68">
        <v>33.576204412802163</v>
      </c>
      <c r="T33" s="68">
        <v>34.641636170202062</v>
      </c>
      <c r="U33" s="68">
        <v>32.83349877216768</v>
      </c>
      <c r="V33" s="68">
        <v>30.068881330469967</v>
      </c>
      <c r="W33" s="68">
        <v>35.433131521388709</v>
      </c>
      <c r="X33" s="68">
        <v>39.559406907061074</v>
      </c>
      <c r="Y33" s="68">
        <v>43.458440286718279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151.52598137074216</v>
      </c>
      <c r="C3" s="125">
        <f t="shared" si="0"/>
        <v>147.42012682954393</v>
      </c>
      <c r="D3" s="125">
        <f t="shared" si="0"/>
        <v>152.63841878529803</v>
      </c>
      <c r="E3" s="125">
        <f t="shared" si="0"/>
        <v>172.34180458431416</v>
      </c>
      <c r="F3" s="125">
        <f t="shared" si="0"/>
        <v>198.07295925390471</v>
      </c>
      <c r="G3" s="125">
        <f t="shared" si="0"/>
        <v>206.50281432942282</v>
      </c>
      <c r="H3" s="125">
        <f t="shared" si="0"/>
        <v>209.62794488272405</v>
      </c>
      <c r="I3" s="125">
        <f t="shared" si="0"/>
        <v>217.07662115397719</v>
      </c>
      <c r="J3" s="125">
        <f t="shared" si="0"/>
        <v>238.2218797550305</v>
      </c>
      <c r="K3" s="125">
        <f t="shared" si="0"/>
        <v>231.16468251574847</v>
      </c>
      <c r="L3" s="125">
        <f t="shared" si="0"/>
        <v>235.17394707932772</v>
      </c>
      <c r="M3" s="125">
        <f t="shared" si="0"/>
        <v>215.55242746919538</v>
      </c>
      <c r="N3" s="125">
        <f t="shared" si="0"/>
        <v>233.25421820944771</v>
      </c>
      <c r="O3" s="125">
        <f t="shared" si="0"/>
        <v>228.21112083054697</v>
      </c>
      <c r="P3" s="125">
        <f t="shared" si="0"/>
        <v>254.6310672720399</v>
      </c>
      <c r="Q3" s="125">
        <f t="shared" si="0"/>
        <v>258.97552895009517</v>
      </c>
      <c r="R3" s="125">
        <f t="shared" ref="R3:W3" si="1">SUM(R4,R16,R19,R29)</f>
        <v>285.18486759094759</v>
      </c>
      <c r="S3" s="125">
        <f t="shared" si="1"/>
        <v>265.50404485685317</v>
      </c>
      <c r="T3" s="125">
        <f t="shared" si="1"/>
        <v>287.33045685345724</v>
      </c>
      <c r="U3" s="125">
        <f t="shared" si="1"/>
        <v>271.00957268496882</v>
      </c>
      <c r="V3" s="125">
        <f t="shared" si="1"/>
        <v>278.73274384492862</v>
      </c>
      <c r="W3" s="125">
        <f t="shared" si="1"/>
        <v>310.97288401959179</v>
      </c>
      <c r="X3" s="125">
        <f t="shared" ref="X3:Y3" si="2">SUM(X4,X16,X19,X29)</f>
        <v>274.84575870327512</v>
      </c>
      <c r="Y3" s="125">
        <f t="shared" si="2"/>
        <v>256.97497473281453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111.32778345073572</v>
      </c>
      <c r="C4" s="130">
        <f t="shared" si="3"/>
        <v>106.17897345909532</v>
      </c>
      <c r="D4" s="130">
        <f t="shared" si="3"/>
        <v>110.75818170962036</v>
      </c>
      <c r="E4" s="130">
        <f t="shared" si="3"/>
        <v>128.45573930253005</v>
      </c>
      <c r="F4" s="130">
        <f t="shared" si="3"/>
        <v>153.80814142845588</v>
      </c>
      <c r="G4" s="130">
        <f t="shared" si="3"/>
        <v>159.16411967027875</v>
      </c>
      <c r="H4" s="130">
        <f t="shared" si="3"/>
        <v>160.48156342293535</v>
      </c>
      <c r="I4" s="130">
        <f t="shared" si="3"/>
        <v>167.21718502372514</v>
      </c>
      <c r="J4" s="130">
        <f t="shared" si="3"/>
        <v>187.74313595496452</v>
      </c>
      <c r="K4" s="130">
        <f t="shared" si="3"/>
        <v>179.89027234596159</v>
      </c>
      <c r="L4" s="130">
        <f t="shared" si="3"/>
        <v>182.91846456662282</v>
      </c>
      <c r="M4" s="130">
        <f t="shared" si="3"/>
        <v>161.19569839419248</v>
      </c>
      <c r="N4" s="130">
        <f t="shared" si="3"/>
        <v>178.33032226965054</v>
      </c>
      <c r="O4" s="130">
        <f t="shared" si="3"/>
        <v>172.16927084313923</v>
      </c>
      <c r="P4" s="130">
        <f t="shared" si="3"/>
        <v>198.1229878394453</v>
      </c>
      <c r="Q4" s="130">
        <f t="shared" si="3"/>
        <v>200.96001001443034</v>
      </c>
      <c r="R4" s="130">
        <f t="shared" ref="R4:W4" si="4">SUM(R5:R15)</f>
        <v>227.08610103372706</v>
      </c>
      <c r="S4" s="130">
        <f t="shared" si="4"/>
        <v>205.77284894721134</v>
      </c>
      <c r="T4" s="130">
        <f t="shared" si="4"/>
        <v>226.41714983078069</v>
      </c>
      <c r="U4" s="130">
        <f t="shared" si="4"/>
        <v>208.90690232342885</v>
      </c>
      <c r="V4" s="130">
        <f t="shared" si="4"/>
        <v>219.39818784715405</v>
      </c>
      <c r="W4" s="130">
        <f t="shared" si="4"/>
        <v>244.59008005953953</v>
      </c>
      <c r="X4" s="130">
        <f t="shared" ref="X4:Y4" si="5">SUM(X5:X15)</f>
        <v>203.90385128990056</v>
      </c>
      <c r="Y4" s="130">
        <f t="shared" si="5"/>
        <v>178.33152873380143</v>
      </c>
      <c r="DA4" s="155" t="s">
        <v>302</v>
      </c>
    </row>
    <row r="5" spans="1:105" ht="12" customHeight="1" x14ac:dyDescent="0.25">
      <c r="A5" s="131" t="s">
        <v>29</v>
      </c>
      <c r="B5" s="132">
        <v>2.8025816867639088</v>
      </c>
      <c r="C5" s="132">
        <v>3.5251892034215153</v>
      </c>
      <c r="D5" s="132">
        <v>3.0989433238787276</v>
      </c>
      <c r="E5" s="132">
        <v>3.3241236962235972</v>
      </c>
      <c r="F5" s="132">
        <v>3.2572391707818285</v>
      </c>
      <c r="G5" s="132">
        <v>3.8577619091508359</v>
      </c>
      <c r="H5" s="132">
        <v>2.3797580260943589</v>
      </c>
      <c r="I5" s="132">
        <v>2.614764893507656</v>
      </c>
      <c r="J5" s="132">
        <v>1.7902434339898681</v>
      </c>
      <c r="K5" s="132">
        <v>1.4454187256561086</v>
      </c>
      <c r="L5" s="132">
        <v>1.2456962507901799</v>
      </c>
      <c r="M5" s="132">
        <v>0.93607396747497518</v>
      </c>
      <c r="N5" s="132">
        <v>1.2109371096395207</v>
      </c>
      <c r="O5" s="132">
        <v>2.0944929433564083</v>
      </c>
      <c r="P5" s="132">
        <v>1.2765583742530238</v>
      </c>
      <c r="Q5" s="132">
        <v>1.0919058781971906</v>
      </c>
      <c r="R5" s="132">
        <v>1.407020285105933</v>
      </c>
      <c r="S5" s="132">
        <v>0.64270482898445547</v>
      </c>
      <c r="T5" s="132">
        <v>0.68215735440187519</v>
      </c>
      <c r="U5" s="132">
        <v>0.62568931086403357</v>
      </c>
      <c r="V5" s="132">
        <v>0.67556060048593158</v>
      </c>
      <c r="W5" s="132">
        <v>0.66625137523366795</v>
      </c>
      <c r="X5" s="132">
        <v>0.6493362728141332</v>
      </c>
      <c r="Y5" s="132">
        <v>0.31352340337479734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20.18829627733454</v>
      </c>
      <c r="C7" s="132">
        <v>25.369684740389122</v>
      </c>
      <c r="D7" s="132">
        <v>16.922207232907006</v>
      </c>
      <c r="E7" s="132">
        <v>15.675628004143503</v>
      </c>
      <c r="F7" s="132">
        <v>15.948295233946778</v>
      </c>
      <c r="G7" s="132">
        <v>18.362220502466503</v>
      </c>
      <c r="H7" s="132">
        <v>14.08199770985531</v>
      </c>
      <c r="I7" s="132">
        <v>15.442042359787594</v>
      </c>
      <c r="J7" s="132">
        <v>15.223375572093161</v>
      </c>
      <c r="K7" s="132">
        <v>14.519666591019202</v>
      </c>
      <c r="L7" s="132">
        <v>12.622431683651767</v>
      </c>
      <c r="M7" s="132">
        <v>20.20090544059898</v>
      </c>
      <c r="N7" s="132">
        <v>21.534661557388805</v>
      </c>
      <c r="O7" s="132">
        <v>20.259851270392819</v>
      </c>
      <c r="P7" s="132">
        <v>15.280043639217027</v>
      </c>
      <c r="Q7" s="132">
        <v>16.994657772455668</v>
      </c>
      <c r="R7" s="132">
        <v>12.59827561263296</v>
      </c>
      <c r="S7" s="132">
        <v>14.15588473311354</v>
      </c>
      <c r="T7" s="132">
        <v>13.947353055425863</v>
      </c>
      <c r="U7" s="132">
        <v>9.859573306701094</v>
      </c>
      <c r="V7" s="132">
        <v>10.057002559370302</v>
      </c>
      <c r="W7" s="132">
        <v>11.005318128257521</v>
      </c>
      <c r="X7" s="132">
        <v>12.251055683387657</v>
      </c>
      <c r="Y7" s="132">
        <v>15.076178941952911</v>
      </c>
      <c r="DA7" s="156" t="s">
        <v>305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306</v>
      </c>
    </row>
    <row r="9" spans="1:105" ht="12" customHeight="1" x14ac:dyDescent="0.25">
      <c r="A9" s="131" t="s">
        <v>78</v>
      </c>
      <c r="B9" s="132">
        <v>4.0945070513800808</v>
      </c>
      <c r="C9" s="132">
        <v>8.2552778992697569</v>
      </c>
      <c r="D9" s="132">
        <v>10.304416532218779</v>
      </c>
      <c r="E9" s="132">
        <v>29.117832484588448</v>
      </c>
      <c r="F9" s="132">
        <v>26.349108552116643</v>
      </c>
      <c r="G9" s="132">
        <v>20.370318106707582</v>
      </c>
      <c r="H9" s="132">
        <v>22.046938717255379</v>
      </c>
      <c r="I9" s="132">
        <v>19.602058538528507</v>
      </c>
      <c r="J9" s="132">
        <v>14.411588046395785</v>
      </c>
      <c r="K9" s="132">
        <v>11.168852213398734</v>
      </c>
      <c r="L9" s="132">
        <v>12.383694171073671</v>
      </c>
      <c r="M9" s="132">
        <v>13.036653643089396</v>
      </c>
      <c r="N9" s="132">
        <v>15.116008337165084</v>
      </c>
      <c r="O9" s="132">
        <v>20.574145146753217</v>
      </c>
      <c r="P9" s="132">
        <v>33.811338660945324</v>
      </c>
      <c r="Q9" s="132">
        <v>36.669761862975285</v>
      </c>
      <c r="R9" s="132">
        <v>44.870844538755065</v>
      </c>
      <c r="S9" s="132">
        <v>38.828979238484912</v>
      </c>
      <c r="T9" s="132">
        <v>42.214482767741728</v>
      </c>
      <c r="U9" s="132">
        <v>39.90862458405099</v>
      </c>
      <c r="V9" s="132">
        <v>41.050134112107031</v>
      </c>
      <c r="W9" s="132">
        <v>44.457122118699104</v>
      </c>
      <c r="X9" s="132">
        <v>23.450388156655585</v>
      </c>
      <c r="Y9" s="132">
        <v>19.66205314856435</v>
      </c>
      <c r="DA9" s="156" t="s">
        <v>307</v>
      </c>
    </row>
    <row r="10" spans="1:105" ht="12" customHeight="1" x14ac:dyDescent="0.25">
      <c r="A10" s="131" t="s">
        <v>128</v>
      </c>
      <c r="B10" s="132">
        <v>3.7433279362660143</v>
      </c>
      <c r="C10" s="132">
        <v>5.6448725012737482</v>
      </c>
      <c r="D10" s="132">
        <v>5.6759498690497914</v>
      </c>
      <c r="E10" s="132">
        <v>6.1101771170067787</v>
      </c>
      <c r="F10" s="132">
        <v>11.946001320818185</v>
      </c>
      <c r="G10" s="132">
        <v>7.9709148206738041</v>
      </c>
      <c r="H10" s="132">
        <v>9.8234464267173731</v>
      </c>
      <c r="I10" s="132">
        <v>10.37072218433517</v>
      </c>
      <c r="J10" s="132">
        <v>10.581772208731325</v>
      </c>
      <c r="K10" s="132">
        <v>7.233325444031907</v>
      </c>
      <c r="L10" s="132">
        <v>8.7842114871823451</v>
      </c>
      <c r="M10" s="132">
        <v>9.5304292313100341</v>
      </c>
      <c r="N10" s="132">
        <v>5.7912827492749894</v>
      </c>
      <c r="O10" s="132">
        <v>5.3150468419796626</v>
      </c>
      <c r="P10" s="132">
        <v>4.6414820870230047</v>
      </c>
      <c r="Q10" s="132">
        <v>4.9910792375325332</v>
      </c>
      <c r="R10" s="132">
        <v>4.6190906562511245</v>
      </c>
      <c r="S10" s="132">
        <v>5.2512153487992892</v>
      </c>
      <c r="T10" s="132">
        <v>4.7694947113735902</v>
      </c>
      <c r="U10" s="132">
        <v>5.7658508173677747</v>
      </c>
      <c r="V10" s="132">
        <v>7.03616333842694</v>
      </c>
      <c r="W10" s="132">
        <v>6.4013258885607902</v>
      </c>
      <c r="X10" s="132">
        <v>6.2793552978048091</v>
      </c>
      <c r="Y10" s="132">
        <v>3.4520502411914564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309</v>
      </c>
    </row>
    <row r="12" spans="1:105" ht="12" customHeight="1" x14ac:dyDescent="0.25">
      <c r="A12" s="131" t="s">
        <v>162</v>
      </c>
      <c r="B12" s="132">
        <v>60.843579587010829</v>
      </c>
      <c r="C12" s="132">
        <v>40.939308770655281</v>
      </c>
      <c r="D12" s="132">
        <v>48.91183834348984</v>
      </c>
      <c r="E12" s="132">
        <v>48.362930713333888</v>
      </c>
      <c r="F12" s="132">
        <v>62.889758029600458</v>
      </c>
      <c r="G12" s="132">
        <v>74.652282191877163</v>
      </c>
      <c r="H12" s="132">
        <v>68.967762140426885</v>
      </c>
      <c r="I12" s="132">
        <v>67.817250373334929</v>
      </c>
      <c r="J12" s="132">
        <v>83.383149101048588</v>
      </c>
      <c r="K12" s="132">
        <v>83.317926706863915</v>
      </c>
      <c r="L12" s="132">
        <v>91.267480330730777</v>
      </c>
      <c r="M12" s="132">
        <v>71.534793444017794</v>
      </c>
      <c r="N12" s="132">
        <v>79.972920225997314</v>
      </c>
      <c r="O12" s="132">
        <v>71.468579391871799</v>
      </c>
      <c r="P12" s="132">
        <v>76.035448798464387</v>
      </c>
      <c r="Q12" s="132">
        <v>76.735370187305932</v>
      </c>
      <c r="R12" s="132">
        <v>87.297986310589863</v>
      </c>
      <c r="S12" s="132">
        <v>86.452814140076427</v>
      </c>
      <c r="T12" s="132">
        <v>89.356061185885892</v>
      </c>
      <c r="U12" s="132">
        <v>74.695034032324301</v>
      </c>
      <c r="V12" s="132">
        <v>82.193980045555577</v>
      </c>
      <c r="W12" s="132">
        <v>87.408643968689432</v>
      </c>
      <c r="X12" s="132">
        <v>91.486501071549782</v>
      </c>
      <c r="Y12" s="132">
        <v>96.042798050522848</v>
      </c>
      <c r="DA12" s="156" t="s">
        <v>310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311</v>
      </c>
    </row>
    <row r="14" spans="1:105" ht="12" customHeight="1" x14ac:dyDescent="0.25">
      <c r="A14" s="60" t="s">
        <v>76</v>
      </c>
      <c r="B14" s="65">
        <v>18.800157851240719</v>
      </c>
      <c r="C14" s="65">
        <v>21.495888568728777</v>
      </c>
      <c r="D14" s="65">
        <v>25.003226521733325</v>
      </c>
      <c r="E14" s="65">
        <v>24.704802904297289</v>
      </c>
      <c r="F14" s="65">
        <v>32.203836106578883</v>
      </c>
      <c r="G14" s="65">
        <v>32.799229811914486</v>
      </c>
      <c r="H14" s="65">
        <v>42.117234944928086</v>
      </c>
      <c r="I14" s="65">
        <v>50.3390781779948</v>
      </c>
      <c r="J14" s="65">
        <v>61.367802296289</v>
      </c>
      <c r="K14" s="65">
        <v>61.332305026697689</v>
      </c>
      <c r="L14" s="65">
        <v>55.719005340107365</v>
      </c>
      <c r="M14" s="65">
        <v>45.011727842337116</v>
      </c>
      <c r="N14" s="65">
        <v>53.705868982063443</v>
      </c>
      <c r="O14" s="65">
        <v>51.430260513130463</v>
      </c>
      <c r="P14" s="65">
        <v>65.918151470029443</v>
      </c>
      <c r="Q14" s="65">
        <v>63.247063553368967</v>
      </c>
      <c r="R14" s="65">
        <v>74.966679156877163</v>
      </c>
      <c r="S14" s="65">
        <v>59.198005318706571</v>
      </c>
      <c r="T14" s="65">
        <v>74.150530427459515</v>
      </c>
      <c r="U14" s="65">
        <v>76.911609768194168</v>
      </c>
      <c r="V14" s="65">
        <v>77.185556904734611</v>
      </c>
      <c r="W14" s="65">
        <v>93.368115531105317</v>
      </c>
      <c r="X14" s="65">
        <v>68.802497319478505</v>
      </c>
      <c r="Y14" s="65">
        <v>42.821556664331212</v>
      </c>
      <c r="DA14" s="109" t="s">
        <v>312</v>
      </c>
    </row>
    <row r="15" spans="1:105" ht="12" customHeight="1" x14ac:dyDescent="0.25">
      <c r="A15" s="133" t="s">
        <v>80</v>
      </c>
      <c r="B15" s="134">
        <v>0.85533306073964588</v>
      </c>
      <c r="C15" s="134">
        <v>0.94875177535712174</v>
      </c>
      <c r="D15" s="134">
        <v>0.84159988634288241</v>
      </c>
      <c r="E15" s="134">
        <v>1.1602443829365401</v>
      </c>
      <c r="F15" s="134">
        <v>1.2139030146131349</v>
      </c>
      <c r="G15" s="134">
        <v>1.1513923274884084</v>
      </c>
      <c r="H15" s="134">
        <v>1.0644254576579741</v>
      </c>
      <c r="I15" s="134">
        <v>1.0312684962364984</v>
      </c>
      <c r="J15" s="134">
        <v>0.98520529641678189</v>
      </c>
      <c r="K15" s="134">
        <v>0.87277763829403721</v>
      </c>
      <c r="L15" s="134">
        <v>0.89594530308670017</v>
      </c>
      <c r="M15" s="134">
        <v>0.94511482536419811</v>
      </c>
      <c r="N15" s="134">
        <v>0.99864330812137792</v>
      </c>
      <c r="O15" s="134">
        <v>1.0268947356548606</v>
      </c>
      <c r="P15" s="134">
        <v>1.1599648095130832</v>
      </c>
      <c r="Q15" s="134">
        <v>1.2301715225947536</v>
      </c>
      <c r="R15" s="134">
        <v>1.3262044735149567</v>
      </c>
      <c r="S15" s="134">
        <v>1.2432453390461491</v>
      </c>
      <c r="T15" s="134">
        <v>1.2970703284922445</v>
      </c>
      <c r="U15" s="134">
        <v>1.1405205039264721</v>
      </c>
      <c r="V15" s="134">
        <v>1.1997902864736547</v>
      </c>
      <c r="W15" s="134">
        <v>1.2833030489937141</v>
      </c>
      <c r="X15" s="134">
        <v>0.98471748821009553</v>
      </c>
      <c r="Y15" s="134">
        <v>0.9633682838638804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0.72314016924549884</v>
      </c>
      <c r="C16" s="130">
        <f t="shared" si="6"/>
        <v>0.80528463319173105</v>
      </c>
      <c r="D16" s="130">
        <f t="shared" si="6"/>
        <v>0.89846698385209334</v>
      </c>
      <c r="E16" s="130">
        <f t="shared" si="6"/>
        <v>1.0309808929115445</v>
      </c>
      <c r="F16" s="130">
        <f t="shared" si="6"/>
        <v>1.0550634649169202</v>
      </c>
      <c r="G16" s="130">
        <f t="shared" si="6"/>
        <v>1.2060375895959907</v>
      </c>
      <c r="H16" s="130">
        <f t="shared" si="6"/>
        <v>1.4375243002336666</v>
      </c>
      <c r="I16" s="130">
        <f t="shared" si="6"/>
        <v>1.5661489019434307</v>
      </c>
      <c r="J16" s="130">
        <f t="shared" si="6"/>
        <v>1.6732286940239818</v>
      </c>
      <c r="K16" s="130">
        <f t="shared" si="6"/>
        <v>1.732782145251321</v>
      </c>
      <c r="L16" s="130">
        <f t="shared" si="6"/>
        <v>2.1171202620873686</v>
      </c>
      <c r="M16" s="130">
        <f t="shared" si="6"/>
        <v>2.0768818298371596</v>
      </c>
      <c r="N16" s="130">
        <f t="shared" si="6"/>
        <v>2.0971118055910192</v>
      </c>
      <c r="O16" s="130">
        <f t="shared" si="6"/>
        <v>2.1772117778445952</v>
      </c>
      <c r="P16" s="130">
        <f t="shared" si="6"/>
        <v>2.3250335781933815</v>
      </c>
      <c r="Q16" s="130">
        <f t="shared" si="6"/>
        <v>2.4130219386143916</v>
      </c>
      <c r="R16" s="130">
        <f t="shared" ref="R16:W16" si="7">SUM(R17:R18)</f>
        <v>2.5281128525833001</v>
      </c>
      <c r="S16" s="130">
        <f t="shared" si="7"/>
        <v>2.6448698702392126</v>
      </c>
      <c r="T16" s="130">
        <f t="shared" si="7"/>
        <v>3.00057985886823</v>
      </c>
      <c r="U16" s="130">
        <f t="shared" si="7"/>
        <v>2.9216206009717625</v>
      </c>
      <c r="V16" s="130">
        <f t="shared" si="7"/>
        <v>2.8826295973240263</v>
      </c>
      <c r="W16" s="130">
        <f t="shared" si="7"/>
        <v>3.3163400202059545</v>
      </c>
      <c r="X16" s="130">
        <f t="shared" ref="X16:Y16" si="8">SUM(X17:X18)</f>
        <v>3.3122248765805606</v>
      </c>
      <c r="Y16" s="130">
        <f t="shared" si="8"/>
        <v>3.2988000723883992</v>
      </c>
      <c r="DA16" s="155" t="s">
        <v>314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315</v>
      </c>
    </row>
    <row r="18" spans="1:105" ht="12" customHeight="1" x14ac:dyDescent="0.25">
      <c r="A18" s="131" t="s">
        <v>72</v>
      </c>
      <c r="B18" s="132">
        <v>0.72314016924549884</v>
      </c>
      <c r="C18" s="132">
        <v>0.80528463319173105</v>
      </c>
      <c r="D18" s="132">
        <v>0.89846698385209334</v>
      </c>
      <c r="E18" s="132">
        <v>1.0309808929115445</v>
      </c>
      <c r="F18" s="132">
        <v>1.0550634649169202</v>
      </c>
      <c r="G18" s="132">
        <v>1.2060375895959907</v>
      </c>
      <c r="H18" s="132">
        <v>1.4375243002336666</v>
      </c>
      <c r="I18" s="132">
        <v>1.5661489019434307</v>
      </c>
      <c r="J18" s="132">
        <v>1.6732286940239818</v>
      </c>
      <c r="K18" s="132">
        <v>1.732782145251321</v>
      </c>
      <c r="L18" s="132">
        <v>2.1171202620873686</v>
      </c>
      <c r="M18" s="132">
        <v>2.0768818298371596</v>
      </c>
      <c r="N18" s="132">
        <v>2.0971118055910192</v>
      </c>
      <c r="O18" s="132">
        <v>2.1772117778445952</v>
      </c>
      <c r="P18" s="132">
        <v>2.3250335781933815</v>
      </c>
      <c r="Q18" s="132">
        <v>2.4130219386143916</v>
      </c>
      <c r="R18" s="132">
        <v>2.5281128525833001</v>
      </c>
      <c r="S18" s="132">
        <v>2.6448698702392126</v>
      </c>
      <c r="T18" s="132">
        <v>3.00057985886823</v>
      </c>
      <c r="U18" s="132">
        <v>2.9216206009717625</v>
      </c>
      <c r="V18" s="132">
        <v>2.8826295973240263</v>
      </c>
      <c r="W18" s="132">
        <v>3.3163400202059545</v>
      </c>
      <c r="X18" s="132">
        <v>3.3122248765805606</v>
      </c>
      <c r="Y18" s="132">
        <v>3.2988000723883992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19.575744647514277</v>
      </c>
      <c r="C19" s="130">
        <f t="shared" si="9"/>
        <v>19.88872247125046</v>
      </c>
      <c r="D19" s="130">
        <f t="shared" si="9"/>
        <v>20.037712783098932</v>
      </c>
      <c r="E19" s="130">
        <f t="shared" si="9"/>
        <v>20.715507291123931</v>
      </c>
      <c r="F19" s="130">
        <f t="shared" si="9"/>
        <v>20.720613605118224</v>
      </c>
      <c r="G19" s="130">
        <f t="shared" si="9"/>
        <v>21.890313896441434</v>
      </c>
      <c r="H19" s="130">
        <f t="shared" si="9"/>
        <v>22.623624893808572</v>
      </c>
      <c r="I19" s="130">
        <f t="shared" si="9"/>
        <v>22.475624954520676</v>
      </c>
      <c r="J19" s="130">
        <f t="shared" si="9"/>
        <v>22.483803133861038</v>
      </c>
      <c r="K19" s="130">
        <f t="shared" si="9"/>
        <v>22.277739390532037</v>
      </c>
      <c r="L19" s="130">
        <f t="shared" si="9"/>
        <v>22.354929052237445</v>
      </c>
      <c r="M19" s="130">
        <f t="shared" si="9"/>
        <v>23.506526754724845</v>
      </c>
      <c r="N19" s="130">
        <f t="shared" si="9"/>
        <v>23.964856729213476</v>
      </c>
      <c r="O19" s="130">
        <f t="shared" si="9"/>
        <v>24.181894530189346</v>
      </c>
      <c r="P19" s="130">
        <f t="shared" si="9"/>
        <v>24.504570235191746</v>
      </c>
      <c r="Q19" s="130">
        <f t="shared" si="9"/>
        <v>25.499101183303786</v>
      </c>
      <c r="R19" s="130">
        <f t="shared" ref="R19:W19" si="10">SUM(R20:R27)</f>
        <v>25.46417829175569</v>
      </c>
      <c r="S19" s="130">
        <f t="shared" si="10"/>
        <v>26.065420549201789</v>
      </c>
      <c r="T19" s="130">
        <f t="shared" si="10"/>
        <v>26.626284595229233</v>
      </c>
      <c r="U19" s="130">
        <f t="shared" si="10"/>
        <v>27.554864846245053</v>
      </c>
      <c r="V19" s="130">
        <f t="shared" si="10"/>
        <v>26.727395001339143</v>
      </c>
      <c r="W19" s="130">
        <f t="shared" si="10"/>
        <v>29.205373078325536</v>
      </c>
      <c r="X19" s="130">
        <f t="shared" ref="X19:Y19" si="11">SUM(X20:X27)</f>
        <v>30.320225150400596</v>
      </c>
      <c r="Y19" s="130">
        <f t="shared" si="11"/>
        <v>33.322100658315826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319</v>
      </c>
    </row>
    <row r="22" spans="1:105" ht="12" customHeight="1" x14ac:dyDescent="0.25">
      <c r="A22" s="131" t="s">
        <v>161</v>
      </c>
      <c r="B22" s="132">
        <v>3.5222400422463389</v>
      </c>
      <c r="C22" s="132">
        <v>3.4832043792239267</v>
      </c>
      <c r="D22" s="132">
        <v>3.0524277323302509</v>
      </c>
      <c r="E22" s="132">
        <v>2.281291207172274</v>
      </c>
      <c r="F22" s="132">
        <v>1.9021293524056562</v>
      </c>
      <c r="G22" s="132">
        <v>1.8115631924440025</v>
      </c>
      <c r="H22" s="132">
        <v>1.6904701683693415</v>
      </c>
      <c r="I22" s="132">
        <v>1.6353493547273357</v>
      </c>
      <c r="J22" s="132">
        <v>1.662357479815687</v>
      </c>
      <c r="K22" s="132">
        <v>1.617348985216909</v>
      </c>
      <c r="L22" s="132">
        <v>1.5889641266082088</v>
      </c>
      <c r="M22" s="132">
        <v>1.5809325165400332</v>
      </c>
      <c r="N22" s="132">
        <v>1.5643254807228273</v>
      </c>
      <c r="O22" s="132">
        <v>1.5571300456801309</v>
      </c>
      <c r="P22" s="132">
        <v>1.539460256414789</v>
      </c>
      <c r="Q22" s="132">
        <v>1.5086645611057854</v>
      </c>
      <c r="R22" s="132">
        <v>1.3639889754665351</v>
      </c>
      <c r="S22" s="132">
        <v>1.3224405080153376</v>
      </c>
      <c r="T22" s="132">
        <v>1.3267839906823355</v>
      </c>
      <c r="U22" s="132">
        <v>0.94929770154029114</v>
      </c>
      <c r="V22" s="132">
        <v>0.96922168411669529</v>
      </c>
      <c r="W22" s="132">
        <v>0.96851921549878073</v>
      </c>
      <c r="X22" s="132">
        <v>1.1414699672977986</v>
      </c>
      <c r="Y22" s="132">
        <v>1.4314841535086298</v>
      </c>
      <c r="DA22" s="156" t="s">
        <v>320</v>
      </c>
    </row>
    <row r="23" spans="1:105" ht="12" customHeight="1" x14ac:dyDescent="0.25">
      <c r="A23" s="131" t="s">
        <v>149</v>
      </c>
      <c r="B23" s="132">
        <v>0.44546851998521969</v>
      </c>
      <c r="C23" s="132">
        <v>1.0269157982639692</v>
      </c>
      <c r="D23" s="132">
        <v>1.0962391224873493</v>
      </c>
      <c r="E23" s="132">
        <v>1.1523261851854589</v>
      </c>
      <c r="F23" s="132">
        <v>1.1651267262310658</v>
      </c>
      <c r="G23" s="132">
        <v>1.2108125175600595</v>
      </c>
      <c r="H23" s="132">
        <v>1.2643754284328894</v>
      </c>
      <c r="I23" s="132">
        <v>1.2948442962077877</v>
      </c>
      <c r="J23" s="132">
        <v>1.314676996440759</v>
      </c>
      <c r="K23" s="132">
        <v>1.3587340512501651</v>
      </c>
      <c r="L23" s="132">
        <v>1.3745553205782541</v>
      </c>
      <c r="M23" s="132">
        <v>1.714941239599358</v>
      </c>
      <c r="N23" s="132">
        <v>1.860929390057815</v>
      </c>
      <c r="O23" s="132">
        <v>2.6688092770190068</v>
      </c>
      <c r="P23" s="132">
        <v>3.7305949657531619</v>
      </c>
      <c r="Q23" s="132">
        <v>3.9571972249798844</v>
      </c>
      <c r="R23" s="132">
        <v>4.226813475938461</v>
      </c>
      <c r="S23" s="132">
        <v>4.6195401269701595</v>
      </c>
      <c r="T23" s="132">
        <v>5.1328773648026305</v>
      </c>
      <c r="U23" s="132">
        <v>5.5559998893283176</v>
      </c>
      <c r="V23" s="132">
        <v>5.5895914461224585</v>
      </c>
      <c r="W23" s="132">
        <v>5.2462624492930123</v>
      </c>
      <c r="X23" s="132">
        <v>4.6651661616941205</v>
      </c>
      <c r="Y23" s="132">
        <v>3.9600928794618659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322</v>
      </c>
    </row>
    <row r="25" spans="1:105" ht="12" customHeight="1" x14ac:dyDescent="0.25">
      <c r="A25" s="131" t="s">
        <v>162</v>
      </c>
      <c r="B25" s="132">
        <v>6.2303949609304468</v>
      </c>
      <c r="C25" s="132">
        <v>6.5722935714085287</v>
      </c>
      <c r="D25" s="132">
        <v>6.5420217261941263</v>
      </c>
      <c r="E25" s="132">
        <v>6.5678637820016013</v>
      </c>
      <c r="F25" s="132">
        <v>6.7247409736228008</v>
      </c>
      <c r="G25" s="132">
        <v>7.1670432113381253</v>
      </c>
      <c r="H25" s="132">
        <v>7.4232789513227759</v>
      </c>
      <c r="I25" s="132">
        <v>7.7385090147498303</v>
      </c>
      <c r="J25" s="132">
        <v>7.8600129751574306</v>
      </c>
      <c r="K25" s="132">
        <v>8.2492701402944508</v>
      </c>
      <c r="L25" s="132">
        <v>8.3252840573768925</v>
      </c>
      <c r="M25" s="132">
        <v>8.4776271676501356</v>
      </c>
      <c r="N25" s="132">
        <v>8.4888982646094888</v>
      </c>
      <c r="O25" s="132">
        <v>8.5202284070184042</v>
      </c>
      <c r="P25" s="132">
        <v>8.3954790406842115</v>
      </c>
      <c r="Q25" s="132">
        <v>8.3266943042405828</v>
      </c>
      <c r="R25" s="132">
        <v>8.3013988349444539</v>
      </c>
      <c r="S25" s="132">
        <v>8.2720491812499795</v>
      </c>
      <c r="T25" s="132">
        <v>8.2199516979889449</v>
      </c>
      <c r="U25" s="132">
        <v>8.0821164013243436</v>
      </c>
      <c r="V25" s="132">
        <v>7.1594585141470475</v>
      </c>
      <c r="W25" s="132">
        <v>8.251505507937237</v>
      </c>
      <c r="X25" s="132">
        <v>9.3344836817777299</v>
      </c>
      <c r="Y25" s="132">
        <v>10.106569398764101</v>
      </c>
      <c r="DA25" s="156" t="s">
        <v>323</v>
      </c>
    </row>
    <row r="26" spans="1:105" ht="12" customHeight="1" x14ac:dyDescent="0.25">
      <c r="A26" s="131" t="s">
        <v>24</v>
      </c>
      <c r="B26" s="65">
        <v>9.3776411243522713</v>
      </c>
      <c r="C26" s="65">
        <v>8.8063087223540339</v>
      </c>
      <c r="D26" s="65">
        <v>9.347024202087205</v>
      </c>
      <c r="E26" s="65">
        <v>10.714026116764597</v>
      </c>
      <c r="F26" s="65">
        <v>10.928616552858701</v>
      </c>
      <c r="G26" s="65">
        <v>11.700894975099244</v>
      </c>
      <c r="H26" s="65">
        <v>12.245500345683565</v>
      </c>
      <c r="I26" s="65">
        <v>11.80692228883572</v>
      </c>
      <c r="J26" s="65">
        <v>11.646755682447161</v>
      </c>
      <c r="K26" s="65">
        <v>11.052386213770513</v>
      </c>
      <c r="L26" s="65">
        <v>11.066125547674089</v>
      </c>
      <c r="M26" s="65">
        <v>11.73302583093532</v>
      </c>
      <c r="N26" s="65">
        <v>12.050703593823346</v>
      </c>
      <c r="O26" s="65">
        <v>11.435726800471805</v>
      </c>
      <c r="P26" s="65">
        <v>10.839035972339584</v>
      </c>
      <c r="Q26" s="65">
        <v>11.706545092977535</v>
      </c>
      <c r="R26" s="65">
        <v>11.571977005406239</v>
      </c>
      <c r="S26" s="65">
        <v>11.851390732966312</v>
      </c>
      <c r="T26" s="65">
        <v>11.946671541755322</v>
      </c>
      <c r="U26" s="65">
        <v>12.967450854052098</v>
      </c>
      <c r="V26" s="65">
        <v>13.009123356952943</v>
      </c>
      <c r="W26" s="65">
        <v>14.739085905596504</v>
      </c>
      <c r="X26" s="65">
        <v>15.179105339630945</v>
      </c>
      <c r="Y26" s="65">
        <v>17.823954226581229</v>
      </c>
      <c r="DA26" s="109" t="s">
        <v>324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19.899313103246662</v>
      </c>
      <c r="C29" s="130">
        <f t="shared" si="12"/>
        <v>20.547146266006429</v>
      </c>
      <c r="D29" s="130">
        <f t="shared" si="12"/>
        <v>20.944057308726656</v>
      </c>
      <c r="E29" s="130">
        <f t="shared" si="12"/>
        <v>22.139577097748628</v>
      </c>
      <c r="F29" s="130">
        <f t="shared" si="12"/>
        <v>22.489140755413704</v>
      </c>
      <c r="G29" s="130">
        <f t="shared" si="12"/>
        <v>24.242343173106669</v>
      </c>
      <c r="H29" s="130">
        <f t="shared" si="12"/>
        <v>25.085232265746473</v>
      </c>
      <c r="I29" s="130">
        <f t="shared" si="12"/>
        <v>25.817662273787949</v>
      </c>
      <c r="J29" s="130">
        <f t="shared" si="12"/>
        <v>26.32171197218096</v>
      </c>
      <c r="K29" s="130">
        <f t="shared" si="12"/>
        <v>27.263888634003514</v>
      </c>
      <c r="L29" s="130">
        <f t="shared" si="12"/>
        <v>27.783433198380109</v>
      </c>
      <c r="M29" s="130">
        <f t="shared" si="12"/>
        <v>28.773320490440891</v>
      </c>
      <c r="N29" s="130">
        <f t="shared" si="12"/>
        <v>28.861927404992691</v>
      </c>
      <c r="O29" s="130">
        <f t="shared" si="12"/>
        <v>29.682743679373814</v>
      </c>
      <c r="P29" s="130">
        <f t="shared" si="12"/>
        <v>29.678475619209465</v>
      </c>
      <c r="Q29" s="130">
        <f t="shared" si="12"/>
        <v>30.103395813746637</v>
      </c>
      <c r="R29" s="130">
        <f t="shared" ref="R29:W29" si="13">SUM(R30:R33)</f>
        <v>30.106475412881544</v>
      </c>
      <c r="S29" s="130">
        <f t="shared" si="13"/>
        <v>31.020905490200839</v>
      </c>
      <c r="T29" s="130">
        <f t="shared" si="13"/>
        <v>31.286442568579087</v>
      </c>
      <c r="U29" s="130">
        <f t="shared" si="13"/>
        <v>31.626184914323193</v>
      </c>
      <c r="V29" s="130">
        <f t="shared" si="13"/>
        <v>29.724531399111385</v>
      </c>
      <c r="W29" s="130">
        <f t="shared" si="13"/>
        <v>33.8610908615208</v>
      </c>
      <c r="X29" s="130">
        <f t="shared" ref="X29:Y29" si="14">SUM(X30:X33)</f>
        <v>37.309457386393426</v>
      </c>
      <c r="Y29" s="130">
        <f t="shared" si="14"/>
        <v>42.022545268308846</v>
      </c>
      <c r="DA29" s="155" t="s">
        <v>326</v>
      </c>
    </row>
    <row r="30" spans="1:105" ht="12" customHeight="1" x14ac:dyDescent="0.25">
      <c r="A30" s="131" t="s">
        <v>52</v>
      </c>
      <c r="B30" s="132">
        <v>0</v>
      </c>
      <c r="C30" s="132">
        <v>0</v>
      </c>
      <c r="D30" s="132">
        <v>0</v>
      </c>
      <c r="E30" s="132">
        <v>0</v>
      </c>
      <c r="F30" s="132">
        <v>0.63449049943755798</v>
      </c>
      <c r="G30" s="132">
        <v>0.63455987435306838</v>
      </c>
      <c r="H30" s="132">
        <v>0.63461908269720679</v>
      </c>
      <c r="I30" s="132">
        <v>0.63461990143887215</v>
      </c>
      <c r="J30" s="132">
        <v>0.63462126277993081</v>
      </c>
      <c r="K30" s="132">
        <v>0.63462325276950604</v>
      </c>
      <c r="L30" s="132">
        <v>0.62843484559760077</v>
      </c>
      <c r="M30" s="132">
        <v>0.62855982050888326</v>
      </c>
      <c r="N30" s="132">
        <v>0.63500332816759231</v>
      </c>
      <c r="O30" s="132">
        <v>0.63528641127662799</v>
      </c>
      <c r="P30" s="132">
        <v>0.63581919378511809</v>
      </c>
      <c r="Q30" s="132">
        <v>0.63676627708282185</v>
      </c>
      <c r="R30" s="132">
        <v>1.2766951095977837</v>
      </c>
      <c r="S30" s="132">
        <v>1.916525862953141</v>
      </c>
      <c r="T30" s="132">
        <v>0.63968678262588585</v>
      </c>
      <c r="U30" s="132">
        <v>1.2794800486934577</v>
      </c>
      <c r="V30" s="132">
        <v>1.3244250090996528</v>
      </c>
      <c r="W30" s="132">
        <v>0.96298790264981748</v>
      </c>
      <c r="X30" s="132">
        <v>1.2857761500634659</v>
      </c>
      <c r="Y30" s="132">
        <v>2.3534102078876269</v>
      </c>
      <c r="DA30" s="156" t="s">
        <v>327</v>
      </c>
    </row>
    <row r="31" spans="1:105" ht="12" customHeight="1" x14ac:dyDescent="0.25">
      <c r="A31" s="131" t="s">
        <v>149</v>
      </c>
      <c r="B31" s="132">
        <v>0.57307331832059194</v>
      </c>
      <c r="C31" s="132">
        <v>1.8851192619471935</v>
      </c>
      <c r="D31" s="132">
        <v>2.6905252193799445</v>
      </c>
      <c r="E31" s="132">
        <v>2.722310292348129</v>
      </c>
      <c r="F31" s="132">
        <v>2.6823810267355261</v>
      </c>
      <c r="G31" s="132">
        <v>2.6420936894984512</v>
      </c>
      <c r="H31" s="132">
        <v>2.5750302954723661</v>
      </c>
      <c r="I31" s="132">
        <v>2.5349983542818721</v>
      </c>
      <c r="J31" s="132">
        <v>2.4622027211171673</v>
      </c>
      <c r="K31" s="132">
        <v>2.2421551403256537</v>
      </c>
      <c r="L31" s="132">
        <v>2.3615612861745419</v>
      </c>
      <c r="M31" s="132">
        <v>2.4156130092998209</v>
      </c>
      <c r="N31" s="132">
        <v>2.5677094909579763</v>
      </c>
      <c r="O31" s="132">
        <v>2.590713370681907</v>
      </c>
      <c r="P31" s="132">
        <v>2.6105017738067078</v>
      </c>
      <c r="Q31" s="132">
        <v>2.6758862467362237</v>
      </c>
      <c r="R31" s="132">
        <v>3.7418071853604431</v>
      </c>
      <c r="S31" s="132">
        <v>3.650077786669534</v>
      </c>
      <c r="T31" s="132">
        <v>4.07317514485357</v>
      </c>
      <c r="U31" s="132">
        <v>4.8174483702938735</v>
      </c>
      <c r="V31" s="132">
        <v>4.6905737531775422</v>
      </c>
      <c r="W31" s="132">
        <v>4.548990083734731</v>
      </c>
      <c r="X31" s="132">
        <v>3.8821898892984317</v>
      </c>
      <c r="Y31" s="132">
        <v>3.8710583876802467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19.32623978492607</v>
      </c>
      <c r="C33" s="68">
        <v>18.662027004059237</v>
      </c>
      <c r="D33" s="68">
        <v>18.253532089346709</v>
      </c>
      <c r="E33" s="68">
        <v>19.417266805400498</v>
      </c>
      <c r="F33" s="68">
        <v>19.172269229240619</v>
      </c>
      <c r="G33" s="68">
        <v>20.965689609255151</v>
      </c>
      <c r="H33" s="68">
        <v>21.875582887576901</v>
      </c>
      <c r="I33" s="68">
        <v>22.648044018067203</v>
      </c>
      <c r="J33" s="68">
        <v>23.224887988283861</v>
      </c>
      <c r="K33" s="68">
        <v>24.387110240908353</v>
      </c>
      <c r="L33" s="68">
        <v>24.793437066607968</v>
      </c>
      <c r="M33" s="68">
        <v>25.729147660632187</v>
      </c>
      <c r="N33" s="68">
        <v>25.659214585867122</v>
      </c>
      <c r="O33" s="68">
        <v>26.456743897415279</v>
      </c>
      <c r="P33" s="68">
        <v>26.432154651617637</v>
      </c>
      <c r="Q33" s="68">
        <v>26.79074328992759</v>
      </c>
      <c r="R33" s="68">
        <v>25.087973117923319</v>
      </c>
      <c r="S33" s="68">
        <v>25.454301840578164</v>
      </c>
      <c r="T33" s="68">
        <v>26.573580641099632</v>
      </c>
      <c r="U33" s="68">
        <v>25.529256495335861</v>
      </c>
      <c r="V33" s="68">
        <v>23.70953263683419</v>
      </c>
      <c r="W33" s="68">
        <v>28.349112875136253</v>
      </c>
      <c r="X33" s="68">
        <v>32.141491347031526</v>
      </c>
      <c r="Y33" s="68">
        <v>35.798076672740969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0.62919187805455046</v>
      </c>
      <c r="C3" s="126">
        <f>IF(SER_hh_tes!C3=0,"",SER_hh_tes!C3/SER_hh_fec!C3)</f>
        <v>0.60198086942826035</v>
      </c>
      <c r="D3" s="126">
        <f>IF(SER_hh_tes!D3=0,"",SER_hh_tes!D3/SER_hh_fec!D3)</f>
        <v>0.62527279084378207</v>
      </c>
      <c r="E3" s="126">
        <f>IF(SER_hh_tes!E3=0,"",SER_hh_tes!E3/SER_hh_fec!E3)</f>
        <v>0.61583601256892251</v>
      </c>
      <c r="F3" s="126">
        <f>IF(SER_hh_tes!F3=0,"",SER_hh_tes!F3/SER_hh_fec!F3)</f>
        <v>0.62538513181150457</v>
      </c>
      <c r="G3" s="126">
        <f>IF(SER_hh_tes!G3=0,"",SER_hh_tes!G3/SER_hh_fec!G3)</f>
        <v>0.64054402171423197</v>
      </c>
      <c r="H3" s="126">
        <f>IF(SER_hh_tes!H3=0,"",SER_hh_tes!H3/SER_hh_fec!H3)</f>
        <v>0.64854620763916093</v>
      </c>
      <c r="I3" s="126">
        <f>IF(SER_hh_tes!I3=0,"",SER_hh_tes!I3/SER_hh_fec!I3)</f>
        <v>0.65403905641733606</v>
      </c>
      <c r="J3" s="126">
        <f>IF(SER_hh_tes!J3=0,"",SER_hh_tes!J3/SER_hh_fec!J3)</f>
        <v>0.67091975755670286</v>
      </c>
      <c r="K3" s="126">
        <f>IF(SER_hh_tes!K3=0,"",SER_hh_tes!K3/SER_hh_fec!K3)</f>
        <v>0.68376092106765129</v>
      </c>
      <c r="L3" s="126">
        <f>IF(SER_hh_tes!L3=0,"",SER_hh_tes!L3/SER_hh_fec!L3)</f>
        <v>0.69156317415910351</v>
      </c>
      <c r="M3" s="126">
        <f>IF(SER_hh_tes!M3=0,"",SER_hh_tes!M3/SER_hh_fec!M3)</f>
        <v>0.6812158445822234</v>
      </c>
      <c r="N3" s="126">
        <f>IF(SER_hh_tes!N3=0,"",SER_hh_tes!N3/SER_hh_fec!N3)</f>
        <v>0.69447098244847394</v>
      </c>
      <c r="O3" s="126">
        <f>IF(SER_hh_tes!O3=0,"",SER_hh_tes!O3/SER_hh_fec!O3)</f>
        <v>0.69718514731029124</v>
      </c>
      <c r="P3" s="126">
        <f>IF(SER_hh_tes!P3=0,"",SER_hh_tes!P3/SER_hh_fec!P3)</f>
        <v>0.7016482184505729</v>
      </c>
      <c r="Q3" s="126">
        <f>IF(SER_hh_tes!Q3=0,"",SER_hh_tes!Q3/SER_hh_fec!Q3)</f>
        <v>0.70458641660498067</v>
      </c>
      <c r="R3" s="126">
        <f>IF(SER_hh_tes!R3=0,"",SER_hh_tes!R3/SER_hh_fec!R3)</f>
        <v>0.71471913574312151</v>
      </c>
      <c r="S3" s="126">
        <f>IF(SER_hh_tes!S3=0,"",SER_hh_tes!S3/SER_hh_fec!S3)</f>
        <v>0.72302323392679924</v>
      </c>
      <c r="T3" s="126">
        <f>IF(SER_hh_tes!T3=0,"",SER_hh_tes!T3/SER_hh_fec!T3)</f>
        <v>0.73547574601253818</v>
      </c>
      <c r="U3" s="126">
        <f>IF(SER_hh_tes!U3=0,"",SER_hh_tes!U3/SER_hh_fec!U3)</f>
        <v>0.74454467856891948</v>
      </c>
      <c r="V3" s="126">
        <f>IF(SER_hh_tes!V3=0,"",SER_hh_tes!V3/SER_hh_fec!V3)</f>
        <v>0.75183461610979763</v>
      </c>
      <c r="W3" s="126">
        <f>IF(SER_hh_tes!W3=0,"",SER_hh_tes!W3/SER_hh_fec!W3)</f>
        <v>0.76435205417880192</v>
      </c>
      <c r="X3" s="126">
        <f>IF(SER_hh_tes!X3=0,"",SER_hh_tes!X3/SER_hh_fec!X3)</f>
        <v>0.77972593071083418</v>
      </c>
      <c r="Y3" s="126">
        <f>IF(SER_hh_tes!Y3=0,"",SER_hh_tes!Y3/SER_hh_fec!Y3)</f>
        <v>0.79085698836020346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0.6161489235335168</v>
      </c>
      <c r="C4" s="135">
        <f>IF(SER_hh_tes!C4=0,"",SER_hh_tes!C4/SER_hh_fec!C4)</f>
        <v>0.58066079029563022</v>
      </c>
      <c r="D4" s="135">
        <f>IF(SER_hh_tes!D4=0,"",SER_hh_tes!D4/SER_hh_fec!D4)</f>
        <v>0.61094434978597845</v>
      </c>
      <c r="E4" s="135">
        <f>IF(SER_hh_tes!E4=0,"",SER_hh_tes!E4/SER_hh_fec!E4)</f>
        <v>0.59808442336549961</v>
      </c>
      <c r="F4" s="135">
        <f>IF(SER_hh_tes!F4=0,"",SER_hh_tes!F4/SER_hh_fec!F4)</f>
        <v>0.61183136270238281</v>
      </c>
      <c r="G4" s="135">
        <f>IF(SER_hh_tes!G4=0,"",SER_hh_tes!G4/SER_hh_fec!G4)</f>
        <v>0.62874043815457714</v>
      </c>
      <c r="H4" s="135">
        <f>IF(SER_hh_tes!H4=0,"",SER_hh_tes!H4/SER_hh_fec!H4)</f>
        <v>0.63676524821363334</v>
      </c>
      <c r="I4" s="135">
        <f>IF(SER_hh_tes!I4=0,"",SER_hh_tes!I4/SER_hh_fec!I4)</f>
        <v>0.64242263458603666</v>
      </c>
      <c r="J4" s="135">
        <f>IF(SER_hh_tes!J4=0,"",SER_hh_tes!J4/SER_hh_fec!J4)</f>
        <v>0.66334763119277074</v>
      </c>
      <c r="K4" s="135">
        <f>IF(SER_hh_tes!K4=0,"",SER_hh_tes!K4/SER_hh_fec!K4)</f>
        <v>0.67743794144285019</v>
      </c>
      <c r="L4" s="135">
        <f>IF(SER_hh_tes!L4=0,"",SER_hh_tes!L4/SER_hh_fec!L4)</f>
        <v>0.68536700442171639</v>
      </c>
      <c r="M4" s="135">
        <f>IF(SER_hh_tes!M4=0,"",SER_hh_tes!M4/SER_hh_fec!M4)</f>
        <v>0.67027352148610786</v>
      </c>
      <c r="N4" s="135">
        <f>IF(SER_hh_tes!N4=0,"",SER_hh_tes!N4/SER_hh_fec!N4)</f>
        <v>0.68712089923180397</v>
      </c>
      <c r="O4" s="135">
        <f>IF(SER_hh_tes!O4=0,"",SER_hh_tes!O4/SER_hh_fec!O4)</f>
        <v>0.68864579183362684</v>
      </c>
      <c r="P4" s="135">
        <f>IF(SER_hh_tes!P4=0,"",SER_hh_tes!P4/SER_hh_fec!P4)</f>
        <v>0.69411928068833384</v>
      </c>
      <c r="Q4" s="135">
        <f>IF(SER_hh_tes!Q4=0,"",SER_hh_tes!Q4/SER_hh_fec!Q4)</f>
        <v>0.69617657033035152</v>
      </c>
      <c r="R4" s="135">
        <f>IF(SER_hh_tes!R4=0,"",SER_hh_tes!R4/SER_hh_fec!R4)</f>
        <v>0.70914094179836473</v>
      </c>
      <c r="S4" s="135">
        <f>IF(SER_hh_tes!S4=0,"",SER_hh_tes!S4/SER_hh_fec!S4)</f>
        <v>0.71652363747636705</v>
      </c>
      <c r="T4" s="135">
        <f>IF(SER_hh_tes!T4=0,"",SER_hh_tes!T4/SER_hh_fec!T4)</f>
        <v>0.72840535362705261</v>
      </c>
      <c r="U4" s="135">
        <f>IF(SER_hh_tes!U4=0,"",SER_hh_tes!U4/SER_hh_fec!U4)</f>
        <v>0.73769909638380893</v>
      </c>
      <c r="V4" s="135">
        <f>IF(SER_hh_tes!V4=0,"",SER_hh_tes!V4/SER_hh_fec!V4)</f>
        <v>0.74499692021076691</v>
      </c>
      <c r="W4" s="135">
        <f>IF(SER_hh_tes!W4=0,"",SER_hh_tes!W4/SER_hh_fec!W4)</f>
        <v>0.75567600192124351</v>
      </c>
      <c r="X4" s="135">
        <f>IF(SER_hh_tes!X4=0,"",SER_hh_tes!X4/SER_hh_fec!X4)</f>
        <v>0.76894865671503643</v>
      </c>
      <c r="Y4" s="135">
        <f>IF(SER_hh_tes!Y4=0,"",SER_hh_tes!Y4/SER_hh_fec!Y4)</f>
        <v>0.77884953942665747</v>
      </c>
      <c r="DA4" s="162" t="s">
        <v>240</v>
      </c>
    </row>
    <row r="5" spans="1:105" ht="12" customHeight="1" x14ac:dyDescent="0.25">
      <c r="A5" s="131" t="s">
        <v>29</v>
      </c>
      <c r="B5" s="136">
        <f>IF(SER_hh_tes!B5=0,"",SER_hh_tes!B5/SER_hh_fec!B5)</f>
        <v>0.50619700290517555</v>
      </c>
      <c r="C5" s="136">
        <f>IF(SER_hh_tes!C5=0,"",SER_hh_tes!C5/SER_hh_fec!C5)</f>
        <v>0.51203275219863142</v>
      </c>
      <c r="D5" s="136">
        <f>IF(SER_hh_tes!D5=0,"",SER_hh_tes!D5/SER_hh_fec!D5)</f>
        <v>0.51772960304410964</v>
      </c>
      <c r="E5" s="136">
        <f>IF(SER_hh_tes!E5=0,"",SER_hh_tes!E5/SER_hh_fec!E5)</f>
        <v>0.52185524745994827</v>
      </c>
      <c r="F5" s="136">
        <f>IF(SER_hh_tes!F5=0,"",SER_hh_tes!F5/SER_hh_fec!F5)</f>
        <v>0.52321333051839258</v>
      </c>
      <c r="G5" s="136">
        <f>IF(SER_hh_tes!G5=0,"",SER_hh_tes!G5/SER_hh_fec!G5)</f>
        <v>0.5277022265490201</v>
      </c>
      <c r="H5" s="136">
        <f>IF(SER_hh_tes!H5=0,"",SER_hh_tes!H5/SER_hh_fec!H5)</f>
        <v>0.52985767590989374</v>
      </c>
      <c r="I5" s="136">
        <f>IF(SER_hh_tes!I5=0,"",SER_hh_tes!I5/SER_hh_fec!I5)</f>
        <v>0.53120190947113477</v>
      </c>
      <c r="J5" s="136">
        <f>IF(SER_hh_tes!J5=0,"",SER_hh_tes!J5/SER_hh_fec!J5)</f>
        <v>0.53301241967390778</v>
      </c>
      <c r="K5" s="136">
        <f>IF(SER_hh_tes!K5=0,"",SER_hh_tes!K5/SER_hh_fec!K5)</f>
        <v>0.53328531753634123</v>
      </c>
      <c r="L5" s="136">
        <f>IF(SER_hh_tes!L5=0,"",SER_hh_tes!L5/SER_hh_fec!L5)</f>
        <v>0.53504625315543775</v>
      </c>
      <c r="M5" s="136">
        <f>IF(SER_hh_tes!M5=0,"",SER_hh_tes!M5/SER_hh_fec!M5)</f>
        <v>0.55597468166763497</v>
      </c>
      <c r="N5" s="136">
        <f>IF(SER_hh_tes!N5=0,"",SER_hh_tes!N5/SER_hh_fec!N5)</f>
        <v>0.59722652072039462</v>
      </c>
      <c r="O5" s="136">
        <f>IF(SER_hh_tes!O5=0,"",SER_hh_tes!O5/SER_hh_fec!O5)</f>
        <v>0.630897511816499</v>
      </c>
      <c r="P5" s="136">
        <f>IF(SER_hh_tes!P5=0,"",SER_hh_tes!P5/SER_hh_fec!P5)</f>
        <v>0.63095511655599945</v>
      </c>
      <c r="Q5" s="136">
        <f>IF(SER_hh_tes!Q5=0,"",SER_hh_tes!Q5/SER_hh_fec!Q5)</f>
        <v>0.63260263840955078</v>
      </c>
      <c r="R5" s="136">
        <f>IF(SER_hh_tes!R5=0,"",SER_hh_tes!R5/SER_hh_fec!R5)</f>
        <v>0.63582708718456615</v>
      </c>
      <c r="S5" s="136">
        <f>IF(SER_hh_tes!S5=0,"",SER_hh_tes!S5/SER_hh_fec!S5)</f>
        <v>0.64270482898445536</v>
      </c>
      <c r="T5" s="136">
        <f>IF(SER_hh_tes!T5=0,"",SER_hh_tes!T5/SER_hh_fec!T5)</f>
        <v>0.64911553196643834</v>
      </c>
      <c r="U5" s="136">
        <f>IF(SER_hh_tes!U5=0,"",SER_hh_tes!U5/SER_hh_fec!U5)</f>
        <v>0.65239077329645923</v>
      </c>
      <c r="V5" s="136">
        <f>IF(SER_hh_tes!V5=0,"",SER_hh_tes!V5/SER_hh_fec!V5)</f>
        <v>0.6555502531206826</v>
      </c>
      <c r="W5" s="136">
        <f>IF(SER_hh_tes!W5=0,"",SER_hh_tes!W5/SER_hh_fec!W5)</f>
        <v>0.65793525464613745</v>
      </c>
      <c r="X5" s="136">
        <f>IF(SER_hh_tes!X5=0,"",SER_hh_tes!X5/SER_hh_fec!X5)</f>
        <v>0.65793525464613745</v>
      </c>
      <c r="Y5" s="136">
        <f>IF(SER_hh_tes!Y5=0,"",SER_hh_tes!Y5/SER_hh_fec!Y5)</f>
        <v>0.65793525464613722</v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0.4345142000351469</v>
      </c>
      <c r="C7" s="136">
        <f>IF(SER_hh_tes!C7=0,"",SER_hh_tes!C7/SER_hh_fec!C7)</f>
        <v>0.43625017247188741</v>
      </c>
      <c r="D7" s="136">
        <f>IF(SER_hh_tes!D7=0,"",SER_hh_tes!D7/SER_hh_fec!D7)</f>
        <v>0.43640442086736958</v>
      </c>
      <c r="E7" s="136">
        <f>IF(SER_hh_tes!E7=0,"",SER_hh_tes!E7/SER_hh_fec!E7)</f>
        <v>0.43644125596040606</v>
      </c>
      <c r="F7" s="136">
        <f>IF(SER_hh_tes!F7=0,"",SER_hh_tes!F7/SER_hh_fec!F7)</f>
        <v>0.43644125596040606</v>
      </c>
      <c r="G7" s="136">
        <f>IF(SER_hh_tes!G7=0,"",SER_hh_tes!G7/SER_hh_fec!G7)</f>
        <v>0.43644125596040612</v>
      </c>
      <c r="H7" s="136">
        <f>IF(SER_hh_tes!H7=0,"",SER_hh_tes!H7/SER_hh_fec!H7)</f>
        <v>0.43710655494047285</v>
      </c>
      <c r="I7" s="136">
        <f>IF(SER_hh_tes!I7=0,"",SER_hh_tes!I7/SER_hh_fec!I7)</f>
        <v>0.44542559384901476</v>
      </c>
      <c r="J7" s="136">
        <f>IF(SER_hh_tes!J7=0,"",SER_hh_tes!J7/SER_hh_fec!J7)</f>
        <v>0.45187385762712567</v>
      </c>
      <c r="K7" s="136">
        <f>IF(SER_hh_tes!K7=0,"",SER_hh_tes!K7/SER_hh_fec!K7)</f>
        <v>0.46666446741643769</v>
      </c>
      <c r="L7" s="136">
        <f>IF(SER_hh_tes!L7=0,"",SER_hh_tes!L7/SER_hh_fec!L7)</f>
        <v>0.4855385517676471</v>
      </c>
      <c r="M7" s="136">
        <f>IF(SER_hh_tes!M7=0,"",SER_hh_tes!M7/SER_hh_fec!M7)</f>
        <v>0.51201798592192027</v>
      </c>
      <c r="N7" s="136">
        <f>IF(SER_hh_tes!N7=0,"",SER_hh_tes!N7/SER_hh_fec!N7)</f>
        <v>0.53286461064842772</v>
      </c>
      <c r="O7" s="136">
        <f>IF(SER_hh_tes!O7=0,"",SER_hh_tes!O7/SER_hh_fec!O7)</f>
        <v>0.55061568225121849</v>
      </c>
      <c r="P7" s="136">
        <f>IF(SER_hh_tes!P7=0,"",SER_hh_tes!P7/SER_hh_fec!P7)</f>
        <v>0.55127667753760068</v>
      </c>
      <c r="Q7" s="136">
        <f>IF(SER_hh_tes!Q7=0,"",SER_hh_tes!Q7/SER_hh_fec!Q7)</f>
        <v>0.55160049172587766</v>
      </c>
      <c r="R7" s="136">
        <f>IF(SER_hh_tes!R7=0,"",SER_hh_tes!R7/SER_hh_fec!R7)</f>
        <v>0.55230413404058631</v>
      </c>
      <c r="S7" s="136">
        <f>IF(SER_hh_tes!S7=0,"",SER_hh_tes!S7/SER_hh_fec!S7)</f>
        <v>0.55333760942833554</v>
      </c>
      <c r="T7" s="136">
        <f>IF(SER_hh_tes!T7=0,"",SER_hh_tes!T7/SER_hh_fec!T7)</f>
        <v>0.55333760942833587</v>
      </c>
      <c r="U7" s="136">
        <f>IF(SER_hh_tes!U7=0,"",SER_hh_tes!U7/SER_hh_fec!U7)</f>
        <v>0.55336973450929938</v>
      </c>
      <c r="V7" s="136">
        <f>IF(SER_hh_tes!V7=0,"",SER_hh_tes!V7/SER_hh_fec!V7)</f>
        <v>0.5536454429634996</v>
      </c>
      <c r="W7" s="136">
        <f>IF(SER_hh_tes!W7=0,"",SER_hh_tes!W7/SER_hh_fec!W7)</f>
        <v>0.5657221558635861</v>
      </c>
      <c r="X7" s="136">
        <f>IF(SER_hh_tes!X7=0,"",SER_hh_tes!X7/SER_hh_fec!X7)</f>
        <v>0.59118329679200621</v>
      </c>
      <c r="Y7" s="136">
        <f>IF(SER_hh_tes!Y7=0,"",SER_hh_tes!Y7/SER_hh_fec!Y7)</f>
        <v>0.6202517894562507</v>
      </c>
      <c r="DA7" s="163" t="s">
        <v>334</v>
      </c>
    </row>
    <row r="8" spans="1:105" ht="12" customHeight="1" x14ac:dyDescent="0.25">
      <c r="A8" s="131" t="s">
        <v>73</v>
      </c>
      <c r="B8" s="136" t="str">
        <f>IF(SER_hh_tes!B8=0,"",SER_hh_tes!B8/SER_hh_fec!B8)</f>
        <v/>
      </c>
      <c r="C8" s="136" t="str">
        <f>IF(SER_hh_tes!C8=0,"",SER_hh_tes!C8/SER_hh_fec!C8)</f>
        <v/>
      </c>
      <c r="D8" s="136" t="str">
        <f>IF(SER_hh_tes!D8=0,"",SER_hh_tes!D8/SER_hh_fec!D8)</f>
        <v/>
      </c>
      <c r="E8" s="136" t="str">
        <f>IF(SER_hh_tes!E8=0,"",SER_hh_tes!E8/SER_hh_fec!E8)</f>
        <v/>
      </c>
      <c r="F8" s="136" t="str">
        <f>IF(SER_hh_tes!F8=0,"",SER_hh_tes!F8/SER_hh_fec!F8)</f>
        <v/>
      </c>
      <c r="G8" s="136" t="str">
        <f>IF(SER_hh_tes!G8=0,"",SER_hh_tes!G8/SER_hh_fec!G8)</f>
        <v/>
      </c>
      <c r="H8" s="136" t="str">
        <f>IF(SER_hh_tes!H8=0,"",SER_hh_tes!H8/SER_hh_fec!H8)</f>
        <v/>
      </c>
      <c r="I8" s="136" t="str">
        <f>IF(SER_hh_tes!I8=0,"",SER_hh_tes!I8/SER_hh_fec!I8)</f>
        <v/>
      </c>
      <c r="J8" s="136" t="str">
        <f>IF(SER_hh_tes!J8=0,"",SER_hh_tes!J8/SER_hh_fec!J8)</f>
        <v/>
      </c>
      <c r="K8" s="136" t="str">
        <f>IF(SER_hh_tes!K8=0,"",SER_hh_tes!K8/SER_hh_fec!K8)</f>
        <v/>
      </c>
      <c r="L8" s="136" t="str">
        <f>IF(SER_hh_tes!L8=0,"",SER_hh_tes!L8/SER_hh_fec!L8)</f>
        <v/>
      </c>
      <c r="M8" s="136" t="str">
        <f>IF(SER_hh_tes!M8=0,"",SER_hh_tes!M8/SER_hh_fec!M8)</f>
        <v/>
      </c>
      <c r="N8" s="136" t="str">
        <f>IF(SER_hh_tes!N8=0,"",SER_hh_tes!N8/SER_hh_fec!N8)</f>
        <v/>
      </c>
      <c r="O8" s="136" t="str">
        <f>IF(SER_hh_tes!O8=0,"",SER_hh_tes!O8/SER_hh_fec!O8)</f>
        <v/>
      </c>
      <c r="P8" s="136" t="str">
        <f>IF(SER_hh_tes!P8=0,"",SER_hh_tes!P8/SER_hh_fec!P8)</f>
        <v/>
      </c>
      <c r="Q8" s="136" t="str">
        <f>IF(SER_hh_tes!Q8=0,"",SER_hh_tes!Q8/SER_hh_fec!Q8)</f>
        <v/>
      </c>
      <c r="R8" s="136" t="str">
        <f>IF(SER_hh_tes!R8=0,"",SER_hh_tes!R8/SER_hh_fec!R8)</f>
        <v/>
      </c>
      <c r="S8" s="136" t="str">
        <f>IF(SER_hh_tes!S8=0,"",SER_hh_tes!S8/SER_hh_fec!S8)</f>
        <v/>
      </c>
      <c r="T8" s="136" t="str">
        <f>IF(SER_hh_tes!T8=0,"",SER_hh_tes!T8/SER_hh_fec!T8)</f>
        <v/>
      </c>
      <c r="U8" s="136" t="str">
        <f>IF(SER_hh_tes!U8=0,"",SER_hh_tes!U8/SER_hh_fec!U8)</f>
        <v/>
      </c>
      <c r="V8" s="136" t="str">
        <f>IF(SER_hh_tes!V8=0,"",SER_hh_tes!V8/SER_hh_fec!V8)</f>
        <v/>
      </c>
      <c r="W8" s="136" t="str">
        <f>IF(SER_hh_tes!W8=0,"",SER_hh_tes!W8/SER_hh_fec!W8)</f>
        <v/>
      </c>
      <c r="X8" s="136" t="str">
        <f>IF(SER_hh_tes!X8=0,"",SER_hh_tes!X8/SER_hh_fec!X8)</f>
        <v/>
      </c>
      <c r="Y8" s="136" t="str">
        <f>IF(SER_hh_tes!Y8=0,"",SER_hh_tes!Y8/SER_hh_fec!Y8)</f>
        <v/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0.46966396734707644</v>
      </c>
      <c r="C9" s="136">
        <f>IF(SER_hh_tes!C9=0,"",SER_hh_tes!C9/SER_hh_fec!C9)</f>
        <v>0.48587298700180054</v>
      </c>
      <c r="D9" s="136">
        <f>IF(SER_hh_tes!D9=0,"",SER_hh_tes!D9/SER_hh_fec!D9)</f>
        <v>0.5020345372706051</v>
      </c>
      <c r="E9" s="136">
        <f>IF(SER_hh_tes!E9=0,"",SER_hh_tes!E9/SER_hh_fec!E9)</f>
        <v>0.51005867360141066</v>
      </c>
      <c r="F9" s="136">
        <f>IF(SER_hh_tes!F9=0,"",SER_hh_tes!F9/SER_hh_fec!F9)</f>
        <v>0.51179646075131746</v>
      </c>
      <c r="G9" s="136">
        <f>IF(SER_hh_tes!G9=0,"",SER_hh_tes!G9/SER_hh_fec!G9)</f>
        <v>0.51278891115238312</v>
      </c>
      <c r="H9" s="136">
        <f>IF(SER_hh_tes!H9=0,"",SER_hh_tes!H9/SER_hh_fec!H9)</f>
        <v>0.51359733130935059</v>
      </c>
      <c r="I9" s="136">
        <f>IF(SER_hh_tes!I9=0,"",SER_hh_tes!I9/SER_hh_fec!I9)</f>
        <v>0.51422413420819102</v>
      </c>
      <c r="J9" s="136">
        <f>IF(SER_hh_tes!J9=0,"",SER_hh_tes!J9/SER_hh_fec!J9)</f>
        <v>0.51464808685428742</v>
      </c>
      <c r="K9" s="136">
        <f>IF(SER_hh_tes!K9=0,"",SER_hh_tes!K9/SER_hh_fec!K9)</f>
        <v>0.51481641983297999</v>
      </c>
      <c r="L9" s="136">
        <f>IF(SER_hh_tes!L9=0,"",SER_hh_tes!L9/SER_hh_fec!L9)</f>
        <v>0.51571504274901103</v>
      </c>
      <c r="M9" s="136">
        <f>IF(SER_hh_tes!M9=0,"",SER_hh_tes!M9/SER_hh_fec!M9)</f>
        <v>0.52652116902996593</v>
      </c>
      <c r="N9" s="136">
        <f>IF(SER_hh_tes!N9=0,"",SER_hh_tes!N9/SER_hh_fec!N9)</f>
        <v>0.54227273963148526</v>
      </c>
      <c r="O9" s="136">
        <f>IF(SER_hh_tes!O9=0,"",SER_hh_tes!O9/SER_hh_fec!O9)</f>
        <v>0.56295283177445177</v>
      </c>
      <c r="P9" s="136">
        <f>IF(SER_hh_tes!P9=0,"",SER_hh_tes!P9/SER_hh_fec!P9)</f>
        <v>0.5819907675764211</v>
      </c>
      <c r="Q9" s="136">
        <f>IF(SER_hh_tes!Q9=0,"",SER_hh_tes!Q9/SER_hh_fec!Q9)</f>
        <v>0.59889309605353069</v>
      </c>
      <c r="R9" s="136">
        <f>IF(SER_hh_tes!R9=0,"",SER_hh_tes!R9/SER_hh_fec!R9)</f>
        <v>0.61777368872976535</v>
      </c>
      <c r="S9" s="136">
        <f>IF(SER_hh_tes!S9=0,"",SER_hh_tes!S9/SER_hh_fec!S9)</f>
        <v>0.63724144517486092</v>
      </c>
      <c r="T9" s="136">
        <f>IF(SER_hh_tes!T9=0,"",SER_hh_tes!T9/SER_hh_fec!T9)</f>
        <v>0.65637285810634205</v>
      </c>
      <c r="U9" s="136">
        <f>IF(SER_hh_tes!U9=0,"",SER_hh_tes!U9/SER_hh_fec!U9)</f>
        <v>0.66865183688139984</v>
      </c>
      <c r="V9" s="136">
        <f>IF(SER_hh_tes!V9=0,"",SER_hh_tes!V9/SER_hh_fec!V9)</f>
        <v>0.67043530439797339</v>
      </c>
      <c r="W9" s="136">
        <f>IF(SER_hh_tes!W9=0,"",SER_hh_tes!W9/SER_hh_fec!W9)</f>
        <v>0.67143379991673335</v>
      </c>
      <c r="X9" s="136">
        <f>IF(SER_hh_tes!X9=0,"",SER_hh_tes!X9/SER_hh_fec!X9)</f>
        <v>0.67179124880295216</v>
      </c>
      <c r="Y9" s="136">
        <f>IF(SER_hh_tes!Y9=0,"",SER_hh_tes!Y9/SER_hh_fec!Y9)</f>
        <v>0.67179124880295293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0.42821076552641218</v>
      </c>
      <c r="C10" s="136">
        <f>IF(SER_hh_tes!C10=0,"",SER_hh_tes!C10/SER_hh_fec!C10)</f>
        <v>0.44761171354028995</v>
      </c>
      <c r="D10" s="136">
        <f>IF(SER_hh_tes!D10=0,"",SER_hh_tes!D10/SER_hh_fec!D10)</f>
        <v>0.45965348738640566</v>
      </c>
      <c r="E10" s="136">
        <f>IF(SER_hh_tes!E10=0,"",SER_hh_tes!E10/SER_hh_fec!E10)</f>
        <v>0.46939579408536197</v>
      </c>
      <c r="F10" s="136">
        <f>IF(SER_hh_tes!F10=0,"",SER_hh_tes!F10/SER_hh_fec!F10)</f>
        <v>0.47815909966104836</v>
      </c>
      <c r="G10" s="136">
        <f>IF(SER_hh_tes!G10=0,"",SER_hh_tes!G10/SER_hh_fec!G10)</f>
        <v>0.48436294334803132</v>
      </c>
      <c r="H10" s="136">
        <f>IF(SER_hh_tes!H10=0,"",SER_hh_tes!H10/SER_hh_fec!H10)</f>
        <v>0.49079673312221539</v>
      </c>
      <c r="I10" s="136">
        <f>IF(SER_hh_tes!I10=0,"",SER_hh_tes!I10/SER_hh_fec!I10)</f>
        <v>0.49453439476080513</v>
      </c>
      <c r="J10" s="136">
        <f>IF(SER_hh_tes!J10=0,"",SER_hh_tes!J10/SER_hh_fec!J10)</f>
        <v>0.49779554727146152</v>
      </c>
      <c r="K10" s="136">
        <f>IF(SER_hh_tes!K10=0,"",SER_hh_tes!K10/SER_hh_fec!K10)</f>
        <v>0.50139812677520945</v>
      </c>
      <c r="L10" s="136">
        <f>IF(SER_hh_tes!L10=0,"",SER_hh_tes!L10/SER_hh_fec!L10)</f>
        <v>0.50588469870820962</v>
      </c>
      <c r="M10" s="136">
        <f>IF(SER_hh_tes!M10=0,"",SER_hh_tes!M10/SER_hh_fec!M10)</f>
        <v>0.51156332971858065</v>
      </c>
      <c r="N10" s="136">
        <f>IF(SER_hh_tes!N10=0,"",SER_hh_tes!N10/SER_hh_fec!N10)</f>
        <v>0.51699149798176347</v>
      </c>
      <c r="O10" s="136">
        <f>IF(SER_hh_tes!O10=0,"",SER_hh_tes!O10/SER_hh_fec!O10)</f>
        <v>0.52237325828148962</v>
      </c>
      <c r="P10" s="136">
        <f>IF(SER_hh_tes!P10=0,"",SER_hh_tes!P10/SER_hh_fec!P10)</f>
        <v>0.52239300777174336</v>
      </c>
      <c r="Q10" s="136">
        <f>IF(SER_hh_tes!Q10=0,"",SER_hh_tes!Q10/SER_hh_fec!Q10)</f>
        <v>0.52241678620931653</v>
      </c>
      <c r="R10" s="136">
        <f>IF(SER_hh_tes!R10=0,"",SER_hh_tes!R10/SER_hh_fec!R10)</f>
        <v>0.52268018770749181</v>
      </c>
      <c r="S10" s="136">
        <f>IF(SER_hh_tes!S10=0,"",SER_hh_tes!S10/SER_hh_fec!S10)</f>
        <v>0.5234696572855716</v>
      </c>
      <c r="T10" s="136">
        <f>IF(SER_hh_tes!T10=0,"",SER_hh_tes!T10/SER_hh_fec!T10)</f>
        <v>0.52412029795314186</v>
      </c>
      <c r="U10" s="136">
        <f>IF(SER_hh_tes!U10=0,"",SER_hh_tes!U10/SER_hh_fec!U10)</f>
        <v>0.52479178736548771</v>
      </c>
      <c r="V10" s="136">
        <f>IF(SER_hh_tes!V10=0,"",SER_hh_tes!V10/SER_hh_fec!V10)</f>
        <v>0.52517106365740152</v>
      </c>
      <c r="W10" s="136">
        <f>IF(SER_hh_tes!W10=0,"",SER_hh_tes!W10/SER_hh_fec!W10)</f>
        <v>0.52550996409863981</v>
      </c>
      <c r="X10" s="136">
        <f>IF(SER_hh_tes!X10=0,"",SER_hh_tes!X10/SER_hh_fec!X10)</f>
        <v>0.5258076745708441</v>
      </c>
      <c r="Y10" s="136">
        <f>IF(SER_hh_tes!Y10=0,"",SER_hh_tes!Y10/SER_hh_fec!Y10)</f>
        <v>0.52586736924561717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 t="str">
        <f>IF(SER_hh_tes!D11=0,"",SER_hh_tes!D11/SER_hh_fec!D11)</f>
        <v/>
      </c>
      <c r="E11" s="136" t="str">
        <f>IF(SER_hh_tes!E11=0,"",SER_hh_tes!E11/SER_hh_fec!E11)</f>
        <v/>
      </c>
      <c r="F11" s="136" t="str">
        <f>IF(SER_hh_tes!F11=0,"",SER_hh_tes!F11/SER_hh_fec!F11)</f>
        <v/>
      </c>
      <c r="G11" s="136" t="str">
        <f>IF(SER_hh_tes!G11=0,"",SER_hh_tes!G11/SER_hh_fec!G11)</f>
        <v/>
      </c>
      <c r="H11" s="136" t="str">
        <f>IF(SER_hh_tes!H11=0,"",SER_hh_tes!H11/SER_hh_fec!H11)</f>
        <v/>
      </c>
      <c r="I11" s="136" t="str">
        <f>IF(SER_hh_tes!I11=0,"",SER_hh_tes!I11/SER_hh_fec!I11)</f>
        <v/>
      </c>
      <c r="J11" s="136" t="str">
        <f>IF(SER_hh_tes!J11=0,"",SER_hh_tes!J11/SER_hh_fec!J11)</f>
        <v/>
      </c>
      <c r="K11" s="136" t="str">
        <f>IF(SER_hh_tes!K11=0,"",SER_hh_tes!K11/SER_hh_fec!K11)</f>
        <v/>
      </c>
      <c r="L11" s="136" t="str">
        <f>IF(SER_hh_tes!L11=0,"",SER_hh_tes!L11/SER_hh_fec!L11)</f>
        <v/>
      </c>
      <c r="M11" s="136" t="str">
        <f>IF(SER_hh_tes!M11=0,"",SER_hh_tes!M11/SER_hh_fec!M11)</f>
        <v/>
      </c>
      <c r="N11" s="136" t="str">
        <f>IF(SER_hh_tes!N11=0,"",SER_hh_tes!N11/SER_hh_fec!N11)</f>
        <v/>
      </c>
      <c r="O11" s="136" t="str">
        <f>IF(SER_hh_tes!O11=0,"",SER_hh_tes!O11/SER_hh_fec!O11)</f>
        <v/>
      </c>
      <c r="P11" s="136" t="str">
        <f>IF(SER_hh_tes!P11=0,"",SER_hh_tes!P11/SER_hh_fec!P11)</f>
        <v/>
      </c>
      <c r="Q11" s="136" t="str">
        <f>IF(SER_hh_tes!Q11=0,"",SER_hh_tes!Q11/SER_hh_fec!Q11)</f>
        <v/>
      </c>
      <c r="R11" s="136" t="str">
        <f>IF(SER_hh_tes!R11=0,"",SER_hh_tes!R11/SER_hh_fec!R11)</f>
        <v/>
      </c>
      <c r="S11" s="136" t="str">
        <f>IF(SER_hh_tes!S11=0,"",SER_hh_tes!S11/SER_hh_fec!S11)</f>
        <v/>
      </c>
      <c r="T11" s="136" t="str">
        <f>IF(SER_hh_tes!T11=0,"",SER_hh_tes!T11/SER_hh_fec!T11)</f>
        <v/>
      </c>
      <c r="U11" s="136" t="str">
        <f>IF(SER_hh_tes!U11=0,"",SER_hh_tes!U11/SER_hh_fec!U11)</f>
        <v/>
      </c>
      <c r="V11" s="136" t="str">
        <f>IF(SER_hh_tes!V11=0,"",SER_hh_tes!V11/SER_hh_fec!V11)</f>
        <v/>
      </c>
      <c r="W11" s="136" t="str">
        <f>IF(SER_hh_tes!W11=0,"",SER_hh_tes!W11/SER_hh_fec!W11)</f>
        <v/>
      </c>
      <c r="X11" s="136" t="str">
        <f>IF(SER_hh_tes!X11=0,"",SER_hh_tes!X11/SER_hh_fec!X11)</f>
        <v/>
      </c>
      <c r="Y11" s="136" t="str">
        <f>IF(SER_hh_tes!Y11=0,"",SER_hh_tes!Y11/SER_hh_fec!Y11)</f>
        <v/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0.7439435354481323</v>
      </c>
      <c r="C12" s="136">
        <f>IF(SER_hh_tes!C12=0,"",SER_hh_tes!C12/SER_hh_fec!C12)</f>
        <v>0.74513289910989833</v>
      </c>
      <c r="D12" s="136">
        <f>IF(SER_hh_tes!D12=0,"",SER_hh_tes!D12/SER_hh_fec!D12)</f>
        <v>0.74675576718572945</v>
      </c>
      <c r="E12" s="136">
        <f>IF(SER_hh_tes!E12=0,"",SER_hh_tes!E12/SER_hh_fec!E12)</f>
        <v>0.74904620880707884</v>
      </c>
      <c r="F12" s="136">
        <f>IF(SER_hh_tes!F12=0,"",SER_hh_tes!F12/SER_hh_fec!F12)</f>
        <v>0.75271284790521475</v>
      </c>
      <c r="G12" s="136">
        <f>IF(SER_hh_tes!G12=0,"",SER_hh_tes!G12/SER_hh_fec!G12)</f>
        <v>0.75688715818079932</v>
      </c>
      <c r="H12" s="136">
        <f>IF(SER_hh_tes!H12=0,"",SER_hh_tes!H12/SER_hh_fec!H12)</f>
        <v>0.76082913965191701</v>
      </c>
      <c r="I12" s="136">
        <f>IF(SER_hh_tes!I12=0,"",SER_hh_tes!I12/SER_hh_fec!I12)</f>
        <v>0.76410675288263874</v>
      </c>
      <c r="J12" s="136">
        <f>IF(SER_hh_tes!J12=0,"",SER_hh_tes!J12/SER_hh_fec!J12)</f>
        <v>0.76658306211528093</v>
      </c>
      <c r="K12" s="136">
        <f>IF(SER_hh_tes!K12=0,"",SER_hh_tes!K12/SER_hh_fec!K12)</f>
        <v>0.76974086604480629</v>
      </c>
      <c r="L12" s="136">
        <f>IF(SER_hh_tes!L12=0,"",SER_hh_tes!L12/SER_hh_fec!L12)</f>
        <v>0.77342237540051118</v>
      </c>
      <c r="M12" s="136">
        <f>IF(SER_hh_tes!M12=0,"",SER_hh_tes!M12/SER_hh_fec!M12)</f>
        <v>0.77702556967340541</v>
      </c>
      <c r="N12" s="136">
        <f>IF(SER_hh_tes!N12=0,"",SER_hh_tes!N12/SER_hh_fec!N12)</f>
        <v>0.78082056349551632</v>
      </c>
      <c r="O12" s="136">
        <f>IF(SER_hh_tes!O12=0,"",SER_hh_tes!O12/SER_hh_fec!O12)</f>
        <v>0.78374652593263561</v>
      </c>
      <c r="P12" s="136">
        <f>IF(SER_hh_tes!P12=0,"",SER_hh_tes!P12/SER_hh_fec!P12)</f>
        <v>0.78421602655880673</v>
      </c>
      <c r="Q12" s="136">
        <f>IF(SER_hh_tes!Q12=0,"",SER_hh_tes!Q12/SER_hh_fec!Q12)</f>
        <v>0.78697639641063921</v>
      </c>
      <c r="R12" s="136">
        <f>IF(SER_hh_tes!R12=0,"",SER_hh_tes!R12/SER_hh_fec!R12)</f>
        <v>0.79046956235279253</v>
      </c>
      <c r="S12" s="136">
        <f>IF(SER_hh_tes!S12=0,"",SER_hh_tes!S12/SER_hh_fec!S12)</f>
        <v>0.79585606166914724</v>
      </c>
      <c r="T12" s="136">
        <f>IF(SER_hh_tes!T12=0,"",SER_hh_tes!T12/SER_hh_fec!T12)</f>
        <v>0.80051232683707374</v>
      </c>
      <c r="U12" s="136">
        <f>IF(SER_hh_tes!U12=0,"",SER_hh_tes!U12/SER_hh_fec!U12)</f>
        <v>0.80531833452774626</v>
      </c>
      <c r="V12" s="136">
        <f>IF(SER_hh_tes!V12=0,"",SER_hh_tes!V12/SER_hh_fec!V12)</f>
        <v>0.8127220203556268</v>
      </c>
      <c r="W12" s="136">
        <f>IF(SER_hh_tes!W12=0,"",SER_hh_tes!W12/SER_hh_fec!W12)</f>
        <v>0.82088136595151484</v>
      </c>
      <c r="X12" s="136">
        <f>IF(SER_hh_tes!X12=0,"",SER_hh_tes!X12/SER_hh_fec!X12)</f>
        <v>0.83013514227352658</v>
      </c>
      <c r="Y12" s="136">
        <f>IF(SER_hh_tes!Y12=0,"",SER_hh_tes!Y12/SER_hh_fec!Y12)</f>
        <v>0.83791897362809531</v>
      </c>
      <c r="DA12" s="163" t="s">
        <v>339</v>
      </c>
    </row>
    <row r="13" spans="1:105" ht="12" customHeight="1" x14ac:dyDescent="0.25">
      <c r="A13" s="131" t="s">
        <v>77</v>
      </c>
      <c r="B13" s="136" t="str">
        <f>IF(SER_hh_tes!B13=0,"",SER_hh_tes!B13/SER_hh_fec!B13)</f>
        <v/>
      </c>
      <c r="C13" s="136" t="str">
        <f>IF(SER_hh_tes!C13=0,"",SER_hh_tes!C13/SER_hh_fec!C13)</f>
        <v/>
      </c>
      <c r="D13" s="136" t="str">
        <f>IF(SER_hh_tes!D13=0,"",SER_hh_tes!D13/SER_hh_fec!D13)</f>
        <v/>
      </c>
      <c r="E13" s="136" t="str">
        <f>IF(SER_hh_tes!E13=0,"",SER_hh_tes!E13/SER_hh_fec!E13)</f>
        <v/>
      </c>
      <c r="F13" s="136" t="str">
        <f>IF(SER_hh_tes!F13=0,"",SER_hh_tes!F13/SER_hh_fec!F13)</f>
        <v/>
      </c>
      <c r="G13" s="136" t="str">
        <f>IF(SER_hh_tes!G13=0,"",SER_hh_tes!G13/SER_hh_fec!G13)</f>
        <v/>
      </c>
      <c r="H13" s="136" t="str">
        <f>IF(SER_hh_tes!H13=0,"",SER_hh_tes!H13/SER_hh_fec!H13)</f>
        <v/>
      </c>
      <c r="I13" s="136" t="str">
        <f>IF(SER_hh_tes!I13=0,"",SER_hh_tes!I13/SER_hh_fec!I13)</f>
        <v/>
      </c>
      <c r="J13" s="136" t="str">
        <f>IF(SER_hh_tes!J13=0,"",SER_hh_tes!J13/SER_hh_fec!J13)</f>
        <v/>
      </c>
      <c r="K13" s="136" t="str">
        <f>IF(SER_hh_tes!K13=0,"",SER_hh_tes!K13/SER_hh_fec!K13)</f>
        <v/>
      </c>
      <c r="L13" s="136" t="str">
        <f>IF(SER_hh_tes!L13=0,"",SER_hh_tes!L13/SER_hh_fec!L13)</f>
        <v/>
      </c>
      <c r="M13" s="136" t="str">
        <f>IF(SER_hh_tes!M13=0,"",SER_hh_tes!M13/SER_hh_fec!M13)</f>
        <v/>
      </c>
      <c r="N13" s="136" t="str">
        <f>IF(SER_hh_tes!N13=0,"",SER_hh_tes!N13/SER_hh_fec!N13)</f>
        <v/>
      </c>
      <c r="O13" s="136" t="str">
        <f>IF(SER_hh_tes!O13=0,"",SER_hh_tes!O13/SER_hh_fec!O13)</f>
        <v/>
      </c>
      <c r="P13" s="136" t="str">
        <f>IF(SER_hh_tes!P13=0,"",SER_hh_tes!P13/SER_hh_fec!P13)</f>
        <v/>
      </c>
      <c r="Q13" s="136" t="str">
        <f>IF(SER_hh_tes!Q13=0,"",SER_hh_tes!Q13/SER_hh_fec!Q13)</f>
        <v/>
      </c>
      <c r="R13" s="136" t="str">
        <f>IF(SER_hh_tes!R13=0,"",SER_hh_tes!R13/SER_hh_fec!R13)</f>
        <v/>
      </c>
      <c r="S13" s="136" t="str">
        <f>IF(SER_hh_tes!S13=0,"",SER_hh_tes!S13/SER_hh_fec!S13)</f>
        <v/>
      </c>
      <c r="T13" s="136" t="str">
        <f>IF(SER_hh_tes!T13=0,"",SER_hh_tes!T13/SER_hh_fec!T13)</f>
        <v/>
      </c>
      <c r="U13" s="136" t="str">
        <f>IF(SER_hh_tes!U13=0,"",SER_hh_tes!U13/SER_hh_fec!U13)</f>
        <v/>
      </c>
      <c r="V13" s="136" t="str">
        <f>IF(SER_hh_tes!V13=0,"",SER_hh_tes!V13/SER_hh_fec!V13)</f>
        <v/>
      </c>
      <c r="W13" s="136" t="str">
        <f>IF(SER_hh_tes!W13=0,"",SER_hh_tes!W13/SER_hh_fec!W13)</f>
        <v/>
      </c>
      <c r="X13" s="136" t="str">
        <f>IF(SER_hh_tes!X13=0,"",SER_hh_tes!X13/SER_hh_fec!X13)</f>
        <v/>
      </c>
      <c r="Y13" s="136" t="str">
        <f>IF(SER_hh_tes!Y13=0,"",SER_hh_tes!Y13/SER_hh_fec!Y13)</f>
        <v/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0.65770121079463673</v>
      </c>
      <c r="C14" s="137">
        <f>IF(SER_hh_tes!C14=0,"",SER_hh_tes!C14/SER_hh_fec!C14)</f>
        <v>0.66494239418089229</v>
      </c>
      <c r="D14" s="137">
        <f>IF(SER_hh_tes!D14=0,"",SER_hh_tes!D14/SER_hh_fec!D14)</f>
        <v>0.67008149841869558</v>
      </c>
      <c r="E14" s="137">
        <f>IF(SER_hh_tes!E14=0,"",SER_hh_tes!E14/SER_hh_fec!E14)</f>
        <v>0.673866573806012</v>
      </c>
      <c r="F14" s="137">
        <f>IF(SER_hh_tes!F14=0,"",SER_hh_tes!F14/SER_hh_fec!F14)</f>
        <v>0.67953417157559248</v>
      </c>
      <c r="G14" s="137">
        <f>IF(SER_hh_tes!G14=0,"",SER_hh_tes!G14/SER_hh_fec!G14)</f>
        <v>0.68615671067622186</v>
      </c>
      <c r="H14" s="137">
        <f>IF(SER_hh_tes!H14=0,"",SER_hh_tes!H14/SER_hh_fec!H14)</f>
        <v>0.69426892741195678</v>
      </c>
      <c r="I14" s="137">
        <f>IF(SER_hh_tes!I14=0,"",SER_hh_tes!I14/SER_hh_fec!I14)</f>
        <v>0.70084879796870747</v>
      </c>
      <c r="J14" s="137">
        <f>IF(SER_hh_tes!J14=0,"",SER_hh_tes!J14/SER_hh_fec!J14)</f>
        <v>0.70571914167246153</v>
      </c>
      <c r="K14" s="137">
        <f>IF(SER_hh_tes!K14=0,"",SER_hh_tes!K14/SER_hh_fec!K14)</f>
        <v>0.70916321097113155</v>
      </c>
      <c r="L14" s="137">
        <f>IF(SER_hh_tes!L14=0,"",SER_hh_tes!L14/SER_hh_fec!L14)</f>
        <v>0.71171001733227701</v>
      </c>
      <c r="M14" s="137">
        <f>IF(SER_hh_tes!M14=0,"",SER_hh_tes!M14/SER_hh_fec!M14)</f>
        <v>0.71495077152582676</v>
      </c>
      <c r="N14" s="137">
        <f>IF(SER_hh_tes!N14=0,"",SER_hh_tes!N14/SER_hh_fec!N14)</f>
        <v>0.71996989824464974</v>
      </c>
      <c r="O14" s="137">
        <f>IF(SER_hh_tes!O14=0,"",SER_hh_tes!O14/SER_hh_fec!O14)</f>
        <v>0.72478155191520943</v>
      </c>
      <c r="P14" s="137">
        <f>IF(SER_hh_tes!P14=0,"",SER_hh_tes!P14/SER_hh_fec!P14)</f>
        <v>0.72764012893813357</v>
      </c>
      <c r="Q14" s="137">
        <f>IF(SER_hh_tes!Q14=0,"",SER_hh_tes!Q14/SER_hh_fec!Q14)</f>
        <v>0.73027790514272339</v>
      </c>
      <c r="R14" s="137">
        <f>IF(SER_hh_tes!R14=0,"",SER_hh_tes!R14/SER_hh_fec!R14)</f>
        <v>0.73519131807722893</v>
      </c>
      <c r="S14" s="137">
        <f>IF(SER_hh_tes!S14=0,"",SER_hh_tes!S14/SER_hh_fec!S14)</f>
        <v>0.74217310271807779</v>
      </c>
      <c r="T14" s="137">
        <f>IF(SER_hh_tes!T14=0,"",SER_hh_tes!T14/SER_hh_fec!T14)</f>
        <v>0.75473373848260328</v>
      </c>
      <c r="U14" s="137">
        <f>IF(SER_hh_tes!U14=0,"",SER_hh_tes!U14/SER_hh_fec!U14)</f>
        <v>0.77030314865789817</v>
      </c>
      <c r="V14" s="137">
        <f>IF(SER_hh_tes!V14=0,"",SER_hh_tes!V14/SER_hh_fec!V14)</f>
        <v>0.78489309537036911</v>
      </c>
      <c r="W14" s="137">
        <f>IF(SER_hh_tes!W14=0,"",SER_hh_tes!W14/SER_hh_fec!W14)</f>
        <v>0.79770306529280144</v>
      </c>
      <c r="X14" s="137">
        <f>IF(SER_hh_tes!X14=0,"",SER_hh_tes!X14/SER_hh_fec!X14)</f>
        <v>0.80544843934009613</v>
      </c>
      <c r="Y14" s="137">
        <f>IF(SER_hh_tes!Y14=0,"",SER_hh_tes!Y14/SER_hh_fec!Y14)</f>
        <v>0.81150268830602235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2.0432195807241889</v>
      </c>
      <c r="C16" s="135">
        <f>IF(SER_hh_tes!C16=0,"",SER_hh_tes!C16/SER_hh_fec!C16)</f>
        <v>2.1541038201939364</v>
      </c>
      <c r="D16" s="135">
        <f>IF(SER_hh_tes!D16=0,"",SER_hh_tes!D16/SER_hh_fec!D16)</f>
        <v>2.2835843637139277</v>
      </c>
      <c r="E16" s="135">
        <f>IF(SER_hh_tes!E16=0,"",SER_hh_tes!E16/SER_hh_fec!E16)</f>
        <v>2.4118330066675293</v>
      </c>
      <c r="F16" s="135">
        <f>IF(SER_hh_tes!F16=0,"",SER_hh_tes!F16/SER_hh_fec!F16)</f>
        <v>2.5420179292477925</v>
      </c>
      <c r="G16" s="135">
        <f>IF(SER_hh_tes!G16=0,"",SER_hh_tes!G16/SER_hh_fec!G16)</f>
        <v>2.7127356312540893</v>
      </c>
      <c r="H16" s="135">
        <f>IF(SER_hh_tes!H16=0,"",SER_hh_tes!H16/SER_hh_fec!H16)</f>
        <v>2.9040273401717651</v>
      </c>
      <c r="I16" s="135">
        <f>IF(SER_hh_tes!I16=0,"",SER_hh_tes!I16/SER_hh_fec!I16)</f>
        <v>3.0790820113704509</v>
      </c>
      <c r="J16" s="135">
        <f>IF(SER_hh_tes!J16=0,"",SER_hh_tes!J16/SER_hh_fec!J16)</f>
        <v>3.2620144172284378</v>
      </c>
      <c r="K16" s="135">
        <f>IF(SER_hh_tes!K16=0,"",SER_hh_tes!K16/SER_hh_fec!K16)</f>
        <v>3.3235884363478396</v>
      </c>
      <c r="L16" s="135">
        <f>IF(SER_hh_tes!L16=0,"",SER_hh_tes!L16/SER_hh_fec!L16)</f>
        <v>3.4188842106072812</v>
      </c>
      <c r="M16" s="135">
        <f>IF(SER_hh_tes!M16=0,"",SER_hh_tes!M16/SER_hh_fec!M16)</f>
        <v>3.5695653140339729</v>
      </c>
      <c r="N16" s="135">
        <f>IF(SER_hh_tes!N16=0,"",SER_hh_tes!N16/SER_hh_fec!N16)</f>
        <v>3.7159560730039778</v>
      </c>
      <c r="O16" s="135">
        <f>IF(SER_hh_tes!O16=0,"",SER_hh_tes!O16/SER_hh_fec!O16)</f>
        <v>3.8692427467151957</v>
      </c>
      <c r="P16" s="135">
        <f>IF(SER_hh_tes!P16=0,"",SER_hh_tes!P16/SER_hh_fec!P16)</f>
        <v>4.0392048058129175</v>
      </c>
      <c r="Q16" s="135">
        <f>IF(SER_hh_tes!Q16=0,"",SER_hh_tes!Q16/SER_hh_fec!Q16)</f>
        <v>4.2372131794732066</v>
      </c>
      <c r="R16" s="135">
        <f>IF(SER_hh_tes!R16=0,"",SER_hh_tes!R16/SER_hh_fec!R16)</f>
        <v>4.4214179944388947</v>
      </c>
      <c r="S16" s="135">
        <f>IF(SER_hh_tes!S16=0,"",SER_hh_tes!S16/SER_hh_fec!S16)</f>
        <v>4.5867689846272501</v>
      </c>
      <c r="T16" s="135">
        <f>IF(SER_hh_tes!T16=0,"",SER_hh_tes!T16/SER_hh_fec!T16)</f>
        <v>4.7354437110298573</v>
      </c>
      <c r="U16" s="135">
        <f>IF(SER_hh_tes!U16=0,"",SER_hh_tes!U16/SER_hh_fec!U16)</f>
        <v>4.8532220609270187</v>
      </c>
      <c r="V16" s="135">
        <f>IF(SER_hh_tes!V16=0,"",SER_hh_tes!V16/SER_hh_fec!V16)</f>
        <v>4.9675657146171783</v>
      </c>
      <c r="W16" s="135">
        <f>IF(SER_hh_tes!W16=0,"",SER_hh_tes!W16/SER_hh_fec!W16)</f>
        <v>5.0782912324548111</v>
      </c>
      <c r="X16" s="135">
        <f>IF(SER_hh_tes!X16=0,"",SER_hh_tes!X16/SER_hh_fec!X16)</f>
        <v>5.1699780758257496</v>
      </c>
      <c r="Y16" s="135">
        <f>IF(SER_hh_tes!Y16=0,"",SER_hh_tes!Y16/SER_hh_fec!Y16)</f>
        <v>5.2421033563450594</v>
      </c>
      <c r="DA16" s="162" t="s">
        <v>241</v>
      </c>
    </row>
    <row r="17" spans="1:105" ht="12.95" customHeight="1" x14ac:dyDescent="0.25">
      <c r="A17" s="131" t="s">
        <v>73</v>
      </c>
      <c r="B17" s="136" t="str">
        <f>IF(SER_hh_tes!B17=0,"",SER_hh_tes!B17/SER_hh_fec!B17)</f>
        <v/>
      </c>
      <c r="C17" s="136" t="str">
        <f>IF(SER_hh_tes!C17=0,"",SER_hh_tes!C17/SER_hh_fec!C17)</f>
        <v/>
      </c>
      <c r="D17" s="136" t="str">
        <f>IF(SER_hh_tes!D17=0,"",SER_hh_tes!D17/SER_hh_fec!D17)</f>
        <v/>
      </c>
      <c r="E17" s="136" t="str">
        <f>IF(SER_hh_tes!E17=0,"",SER_hh_tes!E17/SER_hh_fec!E17)</f>
        <v/>
      </c>
      <c r="F17" s="136" t="str">
        <f>IF(SER_hh_tes!F17=0,"",SER_hh_tes!F17/SER_hh_fec!F17)</f>
        <v/>
      </c>
      <c r="G17" s="136" t="str">
        <f>IF(SER_hh_tes!G17=0,"",SER_hh_tes!G17/SER_hh_fec!G17)</f>
        <v/>
      </c>
      <c r="H17" s="136" t="str">
        <f>IF(SER_hh_tes!H17=0,"",SER_hh_tes!H17/SER_hh_fec!H17)</f>
        <v/>
      </c>
      <c r="I17" s="136" t="str">
        <f>IF(SER_hh_tes!I17=0,"",SER_hh_tes!I17/SER_hh_fec!I17)</f>
        <v/>
      </c>
      <c r="J17" s="136" t="str">
        <f>IF(SER_hh_tes!J17=0,"",SER_hh_tes!J17/SER_hh_fec!J17)</f>
        <v/>
      </c>
      <c r="K17" s="136" t="str">
        <f>IF(SER_hh_tes!K17=0,"",SER_hh_tes!K17/SER_hh_fec!K17)</f>
        <v/>
      </c>
      <c r="L17" s="136" t="str">
        <f>IF(SER_hh_tes!L17=0,"",SER_hh_tes!L17/SER_hh_fec!L17)</f>
        <v/>
      </c>
      <c r="M17" s="136" t="str">
        <f>IF(SER_hh_tes!M17=0,"",SER_hh_tes!M17/SER_hh_fec!M17)</f>
        <v/>
      </c>
      <c r="N17" s="136" t="str">
        <f>IF(SER_hh_tes!N17=0,"",SER_hh_tes!N17/SER_hh_fec!N17)</f>
        <v/>
      </c>
      <c r="O17" s="136" t="str">
        <f>IF(SER_hh_tes!O17=0,"",SER_hh_tes!O17/SER_hh_fec!O17)</f>
        <v/>
      </c>
      <c r="P17" s="136" t="str">
        <f>IF(SER_hh_tes!P17=0,"",SER_hh_tes!P17/SER_hh_fec!P17)</f>
        <v/>
      </c>
      <c r="Q17" s="136" t="str">
        <f>IF(SER_hh_tes!Q17=0,"",SER_hh_tes!Q17/SER_hh_fec!Q17)</f>
        <v/>
      </c>
      <c r="R17" s="136" t="str">
        <f>IF(SER_hh_tes!R17=0,"",SER_hh_tes!R17/SER_hh_fec!R17)</f>
        <v/>
      </c>
      <c r="S17" s="136" t="str">
        <f>IF(SER_hh_tes!S17=0,"",SER_hh_tes!S17/SER_hh_fec!S17)</f>
        <v/>
      </c>
      <c r="T17" s="136" t="str">
        <f>IF(SER_hh_tes!T17=0,"",SER_hh_tes!T17/SER_hh_fec!T17)</f>
        <v/>
      </c>
      <c r="U17" s="136" t="str">
        <f>IF(SER_hh_tes!U17=0,"",SER_hh_tes!U17/SER_hh_fec!U17)</f>
        <v/>
      </c>
      <c r="V17" s="136" t="str">
        <f>IF(SER_hh_tes!V17=0,"",SER_hh_tes!V17/SER_hh_fec!V17)</f>
        <v/>
      </c>
      <c r="W17" s="136" t="str">
        <f>IF(SER_hh_tes!W17=0,"",SER_hh_tes!W17/SER_hh_fec!W17)</f>
        <v/>
      </c>
      <c r="X17" s="136" t="str">
        <f>IF(SER_hh_tes!X17=0,"",SER_hh_tes!X17/SER_hh_fec!X17)</f>
        <v/>
      </c>
      <c r="Y17" s="136" t="str">
        <f>IF(SER_hh_tes!Y17=0,"",SER_hh_tes!Y17/SER_hh_fec!Y17)</f>
        <v/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2.0432195807241889</v>
      </c>
      <c r="C18" s="136">
        <f>IF(SER_hh_tes!C18=0,"",SER_hh_tes!C18/SER_hh_fec!C18)</f>
        <v>2.1541038201939364</v>
      </c>
      <c r="D18" s="136">
        <f>IF(SER_hh_tes!D18=0,"",SER_hh_tes!D18/SER_hh_fec!D18)</f>
        <v>2.2835843637139277</v>
      </c>
      <c r="E18" s="136">
        <f>IF(SER_hh_tes!E18=0,"",SER_hh_tes!E18/SER_hh_fec!E18)</f>
        <v>2.4118330066675293</v>
      </c>
      <c r="F18" s="136">
        <f>IF(SER_hh_tes!F18=0,"",SER_hh_tes!F18/SER_hh_fec!F18)</f>
        <v>2.5420179292477925</v>
      </c>
      <c r="G18" s="136">
        <f>IF(SER_hh_tes!G18=0,"",SER_hh_tes!G18/SER_hh_fec!G18)</f>
        <v>2.7127356312540893</v>
      </c>
      <c r="H18" s="136">
        <f>IF(SER_hh_tes!H18=0,"",SER_hh_tes!H18/SER_hh_fec!H18)</f>
        <v>2.9040273401717651</v>
      </c>
      <c r="I18" s="136">
        <f>IF(SER_hh_tes!I18=0,"",SER_hh_tes!I18/SER_hh_fec!I18)</f>
        <v>3.0790820113704509</v>
      </c>
      <c r="J18" s="136">
        <f>IF(SER_hh_tes!J18=0,"",SER_hh_tes!J18/SER_hh_fec!J18)</f>
        <v>3.2620144172284378</v>
      </c>
      <c r="K18" s="136">
        <f>IF(SER_hh_tes!K18=0,"",SER_hh_tes!K18/SER_hh_fec!K18)</f>
        <v>3.3235884363478396</v>
      </c>
      <c r="L18" s="136">
        <f>IF(SER_hh_tes!L18=0,"",SER_hh_tes!L18/SER_hh_fec!L18)</f>
        <v>3.4188842106072812</v>
      </c>
      <c r="M18" s="136">
        <f>IF(SER_hh_tes!M18=0,"",SER_hh_tes!M18/SER_hh_fec!M18)</f>
        <v>3.5695653140339729</v>
      </c>
      <c r="N18" s="136">
        <f>IF(SER_hh_tes!N18=0,"",SER_hh_tes!N18/SER_hh_fec!N18)</f>
        <v>3.7159560730039778</v>
      </c>
      <c r="O18" s="136">
        <f>IF(SER_hh_tes!O18=0,"",SER_hh_tes!O18/SER_hh_fec!O18)</f>
        <v>3.8692427467151957</v>
      </c>
      <c r="P18" s="136">
        <f>IF(SER_hh_tes!P18=0,"",SER_hh_tes!P18/SER_hh_fec!P18)</f>
        <v>4.0392048058129175</v>
      </c>
      <c r="Q18" s="136">
        <f>IF(SER_hh_tes!Q18=0,"",SER_hh_tes!Q18/SER_hh_fec!Q18)</f>
        <v>4.2372131794732066</v>
      </c>
      <c r="R18" s="136">
        <f>IF(SER_hh_tes!R18=0,"",SER_hh_tes!R18/SER_hh_fec!R18)</f>
        <v>4.4214179944388947</v>
      </c>
      <c r="S18" s="136">
        <f>IF(SER_hh_tes!S18=0,"",SER_hh_tes!S18/SER_hh_fec!S18)</f>
        <v>4.5867689846272501</v>
      </c>
      <c r="T18" s="136">
        <f>IF(SER_hh_tes!T18=0,"",SER_hh_tes!T18/SER_hh_fec!T18)</f>
        <v>4.7354437110298573</v>
      </c>
      <c r="U18" s="136">
        <f>IF(SER_hh_tes!U18=0,"",SER_hh_tes!U18/SER_hh_fec!U18)</f>
        <v>4.8532220609270187</v>
      </c>
      <c r="V18" s="136">
        <f>IF(SER_hh_tes!V18=0,"",SER_hh_tes!V18/SER_hh_fec!V18)</f>
        <v>4.9675657146171783</v>
      </c>
      <c r="W18" s="136">
        <f>IF(SER_hh_tes!W18=0,"",SER_hh_tes!W18/SER_hh_fec!W18)</f>
        <v>5.0782912324548111</v>
      </c>
      <c r="X18" s="136">
        <f>IF(SER_hh_tes!X18=0,"",SER_hh_tes!X18/SER_hh_fec!X18)</f>
        <v>5.1699780758257496</v>
      </c>
      <c r="Y18" s="136">
        <f>IF(SER_hh_tes!Y18=0,"",SER_hh_tes!Y18/SER_hh_fec!Y18)</f>
        <v>5.2421033563450594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0.61996617621365158</v>
      </c>
      <c r="C19" s="135">
        <f>IF(SER_hh_tes!C19=0,"",SER_hh_tes!C19/SER_hh_fec!C19)</f>
        <v>0.62087594091069953</v>
      </c>
      <c r="D19" s="135">
        <f>IF(SER_hh_tes!D19=0,"",SER_hh_tes!D19/SER_hh_fec!D19)</f>
        <v>0.62669149381634981</v>
      </c>
      <c r="E19" s="135">
        <f>IF(SER_hh_tes!E19=0,"",SER_hh_tes!E19/SER_hh_fec!E19)</f>
        <v>0.63589815743118761</v>
      </c>
      <c r="F19" s="135">
        <f>IF(SER_hh_tes!F19=0,"",SER_hh_tes!F19/SER_hh_fec!F19)</f>
        <v>0.64257734316030202</v>
      </c>
      <c r="G19" s="135">
        <f>IF(SER_hh_tes!G19=0,"",SER_hh_tes!G19/SER_hh_fec!G19)</f>
        <v>0.64767092337021159</v>
      </c>
      <c r="H19" s="135">
        <f>IF(SER_hh_tes!H19=0,"",SER_hh_tes!H19/SER_hh_fec!H19)</f>
        <v>0.65236951427449263</v>
      </c>
      <c r="I19" s="135">
        <f>IF(SER_hh_tes!I19=0,"",SER_hh_tes!I19/SER_hh_fec!I19)</f>
        <v>0.65746533970349519</v>
      </c>
      <c r="J19" s="135">
        <f>IF(SER_hh_tes!J19=0,"",SER_hh_tes!J19/SER_hh_fec!J19)</f>
        <v>0.66036332632424</v>
      </c>
      <c r="K19" s="135">
        <f>IF(SER_hh_tes!K19=0,"",SER_hh_tes!K19/SER_hh_fec!K19)</f>
        <v>0.6659920814049598</v>
      </c>
      <c r="L19" s="135">
        <f>IF(SER_hh_tes!L19=0,"",SER_hh_tes!L19/SER_hh_fec!L19)</f>
        <v>0.67072565286444719</v>
      </c>
      <c r="M19" s="135">
        <f>IF(SER_hh_tes!M19=0,"",SER_hh_tes!M19/SER_hh_fec!M19)</f>
        <v>0.67520467887513436</v>
      </c>
      <c r="N19" s="135">
        <f>IF(SER_hh_tes!N19=0,"",SER_hh_tes!N19/SER_hh_fec!N19)</f>
        <v>0.68198812128854114</v>
      </c>
      <c r="O19" s="135">
        <f>IF(SER_hh_tes!O19=0,"",SER_hh_tes!O19/SER_hh_fec!O19)</f>
        <v>0.68839230575731281</v>
      </c>
      <c r="P19" s="135">
        <f>IF(SER_hh_tes!P19=0,"",SER_hh_tes!P19/SER_hh_fec!P19)</f>
        <v>0.69153785511481092</v>
      </c>
      <c r="Q19" s="135">
        <f>IF(SER_hh_tes!Q19=0,"",SER_hh_tes!Q19/SER_hh_fec!Q19)</f>
        <v>0.69884887619324076</v>
      </c>
      <c r="R19" s="135">
        <f>IF(SER_hh_tes!R19=0,"",SER_hh_tes!R19/SER_hh_fec!R19)</f>
        <v>0.70893846220444945</v>
      </c>
      <c r="S19" s="135">
        <f>IF(SER_hh_tes!S19=0,"",SER_hh_tes!S19/SER_hh_fec!S19)</f>
        <v>0.72146219889631025</v>
      </c>
      <c r="T19" s="135">
        <f>IF(SER_hh_tes!T19=0,"",SER_hh_tes!T19/SER_hh_fec!T19)</f>
        <v>0.7340485483251451</v>
      </c>
      <c r="U19" s="135">
        <f>IF(SER_hh_tes!U19=0,"",SER_hh_tes!U19/SER_hh_fec!U19)</f>
        <v>0.75041313141186716</v>
      </c>
      <c r="V19" s="135">
        <f>IF(SER_hh_tes!V19=0,"",SER_hh_tes!V19/SER_hh_fec!V19)</f>
        <v>0.76100642216772008</v>
      </c>
      <c r="W19" s="135">
        <f>IF(SER_hh_tes!W19=0,"",SER_hh_tes!W19/SER_hh_fec!W19)</f>
        <v>0.77858267338427511</v>
      </c>
      <c r="X19" s="135">
        <f>IF(SER_hh_tes!X19=0,"",SER_hh_tes!X19/SER_hh_fec!X19)</f>
        <v>0.79418565611074965</v>
      </c>
      <c r="Y19" s="135">
        <f>IF(SER_hh_tes!Y19=0,"",SER_hh_tes!Y19/SER_hh_fec!Y19)</f>
        <v>0.80890860624374128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 t="str">
        <f>IF(SER_hh_tes!B21=0,"",SER_hh_tes!B21/SER_hh_fec!B21)</f>
        <v/>
      </c>
      <c r="C21" s="136" t="str">
        <f>IF(SER_hh_tes!C21=0,"",SER_hh_tes!C21/SER_hh_fec!C21)</f>
        <v/>
      </c>
      <c r="D21" s="136" t="str">
        <f>IF(SER_hh_tes!D21=0,"",SER_hh_tes!D21/SER_hh_fec!D21)</f>
        <v/>
      </c>
      <c r="E21" s="136" t="str">
        <f>IF(SER_hh_tes!E21=0,"",SER_hh_tes!E21/SER_hh_fec!E21)</f>
        <v/>
      </c>
      <c r="F21" s="136" t="str">
        <f>IF(SER_hh_tes!F21=0,"",SER_hh_tes!F21/SER_hh_fec!F21)</f>
        <v/>
      </c>
      <c r="G21" s="136" t="str">
        <f>IF(SER_hh_tes!G21=0,"",SER_hh_tes!G21/SER_hh_fec!G21)</f>
        <v/>
      </c>
      <c r="H21" s="136" t="str">
        <f>IF(SER_hh_tes!H21=0,"",SER_hh_tes!H21/SER_hh_fec!H21)</f>
        <v/>
      </c>
      <c r="I21" s="136" t="str">
        <f>IF(SER_hh_tes!I21=0,"",SER_hh_tes!I21/SER_hh_fec!I21)</f>
        <v/>
      </c>
      <c r="J21" s="136" t="str">
        <f>IF(SER_hh_tes!J21=0,"",SER_hh_tes!J21/SER_hh_fec!J21)</f>
        <v/>
      </c>
      <c r="K21" s="136" t="str">
        <f>IF(SER_hh_tes!K21=0,"",SER_hh_tes!K21/SER_hh_fec!K21)</f>
        <v/>
      </c>
      <c r="L21" s="136" t="str">
        <f>IF(SER_hh_tes!L21=0,"",SER_hh_tes!L21/SER_hh_fec!L21)</f>
        <v/>
      </c>
      <c r="M21" s="136" t="str">
        <f>IF(SER_hh_tes!M21=0,"",SER_hh_tes!M21/SER_hh_fec!M21)</f>
        <v/>
      </c>
      <c r="N21" s="136" t="str">
        <f>IF(SER_hh_tes!N21=0,"",SER_hh_tes!N21/SER_hh_fec!N21)</f>
        <v/>
      </c>
      <c r="O21" s="136" t="str">
        <f>IF(SER_hh_tes!O21=0,"",SER_hh_tes!O21/SER_hh_fec!O21)</f>
        <v/>
      </c>
      <c r="P21" s="136" t="str">
        <f>IF(SER_hh_tes!P21=0,"",SER_hh_tes!P21/SER_hh_fec!P21)</f>
        <v/>
      </c>
      <c r="Q21" s="136" t="str">
        <f>IF(SER_hh_tes!Q21=0,"",SER_hh_tes!Q21/SER_hh_fec!Q21)</f>
        <v/>
      </c>
      <c r="R21" s="136" t="str">
        <f>IF(SER_hh_tes!R21=0,"",SER_hh_tes!R21/SER_hh_fec!R21)</f>
        <v/>
      </c>
      <c r="S21" s="136" t="str">
        <f>IF(SER_hh_tes!S21=0,"",SER_hh_tes!S21/SER_hh_fec!S21)</f>
        <v/>
      </c>
      <c r="T21" s="136" t="str">
        <f>IF(SER_hh_tes!T21=0,"",SER_hh_tes!T21/SER_hh_fec!T21)</f>
        <v/>
      </c>
      <c r="U21" s="136" t="str">
        <f>IF(SER_hh_tes!U21=0,"",SER_hh_tes!U21/SER_hh_fec!U21)</f>
        <v/>
      </c>
      <c r="V21" s="136" t="str">
        <f>IF(SER_hh_tes!V21=0,"",SER_hh_tes!V21/SER_hh_fec!V21)</f>
        <v/>
      </c>
      <c r="W21" s="136" t="str">
        <f>IF(SER_hh_tes!W21=0,"",SER_hh_tes!W21/SER_hh_fec!W21)</f>
        <v/>
      </c>
      <c r="X21" s="136" t="str">
        <f>IF(SER_hh_tes!X21=0,"",SER_hh_tes!X21/SER_hh_fec!X21)</f>
        <v/>
      </c>
      <c r="Y21" s="136" t="str">
        <f>IF(SER_hh_tes!Y21=0,"",SER_hh_tes!Y21/SER_hh_fec!Y21)</f>
        <v/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0.48872909541963411</v>
      </c>
      <c r="C22" s="136">
        <f>IF(SER_hh_tes!C22=0,"",SER_hh_tes!C22/SER_hh_fec!C22)</f>
        <v>0.4898198978276615</v>
      </c>
      <c r="D22" s="136">
        <f>IF(SER_hh_tes!D22=0,"",SER_hh_tes!D22/SER_hh_fec!D22)</f>
        <v>0.48991456228054836</v>
      </c>
      <c r="E22" s="136">
        <f>IF(SER_hh_tes!E22=0,"",SER_hh_tes!E22/SER_hh_fec!E22)</f>
        <v>0.48996914365922556</v>
      </c>
      <c r="F22" s="136">
        <f>IF(SER_hh_tes!F22=0,"",SER_hh_tes!F22/SER_hh_fec!F22)</f>
        <v>0.48996914365922556</v>
      </c>
      <c r="G22" s="136">
        <f>IF(SER_hh_tes!G22=0,"",SER_hh_tes!G22/SER_hh_fec!G22)</f>
        <v>0.4899691436592255</v>
      </c>
      <c r="H22" s="136">
        <f>IF(SER_hh_tes!H22=0,"",SER_hh_tes!H22/SER_hh_fec!H22)</f>
        <v>0.4899691436592255</v>
      </c>
      <c r="I22" s="136">
        <f>IF(SER_hh_tes!I22=0,"",SER_hh_tes!I22/SER_hh_fec!I22)</f>
        <v>0.49271761692683508</v>
      </c>
      <c r="J22" s="136">
        <f>IF(SER_hh_tes!J22=0,"",SER_hh_tes!J22/SER_hh_fec!J22)</f>
        <v>0.49835772856292876</v>
      </c>
      <c r="K22" s="136">
        <f>IF(SER_hh_tes!K22=0,"",SER_hh_tes!K22/SER_hh_fec!K22)</f>
        <v>0.50476427823890979</v>
      </c>
      <c r="L22" s="136">
        <f>IF(SER_hh_tes!L22=0,"",SER_hh_tes!L22/SER_hh_fec!L22)</f>
        <v>0.51230446272461205</v>
      </c>
      <c r="M22" s="136">
        <f>IF(SER_hh_tes!M22=0,"",SER_hh_tes!M22/SER_hh_fec!M22)</f>
        <v>0.52197012394112396</v>
      </c>
      <c r="N22" s="136">
        <f>IF(SER_hh_tes!N22=0,"",SER_hh_tes!N22/SER_hh_fec!N22)</f>
        <v>0.53547369851780791</v>
      </c>
      <c r="O22" s="136">
        <f>IF(SER_hh_tes!O22=0,"",SER_hh_tes!O22/SER_hh_fec!O22)</f>
        <v>0.55102013606146949</v>
      </c>
      <c r="P22" s="136">
        <f>IF(SER_hh_tes!P22=0,"",SER_hh_tes!P22/SER_hh_fec!P22)</f>
        <v>0.55182730875536157</v>
      </c>
      <c r="Q22" s="136">
        <f>IF(SER_hh_tes!Q22=0,"",SER_hh_tes!Q22/SER_hh_fec!Q22)</f>
        <v>0.55285015686012962</v>
      </c>
      <c r="R22" s="136">
        <f>IF(SER_hh_tes!R22=0,"",SER_hh_tes!R22/SER_hh_fec!R22)</f>
        <v>0.55413193043583753</v>
      </c>
      <c r="S22" s="136">
        <f>IF(SER_hh_tes!S22=0,"",SER_hh_tes!S22/SER_hh_fec!S22)</f>
        <v>0.55575789183645485</v>
      </c>
      <c r="T22" s="136">
        <f>IF(SER_hh_tes!T22=0,"",SER_hh_tes!T22/SER_hh_fec!T22)</f>
        <v>0.55631879050257405</v>
      </c>
      <c r="U22" s="136">
        <f>IF(SER_hh_tes!U22=0,"",SER_hh_tes!U22/SER_hh_fec!U22)</f>
        <v>0.55684986898773414</v>
      </c>
      <c r="V22" s="136">
        <f>IF(SER_hh_tes!V22=0,"",SER_hh_tes!V22/SER_hh_fec!V22)</f>
        <v>0.55715735380067066</v>
      </c>
      <c r="W22" s="136">
        <f>IF(SER_hh_tes!W22=0,"",SER_hh_tes!W22/SER_hh_fec!W22)</f>
        <v>0.5644094332884354</v>
      </c>
      <c r="X22" s="136">
        <f>IF(SER_hh_tes!X22=0,"",SER_hh_tes!X22/SER_hh_fec!X22)</f>
        <v>0.59540583160399829</v>
      </c>
      <c r="Y22" s="136">
        <f>IF(SER_hh_tes!Y22=0,"",SER_hh_tes!Y22/SER_hh_fec!Y22)</f>
        <v>0.63771727047023063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0.49970954971845982</v>
      </c>
      <c r="C23" s="136">
        <f>IF(SER_hh_tes!C23=0,"",SER_hh_tes!C23/SER_hh_fec!C23)</f>
        <v>0.51698432451437881</v>
      </c>
      <c r="D23" s="136">
        <f>IF(SER_hh_tes!D23=0,"",SER_hh_tes!D23/SER_hh_fec!D23)</f>
        <v>0.52537988623580789</v>
      </c>
      <c r="E23" s="136">
        <f>IF(SER_hh_tes!E23=0,"",SER_hh_tes!E23/SER_hh_fec!E23)</f>
        <v>0.53180274875250411</v>
      </c>
      <c r="F23" s="136">
        <f>IF(SER_hh_tes!F23=0,"",SER_hh_tes!F23/SER_hh_fec!F23)</f>
        <v>0.53645395960244668</v>
      </c>
      <c r="G23" s="136">
        <f>IF(SER_hh_tes!G23=0,"",SER_hh_tes!G23/SER_hh_fec!G23)</f>
        <v>0.54133886419113786</v>
      </c>
      <c r="H23" s="136">
        <f>IF(SER_hh_tes!H23=0,"",SER_hh_tes!H23/SER_hh_fec!H23)</f>
        <v>0.54667393577237366</v>
      </c>
      <c r="I23" s="136">
        <f>IF(SER_hh_tes!I23=0,"",SER_hh_tes!I23/SER_hh_fec!I23)</f>
        <v>0.55217858250718488</v>
      </c>
      <c r="J23" s="136">
        <f>IF(SER_hh_tes!J23=0,"",SER_hh_tes!J23/SER_hh_fec!J23)</f>
        <v>0.55738551413135129</v>
      </c>
      <c r="K23" s="136">
        <f>IF(SER_hh_tes!K23=0,"",SER_hh_tes!K23/SER_hh_fec!K23)</f>
        <v>0.56399706305038921</v>
      </c>
      <c r="L23" s="136">
        <f>IF(SER_hh_tes!L23=0,"",SER_hh_tes!L23/SER_hh_fec!L23)</f>
        <v>0.57222882204855319</v>
      </c>
      <c r="M23" s="136">
        <f>IF(SER_hh_tes!M23=0,"",SER_hh_tes!M23/SER_hh_fec!M23)</f>
        <v>0.58566540072841222</v>
      </c>
      <c r="N23" s="136">
        <f>IF(SER_hh_tes!N23=0,"",SER_hh_tes!N23/SER_hh_fec!N23)</f>
        <v>0.60346493947250879</v>
      </c>
      <c r="O23" s="136">
        <f>IF(SER_hh_tes!O23=0,"",SER_hh_tes!O23/SER_hh_fec!O23)</f>
        <v>0.6259230159551048</v>
      </c>
      <c r="P23" s="136">
        <f>IF(SER_hh_tes!P23=0,"",SER_hh_tes!P23/SER_hh_fec!P23)</f>
        <v>0.64606607379494663</v>
      </c>
      <c r="Q23" s="136">
        <f>IF(SER_hh_tes!Q23=0,"",SER_hh_tes!Q23/SER_hh_fec!Q23)</f>
        <v>0.66197257365326745</v>
      </c>
      <c r="R23" s="136">
        <f>IF(SER_hh_tes!R23=0,"",SER_hh_tes!R23/SER_hh_fec!R23)</f>
        <v>0.67699531880389352</v>
      </c>
      <c r="S23" s="136">
        <f>IF(SER_hh_tes!S23=0,"",SER_hh_tes!S23/SER_hh_fec!S23)</f>
        <v>0.69225490607400164</v>
      </c>
      <c r="T23" s="136">
        <f>IF(SER_hh_tes!T23=0,"",SER_hh_tes!T23/SER_hh_fec!T23)</f>
        <v>0.7057695282986064</v>
      </c>
      <c r="U23" s="136">
        <f>IF(SER_hh_tes!U23=0,"",SER_hh_tes!U23/SER_hh_fec!U23)</f>
        <v>0.71581538457231664</v>
      </c>
      <c r="V23" s="136">
        <f>IF(SER_hh_tes!V23=0,"",SER_hh_tes!V23/SER_hh_fec!V23)</f>
        <v>0.72211169295095146</v>
      </c>
      <c r="W23" s="136">
        <f>IF(SER_hh_tes!W23=0,"",SER_hh_tes!W23/SER_hh_fec!W23)</f>
        <v>0.72576445988675109</v>
      </c>
      <c r="X23" s="136">
        <f>IF(SER_hh_tes!X23=0,"",SER_hh_tes!X23/SER_hh_fec!X23)</f>
        <v>0.72876631875611986</v>
      </c>
      <c r="Y23" s="136">
        <f>IF(SER_hh_tes!Y23=0,"",SER_hh_tes!Y23/SER_hh_fec!Y23)</f>
        <v>0.73077602552949106</v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 t="str">
        <f>IF(SER_hh_tes!N24=0,"",SER_hh_tes!N24/SER_hh_fec!N24)</f>
        <v/>
      </c>
      <c r="O24" s="136" t="str">
        <f>IF(SER_hh_tes!O24=0,"",SER_hh_tes!O24/SER_hh_fec!O24)</f>
        <v/>
      </c>
      <c r="P24" s="136" t="str">
        <f>IF(SER_hh_tes!P24=0,"",SER_hh_tes!P24/SER_hh_fec!P24)</f>
        <v/>
      </c>
      <c r="Q24" s="136" t="str">
        <f>IF(SER_hh_tes!Q24=0,"",SER_hh_tes!Q24/SER_hh_fec!Q24)</f>
        <v/>
      </c>
      <c r="R24" s="136" t="str">
        <f>IF(SER_hh_tes!R24=0,"",SER_hh_tes!R24/SER_hh_fec!R24)</f>
        <v/>
      </c>
      <c r="S24" s="136" t="str">
        <f>IF(SER_hh_tes!S24=0,"",SER_hh_tes!S24/SER_hh_fec!S24)</f>
        <v/>
      </c>
      <c r="T24" s="136" t="str">
        <f>IF(SER_hh_tes!T24=0,"",SER_hh_tes!T24/SER_hh_fec!T24)</f>
        <v/>
      </c>
      <c r="U24" s="136" t="str">
        <f>IF(SER_hh_tes!U24=0,"",SER_hh_tes!U24/SER_hh_fec!U24)</f>
        <v/>
      </c>
      <c r="V24" s="136" t="str">
        <f>IF(SER_hh_tes!V24=0,"",SER_hh_tes!V24/SER_hh_fec!V24)</f>
        <v/>
      </c>
      <c r="W24" s="136" t="str">
        <f>IF(SER_hh_tes!W24=0,"",SER_hh_tes!W24/SER_hh_fec!W24)</f>
        <v/>
      </c>
      <c r="X24" s="136" t="str">
        <f>IF(SER_hh_tes!X24=0,"",SER_hh_tes!X24/SER_hh_fec!X24)</f>
        <v/>
      </c>
      <c r="Y24" s="136" t="str">
        <f>IF(SER_hh_tes!Y24=0,"",SER_hh_tes!Y24/SER_hh_fec!Y24)</f>
        <v/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0.74569061706710926</v>
      </c>
      <c r="C25" s="136">
        <f>IF(SER_hh_tes!C25=0,"",SER_hh_tes!C25/SER_hh_fec!C25)</f>
        <v>0.74840069712782809</v>
      </c>
      <c r="D25" s="136">
        <f>IF(SER_hh_tes!D25=0,"",SER_hh_tes!D25/SER_hh_fec!D25)</f>
        <v>0.7510631847763678</v>
      </c>
      <c r="E25" s="136">
        <f>IF(SER_hh_tes!E25=0,"",SER_hh_tes!E25/SER_hh_fec!E25)</f>
        <v>0.75389703417299891</v>
      </c>
      <c r="F25" s="136">
        <f>IF(SER_hh_tes!F25=0,"",SER_hh_tes!F25/SER_hh_fec!F25)</f>
        <v>0.75707193255848271</v>
      </c>
      <c r="G25" s="136">
        <f>IF(SER_hh_tes!G25=0,"",SER_hh_tes!G25/SER_hh_fec!G25)</f>
        <v>0.7605702609065067</v>
      </c>
      <c r="H25" s="136">
        <f>IF(SER_hh_tes!H25=0,"",SER_hh_tes!H25/SER_hh_fec!H25)</f>
        <v>0.76411542986537939</v>
      </c>
      <c r="I25" s="136">
        <f>IF(SER_hh_tes!I25=0,"",SER_hh_tes!I25/SER_hh_fec!I25)</f>
        <v>0.76765129306278068</v>
      </c>
      <c r="J25" s="136">
        <f>IF(SER_hh_tes!J25=0,"",SER_hh_tes!J25/SER_hh_fec!J25)</f>
        <v>0.77084337801438219</v>
      </c>
      <c r="K25" s="136">
        <f>IF(SER_hh_tes!K25=0,"",SER_hh_tes!K25/SER_hh_fec!K25)</f>
        <v>0.77414470923212619</v>
      </c>
      <c r="L25" s="136">
        <f>IF(SER_hh_tes!L25=0,"",SER_hh_tes!L25/SER_hh_fec!L25)</f>
        <v>0.77738759762617138</v>
      </c>
      <c r="M25" s="136">
        <f>IF(SER_hh_tes!M25=0,"",SER_hh_tes!M25/SER_hh_fec!M25)</f>
        <v>0.78089347908505835</v>
      </c>
      <c r="N25" s="136">
        <f>IF(SER_hh_tes!N25=0,"",SER_hh_tes!N25/SER_hh_fec!N25)</f>
        <v>0.78490699528268693</v>
      </c>
      <c r="O25" s="136">
        <f>IF(SER_hh_tes!O25=0,"",SER_hh_tes!O25/SER_hh_fec!O25)</f>
        <v>0.788997410591052</v>
      </c>
      <c r="P25" s="136">
        <f>IF(SER_hh_tes!P25=0,"",SER_hh_tes!P25/SER_hh_fec!P25)</f>
        <v>0.79061608359650737</v>
      </c>
      <c r="Q25" s="136">
        <f>IF(SER_hh_tes!Q25=0,"",SER_hh_tes!Q25/SER_hh_fec!Q25)</f>
        <v>0.79305373938145696</v>
      </c>
      <c r="R25" s="136">
        <f>IF(SER_hh_tes!R25=0,"",SER_hh_tes!R25/SER_hh_fec!R25)</f>
        <v>0.79683808442218906</v>
      </c>
      <c r="S25" s="136">
        <f>IF(SER_hh_tes!S25=0,"",SER_hh_tes!S25/SER_hh_fec!S25)</f>
        <v>0.80182539163974453</v>
      </c>
      <c r="T25" s="136">
        <f>IF(SER_hh_tes!T25=0,"",SER_hh_tes!T25/SER_hh_fec!T25)</f>
        <v>0.80683916713168846</v>
      </c>
      <c r="U25" s="136">
        <f>IF(SER_hh_tes!U25=0,"",SER_hh_tes!U25/SER_hh_fec!U25)</f>
        <v>0.81214945070937772</v>
      </c>
      <c r="V25" s="136">
        <f>IF(SER_hh_tes!V25=0,"",SER_hh_tes!V25/SER_hh_fec!V25)</f>
        <v>0.81963402533154828</v>
      </c>
      <c r="W25" s="136">
        <f>IF(SER_hh_tes!W25=0,"",SER_hh_tes!W25/SER_hh_fec!W25)</f>
        <v>0.8268237227874613</v>
      </c>
      <c r="X25" s="136">
        <f>IF(SER_hh_tes!X25=0,"",SER_hh_tes!X25/SER_hh_fec!X25)</f>
        <v>0.83531869266709358</v>
      </c>
      <c r="Y25" s="136">
        <f>IF(SER_hh_tes!Y25=0,"",SER_hh_tes!Y25/SER_hh_fec!Y25)</f>
        <v>0.84330111982078948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0.62013598454012442</v>
      </c>
      <c r="C26" s="137">
        <f>IF(SER_hh_tes!C26=0,"",SER_hh_tes!C26/SER_hh_fec!C26)</f>
        <v>0.62217846826640222</v>
      </c>
      <c r="D26" s="137">
        <f>IF(SER_hh_tes!D26=0,"",SER_hh_tes!D26/SER_hh_fec!D26)</f>
        <v>0.62537113153480028</v>
      </c>
      <c r="E26" s="137">
        <f>IF(SER_hh_tes!E26=0,"",SER_hh_tes!E26/SER_hh_fec!E26)</f>
        <v>0.62868121823147394</v>
      </c>
      <c r="F26" s="137">
        <f>IF(SER_hh_tes!F26=0,"",SER_hh_tes!F26/SER_hh_fec!F26)</f>
        <v>0.63136561617857734</v>
      </c>
      <c r="G26" s="137">
        <f>IF(SER_hh_tes!G26=0,"",SER_hh_tes!G26/SER_hh_fec!G26)</f>
        <v>0.63449531625013633</v>
      </c>
      <c r="H26" s="137">
        <f>IF(SER_hh_tes!H26=0,"",SER_hh_tes!H26/SER_hh_fec!H26)</f>
        <v>0.63774383722168015</v>
      </c>
      <c r="I26" s="137">
        <f>IF(SER_hh_tes!I26=0,"",SER_hh_tes!I26/SER_hh_fec!I26)</f>
        <v>0.64027168894795772</v>
      </c>
      <c r="J26" s="137">
        <f>IF(SER_hh_tes!J26=0,"",SER_hh_tes!J26/SER_hh_fec!J26)</f>
        <v>0.64145900308293158</v>
      </c>
      <c r="K26" s="137">
        <f>IF(SER_hh_tes!K26=0,"",SER_hh_tes!K26/SER_hh_fec!K26)</f>
        <v>0.64328390434320093</v>
      </c>
      <c r="L26" s="137">
        <f>IF(SER_hh_tes!L26=0,"",SER_hh_tes!L26/SER_hh_fec!L26)</f>
        <v>0.64651991025039723</v>
      </c>
      <c r="M26" s="137">
        <f>IF(SER_hh_tes!M26=0,"",SER_hh_tes!M26/SER_hh_fec!M26)</f>
        <v>0.65181166703697246</v>
      </c>
      <c r="N26" s="137">
        <f>IF(SER_hh_tes!N26=0,"",SER_hh_tes!N26/SER_hh_fec!N26)</f>
        <v>0.65781079876422732</v>
      </c>
      <c r="O26" s="137">
        <f>IF(SER_hh_tes!O26=0,"",SER_hh_tes!O26/SER_hh_fec!O26)</f>
        <v>0.66334191842587442</v>
      </c>
      <c r="P26" s="137">
        <f>IF(SER_hh_tes!P26=0,"",SER_hh_tes!P26/SER_hh_fec!P26)</f>
        <v>0.66693913483518164</v>
      </c>
      <c r="Q26" s="137">
        <f>IF(SER_hh_tes!Q26=0,"",SER_hh_tes!Q26/SER_hh_fec!Q26)</f>
        <v>0.67742353251407372</v>
      </c>
      <c r="R26" s="137">
        <f>IF(SER_hh_tes!R26=0,"",SER_hh_tes!R26/SER_hh_fec!R26)</f>
        <v>0.68897872738571442</v>
      </c>
      <c r="S26" s="137">
        <f>IF(SER_hh_tes!S26=0,"",SER_hh_tes!S26/SER_hh_fec!S26)</f>
        <v>0.70714988659121003</v>
      </c>
      <c r="T26" s="137">
        <f>IF(SER_hh_tes!T26=0,"",SER_hh_tes!T26/SER_hh_fec!T26)</f>
        <v>0.72722836911761135</v>
      </c>
      <c r="U26" s="137">
        <f>IF(SER_hh_tes!U26=0,"",SER_hh_tes!U26/SER_hh_fec!U26)</f>
        <v>0.74949702234991566</v>
      </c>
      <c r="V26" s="137">
        <f>IF(SER_hh_tes!V26=0,"",SER_hh_tes!V26/SER_hh_fec!V26)</f>
        <v>0.76949885590780942</v>
      </c>
      <c r="W26" s="137">
        <f>IF(SER_hh_tes!W26=0,"",SER_hh_tes!W26/SER_hh_fec!W26)</f>
        <v>0.79299553730097527</v>
      </c>
      <c r="X26" s="137">
        <f>IF(SER_hh_tes!X26=0,"",SER_hh_tes!X26/SER_hh_fec!X26)</f>
        <v>0.81239409674953122</v>
      </c>
      <c r="Y26" s="137">
        <f>IF(SER_hh_tes!Y26=0,"",SER_hh_tes!Y26/SER_hh_fec!Y26)</f>
        <v>0.8272648640450011</v>
      </c>
      <c r="DA26" s="164" t="s">
        <v>351</v>
      </c>
    </row>
    <row r="27" spans="1:105" ht="12" customHeight="1" x14ac:dyDescent="0.25">
      <c r="A27" s="144" t="s">
        <v>26</v>
      </c>
      <c r="B27" s="153" t="str">
        <f>IF(SER_hh_tes!B27=0,"",SER_hh_tes!B27/SER_hh_fec!B27)</f>
        <v/>
      </c>
      <c r="C27" s="153" t="str">
        <f>IF(SER_hh_tes!C27=0,"",SER_hh_tes!C27/SER_hh_fec!C27)</f>
        <v/>
      </c>
      <c r="D27" s="153" t="str">
        <f>IF(SER_hh_tes!D27=0,"",SER_hh_tes!D27/SER_hh_fec!D27)</f>
        <v/>
      </c>
      <c r="E27" s="153" t="str">
        <f>IF(SER_hh_tes!E27=0,"",SER_hh_tes!E27/SER_hh_fec!E27)</f>
        <v/>
      </c>
      <c r="F27" s="153" t="str">
        <f>IF(SER_hh_tes!F27=0,"",SER_hh_tes!F27/SER_hh_fec!F27)</f>
        <v/>
      </c>
      <c r="G27" s="153" t="str">
        <f>IF(SER_hh_tes!G27=0,"",SER_hh_tes!G27/SER_hh_fec!G27)</f>
        <v/>
      </c>
      <c r="H27" s="153" t="str">
        <f>IF(SER_hh_tes!H27=0,"",SER_hh_tes!H27/SER_hh_fec!H27)</f>
        <v/>
      </c>
      <c r="I27" s="153" t="str">
        <f>IF(SER_hh_tes!I27=0,"",SER_hh_tes!I27/SER_hh_fec!I27)</f>
        <v/>
      </c>
      <c r="J27" s="153" t="str">
        <f>IF(SER_hh_tes!J27=0,"",SER_hh_tes!J27/SER_hh_fec!J27)</f>
        <v/>
      </c>
      <c r="K27" s="153" t="str">
        <f>IF(SER_hh_tes!K27=0,"",SER_hh_tes!K27/SER_hh_fec!K27)</f>
        <v/>
      </c>
      <c r="L27" s="153" t="str">
        <f>IF(SER_hh_tes!L27=0,"",SER_hh_tes!L27/SER_hh_fec!L27)</f>
        <v/>
      </c>
      <c r="M27" s="153" t="str">
        <f>IF(SER_hh_tes!M27=0,"",SER_hh_tes!M27/SER_hh_fec!M27)</f>
        <v/>
      </c>
      <c r="N27" s="153" t="str">
        <f>IF(SER_hh_tes!N27=0,"",SER_hh_tes!N27/SER_hh_fec!N27)</f>
        <v/>
      </c>
      <c r="O27" s="153" t="str">
        <f>IF(SER_hh_tes!O27=0,"",SER_hh_tes!O27/SER_hh_fec!O27)</f>
        <v/>
      </c>
      <c r="P27" s="153" t="str">
        <f>IF(SER_hh_tes!P27=0,"",SER_hh_tes!P27/SER_hh_fec!P27)</f>
        <v/>
      </c>
      <c r="Q27" s="153" t="str">
        <f>IF(SER_hh_tes!Q27=0,"",SER_hh_tes!Q27/SER_hh_fec!Q27)</f>
        <v/>
      </c>
      <c r="R27" s="153" t="str">
        <f>IF(SER_hh_tes!R27=0,"",SER_hh_tes!R27/SER_hh_fec!R27)</f>
        <v/>
      </c>
      <c r="S27" s="153" t="str">
        <f>IF(SER_hh_tes!S27=0,"",SER_hh_tes!S27/SER_hh_fec!S27)</f>
        <v/>
      </c>
      <c r="T27" s="153" t="str">
        <f>IF(SER_hh_tes!T27=0,"",SER_hh_tes!T27/SER_hh_fec!T27)</f>
        <v/>
      </c>
      <c r="U27" s="153" t="str">
        <f>IF(SER_hh_tes!U27=0,"",SER_hh_tes!U27/SER_hh_fec!U27)</f>
        <v/>
      </c>
      <c r="V27" s="153" t="str">
        <f>IF(SER_hh_tes!V27=0,"",SER_hh_tes!V27/SER_hh_fec!V27)</f>
        <v/>
      </c>
      <c r="W27" s="153" t="str">
        <f>IF(SER_hh_tes!W27=0,"",SER_hh_tes!W27/SER_hh_fec!W27)</f>
        <v/>
      </c>
      <c r="X27" s="153" t="str">
        <f>IF(SER_hh_tes!X27=0,"",SER_hh_tes!X27/SER_hh_fec!X27)</f>
        <v/>
      </c>
      <c r="Y27" s="153" t="str">
        <f>IF(SER_hh_tes!Y27=0,"",SER_hh_tes!Y27/SER_hh_fec!Y27)</f>
        <v/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0.70530722334742113</v>
      </c>
      <c r="C29" s="135">
        <f>IF(SER_hh_tes!C29=0,"",SER_hh_tes!C29/SER_hh_fec!C29)</f>
        <v>0.69355856608525845</v>
      </c>
      <c r="D29" s="135">
        <f>IF(SER_hh_tes!D29=0,"",SER_hh_tes!D29/SER_hh_fec!D29)</f>
        <v>0.68764775048489213</v>
      </c>
      <c r="E29" s="135">
        <f>IF(SER_hh_tes!E29=0,"",SER_hh_tes!E29/SER_hh_fec!E29)</f>
        <v>0.69040948556439574</v>
      </c>
      <c r="F29" s="135">
        <f>IF(SER_hh_tes!F29=0,"",SER_hh_tes!F29/SER_hh_fec!F29)</f>
        <v>0.68835905917025331</v>
      </c>
      <c r="G29" s="135">
        <f>IF(SER_hh_tes!G29=0,"",SER_hh_tes!G29/SER_hh_fec!G29)</f>
        <v>0.69271887504254614</v>
      </c>
      <c r="H29" s="135">
        <f>IF(SER_hh_tes!H29=0,"",SER_hh_tes!H29/SER_hh_fec!H29)</f>
        <v>0.69628910407679012</v>
      </c>
      <c r="I29" s="135">
        <f>IF(SER_hh_tes!I29=0,"",SER_hh_tes!I29/SER_hh_fec!I29)</f>
        <v>0.69935933090176616</v>
      </c>
      <c r="J29" s="135">
        <f>IF(SER_hh_tes!J29=0,"",SER_hh_tes!J29/SER_hh_fec!J29)</f>
        <v>0.70222512067078946</v>
      </c>
      <c r="K29" s="135">
        <f>IF(SER_hh_tes!K29=0,"",SER_hh_tes!K29/SER_hh_fec!K29)</f>
        <v>0.70702548972051249</v>
      </c>
      <c r="L29" s="135">
        <f>IF(SER_hh_tes!L29=0,"",SER_hh_tes!L29/SER_hh_fec!L29)</f>
        <v>0.7083736876204606</v>
      </c>
      <c r="M29" s="135">
        <f>IF(SER_hh_tes!M29=0,"",SER_hh_tes!M29/SER_hh_fec!M29)</f>
        <v>0.70984025531719019</v>
      </c>
      <c r="N29" s="135">
        <f>IF(SER_hh_tes!N29=0,"",SER_hh_tes!N29/SER_hh_fec!N29)</f>
        <v>0.71024610030491298</v>
      </c>
      <c r="O29" s="135">
        <f>IF(SER_hh_tes!O29=0,"",SER_hh_tes!O29/SER_hh_fec!O29)</f>
        <v>0.71301275343443804</v>
      </c>
      <c r="P29" s="135">
        <f>IF(SER_hh_tes!P29=0,"",SER_hh_tes!P29/SER_hh_fec!P29)</f>
        <v>0.7157836662238376</v>
      </c>
      <c r="Q29" s="135">
        <f>IF(SER_hh_tes!Q29=0,"",SER_hh_tes!Q29/SER_hh_fec!Q29)</f>
        <v>0.71952947892836461</v>
      </c>
      <c r="R29" s="135">
        <f>IF(SER_hh_tes!R29=0,"",SER_hh_tes!R29/SER_hh_fec!R29)</f>
        <v>0.71175164821560832</v>
      </c>
      <c r="S29" s="135">
        <f>IF(SER_hh_tes!S29=0,"",SER_hh_tes!S29/SER_hh_fec!S29)</f>
        <v>0.71598394089869233</v>
      </c>
      <c r="T29" s="135">
        <f>IF(SER_hh_tes!T29=0,"",SER_hh_tes!T29/SER_hh_fec!T29)</f>
        <v>0.72883592824236298</v>
      </c>
      <c r="U29" s="135">
        <f>IF(SER_hh_tes!U29=0,"",SER_hh_tes!U29/SER_hh_fec!U29)</f>
        <v>0.72729011817880762</v>
      </c>
      <c r="V29" s="135">
        <f>IF(SER_hh_tes!V29=0,"",SER_hh_tes!V29/SER_hh_fec!V29)</f>
        <v>0.7332159114139547</v>
      </c>
      <c r="W29" s="135">
        <f>IF(SER_hh_tes!W29=0,"",SER_hh_tes!W29/SER_hh_fec!W29)</f>
        <v>0.75229250325510844</v>
      </c>
      <c r="X29" s="135">
        <f>IF(SER_hh_tes!X29=0,"",SER_hh_tes!X29/SER_hh_fec!X29)</f>
        <v>0.76927454374456139</v>
      </c>
      <c r="Y29" s="135">
        <f>IF(SER_hh_tes!Y29=0,"",SER_hh_tes!Y29/SER_hh_fec!Y29)</f>
        <v>0.77616543662723536</v>
      </c>
      <c r="DA29" s="162" t="s">
        <v>243</v>
      </c>
    </row>
    <row r="30" spans="1:105" ht="12" customHeight="1" x14ac:dyDescent="0.25">
      <c r="A30" s="131" t="s">
        <v>52</v>
      </c>
      <c r="B30" s="136" t="str">
        <f>IF(SER_hh_tes!B30=0,"",SER_hh_tes!B30/SER_hh_fec!B30)</f>
        <v/>
      </c>
      <c r="C30" s="136" t="str">
        <f>IF(SER_hh_tes!C30=0,"",SER_hh_tes!C30/SER_hh_fec!C30)</f>
        <v/>
      </c>
      <c r="D30" s="136" t="str">
        <f>IF(SER_hh_tes!D30=0,"",SER_hh_tes!D30/SER_hh_fec!D30)</f>
        <v/>
      </c>
      <c r="E30" s="136" t="str">
        <f>IF(SER_hh_tes!E30=0,"",SER_hh_tes!E30/SER_hh_fec!E30)</f>
        <v/>
      </c>
      <c r="F30" s="136">
        <f>IF(SER_hh_tes!F30=0,"",SER_hh_tes!F30/SER_hh_fec!F30)</f>
        <v>0.58383768561269034</v>
      </c>
      <c r="G30" s="136">
        <f>IF(SER_hh_tes!G30=0,"",SER_hh_tes!G30/SER_hh_fec!G30)</f>
        <v>0.58390152217154689</v>
      </c>
      <c r="H30" s="136">
        <f>IF(SER_hh_tes!H30=0,"",SER_hh_tes!H30/SER_hh_fec!H30)</f>
        <v>0.58395600377945345</v>
      </c>
      <c r="I30" s="136">
        <f>IF(SER_hh_tes!I30=0,"",SER_hh_tes!I30/SER_hh_fec!I30)</f>
        <v>0.58395675715911721</v>
      </c>
      <c r="J30" s="136">
        <f>IF(SER_hh_tes!J30=0,"",SER_hh_tes!J30/SER_hh_fec!J30)</f>
        <v>0.58395800982123525</v>
      </c>
      <c r="K30" s="136">
        <f>IF(SER_hh_tes!K30=0,"",SER_hh_tes!K30/SER_hh_fec!K30)</f>
        <v>0.58395984094543507</v>
      </c>
      <c r="L30" s="136">
        <f>IF(SER_hh_tes!L30=0,"",SER_hh_tes!L30/SER_hh_fec!L30)</f>
        <v>0.58399498636037517</v>
      </c>
      <c r="M30" s="136">
        <f>IF(SER_hh_tes!M30=0,"",SER_hh_tes!M30/SER_hh_fec!M30)</f>
        <v>0.58411112365308093</v>
      </c>
      <c r="N30" s="136">
        <f>IF(SER_hh_tes!N30=0,"",SER_hh_tes!N30/SER_hh_fec!N30)</f>
        <v>0.584309574063541</v>
      </c>
      <c r="O30" s="136">
        <f>IF(SER_hh_tes!O30=0,"",SER_hh_tes!O30/SER_hh_fec!O30)</f>
        <v>0.58457005800673945</v>
      </c>
      <c r="P30" s="136">
        <f>IF(SER_hh_tes!P30=0,"",SER_hh_tes!P30/SER_hh_fec!P30)</f>
        <v>0.58506030728071201</v>
      </c>
      <c r="Q30" s="136">
        <f>IF(SER_hh_tes!Q30=0,"",SER_hh_tes!Q30/SER_hh_fec!Q30)</f>
        <v>0.58593178277341684</v>
      </c>
      <c r="R30" s="136">
        <f>IF(SER_hh_tes!R30=0,"",SER_hh_tes!R30/SER_hh_fec!R30)</f>
        <v>0.58738682350748561</v>
      </c>
      <c r="S30" s="136">
        <f>IF(SER_hh_tes!S30=0,"",SER_hh_tes!S30/SER_hh_fec!S30)</f>
        <v>0.58784175399280081</v>
      </c>
      <c r="T30" s="136">
        <f>IF(SER_hh_tes!T30=0,"",SER_hh_tes!T30/SER_hh_fec!T30)</f>
        <v>0.58861913774341701</v>
      </c>
      <c r="U30" s="136">
        <f>IF(SER_hh_tes!U30=0,"",SER_hh_tes!U30/SER_hh_fec!U30)</f>
        <v>0.58866812905708188</v>
      </c>
      <c r="V30" s="136">
        <f>IF(SER_hh_tes!V30=0,"",SER_hh_tes!V30/SER_hh_fec!V30)</f>
        <v>0.5887345815017001</v>
      </c>
      <c r="W30" s="136">
        <f>IF(SER_hh_tes!W30=0,"",SER_hh_tes!W30/SER_hh_fec!W30)</f>
        <v>0.59075584491071775</v>
      </c>
      <c r="X30" s="136">
        <f>IF(SER_hh_tes!X30=0,"",SER_hh_tes!X30/SER_hh_fec!X30)</f>
        <v>0.59156486372490347</v>
      </c>
      <c r="Y30" s="136">
        <f>IF(SER_hh_tes!Y30=0,"",SER_hh_tes!Y30/SER_hh_fec!Y30)</f>
        <v>0.59509405165423279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0.54439678454274243</v>
      </c>
      <c r="C31" s="136">
        <f>IF(SER_hh_tes!C31=0,"",SER_hh_tes!C31/SER_hh_fec!C31)</f>
        <v>0.54744315932406307</v>
      </c>
      <c r="D31" s="136">
        <f>IF(SER_hh_tes!D31=0,"",SER_hh_tes!D31/SER_hh_fec!D31)</f>
        <v>0.54873194429890171</v>
      </c>
      <c r="E31" s="136">
        <f>IF(SER_hh_tes!E31=0,"",SER_hh_tes!E31/SER_hh_fec!E31)</f>
        <v>0.54941882597946845</v>
      </c>
      <c r="F31" s="136">
        <f>IF(SER_hh_tes!F31=0,"",SER_hh_tes!F31/SER_hh_fec!F31)</f>
        <v>0.54983835834146999</v>
      </c>
      <c r="G31" s="136">
        <f>IF(SER_hh_tes!G31=0,"",SER_hh_tes!G31/SER_hh_fec!G31)</f>
        <v>0.55016562952431114</v>
      </c>
      <c r="H31" s="136">
        <f>IF(SER_hh_tes!H31=0,"",SER_hh_tes!H31/SER_hh_fec!H31)</f>
        <v>0.55056527309379044</v>
      </c>
      <c r="I31" s="136">
        <f>IF(SER_hh_tes!I31=0,"",SER_hh_tes!I31/SER_hh_fec!I31)</f>
        <v>0.55099290525856515</v>
      </c>
      <c r="J31" s="136">
        <f>IF(SER_hh_tes!J31=0,"",SER_hh_tes!J31/SER_hh_fec!J31)</f>
        <v>0.55148362146574958</v>
      </c>
      <c r="K31" s="136">
        <f>IF(SER_hh_tes!K31=0,"",SER_hh_tes!K31/SER_hh_fec!K31)</f>
        <v>0.55214538547731673</v>
      </c>
      <c r="L31" s="136">
        <f>IF(SER_hh_tes!L31=0,"",SER_hh_tes!L31/SER_hh_fec!L31)</f>
        <v>0.55309163971218489</v>
      </c>
      <c r="M31" s="136">
        <f>IF(SER_hh_tes!M31=0,"",SER_hh_tes!M31/SER_hh_fec!M31)</f>
        <v>0.55402057026873408</v>
      </c>
      <c r="N31" s="136">
        <f>IF(SER_hh_tes!N31=0,"",SER_hh_tes!N31/SER_hh_fec!N31)</f>
        <v>0.55527585815939173</v>
      </c>
      <c r="O31" s="136">
        <f>IF(SER_hh_tes!O31=0,"",SER_hh_tes!O31/SER_hh_fec!O31)</f>
        <v>0.55670186232298691</v>
      </c>
      <c r="P31" s="136">
        <f>IF(SER_hh_tes!P31=0,"",SER_hh_tes!P31/SER_hh_fec!P31)</f>
        <v>0.55770045063014151</v>
      </c>
      <c r="Q31" s="136">
        <f>IF(SER_hh_tes!Q31=0,"",SER_hh_tes!Q31/SER_hh_fec!Q31)</f>
        <v>0.55857441806773001</v>
      </c>
      <c r="R31" s="136">
        <f>IF(SER_hh_tes!R31=0,"",SER_hh_tes!R31/SER_hh_fec!R31)</f>
        <v>0.56032126886798472</v>
      </c>
      <c r="S31" s="136">
        <f>IF(SER_hh_tes!S31=0,"",SER_hh_tes!S31/SER_hh_fec!S31)</f>
        <v>0.56243481895945657</v>
      </c>
      <c r="T31" s="136">
        <f>IF(SER_hh_tes!T31=0,"",SER_hh_tes!T31/SER_hh_fec!T31)</f>
        <v>0.565860431398992</v>
      </c>
      <c r="U31" s="136">
        <f>IF(SER_hh_tes!U31=0,"",SER_hh_tes!U31/SER_hh_fec!U31)</f>
        <v>0.56823276905787978</v>
      </c>
      <c r="V31" s="136">
        <f>IF(SER_hh_tes!V31=0,"",SER_hh_tes!V31/SER_hh_fec!V31)</f>
        <v>0.57052885320374647</v>
      </c>
      <c r="W31" s="136">
        <f>IF(SER_hh_tes!W31=0,"",SER_hh_tes!W31/SER_hh_fec!W31)</f>
        <v>0.5723934985744118</v>
      </c>
      <c r="X31" s="136">
        <f>IF(SER_hh_tes!X31=0,"",SER_hh_tes!X31/SER_hh_fec!X31)</f>
        <v>0.57372736596803553</v>
      </c>
      <c r="Y31" s="136">
        <f>IF(SER_hh_tes!Y31=0,"",SER_hh_tes!Y31/SER_hh_fec!Y31)</f>
        <v>0.57535721871463974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0.71154360974285391</v>
      </c>
      <c r="C33" s="149">
        <f>IF(SER_hh_tes!C33=0,"",SER_hh_tes!C33/SER_hh_fec!C33)</f>
        <v>0.7127757574954654</v>
      </c>
      <c r="D33" s="149">
        <f>IF(SER_hh_tes!D33=0,"",SER_hh_tes!D33/SER_hh_fec!D33)</f>
        <v>0.71430180754212136</v>
      </c>
      <c r="E33" s="149">
        <f>IF(SER_hh_tes!E33=0,"",SER_hh_tes!E33/SER_hh_fec!E33)</f>
        <v>0.71617602600141383</v>
      </c>
      <c r="F33" s="149">
        <f>IF(SER_hh_tes!F33=0,"",SER_hh_tes!F33/SER_hh_fec!F33)</f>
        <v>0.71791717067316607</v>
      </c>
      <c r="G33" s="149">
        <f>IF(SER_hh_tes!G33=0,"",SER_hh_tes!G33/SER_hh_fec!G33)</f>
        <v>0.72030177195016076</v>
      </c>
      <c r="H33" s="149">
        <f>IF(SER_hh_tes!H33=0,"",SER_hh_tes!H33/SER_hh_fec!H33)</f>
        <v>0.72284408417837498</v>
      </c>
      <c r="I33" s="149">
        <f>IF(SER_hh_tes!I33=0,"",SER_hh_tes!I33/SER_hh_fec!I33)</f>
        <v>0.725233554358935</v>
      </c>
      <c r="J33" s="149">
        <f>IF(SER_hh_tes!J33=0,"",SER_hh_tes!J33/SER_hh_fec!J33)</f>
        <v>0.72732675685899195</v>
      </c>
      <c r="K33" s="149">
        <f>IF(SER_hh_tes!K33=0,"",SER_hh_tes!K33/SER_hh_fec!K33)</f>
        <v>0.72985078799602976</v>
      </c>
      <c r="L33" s="149">
        <f>IF(SER_hh_tes!L33=0,"",SER_hh_tes!L33/SER_hh_fec!L33)</f>
        <v>0.73189677401490416</v>
      </c>
      <c r="M33" s="149">
        <f>IF(SER_hh_tes!M33=0,"",SER_hh_tes!M33/SER_hh_fec!M33)</f>
        <v>0.73305178316223829</v>
      </c>
      <c r="N33" s="149">
        <f>IF(SER_hh_tes!N33=0,"",SER_hh_tes!N33/SER_hh_fec!N33)</f>
        <v>0.73468312983004647</v>
      </c>
      <c r="O33" s="149">
        <f>IF(SER_hh_tes!O33=0,"",SER_hh_tes!O33/SER_hh_fec!O33)</f>
        <v>0.73717037959558562</v>
      </c>
      <c r="P33" s="149">
        <f>IF(SER_hh_tes!P33=0,"",SER_hh_tes!P33/SER_hh_fec!P33)</f>
        <v>0.74049350249163381</v>
      </c>
      <c r="Q33" s="149">
        <f>IF(SER_hh_tes!Q33=0,"",SER_hh_tes!Q33/SER_hh_fec!Q33)</f>
        <v>0.74500907987548359</v>
      </c>
      <c r="R33" s="149">
        <f>IF(SER_hh_tes!R33=0,"",SER_hh_tes!R33/SER_hh_fec!R33)</f>
        <v>0.75006693609677855</v>
      </c>
      <c r="S33" s="149">
        <f>IF(SER_hh_tes!S33=0,"",SER_hh_tes!S33/SER_hh_fec!S33)</f>
        <v>0.75810539891974138</v>
      </c>
      <c r="T33" s="149">
        <f>IF(SER_hh_tes!T33=0,"",SER_hh_tes!T33/SER_hh_fec!T33)</f>
        <v>0.76709946696910392</v>
      </c>
      <c r="U33" s="149">
        <f>IF(SER_hh_tes!U33=0,"",SER_hh_tes!U33/SER_hh_fec!U33)</f>
        <v>0.77753688915347996</v>
      </c>
      <c r="V33" s="149">
        <f>IF(SER_hh_tes!V33=0,"",SER_hh_tes!V33/SER_hh_fec!V33)</f>
        <v>0.78850730681518233</v>
      </c>
      <c r="W33" s="149">
        <f>IF(SER_hh_tes!W33=0,"",SER_hh_tes!W33/SER_hh_fec!W33)</f>
        <v>0.80007359377828946</v>
      </c>
      <c r="X33" s="149">
        <f>IF(SER_hh_tes!X33=0,"",SER_hh_tes!X33/SER_hh_fec!X33)</f>
        <v>0.81248668420492665</v>
      </c>
      <c r="Y33" s="149">
        <f>IF(SER_hh_tes!Y33=0,"",SER_hh_tes!Y33/SER_hh_fec!Y33)</f>
        <v>0.82373128065715551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217.93047548214881</v>
      </c>
      <c r="C3" s="125">
        <f t="shared" si="0"/>
        <v>287.4205923071965</v>
      </c>
      <c r="D3" s="125">
        <f t="shared" si="0"/>
        <v>231.03616708363205</v>
      </c>
      <c r="E3" s="125">
        <f t="shared" si="0"/>
        <v>303.92520810651149</v>
      </c>
      <c r="F3" s="125">
        <f t="shared" si="0"/>
        <v>293.24959444061028</v>
      </c>
      <c r="G3" s="125">
        <f t="shared" si="0"/>
        <v>283.42368009005492</v>
      </c>
      <c r="H3" s="125">
        <f t="shared" si="0"/>
        <v>247.81814218095619</v>
      </c>
      <c r="I3" s="125">
        <f t="shared" si="0"/>
        <v>243.80627754773025</v>
      </c>
      <c r="J3" s="125">
        <f t="shared" si="0"/>
        <v>211.51025166334406</v>
      </c>
      <c r="K3" s="125">
        <f t="shared" si="0"/>
        <v>184.4865509706612</v>
      </c>
      <c r="L3" s="125">
        <f t="shared" si="0"/>
        <v>172.60887602864906</v>
      </c>
      <c r="M3" s="125">
        <f t="shared" si="0"/>
        <v>214.37343717323705</v>
      </c>
      <c r="N3" s="125">
        <f t="shared" si="0"/>
        <v>227.57453617472672</v>
      </c>
      <c r="O3" s="125">
        <f t="shared" si="0"/>
        <v>241.14934078044226</v>
      </c>
      <c r="P3" s="125">
        <f t="shared" si="0"/>
        <v>262.74325561509653</v>
      </c>
      <c r="Q3" s="125">
        <f t="shared" si="0"/>
        <v>278.50618950956556</v>
      </c>
      <c r="R3" s="125">
        <f t="shared" ref="R3:W3" si="1">SUM(R4,R16,R19,R29)</f>
        <v>279.68308929209962</v>
      </c>
      <c r="S3" s="125">
        <f t="shared" si="1"/>
        <v>265.56915151389023</v>
      </c>
      <c r="T3" s="125">
        <f t="shared" si="1"/>
        <v>271.03344916101139</v>
      </c>
      <c r="U3" s="125">
        <f t="shared" si="1"/>
        <v>241.51037713677516</v>
      </c>
      <c r="V3" s="125">
        <f t="shared" si="1"/>
        <v>246.11125362131003</v>
      </c>
      <c r="W3" s="125">
        <f t="shared" si="1"/>
        <v>257.64100804029044</v>
      </c>
      <c r="X3" s="125">
        <f t="shared" ref="X3:Y3" si="2">SUM(X4,X16,X19,X29)</f>
        <v>187.33916425901</v>
      </c>
      <c r="Y3" s="125">
        <f t="shared" si="2"/>
        <v>183.65054023047634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190.49495620506926</v>
      </c>
      <c r="C4" s="130">
        <f t="shared" si="3"/>
        <v>252.11402535610603</v>
      </c>
      <c r="D4" s="130">
        <f t="shared" si="3"/>
        <v>194.94765638790065</v>
      </c>
      <c r="E4" s="130">
        <f t="shared" si="3"/>
        <v>272.61184547905629</v>
      </c>
      <c r="F4" s="130">
        <f t="shared" si="3"/>
        <v>261.5709559799929</v>
      </c>
      <c r="G4" s="130">
        <f t="shared" si="3"/>
        <v>252.70799871080186</v>
      </c>
      <c r="H4" s="130">
        <f t="shared" si="3"/>
        <v>218.00856887230975</v>
      </c>
      <c r="I4" s="130">
        <f t="shared" si="3"/>
        <v>214.73877691301072</v>
      </c>
      <c r="J4" s="130">
        <f t="shared" si="3"/>
        <v>182.6665116361805</v>
      </c>
      <c r="K4" s="130">
        <f t="shared" si="3"/>
        <v>156.97240075070133</v>
      </c>
      <c r="L4" s="130">
        <f t="shared" si="3"/>
        <v>144.94183895833243</v>
      </c>
      <c r="M4" s="130">
        <f t="shared" si="3"/>
        <v>185.57472292147821</v>
      </c>
      <c r="N4" s="130">
        <f t="shared" si="3"/>
        <v>197.90331044899841</v>
      </c>
      <c r="O4" s="130">
        <f t="shared" si="3"/>
        <v>209.55544525429451</v>
      </c>
      <c r="P4" s="130">
        <f t="shared" si="3"/>
        <v>227.282950336292</v>
      </c>
      <c r="Q4" s="130">
        <f t="shared" si="3"/>
        <v>242.57689557751908</v>
      </c>
      <c r="R4" s="130">
        <f t="shared" ref="R4:W4" si="4">SUM(R5:R15)</f>
        <v>238.17144527931248</v>
      </c>
      <c r="S4" s="130">
        <f t="shared" si="4"/>
        <v>220.01393200785378</v>
      </c>
      <c r="T4" s="130">
        <f t="shared" si="4"/>
        <v>228.01431186022671</v>
      </c>
      <c r="U4" s="130">
        <f t="shared" si="4"/>
        <v>193.84775606284984</v>
      </c>
      <c r="V4" s="130">
        <f t="shared" si="4"/>
        <v>198.69927933611865</v>
      </c>
      <c r="W4" s="130">
        <f t="shared" si="4"/>
        <v>213.748641744586</v>
      </c>
      <c r="X4" s="130">
        <f t="shared" ref="X4:Y4" si="5">SUM(X5:X15)</f>
        <v>146.31316601295907</v>
      </c>
      <c r="Y4" s="130">
        <f t="shared" si="5"/>
        <v>140.31489454271178</v>
      </c>
      <c r="DA4" s="155" t="s">
        <v>234</v>
      </c>
    </row>
    <row r="5" spans="1:105" ht="12" customHeight="1" x14ac:dyDescent="0.25">
      <c r="A5" s="131" t="s">
        <v>29</v>
      </c>
      <c r="B5" s="132">
        <v>22.585157962148777</v>
      </c>
      <c r="C5" s="132">
        <v>27.77286390719652</v>
      </c>
      <c r="D5" s="132">
        <v>24.31276156363203</v>
      </c>
      <c r="E5" s="132">
        <v>26.008082346511479</v>
      </c>
      <c r="F5" s="132">
        <v>25.362541000610264</v>
      </c>
      <c r="G5" s="132">
        <v>29.623188330054948</v>
      </c>
      <c r="H5" s="132">
        <v>18.241929460956158</v>
      </c>
      <c r="I5" s="132">
        <v>19.880949907730226</v>
      </c>
      <c r="J5" s="132">
        <v>14.002714383344061</v>
      </c>
      <c r="K5" s="132">
        <v>11.172600570661256</v>
      </c>
      <c r="L5" s="132">
        <v>9.4869500686490635</v>
      </c>
      <c r="M5" s="132">
        <v>6.9010286132370053</v>
      </c>
      <c r="N5" s="132">
        <v>8.4123922947268603</v>
      </c>
      <c r="O5" s="132">
        <v>13.611110740442205</v>
      </c>
      <c r="P5" s="132">
        <v>8.32575409509659</v>
      </c>
      <c r="Q5" s="132">
        <v>7.1396914295655423</v>
      </c>
      <c r="R5" s="132">
        <v>9.2853724520997183</v>
      </c>
      <c r="S5" s="132">
        <v>3.9444589938901649</v>
      </c>
      <c r="T5" s="132">
        <v>4.1469743598300717</v>
      </c>
      <c r="U5" s="132">
        <v>3.7904892474379408</v>
      </c>
      <c r="V5" s="132">
        <v>4.0760449538154884</v>
      </c>
      <c r="W5" s="132">
        <v>4.0025660776030394</v>
      </c>
      <c r="X5" s="132">
        <v>4.3786274400000007</v>
      </c>
      <c r="Y5" s="132">
        <v>1.8878020112179168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147.43312227995929</v>
      </c>
      <c r="C7" s="132">
        <v>184.43370760585839</v>
      </c>
      <c r="D7" s="132">
        <v>122.42514395833625</v>
      </c>
      <c r="E7" s="132">
        <v>112.51759409600419</v>
      </c>
      <c r="F7" s="132">
        <v>115.28407513343184</v>
      </c>
      <c r="G7" s="132">
        <v>130.82835491121003</v>
      </c>
      <c r="H7" s="132">
        <v>100.29196195424856</v>
      </c>
      <c r="I7" s="132">
        <v>107.6477289850493</v>
      </c>
      <c r="J7" s="132">
        <v>104.56001645756555</v>
      </c>
      <c r="K7" s="132">
        <v>96.485266105335327</v>
      </c>
      <c r="L7" s="132">
        <v>80.810119678632489</v>
      </c>
      <c r="M7" s="132">
        <v>122.42459036574643</v>
      </c>
      <c r="N7" s="132">
        <v>125.33596887290243</v>
      </c>
      <c r="O7" s="132">
        <v>114.16199184687213</v>
      </c>
      <c r="P7" s="132">
        <v>85.924758295829392</v>
      </c>
      <c r="Q7" s="132">
        <v>95.629836996090461</v>
      </c>
      <c r="R7" s="132">
        <v>70.716403387754283</v>
      </c>
      <c r="S7" s="132">
        <v>79.132472254758312</v>
      </c>
      <c r="T7" s="132">
        <v>78.403101713452642</v>
      </c>
      <c r="U7" s="132">
        <v>55.508003565007215</v>
      </c>
      <c r="V7" s="132">
        <v>56.196158372702165</v>
      </c>
      <c r="W7" s="132">
        <v>60.203282118552877</v>
      </c>
      <c r="X7" s="132">
        <v>64.127152394887574</v>
      </c>
      <c r="Y7" s="132">
        <v>76.123247745435364</v>
      </c>
      <c r="DA7" s="156" t="s">
        <v>360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361</v>
      </c>
    </row>
    <row r="9" spans="1:105" ht="12" customHeight="1" x14ac:dyDescent="0.25">
      <c r="A9" s="131" t="s">
        <v>78</v>
      </c>
      <c r="B9" s="132">
        <v>20.476675962961188</v>
      </c>
      <c r="C9" s="132">
        <v>39.907453843051123</v>
      </c>
      <c r="D9" s="132">
        <v>48.209750865932357</v>
      </c>
      <c r="E9" s="132">
        <v>134.08616903654061</v>
      </c>
      <c r="F9" s="132">
        <v>120.92433984595077</v>
      </c>
      <c r="G9" s="132">
        <v>92.256455469536874</v>
      </c>
      <c r="H9" s="132">
        <v>99.474677457105017</v>
      </c>
      <c r="I9" s="132">
        <v>87.2100980202312</v>
      </c>
      <c r="J9" s="132">
        <v>64.103780795270893</v>
      </c>
      <c r="K9" s="132">
        <v>49.314534074704738</v>
      </c>
      <c r="L9" s="132">
        <v>54.644769211050864</v>
      </c>
      <c r="M9" s="132">
        <v>56.249103942494777</v>
      </c>
      <c r="N9" s="132">
        <v>64.154949281369127</v>
      </c>
      <c r="O9" s="132">
        <v>81.782342666980185</v>
      </c>
      <c r="P9" s="132">
        <v>133.03243794536604</v>
      </c>
      <c r="Q9" s="132">
        <v>139.80736715186308</v>
      </c>
      <c r="R9" s="132">
        <v>158.16966943945846</v>
      </c>
      <c r="S9" s="132">
        <v>136.93700075920529</v>
      </c>
      <c r="T9" s="132">
        <v>145.46423578694399</v>
      </c>
      <c r="U9" s="132">
        <v>134.54926325040469</v>
      </c>
      <c r="V9" s="132">
        <v>138.427076009601</v>
      </c>
      <c r="W9" s="132">
        <v>149.5427935484301</v>
      </c>
      <c r="X9" s="132">
        <v>77.807386178071496</v>
      </c>
      <c r="Y9" s="132">
        <v>62.303844786058512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0</v>
      </c>
      <c r="C16" s="130">
        <f t="shared" si="6"/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235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24.962999842159064</v>
      </c>
      <c r="C19" s="130">
        <f t="shared" si="9"/>
        <v>27.218497451220529</v>
      </c>
      <c r="D19" s="130">
        <f t="shared" si="9"/>
        <v>24.571973868952167</v>
      </c>
      <c r="E19" s="130">
        <f t="shared" si="9"/>
        <v>19.675340855531584</v>
      </c>
      <c r="F19" s="130">
        <f t="shared" si="9"/>
        <v>17.348990875429525</v>
      </c>
      <c r="G19" s="130">
        <f t="shared" si="9"/>
        <v>16.691589825437944</v>
      </c>
      <c r="H19" s="130">
        <f t="shared" si="9"/>
        <v>16.100213957165575</v>
      </c>
      <c r="I19" s="130">
        <f t="shared" si="9"/>
        <v>15.67076815634211</v>
      </c>
      <c r="J19" s="130">
        <f t="shared" si="9"/>
        <v>15.752136229276889</v>
      </c>
      <c r="K19" s="130">
        <f t="shared" si="9"/>
        <v>15.412452436821042</v>
      </c>
      <c r="L19" s="130">
        <f t="shared" si="9"/>
        <v>15.107619621444059</v>
      </c>
      <c r="M19" s="130">
        <f t="shared" si="9"/>
        <v>16.050526139001047</v>
      </c>
      <c r="N19" s="130">
        <f t="shared" si="9"/>
        <v>16.157546301340236</v>
      </c>
      <c r="O19" s="130">
        <f t="shared" si="9"/>
        <v>18.309087061401399</v>
      </c>
      <c r="P19" s="130">
        <f t="shared" si="9"/>
        <v>21.870723510829478</v>
      </c>
      <c r="Q19" s="130">
        <f t="shared" si="9"/>
        <v>22.11971595373425</v>
      </c>
      <c r="R19" s="130">
        <f t="shared" ref="R19:W19" si="10">SUM(R20:R27)</f>
        <v>21.227208001079717</v>
      </c>
      <c r="S19" s="130">
        <f t="shared" si="10"/>
        <v>22.35725105983871</v>
      </c>
      <c r="T19" s="130">
        <f t="shared" si="10"/>
        <v>23.867509903623422</v>
      </c>
      <c r="U19" s="130">
        <f t="shared" si="10"/>
        <v>22.808503044253886</v>
      </c>
      <c r="V19" s="130">
        <f t="shared" si="10"/>
        <v>22.881684568218354</v>
      </c>
      <c r="W19" s="130">
        <f t="shared" si="10"/>
        <v>21.636561853246942</v>
      </c>
      <c r="X19" s="130">
        <f t="shared" ref="X19:Y19" si="11">SUM(X20:X27)</f>
        <v>20.201243330471801</v>
      </c>
      <c r="Y19" s="130">
        <f t="shared" si="11"/>
        <v>18.565585255600944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372</v>
      </c>
    </row>
    <row r="22" spans="1:105" ht="12" customHeight="1" x14ac:dyDescent="0.25">
      <c r="A22" s="131" t="s">
        <v>161</v>
      </c>
      <c r="B22" s="132">
        <v>22.86915524004073</v>
      </c>
      <c r="C22" s="132">
        <v>22.552950794141616</v>
      </c>
      <c r="D22" s="132">
        <v>19.67106156166377</v>
      </c>
      <c r="E22" s="132">
        <v>14.585901663995816</v>
      </c>
      <c r="F22" s="132">
        <v>12.24763306656814</v>
      </c>
      <c r="G22" s="132">
        <v>11.497071608789943</v>
      </c>
      <c r="H22" s="132">
        <v>10.740585525751436</v>
      </c>
      <c r="I22" s="132">
        <v>10.305943414950718</v>
      </c>
      <c r="J22" s="132">
        <v>10.352735582434407</v>
      </c>
      <c r="K22" s="132">
        <v>9.9362890546646092</v>
      </c>
      <c r="L22" s="132">
        <v>9.6412288813674962</v>
      </c>
      <c r="M22" s="132">
        <v>9.3983307942536349</v>
      </c>
      <c r="N22" s="132">
        <v>9.0603197670974271</v>
      </c>
      <c r="O22" s="132">
        <v>8.7678129531279385</v>
      </c>
      <c r="P22" s="132">
        <v>8.6482579841705451</v>
      </c>
      <c r="Q22" s="132">
        <v>8.4701458439095259</v>
      </c>
      <c r="R22" s="132">
        <v>7.6310629722456653</v>
      </c>
      <c r="S22" s="132">
        <v>7.3603490652417634</v>
      </c>
      <c r="T22" s="132">
        <v>7.4183638865473824</v>
      </c>
      <c r="U22" s="132">
        <v>5.3110109549927635</v>
      </c>
      <c r="V22" s="132">
        <v>5.3816450672978373</v>
      </c>
      <c r="W22" s="132">
        <v>5.3104916814471688</v>
      </c>
      <c r="X22" s="132">
        <v>5.9325581251124548</v>
      </c>
      <c r="Y22" s="132">
        <v>7.0299529345646681</v>
      </c>
      <c r="DA22" s="156" t="s">
        <v>373</v>
      </c>
    </row>
    <row r="23" spans="1:105" ht="12" customHeight="1" x14ac:dyDescent="0.25">
      <c r="A23" s="131" t="s">
        <v>149</v>
      </c>
      <c r="B23" s="132">
        <v>2.0938446021183337</v>
      </c>
      <c r="C23" s="132">
        <v>4.665546657078913</v>
      </c>
      <c r="D23" s="132">
        <v>4.9009123072883982</v>
      </c>
      <c r="E23" s="132">
        <v>5.0894391915357682</v>
      </c>
      <c r="F23" s="132">
        <v>5.1013578088613851</v>
      </c>
      <c r="G23" s="132">
        <v>5.1945182166480022</v>
      </c>
      <c r="H23" s="132">
        <v>5.359628431414138</v>
      </c>
      <c r="I23" s="132">
        <v>5.3648247413913923</v>
      </c>
      <c r="J23" s="132">
        <v>5.3994006468424809</v>
      </c>
      <c r="K23" s="132">
        <v>5.4761633821564333</v>
      </c>
      <c r="L23" s="132">
        <v>5.4663907400765623</v>
      </c>
      <c r="M23" s="132">
        <v>6.6521953447474109</v>
      </c>
      <c r="N23" s="132">
        <v>7.09722653424281</v>
      </c>
      <c r="O23" s="132">
        <v>9.5412741082734627</v>
      </c>
      <c r="P23" s="132">
        <v>13.222465526658933</v>
      </c>
      <c r="Q23" s="132">
        <v>13.649570109824722</v>
      </c>
      <c r="R23" s="132">
        <v>13.596145028834052</v>
      </c>
      <c r="S23" s="132">
        <v>14.996901994596945</v>
      </c>
      <c r="T23" s="132">
        <v>16.449146017076039</v>
      </c>
      <c r="U23" s="132">
        <v>17.497492089261122</v>
      </c>
      <c r="V23" s="132">
        <v>17.500039500920519</v>
      </c>
      <c r="W23" s="132">
        <v>16.326070171799774</v>
      </c>
      <c r="X23" s="132">
        <v>14.268685205359347</v>
      </c>
      <c r="Y23" s="132">
        <v>11.535632321036275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2.4725194349204864</v>
      </c>
      <c r="C29" s="130">
        <f t="shared" si="12"/>
        <v>8.0880694998699614</v>
      </c>
      <c r="D29" s="130">
        <f t="shared" si="12"/>
        <v>11.516536826779236</v>
      </c>
      <c r="E29" s="130">
        <f t="shared" si="12"/>
        <v>11.638021771923617</v>
      </c>
      <c r="F29" s="130">
        <f t="shared" si="12"/>
        <v>14.329647585187871</v>
      </c>
      <c r="G29" s="130">
        <f t="shared" si="12"/>
        <v>14.024091553815131</v>
      </c>
      <c r="H29" s="130">
        <f t="shared" si="12"/>
        <v>13.709359351480856</v>
      </c>
      <c r="I29" s="130">
        <f t="shared" si="12"/>
        <v>13.396732478377402</v>
      </c>
      <c r="J29" s="130">
        <f t="shared" si="12"/>
        <v>13.091603797886668</v>
      </c>
      <c r="K29" s="130">
        <f t="shared" si="12"/>
        <v>12.101697783138817</v>
      </c>
      <c r="L29" s="130">
        <f t="shared" si="12"/>
        <v>12.559417448872587</v>
      </c>
      <c r="M29" s="130">
        <f t="shared" si="12"/>
        <v>12.7481881127578</v>
      </c>
      <c r="N29" s="130">
        <f t="shared" si="12"/>
        <v>13.513679424388075</v>
      </c>
      <c r="O29" s="130">
        <f t="shared" si="12"/>
        <v>13.28480846474636</v>
      </c>
      <c r="P29" s="130">
        <f t="shared" si="12"/>
        <v>13.589581767975051</v>
      </c>
      <c r="Q29" s="130">
        <f t="shared" si="12"/>
        <v>13.809577978312255</v>
      </c>
      <c r="R29" s="130">
        <f t="shared" ref="R29:W29" si="13">SUM(R30:R33)</f>
        <v>20.284436011707427</v>
      </c>
      <c r="S29" s="130">
        <f t="shared" si="13"/>
        <v>23.197968446197727</v>
      </c>
      <c r="T29" s="130">
        <f t="shared" si="13"/>
        <v>19.151627397161256</v>
      </c>
      <c r="U29" s="130">
        <f t="shared" si="13"/>
        <v>24.854118029671454</v>
      </c>
      <c r="V29" s="130">
        <f t="shared" si="13"/>
        <v>24.530289716973019</v>
      </c>
      <c r="W29" s="130">
        <f t="shared" si="13"/>
        <v>22.255804442457521</v>
      </c>
      <c r="X29" s="130">
        <f t="shared" ref="X29:Y29" si="14">SUM(X30:X33)</f>
        <v>20.824754915579113</v>
      </c>
      <c r="Y29" s="130">
        <f t="shared" si="14"/>
        <v>24.770060432163596</v>
      </c>
      <c r="DA29" s="155" t="s">
        <v>237</v>
      </c>
    </row>
    <row r="30" spans="1:105" ht="12" customHeight="1" x14ac:dyDescent="0.25">
      <c r="A30" s="131" t="s">
        <v>52</v>
      </c>
      <c r="B30" s="132">
        <v>0</v>
      </c>
      <c r="C30" s="132">
        <v>0</v>
      </c>
      <c r="D30" s="132">
        <v>0</v>
      </c>
      <c r="E30" s="132">
        <v>0</v>
      </c>
      <c r="F30" s="132">
        <v>2.8710752400000024</v>
      </c>
      <c r="G30" s="132">
        <v>2.8710752400000019</v>
      </c>
      <c r="H30" s="132">
        <v>2.8710752400000015</v>
      </c>
      <c r="I30" s="132">
        <v>2.8710752400000006</v>
      </c>
      <c r="J30" s="132">
        <v>2.8710752400000015</v>
      </c>
      <c r="K30" s="132">
        <v>2.8710752400000006</v>
      </c>
      <c r="L30" s="132">
        <v>2.842907400000001</v>
      </c>
      <c r="M30" s="132">
        <v>2.8429074000000019</v>
      </c>
      <c r="N30" s="132">
        <v>2.8710752400000019</v>
      </c>
      <c r="O30" s="132">
        <v>2.8710752400000019</v>
      </c>
      <c r="P30" s="132">
        <v>2.8710752400000019</v>
      </c>
      <c r="Q30" s="132">
        <v>2.8710752400000015</v>
      </c>
      <c r="R30" s="132">
        <v>5.7421504800000012</v>
      </c>
      <c r="S30" s="132">
        <v>8.6132257200000026</v>
      </c>
      <c r="T30" s="132">
        <v>2.8710752400000024</v>
      </c>
      <c r="U30" s="132">
        <v>5.7421504799999994</v>
      </c>
      <c r="V30" s="132">
        <v>5.9431870799999942</v>
      </c>
      <c r="W30" s="132">
        <v>4.3064992799999962</v>
      </c>
      <c r="X30" s="132">
        <v>5.7421504800000003</v>
      </c>
      <c r="Y30" s="132">
        <v>10.44776987999999</v>
      </c>
      <c r="DA30" s="156" t="s">
        <v>379</v>
      </c>
    </row>
    <row r="31" spans="1:105" ht="12" customHeight="1" x14ac:dyDescent="0.25">
      <c r="A31" s="131" t="s">
        <v>149</v>
      </c>
      <c r="B31" s="132">
        <v>2.4725194349204864</v>
      </c>
      <c r="C31" s="132">
        <v>8.0880694998699614</v>
      </c>
      <c r="D31" s="132">
        <v>11.516536826779236</v>
      </c>
      <c r="E31" s="132">
        <v>11.638021771923617</v>
      </c>
      <c r="F31" s="132">
        <v>11.458572345187868</v>
      </c>
      <c r="G31" s="132">
        <v>11.153016313815129</v>
      </c>
      <c r="H31" s="132">
        <v>10.838284111480855</v>
      </c>
      <c r="I31" s="132">
        <v>10.525657238377402</v>
      </c>
      <c r="J31" s="132">
        <v>10.220528557886666</v>
      </c>
      <c r="K31" s="132">
        <v>9.2306225431388178</v>
      </c>
      <c r="L31" s="132">
        <v>9.7165100488725855</v>
      </c>
      <c r="M31" s="132">
        <v>9.9052807127577989</v>
      </c>
      <c r="N31" s="132">
        <v>10.642604184388073</v>
      </c>
      <c r="O31" s="132">
        <v>10.413733224746359</v>
      </c>
      <c r="P31" s="132">
        <v>10.71850652797505</v>
      </c>
      <c r="Q31" s="132">
        <v>10.938502738312254</v>
      </c>
      <c r="R31" s="132">
        <v>14.542285531707428</v>
      </c>
      <c r="S31" s="132">
        <v>14.584742726197726</v>
      </c>
      <c r="T31" s="132">
        <v>16.280552157161253</v>
      </c>
      <c r="U31" s="132">
        <v>19.111967549671455</v>
      </c>
      <c r="V31" s="132">
        <v>18.587102636973025</v>
      </c>
      <c r="W31" s="132">
        <v>17.949305162457524</v>
      </c>
      <c r="X31" s="132">
        <v>15.082604435579114</v>
      </c>
      <c r="Y31" s="132">
        <v>14.322290552163606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217135.50315603646</v>
      </c>
      <c r="C3" s="125">
        <f>IF(SER_hh_fec!C3=0,0,11630*1000*SER_hh_fec!C3/SER_hh_num!C3)</f>
        <v>213443.88571760117</v>
      </c>
      <c r="D3" s="125">
        <f>IF(SER_hh_fec!D3=0,0,11630*1000*SER_hh_fec!D3/SER_hh_num!D3)</f>
        <v>205424.46558266258</v>
      </c>
      <c r="E3" s="125">
        <f>IF(SER_hh_fec!E3=0,0,11630*1000*SER_hh_fec!E3/SER_hh_num!E3)</f>
        <v>226864.93752265308</v>
      </c>
      <c r="F3" s="125">
        <f>IF(SER_hh_fec!F3=0,0,11630*1000*SER_hh_fec!F3/SER_hh_num!F3)</f>
        <v>250181.73868345347</v>
      </c>
      <c r="G3" s="125">
        <f>IF(SER_hh_fec!G3=0,0,11630*1000*SER_hh_fec!G3/SER_hh_num!G3)</f>
        <v>242570.10500185285</v>
      </c>
      <c r="H3" s="125">
        <f>IF(SER_hh_fec!H3=0,0,11630*1000*SER_hh_fec!H3/SER_hh_num!H3)</f>
        <v>229759.71982311583</v>
      </c>
      <c r="I3" s="125">
        <f>IF(SER_hh_fec!I3=0,0,11630*1000*SER_hh_fec!I3/SER_hh_num!I3)</f>
        <v>228313.2116761035</v>
      </c>
      <c r="J3" s="125">
        <f>IF(SER_hh_fec!J3=0,0,11630*1000*SER_hh_fec!J3/SER_hh_num!J3)</f>
        <v>248956.99218339246</v>
      </c>
      <c r="K3" s="125">
        <f>IF(SER_hh_fec!K3=0,0,11630*1000*SER_hh_fec!K3/SER_hh_num!K3)</f>
        <v>239783.19695125587</v>
      </c>
      <c r="L3" s="125">
        <f>IF(SER_hh_fec!L3=0,0,11630*1000*SER_hh_fec!L3/SER_hh_num!L3)</f>
        <v>240489.99544457241</v>
      </c>
      <c r="M3" s="125">
        <f>IF(SER_hh_fec!M3=0,0,11630*1000*SER_hh_fec!M3/SER_hh_num!M3)</f>
        <v>218046.25306797549</v>
      </c>
      <c r="N3" s="125">
        <f>IF(SER_hh_fec!N3=0,0,11630*1000*SER_hh_fec!N3/SER_hh_num!N3)</f>
        <v>227827.1875396338</v>
      </c>
      <c r="O3" s="125">
        <f>IF(SER_hh_fec!O3=0,0,11630*1000*SER_hh_fec!O3/SER_hh_num!O3)</f>
        <v>220998.66743000512</v>
      </c>
      <c r="P3" s="125">
        <f>IF(SER_hh_fec!P3=0,0,11630*1000*SER_hh_fec!P3/SER_hh_num!P3)</f>
        <v>242308.4593655426</v>
      </c>
      <c r="Q3" s="125">
        <f>IF(SER_hh_fec!Q3=0,0,11630*1000*SER_hh_fec!Q3/SER_hh_num!Q3)</f>
        <v>240062.06523810187</v>
      </c>
      <c r="R3" s="125">
        <f>IF(SER_hh_fec!R3=0,0,11630*1000*SER_hh_fec!R3/SER_hh_num!R3)</f>
        <v>258064.39500775703</v>
      </c>
      <c r="S3" s="125">
        <f>IF(SER_hh_fec!S3=0,0,11630*1000*SER_hh_fec!S3/SER_hh_num!S3)</f>
        <v>233539.36430910541</v>
      </c>
      <c r="T3" s="125">
        <f>IF(SER_hh_fec!T3=0,0,11630*1000*SER_hh_fec!T3/SER_hh_num!T3)</f>
        <v>245287.83418955872</v>
      </c>
      <c r="U3" s="125">
        <f>IF(SER_hh_fec!U3=0,0,11630*1000*SER_hh_fec!U3/SER_hh_num!U3)</f>
        <v>226226.77534256098</v>
      </c>
      <c r="V3" s="125">
        <f>IF(SER_hh_fec!V3=0,0,11630*1000*SER_hh_fec!V3/SER_hh_num!V3)</f>
        <v>228264.86928503826</v>
      </c>
      <c r="W3" s="125">
        <f>IF(SER_hh_fec!W3=0,0,11630*1000*SER_hh_fec!W3/SER_hh_num!W3)</f>
        <v>248379.47819908604</v>
      </c>
      <c r="X3" s="125">
        <f>IF(SER_hh_fec!X3=0,0,11630*1000*SER_hh_fec!X3/SER_hh_num!X3)</f>
        <v>213524.85632672504</v>
      </c>
      <c r="Y3" s="125">
        <f>IF(SER_hh_fec!Y3=0,0,11630*1000*SER_hh_fec!Y3/SER_hh_num!Y3)</f>
        <v>195441.23567756169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162908.86206175241</v>
      </c>
      <c r="C4" s="130">
        <f>IF(SER_hh_fec!C4=0,0,11630*1000*SER_hh_fec!C4/SER_hh_num!C4)</f>
        <v>159377.00060406365</v>
      </c>
      <c r="D4" s="130">
        <f>IF(SER_hh_fec!D4=0,0,11630*1000*SER_hh_fec!D4/SER_hh_num!D4)</f>
        <v>152556.95181006272</v>
      </c>
      <c r="E4" s="130">
        <f>IF(SER_hh_fec!E4=0,0,11630*1000*SER_hh_fec!E4/SER_hh_num!E4)</f>
        <v>174113.66081201698</v>
      </c>
      <c r="F4" s="130">
        <f>IF(SER_hh_fec!F4=0,0,11630*1000*SER_hh_fec!F4/SER_hh_num!F4)</f>
        <v>198575.45083735036</v>
      </c>
      <c r="G4" s="130">
        <f>IF(SER_hh_fec!G4=0,0,11630*1000*SER_hh_fec!G4/SER_hh_num!G4)</f>
        <v>190473.28052848895</v>
      </c>
      <c r="H4" s="130">
        <f>IF(SER_hh_fec!H4=0,0,11630*1000*SER_hh_fec!H4/SER_hh_num!H4)</f>
        <v>179147.78114032093</v>
      </c>
      <c r="I4" s="130">
        <f>IF(SER_hh_fec!I4=0,0,11630*1000*SER_hh_fec!I4/SER_hh_num!I4)</f>
        <v>179053.06004104338</v>
      </c>
      <c r="J4" s="130">
        <f>IF(SER_hh_fec!J4=0,0,11630*1000*SER_hh_fec!J4/SER_hh_num!J4)</f>
        <v>198443.16618890225</v>
      </c>
      <c r="K4" s="130">
        <f>IF(SER_hh_fec!K4=0,0,11630*1000*SER_hh_fec!K4/SER_hh_num!K4)</f>
        <v>188338.75785570598</v>
      </c>
      <c r="L4" s="130">
        <f>IF(SER_hh_fec!L4=0,0,11630*1000*SER_hh_fec!L4/SER_hh_num!L4)</f>
        <v>188744.37590995833</v>
      </c>
      <c r="M4" s="130">
        <f>IF(SER_hh_fec!M4=0,0,11630*1000*SER_hh_fec!M4/SER_hh_num!M4)</f>
        <v>165722.63716968967</v>
      </c>
      <c r="N4" s="130">
        <f>IF(SER_hh_fec!N4=0,0,11630*1000*SER_hh_fec!N4/SER_hh_num!N4)</f>
        <v>176044.38715171607</v>
      </c>
      <c r="O4" s="130">
        <f>IF(SER_hh_fec!O4=0,0,11630*1000*SER_hh_fec!O4/SER_hh_num!O4)</f>
        <v>168795.44376222813</v>
      </c>
      <c r="P4" s="130">
        <f>IF(SER_hh_fec!P4=0,0,11630*1000*SER_hh_fec!P4/SER_hh_num!P4)</f>
        <v>190580.02235205661</v>
      </c>
      <c r="Q4" s="130">
        <f>IF(SER_hh_fec!Q4=0,0,11630*1000*SER_hh_fec!Q4/SER_hh_num!Q4)</f>
        <v>188533.84128850669</v>
      </c>
      <c r="R4" s="130">
        <f>IF(SER_hh_fec!R4=0,0,11630*1000*SER_hh_fec!R4/SER_hh_num!R4)</f>
        <v>207107.11350000626</v>
      </c>
      <c r="S4" s="130">
        <f>IF(SER_hh_fec!S4=0,0,11630*1000*SER_hh_fec!S4/SER_hh_num!S4)</f>
        <v>182641.20078173495</v>
      </c>
      <c r="T4" s="130">
        <f>IF(SER_hh_fec!T4=0,0,11630*1000*SER_hh_fec!T4/SER_hh_num!T4)</f>
        <v>195163.63150965769</v>
      </c>
      <c r="U4" s="130">
        <f>IF(SER_hh_fec!U4=0,0,11630*1000*SER_hh_fec!U4/SER_hh_num!U4)</f>
        <v>176004.46098549338</v>
      </c>
      <c r="V4" s="130">
        <f>IF(SER_hh_fec!V4=0,0,11630*1000*SER_hh_fec!V4/SER_hh_num!V4)</f>
        <v>181322.61081227975</v>
      </c>
      <c r="W4" s="130">
        <f>IF(SER_hh_fec!W4=0,0,11630*1000*SER_hh_fec!W4/SER_hh_num!W4)</f>
        <v>197601.31697250801</v>
      </c>
      <c r="X4" s="130">
        <f>IF(SER_hh_fec!X4=0,0,11630*1000*SER_hh_fec!X4/SER_hh_num!X4)</f>
        <v>160631.0367312984</v>
      </c>
      <c r="Y4" s="130">
        <f>IF(SER_hh_fec!Y4=0,0,11630*1000*SER_hh_fec!Y4/SER_hh_num!Y4)</f>
        <v>137720.27761912765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170452.03504666971</v>
      </c>
      <c r="C5" s="132">
        <f>IF(SER_hh_fec!C5=0,0,11630*1000*SER_hh_fec!C5/SER_hh_num!C5)</f>
        <v>208912.66974463427</v>
      </c>
      <c r="D5" s="132">
        <f>IF(SER_hh_fec!D5=0,0,11630*1000*SER_hh_fec!D5/SER_hh_num!D5)</f>
        <v>180887.11115541615</v>
      </c>
      <c r="E5" s="132">
        <f>IF(SER_hh_fec!E5=0,0,11630*1000*SER_hh_fec!E5/SER_hh_num!E5)</f>
        <v>198368.28075149536</v>
      </c>
      <c r="F5" s="132">
        <f>IF(SER_hh_fec!F5=0,0,11630*1000*SER_hh_fec!F5/SER_hh_num!F5)</f>
        <v>212979.58471560242</v>
      </c>
      <c r="G5" s="132">
        <f>IF(SER_hh_fec!G5=0,0,11630*1000*SER_hh_fec!G5/SER_hh_num!G5)</f>
        <v>259800.34523418322</v>
      </c>
      <c r="H5" s="132">
        <f>IF(SER_hh_fec!H5=0,0,11630*1000*SER_hh_fec!H5/SER_hh_num!H5)</f>
        <v>190436.24442930846</v>
      </c>
      <c r="I5" s="132">
        <f>IF(SER_hh_fec!I5=0,0,11630*1000*SER_hh_fec!I5/SER_hh_num!I5)</f>
        <v>239890.163868984</v>
      </c>
      <c r="J5" s="132">
        <f>IF(SER_hh_fec!J5=0,0,11630*1000*SER_hh_fec!J5/SER_hh_num!J5)</f>
        <v>217607.68687187968</v>
      </c>
      <c r="K5" s="132">
        <f>IF(SER_hh_fec!K5=0,0,11630*1000*SER_hh_fec!K5/SER_hh_num!K5)</f>
        <v>218593.68222337737</v>
      </c>
      <c r="L5" s="132">
        <f>IF(SER_hh_fec!L5=0,0,11630*1000*SER_hh_fec!L5/SER_hh_num!L5)</f>
        <v>227130.63448836506</v>
      </c>
      <c r="M5" s="132">
        <f>IF(SER_hh_fec!M5=0,0,11630*1000*SER_hh_fec!M5/SER_hh_num!M5)</f>
        <v>163154.62303721035</v>
      </c>
      <c r="N5" s="132">
        <f>IF(SER_hh_fec!N5=0,0,11630*1000*SER_hh_fec!N5/SER_hh_num!N5)</f>
        <v>179204.01497182372</v>
      </c>
      <c r="O5" s="132">
        <f>IF(SER_hh_fec!O5=0,0,11630*1000*SER_hh_fec!O5/SER_hh_num!O5)</f>
        <v>275281.76621596707</v>
      </c>
      <c r="P5" s="132">
        <f>IF(SER_hh_fec!P5=0,0,11630*1000*SER_hh_fec!P5/SER_hh_num!P5)</f>
        <v>181010.718418467</v>
      </c>
      <c r="Q5" s="132">
        <f>IF(SER_hh_fec!Q5=0,0,11630*1000*SER_hh_fec!Q5/SER_hh_num!Q5)</f>
        <v>180860.12839515411</v>
      </c>
      <c r="R5" s="132">
        <f>IF(SER_hh_fec!R5=0,0,11630*1000*SER_hh_fec!R5/SER_hh_num!R5)</f>
        <v>277065.435406401</v>
      </c>
      <c r="S5" s="132">
        <f>IF(SER_hh_fec!S5=0,0,11630*1000*SER_hh_fec!S5/SER_hh_num!S5)</f>
        <v>161200.94589619324</v>
      </c>
      <c r="T5" s="132">
        <f>IF(SER_hh_fec!T5=0,0,11630*1000*SER_hh_fec!T5/SER_hh_num!T5)</f>
        <v>195839.76562649867</v>
      </c>
      <c r="U5" s="132">
        <f>IF(SER_hh_fec!U5=0,0,11630*1000*SER_hh_fec!U5/SER_hh_num!U5)</f>
        <v>197208.29008689499</v>
      </c>
      <c r="V5" s="132">
        <f>IF(SER_hh_fec!V5=0,0,11630*1000*SER_hh_fec!V5/SER_hh_num!V5)</f>
        <v>210277.58584670583</v>
      </c>
      <c r="W5" s="132">
        <f>IF(SER_hh_fec!W5=0,0,11630*1000*SER_hh_fec!W5/SER_hh_num!W5)</f>
        <v>217905.53639212277</v>
      </c>
      <c r="X5" s="132">
        <f>IF(SER_hh_fec!X5=0,0,11630*1000*SER_hh_fec!X5/SER_hh_num!X5)</f>
        <v>218819.9978336668</v>
      </c>
      <c r="Y5" s="132">
        <f>IF(SER_hh_fec!Y5=0,0,11630*1000*SER_hh_fec!Y5/SER_hh_num!Y5)</f>
        <v>127742.6298755165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194781.37684106216</v>
      </c>
      <c r="C7" s="132">
        <f>IF(SER_hh_fec!C7=0,0,11630*1000*SER_hh_fec!C7/SER_hh_num!C7)</f>
        <v>254277.20156201374</v>
      </c>
      <c r="D7" s="132">
        <f>IF(SER_hh_fec!D7=0,0,11630*1000*SER_hh_fec!D7/SER_hh_num!D7)</f>
        <v>199387.58910849778</v>
      </c>
      <c r="E7" s="132">
        <f>IF(SER_hh_fec!E7=0,0,11630*1000*SER_hh_fec!E7/SER_hh_num!E7)</f>
        <v>212957.67265992984</v>
      </c>
      <c r="F7" s="132">
        <f>IF(SER_hh_fec!F7=0,0,11630*1000*SER_hh_fec!F7/SER_hh_num!F7)</f>
        <v>249524.82186300631</v>
      </c>
      <c r="G7" s="132">
        <f>IF(SER_hh_fec!G7=0,0,11630*1000*SER_hh_fec!G7/SER_hh_num!G7)</f>
        <v>293568.48398376477</v>
      </c>
      <c r="H7" s="132">
        <f>IF(SER_hh_fec!H7=0,0,11630*1000*SER_hh_fec!H7/SER_hh_num!H7)</f>
        <v>240523.36201373872</v>
      </c>
      <c r="I7" s="132">
        <f>IF(SER_hh_fec!I7=0,0,11630*1000*SER_hh_fec!I7/SER_hh_num!I7)</f>
        <v>265666.49559329113</v>
      </c>
      <c r="J7" s="132">
        <f>IF(SER_hh_fec!J7=0,0,11630*1000*SER_hh_fec!J7/SER_hh_num!J7)</f>
        <v>280686.72507870529</v>
      </c>
      <c r="K7" s="132">
        <f>IF(SER_hh_fec!K7=0,0,11630*1000*SER_hh_fec!K7/SER_hh_num!K7)</f>
        <v>255382.6562915032</v>
      </c>
      <c r="L7" s="132">
        <f>IF(SER_hh_fec!L7=0,0,11630*1000*SER_hh_fec!L7/SER_hh_num!L7)</f>
        <v>200454.34714171907</v>
      </c>
      <c r="M7" s="132">
        <f>IF(SER_hh_fec!M7=0,0,11630*1000*SER_hh_fec!M7/SER_hh_num!M7)</f>
        <v>247671.06619951691</v>
      </c>
      <c r="N7" s="132">
        <f>IF(SER_hh_fec!N7=0,0,11630*1000*SER_hh_fec!N7/SER_hh_num!N7)</f>
        <v>242765.54813439157</v>
      </c>
      <c r="O7" s="132">
        <f>IF(SER_hh_fec!O7=0,0,11630*1000*SER_hh_fec!O7/SER_hh_num!O7)</f>
        <v>226865.28751688224</v>
      </c>
      <c r="P7" s="132">
        <f>IF(SER_hh_fec!P7=0,0,11630*1000*SER_hh_fec!P7/SER_hh_num!P7)</f>
        <v>204527.6383709253</v>
      </c>
      <c r="Q7" s="132">
        <f>IF(SER_hh_fec!Q7=0,0,11630*1000*SER_hh_fec!Q7/SER_hh_num!Q7)</f>
        <v>252023.70208303846</v>
      </c>
      <c r="R7" s="132">
        <f>IF(SER_hh_fec!R7=0,0,11630*1000*SER_hh_fec!R7/SER_hh_num!R7)</f>
        <v>217514.07379856918</v>
      </c>
      <c r="S7" s="132">
        <f>IF(SER_hh_fec!S7=0,0,11630*1000*SER_hh_fec!S7/SER_hh_num!S7)</f>
        <v>250314.58432420011</v>
      </c>
      <c r="T7" s="132">
        <f>IF(SER_hh_fec!T7=0,0,11630*1000*SER_hh_fec!T7/SER_hh_num!T7)</f>
        <v>269406.16653614538</v>
      </c>
      <c r="U7" s="132">
        <f>IF(SER_hh_fec!U7=0,0,11630*1000*SER_hh_fec!U7/SER_hh_num!U7)</f>
        <v>211110.22871724874</v>
      </c>
      <c r="V7" s="132">
        <f>IF(SER_hh_fec!V7=0,0,11630*1000*SER_hh_fec!V7/SER_hh_num!V7)</f>
        <v>225092.6696149513</v>
      </c>
      <c r="W7" s="132">
        <f>IF(SER_hh_fec!W7=0,0,11630*1000*SER_hh_fec!W7/SER_hh_num!W7)</f>
        <v>223039.39057700933</v>
      </c>
      <c r="X7" s="132">
        <f>IF(SER_hh_fec!X7=0,0,11630*1000*SER_hh_fec!X7/SER_hh_num!X7)</f>
        <v>197748.60075288595</v>
      </c>
      <c r="Y7" s="132">
        <f>IF(SER_hh_fec!Y7=0,0,11630*1000*SER_hh_fec!Y7/SER_hh_num!Y7)</f>
        <v>188748.40425248226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0</v>
      </c>
      <c r="C8" s="132">
        <f>IF(SER_hh_fec!C8=0,0,11630*1000*SER_hh_fec!C8/SER_hh_num!C8)</f>
        <v>0</v>
      </c>
      <c r="D8" s="132">
        <f>IF(SER_hh_fec!D8=0,0,11630*1000*SER_hh_fec!D8/SER_hh_num!D8)</f>
        <v>0</v>
      </c>
      <c r="E8" s="132">
        <f>IF(SER_hh_fec!E8=0,0,11630*1000*SER_hh_fec!E8/SER_hh_num!E8)</f>
        <v>0</v>
      </c>
      <c r="F8" s="132">
        <f>IF(SER_hh_fec!F8=0,0,11630*1000*SER_hh_fec!F8/SER_hh_num!F8)</f>
        <v>0</v>
      </c>
      <c r="G8" s="132">
        <f>IF(SER_hh_fec!G8=0,0,11630*1000*SER_hh_fec!G8/SER_hh_num!G8)</f>
        <v>0</v>
      </c>
      <c r="H8" s="132">
        <f>IF(SER_hh_fec!H8=0,0,11630*1000*SER_hh_fec!H8/SER_hh_num!H8)</f>
        <v>0</v>
      </c>
      <c r="I8" s="132">
        <f>IF(SER_hh_fec!I8=0,0,11630*1000*SER_hh_fec!I8/SER_hh_num!I8)</f>
        <v>0</v>
      </c>
      <c r="J8" s="132">
        <f>IF(SER_hh_fec!J8=0,0,11630*1000*SER_hh_fec!J8/SER_hh_num!J8)</f>
        <v>0</v>
      </c>
      <c r="K8" s="132">
        <f>IF(SER_hh_fec!K8=0,0,11630*1000*SER_hh_fec!K8/SER_hh_num!K8)</f>
        <v>0</v>
      </c>
      <c r="L8" s="132">
        <f>IF(SER_hh_fec!L8=0,0,11630*1000*SER_hh_fec!L8/SER_hh_num!L8)</f>
        <v>0</v>
      </c>
      <c r="M8" s="132">
        <f>IF(SER_hh_fec!M8=0,0,11630*1000*SER_hh_fec!M8/SER_hh_num!M8)</f>
        <v>0</v>
      </c>
      <c r="N8" s="132">
        <f>IF(SER_hh_fec!N8=0,0,11630*1000*SER_hh_fec!N8/SER_hh_num!N8)</f>
        <v>0</v>
      </c>
      <c r="O8" s="132">
        <f>IF(SER_hh_fec!O8=0,0,11630*1000*SER_hh_fec!O8/SER_hh_num!O8)</f>
        <v>0</v>
      </c>
      <c r="P8" s="132">
        <f>IF(SER_hh_fec!P8=0,0,11630*1000*SER_hh_fec!P8/SER_hh_num!P8)</f>
        <v>0</v>
      </c>
      <c r="Q8" s="132">
        <f>IF(SER_hh_fec!Q8=0,0,11630*1000*SER_hh_fec!Q8/SER_hh_num!Q8)</f>
        <v>0</v>
      </c>
      <c r="R8" s="132">
        <f>IF(SER_hh_fec!R8=0,0,11630*1000*SER_hh_fec!R8/SER_hh_num!R8)</f>
        <v>0</v>
      </c>
      <c r="S8" s="132">
        <f>IF(SER_hh_fec!S8=0,0,11630*1000*SER_hh_fec!S8/SER_hh_num!S8)</f>
        <v>0</v>
      </c>
      <c r="T8" s="132">
        <f>IF(SER_hh_fec!T8=0,0,11630*1000*SER_hh_fec!T8/SER_hh_num!T8)</f>
        <v>0</v>
      </c>
      <c r="U8" s="132">
        <f>IF(SER_hh_fec!U8=0,0,11630*1000*SER_hh_fec!U8/SER_hh_num!U8)</f>
        <v>0</v>
      </c>
      <c r="V8" s="132">
        <f>IF(SER_hh_fec!V8=0,0,11630*1000*SER_hh_fec!V8/SER_hh_num!V8)</f>
        <v>0</v>
      </c>
      <c r="W8" s="132">
        <f>IF(SER_hh_fec!W8=0,0,11630*1000*SER_hh_fec!W8/SER_hh_num!W8)</f>
        <v>0</v>
      </c>
      <c r="X8" s="132">
        <f>IF(SER_hh_fec!X8=0,0,11630*1000*SER_hh_fec!X8/SER_hh_num!X8)</f>
        <v>0</v>
      </c>
      <c r="Y8" s="132">
        <f>IF(SER_hh_fec!Y8=0,0,11630*1000*SER_hh_fec!Y8/SER_hh_num!Y8)</f>
        <v>0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150166.41411796995</v>
      </c>
      <c r="C9" s="132">
        <f>IF(SER_hh_fec!C9=0,0,11630*1000*SER_hh_fec!C9/SER_hh_num!C9)</f>
        <v>202155.2573463658</v>
      </c>
      <c r="D9" s="132">
        <f>IF(SER_hh_fec!D9=0,0,11630*1000*SER_hh_fec!D9/SER_hh_num!D9)</f>
        <v>140115.67643689935</v>
      </c>
      <c r="E9" s="132">
        <f>IF(SER_hh_fec!E9=0,0,11630*1000*SER_hh_fec!E9/SER_hh_num!E9)</f>
        <v>275676.17545746226</v>
      </c>
      <c r="F9" s="132">
        <f>IF(SER_hh_fec!F9=0,0,11630*1000*SER_hh_fec!F9/SER_hh_num!F9)</f>
        <v>244102.4677156086</v>
      </c>
      <c r="G9" s="132">
        <f>IF(SER_hh_fec!G9=0,0,11630*1000*SER_hh_fec!G9/SER_hh_num!G9)</f>
        <v>199994.84510631036</v>
      </c>
      <c r="H9" s="132">
        <f>IF(SER_hh_fec!H9=0,0,11630*1000*SER_hh_fec!H9/SER_hh_num!H9)</f>
        <v>236851.12733825034</v>
      </c>
      <c r="I9" s="132">
        <f>IF(SER_hh_fec!I9=0,0,11630*1000*SER_hh_fec!I9/SER_hh_num!I9)</f>
        <v>242474.20557125669</v>
      </c>
      <c r="J9" s="132">
        <f>IF(SER_hh_fec!J9=0,0,11630*1000*SER_hh_fec!J9/SER_hh_num!J9)</f>
        <v>221448.71911959795</v>
      </c>
      <c r="K9" s="132">
        <f>IF(SER_hh_fec!K9=0,0,11630*1000*SER_hh_fec!K9/SER_hh_num!K9)</f>
        <v>203442.44795153383</v>
      </c>
      <c r="L9" s="132">
        <f>IF(SER_hh_fec!L9=0,0,11630*1000*SER_hh_fec!L9/SER_hh_num!L9)</f>
        <v>229877.91930902185</v>
      </c>
      <c r="M9" s="132">
        <f>IF(SER_hh_fec!M9=0,0,11630*1000*SER_hh_fec!M9/SER_hh_num!M9)</f>
        <v>207185.91864100989</v>
      </c>
      <c r="N9" s="132">
        <f>IF(SER_hh_fec!N9=0,0,11630*1000*SER_hh_fec!N9/SER_hh_num!N9)</f>
        <v>190436.93603553018</v>
      </c>
      <c r="O9" s="132">
        <f>IF(SER_hh_fec!O9=0,0,11630*1000*SER_hh_fec!O9/SER_hh_num!O9)</f>
        <v>192707.91696967089</v>
      </c>
      <c r="P9" s="132">
        <f>IF(SER_hh_fec!P9=0,0,11630*1000*SER_hh_fec!P9/SER_hh_num!P9)</f>
        <v>241645.25969727212</v>
      </c>
      <c r="Q9" s="132">
        <f>IF(SER_hh_fec!Q9=0,0,11630*1000*SER_hh_fec!Q9/SER_hh_num!Q9)</f>
        <v>222051.6135733297</v>
      </c>
      <c r="R9" s="132">
        <f>IF(SER_hh_fec!R9=0,0,11630*1000*SER_hh_fec!R9/SER_hh_num!R9)</f>
        <v>244229.20340549943</v>
      </c>
      <c r="S9" s="132">
        <f>IF(SER_hh_fec!S9=0,0,11630*1000*SER_hh_fec!S9/SER_hh_num!S9)</f>
        <v>201344.39645374229</v>
      </c>
      <c r="T9" s="132">
        <f>IF(SER_hh_fec!T9=0,0,11630*1000*SER_hh_fec!T9/SER_hh_num!T9)</f>
        <v>210633.73802311832</v>
      </c>
      <c r="U9" s="132">
        <f>IF(SER_hh_fec!U9=0,0,11630*1000*SER_hh_fec!U9/SER_hh_num!U9)</f>
        <v>194174.48126544594</v>
      </c>
      <c r="V9" s="132">
        <f>IF(SER_hh_fec!V9=0,0,11630*1000*SER_hh_fec!V9/SER_hh_num!V9)</f>
        <v>206935.50350733468</v>
      </c>
      <c r="W9" s="132">
        <f>IF(SER_hh_fec!W9=0,0,11630*1000*SER_hh_fec!W9/SER_hh_num!W9)</f>
        <v>244194.6942809358</v>
      </c>
      <c r="X9" s="132">
        <f>IF(SER_hh_fec!X9=0,0,11630*1000*SER_hh_fec!X9/SER_hh_num!X9)</f>
        <v>159684.03612452478</v>
      </c>
      <c r="Y9" s="132">
        <f>IF(SER_hh_fec!Y9=0,0,11630*1000*SER_hh_fec!Y9/SER_hh_num!Y9)</f>
        <v>155321.52619193343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191529.72810995474</v>
      </c>
      <c r="C10" s="132">
        <f>IF(SER_hh_fec!C10=0,0,11630*1000*SER_hh_fec!C10/SER_hh_num!C10)</f>
        <v>226882.89496874658</v>
      </c>
      <c r="D10" s="132">
        <f>IF(SER_hh_fec!D10=0,0,11630*1000*SER_hh_fec!D10/SER_hh_num!D10)</f>
        <v>197738.88653594893</v>
      </c>
      <c r="E10" s="132">
        <f>IF(SER_hh_fec!E10=0,0,11630*1000*SER_hh_fec!E10/SER_hh_num!E10)</f>
        <v>189448.43740287732</v>
      </c>
      <c r="F10" s="132">
        <f>IF(SER_hh_fec!F10=0,0,11630*1000*SER_hh_fec!F10/SER_hh_num!F10)</f>
        <v>330862.0491402215</v>
      </c>
      <c r="G10" s="132">
        <f>IF(SER_hh_fec!G10=0,0,11630*1000*SER_hh_fec!G10/SER_hh_num!G10)</f>
        <v>208027.0988448587</v>
      </c>
      <c r="H10" s="132">
        <f>IF(SER_hh_fec!H10=0,0,11630*1000*SER_hh_fec!H10/SER_hh_num!H10)</f>
        <v>237122.51286407124</v>
      </c>
      <c r="I10" s="132">
        <f>IF(SER_hh_fec!I10=0,0,11630*1000*SER_hh_fec!I10/SER_hh_num!I10)</f>
        <v>254469.27022049474</v>
      </c>
      <c r="J10" s="132">
        <f>IF(SER_hh_fec!J10=0,0,11630*1000*SER_hh_fec!J10/SER_hh_num!J10)</f>
        <v>273944.18030198972</v>
      </c>
      <c r="K10" s="132">
        <f>IF(SER_hh_fec!K10=0,0,11630*1000*SER_hh_fec!K10/SER_hh_num!K10)</f>
        <v>204535.41699890915</v>
      </c>
      <c r="L10" s="132">
        <f>IF(SER_hh_fec!L10=0,0,11630*1000*SER_hh_fec!L10/SER_hh_num!L10)</f>
        <v>251405.97344281495</v>
      </c>
      <c r="M10" s="132">
        <f>IF(SER_hh_fec!M10=0,0,11630*1000*SER_hh_fec!M10/SER_hh_num!M10)</f>
        <v>272822.81948117551</v>
      </c>
      <c r="N10" s="132">
        <f>IF(SER_hh_fec!N10=0,0,11630*1000*SER_hh_fec!N10/SER_hh_num!N10)</f>
        <v>199255.84298304163</v>
      </c>
      <c r="O10" s="132">
        <f>IF(SER_hh_fec!O10=0,0,11630*1000*SER_hh_fec!O10/SER_hh_num!O10)</f>
        <v>213509.87409372721</v>
      </c>
      <c r="P10" s="132">
        <f>IF(SER_hh_fec!P10=0,0,11630*1000*SER_hh_fec!P10/SER_hh_num!P10)</f>
        <v>227622.00421157479</v>
      </c>
      <c r="Q10" s="132">
        <f>IF(SER_hh_fec!Q10=0,0,11630*1000*SER_hh_fec!Q10/SER_hh_num!Q10)</f>
        <v>255421.14321860025</v>
      </c>
      <c r="R10" s="132">
        <f>IF(SER_hh_fec!R10=0,0,11630*1000*SER_hh_fec!R10/SER_hh_num!R10)</f>
        <v>249943.08067570702</v>
      </c>
      <c r="S10" s="132">
        <f>IF(SER_hh_fec!S10=0,0,11630*1000*SER_hh_fec!S10/SER_hh_num!S10)</f>
        <v>266843.98084885482</v>
      </c>
      <c r="T10" s="132">
        <f>IF(SER_hh_fec!T10=0,0,11630*1000*SER_hh_fec!T10/SER_hh_num!T10)</f>
        <v>233394.50860711109</v>
      </c>
      <c r="U10" s="132">
        <f>IF(SER_hh_fec!U10=0,0,11630*1000*SER_hh_fec!U10/SER_hh_num!U10)</f>
        <v>252374.83869774913</v>
      </c>
      <c r="V10" s="132">
        <f>IF(SER_hh_fec!V10=0,0,11630*1000*SER_hh_fec!V10/SER_hh_num!V10)</f>
        <v>313024.76186982036</v>
      </c>
      <c r="W10" s="132">
        <f>IF(SER_hh_fec!W10=0,0,11630*1000*SER_hh_fec!W10/SER_hh_num!W10)</f>
        <v>266242.30716797349</v>
      </c>
      <c r="X10" s="132">
        <f>IF(SER_hh_fec!X10=0,0,11630*1000*SER_hh_fec!X10/SER_hh_num!X10)</f>
        <v>268169.2655624536</v>
      </c>
      <c r="Y10" s="132">
        <f>IF(SER_hh_fec!Y10=0,0,11630*1000*SER_hh_fec!Y10/SER_hh_num!Y10)</f>
        <v>169597.76061144716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0</v>
      </c>
      <c r="E11" s="132">
        <f>IF(SER_hh_fec!E11=0,0,11630*1000*SER_hh_fec!E11/SER_hh_num!E11)</f>
        <v>0</v>
      </c>
      <c r="F11" s="132">
        <f>IF(SER_hh_fec!F11=0,0,11630*1000*SER_hh_fec!F11/SER_hh_num!F11)</f>
        <v>0</v>
      </c>
      <c r="G11" s="132">
        <f>IF(SER_hh_fec!G11=0,0,11630*1000*SER_hh_fec!G11/SER_hh_num!G11)</f>
        <v>0</v>
      </c>
      <c r="H11" s="132">
        <f>IF(SER_hh_fec!H11=0,0,11630*1000*SER_hh_fec!H11/SER_hh_num!H11)</f>
        <v>0</v>
      </c>
      <c r="I11" s="132">
        <f>IF(SER_hh_fec!I11=0,0,11630*1000*SER_hh_fec!I11/SER_hh_num!I11)</f>
        <v>0</v>
      </c>
      <c r="J11" s="132">
        <f>IF(SER_hh_fec!J11=0,0,11630*1000*SER_hh_fec!J11/SER_hh_num!J11)</f>
        <v>0</v>
      </c>
      <c r="K11" s="132">
        <f>IF(SER_hh_fec!K11=0,0,11630*1000*SER_hh_fec!K11/SER_hh_num!K11)</f>
        <v>0</v>
      </c>
      <c r="L11" s="132">
        <f>IF(SER_hh_fec!L11=0,0,11630*1000*SER_hh_fec!L11/SER_hh_num!L11)</f>
        <v>0</v>
      </c>
      <c r="M11" s="132">
        <f>IF(SER_hh_fec!M11=0,0,11630*1000*SER_hh_fec!M11/SER_hh_num!M11)</f>
        <v>0</v>
      </c>
      <c r="N11" s="132">
        <f>IF(SER_hh_fec!N11=0,0,11630*1000*SER_hh_fec!N11/SER_hh_num!N11)</f>
        <v>0</v>
      </c>
      <c r="O11" s="132">
        <f>IF(SER_hh_fec!O11=0,0,11630*1000*SER_hh_fec!O11/SER_hh_num!O11)</f>
        <v>0</v>
      </c>
      <c r="P11" s="132">
        <f>IF(SER_hh_fec!P11=0,0,11630*1000*SER_hh_fec!P11/SER_hh_num!P11)</f>
        <v>0</v>
      </c>
      <c r="Q11" s="132">
        <f>IF(SER_hh_fec!Q11=0,0,11630*1000*SER_hh_fec!Q11/SER_hh_num!Q11)</f>
        <v>0</v>
      </c>
      <c r="R11" s="132">
        <f>IF(SER_hh_fec!R11=0,0,11630*1000*SER_hh_fec!R11/SER_hh_num!R11)</f>
        <v>0</v>
      </c>
      <c r="S11" s="132">
        <f>IF(SER_hh_fec!S11=0,0,11630*1000*SER_hh_fec!S11/SER_hh_num!S11)</f>
        <v>0</v>
      </c>
      <c r="T11" s="132">
        <f>IF(SER_hh_fec!T11=0,0,11630*1000*SER_hh_fec!T11/SER_hh_num!T11)</f>
        <v>0</v>
      </c>
      <c r="U11" s="132">
        <f>IF(SER_hh_fec!U11=0,0,11630*1000*SER_hh_fec!U11/SER_hh_num!U11)</f>
        <v>0</v>
      </c>
      <c r="V11" s="132">
        <f>IF(SER_hh_fec!V11=0,0,11630*1000*SER_hh_fec!V11/SER_hh_num!V11)</f>
        <v>0</v>
      </c>
      <c r="W11" s="132">
        <f>IF(SER_hh_fec!W11=0,0,11630*1000*SER_hh_fec!W11/SER_hh_num!W11)</f>
        <v>0</v>
      </c>
      <c r="X11" s="132">
        <f>IF(SER_hh_fec!X11=0,0,11630*1000*SER_hh_fec!X11/SER_hh_num!X11)</f>
        <v>0</v>
      </c>
      <c r="Y11" s="132">
        <f>IF(SER_hh_fec!Y11=0,0,11630*1000*SER_hh_fec!Y11/SER_hh_num!Y11)</f>
        <v>0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153701.54059534182</v>
      </c>
      <c r="C12" s="132">
        <f>IF(SER_hh_fec!C12=0,0,11630*1000*SER_hh_fec!C12/SER_hh_num!C12)</f>
        <v>106473.83649103515</v>
      </c>
      <c r="D12" s="132">
        <f>IF(SER_hh_fec!D12=0,0,11630*1000*SER_hh_fec!D12/SER_hh_num!D12)</f>
        <v>129599.87797631668</v>
      </c>
      <c r="E12" s="132">
        <f>IF(SER_hh_fec!E12=0,0,11630*1000*SER_hh_fec!E12/SER_hh_num!E12)</f>
        <v>127899.76979480297</v>
      </c>
      <c r="F12" s="132">
        <f>IF(SER_hh_fec!F12=0,0,11630*1000*SER_hh_fec!F12/SER_hh_num!F12)</f>
        <v>157087.2336635151</v>
      </c>
      <c r="G12" s="132">
        <f>IF(SER_hh_fec!G12=0,0,11630*1000*SER_hh_fec!G12/SER_hh_num!G12)</f>
        <v>171244.35861013745</v>
      </c>
      <c r="H12" s="132">
        <f>IF(SER_hh_fec!H12=0,0,11630*1000*SER_hh_fec!H12/SER_hh_num!H12)</f>
        <v>146083.48034343121</v>
      </c>
      <c r="I12" s="132">
        <f>IF(SER_hh_fec!I12=0,0,11630*1000*SER_hh_fec!I12/SER_hh_num!I12)</f>
        <v>137498.25656980579</v>
      </c>
      <c r="J12" s="132">
        <f>IF(SER_hh_fec!J12=0,0,11630*1000*SER_hh_fec!J12/SER_hh_num!J12)</f>
        <v>170871.50570218483</v>
      </c>
      <c r="K12" s="132">
        <f>IF(SER_hh_fec!K12=0,0,11630*1000*SER_hh_fec!K12/SER_hh_num!K12)</f>
        <v>168448.42113237252</v>
      </c>
      <c r="L12" s="132">
        <f>IF(SER_hh_fec!L12=0,0,11630*1000*SER_hh_fec!L12/SER_hh_num!L12)</f>
        <v>178774.83590556108</v>
      </c>
      <c r="M12" s="132">
        <f>IF(SER_hh_fec!M12=0,0,11630*1000*SER_hh_fec!M12/SER_hh_num!M12)</f>
        <v>138560.88843290621</v>
      </c>
      <c r="N12" s="132">
        <f>IF(SER_hh_fec!N12=0,0,11630*1000*SER_hh_fec!N12/SER_hh_num!N12)</f>
        <v>156646.94579992205</v>
      </c>
      <c r="O12" s="132">
        <f>IF(SER_hh_fec!O12=0,0,11630*1000*SER_hh_fec!O12/SER_hh_num!O12)</f>
        <v>148164.84263325197</v>
      </c>
      <c r="P12" s="132">
        <f>IF(SER_hh_fec!P12=0,0,11630*1000*SER_hh_fec!P12/SER_hh_num!P12)</f>
        <v>163801.84963359943</v>
      </c>
      <c r="Q12" s="132">
        <f>IF(SER_hh_fec!Q12=0,0,11630*1000*SER_hh_fec!Q12/SER_hh_num!Q12)</f>
        <v>161924.29216021404</v>
      </c>
      <c r="R12" s="132">
        <f>IF(SER_hh_fec!R12=0,0,11630*1000*SER_hh_fec!R12/SER_hh_num!R12)</f>
        <v>181770.19837504969</v>
      </c>
      <c r="S12" s="132">
        <f>IF(SER_hh_fec!S12=0,0,11630*1000*SER_hh_fec!S12/SER_hh_num!S12)</f>
        <v>172705.55554914131</v>
      </c>
      <c r="T12" s="132">
        <f>IF(SER_hh_fec!T12=0,0,11630*1000*SER_hh_fec!T12/SER_hh_num!T12)</f>
        <v>178973.43067166852</v>
      </c>
      <c r="U12" s="132">
        <f>IF(SER_hh_fec!U12=0,0,11630*1000*SER_hh_fec!U12/SER_hh_num!U12)</f>
        <v>153184.07025437834</v>
      </c>
      <c r="V12" s="132">
        <f>IF(SER_hh_fec!V12=0,0,11630*1000*SER_hh_fec!V12/SER_hh_num!V12)</f>
        <v>163141.16459437611</v>
      </c>
      <c r="W12" s="132">
        <f>IF(SER_hh_fec!W12=0,0,11630*1000*SER_hh_fec!W12/SER_hh_num!W12)</f>
        <v>162745.80594959855</v>
      </c>
      <c r="X12" s="132">
        <f>IF(SER_hh_fec!X12=0,0,11630*1000*SER_hh_fec!X12/SER_hh_num!X12)</f>
        <v>148179.50659536445</v>
      </c>
      <c r="Y12" s="132">
        <f>IF(SER_hh_fec!Y12=0,0,11630*1000*SER_hh_fec!Y12/SER_hh_num!Y12)</f>
        <v>134675.73383127587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0</v>
      </c>
      <c r="C13" s="132">
        <f>IF(SER_hh_fec!C13=0,0,11630*1000*SER_hh_fec!C13/SER_hh_num!C13)</f>
        <v>0</v>
      </c>
      <c r="D13" s="132">
        <f>IF(SER_hh_fec!D13=0,0,11630*1000*SER_hh_fec!D13/SER_hh_num!D13)</f>
        <v>0</v>
      </c>
      <c r="E13" s="132">
        <f>IF(SER_hh_fec!E13=0,0,11630*1000*SER_hh_fec!E13/SER_hh_num!E13)</f>
        <v>0</v>
      </c>
      <c r="F13" s="132">
        <f>IF(SER_hh_fec!F13=0,0,11630*1000*SER_hh_fec!F13/SER_hh_num!F13)</f>
        <v>0</v>
      </c>
      <c r="G13" s="132">
        <f>IF(SER_hh_fec!G13=0,0,11630*1000*SER_hh_fec!G13/SER_hh_num!G13)</f>
        <v>0</v>
      </c>
      <c r="H13" s="132">
        <f>IF(SER_hh_fec!H13=0,0,11630*1000*SER_hh_fec!H13/SER_hh_num!H13)</f>
        <v>0</v>
      </c>
      <c r="I13" s="132">
        <f>IF(SER_hh_fec!I13=0,0,11630*1000*SER_hh_fec!I13/SER_hh_num!I13)</f>
        <v>0</v>
      </c>
      <c r="J13" s="132">
        <f>IF(SER_hh_fec!J13=0,0,11630*1000*SER_hh_fec!J13/SER_hh_num!J13)</f>
        <v>0</v>
      </c>
      <c r="K13" s="132">
        <f>IF(SER_hh_fec!K13=0,0,11630*1000*SER_hh_fec!K13/SER_hh_num!K13)</f>
        <v>0</v>
      </c>
      <c r="L13" s="132">
        <f>IF(SER_hh_fec!L13=0,0,11630*1000*SER_hh_fec!L13/SER_hh_num!L13)</f>
        <v>0</v>
      </c>
      <c r="M13" s="132">
        <f>IF(SER_hh_fec!M13=0,0,11630*1000*SER_hh_fec!M13/SER_hh_num!M13)</f>
        <v>0</v>
      </c>
      <c r="N13" s="132">
        <f>IF(SER_hh_fec!N13=0,0,11630*1000*SER_hh_fec!N13/SER_hh_num!N13)</f>
        <v>0</v>
      </c>
      <c r="O13" s="132">
        <f>IF(SER_hh_fec!O13=0,0,11630*1000*SER_hh_fec!O13/SER_hh_num!O13)</f>
        <v>0</v>
      </c>
      <c r="P13" s="132">
        <f>IF(SER_hh_fec!P13=0,0,11630*1000*SER_hh_fec!P13/SER_hh_num!P13)</f>
        <v>0</v>
      </c>
      <c r="Q13" s="132">
        <f>IF(SER_hh_fec!Q13=0,0,11630*1000*SER_hh_fec!Q13/SER_hh_num!Q13)</f>
        <v>0</v>
      </c>
      <c r="R13" s="132">
        <f>IF(SER_hh_fec!R13=0,0,11630*1000*SER_hh_fec!R13/SER_hh_num!R13)</f>
        <v>0</v>
      </c>
      <c r="S13" s="132">
        <f>IF(SER_hh_fec!S13=0,0,11630*1000*SER_hh_fec!S13/SER_hh_num!S13)</f>
        <v>0</v>
      </c>
      <c r="T13" s="132">
        <f>IF(SER_hh_fec!T13=0,0,11630*1000*SER_hh_fec!T13/SER_hh_num!T13)</f>
        <v>0</v>
      </c>
      <c r="U13" s="132">
        <f>IF(SER_hh_fec!U13=0,0,11630*1000*SER_hh_fec!U13/SER_hh_num!U13)</f>
        <v>0</v>
      </c>
      <c r="V13" s="132">
        <f>IF(SER_hh_fec!V13=0,0,11630*1000*SER_hh_fec!V13/SER_hh_num!V13)</f>
        <v>0</v>
      </c>
      <c r="W13" s="132">
        <f>IF(SER_hh_fec!W13=0,0,11630*1000*SER_hh_fec!W13/SER_hh_num!W13)</f>
        <v>0</v>
      </c>
      <c r="X13" s="132">
        <f>IF(SER_hh_fec!X13=0,0,11630*1000*SER_hh_fec!X13/SER_hh_num!X13)</f>
        <v>0</v>
      </c>
      <c r="Y13" s="132">
        <f>IF(SER_hh_fec!Y13=0,0,11630*1000*SER_hh_fec!Y13/SER_hh_num!Y13)</f>
        <v>0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141304.87924668021</v>
      </c>
      <c r="C14" s="65">
        <f>IF(SER_hh_fec!C14=0,0,11630*1000*SER_hh_fec!C14/SER_hh_num!C14)</f>
        <v>140536.35243761065</v>
      </c>
      <c r="D14" s="65">
        <f>IF(SER_hh_fec!D14=0,0,11630*1000*SER_hh_fec!D14/SER_hh_num!D14)</f>
        <v>151407.86227253909</v>
      </c>
      <c r="E14" s="65">
        <f>IF(SER_hh_fec!E14=0,0,11630*1000*SER_hh_fec!E14/SER_hh_num!E14)</f>
        <v>145379.24698091965</v>
      </c>
      <c r="F14" s="65">
        <f>IF(SER_hh_fec!F14=0,0,11630*1000*SER_hh_fec!F14/SER_hh_num!F14)</f>
        <v>174234.32319117934</v>
      </c>
      <c r="G14" s="65">
        <f>IF(SER_hh_fec!G14=0,0,11630*1000*SER_hh_fec!G14/SER_hh_num!G14)</f>
        <v>157297.27005809834</v>
      </c>
      <c r="H14" s="65">
        <f>IF(SER_hh_fec!H14=0,0,11630*1000*SER_hh_fec!H14/SER_hh_num!H14)</f>
        <v>167068.82209256061</v>
      </c>
      <c r="I14" s="65">
        <f>IF(SER_hh_fec!I14=0,0,11630*1000*SER_hh_fec!I14/SER_hh_num!I14)</f>
        <v>172001.7470402155</v>
      </c>
      <c r="J14" s="65">
        <f>IF(SER_hh_fec!J14=0,0,11630*1000*SER_hh_fec!J14/SER_hh_num!J14)</f>
        <v>193181.11159417874</v>
      </c>
      <c r="K14" s="65">
        <f>IF(SER_hh_fec!K14=0,0,11630*1000*SER_hh_fec!K14/SER_hh_num!K14)</f>
        <v>189681.250237117</v>
      </c>
      <c r="L14" s="65">
        <f>IF(SER_hh_fec!L14=0,0,11630*1000*SER_hh_fec!L14/SER_hh_num!L14)</f>
        <v>177729.3131121413</v>
      </c>
      <c r="M14" s="65">
        <f>IF(SER_hh_fec!M14=0,0,11630*1000*SER_hh_fec!M14/SER_hh_num!M14)</f>
        <v>146636.30510580464</v>
      </c>
      <c r="N14" s="65">
        <f>IF(SER_hh_fec!N14=0,0,11630*1000*SER_hh_fec!N14/SER_hh_num!N14)</f>
        <v>169521.48414639951</v>
      </c>
      <c r="O14" s="65">
        <f>IF(SER_hh_fec!O14=0,0,11630*1000*SER_hh_fec!O14/SER_hh_num!O14)</f>
        <v>156248.70713794834</v>
      </c>
      <c r="P14" s="65">
        <f>IF(SER_hh_fec!P14=0,0,11630*1000*SER_hh_fec!P14/SER_hh_num!P14)</f>
        <v>188879.46222818611</v>
      </c>
      <c r="Q14" s="65">
        <f>IF(SER_hh_fec!Q14=0,0,11630*1000*SER_hh_fec!Q14/SER_hh_num!Q14)</f>
        <v>178948.42012133193</v>
      </c>
      <c r="R14" s="65">
        <f>IF(SER_hh_fec!R14=0,0,11630*1000*SER_hh_fec!R14/SER_hh_num!R14)</f>
        <v>206829.33680500387</v>
      </c>
      <c r="S14" s="65">
        <f>IF(SER_hh_fec!S14=0,0,11630*1000*SER_hh_fec!S14/SER_hh_num!S14)</f>
        <v>161211.39628971508</v>
      </c>
      <c r="T14" s="65">
        <f>IF(SER_hh_fec!T14=0,0,11630*1000*SER_hh_fec!T14/SER_hh_num!T14)</f>
        <v>186864.3343282725</v>
      </c>
      <c r="U14" s="65">
        <f>IF(SER_hh_fec!U14=0,0,11630*1000*SER_hh_fec!U14/SER_hh_num!U14)</f>
        <v>177249.46146348264</v>
      </c>
      <c r="V14" s="65">
        <f>IF(SER_hh_fec!V14=0,0,11630*1000*SER_hh_fec!V14/SER_hh_num!V14)</f>
        <v>169565.61731931716</v>
      </c>
      <c r="W14" s="65">
        <f>IF(SER_hh_fec!W14=0,0,11630*1000*SER_hh_fec!W14/SER_hh_num!W14)</f>
        <v>203575.49545912319</v>
      </c>
      <c r="X14" s="65">
        <f>IF(SER_hh_fec!X14=0,0,11630*1000*SER_hh_fec!X14/SER_hh_num!X14)</f>
        <v>159774.1031860646</v>
      </c>
      <c r="Y14" s="65">
        <f>IF(SER_hh_fec!Y14=0,0,11630*1000*SER_hh_fec!Y14/SER_hh_num!Y14)</f>
        <v>116789.88007229086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943.22704357214741</v>
      </c>
      <c r="C15" s="134">
        <f>IF(SER_hh_fec!C15=0,0,11630*1000*SER_hh_fec!C15/SER_hh_num!C15)</f>
        <v>1034.2802521150361</v>
      </c>
      <c r="D15" s="134">
        <f>IF(SER_hh_fec!D15=0,0,11630*1000*SER_hh_fec!D15/SER_hh_num!D15)</f>
        <v>893.51397467218237</v>
      </c>
      <c r="E15" s="134">
        <f>IF(SER_hh_fec!E15=0,0,11630*1000*SER_hh_fec!E15/SER_hh_num!E15)</f>
        <v>1182.2613255914434</v>
      </c>
      <c r="F15" s="134">
        <f>IF(SER_hh_fec!F15=0,0,11630*1000*SER_hh_fec!F15/SER_hh_num!F15)</f>
        <v>1221.2673519984858</v>
      </c>
      <c r="G15" s="134">
        <f>IF(SER_hh_fec!G15=0,0,11630*1000*SER_hh_fec!G15/SER_hh_num!G15)</f>
        <v>1123.1417424822366</v>
      </c>
      <c r="H15" s="134">
        <f>IF(SER_hh_fec!H15=0,0,11630*1000*SER_hh_fec!H15/SER_hh_num!H15)</f>
        <v>1019.8598951910707</v>
      </c>
      <c r="I15" s="134">
        <f>IF(SER_hh_fec!I15=0,0,11630*1000*SER_hh_fec!I15/SER_hh_num!I15)</f>
        <v>995.31399166765266</v>
      </c>
      <c r="J15" s="134">
        <f>IF(SER_hh_fec!J15=0,0,11630*1000*SER_hh_fec!J15/SER_hh_num!J15)</f>
        <v>1009.3443397067807</v>
      </c>
      <c r="K15" s="134">
        <f>IF(SER_hh_fec!K15=0,0,11630*1000*SER_hh_fec!K15/SER_hh_num!K15)</f>
        <v>914.87908003139376</v>
      </c>
      <c r="L15" s="134">
        <f>IF(SER_hh_fec!L15=0,0,11630*1000*SER_hh_fec!L15/SER_hh_num!L15)</f>
        <v>920.29602408823769</v>
      </c>
      <c r="M15" s="134">
        <f>IF(SER_hh_fec!M15=0,0,11630*1000*SER_hh_fec!M15/SER_hh_num!M15)</f>
        <v>924.92591804091683</v>
      </c>
      <c r="N15" s="134">
        <f>IF(SER_hh_fec!N15=0,0,11630*1000*SER_hh_fec!N15/SER_hh_num!N15)</f>
        <v>965.60488317429497</v>
      </c>
      <c r="O15" s="134">
        <f>IF(SER_hh_fec!O15=0,0,11630*1000*SER_hh_fec!O15/SER_hh_num!O15)</f>
        <v>999.89333793524861</v>
      </c>
      <c r="P15" s="134">
        <f>IF(SER_hh_fec!P15=0,0,11630*1000*SER_hh_fec!P15/SER_hh_num!P15)</f>
        <v>1139.3785113728541</v>
      </c>
      <c r="Q15" s="134">
        <f>IF(SER_hh_fec!Q15=0,0,11630*1000*SER_hh_fec!Q15/SER_hh_num!Q15)</f>
        <v>1174.8208365067808</v>
      </c>
      <c r="R15" s="134">
        <f>IF(SER_hh_fec!R15=0,0,11630*1000*SER_hh_fec!R15/SER_hh_num!R15)</f>
        <v>1259.2377328731425</v>
      </c>
      <c r="S15" s="134">
        <f>IF(SER_hh_fec!S15=0,0,11630*1000*SER_hh_fec!S15/SER_hh_num!S15)</f>
        <v>1153.7045969416422</v>
      </c>
      <c r="T15" s="134">
        <f>IF(SER_hh_fec!T15=0,0,11630*1000*SER_hh_fec!T15/SER_hh_num!T15)</f>
        <v>1215.6870598374369</v>
      </c>
      <c r="U15" s="134">
        <f>IF(SER_hh_fec!U15=0,0,11630*1000*SER_hh_fec!U15/SER_hh_num!U15)</f>
        <v>1090.7079840660256</v>
      </c>
      <c r="V15" s="134">
        <f>IF(SER_hh_fec!V15=0,0,11630*1000*SER_hh_fec!V15/SER_hh_num!V15)</f>
        <v>1148.9982735645408</v>
      </c>
      <c r="W15" s="134">
        <f>IF(SER_hh_fec!W15=0,0,11630*1000*SER_hh_fec!W15/SER_hh_num!W15)</f>
        <v>1207.1946148146333</v>
      </c>
      <c r="X15" s="134">
        <f>IF(SER_hh_fec!X15=0,0,11630*1000*SER_hh_fec!X15/SER_hh_num!X15)</f>
        <v>882.22300422334865</v>
      </c>
      <c r="Y15" s="134">
        <f>IF(SER_hh_fec!Y15=0,0,11630*1000*SER_hh_fec!Y15/SER_hh_num!Y15)</f>
        <v>795.68840506688969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9769.1390104679631</v>
      </c>
      <c r="C16" s="130">
        <f>IF(SER_hh_fec!C16=0,0,11630*1000*SER_hh_fec!C16/SER_hh_num!C16)</f>
        <v>9388.1102170351205</v>
      </c>
      <c r="D16" s="130">
        <f>IF(SER_hh_fec!D16=0,0,11630*1000*SER_hh_fec!D16/SER_hh_num!D16)</f>
        <v>8831.1319609475577</v>
      </c>
      <c r="E16" s="130">
        <f>IF(SER_hh_fec!E16=0,0,11630*1000*SER_hh_fec!E16/SER_hh_num!E16)</f>
        <v>8765.5965181175834</v>
      </c>
      <c r="F16" s="130">
        <f>IF(SER_hh_fec!F16=0,0,11630*1000*SER_hh_fec!F16/SER_hh_num!F16)</f>
        <v>7920.9664113883327</v>
      </c>
      <c r="G16" s="130">
        <f>IF(SER_hh_fec!G16=0,0,11630*1000*SER_hh_fec!G16/SER_hh_num!G16)</f>
        <v>7441.0637433835582</v>
      </c>
      <c r="H16" s="130">
        <f>IF(SER_hh_fec!H16=0,0,11630*1000*SER_hh_fec!H16/SER_hh_num!H16)</f>
        <v>7067.4065759839114</v>
      </c>
      <c r="I16" s="130">
        <f>IF(SER_hh_fec!I16=0,0,11630*1000*SER_hh_fec!I16/SER_hh_num!I16)</f>
        <v>6576.6954882591326</v>
      </c>
      <c r="J16" s="130">
        <f>IF(SER_hh_fec!J16=0,0,11630*1000*SER_hh_fec!J16/SER_hh_num!J16)</f>
        <v>6220.6767815481662</v>
      </c>
      <c r="K16" s="130">
        <f>IF(SER_hh_fec!K16=0,0,11630*1000*SER_hh_fec!K16/SER_hh_num!K16)</f>
        <v>6112.8152022682161</v>
      </c>
      <c r="L16" s="130">
        <f>IF(SER_hh_fec!L16=0,0,11630*1000*SER_hh_fec!L16/SER_hh_num!L16)</f>
        <v>6936.1400248759073</v>
      </c>
      <c r="M16" s="130">
        <f>IF(SER_hh_fec!M16=0,0,11630*1000*SER_hh_fec!M16/SER_hh_num!M16)</f>
        <v>6040.9114893044371</v>
      </c>
      <c r="N16" s="130">
        <f>IF(SER_hh_fec!N16=0,0,11630*1000*SER_hh_fec!N16/SER_hh_num!N16)</f>
        <v>5575.5094388283596</v>
      </c>
      <c r="O16" s="130">
        <f>IF(SER_hh_fec!O16=0,0,11630*1000*SER_hh_fec!O16/SER_hh_num!O16)</f>
        <v>5321.3137439222801</v>
      </c>
      <c r="P16" s="130">
        <f>IF(SER_hh_fec!P16=0,0,11630*1000*SER_hh_fec!P16/SER_hh_num!P16)</f>
        <v>5207.0557901812872</v>
      </c>
      <c r="Q16" s="130">
        <f>IF(SER_hh_fec!Q16=0,0,11630*1000*SER_hh_fec!Q16/SER_hh_num!Q16)</f>
        <v>4864.2936236124197</v>
      </c>
      <c r="R16" s="130">
        <f>IF(SER_hh_fec!R16=0,0,11630*1000*SER_hh_fec!R16/SER_hh_num!R16)</f>
        <v>4737.8285505001977</v>
      </c>
      <c r="S16" s="130">
        <f>IF(SER_hh_fec!S16=0,0,11630*1000*SER_hh_fec!S16/SER_hh_num!S16)</f>
        <v>4583.159692643676</v>
      </c>
      <c r="T16" s="130">
        <f>IF(SER_hh_fec!T16=0,0,11630*1000*SER_hh_fec!T16/SER_hh_num!T16)</f>
        <v>4757.717934845934</v>
      </c>
      <c r="U16" s="130">
        <f>IF(SER_hh_fec!U16=0,0,11630*1000*SER_hh_fec!U16/SER_hh_num!U16)</f>
        <v>4352.8695844294416</v>
      </c>
      <c r="V16" s="130">
        <f>IF(SER_hh_fec!V16=0,0,11630*1000*SER_hh_fec!V16/SER_hh_num!V16)</f>
        <v>4131.8360573905466</v>
      </c>
      <c r="W16" s="130">
        <f>IF(SER_hh_fec!W16=0,0,11630*1000*SER_hh_fec!W16/SER_hh_num!W16)</f>
        <v>4552.4484237158567</v>
      </c>
      <c r="X16" s="130">
        <f>IF(SER_hh_fec!X16=0,0,11630*1000*SER_hh_fec!X16/SER_hh_num!X16)</f>
        <v>4285.7396198069</v>
      </c>
      <c r="Y16" s="130">
        <f>IF(SER_hh_fec!Y16=0,0,11630*1000*SER_hh_fec!Y16/SER_hh_num!Y16)</f>
        <v>4045.3525317747917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0</v>
      </c>
      <c r="C17" s="132">
        <f>IF(SER_hh_fec!C17=0,0,11630*1000*SER_hh_fec!C17/SER_hh_num!C17)</f>
        <v>0</v>
      </c>
      <c r="D17" s="132">
        <f>IF(SER_hh_fec!D17=0,0,11630*1000*SER_hh_fec!D17/SER_hh_num!D17)</f>
        <v>0</v>
      </c>
      <c r="E17" s="132">
        <f>IF(SER_hh_fec!E17=0,0,11630*1000*SER_hh_fec!E17/SER_hh_num!E17)</f>
        <v>0</v>
      </c>
      <c r="F17" s="132">
        <f>IF(SER_hh_fec!F17=0,0,11630*1000*SER_hh_fec!F17/SER_hh_num!F17)</f>
        <v>0</v>
      </c>
      <c r="G17" s="132">
        <f>IF(SER_hh_fec!G17=0,0,11630*1000*SER_hh_fec!G17/SER_hh_num!G17)</f>
        <v>0</v>
      </c>
      <c r="H17" s="132">
        <f>IF(SER_hh_fec!H17=0,0,11630*1000*SER_hh_fec!H17/SER_hh_num!H17)</f>
        <v>0</v>
      </c>
      <c r="I17" s="132">
        <f>IF(SER_hh_fec!I17=0,0,11630*1000*SER_hh_fec!I17/SER_hh_num!I17)</f>
        <v>0</v>
      </c>
      <c r="J17" s="132">
        <f>IF(SER_hh_fec!J17=0,0,11630*1000*SER_hh_fec!J17/SER_hh_num!J17)</f>
        <v>0</v>
      </c>
      <c r="K17" s="132">
        <f>IF(SER_hh_fec!K17=0,0,11630*1000*SER_hh_fec!K17/SER_hh_num!K17)</f>
        <v>0</v>
      </c>
      <c r="L17" s="132">
        <f>IF(SER_hh_fec!L17=0,0,11630*1000*SER_hh_fec!L17/SER_hh_num!L17)</f>
        <v>0</v>
      </c>
      <c r="M17" s="132">
        <f>IF(SER_hh_fec!M17=0,0,11630*1000*SER_hh_fec!M17/SER_hh_num!M17)</f>
        <v>0</v>
      </c>
      <c r="N17" s="132">
        <f>IF(SER_hh_fec!N17=0,0,11630*1000*SER_hh_fec!N17/SER_hh_num!N17)</f>
        <v>0</v>
      </c>
      <c r="O17" s="132">
        <f>IF(SER_hh_fec!O17=0,0,11630*1000*SER_hh_fec!O17/SER_hh_num!O17)</f>
        <v>0</v>
      </c>
      <c r="P17" s="132">
        <f>IF(SER_hh_fec!P17=0,0,11630*1000*SER_hh_fec!P17/SER_hh_num!P17)</f>
        <v>0</v>
      </c>
      <c r="Q17" s="132">
        <f>IF(SER_hh_fec!Q17=0,0,11630*1000*SER_hh_fec!Q17/SER_hh_num!Q17)</f>
        <v>0</v>
      </c>
      <c r="R17" s="132">
        <f>IF(SER_hh_fec!R17=0,0,11630*1000*SER_hh_fec!R17/SER_hh_num!R17)</f>
        <v>0</v>
      </c>
      <c r="S17" s="132">
        <f>IF(SER_hh_fec!S17=0,0,11630*1000*SER_hh_fec!S17/SER_hh_num!S17)</f>
        <v>0</v>
      </c>
      <c r="T17" s="132">
        <f>IF(SER_hh_fec!T17=0,0,11630*1000*SER_hh_fec!T17/SER_hh_num!T17)</f>
        <v>0</v>
      </c>
      <c r="U17" s="132">
        <f>IF(SER_hh_fec!U17=0,0,11630*1000*SER_hh_fec!U17/SER_hh_num!U17)</f>
        <v>0</v>
      </c>
      <c r="V17" s="132">
        <f>IF(SER_hh_fec!V17=0,0,11630*1000*SER_hh_fec!V17/SER_hh_num!V17)</f>
        <v>0</v>
      </c>
      <c r="W17" s="132">
        <f>IF(SER_hh_fec!W17=0,0,11630*1000*SER_hh_fec!W17/SER_hh_num!W17)</f>
        <v>0</v>
      </c>
      <c r="X17" s="132">
        <f>IF(SER_hh_fec!X17=0,0,11630*1000*SER_hh_fec!X17/SER_hh_num!X17)</f>
        <v>0</v>
      </c>
      <c r="Y17" s="132">
        <f>IF(SER_hh_fec!Y17=0,0,11630*1000*SER_hh_fec!Y17/SER_hh_num!Y17)</f>
        <v>0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9769.1390104679631</v>
      </c>
      <c r="C18" s="132">
        <f>IF(SER_hh_fec!C18=0,0,11630*1000*SER_hh_fec!C18/SER_hh_num!C18)</f>
        <v>9388.1102170351205</v>
      </c>
      <c r="D18" s="132">
        <f>IF(SER_hh_fec!D18=0,0,11630*1000*SER_hh_fec!D18/SER_hh_num!D18)</f>
        <v>8831.1319609475577</v>
      </c>
      <c r="E18" s="132">
        <f>IF(SER_hh_fec!E18=0,0,11630*1000*SER_hh_fec!E18/SER_hh_num!E18)</f>
        <v>8765.5965181175834</v>
      </c>
      <c r="F18" s="132">
        <f>IF(SER_hh_fec!F18=0,0,11630*1000*SER_hh_fec!F18/SER_hh_num!F18)</f>
        <v>7920.9664113883327</v>
      </c>
      <c r="G18" s="132">
        <f>IF(SER_hh_fec!G18=0,0,11630*1000*SER_hh_fec!G18/SER_hh_num!G18)</f>
        <v>7441.0637433835582</v>
      </c>
      <c r="H18" s="132">
        <f>IF(SER_hh_fec!H18=0,0,11630*1000*SER_hh_fec!H18/SER_hh_num!H18)</f>
        <v>7067.4065759839114</v>
      </c>
      <c r="I18" s="132">
        <f>IF(SER_hh_fec!I18=0,0,11630*1000*SER_hh_fec!I18/SER_hh_num!I18)</f>
        <v>6576.6954882591326</v>
      </c>
      <c r="J18" s="132">
        <f>IF(SER_hh_fec!J18=0,0,11630*1000*SER_hh_fec!J18/SER_hh_num!J18)</f>
        <v>6220.6767815481662</v>
      </c>
      <c r="K18" s="132">
        <f>IF(SER_hh_fec!K18=0,0,11630*1000*SER_hh_fec!K18/SER_hh_num!K18)</f>
        <v>6112.8152022682161</v>
      </c>
      <c r="L18" s="132">
        <f>IF(SER_hh_fec!L18=0,0,11630*1000*SER_hh_fec!L18/SER_hh_num!L18)</f>
        <v>6936.1400248759073</v>
      </c>
      <c r="M18" s="132">
        <f>IF(SER_hh_fec!M18=0,0,11630*1000*SER_hh_fec!M18/SER_hh_num!M18)</f>
        <v>6040.9114893044371</v>
      </c>
      <c r="N18" s="132">
        <f>IF(SER_hh_fec!N18=0,0,11630*1000*SER_hh_fec!N18/SER_hh_num!N18)</f>
        <v>5575.5094388283596</v>
      </c>
      <c r="O18" s="132">
        <f>IF(SER_hh_fec!O18=0,0,11630*1000*SER_hh_fec!O18/SER_hh_num!O18)</f>
        <v>5321.3137439222801</v>
      </c>
      <c r="P18" s="132">
        <f>IF(SER_hh_fec!P18=0,0,11630*1000*SER_hh_fec!P18/SER_hh_num!P18)</f>
        <v>5207.0557901812872</v>
      </c>
      <c r="Q18" s="132">
        <f>IF(SER_hh_fec!Q18=0,0,11630*1000*SER_hh_fec!Q18/SER_hh_num!Q18)</f>
        <v>4864.2936236124197</v>
      </c>
      <c r="R18" s="132">
        <f>IF(SER_hh_fec!R18=0,0,11630*1000*SER_hh_fec!R18/SER_hh_num!R18)</f>
        <v>4737.8285505001977</v>
      </c>
      <c r="S18" s="132">
        <f>IF(SER_hh_fec!S18=0,0,11630*1000*SER_hh_fec!S18/SER_hh_num!S18)</f>
        <v>4583.159692643676</v>
      </c>
      <c r="T18" s="132">
        <f>IF(SER_hh_fec!T18=0,0,11630*1000*SER_hh_fec!T18/SER_hh_num!T18)</f>
        <v>4757.717934845934</v>
      </c>
      <c r="U18" s="132">
        <f>IF(SER_hh_fec!U18=0,0,11630*1000*SER_hh_fec!U18/SER_hh_num!U18)</f>
        <v>4352.8695844294416</v>
      </c>
      <c r="V18" s="132">
        <f>IF(SER_hh_fec!V18=0,0,11630*1000*SER_hh_fec!V18/SER_hh_num!V18)</f>
        <v>4131.8360573905466</v>
      </c>
      <c r="W18" s="132">
        <f>IF(SER_hh_fec!W18=0,0,11630*1000*SER_hh_fec!W18/SER_hh_num!W18)</f>
        <v>4552.4484237158567</v>
      </c>
      <c r="X18" s="132">
        <f>IF(SER_hh_fec!X18=0,0,11630*1000*SER_hh_fec!X18/SER_hh_num!X18)</f>
        <v>4285.7396198069</v>
      </c>
      <c r="Y18" s="132">
        <f>IF(SER_hh_fec!Y18=0,0,11630*1000*SER_hh_fec!Y18/SER_hh_num!Y18)</f>
        <v>4045.3525317747917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28469.322820774792</v>
      </c>
      <c r="C19" s="130">
        <f>IF(SER_hh_fec!C19=0,0,11630*1000*SER_hh_fec!C19/SER_hh_num!C19)</f>
        <v>27919.76023634171</v>
      </c>
      <c r="D19" s="130">
        <f>IF(SER_hh_fec!D19=0,0,11630*1000*SER_hh_fec!D19/SER_hh_num!D19)</f>
        <v>26906.188787092546</v>
      </c>
      <c r="E19" s="130">
        <f>IF(SER_hh_fec!E19=0,0,11630*1000*SER_hh_fec!E19/SER_hh_num!E19)</f>
        <v>26408.870804394744</v>
      </c>
      <c r="F19" s="130">
        <f>IF(SER_hh_fec!F19=0,0,11630*1000*SER_hh_fec!F19/SER_hh_num!F19)</f>
        <v>25471.538168763589</v>
      </c>
      <c r="G19" s="130">
        <f>IF(SER_hh_fec!G19=0,0,11630*1000*SER_hh_fec!G19/SER_hh_num!G19)</f>
        <v>25430.674113384095</v>
      </c>
      <c r="H19" s="130">
        <f>IF(SER_hh_fec!H19=0,0,11630*1000*SER_hh_fec!H19/SER_hh_num!H19)</f>
        <v>24650.979126542672</v>
      </c>
      <c r="I19" s="130">
        <f>IF(SER_hh_fec!I19=0,0,11630*1000*SER_hh_fec!I19/SER_hh_num!I19)</f>
        <v>23515.844918118597</v>
      </c>
      <c r="J19" s="130">
        <f>IF(SER_hh_fec!J19=0,0,11630*1000*SER_hh_fec!J19/SER_hh_num!J19)</f>
        <v>23872.620270974887</v>
      </c>
      <c r="K19" s="130">
        <f>IF(SER_hh_fec!K19=0,0,11630*1000*SER_hh_fec!K19/SER_hh_num!K19)</f>
        <v>23724.856422067118</v>
      </c>
      <c r="L19" s="130">
        <f>IF(SER_hh_fec!L19=0,0,11630*1000*SER_hh_fec!L19/SER_hh_num!L19)</f>
        <v>23570.459216041436</v>
      </c>
      <c r="M19" s="130">
        <f>IF(SER_hh_fec!M19=0,0,11630*1000*SER_hh_fec!M19/SER_hh_num!M19)</f>
        <v>23990.178075624572</v>
      </c>
      <c r="N19" s="130">
        <f>IF(SER_hh_fec!N19=0,0,11630*1000*SER_hh_fec!N19/SER_hh_num!N19)</f>
        <v>23835.714414321137</v>
      </c>
      <c r="O19" s="130">
        <f>IF(SER_hh_fec!O19=0,0,11630*1000*SER_hh_fec!O19/SER_hh_num!O19)</f>
        <v>23716.756384060405</v>
      </c>
      <c r="P19" s="130">
        <f>IF(SER_hh_fec!P19=0,0,11630*1000*SER_hh_fec!P19/SER_hh_num!P19)</f>
        <v>23659.618871238152</v>
      </c>
      <c r="Q19" s="130">
        <f>IF(SER_hh_fec!Q19=0,0,11630*1000*SER_hh_fec!Q19/SER_hh_num!Q19)</f>
        <v>23830.912755959882</v>
      </c>
      <c r="R19" s="130">
        <f>IF(SER_hh_fec!R19=0,0,11630*1000*SER_hh_fec!R19/SER_hh_num!R19)</f>
        <v>23230.478179141199</v>
      </c>
      <c r="S19" s="130">
        <f>IF(SER_hh_fec!S19=0,0,11630*1000*SER_hh_fec!S19/SER_hh_num!S19)</f>
        <v>22976.949013836689</v>
      </c>
      <c r="T19" s="130">
        <f>IF(SER_hh_fec!T19=0,0,11630*1000*SER_hh_fec!T19/SER_hh_num!T19)</f>
        <v>22774.480862922013</v>
      </c>
      <c r="U19" s="130">
        <f>IF(SER_hh_fec!U19=0,0,11630*1000*SER_hh_fec!U19/SER_hh_num!U19)</f>
        <v>22821.700294135408</v>
      </c>
      <c r="V19" s="130">
        <f>IF(SER_hh_fec!V19=0,0,11630*1000*SER_hh_fec!V19/SER_hh_num!V19)</f>
        <v>21624.282942936363</v>
      </c>
      <c r="W19" s="130">
        <f>IF(SER_hh_fec!W19=0,0,11630*1000*SER_hh_fec!W19/SER_hh_num!W19)</f>
        <v>22900.483397533601</v>
      </c>
      <c r="X19" s="130">
        <f>IF(SER_hh_fec!X19=0,0,11630*1000*SER_hh_fec!X19/SER_hh_num!X19)</f>
        <v>23126.598422188901</v>
      </c>
      <c r="Y19" s="130">
        <f>IF(SER_hh_fec!Y19=0,0,11630*1000*SER_hh_fec!Y19/SER_hh_num!Y19)</f>
        <v>24777.428996658167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0</v>
      </c>
      <c r="C21" s="132">
        <f>IF(SER_hh_fec!C21=0,0,11630*1000*SER_hh_fec!C21/SER_hh_num!C21)</f>
        <v>0</v>
      </c>
      <c r="D21" s="132">
        <f>IF(SER_hh_fec!D21=0,0,11630*1000*SER_hh_fec!D21/SER_hh_num!D21)</f>
        <v>0</v>
      </c>
      <c r="E21" s="132">
        <f>IF(SER_hh_fec!E21=0,0,11630*1000*SER_hh_fec!E21/SER_hh_num!E21)</f>
        <v>0</v>
      </c>
      <c r="F21" s="132">
        <f>IF(SER_hh_fec!F21=0,0,11630*1000*SER_hh_fec!F21/SER_hh_num!F21)</f>
        <v>0</v>
      </c>
      <c r="G21" s="132">
        <f>IF(SER_hh_fec!G21=0,0,11630*1000*SER_hh_fec!G21/SER_hh_num!G21)</f>
        <v>0</v>
      </c>
      <c r="H21" s="132">
        <f>IF(SER_hh_fec!H21=0,0,11630*1000*SER_hh_fec!H21/SER_hh_num!H21)</f>
        <v>0</v>
      </c>
      <c r="I21" s="132">
        <f>IF(SER_hh_fec!I21=0,0,11630*1000*SER_hh_fec!I21/SER_hh_num!I21)</f>
        <v>0</v>
      </c>
      <c r="J21" s="132">
        <f>IF(SER_hh_fec!J21=0,0,11630*1000*SER_hh_fec!J21/SER_hh_num!J21)</f>
        <v>0</v>
      </c>
      <c r="K21" s="132">
        <f>IF(SER_hh_fec!K21=0,0,11630*1000*SER_hh_fec!K21/SER_hh_num!K21)</f>
        <v>0</v>
      </c>
      <c r="L21" s="132">
        <f>IF(SER_hh_fec!L21=0,0,11630*1000*SER_hh_fec!L21/SER_hh_num!L21)</f>
        <v>0</v>
      </c>
      <c r="M21" s="132">
        <f>IF(SER_hh_fec!M21=0,0,11630*1000*SER_hh_fec!M21/SER_hh_num!M21)</f>
        <v>0</v>
      </c>
      <c r="N21" s="132">
        <f>IF(SER_hh_fec!N21=0,0,11630*1000*SER_hh_fec!N21/SER_hh_num!N21)</f>
        <v>0</v>
      </c>
      <c r="O21" s="132">
        <f>IF(SER_hh_fec!O21=0,0,11630*1000*SER_hh_fec!O21/SER_hh_num!O21)</f>
        <v>0</v>
      </c>
      <c r="P21" s="132">
        <f>IF(SER_hh_fec!P21=0,0,11630*1000*SER_hh_fec!P21/SER_hh_num!P21)</f>
        <v>0</v>
      </c>
      <c r="Q21" s="132">
        <f>IF(SER_hh_fec!Q21=0,0,11630*1000*SER_hh_fec!Q21/SER_hh_num!Q21)</f>
        <v>0</v>
      </c>
      <c r="R21" s="132">
        <f>IF(SER_hh_fec!R21=0,0,11630*1000*SER_hh_fec!R21/SER_hh_num!R21)</f>
        <v>0</v>
      </c>
      <c r="S21" s="132">
        <f>IF(SER_hh_fec!S21=0,0,11630*1000*SER_hh_fec!S21/SER_hh_num!S21)</f>
        <v>0</v>
      </c>
      <c r="T21" s="132">
        <f>IF(SER_hh_fec!T21=0,0,11630*1000*SER_hh_fec!T21/SER_hh_num!T21)</f>
        <v>0</v>
      </c>
      <c r="U21" s="132">
        <f>IF(SER_hh_fec!U21=0,0,11630*1000*SER_hh_fec!U21/SER_hh_num!U21)</f>
        <v>0</v>
      </c>
      <c r="V21" s="132">
        <f>IF(SER_hh_fec!V21=0,0,11630*1000*SER_hh_fec!V21/SER_hh_num!V21)</f>
        <v>0</v>
      </c>
      <c r="W21" s="132">
        <f>IF(SER_hh_fec!W21=0,0,11630*1000*SER_hh_fec!W21/SER_hh_num!W21)</f>
        <v>0</v>
      </c>
      <c r="X21" s="132">
        <f>IF(SER_hh_fec!X21=0,0,11630*1000*SER_hh_fec!X21/SER_hh_num!X21)</f>
        <v>0</v>
      </c>
      <c r="Y21" s="132">
        <f>IF(SER_hh_fec!Y21=0,0,11630*1000*SER_hh_fec!Y21/SER_hh_num!Y21)</f>
        <v>0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36031.176516989086</v>
      </c>
      <c r="C22" s="132">
        <f>IF(SER_hh_fec!C22=0,0,11630*1000*SER_hh_fec!C22/SER_hh_num!C22)</f>
        <v>36352.924828133015</v>
      </c>
      <c r="D22" s="132">
        <f>IF(SER_hh_fec!D22=0,0,11630*1000*SER_hh_fec!D22/SER_hh_num!D22)</f>
        <v>36362.659700580851</v>
      </c>
      <c r="E22" s="132">
        <f>IF(SER_hh_fec!E22=0,0,11630*1000*SER_hh_fec!E22/SER_hh_num!E22)</f>
        <v>32137.224208667121</v>
      </c>
      <c r="F22" s="132">
        <f>IF(SER_hh_fec!F22=0,0,11630*1000*SER_hh_fec!F22/SER_hh_num!F22)</f>
        <v>31240.453010839981</v>
      </c>
      <c r="G22" s="132">
        <f>IF(SER_hh_fec!G22=0,0,11630*1000*SER_hh_fec!G22/SER_hh_num!G22)</f>
        <v>32887.341916387129</v>
      </c>
      <c r="H22" s="132">
        <f>IF(SER_hh_fec!H22=0,0,11630*1000*SER_hh_fec!H22/SER_hh_num!H22)</f>
        <v>32134.577313351583</v>
      </c>
      <c r="I22" s="132">
        <f>IF(SER_hh_fec!I22=0,0,11630*1000*SER_hh_fec!I22/SER_hh_num!I22)</f>
        <v>31413.163214728418</v>
      </c>
      <c r="J22" s="132">
        <f>IF(SER_hh_fec!J22=0,0,11630*1000*SER_hh_fec!J22/SER_hh_num!J22)</f>
        <v>31960.387941479152</v>
      </c>
      <c r="K22" s="132">
        <f>IF(SER_hh_fec!K22=0,0,11630*1000*SER_hh_fec!K22/SER_hh_num!K22)</f>
        <v>31268.498809102726</v>
      </c>
      <c r="L22" s="132">
        <f>IF(SER_hh_fec!L22=0,0,11630*1000*SER_hh_fec!L22/SER_hh_num!L22)</f>
        <v>30903.777683261964</v>
      </c>
      <c r="M22" s="132">
        <f>IF(SER_hh_fec!M22=0,0,11630*1000*SER_hh_fec!M22/SER_hh_num!M22)</f>
        <v>30855.177169668692</v>
      </c>
      <c r="N22" s="132">
        <f>IF(SER_hh_fec!N22=0,0,11630*1000*SER_hh_fec!N22/SER_hh_num!N22)</f>
        <v>30258.511001473773</v>
      </c>
      <c r="O22" s="132">
        <f>IF(SER_hh_fec!O22=0,0,11630*1000*SER_hh_fec!O22/SER_hh_num!O22)</f>
        <v>29735.989729695459</v>
      </c>
      <c r="P22" s="132">
        <f>IF(SER_hh_fec!P22=0,0,11630*1000*SER_hh_fec!P22/SER_hh_num!P22)</f>
        <v>30083.350720294678</v>
      </c>
      <c r="Q22" s="132">
        <f>IF(SER_hh_fec!Q22=0,0,11630*1000*SER_hh_fec!Q22/SER_hh_num!Q22)</f>
        <v>30616.057427897951</v>
      </c>
      <c r="R22" s="132">
        <f>IF(SER_hh_fec!R22=0,0,11630*1000*SER_hh_fec!R22/SER_hh_num!R22)</f>
        <v>29113.900786894174</v>
      </c>
      <c r="S22" s="132">
        <f>IF(SER_hh_fec!S22=0,0,11630*1000*SER_hh_fec!S22/SER_hh_num!S22)</f>
        <v>30139.888613240542</v>
      </c>
      <c r="T22" s="132">
        <f>IF(SER_hh_fec!T22=0,0,11630*1000*SER_hh_fec!T22/SER_hh_num!T22)</f>
        <v>32688.64476968045</v>
      </c>
      <c r="U22" s="132">
        <f>IF(SER_hh_fec!U22=0,0,11630*1000*SER_hh_fec!U22/SER_hh_num!U22)</f>
        <v>26959.195516278163</v>
      </c>
      <c r="V22" s="132">
        <f>IF(SER_hh_fec!V22=0,0,11630*1000*SER_hh_fec!V22/SER_hh_num!V22)</f>
        <v>29156.993300017388</v>
      </c>
      <c r="W22" s="132">
        <f>IF(SER_hh_fec!W22=0,0,11630*1000*SER_hh_fec!W22/SER_hh_num!W22)</f>
        <v>29269.084378915086</v>
      </c>
      <c r="X22" s="132">
        <f>IF(SER_hh_fec!X22=0,0,11630*1000*SER_hh_fec!X22/SER_hh_num!X22)</f>
        <v>30664.589608274688</v>
      </c>
      <c r="Y22" s="132">
        <f>IF(SER_hh_fec!Y22=0,0,11630*1000*SER_hh_fec!Y22/SER_hh_num!Y22)</f>
        <v>32845.268465138266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24374.801919903894</v>
      </c>
      <c r="C23" s="132">
        <f>IF(SER_hh_fec!C23=0,0,11630*1000*SER_hh_fec!C23/SER_hh_num!C23)</f>
        <v>38065.09083522507</v>
      </c>
      <c r="D23" s="132">
        <f>IF(SER_hh_fec!D23=0,0,11630*1000*SER_hh_fec!D23/SER_hh_num!D23)</f>
        <v>34083.445511541009</v>
      </c>
      <c r="E23" s="132">
        <f>IF(SER_hh_fec!E23=0,0,11630*1000*SER_hh_fec!E23/SER_hh_num!E23)</f>
        <v>31882.843559255583</v>
      </c>
      <c r="F23" s="132">
        <f>IF(SER_hh_fec!F23=0,0,11630*1000*SER_hh_fec!F23/SER_hh_num!F23)</f>
        <v>30476.861189562078</v>
      </c>
      <c r="G23" s="132">
        <f>IF(SER_hh_fec!G23=0,0,11630*1000*SER_hh_fec!G23/SER_hh_num!G23)</f>
        <v>29981.08292862801</v>
      </c>
      <c r="H23" s="132">
        <f>IF(SER_hh_fec!H23=0,0,11630*1000*SER_hh_fec!H23/SER_hh_num!H23)</f>
        <v>29515.832515297665</v>
      </c>
      <c r="I23" s="132">
        <f>IF(SER_hh_fec!I23=0,0,11630*1000*SER_hh_fec!I23/SER_hh_num!I23)</f>
        <v>28648.27603324697</v>
      </c>
      <c r="J23" s="132">
        <f>IF(SER_hh_fec!J23=0,0,11630*1000*SER_hh_fec!J23/SER_hh_num!J23)</f>
        <v>28125.00242580042</v>
      </c>
      <c r="K23" s="132">
        <f>IF(SER_hh_fec!K23=0,0,11630*1000*SER_hh_fec!K23/SER_hh_num!K23)</f>
        <v>27555.644199606548</v>
      </c>
      <c r="L23" s="132">
        <f>IF(SER_hh_fec!L23=0,0,11630*1000*SER_hh_fec!L23/SER_hh_num!L23)</f>
        <v>25846.185389723909</v>
      </c>
      <c r="M23" s="132">
        <f>IF(SER_hh_fec!M23=0,0,11630*1000*SER_hh_fec!M23/SER_hh_num!M23)</f>
        <v>27218.876242823957</v>
      </c>
      <c r="N23" s="132">
        <f>IF(SER_hh_fec!N23=0,0,11630*1000*SER_hh_fec!N23/SER_hh_num!N23)</f>
        <v>23512.257668313385</v>
      </c>
      <c r="O23" s="132">
        <f>IF(SER_hh_fec!O23=0,0,11630*1000*SER_hh_fec!O23/SER_hh_num!O23)</f>
        <v>25344.725716911631</v>
      </c>
      <c r="P23" s="132">
        <f>IF(SER_hh_fec!P23=0,0,11630*1000*SER_hh_fec!P23/SER_hh_num!P23)</f>
        <v>27690.310139745867</v>
      </c>
      <c r="Q23" s="132">
        <f>IF(SER_hh_fec!Q23=0,0,11630*1000*SER_hh_fec!Q23/SER_hh_num!Q23)</f>
        <v>25309.630731878216</v>
      </c>
      <c r="R23" s="132">
        <f>IF(SER_hh_fec!R23=0,0,11630*1000*SER_hh_fec!R23/SER_hh_num!R23)</f>
        <v>24066.917034655009</v>
      </c>
      <c r="S23" s="132">
        <f>IF(SER_hh_fec!S23=0,0,11630*1000*SER_hh_fec!S23/SER_hh_num!S23)</f>
        <v>23797.920109356703</v>
      </c>
      <c r="T23" s="132">
        <f>IF(SER_hh_fec!T23=0,0,11630*1000*SER_hh_fec!T23/SER_hh_num!T23)</f>
        <v>23997.188329127646</v>
      </c>
      <c r="U23" s="132">
        <f>IF(SER_hh_fec!U23=0,0,11630*1000*SER_hh_fec!U23/SER_hh_num!U23)</f>
        <v>24531.275406546763</v>
      </c>
      <c r="V23" s="132">
        <f>IF(SER_hh_fec!V23=0,0,11630*1000*SER_hh_fec!V23/SER_hh_num!V23)</f>
        <v>24518.455929282489</v>
      </c>
      <c r="W23" s="132">
        <f>IF(SER_hh_fec!W23=0,0,11630*1000*SER_hh_fec!W23/SER_hh_num!W23)</f>
        <v>25044.238856387808</v>
      </c>
      <c r="X23" s="132">
        <f>IF(SER_hh_fec!X23=0,0,11630*1000*SER_hh_fec!X23/SER_hh_num!X23)</f>
        <v>25610.005067219197</v>
      </c>
      <c r="Y23" s="132">
        <f>IF(SER_hh_fec!Y23=0,0,11630*1000*SER_hh_fec!Y23/SER_hh_num!Y23)</f>
        <v>25042.616834935321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0</v>
      </c>
      <c r="O24" s="132">
        <f>IF(SER_hh_fec!O24=0,0,11630*1000*SER_hh_fec!O24/SER_hh_num!O24)</f>
        <v>0</v>
      </c>
      <c r="P24" s="132">
        <f>IF(SER_hh_fec!P24=0,0,11630*1000*SER_hh_fec!P24/SER_hh_num!P24)</f>
        <v>0</v>
      </c>
      <c r="Q24" s="132">
        <f>IF(SER_hh_fec!Q24=0,0,11630*1000*SER_hh_fec!Q24/SER_hh_num!Q24)</f>
        <v>0</v>
      </c>
      <c r="R24" s="132">
        <f>IF(SER_hh_fec!R24=0,0,11630*1000*SER_hh_fec!R24/SER_hh_num!R24)</f>
        <v>0</v>
      </c>
      <c r="S24" s="132">
        <f>IF(SER_hh_fec!S24=0,0,11630*1000*SER_hh_fec!S24/SER_hh_num!S24)</f>
        <v>0</v>
      </c>
      <c r="T24" s="132">
        <f>IF(SER_hh_fec!T24=0,0,11630*1000*SER_hh_fec!T24/SER_hh_num!T24)</f>
        <v>0</v>
      </c>
      <c r="U24" s="132">
        <f>IF(SER_hh_fec!U24=0,0,11630*1000*SER_hh_fec!U24/SER_hh_num!U24)</f>
        <v>0</v>
      </c>
      <c r="V24" s="132">
        <f>IF(SER_hh_fec!V24=0,0,11630*1000*SER_hh_fec!V24/SER_hh_num!V24)</f>
        <v>0</v>
      </c>
      <c r="W24" s="132">
        <f>IF(SER_hh_fec!W24=0,0,11630*1000*SER_hh_fec!W24/SER_hh_num!W24)</f>
        <v>0</v>
      </c>
      <c r="X24" s="132">
        <f>IF(SER_hh_fec!X24=0,0,11630*1000*SER_hh_fec!X24/SER_hh_num!X24)</f>
        <v>0</v>
      </c>
      <c r="Y24" s="132">
        <f>IF(SER_hh_fec!Y24=0,0,11630*1000*SER_hh_fec!Y24/SER_hh_num!Y24)</f>
        <v>0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23099.08956563786</v>
      </c>
      <c r="C25" s="132">
        <f>IF(SER_hh_fec!C25=0,0,11630*1000*SER_hh_fec!C25/SER_hh_num!C25)</f>
        <v>23429.728413288485</v>
      </c>
      <c r="D25" s="132">
        <f>IF(SER_hh_fec!D25=0,0,11630*1000*SER_hh_fec!D25/SER_hh_num!D25)</f>
        <v>22587.640680118813</v>
      </c>
      <c r="E25" s="132">
        <f>IF(SER_hh_fec!E25=0,0,11630*1000*SER_hh_fec!E25/SER_hh_num!E25)</f>
        <v>21909.239800046995</v>
      </c>
      <c r="F25" s="132">
        <f>IF(SER_hh_fec!F25=0,0,11630*1000*SER_hh_fec!F25/SER_hh_num!F25)</f>
        <v>21427.011017866615</v>
      </c>
      <c r="G25" s="132">
        <f>IF(SER_hh_fec!G25=0,0,11630*1000*SER_hh_fec!G25/SER_hh_num!G25)</f>
        <v>21528.504987315337</v>
      </c>
      <c r="H25" s="132">
        <f>IF(SER_hh_fec!H25=0,0,11630*1000*SER_hh_fec!H25/SER_hh_num!H25)</f>
        <v>20995.222148786772</v>
      </c>
      <c r="I25" s="132">
        <f>IF(SER_hh_fec!I25=0,0,11630*1000*SER_hh_fec!I25/SER_hh_num!I25)</f>
        <v>20658.593142409944</v>
      </c>
      <c r="J25" s="132">
        <f>IF(SER_hh_fec!J25=0,0,11630*1000*SER_hh_fec!J25/SER_hh_num!J25)</f>
        <v>20280.631295060364</v>
      </c>
      <c r="K25" s="132">
        <f>IF(SER_hh_fec!K25=0,0,11630*1000*SER_hh_fec!K25/SER_hh_num!K25)</f>
        <v>20640.636125611949</v>
      </c>
      <c r="L25" s="132">
        <f>IF(SER_hh_fec!L25=0,0,11630*1000*SER_hh_fec!L25/SER_hh_num!L25)</f>
        <v>20523.275019465262</v>
      </c>
      <c r="M25" s="132">
        <f>IF(SER_hh_fec!M25=0,0,11630*1000*SER_hh_fec!M25/SER_hh_num!M25)</f>
        <v>20737.740004069896</v>
      </c>
      <c r="N25" s="132">
        <f>IF(SER_hh_fec!N25=0,0,11630*1000*SER_hh_fec!N25/SER_hh_num!N25)</f>
        <v>20722.511854088327</v>
      </c>
      <c r="O25" s="132">
        <f>IF(SER_hh_fec!O25=0,0,11630*1000*SER_hh_fec!O25/SER_hh_num!O25)</f>
        <v>20841.160153992849</v>
      </c>
      <c r="P25" s="132">
        <f>IF(SER_hh_fec!P25=0,0,11630*1000*SER_hh_fec!P25/SER_hh_num!P25)</f>
        <v>20730.123015020876</v>
      </c>
      <c r="Q25" s="132">
        <f>IF(SER_hh_fec!Q25=0,0,11630*1000*SER_hh_fec!Q25/SER_hh_num!Q25)</f>
        <v>20769.979091592559</v>
      </c>
      <c r="R25" s="132">
        <f>IF(SER_hh_fec!R25=0,0,11630*1000*SER_hh_fec!R25/SER_hh_num!R25)</f>
        <v>20756.822649256777</v>
      </c>
      <c r="S25" s="132">
        <f>IF(SER_hh_fec!S25=0,0,11630*1000*SER_hh_fec!S25/SER_hh_num!S25)</f>
        <v>20801.734113580071</v>
      </c>
      <c r="T25" s="132">
        <f>IF(SER_hh_fec!T25=0,0,11630*1000*SER_hh_fec!T25/SER_hh_num!T25)</f>
        <v>21015.466969507805</v>
      </c>
      <c r="U25" s="132">
        <f>IF(SER_hh_fec!U25=0,0,11630*1000*SER_hh_fec!U25/SER_hh_num!U25)</f>
        <v>21159.750833444992</v>
      </c>
      <c r="V25" s="132">
        <f>IF(SER_hh_fec!V25=0,0,11630*1000*SER_hh_fec!V25/SER_hh_num!V25)</f>
        <v>18433.591886515427</v>
      </c>
      <c r="W25" s="132">
        <f>IF(SER_hh_fec!W25=0,0,11630*1000*SER_hh_fec!W25/SER_hh_num!W25)</f>
        <v>21170.727915447609</v>
      </c>
      <c r="X25" s="132">
        <f>IF(SER_hh_fec!X25=0,0,11630*1000*SER_hh_fec!X25/SER_hh_num!X25)</f>
        <v>22932.995134026154</v>
      </c>
      <c r="Y25" s="132">
        <f>IF(SER_hh_fec!Y25=0,0,11630*1000*SER_hh_fec!Y25/SER_hh_num!Y25)</f>
        <v>23704.492163618736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29604.210873656451</v>
      </c>
      <c r="C26" s="65">
        <f>IF(SER_hh_fec!C26=0,0,11630*1000*SER_hh_fec!C26/SER_hh_num!C26)</f>
        <v>26974.218637059239</v>
      </c>
      <c r="D26" s="65">
        <f>IF(SER_hh_fec!D26=0,0,11630*1000*SER_hh_fec!D26/SER_hh_num!D26)</f>
        <v>26214.518325778034</v>
      </c>
      <c r="E26" s="65">
        <f>IF(SER_hh_fec!E26=0,0,11630*1000*SER_hh_fec!E26/SER_hh_num!E26)</f>
        <v>27351.406339107023</v>
      </c>
      <c r="F26" s="65">
        <f>IF(SER_hh_fec!F26=0,0,11630*1000*SER_hh_fec!F26/SER_hh_num!F26)</f>
        <v>26391.021852896607</v>
      </c>
      <c r="G26" s="65">
        <f>IF(SER_hh_fec!G26=0,0,11630*1000*SER_hh_fec!G26/SER_hh_num!G26)</f>
        <v>26183.526614394701</v>
      </c>
      <c r="H26" s="65">
        <f>IF(SER_hh_fec!H26=0,0,11630*1000*SER_hh_fec!H26/SER_hh_num!H26)</f>
        <v>25319.383393615917</v>
      </c>
      <c r="I26" s="65">
        <f>IF(SER_hh_fec!I26=0,0,11630*1000*SER_hh_fec!I26/SER_hh_num!I26)</f>
        <v>23695.393113983326</v>
      </c>
      <c r="J26" s="65">
        <f>IF(SER_hh_fec!J26=0,0,11630*1000*SER_hh_fec!J26/SER_hh_num!J26)</f>
        <v>24695.840649921032</v>
      </c>
      <c r="K26" s="65">
        <f>IF(SER_hh_fec!K26=0,0,11630*1000*SER_hh_fec!K26/SER_hh_num!K26)</f>
        <v>24413.054291135799</v>
      </c>
      <c r="L26" s="65">
        <f>IF(SER_hh_fec!L26=0,0,11630*1000*SER_hh_fec!L26/SER_hh_num!L26)</f>
        <v>24489.822226514592</v>
      </c>
      <c r="M26" s="65">
        <f>IF(SER_hh_fec!M26=0,0,11630*1000*SER_hh_fec!M26/SER_hh_num!M26)</f>
        <v>24934.109395011896</v>
      </c>
      <c r="N26" s="65">
        <f>IF(SER_hh_fec!N26=0,0,11630*1000*SER_hh_fec!N26/SER_hh_num!N26)</f>
        <v>25280.723748991477</v>
      </c>
      <c r="O26" s="65">
        <f>IF(SER_hh_fec!O26=0,0,11630*1000*SER_hh_fec!O26/SER_hh_num!O26)</f>
        <v>24637.218130162139</v>
      </c>
      <c r="P26" s="65">
        <f>IF(SER_hh_fec!P26=0,0,11630*1000*SER_hh_fec!P26/SER_hh_num!P26)</f>
        <v>23753.734831665468</v>
      </c>
      <c r="Q26" s="65">
        <f>IF(SER_hh_fec!Q26=0,0,11630*1000*SER_hh_fec!Q26/SER_hh_num!Q26)</f>
        <v>24678.194968803316</v>
      </c>
      <c r="R26" s="65">
        <f>IF(SER_hh_fec!R26=0,0,11630*1000*SER_hh_fec!R26/SER_hh_num!R26)</f>
        <v>23983.166713830698</v>
      </c>
      <c r="S26" s="65">
        <f>IF(SER_hh_fec!S26=0,0,11630*1000*SER_hh_fec!S26/SER_hh_num!S26)</f>
        <v>23371.701618693391</v>
      </c>
      <c r="T26" s="65">
        <f>IF(SER_hh_fec!T26=0,0,11630*1000*SER_hh_fec!T26/SER_hh_num!T26)</f>
        <v>22444.988598220527</v>
      </c>
      <c r="U26" s="65">
        <f>IF(SER_hh_fec!U26=0,0,11630*1000*SER_hh_fec!U26/SER_hh_num!U26)</f>
        <v>22794.127947085282</v>
      </c>
      <c r="V26" s="65">
        <f>IF(SER_hh_fec!V26=0,0,11630*1000*SER_hh_fec!V26/SER_hh_num!V26)</f>
        <v>21816.318560953096</v>
      </c>
      <c r="W26" s="65">
        <f>IF(SER_hh_fec!W26=0,0,11630*1000*SER_hh_fec!W26/SER_hh_num!W26)</f>
        <v>22684.773476291084</v>
      </c>
      <c r="X26" s="65">
        <f>IF(SER_hh_fec!X26=0,0,11630*1000*SER_hh_fec!X26/SER_hh_num!X26)</f>
        <v>21954.315322323269</v>
      </c>
      <c r="Y26" s="65">
        <f>IF(SER_hh_fec!Y26=0,0,11630*1000*SER_hh_fec!Y26/SER_hh_num!Y26)</f>
        <v>24701.42032480007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0</v>
      </c>
      <c r="C27" s="145">
        <f>IF(SER_hh_fec!C27=0,0,11630*1000*SER_hh_fec!C27/SER_hh_num!C19)</f>
        <v>0</v>
      </c>
      <c r="D27" s="145">
        <f>IF(SER_hh_fec!D27=0,0,11630*1000*SER_hh_fec!D27/SER_hh_num!D19)</f>
        <v>0</v>
      </c>
      <c r="E27" s="145">
        <f>IF(SER_hh_fec!E27=0,0,11630*1000*SER_hh_fec!E27/SER_hh_num!E19)</f>
        <v>0</v>
      </c>
      <c r="F27" s="145">
        <f>IF(SER_hh_fec!F27=0,0,11630*1000*SER_hh_fec!F27/SER_hh_num!F19)</f>
        <v>0</v>
      </c>
      <c r="G27" s="145">
        <f>IF(SER_hh_fec!G27=0,0,11630*1000*SER_hh_fec!G27/SER_hh_num!G19)</f>
        <v>0</v>
      </c>
      <c r="H27" s="145">
        <f>IF(SER_hh_fec!H27=0,0,11630*1000*SER_hh_fec!H27/SER_hh_num!H19)</f>
        <v>0</v>
      </c>
      <c r="I27" s="145">
        <f>IF(SER_hh_fec!I27=0,0,11630*1000*SER_hh_fec!I27/SER_hh_num!I19)</f>
        <v>0</v>
      </c>
      <c r="J27" s="145">
        <f>IF(SER_hh_fec!J27=0,0,11630*1000*SER_hh_fec!J27/SER_hh_num!J19)</f>
        <v>0</v>
      </c>
      <c r="K27" s="145">
        <f>IF(SER_hh_fec!K27=0,0,11630*1000*SER_hh_fec!K27/SER_hh_num!K19)</f>
        <v>0</v>
      </c>
      <c r="L27" s="145">
        <f>IF(SER_hh_fec!L27=0,0,11630*1000*SER_hh_fec!L27/SER_hh_num!L19)</f>
        <v>0</v>
      </c>
      <c r="M27" s="145">
        <f>IF(SER_hh_fec!M27=0,0,11630*1000*SER_hh_fec!M27/SER_hh_num!M19)</f>
        <v>0</v>
      </c>
      <c r="N27" s="145">
        <f>IF(SER_hh_fec!N27=0,0,11630*1000*SER_hh_fec!N27/SER_hh_num!N19)</f>
        <v>0</v>
      </c>
      <c r="O27" s="145">
        <f>IF(SER_hh_fec!O27=0,0,11630*1000*SER_hh_fec!O27/SER_hh_num!O19)</f>
        <v>0</v>
      </c>
      <c r="P27" s="145">
        <f>IF(SER_hh_fec!P27=0,0,11630*1000*SER_hh_fec!P27/SER_hh_num!P19)</f>
        <v>0</v>
      </c>
      <c r="Q27" s="145">
        <f>IF(SER_hh_fec!Q27=0,0,11630*1000*SER_hh_fec!Q27/SER_hh_num!Q19)</f>
        <v>0</v>
      </c>
      <c r="R27" s="145">
        <f>IF(SER_hh_fec!R27=0,0,11630*1000*SER_hh_fec!R27/SER_hh_num!R19)</f>
        <v>0</v>
      </c>
      <c r="S27" s="145">
        <f>IF(SER_hh_fec!S27=0,0,11630*1000*SER_hh_fec!S27/SER_hh_num!S19)</f>
        <v>0</v>
      </c>
      <c r="T27" s="145">
        <f>IF(SER_hh_fec!T27=0,0,11630*1000*SER_hh_fec!T27/SER_hh_num!T19)</f>
        <v>0</v>
      </c>
      <c r="U27" s="145">
        <f>IF(SER_hh_fec!U27=0,0,11630*1000*SER_hh_fec!U27/SER_hh_num!U19)</f>
        <v>0</v>
      </c>
      <c r="V27" s="145">
        <f>IF(SER_hh_fec!V27=0,0,11630*1000*SER_hh_fec!V27/SER_hh_num!V19)</f>
        <v>0</v>
      </c>
      <c r="W27" s="145">
        <f>IF(SER_hh_fec!W27=0,0,11630*1000*SER_hh_fec!W27/SER_hh_num!W19)</f>
        <v>0</v>
      </c>
      <c r="X27" s="145">
        <f>IF(SER_hh_fec!X27=0,0,11630*1000*SER_hh_fec!X27/SER_hh_num!X19)</f>
        <v>0</v>
      </c>
      <c r="Y27" s="145">
        <f>IF(SER_hh_fec!Y27=0,0,11630*1000*SER_hh_fec!Y27/SER_hh_num!Y19)</f>
        <v>0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0</v>
      </c>
      <c r="C28" s="146">
        <f>IF(SER_hh_fec!C27=0,0,11630*1000*SER_hh_fec!C27/SER_hh_num!C27)</f>
        <v>0</v>
      </c>
      <c r="D28" s="146">
        <f>IF(SER_hh_fec!D27=0,0,11630*1000*SER_hh_fec!D27/SER_hh_num!D27)</f>
        <v>0</v>
      </c>
      <c r="E28" s="146">
        <f>IF(SER_hh_fec!E27=0,0,11630*1000*SER_hh_fec!E27/SER_hh_num!E27)</f>
        <v>0</v>
      </c>
      <c r="F28" s="146">
        <f>IF(SER_hh_fec!F27=0,0,11630*1000*SER_hh_fec!F27/SER_hh_num!F27)</f>
        <v>0</v>
      </c>
      <c r="G28" s="146">
        <f>IF(SER_hh_fec!G27=0,0,11630*1000*SER_hh_fec!G27/SER_hh_num!G27)</f>
        <v>0</v>
      </c>
      <c r="H28" s="146">
        <f>IF(SER_hh_fec!H27=0,0,11630*1000*SER_hh_fec!H27/SER_hh_num!H27)</f>
        <v>0</v>
      </c>
      <c r="I28" s="146">
        <f>IF(SER_hh_fec!I27=0,0,11630*1000*SER_hh_fec!I27/SER_hh_num!I27)</f>
        <v>0</v>
      </c>
      <c r="J28" s="146">
        <f>IF(SER_hh_fec!J27=0,0,11630*1000*SER_hh_fec!J27/SER_hh_num!J27)</f>
        <v>0</v>
      </c>
      <c r="K28" s="146">
        <f>IF(SER_hh_fec!K27=0,0,11630*1000*SER_hh_fec!K27/SER_hh_num!K27)</f>
        <v>0</v>
      </c>
      <c r="L28" s="146">
        <f>IF(SER_hh_fec!L27=0,0,11630*1000*SER_hh_fec!L27/SER_hh_num!L27)</f>
        <v>0</v>
      </c>
      <c r="M28" s="146">
        <f>IF(SER_hh_fec!M27=0,0,11630*1000*SER_hh_fec!M27/SER_hh_num!M27)</f>
        <v>0</v>
      </c>
      <c r="N28" s="146">
        <f>IF(SER_hh_fec!N27=0,0,11630*1000*SER_hh_fec!N27/SER_hh_num!N27)</f>
        <v>0</v>
      </c>
      <c r="O28" s="146">
        <f>IF(SER_hh_fec!O27=0,0,11630*1000*SER_hh_fec!O27/SER_hh_num!O27)</f>
        <v>0</v>
      </c>
      <c r="P28" s="146">
        <f>IF(SER_hh_fec!P27=0,0,11630*1000*SER_hh_fec!P27/SER_hh_num!P27)</f>
        <v>0</v>
      </c>
      <c r="Q28" s="146">
        <f>IF(SER_hh_fec!Q27=0,0,11630*1000*SER_hh_fec!Q27/SER_hh_num!Q27)</f>
        <v>0</v>
      </c>
      <c r="R28" s="146">
        <f>IF(SER_hh_fec!R27=0,0,11630*1000*SER_hh_fec!R27/SER_hh_num!R27)</f>
        <v>0</v>
      </c>
      <c r="S28" s="146">
        <f>IF(SER_hh_fec!S27=0,0,11630*1000*SER_hh_fec!S27/SER_hh_num!S27)</f>
        <v>0</v>
      </c>
      <c r="T28" s="146">
        <f>IF(SER_hh_fec!T27=0,0,11630*1000*SER_hh_fec!T27/SER_hh_num!T27)</f>
        <v>0</v>
      </c>
      <c r="U28" s="146">
        <f>IF(SER_hh_fec!U27=0,0,11630*1000*SER_hh_fec!U27/SER_hh_num!U27)</f>
        <v>0</v>
      </c>
      <c r="V28" s="146">
        <f>IF(SER_hh_fec!V27=0,0,11630*1000*SER_hh_fec!V27/SER_hh_num!V27)</f>
        <v>0</v>
      </c>
      <c r="W28" s="146">
        <f>IF(SER_hh_fec!W27=0,0,11630*1000*SER_hh_fec!W27/SER_hh_num!W27)</f>
        <v>0</v>
      </c>
      <c r="X28" s="146">
        <f>IF(SER_hh_fec!X27=0,0,11630*1000*SER_hh_fec!X27/SER_hh_num!X27)</f>
        <v>0</v>
      </c>
      <c r="Y28" s="146">
        <f>IF(SER_hh_fec!Y27=0,0,11630*1000*SER_hh_fec!Y27/SER_hh_num!Y27)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25438.212775797816</v>
      </c>
      <c r="C29" s="130">
        <f>IF(SER_hh_fec!C29=0,0,11630*1000*SER_hh_fec!C29/SER_hh_num!C29)</f>
        <v>25821.293871572103</v>
      </c>
      <c r="D29" s="130">
        <f>IF(SER_hh_fec!D29=0,0,11630*1000*SER_hh_fec!D29/SER_hh_num!D29)</f>
        <v>25630.237397582314</v>
      </c>
      <c r="E29" s="130">
        <f>IF(SER_hh_fec!E29=0,0,11630*1000*SER_hh_fec!E29/SER_hh_num!E29)</f>
        <v>25995.872419906023</v>
      </c>
      <c r="F29" s="130">
        <f>IF(SER_hh_fec!F29=0,0,11630*1000*SER_hh_fec!F29/SER_hh_num!F29)</f>
        <v>25806.897597378484</v>
      </c>
      <c r="G29" s="130">
        <f>IF(SER_hh_fec!G29=0,0,11630*1000*SER_hh_fec!G29/SER_hh_num!G29)</f>
        <v>26331.636854976623</v>
      </c>
      <c r="H29" s="130">
        <f>IF(SER_hh_fec!H29=0,0,11630*1000*SER_hh_fec!H29/SER_hh_num!H29)</f>
        <v>25609.091262942311</v>
      </c>
      <c r="I29" s="130">
        <f>IF(SER_hh_fec!I29=0,0,11630*1000*SER_hh_fec!I29/SER_hh_num!I29)</f>
        <v>25394.415156370422</v>
      </c>
      <c r="J29" s="130">
        <f>IF(SER_hh_fec!J29=0,0,11630*1000*SER_hh_fec!J29/SER_hh_num!J29)</f>
        <v>26281.553549433393</v>
      </c>
      <c r="K29" s="130">
        <f>IF(SER_hh_fec!K29=0,0,11630*1000*SER_hh_fec!K29/SER_hh_num!K29)</f>
        <v>27349.807061786811</v>
      </c>
      <c r="L29" s="130">
        <f>IF(SER_hh_fec!L29=0,0,11630*1000*SER_hh_fec!L29/SER_hh_num!L29)</f>
        <v>27737.234247422348</v>
      </c>
      <c r="M29" s="130">
        <f>IF(SER_hh_fec!M29=0,0,11630*1000*SER_hh_fec!M29/SER_hh_num!M29)</f>
        <v>27932.500113372833</v>
      </c>
      <c r="N29" s="130">
        <f>IF(SER_hh_fec!N29=0,0,11630*1000*SER_hh_fec!N29/SER_hh_num!N29)</f>
        <v>27564.27783690071</v>
      </c>
      <c r="O29" s="130">
        <f>IF(SER_hh_fec!O29=0,0,11630*1000*SER_hh_fec!O29/SER_hh_num!O29)</f>
        <v>28106.561701208237</v>
      </c>
      <c r="P29" s="130">
        <f>IF(SER_hh_fec!P29=0,0,11630*1000*SER_hh_fec!P29/SER_hh_num!P29)</f>
        <v>27684.483114084851</v>
      </c>
      <c r="Q29" s="130">
        <f>IF(SER_hh_fec!Q29=0,0,11630*1000*SER_hh_fec!Q29/SER_hh_num!Q29)</f>
        <v>27325.36507459444</v>
      </c>
      <c r="R29" s="130">
        <f>IF(SER_hh_fec!R29=0,0,11630*1000*SER_hh_fec!R29/SER_hh_num!R29)</f>
        <v>27356.999073465497</v>
      </c>
      <c r="S29" s="130">
        <f>IF(SER_hh_fec!S29=0,0,11630*1000*SER_hh_fec!S29/SER_hh_num!S29)</f>
        <v>27554.491092513759</v>
      </c>
      <c r="T29" s="130">
        <f>IF(SER_hh_fec!T29=0,0,11630*1000*SER_hh_fec!T29/SER_hh_num!T29)</f>
        <v>26951.882947812337</v>
      </c>
      <c r="U29" s="130">
        <f>IF(SER_hh_fec!U29=0,0,11630*1000*SER_hh_fec!U29/SER_hh_num!U29)</f>
        <v>27026.465748770446</v>
      </c>
      <c r="V29" s="130">
        <f>IF(SER_hh_fec!V29=0,0,11630*1000*SER_hh_fec!V29/SER_hh_num!V29)</f>
        <v>24960.687369122701</v>
      </c>
      <c r="W29" s="130">
        <f>IF(SER_hh_fec!W29=0,0,11630*1000*SER_hh_fec!W29/SER_hh_num!W29)</f>
        <v>27478.994501391968</v>
      </c>
      <c r="X29" s="130">
        <f>IF(SER_hh_fec!X29=0,0,11630*1000*SER_hh_fec!X29/SER_hh_num!X29)</f>
        <v>29379.131140040769</v>
      </c>
      <c r="Y29" s="130">
        <f>IF(SER_hh_fec!Y29=0,0,11630*1000*SER_hh_fec!Y29/SER_hh_num!Y29)</f>
        <v>32565.022214590255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0</v>
      </c>
      <c r="C30" s="132">
        <f>IF(SER_hh_fec!C30=0,0,11630*1000*SER_hh_fec!C30/SER_hh_num!C30)</f>
        <v>0</v>
      </c>
      <c r="D30" s="132">
        <f>IF(SER_hh_fec!D30=0,0,11630*1000*SER_hh_fec!D30/SER_hh_num!D30)</f>
        <v>0</v>
      </c>
      <c r="E30" s="132">
        <f>IF(SER_hh_fec!E30=0,0,11630*1000*SER_hh_fec!E30/SER_hh_num!E30)</f>
        <v>0</v>
      </c>
      <c r="F30" s="132">
        <f>IF(SER_hh_fec!F30=0,0,11630*1000*SER_hh_fec!F30/SER_hh_num!F30)</f>
        <v>43814.681446326613</v>
      </c>
      <c r="G30" s="132">
        <f>IF(SER_hh_fec!G30=0,0,11630*1000*SER_hh_fec!G30/SER_hh_num!G30)</f>
        <v>34228.370749856629</v>
      </c>
      <c r="H30" s="132">
        <f>IF(SER_hh_fec!H30=0,0,11630*1000*SER_hh_fec!H30/SER_hh_num!H30)</f>
        <v>30742.108442672936</v>
      </c>
      <c r="I30" s="132">
        <f>IF(SER_hh_fec!I30=0,0,11630*1000*SER_hh_fec!I30/SER_hh_num!I30)</f>
        <v>31007.943304865119</v>
      </c>
      <c r="J30" s="132">
        <f>IF(SER_hh_fec!J30=0,0,11630*1000*SER_hh_fec!J30/SER_hh_num!J30)</f>
        <v>31755.656393817495</v>
      </c>
      <c r="K30" s="132">
        <f>IF(SER_hh_fec!K30=0,0,11630*1000*SER_hh_fec!K30/SER_hh_num!K30)</f>
        <v>32787.78096645703</v>
      </c>
      <c r="L30" s="132">
        <f>IF(SER_hh_fec!L30=0,0,11630*1000*SER_hh_fec!L30/SER_hh_num!L30)</f>
        <v>33233.449174035981</v>
      </c>
      <c r="M30" s="132">
        <f>IF(SER_hh_fec!M30=0,0,11630*1000*SER_hh_fec!M30/SER_hh_num!M30)</f>
        <v>33610.816058810662</v>
      </c>
      <c r="N30" s="132">
        <f>IF(SER_hh_fec!N30=0,0,11630*1000*SER_hh_fec!N30/SER_hh_num!N30)</f>
        <v>33896.018566276689</v>
      </c>
      <c r="O30" s="132">
        <f>IF(SER_hh_fec!O30=0,0,11630*1000*SER_hh_fec!O30/SER_hh_num!O30)</f>
        <v>33968.380048604122</v>
      </c>
      <c r="P30" s="132">
        <f>IF(SER_hh_fec!P30=0,0,11630*1000*SER_hh_fec!P30/SER_hh_num!P30)</f>
        <v>30654.257450088313</v>
      </c>
      <c r="Q30" s="132">
        <f>IF(SER_hh_fec!Q30=0,0,11630*1000*SER_hh_fec!Q30/SER_hh_num!Q30)</f>
        <v>23953.291012788643</v>
      </c>
      <c r="R30" s="132">
        <f>IF(SER_hh_fec!R30=0,0,11630*1000*SER_hh_fec!R30/SER_hh_num!R30)</f>
        <v>37091.718114646093</v>
      </c>
      <c r="S30" s="132">
        <f>IF(SER_hh_fec!S30=0,0,11630*1000*SER_hh_fec!S30/SER_hh_num!S30)</f>
        <v>54671.477434684464</v>
      </c>
      <c r="T30" s="132">
        <f>IF(SER_hh_fec!T30=0,0,11630*1000*SER_hh_fec!T30/SER_hh_num!T30)</f>
        <v>17096.478878120117</v>
      </c>
      <c r="U30" s="132">
        <f>IF(SER_hh_fec!U30=0,0,11630*1000*SER_hh_fec!U30/SER_hh_num!U30)</f>
        <v>35401.320127844592</v>
      </c>
      <c r="V30" s="132">
        <f>IF(SER_hh_fec!V30=0,0,11630*1000*SER_hh_fec!V30/SER_hh_num!V30)</f>
        <v>40223.037822403814</v>
      </c>
      <c r="W30" s="132">
        <f>IF(SER_hh_fec!W30=0,0,11630*1000*SER_hh_fec!W30/SER_hh_num!W30)</f>
        <v>25231.902432588729</v>
      </c>
      <c r="X30" s="132">
        <f>IF(SER_hh_fec!X30=0,0,11630*1000*SER_hh_fec!X30/SER_hh_num!X30)</f>
        <v>34299.499378199216</v>
      </c>
      <c r="Y30" s="132">
        <f>IF(SER_hh_fec!Y30=0,0,11630*1000*SER_hh_fec!Y30/SER_hh_num!Y30)</f>
        <v>48801.346710176986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18670.534116892908</v>
      </c>
      <c r="C31" s="132">
        <f>IF(SER_hh_fec!C31=0,0,11630*1000*SER_hh_fec!C31/SER_hh_num!C31)</f>
        <v>34859.80488400891</v>
      </c>
      <c r="D31" s="132">
        <f>IF(SER_hh_fec!D31=0,0,11630*1000*SER_hh_fec!D31/SER_hh_num!D31)</f>
        <v>37501.645345193901</v>
      </c>
      <c r="E31" s="132">
        <f>IF(SER_hh_fec!E31=0,0,11630*1000*SER_hh_fec!E31/SER_hh_num!E31)</f>
        <v>33841.662979734669</v>
      </c>
      <c r="F31" s="132">
        <f>IF(SER_hh_fec!F31=0,0,11630*1000*SER_hh_fec!F31/SER_hh_num!F31)</f>
        <v>32651.410844590479</v>
      </c>
      <c r="G31" s="132">
        <f>IF(SER_hh_fec!G31=0,0,11630*1000*SER_hh_fec!G31/SER_hh_num!G31)</f>
        <v>32788.986566186759</v>
      </c>
      <c r="H31" s="132">
        <f>IF(SER_hh_fec!H31=0,0,11630*1000*SER_hh_fec!H31/SER_hh_num!H31)</f>
        <v>32542.364346778417</v>
      </c>
      <c r="I31" s="132">
        <f>IF(SER_hh_fec!I31=0,0,11630*1000*SER_hh_fec!I31/SER_hh_num!I31)</f>
        <v>33161.242830016869</v>
      </c>
      <c r="J31" s="132">
        <f>IF(SER_hh_fec!J31=0,0,11630*1000*SER_hh_fec!J31/SER_hh_num!J31)</f>
        <v>33935.737105792155</v>
      </c>
      <c r="K31" s="132">
        <f>IF(SER_hh_fec!K31=0,0,11630*1000*SER_hh_fec!K31/SER_hh_num!K31)</f>
        <v>32865.519277552521</v>
      </c>
      <c r="L31" s="132">
        <f>IF(SER_hh_fec!L31=0,0,11630*1000*SER_hh_fec!L31/SER_hh_num!L31)</f>
        <v>34972.140191337152</v>
      </c>
      <c r="M31" s="132">
        <f>IF(SER_hh_fec!M31=0,0,11630*1000*SER_hh_fec!M31/SER_hh_num!M31)</f>
        <v>35297.838170109069</v>
      </c>
      <c r="N31" s="132">
        <f>IF(SER_hh_fec!N31=0,0,11630*1000*SER_hh_fec!N31/SER_hh_num!N31)</f>
        <v>36161.465636017274</v>
      </c>
      <c r="O31" s="132">
        <f>IF(SER_hh_fec!O31=0,0,11630*1000*SER_hh_fec!O31/SER_hh_num!O31)</f>
        <v>35775.122159373022</v>
      </c>
      <c r="P31" s="132">
        <f>IF(SER_hh_fec!P31=0,0,11630*1000*SER_hh_fec!P31/SER_hh_num!P31)</f>
        <v>33894.052298155162</v>
      </c>
      <c r="Q31" s="132">
        <f>IF(SER_hh_fec!Q31=0,0,11630*1000*SER_hh_fec!Q31/SER_hh_num!Q31)</f>
        <v>31799.391792817227</v>
      </c>
      <c r="R31" s="132">
        <f>IF(SER_hh_fec!R31=0,0,11630*1000*SER_hh_fec!R31/SER_hh_num!R31)</f>
        <v>38159.896291161982</v>
      </c>
      <c r="S31" s="132">
        <f>IF(SER_hh_fec!S31=0,0,11630*1000*SER_hh_fec!S31/SER_hh_num!S31)</f>
        <v>33795.741177782067</v>
      </c>
      <c r="T31" s="132">
        <f>IF(SER_hh_fec!T31=0,0,11630*1000*SER_hh_fec!T31/SER_hh_num!T31)</f>
        <v>33666.48575581875</v>
      </c>
      <c r="U31" s="132">
        <f>IF(SER_hh_fec!U31=0,0,11630*1000*SER_hh_fec!U31/SER_hh_num!U31)</f>
        <v>38823.019416538271</v>
      </c>
      <c r="V31" s="132">
        <f>IF(SER_hh_fec!V31=0,0,11630*1000*SER_hh_fec!V31/SER_hh_num!V31)</f>
        <v>38016.094127157201</v>
      </c>
      <c r="W31" s="132">
        <f>IF(SER_hh_fec!W31=0,0,11630*1000*SER_hh_fec!W31/SER_hh_num!W31)</f>
        <v>38793.64797010777</v>
      </c>
      <c r="X31" s="132">
        <f>IF(SER_hh_fec!X31=0,0,11630*1000*SER_hh_fec!X31/SER_hh_num!X31)</f>
        <v>37762.393521473932</v>
      </c>
      <c r="Y31" s="132">
        <f>IF(SER_hh_fec!Y31=0,0,11630*1000*SER_hh_fec!Y31/SER_hh_num!Y31)</f>
        <v>42219.381624463756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25800.675085180734</v>
      </c>
      <c r="C33" s="68">
        <f>IF(SER_hh_fec!C33=0,0,11630*1000*SER_hh_fec!C33/SER_hh_num!C33)</f>
        <v>24969.801173134754</v>
      </c>
      <c r="D33" s="68">
        <f>IF(SER_hh_fec!D33=0,0,11630*1000*SER_hh_fec!D33/SER_hh_num!D33)</f>
        <v>24162.636760910904</v>
      </c>
      <c r="E33" s="68">
        <f>IF(SER_hh_fec!E33=0,0,11630*1000*SER_hh_fec!E33/SER_hh_num!E33)</f>
        <v>24939.216502960786</v>
      </c>
      <c r="F33" s="68">
        <f>IF(SER_hh_fec!F33=0,0,11630*1000*SER_hh_fec!F33/SER_hh_num!F33)</f>
        <v>24461.074255399835</v>
      </c>
      <c r="G33" s="68">
        <f>IF(SER_hh_fec!G33=0,0,11630*1000*SER_hh_fec!G33/SER_hh_num!G33)</f>
        <v>25291.96897347967</v>
      </c>
      <c r="H33" s="68">
        <f>IF(SER_hh_fec!H33=0,0,11630*1000*SER_hh_fec!H33/SER_hh_num!H33)</f>
        <v>24649.662298084215</v>
      </c>
      <c r="I33" s="68">
        <f>IF(SER_hh_fec!I33=0,0,11630*1000*SER_hh_fec!I33/SER_hh_num!I33)</f>
        <v>24398.80230560022</v>
      </c>
      <c r="J33" s="68">
        <f>IF(SER_hh_fec!J33=0,0,11630*1000*SER_hh_fec!J33/SER_hh_num!J33)</f>
        <v>25333.987768883573</v>
      </c>
      <c r="K33" s="68">
        <f>IF(SER_hh_fec!K33=0,0,11630*1000*SER_hh_fec!K33/SER_hh_num!K33)</f>
        <v>26662.17995712909</v>
      </c>
      <c r="L33" s="68">
        <f>IF(SER_hh_fec!L33=0,0,11630*1000*SER_hh_fec!L33/SER_hh_num!L33)</f>
        <v>26894.66106596668</v>
      </c>
      <c r="M33" s="68">
        <f>IF(SER_hh_fec!M33=0,0,11630*1000*SER_hh_fec!M33/SER_hh_num!M33)</f>
        <v>27089.978286052065</v>
      </c>
      <c r="N33" s="68">
        <f>IF(SER_hh_fec!N33=0,0,11630*1000*SER_hh_fec!N33/SER_hh_num!N33)</f>
        <v>26573.349585520216</v>
      </c>
      <c r="O33" s="68">
        <f>IF(SER_hh_fec!O33=0,0,11630*1000*SER_hh_fec!O33/SER_hh_num!O33)</f>
        <v>27208.147065257941</v>
      </c>
      <c r="P33" s="68">
        <f>IF(SER_hh_fec!P33=0,0,11630*1000*SER_hh_fec!P33/SER_hh_num!P33)</f>
        <v>26957.341701847159</v>
      </c>
      <c r="Q33" s="68">
        <f>IF(SER_hh_fec!Q33=0,0,11630*1000*SER_hh_fec!Q33/SER_hh_num!Q33)</f>
        <v>26935.109223984236</v>
      </c>
      <c r="R33" s="68">
        <f>IF(SER_hh_fec!R33=0,0,11630*1000*SER_hh_fec!R33/SER_hh_num!R33)</f>
        <v>25482.127373616433</v>
      </c>
      <c r="S33" s="68">
        <f>IF(SER_hh_fec!S33=0,0,11630*1000*SER_hh_fec!S33/SER_hh_num!S33)</f>
        <v>25422.628145351686</v>
      </c>
      <c r="T33" s="68">
        <f>IF(SER_hh_fec!T33=0,0,11630*1000*SER_hh_fec!T33/SER_hh_num!T33)</f>
        <v>26336.70082474345</v>
      </c>
      <c r="U33" s="68">
        <f>IF(SER_hh_fec!U33=0,0,11630*1000*SER_hh_fec!U33/SER_hh_num!U33)</f>
        <v>24701.581723789797</v>
      </c>
      <c r="V33" s="68">
        <f>IF(SER_hh_fec!V33=0,0,11630*1000*SER_hh_fec!V33/SER_hh_num!V33)</f>
        <v>22240.939721714298</v>
      </c>
      <c r="W33" s="68">
        <f>IF(SER_hh_fec!W33=0,0,11630*1000*SER_hh_fec!W33/SER_hh_num!W33)</f>
        <v>25891.336708916355</v>
      </c>
      <c r="X33" s="68">
        <f>IF(SER_hh_fec!X33=0,0,11630*1000*SER_hh_fec!X33/SER_hh_num!X33)</f>
        <v>28091.023883632708</v>
      </c>
      <c r="Y33" s="68">
        <f>IF(SER_hh_fec!Y33=0,0,11630*1000*SER_hh_fec!Y33/SER_hh_num!Y33)</f>
        <v>30558.036936180357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136619.89502306635</v>
      </c>
      <c r="C3" s="125">
        <f>IF(SER_hh_tes!C3=0,0,11630*1000*SER_hh_tes!C3/SER_hh_num!C3)</f>
        <v>128489.13589842779</v>
      </c>
      <c r="D3" s="125">
        <f>IF(SER_hh_tes!D3=0,0,11630*1000*SER_hh_tes!D3/SER_hh_num!D3)</f>
        <v>128446.32890246389</v>
      </c>
      <c r="E3" s="125">
        <f>IF(SER_hh_tes!E3=0,0,11630*1000*SER_hh_tes!E3/SER_hh_num!E3)</f>
        <v>139711.59851564839</v>
      </c>
      <c r="F3" s="125">
        <f>IF(SER_hh_tes!F3=0,0,11630*1000*SER_hh_tes!F3/SER_hh_num!F3)</f>
        <v>156459.93962338293</v>
      </c>
      <c r="G3" s="125">
        <f>IF(SER_hh_tes!G3=0,0,11630*1000*SER_hh_tes!G3/SER_hh_num!G3)</f>
        <v>155376.83060553035</v>
      </c>
      <c r="H3" s="125">
        <f>IF(SER_hh_tes!H3=0,0,11630*1000*SER_hh_tes!H3/SER_hh_num!H3)</f>
        <v>149009.79495951792</v>
      </c>
      <c r="I3" s="125">
        <f>IF(SER_hh_tes!I3=0,0,11630*1000*SER_hh_tes!I3/SER_hh_num!I3)</f>
        <v>149325.75753225025</v>
      </c>
      <c r="J3" s="125">
        <f>IF(SER_hh_tes!J3=0,0,11630*1000*SER_hh_tes!J3/SER_hh_num!J3)</f>
        <v>167030.16483772764</v>
      </c>
      <c r="K3" s="125">
        <f>IF(SER_hh_tes!K3=0,0,11630*1000*SER_hh_tes!K3/SER_hh_num!K3)</f>
        <v>163954.37960393674</v>
      </c>
      <c r="L3" s="125">
        <f>IF(SER_hh_tes!L3=0,0,11630*1000*SER_hh_tes!L3/SER_hh_num!L3)</f>
        <v>166314.02460315684</v>
      </c>
      <c r="M3" s="125">
        <f>IF(SER_hh_tes!M3=0,0,11630*1000*SER_hh_tes!M3/SER_hh_num!M3)</f>
        <v>148536.56244169016</v>
      </c>
      <c r="N3" s="125">
        <f>IF(SER_hh_tes!N3=0,0,11630*1000*SER_hh_tes!N3/SER_hh_num!N3)</f>
        <v>158219.37075912219</v>
      </c>
      <c r="O3" s="125">
        <f>IF(SER_hh_tes!O3=0,0,11630*1000*SER_hh_tes!O3/SER_hh_num!O3)</f>
        <v>154076.98850756616</v>
      </c>
      <c r="P3" s="125">
        <f>IF(SER_hh_tes!P3=0,0,11630*1000*SER_hh_tes!P3/SER_hh_num!P3)</f>
        <v>170015.29882933601</v>
      </c>
      <c r="Q3" s="125">
        <f>IF(SER_hh_tes!Q3=0,0,11630*1000*SER_hh_tes!Q3/SER_hh_num!Q3)</f>
        <v>169144.47030890529</v>
      </c>
      <c r="R3" s="125">
        <f>IF(SER_hh_tes!R3=0,0,11630*1000*SER_hh_tes!R3/SER_hh_num!R3)</f>
        <v>184443.56136601564</v>
      </c>
      <c r="S3" s="125">
        <f>IF(SER_hh_tes!S3=0,0,11630*1000*SER_hh_tes!S3/SER_hh_num!S3)</f>
        <v>168854.38643197832</v>
      </c>
      <c r="T3" s="125">
        <f>IF(SER_hh_tes!T3=0,0,11630*1000*SER_hh_tes!T3/SER_hh_num!T3)</f>
        <v>180403.25283836544</v>
      </c>
      <c r="U3" s="125">
        <f>IF(SER_hh_tes!U3=0,0,11630*1000*SER_hh_tes!U3/SER_hh_num!U3)</f>
        <v>168435.94173111022</v>
      </c>
      <c r="V3" s="125">
        <f>IF(SER_hh_tes!V3=0,0,11630*1000*SER_hh_tes!V3/SER_hh_num!V3)</f>
        <v>171617.43037026987</v>
      </c>
      <c r="W3" s="125">
        <f>IF(SER_hh_tes!W3=0,0,11630*1000*SER_hh_tes!W3/SER_hh_num!W3)</f>
        <v>189849.36437733038</v>
      </c>
      <c r="X3" s="125">
        <f>IF(SER_hh_tes!X3=0,0,11630*1000*SER_hh_tes!X3/SER_hh_num!X3)</f>
        <v>166490.8673292528</v>
      </c>
      <c r="Y3" s="125">
        <f>IF(SER_hh_tes!Y3=0,0,11630*1000*SER_hh_tes!Y3/SER_hh_num!Y3)</f>
        <v>154566.06704935321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100376.11999341894</v>
      </c>
      <c r="C4" s="130">
        <f>IF(SER_hh_tes!C4=0,0,11630*1000*SER_hh_tes!C4/SER_hh_num!C4)</f>
        <v>92543.975125702724</v>
      </c>
      <c r="D4" s="130">
        <f>IF(SER_hh_tes!D4=0,0,11630*1000*SER_hh_tes!D4/SER_hh_num!D4)</f>
        <v>93203.807728929634</v>
      </c>
      <c r="E4" s="130">
        <f>IF(SER_hh_tes!E4=0,0,11630*1000*SER_hh_tes!E4/SER_hh_num!E4)</f>
        <v>104134.66842681137</v>
      </c>
      <c r="F4" s="130">
        <f>IF(SER_hh_tes!F4=0,0,11630*1000*SER_hh_tes!F4/SER_hh_num!F4)</f>
        <v>121494.68868505608</v>
      </c>
      <c r="G4" s="130">
        <f>IF(SER_hh_tes!G4=0,0,11630*1000*SER_hh_tes!G4/SER_hh_num!G4)</f>
        <v>119758.25385622183</v>
      </c>
      <c r="H4" s="130">
        <f>IF(SER_hh_tes!H4=0,0,11630*1000*SER_hh_tes!H4/SER_hh_num!H4)</f>
        <v>114075.08132473814</v>
      </c>
      <c r="I4" s="130">
        <f>IF(SER_hh_tes!I4=0,0,11630*1000*SER_hh_tes!I4/SER_hh_num!I4)</f>
        <v>115027.73856225891</v>
      </c>
      <c r="J4" s="130">
        <f>IF(SER_hh_tes!J4=0,0,11630*1000*SER_hh_tes!J4/SER_hh_num!J4)</f>
        <v>131636.80421780163</v>
      </c>
      <c r="K4" s="130">
        <f>IF(SER_hh_tes!K4=0,0,11630*1000*SER_hh_tes!K4/SER_hh_num!K4)</f>
        <v>127587.82041567288</v>
      </c>
      <c r="L4" s="130">
        <f>IF(SER_hh_tes!L4=0,0,11630*1000*SER_hh_tes!L4/SER_hh_num!L4)</f>
        <v>129359.16751885452</v>
      </c>
      <c r="M4" s="130">
        <f>IF(SER_hh_tes!M4=0,0,11630*1000*SER_hh_tes!M4/SER_hh_num!M4)</f>
        <v>111079.49560569244</v>
      </c>
      <c r="N4" s="130">
        <f>IF(SER_hh_tes!N4=0,0,11630*1000*SER_hh_tes!N4/SER_hh_num!N4)</f>
        <v>120963.77760439897</v>
      </c>
      <c r="O4" s="130">
        <f>IF(SER_hh_tes!O4=0,0,11630*1000*SER_hh_tes!O4/SER_hh_num!O4)</f>
        <v>116240.27202754802</v>
      </c>
      <c r="P4" s="130">
        <f>IF(SER_hh_tes!P4=0,0,11630*1000*SER_hh_tes!P4/SER_hh_num!P4)</f>
        <v>132285.2680285761</v>
      </c>
      <c r="Q4" s="130">
        <f>IF(SER_hh_tes!Q4=0,0,11630*1000*SER_hh_tes!Q4/SER_hh_num!Q4)</f>
        <v>131252.8430194394</v>
      </c>
      <c r="R4" s="130">
        <f>IF(SER_hh_tes!R4=0,0,11630*1000*SER_hh_tes!R4/SER_hh_num!R4)</f>
        <v>146868.13352053528</v>
      </c>
      <c r="S4" s="130">
        <f>IF(SER_hh_tes!S4=0,0,11630*1000*SER_hh_tes!S4/SER_hh_num!S4)</f>
        <v>130866.7375371802</v>
      </c>
      <c r="T4" s="130">
        <f>IF(SER_hh_tes!T4=0,0,11630*1000*SER_hh_tes!T4/SER_hh_num!T4)</f>
        <v>142158.234024932</v>
      </c>
      <c r="U4" s="130">
        <f>IF(SER_hh_tes!U4=0,0,11630*1000*SER_hh_tes!U4/SER_hh_num!U4)</f>
        <v>129838.33182851781</v>
      </c>
      <c r="V4" s="130">
        <f>IF(SER_hh_tes!V4=0,0,11630*1000*SER_hh_tes!V4/SER_hh_num!V4)</f>
        <v>135084.78661972392</v>
      </c>
      <c r="W4" s="130">
        <f>IF(SER_hh_tes!W4=0,0,11630*1000*SER_hh_tes!W4/SER_hh_num!W4)</f>
        <v>149322.57318415723</v>
      </c>
      <c r="X4" s="130">
        <f>IF(SER_hh_tes!X4=0,0,11630*1000*SER_hh_tes!X4/SER_hh_num!X4)</f>
        <v>123517.01992127557</v>
      </c>
      <c r="Y4" s="130">
        <f>IF(SER_hh_tes!Y4=0,0,11630*1000*SER_hh_tes!Y4/SER_hh_num!Y4)</f>
        <v>107263.37479336897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86282.30927971215</v>
      </c>
      <c r="C5" s="132">
        <f>IF(SER_hh_tes!C5=0,0,11630*1000*SER_hh_tes!C5/SER_hh_num!C5)</f>
        <v>106970.12925850885</v>
      </c>
      <c r="D5" s="132">
        <f>IF(SER_hh_tes!D5=0,0,11630*1000*SER_hh_tes!D5/SER_hh_num!D5)</f>
        <v>93650.612254289343</v>
      </c>
      <c r="E5" s="132">
        <f>IF(SER_hh_tes!E5=0,0,11630*1000*SER_hh_tes!E5/SER_hh_num!E5)</f>
        <v>103519.52823977609</v>
      </c>
      <c r="F5" s="132">
        <f>IF(SER_hh_tes!F5=0,0,11630*1000*SER_hh_tes!F5/SER_hh_num!F5)</f>
        <v>111433.75785147451</v>
      </c>
      <c r="G5" s="132">
        <f>IF(SER_hh_tes!G5=0,0,11630*1000*SER_hh_tes!G5/SER_hh_num!G5)</f>
        <v>137097.2206382826</v>
      </c>
      <c r="H5" s="132">
        <f>IF(SER_hh_tes!H5=0,0,11630*1000*SER_hh_tes!H5/SER_hh_num!H5)</f>
        <v>100904.10588232183</v>
      </c>
      <c r="I5" s="132">
        <f>IF(SER_hh_tes!I5=0,0,11630*1000*SER_hh_tes!I5/SER_hh_num!I5)</f>
        <v>127430.11311054774</v>
      </c>
      <c r="J5" s="132">
        <f>IF(SER_hh_tes!J5=0,0,11630*1000*SER_hh_tes!J5/SER_hh_num!J5)</f>
        <v>115987.59971922264</v>
      </c>
      <c r="K5" s="132">
        <f>IF(SER_hh_tes!K5=0,0,11630*1000*SER_hh_tes!K5/SER_hh_num!K5)</f>
        <v>116572.8012359319</v>
      </c>
      <c r="L5" s="132">
        <f>IF(SER_hh_tes!L5=0,0,11630*1000*SER_hh_tes!L5/SER_hh_num!L5)</f>
        <v>121525.39495981697</v>
      </c>
      <c r="M5" s="132">
        <f>IF(SER_hh_tes!M5=0,0,11630*1000*SER_hh_tes!M5/SER_hh_num!M5)</f>
        <v>90709.839605716013</v>
      </c>
      <c r="N5" s="132">
        <f>IF(SER_hh_tes!N5=0,0,11630*1000*SER_hh_tes!N5/SER_hh_num!N5)</f>
        <v>107025.39036074778</v>
      </c>
      <c r="O5" s="132">
        <f>IF(SER_hh_tes!O5=0,0,11630*1000*SER_hh_tes!O5/SER_hh_num!O5)</f>
        <v>173674.5813541048</v>
      </c>
      <c r="P5" s="132">
        <f>IF(SER_hh_tes!P5=0,0,11630*1000*SER_hh_tes!P5/SER_hh_num!P5)</f>
        <v>114209.63893760904</v>
      </c>
      <c r="Q5" s="132">
        <f>IF(SER_hh_tes!Q5=0,0,11630*1000*SER_hh_tes!Q5/SER_hh_num!Q5)</f>
        <v>114412.5944058646</v>
      </c>
      <c r="R5" s="132">
        <f>IF(SER_hh_tes!R5=0,0,11630*1000*SER_hh_tes!R5/SER_hh_num!R5)</f>
        <v>176165.70875397552</v>
      </c>
      <c r="S5" s="132">
        <f>IF(SER_hh_tes!S5=0,0,11630*1000*SER_hh_tes!S5/SER_hh_num!S5)</f>
        <v>103604.62636434533</v>
      </c>
      <c r="T5" s="132">
        <f>IF(SER_hh_tes!T5=0,0,11630*1000*SER_hh_tes!T5/SER_hh_num!T5)</f>
        <v>127122.63364482729</v>
      </c>
      <c r="U5" s="132">
        <f>IF(SER_hh_tes!U5=0,0,11630*1000*SER_hh_tes!U5/SER_hh_num!U5)</f>
        <v>128656.86887026187</v>
      </c>
      <c r="V5" s="132">
        <f>IF(SER_hh_tes!V5=0,0,11630*1000*SER_hh_tes!V5/SER_hh_num!V5)</f>
        <v>137847.52462741407</v>
      </c>
      <c r="W5" s="132">
        <f>IF(SER_hh_tes!W5=0,0,11630*1000*SER_hh_tes!W5/SER_hh_num!W5)</f>
        <v>143367.73457495446</v>
      </c>
      <c r="X5" s="132">
        <f>IF(SER_hh_tes!X5=0,0,11630*1000*SER_hh_tes!X5/SER_hh_num!X5)</f>
        <v>143969.39099636083</v>
      </c>
      <c r="Y5" s="132">
        <f>IF(SER_hh_tes!Y5=0,0,11630*1000*SER_hh_tes!Y5/SER_hh_num!Y5)</f>
        <v>84046.379716315205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84635.274139838599</v>
      </c>
      <c r="C7" s="132">
        <f>IF(SER_hh_tes!C7=0,0,11630*1000*SER_hh_tes!C7/SER_hh_num!C7)</f>
        <v>110928.47303709738</v>
      </c>
      <c r="D7" s="132">
        <f>IF(SER_hh_tes!D7=0,0,11630*1000*SER_hh_tes!D7/SER_hh_num!D7)</f>
        <v>87013.625353035022</v>
      </c>
      <c r="E7" s="132">
        <f>IF(SER_hh_tes!E7=0,0,11630*1000*SER_hh_tes!E7/SER_hh_num!E7)</f>
        <v>92943.514122104811</v>
      </c>
      <c r="F7" s="132">
        <f>IF(SER_hh_tes!F7=0,0,11630*1000*SER_hh_tes!F7/SER_hh_num!F7)</f>
        <v>108902.92664718707</v>
      </c>
      <c r="G7" s="132">
        <f>IF(SER_hh_tes!G7=0,0,11630*1000*SER_hh_tes!G7/SER_hh_num!G7)</f>
        <v>128125.39786026668</v>
      </c>
      <c r="H7" s="132">
        <f>IF(SER_hh_tes!H7=0,0,11630*1000*SER_hh_tes!H7/SER_hh_num!H7)</f>
        <v>105134.33815252551</v>
      </c>
      <c r="I7" s="132">
        <f>IF(SER_hh_tes!I7=0,0,11630*1000*SER_hh_tes!I7/SER_hh_num!I7)</f>
        <v>118334.65656542836</v>
      </c>
      <c r="J7" s="132">
        <f>IF(SER_hh_tes!J7=0,0,11630*1000*SER_hh_tes!J7/SER_hh_num!J7)</f>
        <v>126834.99324603903</v>
      </c>
      <c r="K7" s="132">
        <f>IF(SER_hh_tes!K7=0,0,11630*1000*SER_hh_tes!K7/SER_hh_num!K7)</f>
        <v>119178.01128566951</v>
      </c>
      <c r="L7" s="132">
        <f>IF(SER_hh_tes!L7=0,0,11630*1000*SER_hh_tes!L7/SER_hh_num!L7)</f>
        <v>97328.313406719448</v>
      </c>
      <c r="M7" s="132">
        <f>IF(SER_hh_tes!M7=0,0,11630*1000*SER_hh_tes!M7/SER_hh_num!M7)</f>
        <v>126812.04048661124</v>
      </c>
      <c r="N7" s="132">
        <f>IF(SER_hh_tes!N7=0,0,11630*1000*SER_hh_tes!N7/SER_hh_num!N7)</f>
        <v>129361.16928548472</v>
      </c>
      <c r="O7" s="132">
        <f>IF(SER_hh_tes!O7=0,0,11630*1000*SER_hh_tes!O7/SER_hh_num!O7)</f>
        <v>124915.58506522696</v>
      </c>
      <c r="P7" s="132">
        <f>IF(SER_hh_tes!P7=0,0,11630*1000*SER_hh_tes!P7/SER_hh_num!P7)</f>
        <v>112751.31694573558</v>
      </c>
      <c r="Q7" s="132">
        <f>IF(SER_hh_tes!Q7=0,0,11630*1000*SER_hh_tes!Q7/SER_hh_num!Q7)</f>
        <v>139016.3979955801</v>
      </c>
      <c r="R7" s="132">
        <f>IF(SER_hh_tes!R7=0,0,11630*1000*SER_hh_tes!R7/SER_hh_num!R7)</f>
        <v>120133.92217095893</v>
      </c>
      <c r="S7" s="132">
        <f>IF(SER_hh_tes!S7=0,0,11630*1000*SER_hh_tes!S7/SER_hh_num!S7)</f>
        <v>138508.4736950004</v>
      </c>
      <c r="T7" s="132">
        <f>IF(SER_hh_tes!T7=0,0,11630*1000*SER_hh_tes!T7/SER_hh_num!T7)</f>
        <v>149072.56415636285</v>
      </c>
      <c r="U7" s="132">
        <f>IF(SER_hh_tes!U7=0,0,11630*1000*SER_hh_tes!U7/SER_hh_num!U7)</f>
        <v>116822.01121746139</v>
      </c>
      <c r="V7" s="132">
        <f>IF(SER_hh_tes!V7=0,0,11630*1000*SER_hh_tes!V7/SER_hh_num!V7)</f>
        <v>124621.53077680636</v>
      </c>
      <c r="W7" s="132">
        <f>IF(SER_hh_tes!W7=0,0,11630*1000*SER_hh_tes!W7/SER_hh_num!W7)</f>
        <v>126178.32487972613</v>
      </c>
      <c r="X7" s="132">
        <f>IF(SER_hh_tes!X7=0,0,11630*1000*SER_hh_tes!X7/SER_hh_num!X7)</f>
        <v>116905.66972909731</v>
      </c>
      <c r="Y7" s="132">
        <f>IF(SER_hh_tes!Y7=0,0,11630*1000*SER_hh_tes!Y7/SER_hh_num!Y7)</f>
        <v>117071.53549461393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0</v>
      </c>
      <c r="C8" s="132">
        <f>IF(SER_hh_tes!C8=0,0,11630*1000*SER_hh_tes!C8/SER_hh_num!C8)</f>
        <v>0</v>
      </c>
      <c r="D8" s="132">
        <f>IF(SER_hh_tes!D8=0,0,11630*1000*SER_hh_tes!D8/SER_hh_num!D8)</f>
        <v>0</v>
      </c>
      <c r="E8" s="132">
        <f>IF(SER_hh_tes!E8=0,0,11630*1000*SER_hh_tes!E8/SER_hh_num!E8)</f>
        <v>0</v>
      </c>
      <c r="F8" s="132">
        <f>IF(SER_hh_tes!F8=0,0,11630*1000*SER_hh_tes!F8/SER_hh_num!F8)</f>
        <v>0</v>
      </c>
      <c r="G8" s="132">
        <f>IF(SER_hh_tes!G8=0,0,11630*1000*SER_hh_tes!G8/SER_hh_num!G8)</f>
        <v>0</v>
      </c>
      <c r="H8" s="132">
        <f>IF(SER_hh_tes!H8=0,0,11630*1000*SER_hh_tes!H8/SER_hh_num!H8)</f>
        <v>0</v>
      </c>
      <c r="I8" s="132">
        <f>IF(SER_hh_tes!I8=0,0,11630*1000*SER_hh_tes!I8/SER_hh_num!I8)</f>
        <v>0</v>
      </c>
      <c r="J8" s="132">
        <f>IF(SER_hh_tes!J8=0,0,11630*1000*SER_hh_tes!J8/SER_hh_num!J8)</f>
        <v>0</v>
      </c>
      <c r="K8" s="132">
        <f>IF(SER_hh_tes!K8=0,0,11630*1000*SER_hh_tes!K8/SER_hh_num!K8)</f>
        <v>0</v>
      </c>
      <c r="L8" s="132">
        <f>IF(SER_hh_tes!L8=0,0,11630*1000*SER_hh_tes!L8/SER_hh_num!L8)</f>
        <v>0</v>
      </c>
      <c r="M8" s="132">
        <f>IF(SER_hh_tes!M8=0,0,11630*1000*SER_hh_tes!M8/SER_hh_num!M8)</f>
        <v>0</v>
      </c>
      <c r="N8" s="132">
        <f>IF(SER_hh_tes!N8=0,0,11630*1000*SER_hh_tes!N8/SER_hh_num!N8)</f>
        <v>0</v>
      </c>
      <c r="O8" s="132">
        <f>IF(SER_hh_tes!O8=0,0,11630*1000*SER_hh_tes!O8/SER_hh_num!O8)</f>
        <v>0</v>
      </c>
      <c r="P8" s="132">
        <f>IF(SER_hh_tes!P8=0,0,11630*1000*SER_hh_tes!P8/SER_hh_num!P8)</f>
        <v>0</v>
      </c>
      <c r="Q8" s="132">
        <f>IF(SER_hh_tes!Q8=0,0,11630*1000*SER_hh_tes!Q8/SER_hh_num!Q8)</f>
        <v>0</v>
      </c>
      <c r="R8" s="132">
        <f>IF(SER_hh_tes!R8=0,0,11630*1000*SER_hh_tes!R8/SER_hh_num!R8)</f>
        <v>0</v>
      </c>
      <c r="S8" s="132">
        <f>IF(SER_hh_tes!S8=0,0,11630*1000*SER_hh_tes!S8/SER_hh_num!S8)</f>
        <v>0</v>
      </c>
      <c r="T8" s="132">
        <f>IF(SER_hh_tes!T8=0,0,11630*1000*SER_hh_tes!T8/SER_hh_num!T8)</f>
        <v>0</v>
      </c>
      <c r="U8" s="132">
        <f>IF(SER_hh_tes!U8=0,0,11630*1000*SER_hh_tes!U8/SER_hh_num!U8)</f>
        <v>0</v>
      </c>
      <c r="V8" s="132">
        <f>IF(SER_hh_tes!V8=0,0,11630*1000*SER_hh_tes!V8/SER_hh_num!V8)</f>
        <v>0</v>
      </c>
      <c r="W8" s="132">
        <f>IF(SER_hh_tes!W8=0,0,11630*1000*SER_hh_tes!W8/SER_hh_num!W8)</f>
        <v>0</v>
      </c>
      <c r="X8" s="132">
        <f>IF(SER_hh_tes!X8=0,0,11630*1000*SER_hh_tes!X8/SER_hh_num!X8)</f>
        <v>0</v>
      </c>
      <c r="Y8" s="132">
        <f>IF(SER_hh_tes!Y8=0,0,11630*1000*SER_hh_tes!Y8/SER_hh_num!Y8)</f>
        <v>0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70527.753816929791</v>
      </c>
      <c r="C9" s="132">
        <f>IF(SER_hh_tes!C9=0,0,11630*1000*SER_hh_tes!C9/SER_hh_num!C9)</f>
        <v>98221.778724996446</v>
      </c>
      <c r="D9" s="132">
        <f>IF(SER_hh_tes!D9=0,0,11630*1000*SER_hh_tes!D9/SER_hh_num!D9)</f>
        <v>70342.908784356594</v>
      </c>
      <c r="E9" s="132">
        <f>IF(SER_hh_tes!E9=0,0,11630*1000*SER_hh_tes!E9/SER_hh_num!E9)</f>
        <v>140611.02439734296</v>
      </c>
      <c r="F9" s="132">
        <f>IF(SER_hh_tes!F9=0,0,11630*1000*SER_hh_tes!F9/SER_hh_num!F9)</f>
        <v>124930.77903751121</v>
      </c>
      <c r="G9" s="132">
        <f>IF(SER_hh_tes!G9=0,0,11630*1000*SER_hh_tes!G9/SER_hh_num!G9)</f>
        <v>102555.1388581544</v>
      </c>
      <c r="H9" s="132">
        <f>IF(SER_hh_tes!H9=0,0,11630*1000*SER_hh_tes!H9/SER_hh_num!H9)</f>
        <v>121646.10691853655</v>
      </c>
      <c r="I9" s="132">
        <f>IF(SER_hh_tes!I9=0,0,11630*1000*SER_hh_tes!I9/SER_hh_num!I9)</f>
        <v>124686.08842769839</v>
      </c>
      <c r="J9" s="132">
        <f>IF(SER_hh_tes!J9=0,0,11630*1000*SER_hh_tes!J9/SER_hh_num!J9)</f>
        <v>113968.15963123355</v>
      </c>
      <c r="K9" s="132">
        <f>IF(SER_hh_tes!K9=0,0,11630*1000*SER_hh_tes!K9/SER_hh_num!K9)</f>
        <v>104735.51269646602</v>
      </c>
      <c r="L9" s="132">
        <f>IF(SER_hh_tes!L9=0,0,11630*1000*SER_hh_tes!L9/SER_hh_num!L9)</f>
        <v>118551.50098350592</v>
      </c>
      <c r="M9" s="132">
        <f>IF(SER_hh_tes!M9=0,0,11630*1000*SER_hh_tes!M9/SER_hh_num!M9)</f>
        <v>109087.77208941193</v>
      </c>
      <c r="N9" s="132">
        <f>IF(SER_hh_tes!N9=0,0,11630*1000*SER_hh_tes!N9/SER_hh_num!N9)</f>
        <v>103268.75903101286</v>
      </c>
      <c r="O9" s="132">
        <f>IF(SER_hh_tes!O9=0,0,11630*1000*SER_hh_tes!O9/SER_hh_num!O9)</f>
        <v>108485.46756343215</v>
      </c>
      <c r="P9" s="132">
        <f>IF(SER_hh_tes!P9=0,0,11630*1000*SER_hh_tes!P9/SER_hh_num!P9)</f>
        <v>140635.31017241903</v>
      </c>
      <c r="Q9" s="132">
        <f>IF(SER_hh_tes!Q9=0,0,11630*1000*SER_hh_tes!Q9/SER_hh_num!Q9)</f>
        <v>132985.17833661364</v>
      </c>
      <c r="R9" s="132">
        <f>IF(SER_hh_tes!R9=0,0,11630*1000*SER_hh_tes!R9/SER_hh_num!R9)</f>
        <v>150878.37588334756</v>
      </c>
      <c r="S9" s="132">
        <f>IF(SER_hh_tes!S9=0,0,11630*1000*SER_hh_tes!S9/SER_hh_num!S9)</f>
        <v>128304.99417404286</v>
      </c>
      <c r="T9" s="132">
        <f>IF(SER_hh_tes!T9=0,0,11630*1000*SER_hh_tes!T9/SER_hh_num!T9)</f>
        <v>138254.26863985669</v>
      </c>
      <c r="U9" s="132">
        <f>IF(SER_hh_tes!U9=0,0,11630*1000*SER_hh_tes!U9/SER_hh_num!U9)</f>
        <v>129835.12357363339</v>
      </c>
      <c r="V9" s="132">
        <f>IF(SER_hh_tes!V9=0,0,11630*1000*SER_hh_tes!V9/SER_hh_num!V9)</f>
        <v>138736.86728468782</v>
      </c>
      <c r="W9" s="132">
        <f>IF(SER_hh_tes!W9=0,0,11630*1000*SER_hh_tes!W9/SER_hh_num!W9)</f>
        <v>163960.57150055369</v>
      </c>
      <c r="X9" s="132">
        <f>IF(SER_hh_tes!X9=0,0,11630*1000*SER_hh_tes!X9/SER_hh_num!X9)</f>
        <v>107274.33804199022</v>
      </c>
      <c r="Y9" s="132">
        <f>IF(SER_hh_tes!Y9=0,0,11630*1000*SER_hh_tes!Y9/SER_hh_num!Y9)</f>
        <v>104343.64204645951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82015.091495029308</v>
      </c>
      <c r="C10" s="132">
        <f>IF(SER_hh_tes!C10=0,0,11630*1000*SER_hh_tes!C10/SER_hh_num!C10)</f>
        <v>101555.44138994228</v>
      </c>
      <c r="D10" s="132">
        <f>IF(SER_hh_tes!D10=0,0,11630*1000*SER_hh_tes!D10/SER_hh_num!D10)</f>
        <v>90891.368788153704</v>
      </c>
      <c r="E10" s="132">
        <f>IF(SER_hh_tes!E10=0,0,11630*1000*SER_hh_tes!E10/SER_hh_num!E10)</f>
        <v>88926.299712954598</v>
      </c>
      <c r="F10" s="132">
        <f>IF(SER_hh_tes!F10=0,0,11630*1000*SER_hh_tes!F10/SER_hh_num!F10)</f>
        <v>158204.69952889782</v>
      </c>
      <c r="G10" s="132">
        <f>IF(SER_hh_tes!G10=0,0,11630*1000*SER_hh_tes!G10/SER_hh_num!G10)</f>
        <v>100760.61789264761</v>
      </c>
      <c r="H10" s="132">
        <f>IF(SER_hh_tes!H10=0,0,11630*1000*SER_hh_tes!H10/SER_hh_num!H10)</f>
        <v>116378.95466341668</v>
      </c>
      <c r="I10" s="132">
        <f>IF(SER_hh_tes!I10=0,0,11630*1000*SER_hh_tes!I10/SER_hh_num!I10)</f>
        <v>125843.80653371612</v>
      </c>
      <c r="J10" s="132">
        <f>IF(SER_hh_tes!J10=0,0,11630*1000*SER_hh_tes!J10/SER_hh_num!J10)</f>
        <v>136368.1931552609</v>
      </c>
      <c r="K10" s="132">
        <f>IF(SER_hh_tes!K10=0,0,11630*1000*SER_hh_tes!K10/SER_hh_num!K10)</f>
        <v>102553.67494243938</v>
      </c>
      <c r="L10" s="132">
        <f>IF(SER_hh_tes!L10=0,0,11630*1000*SER_hh_tes!L10/SER_hh_num!L10)</f>
        <v>127182.4351285626</v>
      </c>
      <c r="M10" s="132">
        <f>IF(SER_hh_tes!M10=0,0,11630*1000*SER_hh_tes!M10/SER_hh_num!M10)</f>
        <v>139566.14995700141</v>
      </c>
      <c r="N10" s="132">
        <f>IF(SER_hh_tes!N10=0,0,11630*1000*SER_hh_tes!N10/SER_hh_num!N10)</f>
        <v>103013.57674542173</v>
      </c>
      <c r="O10" s="132">
        <f>IF(SER_hh_tes!O10=0,0,11630*1000*SER_hh_tes!O10/SER_hh_num!O10)</f>
        <v>111531.8486056109</v>
      </c>
      <c r="P10" s="132">
        <f>IF(SER_hh_tes!P10=0,0,11630*1000*SER_hh_tes!P10/SER_hh_num!P10)</f>
        <v>118908.14341511697</v>
      </c>
      <c r="Q10" s="132">
        <f>IF(SER_hh_tes!Q10=0,0,11630*1000*SER_hh_tes!Q10/SER_hh_num!Q10)</f>
        <v>133436.29277017069</v>
      </c>
      <c r="R10" s="132">
        <f>IF(SER_hh_tes!R10=0,0,11630*1000*SER_hh_tes!R10/SER_hh_num!R10)</f>
        <v>130640.29632376731</v>
      </c>
      <c r="S10" s="132">
        <f>IF(SER_hh_tes!S10=0,0,11630*1000*SER_hh_tes!S10/SER_hh_num!S10)</f>
        <v>139684.72720366769</v>
      </c>
      <c r="T10" s="132">
        <f>IF(SER_hh_tes!T10=0,0,11630*1000*SER_hh_tes!T10/SER_hh_num!T10)</f>
        <v>122326.79939178622</v>
      </c>
      <c r="U10" s="132">
        <f>IF(SER_hh_tes!U10=0,0,11630*1000*SER_hh_tes!U10/SER_hh_num!U10)</f>
        <v>132444.24268626841</v>
      </c>
      <c r="V10" s="132">
        <f>IF(SER_hh_tes!V10=0,0,11630*1000*SER_hh_tes!V10/SER_hh_num!V10)</f>
        <v>164391.54714227837</v>
      </c>
      <c r="W10" s="132">
        <f>IF(SER_hh_tes!W10=0,0,11630*1000*SER_hh_tes!W10/SER_hh_num!W10)</f>
        <v>139912.98528138077</v>
      </c>
      <c r="X10" s="132">
        <f>IF(SER_hh_tes!X10=0,0,11630*1000*SER_hh_tes!X10/SER_hh_num!X10)</f>
        <v>141005.45791676486</v>
      </c>
      <c r="Y10" s="132">
        <f>IF(SER_hh_tes!Y10=0,0,11630*1000*SER_hh_tes!Y10/SER_hh_num!Y10)</f>
        <v>89185.928202689669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0</v>
      </c>
      <c r="E11" s="132">
        <f>IF(SER_hh_tes!E11=0,0,11630*1000*SER_hh_tes!E11/SER_hh_num!E11)</f>
        <v>0</v>
      </c>
      <c r="F11" s="132">
        <f>IF(SER_hh_tes!F11=0,0,11630*1000*SER_hh_tes!F11/SER_hh_num!F11)</f>
        <v>0</v>
      </c>
      <c r="G11" s="132">
        <f>IF(SER_hh_tes!G11=0,0,11630*1000*SER_hh_tes!G11/SER_hh_num!G11)</f>
        <v>0</v>
      </c>
      <c r="H11" s="132">
        <f>IF(SER_hh_tes!H11=0,0,11630*1000*SER_hh_tes!H11/SER_hh_num!H11)</f>
        <v>0</v>
      </c>
      <c r="I11" s="132">
        <f>IF(SER_hh_tes!I11=0,0,11630*1000*SER_hh_tes!I11/SER_hh_num!I11)</f>
        <v>0</v>
      </c>
      <c r="J11" s="132">
        <f>IF(SER_hh_tes!J11=0,0,11630*1000*SER_hh_tes!J11/SER_hh_num!J11)</f>
        <v>0</v>
      </c>
      <c r="K11" s="132">
        <f>IF(SER_hh_tes!K11=0,0,11630*1000*SER_hh_tes!K11/SER_hh_num!K11)</f>
        <v>0</v>
      </c>
      <c r="L11" s="132">
        <f>IF(SER_hh_tes!L11=0,0,11630*1000*SER_hh_tes!L11/SER_hh_num!L11)</f>
        <v>0</v>
      </c>
      <c r="M11" s="132">
        <f>IF(SER_hh_tes!M11=0,0,11630*1000*SER_hh_tes!M11/SER_hh_num!M11)</f>
        <v>0</v>
      </c>
      <c r="N11" s="132">
        <f>IF(SER_hh_tes!N11=0,0,11630*1000*SER_hh_tes!N11/SER_hh_num!N11)</f>
        <v>0</v>
      </c>
      <c r="O11" s="132">
        <f>IF(SER_hh_tes!O11=0,0,11630*1000*SER_hh_tes!O11/SER_hh_num!O11)</f>
        <v>0</v>
      </c>
      <c r="P11" s="132">
        <f>IF(SER_hh_tes!P11=0,0,11630*1000*SER_hh_tes!P11/SER_hh_num!P11)</f>
        <v>0</v>
      </c>
      <c r="Q11" s="132">
        <f>IF(SER_hh_tes!Q11=0,0,11630*1000*SER_hh_tes!Q11/SER_hh_num!Q11)</f>
        <v>0</v>
      </c>
      <c r="R11" s="132">
        <f>IF(SER_hh_tes!R11=0,0,11630*1000*SER_hh_tes!R11/SER_hh_num!R11)</f>
        <v>0</v>
      </c>
      <c r="S11" s="132">
        <f>IF(SER_hh_tes!S11=0,0,11630*1000*SER_hh_tes!S11/SER_hh_num!S11)</f>
        <v>0</v>
      </c>
      <c r="T11" s="132">
        <f>IF(SER_hh_tes!T11=0,0,11630*1000*SER_hh_tes!T11/SER_hh_num!T11)</f>
        <v>0</v>
      </c>
      <c r="U11" s="132">
        <f>IF(SER_hh_tes!U11=0,0,11630*1000*SER_hh_tes!U11/SER_hh_num!U11)</f>
        <v>0</v>
      </c>
      <c r="V11" s="132">
        <f>IF(SER_hh_tes!V11=0,0,11630*1000*SER_hh_tes!V11/SER_hh_num!V11)</f>
        <v>0</v>
      </c>
      <c r="W11" s="132">
        <f>IF(SER_hh_tes!W11=0,0,11630*1000*SER_hh_tes!W11/SER_hh_num!W11)</f>
        <v>0</v>
      </c>
      <c r="X11" s="132">
        <f>IF(SER_hh_tes!X11=0,0,11630*1000*SER_hh_tes!X11/SER_hh_num!X11)</f>
        <v>0</v>
      </c>
      <c r="Y11" s="132">
        <f>IF(SER_hh_tes!Y11=0,0,11630*1000*SER_hh_tes!Y11/SER_hh_num!Y11)</f>
        <v>0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114345.26751432322</v>
      </c>
      <c r="C12" s="132">
        <f>IF(SER_hh_tes!C12=0,0,11630*1000*SER_hh_tes!C12/SER_hh_num!C12)</f>
        <v>79337.158463918298</v>
      </c>
      <c r="D12" s="132">
        <f>IF(SER_hh_tes!D12=0,0,11630*1000*SER_hh_tes!D12/SER_hh_num!D12)</f>
        <v>96779.456305381274</v>
      </c>
      <c r="E12" s="132">
        <f>IF(SER_hh_tes!E12=0,0,11630*1000*SER_hh_tes!E12/SER_hh_num!E12)</f>
        <v>95802.837672095295</v>
      </c>
      <c r="F12" s="132">
        <f>IF(SER_hh_tes!F12=0,0,11630*1000*SER_hh_tes!F12/SER_hh_num!F12)</f>
        <v>118241.57902041636</v>
      </c>
      <c r="G12" s="132">
        <f>IF(SER_hh_tes!G12=0,0,11630*1000*SER_hh_tes!G12/SER_hh_num!G12)</f>
        <v>129612.65594292061</v>
      </c>
      <c r="H12" s="132">
        <f>IF(SER_hh_tes!H12=0,0,11630*1000*SER_hh_tes!H12/SER_hh_num!H12)</f>
        <v>111144.56866705049</v>
      </c>
      <c r="I12" s="132">
        <f>IF(SER_hh_tes!I12=0,0,11630*1000*SER_hh_tes!I12/SER_hh_num!I12)</f>
        <v>105063.34635457826</v>
      </c>
      <c r="J12" s="132">
        <f>IF(SER_hh_tes!J12=0,0,11630*1000*SER_hh_tes!J12/SER_hh_num!J12)</f>
        <v>130987.20206942954</v>
      </c>
      <c r="K12" s="132">
        <f>IF(SER_hh_tes!K12=0,0,11630*1000*SER_hh_tes!K12/SER_hh_num!K12)</f>
        <v>129661.63356631267</v>
      </c>
      <c r="L12" s="132">
        <f>IF(SER_hh_tes!L12=0,0,11630*1000*SER_hh_tes!L12/SER_hh_num!L12)</f>
        <v>138268.45824791564</v>
      </c>
      <c r="M12" s="132">
        <f>IF(SER_hh_tes!M12=0,0,11630*1000*SER_hh_tes!M12/SER_hh_num!M12)</f>
        <v>107665.35326903213</v>
      </c>
      <c r="N12" s="132">
        <f>IF(SER_hh_tes!N12=0,0,11630*1000*SER_hh_tes!N12/SER_hh_num!N12)</f>
        <v>122313.15648934673</v>
      </c>
      <c r="O12" s="132">
        <f>IF(SER_hh_tes!O12=0,0,11630*1000*SER_hh_tes!O12/SER_hh_num!O12)</f>
        <v>116123.68067916688</v>
      </c>
      <c r="P12" s="132">
        <f>IF(SER_hh_tes!P12=0,0,11630*1000*SER_hh_tes!P12/SER_hh_num!P12)</f>
        <v>128456.03566264447</v>
      </c>
      <c r="Q12" s="132">
        <f>IF(SER_hh_tes!Q12=0,0,11630*1000*SER_hh_tes!Q12/SER_hh_num!Q12)</f>
        <v>127430.59593558875</v>
      </c>
      <c r="R12" s="132">
        <f>IF(SER_hh_tes!R12=0,0,11630*1000*SER_hh_tes!R12/SER_hh_num!R12)</f>
        <v>143683.80915830581</v>
      </c>
      <c r="S12" s="132">
        <f>IF(SER_hh_tes!S12=0,0,11630*1000*SER_hh_tes!S12/SER_hh_num!S12)</f>
        <v>137448.76326772175</v>
      </c>
      <c r="T12" s="132">
        <f>IF(SER_hh_tes!T12=0,0,11630*1000*SER_hh_tes!T12/SER_hh_num!T12)</f>
        <v>143270.43742899108</v>
      </c>
      <c r="U12" s="132">
        <f>IF(SER_hh_tes!U12=0,0,11630*1000*SER_hh_tes!U12/SER_hh_num!U12)</f>
        <v>123361.94033343722</v>
      </c>
      <c r="V12" s="132">
        <f>IF(SER_hh_tes!V12=0,0,11630*1000*SER_hh_tes!V12/SER_hh_num!V12)</f>
        <v>132588.41689231122</v>
      </c>
      <c r="W12" s="132">
        <f>IF(SER_hh_tes!W12=0,0,11630*1000*SER_hh_tes!W12/SER_hh_num!W12)</f>
        <v>133594.99949078661</v>
      </c>
      <c r="X12" s="132">
        <f>IF(SER_hh_tes!X12=0,0,11630*1000*SER_hh_tes!X12/SER_hh_num!X12)</f>
        <v>123009.01578956385</v>
      </c>
      <c r="Y12" s="132">
        <f>IF(SER_hh_tes!Y12=0,0,11630*1000*SER_hh_tes!Y12/SER_hh_num!Y12)</f>
        <v>112847.35266451324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0</v>
      </c>
      <c r="C13" s="132">
        <f>IF(SER_hh_tes!C13=0,0,11630*1000*SER_hh_tes!C13/SER_hh_num!C13)</f>
        <v>0</v>
      </c>
      <c r="D13" s="132">
        <f>IF(SER_hh_tes!D13=0,0,11630*1000*SER_hh_tes!D13/SER_hh_num!D13)</f>
        <v>0</v>
      </c>
      <c r="E13" s="132">
        <f>IF(SER_hh_tes!E13=0,0,11630*1000*SER_hh_tes!E13/SER_hh_num!E13)</f>
        <v>0</v>
      </c>
      <c r="F13" s="132">
        <f>IF(SER_hh_tes!F13=0,0,11630*1000*SER_hh_tes!F13/SER_hh_num!F13)</f>
        <v>0</v>
      </c>
      <c r="G13" s="132">
        <f>IF(SER_hh_tes!G13=0,0,11630*1000*SER_hh_tes!G13/SER_hh_num!G13)</f>
        <v>0</v>
      </c>
      <c r="H13" s="132">
        <f>IF(SER_hh_tes!H13=0,0,11630*1000*SER_hh_tes!H13/SER_hh_num!H13)</f>
        <v>0</v>
      </c>
      <c r="I13" s="132">
        <f>IF(SER_hh_tes!I13=0,0,11630*1000*SER_hh_tes!I13/SER_hh_num!I13)</f>
        <v>0</v>
      </c>
      <c r="J13" s="132">
        <f>IF(SER_hh_tes!J13=0,0,11630*1000*SER_hh_tes!J13/SER_hh_num!J13)</f>
        <v>0</v>
      </c>
      <c r="K13" s="132">
        <f>IF(SER_hh_tes!K13=0,0,11630*1000*SER_hh_tes!K13/SER_hh_num!K13)</f>
        <v>0</v>
      </c>
      <c r="L13" s="132">
        <f>IF(SER_hh_tes!L13=0,0,11630*1000*SER_hh_tes!L13/SER_hh_num!L13)</f>
        <v>0</v>
      </c>
      <c r="M13" s="132">
        <f>IF(SER_hh_tes!M13=0,0,11630*1000*SER_hh_tes!M13/SER_hh_num!M13)</f>
        <v>0</v>
      </c>
      <c r="N13" s="132">
        <f>IF(SER_hh_tes!N13=0,0,11630*1000*SER_hh_tes!N13/SER_hh_num!N13)</f>
        <v>0</v>
      </c>
      <c r="O13" s="132">
        <f>IF(SER_hh_tes!O13=0,0,11630*1000*SER_hh_tes!O13/SER_hh_num!O13)</f>
        <v>0</v>
      </c>
      <c r="P13" s="132">
        <f>IF(SER_hh_tes!P13=0,0,11630*1000*SER_hh_tes!P13/SER_hh_num!P13)</f>
        <v>0</v>
      </c>
      <c r="Q13" s="132">
        <f>IF(SER_hh_tes!Q13=0,0,11630*1000*SER_hh_tes!Q13/SER_hh_num!Q13)</f>
        <v>0</v>
      </c>
      <c r="R13" s="132">
        <f>IF(SER_hh_tes!R13=0,0,11630*1000*SER_hh_tes!R13/SER_hh_num!R13)</f>
        <v>0</v>
      </c>
      <c r="S13" s="132">
        <f>IF(SER_hh_tes!S13=0,0,11630*1000*SER_hh_tes!S13/SER_hh_num!S13)</f>
        <v>0</v>
      </c>
      <c r="T13" s="132">
        <f>IF(SER_hh_tes!T13=0,0,11630*1000*SER_hh_tes!T13/SER_hh_num!T13)</f>
        <v>0</v>
      </c>
      <c r="U13" s="132">
        <f>IF(SER_hh_tes!U13=0,0,11630*1000*SER_hh_tes!U13/SER_hh_num!U13)</f>
        <v>0</v>
      </c>
      <c r="V13" s="132">
        <f>IF(SER_hh_tes!V13=0,0,11630*1000*SER_hh_tes!V13/SER_hh_num!V13)</f>
        <v>0</v>
      </c>
      <c r="W13" s="132">
        <f>IF(SER_hh_tes!W13=0,0,11630*1000*SER_hh_tes!W13/SER_hh_num!W13)</f>
        <v>0</v>
      </c>
      <c r="X13" s="132">
        <f>IF(SER_hh_tes!X13=0,0,11630*1000*SER_hh_tes!X13/SER_hh_num!X13)</f>
        <v>0</v>
      </c>
      <c r="Y13" s="132">
        <f>IF(SER_hh_tes!Y13=0,0,11630*1000*SER_hh_tes!Y13/SER_hh_num!Y13)</f>
        <v>0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92936.390171731502</v>
      </c>
      <c r="C14" s="65">
        <f>IF(SER_hh_tes!C14=0,0,11630*1000*SER_hh_tes!C14/SER_hh_num!C14)</f>
        <v>93448.578659314502</v>
      </c>
      <c r="D14" s="65">
        <f>IF(SER_hh_tes!D14=0,0,11630*1000*SER_hh_tes!D14/SER_hh_num!D14)</f>
        <v>101455.60722395449</v>
      </c>
      <c r="E14" s="65">
        <f>IF(SER_hh_tes!E14=0,0,11630*1000*SER_hh_tes!E14/SER_hh_num!E14)</f>
        <v>97966.215065530341</v>
      </c>
      <c r="F14" s="65">
        <f>IF(SER_hh_tes!F14=0,0,11630*1000*SER_hh_tes!F14/SER_hh_num!F14)</f>
        <v>118398.17646975208</v>
      </c>
      <c r="G14" s="65">
        <f>IF(SER_hh_tes!G14=0,0,11630*1000*SER_hh_tes!G14/SER_hh_num!G14)</f>
        <v>107930.57742141411</v>
      </c>
      <c r="H14" s="65">
        <f>IF(SER_hh_tes!H14=0,0,11630*1000*SER_hh_tes!H14/SER_hh_num!H14)</f>
        <v>115990.69191818111</v>
      </c>
      <c r="I14" s="65">
        <f>IF(SER_hh_tes!I14=0,0,11630*1000*SER_hh_tes!I14/SER_hh_num!I14)</f>
        <v>120547.21766165271</v>
      </c>
      <c r="J14" s="65">
        <f>IF(SER_hh_tes!J14=0,0,11630*1000*SER_hh_tes!J14/SER_hh_num!J14)</f>
        <v>136331.60826157584</v>
      </c>
      <c r="K14" s="65">
        <f>IF(SER_hh_tes!K14=0,0,11630*1000*SER_hh_tes!K14/SER_hh_num!K14)</f>
        <v>134514.9644791726</v>
      </c>
      <c r="L14" s="65">
        <f>IF(SER_hh_tes!L14=0,0,11630*1000*SER_hh_tes!L14/SER_hh_num!L14)</f>
        <v>126491.73251549577</v>
      </c>
      <c r="M14" s="65">
        <f>IF(SER_hh_tes!M14=0,0,11630*1000*SER_hh_tes!M14/SER_hh_num!M14)</f>
        <v>104837.73946909155</v>
      </c>
      <c r="N14" s="65">
        <f>IF(SER_hh_tes!N14=0,0,11630*1000*SER_hh_tes!N14/SER_hh_num!N14)</f>
        <v>122050.36569116527</v>
      </c>
      <c r="O14" s="65">
        <f>IF(SER_hh_tes!O14=0,0,11630*1000*SER_hh_tes!O14/SER_hh_num!O14)</f>
        <v>113246.18044418725</v>
      </c>
      <c r="P14" s="65">
        <f>IF(SER_hh_tes!P14=0,0,11630*1000*SER_hh_tes!P14/SER_hh_num!P14)</f>
        <v>137436.27624948267</v>
      </c>
      <c r="Q14" s="65">
        <f>IF(SER_hh_tes!Q14=0,0,11630*1000*SER_hh_tes!Q14/SER_hh_num!Q14)</f>
        <v>130682.07737480623</v>
      </c>
      <c r="R14" s="65">
        <f>IF(SER_hh_tes!R14=0,0,11630*1000*SER_hh_tes!R14/SER_hh_num!R14)</f>
        <v>152059.13274270989</v>
      </c>
      <c r="S14" s="65">
        <f>IF(SER_hh_tes!S14=0,0,11630*1000*SER_hh_tes!S14/SER_hh_num!S14)</f>
        <v>119646.76217785144</v>
      </c>
      <c r="T14" s="65">
        <f>IF(SER_hh_tes!T14=0,0,11630*1000*SER_hh_tes!T14/SER_hh_num!T14)</f>
        <v>141032.81763664013</v>
      </c>
      <c r="U14" s="65">
        <f>IF(SER_hh_tes!U14=0,0,11630*1000*SER_hh_tes!U14/SER_hh_num!U14)</f>
        <v>136535.81826323748</v>
      </c>
      <c r="V14" s="65">
        <f>IF(SER_hh_tes!V14=0,0,11630*1000*SER_hh_tes!V14/SER_hh_num!V14)</f>
        <v>133090.88224614633</v>
      </c>
      <c r="W14" s="65">
        <f>IF(SER_hh_tes!W14=0,0,11630*1000*SER_hh_tes!W14/SER_hh_num!W14)</f>
        <v>162392.79674624334</v>
      </c>
      <c r="X14" s="65">
        <f>IF(SER_hh_tes!X14=0,0,11630*1000*SER_hh_tes!X14/SER_hh_num!X14)</f>
        <v>128689.80205817922</v>
      </c>
      <c r="Y14" s="65">
        <f>IF(SER_hh_tes!Y14=0,0,11630*1000*SER_hh_tes!Y14/SER_hh_num!Y14)</f>
        <v>94775.301645601998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943.22704357214741</v>
      </c>
      <c r="C15" s="134">
        <f>IF(SER_hh_tes!C15=0,0,11630*1000*SER_hh_tes!C15/SER_hh_num!C15)</f>
        <v>1034.2802521150361</v>
      </c>
      <c r="D15" s="134">
        <f>IF(SER_hh_tes!D15=0,0,11630*1000*SER_hh_tes!D15/SER_hh_num!D15)</f>
        <v>893.51397467218237</v>
      </c>
      <c r="E15" s="134">
        <f>IF(SER_hh_tes!E15=0,0,11630*1000*SER_hh_tes!E15/SER_hh_num!E15)</f>
        <v>1182.2613255914434</v>
      </c>
      <c r="F15" s="134">
        <f>IF(SER_hh_tes!F15=0,0,11630*1000*SER_hh_tes!F15/SER_hh_num!F15)</f>
        <v>1221.2673519984858</v>
      </c>
      <c r="G15" s="134">
        <f>IF(SER_hh_tes!G15=0,0,11630*1000*SER_hh_tes!G15/SER_hh_num!G15)</f>
        <v>1123.1417424822366</v>
      </c>
      <c r="H15" s="134">
        <f>IF(SER_hh_tes!H15=0,0,11630*1000*SER_hh_tes!H15/SER_hh_num!H15)</f>
        <v>1019.8598951910707</v>
      </c>
      <c r="I15" s="134">
        <f>IF(SER_hh_tes!I15=0,0,11630*1000*SER_hh_tes!I15/SER_hh_num!I15)</f>
        <v>995.31399166765266</v>
      </c>
      <c r="J15" s="134">
        <f>IF(SER_hh_tes!J15=0,0,11630*1000*SER_hh_tes!J15/SER_hh_num!J15)</f>
        <v>1009.3443397067807</v>
      </c>
      <c r="K15" s="134">
        <f>IF(SER_hh_tes!K15=0,0,11630*1000*SER_hh_tes!K15/SER_hh_num!K15)</f>
        <v>914.87908003139376</v>
      </c>
      <c r="L15" s="134">
        <f>IF(SER_hh_tes!L15=0,0,11630*1000*SER_hh_tes!L15/SER_hh_num!L15)</f>
        <v>920.29602408823769</v>
      </c>
      <c r="M15" s="134">
        <f>IF(SER_hh_tes!M15=0,0,11630*1000*SER_hh_tes!M15/SER_hh_num!M15)</f>
        <v>924.92591804091683</v>
      </c>
      <c r="N15" s="134">
        <f>IF(SER_hh_tes!N15=0,0,11630*1000*SER_hh_tes!N15/SER_hh_num!N15)</f>
        <v>965.60488317429497</v>
      </c>
      <c r="O15" s="134">
        <f>IF(SER_hh_tes!O15=0,0,11630*1000*SER_hh_tes!O15/SER_hh_num!O15)</f>
        <v>999.89333793524861</v>
      </c>
      <c r="P15" s="134">
        <f>IF(SER_hh_tes!P15=0,0,11630*1000*SER_hh_tes!P15/SER_hh_num!P15)</f>
        <v>1139.3785113728541</v>
      </c>
      <c r="Q15" s="134">
        <f>IF(SER_hh_tes!Q15=0,0,11630*1000*SER_hh_tes!Q15/SER_hh_num!Q15)</f>
        <v>1174.8208365067808</v>
      </c>
      <c r="R15" s="134">
        <f>IF(SER_hh_tes!R15=0,0,11630*1000*SER_hh_tes!R15/SER_hh_num!R15)</f>
        <v>1259.2377328731425</v>
      </c>
      <c r="S15" s="134">
        <f>IF(SER_hh_tes!S15=0,0,11630*1000*SER_hh_tes!S15/SER_hh_num!S15)</f>
        <v>1153.7045969416422</v>
      </c>
      <c r="T15" s="134">
        <f>IF(SER_hh_tes!T15=0,0,11630*1000*SER_hh_tes!T15/SER_hh_num!T15)</f>
        <v>1215.6870598374369</v>
      </c>
      <c r="U15" s="134">
        <f>IF(SER_hh_tes!U15=0,0,11630*1000*SER_hh_tes!U15/SER_hh_num!U15)</f>
        <v>1090.7079840660256</v>
      </c>
      <c r="V15" s="134">
        <f>IF(SER_hh_tes!V15=0,0,11630*1000*SER_hh_tes!V15/SER_hh_num!V15)</f>
        <v>1148.9982735645408</v>
      </c>
      <c r="W15" s="134">
        <f>IF(SER_hh_tes!W15=0,0,11630*1000*SER_hh_tes!W15/SER_hh_num!W15)</f>
        <v>1207.1946148146333</v>
      </c>
      <c r="X15" s="134">
        <f>IF(SER_hh_tes!X15=0,0,11630*1000*SER_hh_tes!X15/SER_hh_num!X15)</f>
        <v>882.22300422334865</v>
      </c>
      <c r="Y15" s="134">
        <f>IF(SER_hh_tes!Y15=0,0,11630*1000*SER_hh_tes!Y15/SER_hh_num!Y15)</f>
        <v>795.68840506688969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19960.496113004672</v>
      </c>
      <c r="C16" s="130">
        <f>IF(SER_hh_tes!C16=0,0,11630*1000*SER_hh_tes!C16/SER_hh_num!C16)</f>
        <v>20222.964082917075</v>
      </c>
      <c r="D16" s="130">
        <f>IF(SER_hh_tes!D16=0,0,11630*1000*SER_hh_tes!D16/SER_hh_num!D16)</f>
        <v>20166.63485991416</v>
      </c>
      <c r="E16" s="130">
        <f>IF(SER_hh_tes!E16=0,0,11630*1000*SER_hh_tes!E16/SER_hh_num!E16)</f>
        <v>21141.155005525954</v>
      </c>
      <c r="F16" s="130">
        <f>IF(SER_hh_tes!F16=0,0,11630*1000*SER_hh_tes!F16/SER_hh_num!F16)</f>
        <v>20135.238634718688</v>
      </c>
      <c r="G16" s="130">
        <f>IF(SER_hh_tes!G16=0,0,11630*1000*SER_hh_tes!G16/SER_hh_num!G16)</f>
        <v>20185.638751109513</v>
      </c>
      <c r="H16" s="130">
        <f>IF(SER_hh_tes!H16=0,0,11630*1000*SER_hh_tes!H16/SER_hh_num!H16)</f>
        <v>20523.941920767</v>
      </c>
      <c r="I16" s="130">
        <f>IF(SER_hh_tes!I16=0,0,11630*1000*SER_hh_tes!I16/SER_hh_num!I16)</f>
        <v>20250.184772159897</v>
      </c>
      <c r="J16" s="130">
        <f>IF(SER_hh_tes!J16=0,0,11630*1000*SER_hh_tes!J16/SER_hh_num!J16)</f>
        <v>20291.937346328315</v>
      </c>
      <c r="K16" s="130">
        <f>IF(SER_hh_tes!K16=0,0,11630*1000*SER_hh_tes!K16/SER_hh_num!K16)</f>
        <v>20316.481919789923</v>
      </c>
      <c r="L16" s="130">
        <f>IF(SER_hh_tes!L16=0,0,11630*1000*SER_hh_tes!L16/SER_hh_num!L16)</f>
        <v>23713.859613609435</v>
      </c>
      <c r="M16" s="130">
        <f>IF(SER_hh_tes!M16=0,0,11630*1000*SER_hh_tes!M16/SER_hh_num!M16)</f>
        <v>21563.428117370426</v>
      </c>
      <c r="N16" s="130">
        <f>IF(SER_hh_tes!N16=0,0,11630*1000*SER_hh_tes!N16/SER_hh_num!N16)</f>
        <v>20718.348159305242</v>
      </c>
      <c r="O16" s="130">
        <f>IF(SER_hh_tes!O16=0,0,11630*1000*SER_hh_tes!O16/SER_hh_num!O16)</f>
        <v>20589.454606667165</v>
      </c>
      <c r="P16" s="130">
        <f>IF(SER_hh_tes!P16=0,0,11630*1000*SER_hh_tes!P16/SER_hh_num!P16)</f>
        <v>21032.364771836234</v>
      </c>
      <c r="Q16" s="130">
        <f>IF(SER_hh_tes!Q16=0,0,11630*1000*SER_hh_tes!Q16/SER_hh_num!Q16)</f>
        <v>20611.049050798021</v>
      </c>
      <c r="R16" s="130">
        <f>IF(SER_hh_tes!R16=0,0,11630*1000*SER_hh_tes!R16/SER_hh_num!R16)</f>
        <v>20947.920407747919</v>
      </c>
      <c r="S16" s="130">
        <f>IF(SER_hh_tes!S16=0,0,11630*1000*SER_hh_tes!S16/SER_hh_num!S16)</f>
        <v>21021.894729811775</v>
      </c>
      <c r="T16" s="130">
        <f>IF(SER_hh_tes!T16=0,0,11630*1000*SER_hh_tes!T16/SER_hh_num!T16)</f>
        <v>22529.905473420142</v>
      </c>
      <c r="U16" s="130">
        <f>IF(SER_hh_tes!U16=0,0,11630*1000*SER_hh_tes!U16/SER_hh_num!U16)</f>
        <v>21125.442695491191</v>
      </c>
      <c r="V16" s="130">
        <f>IF(SER_hh_tes!V16=0,0,11630*1000*SER_hh_tes!V16/SER_hh_num!V16)</f>
        <v>20525.167137112294</v>
      </c>
      <c r="W16" s="130">
        <f>IF(SER_hh_tes!W16=0,0,11630*1000*SER_hh_tes!W16/SER_hh_num!W16)</f>
        <v>23118.658916358956</v>
      </c>
      <c r="X16" s="130">
        <f>IF(SER_hh_tes!X16=0,0,11630*1000*SER_hh_tes!X16/SER_hh_num!X16)</f>
        <v>22157.179873099456</v>
      </c>
      <c r="Y16" s="130">
        <f>IF(SER_hh_tes!Y16=0,0,11630*1000*SER_hh_tes!Y16/SER_hh_num!Y16)</f>
        <v>21206.156084415619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0</v>
      </c>
      <c r="C17" s="132">
        <f>IF(SER_hh_tes!C17=0,0,11630*1000*SER_hh_tes!C17/SER_hh_num!C17)</f>
        <v>0</v>
      </c>
      <c r="D17" s="132">
        <f>IF(SER_hh_tes!D17=0,0,11630*1000*SER_hh_tes!D17/SER_hh_num!D17)</f>
        <v>0</v>
      </c>
      <c r="E17" s="132">
        <f>IF(SER_hh_tes!E17=0,0,11630*1000*SER_hh_tes!E17/SER_hh_num!E17)</f>
        <v>0</v>
      </c>
      <c r="F17" s="132">
        <f>IF(SER_hh_tes!F17=0,0,11630*1000*SER_hh_tes!F17/SER_hh_num!F17)</f>
        <v>0</v>
      </c>
      <c r="G17" s="132">
        <f>IF(SER_hh_tes!G17=0,0,11630*1000*SER_hh_tes!G17/SER_hh_num!G17)</f>
        <v>0</v>
      </c>
      <c r="H17" s="132">
        <f>IF(SER_hh_tes!H17=0,0,11630*1000*SER_hh_tes!H17/SER_hh_num!H17)</f>
        <v>0</v>
      </c>
      <c r="I17" s="132">
        <f>IF(SER_hh_tes!I17=0,0,11630*1000*SER_hh_tes!I17/SER_hh_num!I17)</f>
        <v>0</v>
      </c>
      <c r="J17" s="132">
        <f>IF(SER_hh_tes!J17=0,0,11630*1000*SER_hh_tes!J17/SER_hh_num!J17)</f>
        <v>0</v>
      </c>
      <c r="K17" s="132">
        <f>IF(SER_hh_tes!K17=0,0,11630*1000*SER_hh_tes!K17/SER_hh_num!K17)</f>
        <v>0</v>
      </c>
      <c r="L17" s="132">
        <f>IF(SER_hh_tes!L17=0,0,11630*1000*SER_hh_tes!L17/SER_hh_num!L17)</f>
        <v>0</v>
      </c>
      <c r="M17" s="132">
        <f>IF(SER_hh_tes!M17=0,0,11630*1000*SER_hh_tes!M17/SER_hh_num!M17)</f>
        <v>0</v>
      </c>
      <c r="N17" s="132">
        <f>IF(SER_hh_tes!N17=0,0,11630*1000*SER_hh_tes!N17/SER_hh_num!N17)</f>
        <v>0</v>
      </c>
      <c r="O17" s="132">
        <f>IF(SER_hh_tes!O17=0,0,11630*1000*SER_hh_tes!O17/SER_hh_num!O17)</f>
        <v>0</v>
      </c>
      <c r="P17" s="132">
        <f>IF(SER_hh_tes!P17=0,0,11630*1000*SER_hh_tes!P17/SER_hh_num!P17)</f>
        <v>0</v>
      </c>
      <c r="Q17" s="132">
        <f>IF(SER_hh_tes!Q17=0,0,11630*1000*SER_hh_tes!Q17/SER_hh_num!Q17)</f>
        <v>0</v>
      </c>
      <c r="R17" s="132">
        <f>IF(SER_hh_tes!R17=0,0,11630*1000*SER_hh_tes!R17/SER_hh_num!R17)</f>
        <v>0</v>
      </c>
      <c r="S17" s="132">
        <f>IF(SER_hh_tes!S17=0,0,11630*1000*SER_hh_tes!S17/SER_hh_num!S17)</f>
        <v>0</v>
      </c>
      <c r="T17" s="132">
        <f>IF(SER_hh_tes!T17=0,0,11630*1000*SER_hh_tes!T17/SER_hh_num!T17)</f>
        <v>0</v>
      </c>
      <c r="U17" s="132">
        <f>IF(SER_hh_tes!U17=0,0,11630*1000*SER_hh_tes!U17/SER_hh_num!U17)</f>
        <v>0</v>
      </c>
      <c r="V17" s="132">
        <f>IF(SER_hh_tes!V17=0,0,11630*1000*SER_hh_tes!V17/SER_hh_num!V17)</f>
        <v>0</v>
      </c>
      <c r="W17" s="132">
        <f>IF(SER_hh_tes!W17=0,0,11630*1000*SER_hh_tes!W17/SER_hh_num!W17)</f>
        <v>0</v>
      </c>
      <c r="X17" s="132">
        <f>IF(SER_hh_tes!X17=0,0,11630*1000*SER_hh_tes!X17/SER_hh_num!X17)</f>
        <v>0</v>
      </c>
      <c r="Y17" s="132">
        <f>IF(SER_hh_tes!Y17=0,0,11630*1000*SER_hh_tes!Y17/SER_hh_num!Y17)</f>
        <v>0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19960.496113004672</v>
      </c>
      <c r="C18" s="132">
        <f>IF(SER_hh_tes!C18=0,0,11630*1000*SER_hh_tes!C18/SER_hh_num!C18)</f>
        <v>20222.964082917075</v>
      </c>
      <c r="D18" s="132">
        <f>IF(SER_hh_tes!D18=0,0,11630*1000*SER_hh_tes!D18/SER_hh_num!D18)</f>
        <v>20166.63485991416</v>
      </c>
      <c r="E18" s="132">
        <f>IF(SER_hh_tes!E18=0,0,11630*1000*SER_hh_tes!E18/SER_hh_num!E18)</f>
        <v>21141.155005525954</v>
      </c>
      <c r="F18" s="132">
        <f>IF(SER_hh_tes!F18=0,0,11630*1000*SER_hh_tes!F18/SER_hh_num!F18)</f>
        <v>20135.238634718688</v>
      </c>
      <c r="G18" s="132">
        <f>IF(SER_hh_tes!G18=0,0,11630*1000*SER_hh_tes!G18/SER_hh_num!G18)</f>
        <v>20185.638751109513</v>
      </c>
      <c r="H18" s="132">
        <f>IF(SER_hh_tes!H18=0,0,11630*1000*SER_hh_tes!H18/SER_hh_num!H18)</f>
        <v>20523.941920767</v>
      </c>
      <c r="I18" s="132">
        <f>IF(SER_hh_tes!I18=0,0,11630*1000*SER_hh_tes!I18/SER_hh_num!I18)</f>
        <v>20250.184772159897</v>
      </c>
      <c r="J18" s="132">
        <f>IF(SER_hh_tes!J18=0,0,11630*1000*SER_hh_tes!J18/SER_hh_num!J18)</f>
        <v>20291.937346328315</v>
      </c>
      <c r="K18" s="132">
        <f>IF(SER_hh_tes!K18=0,0,11630*1000*SER_hh_tes!K18/SER_hh_num!K18)</f>
        <v>20316.481919789923</v>
      </c>
      <c r="L18" s="132">
        <f>IF(SER_hh_tes!L18=0,0,11630*1000*SER_hh_tes!L18/SER_hh_num!L18)</f>
        <v>23713.859613609435</v>
      </c>
      <c r="M18" s="132">
        <f>IF(SER_hh_tes!M18=0,0,11630*1000*SER_hh_tes!M18/SER_hh_num!M18)</f>
        <v>21563.428117370426</v>
      </c>
      <c r="N18" s="132">
        <f>IF(SER_hh_tes!N18=0,0,11630*1000*SER_hh_tes!N18/SER_hh_num!N18)</f>
        <v>20718.348159305242</v>
      </c>
      <c r="O18" s="132">
        <f>IF(SER_hh_tes!O18=0,0,11630*1000*SER_hh_tes!O18/SER_hh_num!O18)</f>
        <v>20589.454606667165</v>
      </c>
      <c r="P18" s="132">
        <f>IF(SER_hh_tes!P18=0,0,11630*1000*SER_hh_tes!P18/SER_hh_num!P18)</f>
        <v>21032.364771836234</v>
      </c>
      <c r="Q18" s="132">
        <f>IF(SER_hh_tes!Q18=0,0,11630*1000*SER_hh_tes!Q18/SER_hh_num!Q18)</f>
        <v>20611.049050798021</v>
      </c>
      <c r="R18" s="132">
        <f>IF(SER_hh_tes!R18=0,0,11630*1000*SER_hh_tes!R18/SER_hh_num!R18)</f>
        <v>20947.920407747919</v>
      </c>
      <c r="S18" s="132">
        <f>IF(SER_hh_tes!S18=0,0,11630*1000*SER_hh_tes!S18/SER_hh_num!S18)</f>
        <v>21021.894729811775</v>
      </c>
      <c r="T18" s="132">
        <f>IF(SER_hh_tes!T18=0,0,11630*1000*SER_hh_tes!T18/SER_hh_num!T18)</f>
        <v>22529.905473420142</v>
      </c>
      <c r="U18" s="132">
        <f>IF(SER_hh_tes!U18=0,0,11630*1000*SER_hh_tes!U18/SER_hh_num!U18)</f>
        <v>21125.442695491191</v>
      </c>
      <c r="V18" s="132">
        <f>IF(SER_hh_tes!V18=0,0,11630*1000*SER_hh_tes!V18/SER_hh_num!V18)</f>
        <v>20525.167137112294</v>
      </c>
      <c r="W18" s="132">
        <f>IF(SER_hh_tes!W18=0,0,11630*1000*SER_hh_tes!W18/SER_hh_num!W18)</f>
        <v>23118.658916358956</v>
      </c>
      <c r="X18" s="132">
        <f>IF(SER_hh_tes!X18=0,0,11630*1000*SER_hh_tes!X18/SER_hh_num!X18)</f>
        <v>22157.179873099456</v>
      </c>
      <c r="Y18" s="132">
        <f>IF(SER_hh_tes!Y18=0,0,11630*1000*SER_hh_tes!Y18/SER_hh_num!Y18)</f>
        <v>21206.156084415619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17650.0172085878</v>
      </c>
      <c r="C19" s="130">
        <f>IF(SER_hh_tes!C19=0,0,11630*1000*SER_hh_tes!C19/SER_hh_num!C19)</f>
        <v>17334.707406739795</v>
      </c>
      <c r="D19" s="130">
        <f>IF(SER_hh_tes!D19=0,0,11630*1000*SER_hh_tes!D19/SER_hh_num!D19)</f>
        <v>16861.879643887751</v>
      </c>
      <c r="E19" s="130">
        <f>IF(SER_hh_tes!E19=0,0,11630*1000*SER_hh_tes!E19/SER_hh_num!E19)</f>
        <v>16793.352284352903</v>
      </c>
      <c r="F19" s="130">
        <f>IF(SER_hh_tes!F19=0,0,11630*1000*SER_hh_tes!F19/SER_hh_num!F19)</f>
        <v>16367.433322690331</v>
      </c>
      <c r="G19" s="130">
        <f>IF(SER_hh_tes!G19=0,0,11630*1000*SER_hh_tes!G19/SER_hh_num!G19)</f>
        <v>16470.708184942414</v>
      </c>
      <c r="H19" s="130">
        <f>IF(SER_hh_tes!H19=0,0,11630*1000*SER_hh_tes!H19/SER_hh_num!H19)</f>
        <v>16081.547279173297</v>
      </c>
      <c r="I19" s="130">
        <f>IF(SER_hh_tes!I19=0,0,11630*1000*SER_hh_tes!I19/SER_hh_num!I19)</f>
        <v>15460.852967505554</v>
      </c>
      <c r="J19" s="130">
        <f>IF(SER_hh_tes!J19=0,0,11630*1000*SER_hh_tes!J19/SER_hh_num!J19)</f>
        <v>15764.602930216457</v>
      </c>
      <c r="K19" s="130">
        <f>IF(SER_hh_tes!K19=0,0,11630*1000*SER_hh_tes!K19/SER_hh_num!K19)</f>
        <v>15800.566509566308</v>
      </c>
      <c r="L19" s="130">
        <f>IF(SER_hh_tes!L19=0,0,11630*1000*SER_hh_tes!L19/SER_hh_num!L19)</f>
        <v>15809.311645994218</v>
      </c>
      <c r="M19" s="130">
        <f>IF(SER_hh_tes!M19=0,0,11630*1000*SER_hh_tes!M19/SER_hh_num!M19)</f>
        <v>16198.280483709379</v>
      </c>
      <c r="N19" s="130">
        <f>IF(SER_hh_tes!N19=0,0,11630*1000*SER_hh_tes!N19/SER_hh_num!N19)</f>
        <v>16255.674092993073</v>
      </c>
      <c r="O19" s="130">
        <f>IF(SER_hh_tes!O19=0,0,11630*1000*SER_hh_tes!O19/SER_hh_num!O19)</f>
        <v>16326.43261230781</v>
      </c>
      <c r="P19" s="130">
        <f>IF(SER_hh_tes!P19=0,0,11630*1000*SER_hh_tes!P19/SER_hh_num!P19)</f>
        <v>16361.522087049938</v>
      </c>
      <c r="Q19" s="130">
        <f>IF(SER_hh_tes!Q19=0,0,11630*1000*SER_hh_tes!Q19/SER_hh_num!Q19)</f>
        <v>16654.206598161734</v>
      </c>
      <c r="R19" s="130">
        <f>IF(SER_hh_tes!R19=0,0,11630*1000*SER_hh_tes!R19/SER_hh_num!R19)</f>
        <v>16468.979476594381</v>
      </c>
      <c r="S19" s="130">
        <f>IF(SER_hh_tes!S19=0,0,11630*1000*SER_hh_tes!S19/SER_hh_num!S19)</f>
        <v>16577.000159451025</v>
      </c>
      <c r="T19" s="130">
        <f>IF(SER_hh_tes!T19=0,0,11630*1000*SER_hh_tes!T19/SER_hh_num!T19)</f>
        <v>16717.574616286704</v>
      </c>
      <c r="U19" s="130">
        <f>IF(SER_hh_tes!U19=0,0,11630*1000*SER_hh_tes!U19/SER_hh_num!U19)</f>
        <v>17125.70358186528</v>
      </c>
      <c r="V19" s="130">
        <f>IF(SER_hh_tes!V19=0,0,11630*1000*SER_hh_tes!V19/SER_hh_num!V19)</f>
        <v>16456.218194346457</v>
      </c>
      <c r="W19" s="130">
        <f>IF(SER_hh_tes!W19=0,0,11630*1000*SER_hh_tes!W19/SER_hh_num!W19)</f>
        <v>17829.91958544392</v>
      </c>
      <c r="X19" s="130">
        <f>IF(SER_hh_tes!X19=0,0,11630*1000*SER_hh_tes!X19/SER_hh_num!X19)</f>
        <v>18366.812741535919</v>
      </c>
      <c r="Y19" s="130">
        <f>IF(SER_hh_tes!Y19=0,0,11630*1000*SER_hh_tes!Y19/SER_hh_num!Y19)</f>
        <v>20042.675555990019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0</v>
      </c>
      <c r="C21" s="132">
        <f>IF(SER_hh_tes!C21=0,0,11630*1000*SER_hh_tes!C21/SER_hh_num!C21)</f>
        <v>0</v>
      </c>
      <c r="D21" s="132">
        <f>IF(SER_hh_tes!D21=0,0,11630*1000*SER_hh_tes!D21/SER_hh_num!D21)</f>
        <v>0</v>
      </c>
      <c r="E21" s="132">
        <f>IF(SER_hh_tes!E21=0,0,11630*1000*SER_hh_tes!E21/SER_hh_num!E21)</f>
        <v>0</v>
      </c>
      <c r="F21" s="132">
        <f>IF(SER_hh_tes!F21=0,0,11630*1000*SER_hh_tes!F21/SER_hh_num!F21)</f>
        <v>0</v>
      </c>
      <c r="G21" s="132">
        <f>IF(SER_hh_tes!G21=0,0,11630*1000*SER_hh_tes!G21/SER_hh_num!G21)</f>
        <v>0</v>
      </c>
      <c r="H21" s="132">
        <f>IF(SER_hh_tes!H21=0,0,11630*1000*SER_hh_tes!H21/SER_hh_num!H21)</f>
        <v>0</v>
      </c>
      <c r="I21" s="132">
        <f>IF(SER_hh_tes!I21=0,0,11630*1000*SER_hh_tes!I21/SER_hh_num!I21)</f>
        <v>0</v>
      </c>
      <c r="J21" s="132">
        <f>IF(SER_hh_tes!J21=0,0,11630*1000*SER_hh_tes!J21/SER_hh_num!J21)</f>
        <v>0</v>
      </c>
      <c r="K21" s="132">
        <f>IF(SER_hh_tes!K21=0,0,11630*1000*SER_hh_tes!K21/SER_hh_num!K21)</f>
        <v>0</v>
      </c>
      <c r="L21" s="132">
        <f>IF(SER_hh_tes!L21=0,0,11630*1000*SER_hh_tes!L21/SER_hh_num!L21)</f>
        <v>0</v>
      </c>
      <c r="M21" s="132">
        <f>IF(SER_hh_tes!M21=0,0,11630*1000*SER_hh_tes!M21/SER_hh_num!M21)</f>
        <v>0</v>
      </c>
      <c r="N21" s="132">
        <f>IF(SER_hh_tes!N21=0,0,11630*1000*SER_hh_tes!N21/SER_hh_num!N21)</f>
        <v>0</v>
      </c>
      <c r="O21" s="132">
        <f>IF(SER_hh_tes!O21=0,0,11630*1000*SER_hh_tes!O21/SER_hh_num!O21)</f>
        <v>0</v>
      </c>
      <c r="P21" s="132">
        <f>IF(SER_hh_tes!P21=0,0,11630*1000*SER_hh_tes!P21/SER_hh_num!P21)</f>
        <v>0</v>
      </c>
      <c r="Q21" s="132">
        <f>IF(SER_hh_tes!Q21=0,0,11630*1000*SER_hh_tes!Q21/SER_hh_num!Q21)</f>
        <v>0</v>
      </c>
      <c r="R21" s="132">
        <f>IF(SER_hh_tes!R21=0,0,11630*1000*SER_hh_tes!R21/SER_hh_num!R21)</f>
        <v>0</v>
      </c>
      <c r="S21" s="132">
        <f>IF(SER_hh_tes!S21=0,0,11630*1000*SER_hh_tes!S21/SER_hh_num!S21)</f>
        <v>0</v>
      </c>
      <c r="T21" s="132">
        <f>IF(SER_hh_tes!T21=0,0,11630*1000*SER_hh_tes!T21/SER_hh_num!T21)</f>
        <v>0</v>
      </c>
      <c r="U21" s="132">
        <f>IF(SER_hh_tes!U21=0,0,11630*1000*SER_hh_tes!U21/SER_hh_num!U21)</f>
        <v>0</v>
      </c>
      <c r="V21" s="132">
        <f>IF(SER_hh_tes!V21=0,0,11630*1000*SER_hh_tes!V21/SER_hh_num!V21)</f>
        <v>0</v>
      </c>
      <c r="W21" s="132">
        <f>IF(SER_hh_tes!W21=0,0,11630*1000*SER_hh_tes!W21/SER_hh_num!W21)</f>
        <v>0</v>
      </c>
      <c r="X21" s="132">
        <f>IF(SER_hh_tes!X21=0,0,11630*1000*SER_hh_tes!X21/SER_hh_num!X21)</f>
        <v>0</v>
      </c>
      <c r="Y21" s="132">
        <f>IF(SER_hh_tes!Y21=0,0,11630*1000*SER_hh_tes!Y21/SER_hh_num!Y21)</f>
        <v>0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17609.484306053237</v>
      </c>
      <c r="C22" s="132">
        <f>IF(SER_hh_tes!C22=0,0,11630*1000*SER_hh_tes!C22/SER_hh_num!C22)</f>
        <v>17806.385925052771</v>
      </c>
      <c r="D22" s="132">
        <f>IF(SER_hh_tes!D22=0,0,11630*1000*SER_hh_tes!D22/SER_hh_num!D22)</f>
        <v>17814.5965105666</v>
      </c>
      <c r="E22" s="132">
        <f>IF(SER_hh_tes!E22=0,0,11630*1000*SER_hh_tes!E22/SER_hh_num!E22)</f>
        <v>15746.248225105162</v>
      </c>
      <c r="F22" s="132">
        <f>IF(SER_hh_tes!F22=0,0,11630*1000*SER_hh_tes!F22/SER_hh_num!F22)</f>
        <v>15306.858009247539</v>
      </c>
      <c r="G22" s="132">
        <f>IF(SER_hh_tes!G22=0,0,11630*1000*SER_hh_tes!G22/SER_hh_num!G22)</f>
        <v>16113.782756000353</v>
      </c>
      <c r="H22" s="132">
        <f>IF(SER_hh_tes!H22=0,0,11630*1000*SER_hh_tes!H22/SER_hh_num!H22)</f>
        <v>15744.951328074052</v>
      </c>
      <c r="I22" s="132">
        <f>IF(SER_hh_tes!I22=0,0,11630*1000*SER_hh_tes!I22/SER_hh_num!I22)</f>
        <v>15477.818919294705</v>
      </c>
      <c r="J22" s="132">
        <f>IF(SER_hh_tes!J22=0,0,11630*1000*SER_hh_tes!J22/SER_hh_num!J22)</f>
        <v>15927.70633850557</v>
      </c>
      <c r="K22" s="132">
        <f>IF(SER_hh_tes!K22=0,0,11630*1000*SER_hh_tes!K22/SER_hh_num!K22)</f>
        <v>15783.221232990945</v>
      </c>
      <c r="L22" s="132">
        <f>IF(SER_hh_tes!L22=0,0,11630*1000*SER_hh_tes!L22/SER_hh_num!L22)</f>
        <v>15832.143222184375</v>
      </c>
      <c r="M22" s="132">
        <f>IF(SER_hh_tes!M22=0,0,11630*1000*SER_hh_tes!M22/SER_hh_num!M22)</f>
        <v>16105.480651477306</v>
      </c>
      <c r="N22" s="132">
        <f>IF(SER_hh_tes!N22=0,0,11630*1000*SER_hh_tes!N22/SER_hh_num!N22)</f>
        <v>16202.636797600941</v>
      </c>
      <c r="O22" s="132">
        <f>IF(SER_hh_tes!O22=0,0,11630*1000*SER_hh_tes!O22/SER_hh_num!O22)</f>
        <v>16385.129106779252</v>
      </c>
      <c r="P22" s="132">
        <f>IF(SER_hh_tes!P22=0,0,11630*1000*SER_hh_tes!P22/SER_hh_num!P22)</f>
        <v>16600.814466323878</v>
      </c>
      <c r="Q22" s="132">
        <f>IF(SER_hh_tes!Q22=0,0,11630*1000*SER_hh_tes!Q22/SER_hh_num!Q22)</f>
        <v>16926.092151452118</v>
      </c>
      <c r="R22" s="132">
        <f>IF(SER_hh_tes!R22=0,0,11630*1000*SER_hh_tes!R22/SER_hh_num!R22)</f>
        <v>16132.942045559115</v>
      </c>
      <c r="S22" s="132">
        <f>IF(SER_hh_tes!S22=0,0,11630*1000*SER_hh_tes!S22/SER_hh_num!S22)</f>
        <v>16750.480955880139</v>
      </c>
      <c r="T22" s="132">
        <f>IF(SER_hh_tes!T22=0,0,11630*1000*SER_hh_tes!T22/SER_hh_num!T22)</f>
        <v>18185.307321436921</v>
      </c>
      <c r="U22" s="132">
        <f>IF(SER_hh_tes!U22=0,0,11630*1000*SER_hh_tes!U22/SER_hh_num!U22)</f>
        <v>15012.224491254203</v>
      </c>
      <c r="V22" s="132">
        <f>IF(SER_hh_tes!V22=0,0,11630*1000*SER_hh_tes!V22/SER_hh_num!V22)</f>
        <v>16245.03323182157</v>
      </c>
      <c r="W22" s="132">
        <f>IF(SER_hh_tes!W22=0,0,11630*1000*SER_hh_tes!W22/SER_hh_num!W22)</f>
        <v>16519.74732717486</v>
      </c>
      <c r="X22" s="132">
        <f>IF(SER_hh_tes!X22=0,0,11630*1000*SER_hh_tes!X22/SER_hh_num!X22)</f>
        <v>18257.875476510115</v>
      </c>
      <c r="Y22" s="132">
        <f>IF(SER_hh_tes!Y22=0,0,11630*1000*SER_hh_tes!Y22/SER_hh_num!Y22)</f>
        <v>20945.994953449917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12180.321291871824</v>
      </c>
      <c r="C23" s="132">
        <f>IF(SER_hh_tes!C23=0,0,11630*1000*SER_hh_tes!C23/SER_hh_num!C23)</f>
        <v>19679.055273027308</v>
      </c>
      <c r="D23" s="132">
        <f>IF(SER_hh_tes!D23=0,0,11630*1000*SER_hh_tes!D23/SER_hh_num!D23)</f>
        <v>17906.756725377774</v>
      </c>
      <c r="E23" s="132">
        <f>IF(SER_hh_tes!E23=0,0,11630*1000*SER_hh_tes!E23/SER_hh_num!E23)</f>
        <v>16955.383842858188</v>
      </c>
      <c r="F23" s="132">
        <f>IF(SER_hh_tes!F23=0,0,11630*1000*SER_hh_tes!F23/SER_hh_num!F23)</f>
        <v>16349.432861394711</v>
      </c>
      <c r="G23" s="132">
        <f>IF(SER_hh_tes!G23=0,0,11630*1000*SER_hh_tes!G23/SER_hh_num!G23)</f>
        <v>16229.925379803799</v>
      </c>
      <c r="H23" s="132">
        <f>IF(SER_hh_tes!H23=0,0,11630*1000*SER_hh_tes!H23/SER_hh_num!H23)</f>
        <v>16135.536328735974</v>
      </c>
      <c r="I23" s="132">
        <f>IF(SER_hh_tes!I23=0,0,11630*1000*SER_hh_tes!I23/SER_hh_num!I23)</f>
        <v>15818.964451312868</v>
      </c>
      <c r="J23" s="132">
        <f>IF(SER_hh_tes!J23=0,0,11630*1000*SER_hh_tes!J23/SER_hh_num!J23)</f>
        <v>15676.468937050269</v>
      </c>
      <c r="K23" s="132">
        <f>IF(SER_hh_tes!K23=0,0,11630*1000*SER_hh_tes!K23/SER_hh_num!K23)</f>
        <v>15541.302399039583</v>
      </c>
      <c r="L23" s="132">
        <f>IF(SER_hh_tes!L23=0,0,11630*1000*SER_hh_tes!L23/SER_hh_num!L23)</f>
        <v>14789.932220010238</v>
      </c>
      <c r="M23" s="132">
        <f>IF(SER_hh_tes!M23=0,0,11630*1000*SER_hh_tes!M23/SER_hh_num!M23)</f>
        <v>15941.15406213055</v>
      </c>
      <c r="N23" s="132">
        <f>IF(SER_hh_tes!N23=0,0,11630*1000*SER_hh_tes!N23/SER_hh_num!N23)</f>
        <v>14188.823150670769</v>
      </c>
      <c r="O23" s="132">
        <f>IF(SER_hh_tes!O23=0,0,11630*1000*SER_hh_tes!O23/SER_hh_num!O23)</f>
        <v>15863.847159284232</v>
      </c>
      <c r="P23" s="132">
        <f>IF(SER_hh_tes!P23=0,0,11630*1000*SER_hh_tes!P23/SER_hh_num!P23)</f>
        <v>17889.769954150011</v>
      </c>
      <c r="Q23" s="132">
        <f>IF(SER_hh_tes!Q23=0,0,11630*1000*SER_hh_tes!Q23/SER_hh_num!Q23)</f>
        <v>16754.281393795252</v>
      </c>
      <c r="R23" s="132">
        <f>IF(SER_hh_tes!R23=0,0,11630*1000*SER_hh_tes!R23/SER_hh_num!R23)</f>
        <v>16293.190170503125</v>
      </c>
      <c r="S23" s="132">
        <f>IF(SER_hh_tes!S23=0,0,11630*1000*SER_hh_tes!S23/SER_hh_num!S23)</f>
        <v>16474.226950059317</v>
      </c>
      <c r="T23" s="132">
        <f>IF(SER_hh_tes!T23=0,0,11630*1000*SER_hh_tes!T23/SER_hh_num!T23)</f>
        <v>16936.48428754124</v>
      </c>
      <c r="U23" s="132">
        <f>IF(SER_hh_tes!U23=0,0,11630*1000*SER_hh_tes!U23/SER_hh_num!U23)</f>
        <v>17559.864339186686</v>
      </c>
      <c r="V23" s="132">
        <f>IF(SER_hh_tes!V23=0,0,11630*1000*SER_hh_tes!V23/SER_hh_num!V23)</f>
        <v>17705.063719637474</v>
      </c>
      <c r="W23" s="132">
        <f>IF(SER_hh_tes!W23=0,0,11630*1000*SER_hh_tes!W23/SER_hh_num!W23)</f>
        <v>18176.21848688108</v>
      </c>
      <c r="X23" s="132">
        <f>IF(SER_hh_tes!X23=0,0,11630*1000*SER_hh_tes!X23/SER_hh_num!X23)</f>
        <v>18663.709116162911</v>
      </c>
      <c r="Y23" s="132">
        <f>IF(SER_hh_tes!Y23=0,0,11630*1000*SER_hh_tes!Y23/SER_hh_num!Y23)</f>
        <v>18300.543999491954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0</v>
      </c>
      <c r="O24" s="132">
        <f>IF(SER_hh_tes!O24=0,0,11630*1000*SER_hh_tes!O24/SER_hh_num!O24)</f>
        <v>0</v>
      </c>
      <c r="P24" s="132">
        <f>IF(SER_hh_tes!P24=0,0,11630*1000*SER_hh_tes!P24/SER_hh_num!P24)</f>
        <v>0</v>
      </c>
      <c r="Q24" s="132">
        <f>IF(SER_hh_tes!Q24=0,0,11630*1000*SER_hh_tes!Q24/SER_hh_num!Q24)</f>
        <v>0</v>
      </c>
      <c r="R24" s="132">
        <f>IF(SER_hh_tes!R24=0,0,11630*1000*SER_hh_tes!R24/SER_hh_num!R24)</f>
        <v>0</v>
      </c>
      <c r="S24" s="132">
        <f>IF(SER_hh_tes!S24=0,0,11630*1000*SER_hh_tes!S24/SER_hh_num!S24)</f>
        <v>0</v>
      </c>
      <c r="T24" s="132">
        <f>IF(SER_hh_tes!T24=0,0,11630*1000*SER_hh_tes!T24/SER_hh_num!T24)</f>
        <v>0</v>
      </c>
      <c r="U24" s="132">
        <f>IF(SER_hh_tes!U24=0,0,11630*1000*SER_hh_tes!U24/SER_hh_num!U24)</f>
        <v>0</v>
      </c>
      <c r="V24" s="132">
        <f>IF(SER_hh_tes!V24=0,0,11630*1000*SER_hh_tes!V24/SER_hh_num!V24)</f>
        <v>0</v>
      </c>
      <c r="W24" s="132">
        <f>IF(SER_hh_tes!W24=0,0,11630*1000*SER_hh_tes!W24/SER_hh_num!W24)</f>
        <v>0</v>
      </c>
      <c r="X24" s="132">
        <f>IF(SER_hh_tes!X24=0,0,11630*1000*SER_hh_tes!X24/SER_hh_num!X24)</f>
        <v>0</v>
      </c>
      <c r="Y24" s="132">
        <f>IF(SER_hh_tes!Y24=0,0,11630*1000*SER_hh_tes!Y24/SER_hh_num!Y24)</f>
        <v>0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17224.774351888918</v>
      </c>
      <c r="C25" s="132">
        <f>IF(SER_hh_tes!C25=0,0,11630*1000*SER_hh_tes!C25/SER_hh_num!C25)</f>
        <v>17534.825078020785</v>
      </c>
      <c r="D25" s="132">
        <f>IF(SER_hh_tes!D25=0,0,11630*1000*SER_hh_tes!D25/SER_hh_num!D25)</f>
        <v>16964.745345794279</v>
      </c>
      <c r="E25" s="132">
        <f>IF(SER_hh_tes!E25=0,0,11630*1000*SER_hh_tes!E25/SER_hh_num!E25)</f>
        <v>16517.310906240458</v>
      </c>
      <c r="F25" s="132">
        <f>IF(SER_hh_tes!F25=0,0,11630*1000*SER_hh_tes!F25/SER_hh_num!F25)</f>
        <v>16221.788640248182</v>
      </c>
      <c r="G25" s="132">
        <f>IF(SER_hh_tes!G25=0,0,11630*1000*SER_hh_tes!G25/SER_hh_num!G25)</f>
        <v>16373.940655129458</v>
      </c>
      <c r="H25" s="132">
        <f>IF(SER_hh_tes!H25=0,0,11630*1000*SER_hh_tes!H25/SER_hh_num!H25)</f>
        <v>16042.773197339338</v>
      </c>
      <c r="I25" s="132">
        <f>IF(SER_hh_tes!I25=0,0,11630*1000*SER_hh_tes!I25/SER_hh_num!I25)</f>
        <v>15858.595738628888</v>
      </c>
      <c r="J25" s="132">
        <f>IF(SER_hh_tes!J25=0,0,11630*1000*SER_hh_tes!J25/SER_hh_num!J25)</f>
        <v>15633.190335748528</v>
      </c>
      <c r="K25" s="132">
        <f>IF(SER_hh_tes!K25=0,0,11630*1000*SER_hh_tes!K25/SER_hh_num!K25)</f>
        <v>15978.839251827983</v>
      </c>
      <c r="L25" s="132">
        <f>IF(SER_hh_tes!L25=0,0,11630*1000*SER_hh_tes!L25/SER_hh_num!L25)</f>
        <v>15954.539462803314</v>
      </c>
      <c r="M25" s="132">
        <f>IF(SER_hh_tes!M25=0,0,11630*1000*SER_hh_tes!M25/SER_hh_num!M25)</f>
        <v>16193.965940139535</v>
      </c>
      <c r="N25" s="132">
        <f>IF(SER_hh_tes!N25=0,0,11630*1000*SER_hh_tes!N25/SER_hh_num!N25)</f>
        <v>16265.244514102331</v>
      </c>
      <c r="O25" s="132">
        <f>IF(SER_hh_tes!O25=0,0,11630*1000*SER_hh_tes!O25/SER_hh_num!O25)</f>
        <v>16443.62139521377</v>
      </c>
      <c r="P25" s="132">
        <f>IF(SER_hh_tes!P25=0,0,11630*1000*SER_hh_tes!P25/SER_hh_num!P25)</f>
        <v>16389.568670609628</v>
      </c>
      <c r="Q25" s="132">
        <f>IF(SER_hh_tes!Q25=0,0,11630*1000*SER_hh_tes!Q25/SER_hh_num!Q25)</f>
        <v>16471.709585462155</v>
      </c>
      <c r="R25" s="132">
        <f>IF(SER_hh_tes!R25=0,0,11630*1000*SER_hh_tes!R25/SER_hh_num!R25)</f>
        <v>16539.826798524879</v>
      </c>
      <c r="S25" s="132">
        <f>IF(SER_hh_tes!S25=0,0,11630*1000*SER_hh_tes!S25/SER_hh_num!S25)</f>
        <v>16679.358602407177</v>
      </c>
      <c r="T25" s="132">
        <f>IF(SER_hh_tes!T25=0,0,11630*1000*SER_hh_tes!T25/SER_hh_num!T25)</f>
        <v>16956.101866561188</v>
      </c>
      <c r="U25" s="132">
        <f>IF(SER_hh_tes!U25=0,0,11630*1000*SER_hh_tes!U25/SER_hh_num!U25)</f>
        <v>17184.880016529649</v>
      </c>
      <c r="V25" s="132">
        <f>IF(SER_hh_tes!V25=0,0,11630*1000*SER_hh_tes!V25/SER_hh_num!V25)</f>
        <v>15108.799119263609</v>
      </c>
      <c r="W25" s="132">
        <f>IF(SER_hh_tes!W25=0,0,11630*1000*SER_hh_tes!W25/SER_hh_num!W25)</f>
        <v>17504.460069170822</v>
      </c>
      <c r="X25" s="132">
        <f>IF(SER_hh_tes!X25=0,0,11630*1000*SER_hh_tes!X25/SER_hh_num!X25)</f>
        <v>19156.359514295542</v>
      </c>
      <c r="Y25" s="132">
        <f>IF(SER_hh_tes!Y25=0,0,11630*1000*SER_hh_tes!Y25/SER_hh_num!Y25)</f>
        <v>19990.024786362806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18358.636456668399</v>
      </c>
      <c r="C26" s="65">
        <f>IF(SER_hh_tes!C26=0,0,11630*1000*SER_hh_tes!C26/SER_hh_num!C26)</f>
        <v>16782.778034288553</v>
      </c>
      <c r="D26" s="65">
        <f>IF(SER_hh_tes!D26=0,0,11630*1000*SER_hh_tes!D26/SER_hh_num!D26)</f>
        <v>16393.802988031566</v>
      </c>
      <c r="E26" s="65">
        <f>IF(SER_hh_tes!E26=0,0,11630*1000*SER_hh_tes!E26/SER_hh_num!E26)</f>
        <v>17195.315457613862</v>
      </c>
      <c r="F26" s="65">
        <f>IF(SER_hh_tes!F26=0,0,11630*1000*SER_hh_tes!F26/SER_hh_num!F26)</f>
        <v>16662.383773736365</v>
      </c>
      <c r="G26" s="65">
        <f>IF(SER_hh_tes!G26=0,0,11630*1000*SER_hh_tes!G26/SER_hh_num!G26)</f>
        <v>16613.324999744229</v>
      </c>
      <c r="H26" s="65">
        <f>IF(SER_hh_tes!H26=0,0,11630*1000*SER_hh_tes!H26/SER_hh_num!H26)</f>
        <v>16147.280721531502</v>
      </c>
      <c r="I26" s="65">
        <f>IF(SER_hh_tes!I26=0,0,11630*1000*SER_hh_tes!I26/SER_hh_num!I26)</f>
        <v>15171.48936937591</v>
      </c>
      <c r="J26" s="65">
        <f>IF(SER_hh_tes!J26=0,0,11630*1000*SER_hh_tes!J26/SER_hh_num!J26)</f>
        <v>15841.369323593282</v>
      </c>
      <c r="K26" s="65">
        <f>IF(SER_hh_tes!K26=0,0,11630*1000*SER_hh_tes!K26/SER_hh_num!K26)</f>
        <v>15704.52488134437</v>
      </c>
      <c r="L26" s="65">
        <f>IF(SER_hh_tes!L26=0,0,11630*1000*SER_hh_tes!L26/SER_hh_num!L26)</f>
        <v>15833.157667934396</v>
      </c>
      <c r="M26" s="65">
        <f>IF(SER_hh_tes!M26=0,0,11630*1000*SER_hh_tes!M26/SER_hh_num!M26)</f>
        <v>16252.34341084494</v>
      </c>
      <c r="N26" s="65">
        <f>IF(SER_hh_tes!N26=0,0,11630*1000*SER_hh_tes!N26/SER_hh_num!N26)</f>
        <v>16629.933082661857</v>
      </c>
      <c r="O26" s="65">
        <f>IF(SER_hh_tes!O26=0,0,11630*1000*SER_hh_tes!O26/SER_hh_num!O26)</f>
        <v>16342.899539138489</v>
      </c>
      <c r="P26" s="65">
        <f>IF(SER_hh_tes!P26=0,0,11630*1000*SER_hh_tes!P26/SER_hh_num!P26)</f>
        <v>15842.295357735286</v>
      </c>
      <c r="Q26" s="65">
        <f>IF(SER_hh_tes!Q26=0,0,11630*1000*SER_hh_tes!Q26/SER_hh_num!Q26)</f>
        <v>16717.590011837783</v>
      </c>
      <c r="R26" s="65">
        <f>IF(SER_hh_tes!R26=0,0,11630*1000*SER_hh_tes!R26/SER_hh_num!R26)</f>
        <v>16523.891681174504</v>
      </c>
      <c r="S26" s="65">
        <f>IF(SER_hh_tes!S26=0,0,11630*1000*SER_hh_tes!S26/SER_hh_num!S26)</f>
        <v>16527.296149102629</v>
      </c>
      <c r="T26" s="65">
        <f>IF(SER_hh_tes!T26=0,0,11630*1000*SER_hh_tes!T26/SER_hh_num!T26)</f>
        <v>16322.632453147296</v>
      </c>
      <c r="U26" s="65">
        <f>IF(SER_hh_tes!U26=0,0,11630*1000*SER_hh_tes!U26/SER_hh_num!U26)</f>
        <v>17084.131023403414</v>
      </c>
      <c r="V26" s="65">
        <f>IF(SER_hh_tes!V26=0,0,11630*1000*SER_hh_tes!V26/SER_hh_num!V26)</f>
        <v>16787.632172773716</v>
      </c>
      <c r="W26" s="65">
        <f>IF(SER_hh_tes!W26=0,0,11630*1000*SER_hh_tes!W26/SER_hh_num!W26)</f>
        <v>17988.924131382359</v>
      </c>
      <c r="X26" s="65">
        <f>IF(SER_hh_tes!X26=0,0,11630*1000*SER_hh_tes!X26/SER_hh_num!X26)</f>
        <v>17835.556166033206</v>
      </c>
      <c r="Y26" s="65">
        <f>IF(SER_hh_tes!Y26=0,0,11630*1000*SER_hh_tes!Y26/SER_hh_num!Y26)</f>
        <v>20434.617126714154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0</v>
      </c>
      <c r="C27" s="145">
        <f>IF(SER_hh_tes!C27=0,0,11630*1000*SER_hh_tes!C27/SER_hh_num!C19)</f>
        <v>0</v>
      </c>
      <c r="D27" s="145">
        <f>IF(SER_hh_tes!D27=0,0,11630*1000*SER_hh_tes!D27/SER_hh_num!D19)</f>
        <v>0</v>
      </c>
      <c r="E27" s="145">
        <f>IF(SER_hh_tes!E27=0,0,11630*1000*SER_hh_tes!E27/SER_hh_num!E19)</f>
        <v>0</v>
      </c>
      <c r="F27" s="145">
        <f>IF(SER_hh_tes!F27=0,0,11630*1000*SER_hh_tes!F27/SER_hh_num!F19)</f>
        <v>0</v>
      </c>
      <c r="G27" s="145">
        <f>IF(SER_hh_tes!G27=0,0,11630*1000*SER_hh_tes!G27/SER_hh_num!G19)</f>
        <v>0</v>
      </c>
      <c r="H27" s="145">
        <f>IF(SER_hh_tes!H27=0,0,11630*1000*SER_hh_tes!H27/SER_hh_num!H19)</f>
        <v>0</v>
      </c>
      <c r="I27" s="145">
        <f>IF(SER_hh_tes!I27=0,0,11630*1000*SER_hh_tes!I27/SER_hh_num!I19)</f>
        <v>0</v>
      </c>
      <c r="J27" s="145">
        <f>IF(SER_hh_tes!J27=0,0,11630*1000*SER_hh_tes!J27/SER_hh_num!J19)</f>
        <v>0</v>
      </c>
      <c r="K27" s="145">
        <f>IF(SER_hh_tes!K27=0,0,11630*1000*SER_hh_tes!K27/SER_hh_num!K19)</f>
        <v>0</v>
      </c>
      <c r="L27" s="145">
        <f>IF(SER_hh_tes!L27=0,0,11630*1000*SER_hh_tes!L27/SER_hh_num!L19)</f>
        <v>0</v>
      </c>
      <c r="M27" s="145">
        <f>IF(SER_hh_tes!M27=0,0,11630*1000*SER_hh_tes!M27/SER_hh_num!M19)</f>
        <v>0</v>
      </c>
      <c r="N27" s="145">
        <f>IF(SER_hh_tes!N27=0,0,11630*1000*SER_hh_tes!N27/SER_hh_num!N19)</f>
        <v>0</v>
      </c>
      <c r="O27" s="145">
        <f>IF(SER_hh_tes!O27=0,0,11630*1000*SER_hh_tes!O27/SER_hh_num!O19)</f>
        <v>0</v>
      </c>
      <c r="P27" s="145">
        <f>IF(SER_hh_tes!P27=0,0,11630*1000*SER_hh_tes!P27/SER_hh_num!P19)</f>
        <v>0</v>
      </c>
      <c r="Q27" s="145">
        <f>IF(SER_hh_tes!Q27=0,0,11630*1000*SER_hh_tes!Q27/SER_hh_num!Q19)</f>
        <v>0</v>
      </c>
      <c r="R27" s="145">
        <f>IF(SER_hh_tes!R27=0,0,11630*1000*SER_hh_tes!R27/SER_hh_num!R19)</f>
        <v>0</v>
      </c>
      <c r="S27" s="145">
        <f>IF(SER_hh_tes!S27=0,0,11630*1000*SER_hh_tes!S27/SER_hh_num!S19)</f>
        <v>0</v>
      </c>
      <c r="T27" s="145">
        <f>IF(SER_hh_tes!T27=0,0,11630*1000*SER_hh_tes!T27/SER_hh_num!T19)</f>
        <v>0</v>
      </c>
      <c r="U27" s="145">
        <f>IF(SER_hh_tes!U27=0,0,11630*1000*SER_hh_tes!U27/SER_hh_num!U19)</f>
        <v>0</v>
      </c>
      <c r="V27" s="145">
        <f>IF(SER_hh_tes!V27=0,0,11630*1000*SER_hh_tes!V27/SER_hh_num!V19)</f>
        <v>0</v>
      </c>
      <c r="W27" s="145">
        <f>IF(SER_hh_tes!W27=0,0,11630*1000*SER_hh_tes!W27/SER_hh_num!W19)</f>
        <v>0</v>
      </c>
      <c r="X27" s="145">
        <f>IF(SER_hh_tes!X27=0,0,11630*1000*SER_hh_tes!X27/SER_hh_num!X19)</f>
        <v>0</v>
      </c>
      <c r="Y27" s="145">
        <f>IF(SER_hh_tes!Y27=0,0,11630*1000*SER_hh_tes!Y27/SER_hh_num!Y19)</f>
        <v>0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0</v>
      </c>
      <c r="C28" s="146">
        <f>IF(SER_hh_tes!C27=0,0,11630*1000*SER_hh_tes!C27/SER_hh_num!C27)</f>
        <v>0</v>
      </c>
      <c r="D28" s="146">
        <f>IF(SER_hh_tes!D27=0,0,11630*1000*SER_hh_tes!D27/SER_hh_num!D27)</f>
        <v>0</v>
      </c>
      <c r="E28" s="146">
        <f>IF(SER_hh_tes!E27=0,0,11630*1000*SER_hh_tes!E27/SER_hh_num!E27)</f>
        <v>0</v>
      </c>
      <c r="F28" s="146">
        <f>IF(SER_hh_tes!F27=0,0,11630*1000*SER_hh_tes!F27/SER_hh_num!F27)</f>
        <v>0</v>
      </c>
      <c r="G28" s="146">
        <f>IF(SER_hh_tes!G27=0,0,11630*1000*SER_hh_tes!G27/SER_hh_num!G27)</f>
        <v>0</v>
      </c>
      <c r="H28" s="146">
        <f>IF(SER_hh_tes!H27=0,0,11630*1000*SER_hh_tes!H27/SER_hh_num!H27)</f>
        <v>0</v>
      </c>
      <c r="I28" s="146">
        <f>IF(SER_hh_tes!I27=0,0,11630*1000*SER_hh_tes!I27/SER_hh_num!I27)</f>
        <v>0</v>
      </c>
      <c r="J28" s="146">
        <f>IF(SER_hh_tes!J27=0,0,11630*1000*SER_hh_tes!J27/SER_hh_num!J27)</f>
        <v>0</v>
      </c>
      <c r="K28" s="146">
        <f>IF(SER_hh_tes!K27=0,0,11630*1000*SER_hh_tes!K27/SER_hh_num!K27)</f>
        <v>0</v>
      </c>
      <c r="L28" s="146">
        <f>IF(SER_hh_tes!L27=0,0,11630*1000*SER_hh_tes!L27/SER_hh_num!L27)</f>
        <v>0</v>
      </c>
      <c r="M28" s="146">
        <f>IF(SER_hh_tes!M27=0,0,11630*1000*SER_hh_tes!M27/SER_hh_num!M27)</f>
        <v>0</v>
      </c>
      <c r="N28" s="146">
        <f>IF(SER_hh_tes!N27=0,0,11630*1000*SER_hh_tes!N27/SER_hh_num!N27)</f>
        <v>0</v>
      </c>
      <c r="O28" s="146">
        <f>IF(SER_hh_tes!O27=0,0,11630*1000*SER_hh_tes!O27/SER_hh_num!O27)</f>
        <v>0</v>
      </c>
      <c r="P28" s="146">
        <f>IF(SER_hh_tes!P27=0,0,11630*1000*SER_hh_tes!P27/SER_hh_num!P27)</f>
        <v>0</v>
      </c>
      <c r="Q28" s="146">
        <f>IF(SER_hh_tes!Q27=0,0,11630*1000*SER_hh_tes!Q27/SER_hh_num!Q27)</f>
        <v>0</v>
      </c>
      <c r="R28" s="146">
        <f>IF(SER_hh_tes!R27=0,0,11630*1000*SER_hh_tes!R27/SER_hh_num!R27)</f>
        <v>0</v>
      </c>
      <c r="S28" s="146">
        <f>IF(SER_hh_tes!S27=0,0,11630*1000*SER_hh_tes!S27/SER_hh_num!S27)</f>
        <v>0</v>
      </c>
      <c r="T28" s="146">
        <f>IF(SER_hh_tes!T27=0,0,11630*1000*SER_hh_tes!T27/SER_hh_num!T27)</f>
        <v>0</v>
      </c>
      <c r="U28" s="146">
        <f>IF(SER_hh_tes!U27=0,0,11630*1000*SER_hh_tes!U27/SER_hh_num!U27)</f>
        <v>0</v>
      </c>
      <c r="V28" s="146">
        <f>IF(SER_hh_tes!V27=0,0,11630*1000*SER_hh_tes!V27/SER_hh_num!V27)</f>
        <v>0</v>
      </c>
      <c r="W28" s="146">
        <f>IF(SER_hh_tes!W27=0,0,11630*1000*SER_hh_tes!W27/SER_hh_num!W27)</f>
        <v>0</v>
      </c>
      <c r="X28" s="146">
        <f>IF(SER_hh_tes!X27=0,0,11630*1000*SER_hh_tes!X27/SER_hh_num!X27)</f>
        <v>0</v>
      </c>
      <c r="Y28" s="146">
        <f>IF(SER_hh_tes!Y27=0,0,11630*1000*SER_hh_tes!Y27/SER_hh_num!Y27)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17941.755219818853</v>
      </c>
      <c r="C29" s="130">
        <f>IF(SER_hh_tes!C29=0,0,11630*1000*SER_hh_tes!C29/SER_hh_num!C29)</f>
        <v>17908.579552033621</v>
      </c>
      <c r="D29" s="130">
        <f>IF(SER_hh_tes!D29=0,0,11630*1000*SER_hh_tes!D29/SER_hh_num!D29)</f>
        <v>17624.575090841237</v>
      </c>
      <c r="E29" s="130">
        <f>IF(SER_hh_tes!E29=0,0,11630*1000*SER_hh_tes!E29/SER_hh_num!E29)</f>
        <v>17947.796904224982</v>
      </c>
      <c r="F29" s="130">
        <f>IF(SER_hh_tes!F29=0,0,11630*1000*SER_hh_tes!F29/SER_hh_num!F29)</f>
        <v>17764.411750234522</v>
      </c>
      <c r="G29" s="130">
        <f>IF(SER_hh_tes!G29=0,0,11630*1000*SER_hh_tes!G29/SER_hh_num!G29)</f>
        <v>18240.421860208255</v>
      </c>
      <c r="H29" s="130">
        <f>IF(SER_hh_tes!H29=0,0,11630*1000*SER_hh_tes!H29/SER_hh_num!H29)</f>
        <v>17831.331211694858</v>
      </c>
      <c r="I29" s="130">
        <f>IF(SER_hh_tes!I29=0,0,11630*1000*SER_hh_tes!I29/SER_hh_num!I29)</f>
        <v>17759.82119240089</v>
      </c>
      <c r="J29" s="130">
        <f>IF(SER_hh_tes!J29=0,0,11630*1000*SER_hh_tes!J29/SER_hh_num!J29)</f>
        <v>18455.567112666678</v>
      </c>
      <c r="K29" s="130">
        <f>IF(SER_hh_tes!K29=0,0,11630*1000*SER_hh_tes!K29/SER_hh_num!K29)</f>
        <v>19337.010731621347</v>
      </c>
      <c r="L29" s="130">
        <f>IF(SER_hh_tes!L29=0,0,11630*1000*SER_hh_tes!L29/SER_hh_num!L29)</f>
        <v>19648.326908239102</v>
      </c>
      <c r="M29" s="130">
        <f>IF(SER_hh_tes!M29=0,0,11630*1000*SER_hh_tes!M29/SER_hh_num!M29)</f>
        <v>19827.613012124017</v>
      </c>
      <c r="N29" s="130">
        <f>IF(SER_hh_tes!N29=0,0,11630*1000*SER_hh_tes!N29/SER_hh_num!N29)</f>
        <v>19577.42084137987</v>
      </c>
      <c r="O29" s="130">
        <f>IF(SER_hh_tes!O29=0,0,11630*1000*SER_hh_tes!O29/SER_hh_num!O29)</f>
        <v>20040.33694815341</v>
      </c>
      <c r="P29" s="130">
        <f>IF(SER_hh_tes!P29=0,0,11630*1000*SER_hh_tes!P29/SER_hh_num!P29)</f>
        <v>19816.100820911575</v>
      </c>
      <c r="Q29" s="130">
        <f>IF(SER_hh_tes!Q29=0,0,11630*1000*SER_hh_tes!Q29/SER_hh_num!Q29)</f>
        <v>19661.405693650271</v>
      </c>
      <c r="R29" s="130">
        <f>IF(SER_hh_tes!R29=0,0,11630*1000*SER_hh_tes!R29/SER_hh_num!R29)</f>
        <v>19471.389180771937</v>
      </c>
      <c r="S29" s="130">
        <f>IF(SER_hh_tes!S29=0,0,11630*1000*SER_hh_tes!S29/SER_hh_num!S29)</f>
        <v>19728.573121875917</v>
      </c>
      <c r="T29" s="130">
        <f>IF(SER_hh_tes!T29=0,0,11630*1000*SER_hh_tes!T29/SER_hh_num!T29)</f>
        <v>19643.500626148321</v>
      </c>
      <c r="U29" s="130">
        <f>IF(SER_hh_tes!U29=0,0,11630*1000*SER_hh_tes!U29/SER_hh_num!U29)</f>
        <v>19656.081468378754</v>
      </c>
      <c r="V29" s="130">
        <f>IF(SER_hh_tes!V29=0,0,11630*1000*SER_hh_tes!V29/SER_hh_num!V29)</f>
        <v>18301.573138870088</v>
      </c>
      <c r="W29" s="130">
        <f>IF(SER_hh_tes!W29=0,0,11630*1000*SER_hh_tes!W29/SER_hh_num!W29)</f>
        <v>20672.241560385519</v>
      </c>
      <c r="X29" s="130">
        <f>IF(SER_hh_tes!X29=0,0,11630*1000*SER_hh_tes!X29/SER_hh_num!X29)</f>
        <v>22600.617703366501</v>
      </c>
      <c r="Y29" s="130">
        <f>IF(SER_hh_tes!Y29=0,0,11630*1000*SER_hh_tes!Y29/SER_hh_num!Y29)</f>
        <v>25275.844685963064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0</v>
      </c>
      <c r="C30" s="132">
        <f>IF(SER_hh_tes!C30=0,0,11630*1000*SER_hh_tes!C30/SER_hh_num!C30)</f>
        <v>0</v>
      </c>
      <c r="D30" s="132">
        <f>IF(SER_hh_tes!D30=0,0,11630*1000*SER_hh_tes!D30/SER_hh_num!D30)</f>
        <v>0</v>
      </c>
      <c r="E30" s="132">
        <f>IF(SER_hh_tes!E30=0,0,11630*1000*SER_hh_tes!E30/SER_hh_num!E30)</f>
        <v>0</v>
      </c>
      <c r="F30" s="132">
        <f>IF(SER_hh_tes!F30=0,0,11630*1000*SER_hh_tes!F30/SER_hh_num!F30)</f>
        <v>25580.66221148062</v>
      </c>
      <c r="G30" s="132">
        <f>IF(SER_hh_tes!G30=0,0,11630*1000*SER_hh_tes!G30/SER_hh_num!G30)</f>
        <v>19985.997782293336</v>
      </c>
      <c r="H30" s="132">
        <f>IF(SER_hh_tes!H30=0,0,11630*1000*SER_hh_tes!H30/SER_hh_num!H30)</f>
        <v>17952.038793937885</v>
      </c>
      <c r="I30" s="132">
        <f>IF(SER_hh_tes!I30=0,0,11630*1000*SER_hh_tes!I30/SER_hh_num!I30)</f>
        <v>18107.298018482794</v>
      </c>
      <c r="J30" s="132">
        <f>IF(SER_hh_tes!J30=0,0,11630*1000*SER_hh_tes!J30/SER_hh_num!J30)</f>
        <v>18543.969908300649</v>
      </c>
      <c r="K30" s="132">
        <f>IF(SER_hh_tes!K30=0,0,11630*1000*SER_hh_tes!K30/SER_hh_num!K30)</f>
        <v>19146.747358126013</v>
      </c>
      <c r="L30" s="132">
        <f>IF(SER_hh_tes!L30=0,0,11630*1000*SER_hh_tes!L30/SER_hh_num!L30)</f>
        <v>19408.167697099369</v>
      </c>
      <c r="M30" s="132">
        <f>IF(SER_hh_tes!M30=0,0,11630*1000*SER_hh_tes!M30/SER_hh_num!M30)</f>
        <v>19632.451535008913</v>
      </c>
      <c r="N30" s="132">
        <f>IF(SER_hh_tes!N30=0,0,11630*1000*SER_hh_tes!N30/SER_hh_num!N30)</f>
        <v>19805.768170911007</v>
      </c>
      <c r="O30" s="132">
        <f>IF(SER_hh_tes!O30=0,0,11630*1000*SER_hh_tes!O30/SER_hh_num!O30)</f>
        <v>19856.897895407481</v>
      </c>
      <c r="P30" s="132">
        <f>IF(SER_hh_tes!P30=0,0,11630*1000*SER_hh_tes!P30/SER_hh_num!P30)</f>
        <v>17934.589283210724</v>
      </c>
      <c r="Q30" s="132">
        <f>IF(SER_hh_tes!Q30=0,0,11630*1000*SER_hh_tes!Q30/SER_hh_num!Q30)</f>
        <v>14034.994506413714</v>
      </c>
      <c r="R30" s="132">
        <f>IF(SER_hh_tes!R30=0,0,11630*1000*SER_hh_tes!R30/SER_hh_num!R30)</f>
        <v>21787.186481797031</v>
      </c>
      <c r="S30" s="132">
        <f>IF(SER_hh_tes!S30=0,0,11630*1000*SER_hh_tes!S30/SER_hh_num!S30)</f>
        <v>32138.177188582747</v>
      </c>
      <c r="T30" s="132">
        <f>IF(SER_hh_tes!T30=0,0,11630*1000*SER_hh_tes!T30/SER_hh_num!T30)</f>
        <v>10063.314655687604</v>
      </c>
      <c r="U30" s="132">
        <f>IF(SER_hh_tes!U30=0,0,11630*1000*SER_hh_tes!U30/SER_hh_num!U30)</f>
        <v>20839.628885809092</v>
      </c>
      <c r="V30" s="132">
        <f>IF(SER_hh_tes!V30=0,0,11630*1000*SER_hh_tes!V30/SER_hh_num!V30)</f>
        <v>23680.693339099962</v>
      </c>
      <c r="W30" s="132">
        <f>IF(SER_hh_tes!W30=0,0,11630*1000*SER_hh_tes!W30/SER_hh_num!W30)</f>
        <v>14905.893840268751</v>
      </c>
      <c r="X30" s="132">
        <f>IF(SER_hh_tes!X30=0,0,11630*1000*SER_hh_tes!X30/SER_hh_num!X30)</f>
        <v>20290.378675496831</v>
      </c>
      <c r="Y30" s="132">
        <f>IF(SER_hh_tes!Y30=0,0,11630*1000*SER_hh_tes!Y30/SER_hh_num!Y30)</f>
        <v>29041.391139942192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10164.178738932071</v>
      </c>
      <c r="C31" s="132">
        <f>IF(SER_hh_tes!C31=0,0,11630*1000*SER_hh_tes!C31/SER_hh_num!C31)</f>
        <v>19083.761719122245</v>
      </c>
      <c r="D31" s="132">
        <f>IF(SER_hh_tes!D31=0,0,11630*1000*SER_hh_tes!D31/SER_hh_num!D31)</f>
        <v>20578.350764676106</v>
      </c>
      <c r="E31" s="132">
        <f>IF(SER_hh_tes!E31=0,0,11630*1000*SER_hh_tes!E31/SER_hh_num!E31)</f>
        <v>18593.246743518663</v>
      </c>
      <c r="F31" s="132">
        <f>IF(SER_hh_tes!F31=0,0,11630*1000*SER_hh_tes!F31/SER_hh_num!F31)</f>
        <v>17952.998136322502</v>
      </c>
      <c r="G31" s="132">
        <f>IF(SER_hh_tes!G31=0,0,11630*1000*SER_hh_tes!G31/SER_hh_num!G31)</f>
        <v>18039.373435650319</v>
      </c>
      <c r="H31" s="132">
        <f>IF(SER_hh_tes!H31=0,0,11630*1000*SER_hh_tes!H31/SER_hh_num!H31)</f>
        <v>17916.695713701687</v>
      </c>
      <c r="I31" s="132">
        <f>IF(SER_hh_tes!I31=0,0,11630*1000*SER_hh_tes!I31/SER_hh_num!I31)</f>
        <v>18271.609528895755</v>
      </c>
      <c r="J31" s="132">
        <f>IF(SER_hh_tes!J31=0,0,11630*1000*SER_hh_tes!J31/SER_hh_num!J31)</f>
        <v>18715.003196211874</v>
      </c>
      <c r="K31" s="132">
        <f>IF(SER_hh_tes!K31=0,0,11630*1000*SER_hh_tes!K31/SER_hh_num!K31)</f>
        <v>18146.544810416421</v>
      </c>
      <c r="L31" s="132">
        <f>IF(SER_hh_tes!L31=0,0,11630*1000*SER_hh_tes!L31/SER_hh_num!L31)</f>
        <v>19342.798362671067</v>
      </c>
      <c r="M31" s="132">
        <f>IF(SER_hh_tes!M31=0,0,11630*1000*SER_hh_tes!M31/SER_hh_num!M31)</f>
        <v>19555.728432257314</v>
      </c>
      <c r="N31" s="132">
        <f>IF(SER_hh_tes!N31=0,0,11630*1000*SER_hh_tes!N31/SER_hh_num!N31)</f>
        <v>20079.58886334085</v>
      </c>
      <c r="O31" s="132">
        <f>IF(SER_hh_tes!O31=0,0,11630*1000*SER_hh_tes!O31/SER_hh_num!O31)</f>
        <v>19916.07713095532</v>
      </c>
      <c r="P31" s="132">
        <f>IF(SER_hh_tes!P31=0,0,11630*1000*SER_hh_tes!P31/SER_hh_num!P31)</f>
        <v>18902.728240362718</v>
      </c>
      <c r="Q31" s="132">
        <f>IF(SER_hh_tes!Q31=0,0,11630*1000*SER_hh_tes!Q31/SER_hh_num!Q31)</f>
        <v>17762.326765580634</v>
      </c>
      <c r="R31" s="132">
        <f>IF(SER_hh_tes!R31=0,0,11630*1000*SER_hh_tes!R31/SER_hh_num!R31)</f>
        <v>21381.801509734589</v>
      </c>
      <c r="S31" s="132">
        <f>IF(SER_hh_tes!S31=0,0,11630*1000*SER_hh_tes!S31/SER_hh_num!S31)</f>
        <v>19007.901570926511</v>
      </c>
      <c r="T31" s="132">
        <f>IF(SER_hh_tes!T31=0,0,11630*1000*SER_hh_tes!T31/SER_hh_num!T31)</f>
        <v>19050.532153475615</v>
      </c>
      <c r="U31" s="132">
        <f>IF(SER_hh_tes!U31=0,0,11630*1000*SER_hh_tes!U31/SER_hh_num!U31)</f>
        <v>22060.511826247377</v>
      </c>
      <c r="V31" s="132">
        <f>IF(SER_hh_tes!V31=0,0,11630*1000*SER_hh_tes!V31/SER_hh_num!V31)</f>
        <v>21689.278585652683</v>
      </c>
      <c r="W31" s="132">
        <f>IF(SER_hh_tes!W31=0,0,11630*1000*SER_hh_tes!W31/SER_hh_num!W31)</f>
        <v>22205.231884074114</v>
      </c>
      <c r="X31" s="132">
        <f>IF(SER_hh_tes!X31=0,0,11630*1000*SER_hh_tes!X31/SER_hh_num!X31)</f>
        <v>21665.318567723651</v>
      </c>
      <c r="Y31" s="132">
        <f>IF(SER_hh_tes!Y31=0,0,11630*1000*SER_hh_tes!Y31/SER_hh_num!Y31)</f>
        <v>24291.225987303431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18358.305483912016</v>
      </c>
      <c r="C33" s="68">
        <f>IF(SER_hh_tes!C33=0,0,11630*1000*SER_hh_tes!C33/SER_hh_num!C33)</f>
        <v>17797.868945692284</v>
      </c>
      <c r="D33" s="68">
        <f>IF(SER_hh_tes!D33=0,0,11630*1000*SER_hh_tes!D33/SER_hh_num!D33)</f>
        <v>17259.415113302366</v>
      </c>
      <c r="E33" s="68">
        <f>IF(SER_hh_tes!E33=0,0,11630*1000*SER_hh_tes!E33/SER_hh_num!E33)</f>
        <v>17860.868966679333</v>
      </c>
      <c r="F33" s="68">
        <f>IF(SER_hh_tes!F33=0,0,11630*1000*SER_hh_tes!F33/SER_hh_num!F33)</f>
        <v>17561.025221062871</v>
      </c>
      <c r="G33" s="68">
        <f>IF(SER_hh_tes!G33=0,0,11630*1000*SER_hh_tes!G33/SER_hh_num!G33)</f>
        <v>18217.850067705895</v>
      </c>
      <c r="H33" s="68">
        <f>IF(SER_hh_tes!H33=0,0,11630*1000*SER_hh_tes!H33/SER_hh_num!H33)</f>
        <v>17817.862569164899</v>
      </c>
      <c r="I33" s="68">
        <f>IF(SER_hh_tes!I33=0,0,11630*1000*SER_hh_tes!I33/SER_hh_num!I33)</f>
        <v>17694.830118191425</v>
      </c>
      <c r="J33" s="68">
        <f>IF(SER_hh_tes!J33=0,0,11630*1000*SER_hh_tes!J33/SER_hh_num!J33)</f>
        <v>18426.087162247455</v>
      </c>
      <c r="K33" s="68">
        <f>IF(SER_hh_tes!K33=0,0,11630*1000*SER_hh_tes!K33/SER_hh_num!K33)</f>
        <v>19459.413051402618</v>
      </c>
      <c r="L33" s="68">
        <f>IF(SER_hh_tes!L33=0,0,11630*1000*SER_hh_tes!L33/SER_hh_num!L33)</f>
        <v>19684.11567240526</v>
      </c>
      <c r="M33" s="68">
        <f>IF(SER_hh_tes!M33=0,0,11630*1000*SER_hh_tes!M33/SER_hh_num!M33)</f>
        <v>19858.356888416783</v>
      </c>
      <c r="N33" s="68">
        <f>IF(SER_hh_tes!N33=0,0,11630*1000*SER_hh_tes!N33/SER_hh_num!N33)</f>
        <v>19522.991643557958</v>
      </c>
      <c r="O33" s="68">
        <f>IF(SER_hh_tes!O33=0,0,11630*1000*SER_hh_tes!O33/SER_hh_num!O33)</f>
        <v>20057.040100188711</v>
      </c>
      <c r="P33" s="68">
        <f>IF(SER_hh_tes!P33=0,0,11630*1000*SER_hh_tes!P33/SER_hh_num!P33)</f>
        <v>19961.736374664586</v>
      </c>
      <c r="Q33" s="68">
        <f>IF(SER_hh_tes!Q33=0,0,11630*1000*SER_hh_tes!Q33/SER_hh_num!Q33)</f>
        <v>20066.900939306146</v>
      </c>
      <c r="R33" s="68">
        <f>IF(SER_hh_tes!R33=0,0,11630*1000*SER_hh_tes!R33/SER_hh_num!R33)</f>
        <v>19113.301204356332</v>
      </c>
      <c r="S33" s="68">
        <f>IF(SER_hh_tes!S33=0,0,11630*1000*SER_hh_tes!S33/SER_hh_num!S33)</f>
        <v>19273.031651720084</v>
      </c>
      <c r="T33" s="68">
        <f>IF(SER_hh_tes!T33=0,0,11630*1000*SER_hh_tes!T33/SER_hh_num!T33)</f>
        <v>20202.869164385462</v>
      </c>
      <c r="U33" s="68">
        <f>IF(SER_hh_tes!U33=0,0,11630*1000*SER_hh_tes!U33/SER_hh_num!U33)</f>
        <v>19206.391010685973</v>
      </c>
      <c r="V33" s="68">
        <f>IF(SER_hh_tes!V33=0,0,11630*1000*SER_hh_tes!V33/SER_hh_num!V33)</f>
        <v>17537.143481007752</v>
      </c>
      <c r="W33" s="68">
        <f>IF(SER_hh_tes!W33=0,0,11630*1000*SER_hh_tes!W33/SER_hh_num!W33)</f>
        <v>20714.974808426457</v>
      </c>
      <c r="X33" s="68">
        <f>IF(SER_hh_tes!X33=0,0,11630*1000*SER_hh_tes!X33/SER_hh_num!X33)</f>
        <v>22823.582851134142</v>
      </c>
      <c r="Y33" s="68">
        <f>IF(SER_hh_tes!Y33=0,0,11630*1000*SER_hh_tes!Y33/SER_hh_num!Y33)</f>
        <v>25171.610899808507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16895.268326741781</v>
      </c>
      <c r="C3" s="125">
        <f>IF(SER_hh_emi!C3=0,0,1000000*SER_hh_emi!C3/SER_hh_num!C3)</f>
        <v>21540.103872428848</v>
      </c>
      <c r="D3" s="125">
        <f>IF(SER_hh_emi!D3=0,0,1000000*SER_hh_emi!D3/SER_hh_num!D3)</f>
        <v>16716.990439818714</v>
      </c>
      <c r="E3" s="125">
        <f>IF(SER_hh_emi!E3=0,0,1000000*SER_hh_emi!E3/SER_hh_num!E3)</f>
        <v>21185.017816621501</v>
      </c>
      <c r="F3" s="125">
        <f>IF(SER_hh_emi!F3=0,0,1000000*SER_hh_emi!F3/SER_hh_num!F3)</f>
        <v>19917.538883194935</v>
      </c>
      <c r="G3" s="125">
        <f>IF(SER_hh_emi!G3=0,0,1000000*SER_hh_emi!G3/SER_hh_num!G3)</f>
        <v>18336.510929197168</v>
      </c>
      <c r="H3" s="125">
        <f>IF(SER_hh_emi!H3=0,0,1000000*SER_hh_emi!H3/SER_hh_num!H3)</f>
        <v>15146.73483627198</v>
      </c>
      <c r="I3" s="125">
        <f>IF(SER_hh_emi!I3=0,0,1000000*SER_hh_emi!I3/SER_hh_num!I3)</f>
        <v>14420.71661457753</v>
      </c>
      <c r="J3" s="125">
        <f>IF(SER_hh_emi!J3=0,0,1000000*SER_hh_emi!J3/SER_hh_num!J3)</f>
        <v>12751.608475910627</v>
      </c>
      <c r="K3" s="125">
        <f>IF(SER_hh_emi!K3=0,0,1000000*SER_hh_emi!K3/SER_hh_num!K3)</f>
        <v>11250.881126741868</v>
      </c>
      <c r="L3" s="125">
        <f>IF(SER_hh_emi!L3=0,0,1000000*SER_hh_emi!L3/SER_hh_num!L3)</f>
        <v>10495.981937951236</v>
      </c>
      <c r="M3" s="125">
        <f>IF(SER_hh_emi!M3=0,0,1000000*SER_hh_emi!M3/SER_hh_num!M3)</f>
        <v>12701.988271225553</v>
      </c>
      <c r="N3" s="125">
        <f>IF(SER_hh_emi!N3=0,0,1000000*SER_hh_emi!N3/SER_hh_num!N3)</f>
        <v>13273.152927299438</v>
      </c>
      <c r="O3" s="125">
        <f>IF(SER_hh_emi!O3=0,0,1000000*SER_hh_emi!O3/SER_hh_num!O3)</f>
        <v>13999.332923135513</v>
      </c>
      <c r="P3" s="125">
        <f>IF(SER_hh_emi!P3=0,0,1000000*SER_hh_emi!P3/SER_hh_num!P3)</f>
        <v>15084.415096858173</v>
      </c>
      <c r="Q3" s="125">
        <f>IF(SER_hh_emi!Q3=0,0,1000000*SER_hh_emi!Q3/SER_hh_num!Q3)</f>
        <v>15640.628915004718</v>
      </c>
      <c r="R3" s="125">
        <f>IF(SER_hh_emi!R3=0,0,1000000*SER_hh_emi!R3/SER_hh_num!R3)</f>
        <v>15553.334605500731</v>
      </c>
      <c r="S3" s="125">
        <f>IF(SER_hh_emi!S3=0,0,1000000*SER_hh_emi!S3/SER_hh_num!S3)</f>
        <v>14522.42414006061</v>
      </c>
      <c r="T3" s="125">
        <f>IF(SER_hh_emi!T3=0,0,1000000*SER_hh_emi!T3/SER_hh_num!T3)</f>
        <v>14632.073628532524</v>
      </c>
      <c r="U3" s="125">
        <f>IF(SER_hh_emi!U3=0,0,1000000*SER_hh_emi!U3/SER_hh_num!U3)</f>
        <v>12906.432636524378</v>
      </c>
      <c r="V3" s="125">
        <f>IF(SER_hh_emi!V3=0,0,1000000*SER_hh_emi!V3/SER_hh_num!V3)</f>
        <v>13029.422375109905</v>
      </c>
      <c r="W3" s="125">
        <f>IF(SER_hh_emi!W3=0,0,1000000*SER_hh_emi!W3/SER_hh_num!W3)</f>
        <v>13524.521262917757</v>
      </c>
      <c r="X3" s="125">
        <f>IF(SER_hh_emi!X3=0,0,1000000*SER_hh_emi!X3/SER_hh_num!X3)</f>
        <v>9757.7624241066769</v>
      </c>
      <c r="Y3" s="125">
        <f>IF(SER_hh_emi!Y3=0,0,1000000*SER_hh_emi!Y3/SER_hh_num!Y3)</f>
        <v>9498.0799263721874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14768.303482360827</v>
      </c>
      <c r="C4" s="130">
        <f>IF(SER_hh_emi!C4=0,0,1000000*SER_hh_emi!C4/SER_hh_num!C4)</f>
        <v>18894.13089811767</v>
      </c>
      <c r="D4" s="130">
        <f>IF(SER_hh_emi!D4=0,0,1000000*SER_hh_emi!D4/SER_hh_num!D4)</f>
        <v>14105.748676664576</v>
      </c>
      <c r="E4" s="130">
        <f>IF(SER_hh_emi!E4=0,0,1000000*SER_hh_emi!E4/SER_hh_num!E4)</f>
        <v>19002.329025211719</v>
      </c>
      <c r="F4" s="130">
        <f>IF(SER_hh_emi!F4=0,0,1000000*SER_hh_emi!F4/SER_hh_num!F4)</f>
        <v>17765.922903948267</v>
      </c>
      <c r="G4" s="130">
        <f>IF(SER_hh_emi!G4=0,0,1000000*SER_hh_emi!G4/SER_hh_num!G4)</f>
        <v>16349.314844771707</v>
      </c>
      <c r="H4" s="130">
        <f>IF(SER_hh_emi!H4=0,0,1000000*SER_hh_emi!H4/SER_hh_num!H4)</f>
        <v>13324.762891381919</v>
      </c>
      <c r="I4" s="130">
        <f>IF(SER_hh_emi!I4=0,0,1000000*SER_hh_emi!I4/SER_hh_num!I4)</f>
        <v>12701.424586646541</v>
      </c>
      <c r="J4" s="130">
        <f>IF(SER_hh_emi!J4=0,0,1000000*SER_hh_emi!J4/SER_hh_num!J4)</f>
        <v>11012.666382490177</v>
      </c>
      <c r="K4" s="130">
        <f>IF(SER_hh_emi!K4=0,0,1000000*SER_hh_emi!K4/SER_hh_num!K4)</f>
        <v>9572.9353263603771</v>
      </c>
      <c r="L4" s="130">
        <f>IF(SER_hh_emi!L4=0,0,1000000*SER_hh_emi!L4/SER_hh_num!L4)</f>
        <v>8813.6077284205949</v>
      </c>
      <c r="M4" s="130">
        <f>IF(SER_hh_emi!M4=0,0,1000000*SER_hh_emi!M4/SER_hh_num!M4)</f>
        <v>10995.615805141473</v>
      </c>
      <c r="N4" s="130">
        <f>IF(SER_hh_emi!N4=0,0,1000000*SER_hh_emi!N4/SER_hh_num!N4)</f>
        <v>11542.595883361804</v>
      </c>
      <c r="O4" s="130">
        <f>IF(SER_hh_emi!O4=0,0,1000000*SER_hh_emi!O4/SER_hh_num!O4)</f>
        <v>12165.226885864624</v>
      </c>
      <c r="P4" s="130">
        <f>IF(SER_hh_emi!P4=0,0,1000000*SER_hh_emi!P4/SER_hh_num!P4)</f>
        <v>13048.5951362865</v>
      </c>
      <c r="Q4" s="130">
        <f>IF(SER_hh_emi!Q4=0,0,1000000*SER_hh_emi!Q4/SER_hh_num!Q4)</f>
        <v>13622.875720510747</v>
      </c>
      <c r="R4" s="130">
        <f>IF(SER_hh_emi!R4=0,0,1000000*SER_hh_emi!R4/SER_hh_num!R4)</f>
        <v>13244.848629500228</v>
      </c>
      <c r="S4" s="130">
        <f>IF(SER_hh_emi!S4=0,0,1000000*SER_hh_emi!S4/SER_hh_num!S4)</f>
        <v>12031.275542081898</v>
      </c>
      <c r="T4" s="130">
        <f>IF(SER_hh_emi!T4=0,0,1000000*SER_hh_emi!T4/SER_hh_num!T4)</f>
        <v>12309.632666468495</v>
      </c>
      <c r="U4" s="130">
        <f>IF(SER_hh_emi!U4=0,0,1000000*SER_hh_emi!U4/SER_hh_num!U4)</f>
        <v>10359.318862516968</v>
      </c>
      <c r="V4" s="130">
        <f>IF(SER_hh_emi!V4=0,0,1000000*SER_hh_emi!V4/SER_hh_num!V4)</f>
        <v>10519.376087059472</v>
      </c>
      <c r="W4" s="130">
        <f>IF(SER_hh_emi!W4=0,0,1000000*SER_hh_emi!W4/SER_hh_num!W4)</f>
        <v>11220.450005933708</v>
      </c>
      <c r="X4" s="130">
        <f>IF(SER_hh_emi!X4=0,0,1000000*SER_hh_emi!X4/SER_hh_num!X4)</f>
        <v>7620.8790570852025</v>
      </c>
      <c r="Y4" s="130">
        <f>IF(SER_hh_emi!Y4=0,0,1000000*SER_hh_emi!Y4/SER_hh_num!Y4)</f>
        <v>7256.8372603458283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59787.018737362239</v>
      </c>
      <c r="C5" s="132">
        <f>IF(SER_hh_emi!C5=0,0,1000000*SER_hh_emi!C5/SER_hh_num!C5)</f>
        <v>72463.789298065662</v>
      </c>
      <c r="D5" s="132">
        <f>IF(SER_hh_emi!D5=0,0,1000000*SER_hh_emi!D5/SER_hh_num!D5)</f>
        <v>63175.918340767348</v>
      </c>
      <c r="E5" s="132">
        <f>IF(SER_hh_emi!E5=0,0,1000000*SER_hh_emi!E5/SER_hh_num!E5)</f>
        <v>69642.399275398522</v>
      </c>
      <c r="F5" s="132">
        <f>IF(SER_hh_emi!F5=0,0,1000000*SER_hh_emi!F5/SER_hh_num!F5)</f>
        <v>74607.102699406285</v>
      </c>
      <c r="G5" s="132">
        <f>IF(SER_hh_emi!G5=0,0,1000000*SER_hh_emi!G5/SER_hh_num!G5)</f>
        <v>90520.160373149047</v>
      </c>
      <c r="H5" s="132">
        <f>IF(SER_hh_emi!H5=0,0,1000000*SER_hh_emi!H5/SER_hh_num!H5)</f>
        <v>66506.959790344394</v>
      </c>
      <c r="I5" s="132">
        <f>IF(SER_hh_emi!I5=0,0,1000000*SER_hh_emi!I5/SER_hh_num!I5)</f>
        <v>83309.943424746598</v>
      </c>
      <c r="J5" s="132">
        <f>IF(SER_hh_emi!J5=0,0,1000000*SER_hh_emi!J5/SER_hh_num!J5)</f>
        <v>78006.714630257105</v>
      </c>
      <c r="K5" s="132">
        <f>IF(SER_hh_emi!K5=0,0,1000000*SER_hh_emi!K5/SER_hh_num!K5)</f>
        <v>77477.948694621286</v>
      </c>
      <c r="L5" s="132">
        <f>IF(SER_hh_emi!L5=0,0,1000000*SER_hh_emi!L5/SER_hh_num!L5)</f>
        <v>79579.60588143811</v>
      </c>
      <c r="M5" s="132">
        <f>IF(SER_hh_emi!M5=0,0,1000000*SER_hh_emi!M5/SER_hh_num!M5)</f>
        <v>57501.390223261638</v>
      </c>
      <c r="N5" s="132">
        <f>IF(SER_hh_emi!N5=0,0,1000000*SER_hh_emi!N5/SER_hh_num!N5)</f>
        <v>63930.048544721874</v>
      </c>
      <c r="O5" s="132">
        <f>IF(SER_hh_emi!O5=0,0,1000000*SER_hh_emi!O5/SER_hh_num!O5)</f>
        <v>97044.563708625967</v>
      </c>
      <c r="P5" s="132">
        <f>IF(SER_hh_emi!P5=0,0,1000000*SER_hh_emi!P5/SER_hh_num!P5)</f>
        <v>64048.054829108689</v>
      </c>
      <c r="Q5" s="132">
        <f>IF(SER_hh_emi!Q5=0,0,1000000*SER_hh_emi!Q5/SER_hh_num!Q5)</f>
        <v>64326.26824016164</v>
      </c>
      <c r="R5" s="132">
        <f>IF(SER_hh_emi!R5=0,0,1000000*SER_hh_emi!R5/SER_hh_num!R5)</f>
        <v>99963.310590286317</v>
      </c>
      <c r="S5" s="132">
        <f>IF(SER_hh_emi!S5=0,0,1000000*SER_hh_emi!S5/SER_hh_num!S5)</f>
        <v>54673.303599642408</v>
      </c>
      <c r="T5" s="132">
        <f>IF(SER_hh_emi!T5=0,0,1000000*SER_hh_emi!T5/SER_hh_num!T5)</f>
        <v>66449.229805941795</v>
      </c>
      <c r="U5" s="132">
        <f>IF(SER_hh_emi!U5=0,0,1000000*SER_hh_emi!U5/SER_hh_num!U5)</f>
        <v>67017.742790030243</v>
      </c>
      <c r="V5" s="132">
        <f>IF(SER_hh_emi!V5=0,0,1000000*SER_hh_emi!V5/SER_hh_num!V5)</f>
        <v>71514.467475258076</v>
      </c>
      <c r="W5" s="132">
        <f>IF(SER_hh_emi!W5=0,0,1000000*SER_hh_emi!W5/SER_hh_num!W5)</f>
        <v>74058.020555744704</v>
      </c>
      <c r="X5" s="132">
        <f>IF(SER_hh_emi!X5=0,0,1000000*SER_hh_emi!X5/SER_hh_num!X5)</f>
        <v>83475.452773587196</v>
      </c>
      <c r="Y5" s="132">
        <f>IF(SER_hh_emi!Y5=0,0,1000000*SER_hh_emi!Y5/SER_hh_num!Y5)</f>
        <v>43513.676217478525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53145.571769276925</v>
      </c>
      <c r="C7" s="132">
        <f>IF(SER_hh_emi!C7=0,0,1000000*SER_hh_emi!C7/SER_hh_num!C7)</f>
        <v>69340.751874915353</v>
      </c>
      <c r="D7" s="132">
        <f>IF(SER_hh_emi!D7=0,0,1000000*SER_hh_emi!D7/SER_hh_num!D7)</f>
        <v>54127.898118564655</v>
      </c>
      <c r="E7" s="132">
        <f>IF(SER_hh_emi!E7=0,0,1000000*SER_hh_emi!E7/SER_hh_num!E7)</f>
        <v>57363.397096171691</v>
      </c>
      <c r="F7" s="132">
        <f>IF(SER_hh_emi!F7=0,0,1000000*SER_hh_emi!F7/SER_hh_num!F7)</f>
        <v>67688.49990213303</v>
      </c>
      <c r="G7" s="132">
        <f>IF(SER_hh_emi!G7=0,0,1000000*SER_hh_emi!G7/SER_hh_num!G7)</f>
        <v>78493.228861363255</v>
      </c>
      <c r="H7" s="132">
        <f>IF(SER_hh_emi!H7=0,0,1000000*SER_hh_emi!H7/SER_hh_num!H7)</f>
        <v>64382.335699537784</v>
      </c>
      <c r="I7" s="132">
        <f>IF(SER_hh_emi!I7=0,0,1000000*SER_hh_emi!I7/SER_hh_num!I7)</f>
        <v>70930.394053435128</v>
      </c>
      <c r="J7" s="132">
        <f>IF(SER_hh_emi!J7=0,0,1000000*SER_hh_emi!J7/SER_hh_num!J7)</f>
        <v>74905.56021544004</v>
      </c>
      <c r="K7" s="132">
        <f>IF(SER_hh_emi!K7=0,0,1000000*SER_hh_emi!K7/SER_hh_num!K7)</f>
        <v>68095.87024214337</v>
      </c>
      <c r="L7" s="132">
        <f>IF(SER_hh_emi!L7=0,0,1000000*SER_hh_emi!L7/SER_hh_num!L7)</f>
        <v>53577.470269205383</v>
      </c>
      <c r="M7" s="132">
        <f>IF(SER_hh_emi!M7=0,0,1000000*SER_hh_emi!M7/SER_hh_num!M7)</f>
        <v>66081.303286043156</v>
      </c>
      <c r="N7" s="132">
        <f>IF(SER_hh_emi!N7=0,0,1000000*SER_hh_emi!N7/SER_hh_num!N7)</f>
        <v>64738.389256134695</v>
      </c>
      <c r="O7" s="132">
        <f>IF(SER_hh_emi!O7=0,0,1000000*SER_hh_emi!O7/SER_hh_num!O7)</f>
        <v>60523.243799444899</v>
      </c>
      <c r="P7" s="132">
        <f>IF(SER_hh_emi!P7=0,0,1000000*SER_hh_emi!P7/SER_hh_num!P7)</f>
        <v>54517.462439017669</v>
      </c>
      <c r="Q7" s="132">
        <f>IF(SER_hh_emi!Q7=0,0,1000000*SER_hh_emi!Q7/SER_hh_num!Q7)</f>
        <v>67261.617781429173</v>
      </c>
      <c r="R7" s="132">
        <f>IF(SER_hh_emi!R7=0,0,1000000*SER_hh_emi!R7/SER_hh_num!R7)</f>
        <v>57982.241554478736</v>
      </c>
      <c r="S7" s="132">
        <f>IF(SER_hh_emi!S7=0,0,1000000*SER_hh_emi!S7/SER_hh_num!S7)</f>
        <v>66575.485978650482</v>
      </c>
      <c r="T7" s="132">
        <f>IF(SER_hh_emi!T7=0,0,1000000*SER_hh_emi!T7/SER_hh_num!T7)</f>
        <v>72054.225877536141</v>
      </c>
      <c r="U7" s="132">
        <f>IF(SER_hh_emi!U7=0,0,1000000*SER_hh_emi!U7/SER_hh_num!U7)</f>
        <v>56551.281549999017</v>
      </c>
      <c r="V7" s="132">
        <f>IF(SER_hh_emi!V7=0,0,1000000*SER_hh_emi!V7/SER_hh_num!V7)</f>
        <v>59875.814460753696</v>
      </c>
      <c r="W7" s="132">
        <f>IF(SER_hh_emi!W7=0,0,1000000*SER_hh_emi!W7/SER_hh_num!W7)</f>
        <v>59350.257848238623</v>
      </c>
      <c r="X7" s="132">
        <f>IF(SER_hh_emi!X7=0,0,1000000*SER_hh_emi!X7/SER_hh_num!X7)</f>
        <v>52616.784114492169</v>
      </c>
      <c r="Y7" s="132">
        <f>IF(SER_hh_emi!Y7=0,0,1000000*SER_hh_emi!Y7/SER_hh_num!Y7)</f>
        <v>50827.368468758556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0</v>
      </c>
      <c r="C8" s="132">
        <f>IF(SER_hh_emi!C8=0,0,1000000*SER_hh_emi!C8/SER_hh_num!C8)</f>
        <v>0</v>
      </c>
      <c r="D8" s="132">
        <f>IF(SER_hh_emi!D8=0,0,1000000*SER_hh_emi!D8/SER_hh_num!D8)</f>
        <v>0</v>
      </c>
      <c r="E8" s="132">
        <f>IF(SER_hh_emi!E8=0,0,1000000*SER_hh_emi!E8/SER_hh_num!E8)</f>
        <v>0</v>
      </c>
      <c r="F8" s="132">
        <f>IF(SER_hh_emi!F8=0,0,1000000*SER_hh_emi!F8/SER_hh_num!F8)</f>
        <v>0</v>
      </c>
      <c r="G8" s="132">
        <f>IF(SER_hh_emi!G8=0,0,1000000*SER_hh_emi!G8/SER_hh_num!G8)</f>
        <v>0</v>
      </c>
      <c r="H8" s="132">
        <f>IF(SER_hh_emi!H8=0,0,1000000*SER_hh_emi!H8/SER_hh_num!H8)</f>
        <v>0</v>
      </c>
      <c r="I8" s="132">
        <f>IF(SER_hh_emi!I8=0,0,1000000*SER_hh_emi!I8/SER_hh_num!I8)</f>
        <v>0</v>
      </c>
      <c r="J8" s="132">
        <f>IF(SER_hh_emi!J8=0,0,1000000*SER_hh_emi!J8/SER_hh_num!J8)</f>
        <v>0</v>
      </c>
      <c r="K8" s="132">
        <f>IF(SER_hh_emi!K8=0,0,1000000*SER_hh_emi!K8/SER_hh_num!K8)</f>
        <v>0</v>
      </c>
      <c r="L8" s="132">
        <f>IF(SER_hh_emi!L8=0,0,1000000*SER_hh_emi!L8/SER_hh_num!L8)</f>
        <v>0</v>
      </c>
      <c r="M8" s="132">
        <f>IF(SER_hh_emi!M8=0,0,1000000*SER_hh_emi!M8/SER_hh_num!M8)</f>
        <v>0</v>
      </c>
      <c r="N8" s="132">
        <f>IF(SER_hh_emi!N8=0,0,1000000*SER_hh_emi!N8/SER_hh_num!N8)</f>
        <v>0</v>
      </c>
      <c r="O8" s="132">
        <f>IF(SER_hh_emi!O8=0,0,1000000*SER_hh_emi!O8/SER_hh_num!O8)</f>
        <v>0</v>
      </c>
      <c r="P8" s="132">
        <f>IF(SER_hh_emi!P8=0,0,1000000*SER_hh_emi!P8/SER_hh_num!P8)</f>
        <v>0</v>
      </c>
      <c r="Q8" s="132">
        <f>IF(SER_hh_emi!Q8=0,0,1000000*SER_hh_emi!Q8/SER_hh_num!Q8)</f>
        <v>0</v>
      </c>
      <c r="R8" s="132">
        <f>IF(SER_hh_emi!R8=0,0,1000000*SER_hh_emi!R8/SER_hh_num!R8)</f>
        <v>0</v>
      </c>
      <c r="S8" s="132">
        <f>IF(SER_hh_emi!S8=0,0,1000000*SER_hh_emi!S8/SER_hh_num!S8)</f>
        <v>0</v>
      </c>
      <c r="T8" s="132">
        <f>IF(SER_hh_emi!T8=0,0,1000000*SER_hh_emi!T8/SER_hh_num!T8)</f>
        <v>0</v>
      </c>
      <c r="U8" s="132">
        <f>IF(SER_hh_emi!U8=0,0,1000000*SER_hh_emi!U8/SER_hh_num!U8)</f>
        <v>0</v>
      </c>
      <c r="V8" s="132">
        <f>IF(SER_hh_emi!V8=0,0,1000000*SER_hh_emi!V8/SER_hh_num!V8)</f>
        <v>0</v>
      </c>
      <c r="W8" s="132">
        <f>IF(SER_hh_emi!W8=0,0,1000000*SER_hh_emi!W8/SER_hh_num!W8)</f>
        <v>0</v>
      </c>
      <c r="X8" s="132">
        <f>IF(SER_hh_emi!X8=0,0,1000000*SER_hh_emi!X8/SER_hh_num!X8)</f>
        <v>0</v>
      </c>
      <c r="Y8" s="132">
        <f>IF(SER_hh_emi!Y8=0,0,1000000*SER_hh_emi!Y8/SER_hh_num!Y8)</f>
        <v>0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30327.608995265218</v>
      </c>
      <c r="C9" s="132">
        <f>IF(SER_hh_emi!C9=0,0,1000000*SER_hh_emi!C9/SER_hh_num!C9)</f>
        <v>40827.275773672045</v>
      </c>
      <c r="D9" s="132">
        <f>IF(SER_hh_emi!D9=0,0,1000000*SER_hh_emi!D9/SER_hh_num!D9)</f>
        <v>28297.762013196199</v>
      </c>
      <c r="E9" s="132">
        <f>IF(SER_hh_emi!E9=0,0,1000000*SER_hh_emi!E9/SER_hh_num!E9)</f>
        <v>55675.560395389097</v>
      </c>
      <c r="F9" s="132">
        <f>IF(SER_hh_emi!F9=0,0,1000000*SER_hh_emi!F9/SER_hh_num!F9)</f>
        <v>49298.934379844322</v>
      </c>
      <c r="G9" s="132">
        <f>IF(SER_hh_emi!G9=0,0,1000000*SER_hh_emi!G9/SER_hh_num!G9)</f>
        <v>39937.112898290703</v>
      </c>
      <c r="H9" s="132">
        <f>IF(SER_hh_emi!H9=0,0,1000000*SER_hh_emi!H9/SER_hh_num!H9)</f>
        <v>47193.560592486872</v>
      </c>
      <c r="I9" s="132">
        <f>IF(SER_hh_emi!I9=0,0,1000000*SER_hh_emi!I9/SER_hh_num!I9)</f>
        <v>47698.352504404218</v>
      </c>
      <c r="J9" s="132">
        <f>IF(SER_hh_emi!J9=0,0,1000000*SER_hh_emi!J9/SER_hh_num!J9)</f>
        <v>43588.871542121255</v>
      </c>
      <c r="K9" s="132">
        <f>IF(SER_hh_emi!K9=0,0,1000000*SER_hh_emi!K9/SER_hh_num!K9)</f>
        <v>39763.136873965035</v>
      </c>
      <c r="L9" s="132">
        <f>IF(SER_hh_emi!L9=0,0,1000000*SER_hh_emi!L9/SER_hh_num!L9)</f>
        <v>44980.649299859077</v>
      </c>
      <c r="M9" s="132">
        <f>IF(SER_hh_emi!M9=0,0,1000000*SER_hh_emi!M9/SER_hh_num!M9)</f>
        <v>40471.177339706752</v>
      </c>
      <c r="N9" s="132">
        <f>IF(SER_hh_emi!N9=0,0,1000000*SER_hh_emi!N9/SER_hh_num!N9)</f>
        <v>37686.194625619079</v>
      </c>
      <c r="O9" s="132">
        <f>IF(SER_hh_emi!O9=0,0,1000000*SER_hh_emi!O9/SER_hh_num!O9)</f>
        <v>37079.135312556697</v>
      </c>
      <c r="P9" s="132">
        <f>IF(SER_hh_emi!P9=0,0,1000000*SER_hh_emi!P9/SER_hh_num!P9)</f>
        <v>47578.40128569003</v>
      </c>
      <c r="Q9" s="132">
        <f>IF(SER_hh_emi!Q9=0,0,1000000*SER_hh_emi!Q9/SER_hh_num!Q9)</f>
        <v>43595.884452299753</v>
      </c>
      <c r="R9" s="132">
        <f>IF(SER_hh_emi!R9=0,0,1000000*SER_hh_emi!R9/SER_hh_num!R9)</f>
        <v>45730.531508534805</v>
      </c>
      <c r="S9" s="132">
        <f>IF(SER_hh_emi!S9=0,0,1000000*SER_hh_emi!S9/SER_hh_num!S9)</f>
        <v>38907.084164465043</v>
      </c>
      <c r="T9" s="132">
        <f>IF(SER_hh_emi!T9=0,0,1000000*SER_hh_emi!T9/SER_hh_num!T9)</f>
        <v>40963.173189019428</v>
      </c>
      <c r="U9" s="132">
        <f>IF(SER_hh_emi!U9=0,0,1000000*SER_hh_emi!U9/SER_hh_num!U9)</f>
        <v>37638.043901229845</v>
      </c>
      <c r="V9" s="132">
        <f>IF(SER_hh_emi!V9=0,0,1000000*SER_hh_emi!V9/SER_hh_num!V9)</f>
        <v>40227.091575714199</v>
      </c>
      <c r="W9" s="132">
        <f>IF(SER_hh_emi!W9=0,0,1000000*SER_hh_emi!W9/SER_hh_num!W9)</f>
        <v>47422.435252443887</v>
      </c>
      <c r="X9" s="132">
        <f>IF(SER_hh_emi!X9=0,0,1000000*SER_hh_emi!X9/SER_hh_num!X9)</f>
        <v>30604.614893043712</v>
      </c>
      <c r="Y9" s="132">
        <f>IF(SER_hh_emi!Y9=0,0,1000000*SER_hh_emi!Y9/SER_hh_num!Y9)</f>
        <v>28429.698821395759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0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0</v>
      </c>
      <c r="K10" s="132">
        <f>IF(SER_hh_emi!K10=0,0,1000000*SER_hh_emi!K10/SER_hh_num!K10)</f>
        <v>0</v>
      </c>
      <c r="L10" s="132">
        <f>IF(SER_hh_emi!L10=0,0,1000000*SER_hh_emi!L10/SER_hh_num!L10)</f>
        <v>0</v>
      </c>
      <c r="M10" s="132">
        <f>IF(SER_hh_emi!M10=0,0,1000000*SER_hh_emi!M10/SER_hh_num!M10)</f>
        <v>0</v>
      </c>
      <c r="N10" s="132">
        <f>IF(SER_hh_emi!N10=0,0,1000000*SER_hh_emi!N10/SER_hh_num!N10)</f>
        <v>0</v>
      </c>
      <c r="O10" s="132">
        <f>IF(SER_hh_emi!O10=0,0,1000000*SER_hh_emi!O10/SER_hh_num!O10)</f>
        <v>0</v>
      </c>
      <c r="P10" s="132">
        <f>IF(SER_hh_emi!P10=0,0,1000000*SER_hh_emi!P10/SER_hh_num!P10)</f>
        <v>0</v>
      </c>
      <c r="Q10" s="132">
        <f>IF(SER_hh_emi!Q10=0,0,1000000*SER_hh_emi!Q10/SER_hh_num!Q10)</f>
        <v>0</v>
      </c>
      <c r="R10" s="132">
        <f>IF(SER_hh_emi!R10=0,0,1000000*SER_hh_emi!R10/SER_hh_num!R10)</f>
        <v>0</v>
      </c>
      <c r="S10" s="132">
        <f>IF(SER_hh_emi!S10=0,0,1000000*SER_hh_emi!S10/SER_hh_num!S10)</f>
        <v>0</v>
      </c>
      <c r="T10" s="132">
        <f>IF(SER_hh_emi!T10=0,0,1000000*SER_hh_emi!T10/SER_hh_num!T10)</f>
        <v>0</v>
      </c>
      <c r="U10" s="132">
        <f>IF(SER_hh_emi!U10=0,0,1000000*SER_hh_emi!U10/SER_hh_num!U10)</f>
        <v>0</v>
      </c>
      <c r="V10" s="132">
        <f>IF(SER_hh_emi!V10=0,0,1000000*SER_hh_emi!V10/SER_hh_num!V10)</f>
        <v>0</v>
      </c>
      <c r="W10" s="132">
        <f>IF(SER_hh_emi!W10=0,0,1000000*SER_hh_emi!W10/SER_hh_num!W10)</f>
        <v>0</v>
      </c>
      <c r="X10" s="132">
        <f>IF(SER_hh_emi!X10=0,0,1000000*SER_hh_emi!X10/SER_hh_num!X10)</f>
        <v>0</v>
      </c>
      <c r="Y10" s="132">
        <f>IF(SER_hh_emi!Y10=0,0,1000000*SER_hh_emi!Y10/SER_hh_num!Y10)</f>
        <v>0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0</v>
      </c>
      <c r="C16" s="130">
        <f>IF(SER_hh_emi!C16=0,0,1000000*SER_hh_emi!C16/SER_hh_num!C16)</f>
        <v>0</v>
      </c>
      <c r="D16" s="130">
        <f>IF(SER_hh_emi!D16=0,0,1000000*SER_hh_emi!D16/SER_hh_num!D16)</f>
        <v>0</v>
      </c>
      <c r="E16" s="130">
        <f>IF(SER_hh_emi!E16=0,0,1000000*SER_hh_emi!E16/SER_hh_num!E16)</f>
        <v>0</v>
      </c>
      <c r="F16" s="130">
        <f>IF(SER_hh_emi!F16=0,0,1000000*SER_hh_emi!F16/SER_hh_num!F16)</f>
        <v>0</v>
      </c>
      <c r="G16" s="130">
        <f>IF(SER_hh_emi!G16=0,0,1000000*SER_hh_emi!G16/SER_hh_num!G16)</f>
        <v>0</v>
      </c>
      <c r="H16" s="130">
        <f>IF(SER_hh_emi!H16=0,0,1000000*SER_hh_emi!H16/SER_hh_num!H16)</f>
        <v>0</v>
      </c>
      <c r="I16" s="130">
        <f>IF(SER_hh_emi!I16=0,0,1000000*SER_hh_emi!I16/SER_hh_num!I16)</f>
        <v>0</v>
      </c>
      <c r="J16" s="130">
        <f>IF(SER_hh_emi!J16=0,0,1000000*SER_hh_emi!J16/SER_hh_num!J16)</f>
        <v>0</v>
      </c>
      <c r="K16" s="130">
        <f>IF(SER_hh_emi!K16=0,0,1000000*SER_hh_emi!K16/SER_hh_num!K16)</f>
        <v>0</v>
      </c>
      <c r="L16" s="130">
        <f>IF(SER_hh_emi!L16=0,0,1000000*SER_hh_emi!L16/SER_hh_num!L16)</f>
        <v>0</v>
      </c>
      <c r="M16" s="130">
        <f>IF(SER_hh_emi!M16=0,0,1000000*SER_hh_emi!M16/SER_hh_num!M16)</f>
        <v>0</v>
      </c>
      <c r="N16" s="130">
        <f>IF(SER_hh_emi!N16=0,0,1000000*SER_hh_emi!N16/SER_hh_num!N16)</f>
        <v>0</v>
      </c>
      <c r="O16" s="130">
        <f>IF(SER_hh_emi!O16=0,0,1000000*SER_hh_emi!O16/SER_hh_num!O16)</f>
        <v>0</v>
      </c>
      <c r="P16" s="130">
        <f>IF(SER_hh_emi!P16=0,0,1000000*SER_hh_emi!P16/SER_hh_num!P16)</f>
        <v>0</v>
      </c>
      <c r="Q16" s="130">
        <f>IF(SER_hh_emi!Q16=0,0,1000000*SER_hh_emi!Q16/SER_hh_num!Q16)</f>
        <v>0</v>
      </c>
      <c r="R16" s="130">
        <f>IF(SER_hh_emi!R16=0,0,1000000*SER_hh_emi!R16/SER_hh_num!R16)</f>
        <v>0</v>
      </c>
      <c r="S16" s="130">
        <f>IF(SER_hh_emi!S16=0,0,1000000*SER_hh_emi!S16/SER_hh_num!S16)</f>
        <v>0</v>
      </c>
      <c r="T16" s="130">
        <f>IF(SER_hh_emi!T16=0,0,1000000*SER_hh_emi!T16/SER_hh_num!T16)</f>
        <v>0</v>
      </c>
      <c r="U16" s="130">
        <f>IF(SER_hh_emi!U16=0,0,1000000*SER_hh_emi!U16/SER_hh_num!U16)</f>
        <v>0</v>
      </c>
      <c r="V16" s="130">
        <f>IF(SER_hh_emi!V16=0,0,1000000*SER_hh_emi!V16/SER_hh_num!V16)</f>
        <v>0</v>
      </c>
      <c r="W16" s="130">
        <f>IF(SER_hh_emi!W16=0,0,1000000*SER_hh_emi!W16/SER_hh_num!W16)</f>
        <v>0</v>
      </c>
      <c r="X16" s="130">
        <f>IF(SER_hh_emi!X16=0,0,1000000*SER_hh_emi!X16/SER_hh_num!X16)</f>
        <v>0</v>
      </c>
      <c r="Y16" s="130">
        <f>IF(SER_hh_emi!Y16=0,0,1000000*SER_hh_emi!Y16/SER_hh_num!Y16)</f>
        <v>0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0</v>
      </c>
      <c r="C17" s="132">
        <f>IF(SER_hh_emi!C17=0,0,1000000*SER_hh_emi!C17/SER_hh_num!C17)</f>
        <v>0</v>
      </c>
      <c r="D17" s="132">
        <f>IF(SER_hh_emi!D17=0,0,1000000*SER_hh_emi!D17/SER_hh_num!D17)</f>
        <v>0</v>
      </c>
      <c r="E17" s="132">
        <f>IF(SER_hh_emi!E17=0,0,1000000*SER_hh_emi!E17/SER_hh_num!E17)</f>
        <v>0</v>
      </c>
      <c r="F17" s="132">
        <f>IF(SER_hh_emi!F17=0,0,1000000*SER_hh_emi!F17/SER_hh_num!F17)</f>
        <v>0</v>
      </c>
      <c r="G17" s="132">
        <f>IF(SER_hh_emi!G17=0,0,1000000*SER_hh_emi!G17/SER_hh_num!G17)</f>
        <v>0</v>
      </c>
      <c r="H17" s="132">
        <f>IF(SER_hh_emi!H17=0,0,1000000*SER_hh_emi!H17/SER_hh_num!H17)</f>
        <v>0</v>
      </c>
      <c r="I17" s="132">
        <f>IF(SER_hh_emi!I17=0,0,1000000*SER_hh_emi!I17/SER_hh_num!I17)</f>
        <v>0</v>
      </c>
      <c r="J17" s="132">
        <f>IF(SER_hh_emi!J17=0,0,1000000*SER_hh_emi!J17/SER_hh_num!J17)</f>
        <v>0</v>
      </c>
      <c r="K17" s="132">
        <f>IF(SER_hh_emi!K17=0,0,1000000*SER_hh_emi!K17/SER_hh_num!K17)</f>
        <v>0</v>
      </c>
      <c r="L17" s="132">
        <f>IF(SER_hh_emi!L17=0,0,1000000*SER_hh_emi!L17/SER_hh_num!L17)</f>
        <v>0</v>
      </c>
      <c r="M17" s="132">
        <f>IF(SER_hh_emi!M17=0,0,1000000*SER_hh_emi!M17/SER_hh_num!M17)</f>
        <v>0</v>
      </c>
      <c r="N17" s="132">
        <f>IF(SER_hh_emi!N17=0,0,1000000*SER_hh_emi!N17/SER_hh_num!N17)</f>
        <v>0</v>
      </c>
      <c r="O17" s="132">
        <f>IF(SER_hh_emi!O17=0,0,1000000*SER_hh_emi!O17/SER_hh_num!O17)</f>
        <v>0</v>
      </c>
      <c r="P17" s="132">
        <f>IF(SER_hh_emi!P17=0,0,1000000*SER_hh_emi!P17/SER_hh_num!P17)</f>
        <v>0</v>
      </c>
      <c r="Q17" s="132">
        <f>IF(SER_hh_emi!Q17=0,0,1000000*SER_hh_emi!Q17/SER_hh_num!Q17)</f>
        <v>0</v>
      </c>
      <c r="R17" s="132">
        <f>IF(SER_hh_emi!R17=0,0,1000000*SER_hh_emi!R17/SER_hh_num!R17)</f>
        <v>0</v>
      </c>
      <c r="S17" s="132">
        <f>IF(SER_hh_emi!S17=0,0,1000000*SER_hh_emi!S17/SER_hh_num!S17)</f>
        <v>0</v>
      </c>
      <c r="T17" s="132">
        <f>IF(SER_hh_emi!T17=0,0,1000000*SER_hh_emi!T17/SER_hh_num!T17)</f>
        <v>0</v>
      </c>
      <c r="U17" s="132">
        <f>IF(SER_hh_emi!U17=0,0,1000000*SER_hh_emi!U17/SER_hh_num!U17)</f>
        <v>0</v>
      </c>
      <c r="V17" s="132">
        <f>IF(SER_hh_emi!V17=0,0,1000000*SER_hh_emi!V17/SER_hh_num!V17)</f>
        <v>0</v>
      </c>
      <c r="W17" s="132">
        <f>IF(SER_hh_emi!W17=0,0,1000000*SER_hh_emi!W17/SER_hh_num!W17)</f>
        <v>0</v>
      </c>
      <c r="X17" s="132">
        <f>IF(SER_hh_emi!X17=0,0,1000000*SER_hh_emi!X17/SER_hh_num!X17)</f>
        <v>0</v>
      </c>
      <c r="Y17" s="132">
        <f>IF(SER_hh_emi!Y17=0,0,1000000*SER_hh_emi!Y17/SER_hh_num!Y17)</f>
        <v>0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1935.2804128958878</v>
      </c>
      <c r="C19" s="130">
        <f>IF(SER_hh_emi!C19=0,0,1000000*SER_hh_emi!C19/SER_hh_num!C19)</f>
        <v>2039.8304020057867</v>
      </c>
      <c r="D19" s="130">
        <f>IF(SER_hh_emi!D19=0,0,1000000*SER_hh_emi!D19/SER_hh_num!D19)</f>
        <v>1777.9443687968362</v>
      </c>
      <c r="E19" s="130">
        <f>IF(SER_hh_emi!E19=0,0,1000000*SER_hh_emi!E19/SER_hh_num!E19)</f>
        <v>1371.4638847148894</v>
      </c>
      <c r="F19" s="130">
        <f>IF(SER_hh_emi!F19=0,0,1000000*SER_hh_emi!F19/SER_hh_num!F19)</f>
        <v>1178.3450238173928</v>
      </c>
      <c r="G19" s="130">
        <f>IF(SER_hh_emi!G19=0,0,1000000*SER_hh_emi!G19/SER_hh_num!G19)</f>
        <v>1079.8868999321794</v>
      </c>
      <c r="H19" s="130">
        <f>IF(SER_hh_emi!H19=0,0,1000000*SER_hh_emi!H19/SER_hh_num!H19)</f>
        <v>984.05092327083173</v>
      </c>
      <c r="I19" s="130">
        <f>IF(SER_hh_emi!I19=0,0,1000000*SER_hh_emi!I19/SER_hh_num!I19)</f>
        <v>926.8986384943023</v>
      </c>
      <c r="J19" s="130">
        <f>IF(SER_hh_emi!J19=0,0,1000000*SER_hh_emi!J19/SER_hh_num!J19)</f>
        <v>949.67062955727704</v>
      </c>
      <c r="K19" s="130">
        <f>IF(SER_hh_emi!K19=0,0,1000000*SER_hh_emi!K19/SER_hh_num!K19)</f>
        <v>939.92580665575372</v>
      </c>
      <c r="L19" s="130">
        <f>IF(SER_hh_emi!L19=0,0,1000000*SER_hh_emi!L19/SER_hh_num!L19)</f>
        <v>918.66250635799076</v>
      </c>
      <c r="M19" s="130">
        <f>IF(SER_hh_emi!M19=0,0,1000000*SER_hh_emi!M19/SER_hh_num!M19)</f>
        <v>951.0207862172706</v>
      </c>
      <c r="N19" s="130">
        <f>IF(SER_hh_emi!N19=0,0,1000000*SER_hh_emi!N19/SER_hh_num!N19)</f>
        <v>942.37952361661189</v>
      </c>
      <c r="O19" s="130">
        <f>IF(SER_hh_emi!O19=0,0,1000000*SER_hh_emi!O19/SER_hh_num!O19)</f>
        <v>1062.8890979411656</v>
      </c>
      <c r="P19" s="130">
        <f>IF(SER_hh_emi!P19=0,0,1000000*SER_hh_emi!P19/SER_hh_num!P19)</f>
        <v>1255.625272411414</v>
      </c>
      <c r="Q19" s="130">
        <f>IF(SER_hh_emi!Q19=0,0,1000000*SER_hh_emi!Q19/SER_hh_num!Q19)</f>
        <v>1242.2211138175962</v>
      </c>
      <c r="R19" s="130">
        <f>IF(SER_hh_emi!R19=0,0,1000000*SER_hh_emi!R19/SER_hh_num!R19)</f>
        <v>1180.4570294793334</v>
      </c>
      <c r="S19" s="130">
        <f>IF(SER_hh_emi!S19=0,0,1000000*SER_hh_emi!S19/SER_hh_num!S19)</f>
        <v>1222.5873398545511</v>
      </c>
      <c r="T19" s="130">
        <f>IF(SER_hh_emi!T19=0,0,1000000*SER_hh_emi!T19/SER_hh_num!T19)</f>
        <v>1288.5168355440935</v>
      </c>
      <c r="U19" s="130">
        <f>IF(SER_hh_emi!U19=0,0,1000000*SER_hh_emi!U19/SER_hh_num!U19)</f>
        <v>1218.8975545092587</v>
      </c>
      <c r="V19" s="130">
        <f>IF(SER_hh_emi!V19=0,0,1000000*SER_hh_emi!V19/SER_hh_num!V19)</f>
        <v>1211.3835857018162</v>
      </c>
      <c r="W19" s="130">
        <f>IF(SER_hh_emi!W19=0,0,1000000*SER_hh_emi!W19/SER_hh_num!W19)</f>
        <v>1135.7824713793711</v>
      </c>
      <c r="X19" s="130">
        <f>IF(SER_hh_emi!X19=0,0,1000000*SER_hh_emi!X19/SER_hh_num!X19)</f>
        <v>1052.2035468129991</v>
      </c>
      <c r="Y19" s="130">
        <f>IF(SER_hh_emi!Y19=0,0,1000000*SER_hh_emi!Y19/SER_hh_num!Y19)</f>
        <v>960.17911200411402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0</v>
      </c>
      <c r="C21" s="132">
        <f>IF(SER_hh_emi!C21=0,0,1000000*SER_hh_emi!C21/SER_hh_num!C21)</f>
        <v>0</v>
      </c>
      <c r="D21" s="132">
        <f>IF(SER_hh_emi!D21=0,0,1000000*SER_hh_emi!D21/SER_hh_num!D21)</f>
        <v>0</v>
      </c>
      <c r="E21" s="132">
        <f>IF(SER_hh_emi!E21=0,0,1000000*SER_hh_emi!E21/SER_hh_num!E21)</f>
        <v>0</v>
      </c>
      <c r="F21" s="132">
        <f>IF(SER_hh_emi!F21=0,0,1000000*SER_hh_emi!F21/SER_hh_num!F21)</f>
        <v>0</v>
      </c>
      <c r="G21" s="132">
        <f>IF(SER_hh_emi!G21=0,0,1000000*SER_hh_emi!G21/SER_hh_num!G21)</f>
        <v>0</v>
      </c>
      <c r="H21" s="132">
        <f>IF(SER_hh_emi!H21=0,0,1000000*SER_hh_emi!H21/SER_hh_num!H21)</f>
        <v>0</v>
      </c>
      <c r="I21" s="132">
        <f>IF(SER_hh_emi!I21=0,0,1000000*SER_hh_emi!I21/SER_hh_num!I21)</f>
        <v>0</v>
      </c>
      <c r="J21" s="132">
        <f>IF(SER_hh_emi!J21=0,0,1000000*SER_hh_emi!J21/SER_hh_num!J21)</f>
        <v>0</v>
      </c>
      <c r="K21" s="132">
        <f>IF(SER_hh_emi!K21=0,0,1000000*SER_hh_emi!K21/SER_hh_num!K21)</f>
        <v>0</v>
      </c>
      <c r="L21" s="132">
        <f>IF(SER_hh_emi!L21=0,0,1000000*SER_hh_emi!L21/SER_hh_num!L21)</f>
        <v>0</v>
      </c>
      <c r="M21" s="132">
        <f>IF(SER_hh_emi!M21=0,0,1000000*SER_hh_emi!M21/SER_hh_num!M21)</f>
        <v>0</v>
      </c>
      <c r="N21" s="132">
        <f>IF(SER_hh_emi!N21=0,0,1000000*SER_hh_emi!N21/SER_hh_num!N21)</f>
        <v>0</v>
      </c>
      <c r="O21" s="132">
        <f>IF(SER_hh_emi!O21=0,0,1000000*SER_hh_emi!O21/SER_hh_num!O21)</f>
        <v>0</v>
      </c>
      <c r="P21" s="132">
        <f>IF(SER_hh_emi!P21=0,0,1000000*SER_hh_emi!P21/SER_hh_num!P21)</f>
        <v>0</v>
      </c>
      <c r="Q21" s="132">
        <f>IF(SER_hh_emi!Q21=0,0,1000000*SER_hh_emi!Q21/SER_hh_num!Q21)</f>
        <v>0</v>
      </c>
      <c r="R21" s="132">
        <f>IF(SER_hh_emi!R21=0,0,1000000*SER_hh_emi!R21/SER_hh_num!R21)</f>
        <v>0</v>
      </c>
      <c r="S21" s="132">
        <f>IF(SER_hh_emi!S21=0,0,1000000*SER_hh_emi!S21/SER_hh_num!S21)</f>
        <v>0</v>
      </c>
      <c r="T21" s="132">
        <f>IF(SER_hh_emi!T21=0,0,1000000*SER_hh_emi!T21/SER_hh_num!T21)</f>
        <v>0</v>
      </c>
      <c r="U21" s="132">
        <f>IF(SER_hh_emi!U21=0,0,1000000*SER_hh_emi!U21/SER_hh_num!U21)</f>
        <v>0</v>
      </c>
      <c r="V21" s="132">
        <f>IF(SER_hh_emi!V21=0,0,1000000*SER_hh_emi!V21/SER_hh_num!V21)</f>
        <v>0</v>
      </c>
      <c r="W21" s="132">
        <f>IF(SER_hh_emi!W21=0,0,1000000*SER_hh_emi!W21/SER_hh_num!W21)</f>
        <v>0</v>
      </c>
      <c r="X21" s="132">
        <f>IF(SER_hh_emi!X21=0,0,1000000*SER_hh_emi!X21/SER_hh_num!X21)</f>
        <v>0</v>
      </c>
      <c r="Y21" s="132">
        <f>IF(SER_hh_emi!Y21=0,0,1000000*SER_hh_emi!Y21/SER_hh_num!Y21)</f>
        <v>0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9831.0090449645431</v>
      </c>
      <c r="C22" s="132">
        <f>IF(SER_hh_emi!C22=0,0,1000000*SER_hh_emi!C22/SER_hh_num!C22)</f>
        <v>9913.3509608813947</v>
      </c>
      <c r="D22" s="132">
        <f>IF(SER_hh_emi!D22=0,0,1000000*SER_hh_emi!D22/SER_hh_num!D22)</f>
        <v>9871.3984576143903</v>
      </c>
      <c r="E22" s="132">
        <f>IF(SER_hh_emi!E22=0,0,1000000*SER_hh_emi!E22/SER_hh_num!E22)</f>
        <v>8656.6514877082773</v>
      </c>
      <c r="F22" s="132">
        <f>IF(SER_hh_emi!F22=0,0,1000000*SER_hh_emi!F22/SER_hh_num!F22)</f>
        <v>8474.5853529866399</v>
      </c>
      <c r="G22" s="132">
        <f>IF(SER_hh_emi!G22=0,0,1000000*SER_hh_emi!G22/SER_hh_num!G22)</f>
        <v>8793.2928652778719</v>
      </c>
      <c r="H22" s="132">
        <f>IF(SER_hh_emi!H22=0,0,1000000*SER_hh_emi!H22/SER_hh_num!H22)</f>
        <v>8601.6556846264975</v>
      </c>
      <c r="I22" s="132">
        <f>IF(SER_hh_emi!I22=0,0,1000000*SER_hh_emi!I22/SER_hh_num!I22)</f>
        <v>8387.0118447176446</v>
      </c>
      <c r="J22" s="132">
        <f>IF(SER_hh_emi!J22=0,0,1000000*SER_hh_emi!J22/SER_hh_num!J22)</f>
        <v>8529.1200101750601</v>
      </c>
      <c r="K22" s="132">
        <f>IF(SER_hh_emi!K22=0,0,1000000*SER_hh_emi!K22/SER_hh_num!K22)</f>
        <v>8337.5107318989685</v>
      </c>
      <c r="L22" s="132">
        <f>IF(SER_hh_emi!L22=0,0,1000000*SER_hh_emi!L22/SER_hh_num!L22)</f>
        <v>8259.9666888765769</v>
      </c>
      <c r="M22" s="132">
        <f>IF(SER_hh_emi!M22=0,0,1000000*SER_hh_emi!M22/SER_hh_num!M22)</f>
        <v>8232.4930068777176</v>
      </c>
      <c r="N22" s="132">
        <f>IF(SER_hh_emi!N22=0,0,1000000*SER_hh_emi!N22/SER_hh_num!N22)</f>
        <v>8069.0496595506665</v>
      </c>
      <c r="O22" s="132">
        <f>IF(SER_hh_emi!O22=0,0,1000000*SER_hh_emi!O22/SER_hh_num!O22)</f>
        <v>7932.9833828995179</v>
      </c>
      <c r="P22" s="132">
        <f>IF(SER_hh_emi!P22=0,0,1000000*SER_hh_emi!P22/SER_hh_num!P22)</f>
        <v>8018.8083918471757</v>
      </c>
      <c r="Q22" s="132">
        <f>IF(SER_hh_emi!Q22=0,0,1000000*SER_hh_emi!Q22/SER_hh_num!Q22)</f>
        <v>8170.9995356351474</v>
      </c>
      <c r="R22" s="132">
        <f>IF(SER_hh_emi!R22=0,0,1000000*SER_hh_emi!R22/SER_hh_num!R22)</f>
        <v>7760.8276031926853</v>
      </c>
      <c r="S22" s="132">
        <f>IF(SER_hh_emi!S22=0,0,1000000*SER_hh_emi!S22/SER_hh_num!S22)</f>
        <v>8016.2238136712886</v>
      </c>
      <c r="T22" s="132">
        <f>IF(SER_hh_emi!T22=0,0,1000000*SER_hh_emi!T22/SER_hh_num!T22)</f>
        <v>8742.7657063264905</v>
      </c>
      <c r="U22" s="132">
        <f>IF(SER_hh_emi!U22=0,0,1000000*SER_hh_emi!U22/SER_hh_num!U22)</f>
        <v>7221.7109766124377</v>
      </c>
      <c r="V22" s="132">
        <f>IF(SER_hh_emi!V22=0,0,1000000*SER_hh_emi!V22/SER_hh_num!V22)</f>
        <v>7755.9110390031055</v>
      </c>
      <c r="W22" s="132">
        <f>IF(SER_hh_emi!W22=0,0,1000000*SER_hh_emi!W22/SER_hh_num!W22)</f>
        <v>7788.4345916497714</v>
      </c>
      <c r="X22" s="132">
        <f>IF(SER_hh_emi!X22=0,0,1000000*SER_hh_emi!X22/SER_hh_num!X22)</f>
        <v>8159.2086378115218</v>
      </c>
      <c r="Y22" s="132">
        <f>IF(SER_hh_emi!Y22=0,0,1000000*SER_hh_emi!Y22/SER_hh_num!Y22)</f>
        <v>8844.7823934963071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4922.7349957437909</v>
      </c>
      <c r="C23" s="132">
        <f>IF(SER_hh_emi!C23=0,0,1000000*SER_hh_emi!C23/SER_hh_num!C23)</f>
        <v>7687.6257450820576</v>
      </c>
      <c r="D23" s="132">
        <f>IF(SER_hh_emi!D23=0,0,1000000*SER_hh_emi!D23/SER_hh_num!D23)</f>
        <v>6883.4926555108232</v>
      </c>
      <c r="E23" s="132">
        <f>IF(SER_hh_emi!E23=0,0,1000000*SER_hh_emi!E23/SER_hh_num!E23)</f>
        <v>6439.0590852272589</v>
      </c>
      <c r="F23" s="132">
        <f>IF(SER_hh_emi!F23=0,0,1000000*SER_hh_emi!F23/SER_hh_num!F23)</f>
        <v>6155.1068858439585</v>
      </c>
      <c r="G23" s="132">
        <f>IF(SER_hh_emi!G23=0,0,1000000*SER_hh_emi!G23/SER_hh_num!G23)</f>
        <v>5986.9437789616968</v>
      </c>
      <c r="H23" s="132">
        <f>IF(SER_hh_emi!H23=0,0,1000000*SER_hh_emi!H23/SER_hh_num!H23)</f>
        <v>5881.1509402659221</v>
      </c>
      <c r="I23" s="132">
        <f>IF(SER_hh_emi!I23=0,0,1000000*SER_hh_emi!I23/SER_hh_num!I23)</f>
        <v>5635.5502460888283</v>
      </c>
      <c r="J23" s="132">
        <f>IF(SER_hh_emi!J23=0,0,1000000*SER_hh_emi!J23/SER_hh_num!J23)</f>
        <v>5535.9864926469518</v>
      </c>
      <c r="K23" s="132">
        <f>IF(SER_hh_emi!K23=0,0,1000000*SER_hh_emi!K23/SER_hh_num!K23)</f>
        <v>5385.7927044815378</v>
      </c>
      <c r="L23" s="132">
        <f>IF(SER_hh_emi!L23=0,0,1000000*SER_hh_emi!L23/SER_hh_num!L23)</f>
        <v>5057.3722097748514</v>
      </c>
      <c r="M23" s="132">
        <f>IF(SER_hh_emi!M23=0,0,1000000*SER_hh_emi!M23/SER_hh_num!M23)</f>
        <v>5316.8669697073474</v>
      </c>
      <c r="N23" s="132">
        <f>IF(SER_hh_emi!N23=0,0,1000000*SER_hh_emi!N23/SER_hh_num!N23)</f>
        <v>4652.9183729906463</v>
      </c>
      <c r="O23" s="132">
        <f>IF(SER_hh_emi!O23=0,0,1000000*SER_hh_emi!O23/SER_hh_num!O23)</f>
        <v>4876.605637665135</v>
      </c>
      <c r="P23" s="132">
        <f>IF(SER_hh_emi!P23=0,0,1000000*SER_hh_emi!P23/SER_hh_num!P23)</f>
        <v>5452.044410904341</v>
      </c>
      <c r="Q23" s="132">
        <f>IF(SER_hh_emi!Q23=0,0,1000000*SER_hh_emi!Q23/SER_hh_num!Q23)</f>
        <v>4969.0957843589604</v>
      </c>
      <c r="R23" s="132">
        <f>IF(SER_hh_emi!R23=0,0,1000000*SER_hh_emi!R23/SER_hh_num!R23)</f>
        <v>4506.3935533509639</v>
      </c>
      <c r="S23" s="132">
        <f>IF(SER_hh_emi!S23=0,0,1000000*SER_hh_emi!S23/SER_hh_num!S23)</f>
        <v>4598.6265172603316</v>
      </c>
      <c r="T23" s="132">
        <f>IF(SER_hh_emi!T23=0,0,1000000*SER_hh_emi!T23/SER_hh_num!T23)</f>
        <v>4666.8733641696135</v>
      </c>
      <c r="U23" s="132">
        <f>IF(SER_hh_emi!U23=0,0,1000000*SER_hh_emi!U23/SER_hh_num!U23)</f>
        <v>4755.0492458509971</v>
      </c>
      <c r="V23" s="132">
        <f>IF(SER_hh_emi!V23=0,0,1000000*SER_hh_emi!V23/SER_hh_num!V23)</f>
        <v>4766.2491706136852</v>
      </c>
      <c r="W23" s="132">
        <f>IF(SER_hh_emi!W23=0,0,1000000*SER_hh_emi!W23/SER_hh_num!W23)</f>
        <v>4863.5733020777197</v>
      </c>
      <c r="X23" s="132">
        <f>IF(SER_hh_emi!X23=0,0,1000000*SER_hh_emi!X23/SER_hh_num!X23)</f>
        <v>4908.3450137741447</v>
      </c>
      <c r="Y23" s="132">
        <f>IF(SER_hh_emi!Y23=0,0,1000000*SER_hh_emi!Y23/SER_hh_num!Y23)</f>
        <v>4583.7436173338447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191.68443148506498</v>
      </c>
      <c r="C29" s="130">
        <f>IF(SER_hh_emi!C29=0,0,1000000*SER_hh_emi!C29/SER_hh_num!C29)</f>
        <v>606.14257230538908</v>
      </c>
      <c r="D29" s="130">
        <f>IF(SER_hh_emi!D29=0,0,1000000*SER_hh_emi!D29/SER_hh_num!D29)</f>
        <v>833.29739435730096</v>
      </c>
      <c r="E29" s="130">
        <f>IF(SER_hh_emi!E29=0,0,1000000*SER_hh_emi!E29/SER_hh_num!E29)</f>
        <v>811.22490669489309</v>
      </c>
      <c r="F29" s="130">
        <f>IF(SER_hh_emi!F29=0,0,1000000*SER_hh_emi!F29/SER_hh_num!F29)</f>
        <v>973.27095542927373</v>
      </c>
      <c r="G29" s="130">
        <f>IF(SER_hh_emi!G29=0,0,1000000*SER_hh_emi!G29/SER_hh_num!G29)</f>
        <v>907.30918449328294</v>
      </c>
      <c r="H29" s="130">
        <f>IF(SER_hh_emi!H29=0,0,1000000*SER_hh_emi!H29/SER_hh_num!H29)</f>
        <v>837.92102161922912</v>
      </c>
      <c r="I29" s="130">
        <f>IF(SER_hh_emi!I29=0,0,1000000*SER_hh_emi!I29/SER_hh_num!I29)</f>
        <v>792.39338943668599</v>
      </c>
      <c r="J29" s="130">
        <f>IF(SER_hh_emi!J29=0,0,1000000*SER_hh_emi!J29/SER_hh_num!J29)</f>
        <v>789.2714638631719</v>
      </c>
      <c r="K29" s="130">
        <f>IF(SER_hh_emi!K29=0,0,1000000*SER_hh_emi!K29/SER_hh_num!K29)</f>
        <v>738.01999372573823</v>
      </c>
      <c r="L29" s="130">
        <f>IF(SER_hh_emi!L29=0,0,1000000*SER_hh_emi!L29/SER_hh_num!L29)</f>
        <v>763.71170317264909</v>
      </c>
      <c r="M29" s="130">
        <f>IF(SER_hh_emi!M29=0,0,1000000*SER_hh_emi!M29/SER_hh_num!M29)</f>
        <v>755.35167986680972</v>
      </c>
      <c r="N29" s="130">
        <f>IF(SER_hh_emi!N29=0,0,1000000*SER_hh_emi!N29/SER_hh_num!N29)</f>
        <v>788.17752032102203</v>
      </c>
      <c r="O29" s="130">
        <f>IF(SER_hh_emi!O29=0,0,1000000*SER_hh_emi!O29/SER_hh_num!O29)</f>
        <v>771.21693932972323</v>
      </c>
      <c r="P29" s="130">
        <f>IF(SER_hh_emi!P29=0,0,1000000*SER_hh_emi!P29/SER_hh_num!P29)</f>
        <v>780.19468816025903</v>
      </c>
      <c r="Q29" s="130">
        <f>IF(SER_hh_emi!Q29=0,0,1000000*SER_hh_emi!Q29/SER_hh_num!Q29)</f>
        <v>775.53208067637809</v>
      </c>
      <c r="R29" s="130">
        <f>IF(SER_hh_emi!R29=0,0,1000000*SER_hh_emi!R29/SER_hh_num!R29)</f>
        <v>1128.0289465211729</v>
      </c>
      <c r="S29" s="130">
        <f>IF(SER_hh_emi!S29=0,0,1000000*SER_hh_emi!S29/SER_hh_num!S29)</f>
        <v>1268.5612581241598</v>
      </c>
      <c r="T29" s="130">
        <f>IF(SER_hh_emi!T29=0,0,1000000*SER_hh_emi!T29/SER_hh_num!T29)</f>
        <v>1033.9241265199357</v>
      </c>
      <c r="U29" s="130">
        <f>IF(SER_hh_emi!U29=0,0,1000000*SER_hh_emi!U29/SER_hh_num!U29)</f>
        <v>1328.2162194981531</v>
      </c>
      <c r="V29" s="130">
        <f>IF(SER_hh_emi!V29=0,0,1000000*SER_hh_emi!V29/SER_hh_num!V29)</f>
        <v>1298.6627023486194</v>
      </c>
      <c r="W29" s="130">
        <f>IF(SER_hh_emi!W29=0,0,1000000*SER_hh_emi!W29/SER_hh_num!W29)</f>
        <v>1168.2887856046784</v>
      </c>
      <c r="X29" s="130">
        <f>IF(SER_hh_emi!X29=0,0,1000000*SER_hh_emi!X29/SER_hh_num!X29)</f>
        <v>1084.6798202084733</v>
      </c>
      <c r="Y29" s="130">
        <f>IF(SER_hh_emi!Y29=0,0,1000000*SER_hh_emi!Y29/SER_hh_num!Y29)</f>
        <v>1281.0635540222431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0</v>
      </c>
      <c r="C30" s="132">
        <f>IF(SER_hh_emi!C30=0,0,1000000*SER_hh_emi!C30/SER_hh_num!C30)</f>
        <v>0</v>
      </c>
      <c r="D30" s="132">
        <f>IF(SER_hh_emi!D30=0,0,1000000*SER_hh_emi!D30/SER_hh_num!D30)</f>
        <v>0</v>
      </c>
      <c r="E30" s="132">
        <f>IF(SER_hh_emi!E30=0,0,1000000*SER_hh_emi!E30/SER_hh_num!E30)</f>
        <v>0</v>
      </c>
      <c r="F30" s="132">
        <f>IF(SER_hh_emi!F30=0,0,1000000*SER_hh_emi!F30/SER_hh_num!F30)</f>
        <v>9952.9430373475552</v>
      </c>
      <c r="G30" s="132">
        <f>IF(SER_hh_emi!G30=0,0,1000000*SER_hh_emi!G30/SER_hh_num!G30)</f>
        <v>7775.3166995374322</v>
      </c>
      <c r="H30" s="132">
        <f>IF(SER_hh_emi!H30=0,0,1000000*SER_hh_emi!H30/SER_hh_num!H30)</f>
        <v>6983.3773538375854</v>
      </c>
      <c r="I30" s="132">
        <f>IF(SER_hh_emi!I30=0,0,1000000*SER_hh_emi!I30/SER_hh_num!I30)</f>
        <v>7043.7644011331613</v>
      </c>
      <c r="J30" s="132">
        <f>IF(SER_hh_emi!J30=0,0,1000000*SER_hh_emi!J30/SER_hh_num!J30)</f>
        <v>7213.6149064195833</v>
      </c>
      <c r="K30" s="132">
        <f>IF(SER_hh_emi!K30=0,0,1000000*SER_hh_emi!K30/SER_hh_num!K30)</f>
        <v>7448.07232434038</v>
      </c>
      <c r="L30" s="132">
        <f>IF(SER_hh_emi!L30=0,0,1000000*SER_hh_emi!L30/SER_hh_num!L30)</f>
        <v>7549.3103143740154</v>
      </c>
      <c r="M30" s="132">
        <f>IF(SER_hh_emi!M30=0,0,1000000*SER_hh_emi!M30/SER_hh_num!M30)</f>
        <v>7635.032975919431</v>
      </c>
      <c r="N30" s="132">
        <f>IF(SER_hh_emi!N30=0,0,1000000*SER_hh_emi!N30/SER_hh_num!N30)</f>
        <v>7699.8195775154136</v>
      </c>
      <c r="O30" s="132">
        <f>IF(SER_hh_emi!O30=0,0,1000000*SER_hh_emi!O30/SER_hh_num!O30)</f>
        <v>7716.2572118409134</v>
      </c>
      <c r="P30" s="132">
        <f>IF(SER_hh_emi!P30=0,0,1000000*SER_hh_emi!P30/SER_hh_num!P30)</f>
        <v>6963.4211223620623</v>
      </c>
      <c r="Q30" s="132">
        <f>IF(SER_hh_emi!Q30=0,0,1000000*SER_hh_emi!Q30/SER_hh_num!Q30)</f>
        <v>5441.2295864650696</v>
      </c>
      <c r="R30" s="132">
        <f>IF(SER_hh_emi!R30=0,0,1000000*SER_hh_emi!R30/SER_hh_num!R30)</f>
        <v>8425.7546869230082</v>
      </c>
      <c r="S30" s="132">
        <f>IF(SER_hh_emi!S30=0,0,1000000*SER_hh_emi!S30/SER_hh_num!S30)</f>
        <v>12419.172814062926</v>
      </c>
      <c r="T30" s="132">
        <f>IF(SER_hh_emi!T30=0,0,1000000*SER_hh_emi!T30/SER_hh_num!T30)</f>
        <v>3883.6361419537661</v>
      </c>
      <c r="U30" s="132">
        <f>IF(SER_hh_emi!U30=0,0,1000000*SER_hh_emi!U30/SER_hh_num!U30)</f>
        <v>8041.7638802411793</v>
      </c>
      <c r="V30" s="132">
        <f>IF(SER_hh_emi!V30=0,0,1000000*SER_hh_emi!V30/SER_hh_num!V30)</f>
        <v>9137.0652717372523</v>
      </c>
      <c r="W30" s="132">
        <f>IF(SER_hh_emi!W30=0,0,1000000*SER_hh_emi!W30/SER_hh_num!W30)</f>
        <v>5731.6789565868567</v>
      </c>
      <c r="X30" s="132">
        <f>IF(SER_hh_emi!X30=0,0,1000000*SER_hh_emi!X30/SER_hh_num!X30)</f>
        <v>7791.4742787517353</v>
      </c>
      <c r="Y30" s="132">
        <f>IF(SER_hh_emi!Y30=0,0,1000000*SER_hh_emi!Y30/SER_hh_num!Y30)</f>
        <v>11085.713918683807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3770.7010702476928</v>
      </c>
      <c r="C31" s="132">
        <f>IF(SER_hh_emi!C31=0,0,1000000*SER_hh_emi!C31/SER_hh_num!C31)</f>
        <v>7040.286194374441</v>
      </c>
      <c r="D31" s="132">
        <f>IF(SER_hh_emi!D31=0,0,1000000*SER_hh_emi!D31/SER_hh_num!D31)</f>
        <v>7573.8322939153604</v>
      </c>
      <c r="E31" s="132">
        <f>IF(SER_hh_emi!E31=0,0,1000000*SER_hh_emi!E31/SER_hh_num!E31)</f>
        <v>6834.6622553872148</v>
      </c>
      <c r="F31" s="132">
        <f>IF(SER_hh_emi!F31=0,0,1000000*SER_hh_emi!F31/SER_hh_num!F31)</f>
        <v>6594.2789341734933</v>
      </c>
      <c r="G31" s="132">
        <f>IF(SER_hh_emi!G31=0,0,1000000*SER_hh_emi!G31/SER_hh_num!G31)</f>
        <v>6547.6560539260608</v>
      </c>
      <c r="H31" s="132">
        <f>IF(SER_hh_emi!H31=0,0,1000000*SER_hh_emi!H31/SER_hh_num!H31)</f>
        <v>6484.1998468902757</v>
      </c>
      <c r="I31" s="132">
        <f>IF(SER_hh_emi!I31=0,0,1000000*SER_hh_emi!I31/SER_hh_num!I31)</f>
        <v>6523.3192382826928</v>
      </c>
      <c r="J31" s="132">
        <f>IF(SER_hh_emi!J31=0,0,1000000*SER_hh_emi!J31/SER_hh_num!J31)</f>
        <v>6679.7427922474844</v>
      </c>
      <c r="K31" s="132">
        <f>IF(SER_hh_emi!K31=0,0,1000000*SER_hh_emi!K31/SER_hh_num!K31)</f>
        <v>6423.6158905175253</v>
      </c>
      <c r="L31" s="132">
        <f>IF(SER_hh_emi!L31=0,0,1000000*SER_hh_emi!L31/SER_hh_num!L31)</f>
        <v>6843.0651275270438</v>
      </c>
      <c r="M31" s="132">
        <f>IF(SER_hh_emi!M31=0,0,1000000*SER_hh_emi!M31/SER_hh_num!M31)</f>
        <v>6894.9911155206828</v>
      </c>
      <c r="N31" s="132">
        <f>IF(SER_hh_emi!N31=0,0,1000000*SER_hh_emi!N31/SER_hh_num!N31)</f>
        <v>7156.111940660111</v>
      </c>
      <c r="O31" s="132">
        <f>IF(SER_hh_emi!O31=0,0,1000000*SER_hh_emi!O31/SER_hh_num!O31)</f>
        <v>6883.52931332556</v>
      </c>
      <c r="P31" s="132">
        <f>IF(SER_hh_emi!P31=0,0,1000000*SER_hh_emi!P31/SER_hh_num!P31)</f>
        <v>6673.5214398993458</v>
      </c>
      <c r="Q31" s="132">
        <f>IF(SER_hh_emi!Q31=0,0,1000000*SER_hh_emi!Q31/SER_hh_num!Q31)</f>
        <v>6243.244928257428</v>
      </c>
      <c r="R31" s="132">
        <f>IF(SER_hh_emi!R31=0,0,1000000*SER_hh_emi!R31/SER_hh_num!R31)</f>
        <v>7145.2238936717949</v>
      </c>
      <c r="S31" s="132">
        <f>IF(SER_hh_emi!S31=0,0,1000000*SER_hh_emi!S31/SER_hh_num!S31)</f>
        <v>6530.57035389874</v>
      </c>
      <c r="T31" s="132">
        <f>IF(SER_hh_emi!T31=0,0,1000000*SER_hh_emi!T31/SER_hh_num!T31)</f>
        <v>6547.3181059431963</v>
      </c>
      <c r="U31" s="132">
        <f>IF(SER_hh_emi!U31=0,0,1000000*SER_hh_emi!U31/SER_hh_num!U31)</f>
        <v>7525.306619361606</v>
      </c>
      <c r="V31" s="132">
        <f>IF(SER_hh_emi!V31=0,0,1000000*SER_hh_emi!V31/SER_hh_num!V31)</f>
        <v>7390.113701537538</v>
      </c>
      <c r="W31" s="132">
        <f>IF(SER_hh_emi!W31=0,0,1000000*SER_hh_emi!W31/SER_hh_num!W31)</f>
        <v>7533.6987336508282</v>
      </c>
      <c r="X31" s="132">
        <f>IF(SER_hh_emi!X31=0,0,1000000*SER_hh_emi!X31/SER_hh_num!X31)</f>
        <v>7237.4392532453148</v>
      </c>
      <c r="Y31" s="132">
        <f>IF(SER_hh_emi!Y31=0,0,1000000*SER_hh_emi!Y31/SER_hh_num!Y31)</f>
        <v>7727.7395698897753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241.26167017337383</v>
      </c>
      <c r="C3" s="125">
        <f>IF(SER_hh_fech!C3=0,0,SER_hh_fech!C3/SER_summary!C$26)</f>
        <v>237.15987301955684</v>
      </c>
      <c r="D3" s="125">
        <f>IF(SER_hh_fech!D3=0,0,SER_hh_fech!D3/SER_summary!D$26)</f>
        <v>228.24940620295843</v>
      </c>
      <c r="E3" s="125">
        <f>IF(SER_hh_fech!E3=0,0,SER_hh_fech!E3/SER_summary!E$26)</f>
        <v>252.07215280294787</v>
      </c>
      <c r="F3" s="125">
        <f>IF(SER_hh_fech!F3=0,0,SER_hh_fech!F3/SER_summary!F$26)</f>
        <v>277.97970964828158</v>
      </c>
      <c r="G3" s="125">
        <f>IF(SER_hh_fech!G3=0,0,SER_hh_fech!G3/SER_summary!G$26)</f>
        <v>269.52233889094765</v>
      </c>
      <c r="H3" s="125">
        <f>IF(SER_hh_fech!H3=0,0,SER_hh_fech!H3/SER_summary!H$26)</f>
        <v>255.28857758123979</v>
      </c>
      <c r="I3" s="125">
        <f>IF(SER_hh_fech!I3=0,0,SER_hh_fech!I3/SER_summary!I$26)</f>
        <v>253.68134630678162</v>
      </c>
      <c r="J3" s="125">
        <f>IF(SER_hh_fech!J3=0,0,SER_hh_fech!J3/SER_summary!J$26)</f>
        <v>276.61888020376938</v>
      </c>
      <c r="K3" s="125">
        <f>IF(SER_hh_fech!K3=0,0,SER_hh_fech!K3/SER_summary!K$26)</f>
        <v>266.42577439028429</v>
      </c>
      <c r="L3" s="125">
        <f>IF(SER_hh_fech!L3=0,0,SER_hh_fech!L3/SER_summary!L$26)</f>
        <v>267.21110604952491</v>
      </c>
      <c r="M3" s="125">
        <f>IF(SER_hh_fech!M3=0,0,SER_hh_fech!M3/SER_summary!M$26)</f>
        <v>242.27361451997274</v>
      </c>
      <c r="N3" s="125">
        <f>IF(SER_hh_fech!N3=0,0,SER_hh_fech!N3/SER_summary!N$26)</f>
        <v>253.141319488482</v>
      </c>
      <c r="O3" s="125">
        <f>IF(SER_hh_fech!O3=0,0,SER_hh_fech!O3/SER_summary!O$26)</f>
        <v>245.55407492222793</v>
      </c>
      <c r="P3" s="125">
        <f>IF(SER_hh_fech!P3=0,0,SER_hh_fech!P3/SER_summary!P$26)</f>
        <v>269.23162151726956</v>
      </c>
      <c r="Q3" s="125">
        <f>IF(SER_hh_fech!Q3=0,0,SER_hh_fech!Q3/SER_summary!Q$26)</f>
        <v>266.73562804233541</v>
      </c>
      <c r="R3" s="125">
        <f>IF(SER_hh_fech!R3=0,0,SER_hh_fech!R3/SER_summary!R$26)</f>
        <v>286.73821667528557</v>
      </c>
      <c r="S3" s="125">
        <f>IF(SER_hh_fech!S3=0,0,SER_hh_fech!S3/SER_summary!S$26)</f>
        <v>259.48818256567273</v>
      </c>
      <c r="T3" s="125">
        <f>IF(SER_hh_fech!T3=0,0,SER_hh_fech!T3/SER_summary!T$26)</f>
        <v>272.54203798839859</v>
      </c>
      <c r="U3" s="125">
        <f>IF(SER_hh_fech!U3=0,0,SER_hh_fech!U3/SER_summary!U$26)</f>
        <v>251.36308371395666</v>
      </c>
      <c r="V3" s="125">
        <f>IF(SER_hh_fech!V3=0,0,SER_hh_fech!V3/SER_summary!V$26)</f>
        <v>253.62763253893141</v>
      </c>
      <c r="W3" s="125">
        <f>IF(SER_hh_fech!W3=0,0,SER_hh_fech!W3/SER_summary!W$26)</f>
        <v>275.97719799898448</v>
      </c>
      <c r="X3" s="125">
        <f>IF(SER_hh_fech!X3=0,0,SER_hh_fech!X3/SER_summary!X$26)</f>
        <v>237.24984036302786</v>
      </c>
      <c r="Y3" s="125">
        <f>IF(SER_hh_fech!Y3=0,0,SER_hh_fech!Y3/SER_summary!Y$26)</f>
        <v>217.15692853062413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181.00984673528046</v>
      </c>
      <c r="C4" s="130">
        <f>IF(SER_hh_fech!C4=0,0,SER_hh_fech!C4/SER_summary!C$26)</f>
        <v>177.0855562267374</v>
      </c>
      <c r="D4" s="130">
        <f>IF(SER_hh_fech!D4=0,0,SER_hh_fech!D4/SER_summary!D$26)</f>
        <v>169.50772423340302</v>
      </c>
      <c r="E4" s="130">
        <f>IF(SER_hh_fech!E4=0,0,SER_hh_fech!E4/SER_summary!E$26)</f>
        <v>193.45962312446332</v>
      </c>
      <c r="F4" s="130">
        <f>IF(SER_hh_fech!F4=0,0,SER_hh_fech!F4/SER_summary!F$26)</f>
        <v>220.63938981927816</v>
      </c>
      <c r="G4" s="130">
        <f>IF(SER_hh_fech!G4=0,0,SER_hh_fech!G4/SER_summary!G$26)</f>
        <v>211.63697836498775</v>
      </c>
      <c r="H4" s="130">
        <f>IF(SER_hh_fech!H4=0,0,SER_hh_fech!H4/SER_summary!H$26)</f>
        <v>199.05309015591214</v>
      </c>
      <c r="I4" s="130">
        <f>IF(SER_hh_fech!I4=0,0,SER_hh_fech!I4/SER_summary!I$26)</f>
        <v>198.94784449004817</v>
      </c>
      <c r="J4" s="130">
        <f>IF(SER_hh_fech!J4=0,0,SER_hh_fech!J4/SER_summary!J$26)</f>
        <v>220.49240687655802</v>
      </c>
      <c r="K4" s="130">
        <f>IF(SER_hh_fech!K4=0,0,SER_hh_fech!K4/SER_summary!K$26)</f>
        <v>209.26528650633998</v>
      </c>
      <c r="L4" s="130">
        <f>IF(SER_hh_fech!L4=0,0,SER_hh_fech!L4/SER_summary!L$26)</f>
        <v>209.71597323328706</v>
      </c>
      <c r="M4" s="130">
        <f>IF(SER_hh_fech!M4=0,0,SER_hh_fech!M4/SER_summary!M$26)</f>
        <v>184.1362635218774</v>
      </c>
      <c r="N4" s="130">
        <f>IF(SER_hh_fech!N4=0,0,SER_hh_fech!N4/SER_summary!N$26)</f>
        <v>195.60487461301787</v>
      </c>
      <c r="O4" s="130">
        <f>IF(SER_hh_fech!O4=0,0,SER_hh_fech!O4/SER_summary!O$26)</f>
        <v>187.55049306914236</v>
      </c>
      <c r="P4" s="130">
        <f>IF(SER_hh_fech!P4=0,0,SER_hh_fech!P4/SER_summary!P$26)</f>
        <v>211.75558039117402</v>
      </c>
      <c r="Q4" s="130">
        <f>IF(SER_hh_fech!Q4=0,0,SER_hh_fech!Q4/SER_summary!Q$26)</f>
        <v>209.48204587611855</v>
      </c>
      <c r="R4" s="130">
        <f>IF(SER_hh_fech!R4=0,0,SER_hh_fech!R4/SER_summary!R$26)</f>
        <v>230.11901500000693</v>
      </c>
      <c r="S4" s="130">
        <f>IF(SER_hh_fech!S4=0,0,SER_hh_fech!S4/SER_summary!S$26)</f>
        <v>202.93466753526107</v>
      </c>
      <c r="T4" s="130">
        <f>IF(SER_hh_fech!T4=0,0,SER_hh_fech!T4/SER_summary!T$26)</f>
        <v>216.84847945517521</v>
      </c>
      <c r="U4" s="130">
        <f>IF(SER_hh_fech!U4=0,0,SER_hh_fech!U4/SER_summary!U$26)</f>
        <v>195.56051220610377</v>
      </c>
      <c r="V4" s="130">
        <f>IF(SER_hh_fech!V4=0,0,SER_hh_fech!V4/SER_summary!V$26)</f>
        <v>201.46956756919971</v>
      </c>
      <c r="W4" s="130">
        <f>IF(SER_hh_fech!W4=0,0,SER_hh_fech!W4/SER_summary!W$26)</f>
        <v>219.55701885834222</v>
      </c>
      <c r="X4" s="130">
        <f>IF(SER_hh_fech!X4=0,0,SER_hh_fech!X4/SER_summary!X$26)</f>
        <v>178.47892970144269</v>
      </c>
      <c r="Y4" s="130">
        <f>IF(SER_hh_fech!Y4=0,0,SER_hh_fech!Y4/SER_summary!Y$26)</f>
        <v>153.02253068791964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189.39115005185525</v>
      </c>
      <c r="C5" s="132">
        <f>IF(SER_hh_fech!C5=0,0,SER_hh_fech!C5/SER_summary!C$26)</f>
        <v>232.12518860514919</v>
      </c>
      <c r="D5" s="132">
        <f>IF(SER_hh_fech!D5=0,0,SER_hh_fech!D5/SER_summary!D$26)</f>
        <v>200.98567906157351</v>
      </c>
      <c r="E5" s="132">
        <f>IF(SER_hh_fech!E5=0,0,SER_hh_fech!E5/SER_summary!E$26)</f>
        <v>220.40920083499483</v>
      </c>
      <c r="F5" s="132">
        <f>IF(SER_hh_fech!F5=0,0,SER_hh_fech!F5/SER_summary!F$26)</f>
        <v>236.64398301733598</v>
      </c>
      <c r="G5" s="132">
        <f>IF(SER_hh_fech!G5=0,0,SER_hh_fech!G5/SER_summary!G$26)</f>
        <v>288.66705026020361</v>
      </c>
      <c r="H5" s="132">
        <f>IF(SER_hh_fech!H5=0,0,SER_hh_fech!H5/SER_summary!H$26)</f>
        <v>211.59582714367608</v>
      </c>
      <c r="I5" s="132">
        <f>IF(SER_hh_fech!I5=0,0,SER_hh_fech!I5/SER_summary!I$26)</f>
        <v>266.54462652109328</v>
      </c>
      <c r="J5" s="132">
        <f>IF(SER_hh_fech!J5=0,0,SER_hh_fech!J5/SER_summary!J$26)</f>
        <v>241.78631874653294</v>
      </c>
      <c r="K5" s="132">
        <f>IF(SER_hh_fech!K5=0,0,SER_hh_fech!K5/SER_summary!K$26)</f>
        <v>242.88186913708597</v>
      </c>
      <c r="L5" s="132">
        <f>IF(SER_hh_fech!L5=0,0,SER_hh_fech!L5/SER_summary!L$26)</f>
        <v>252.36737165373899</v>
      </c>
      <c r="M5" s="132">
        <f>IF(SER_hh_fech!M5=0,0,SER_hh_fech!M5/SER_summary!M$26)</f>
        <v>181.28291448578926</v>
      </c>
      <c r="N5" s="132">
        <f>IF(SER_hh_fech!N5=0,0,SER_hh_fech!N5/SER_summary!N$26)</f>
        <v>199.11557219091526</v>
      </c>
      <c r="O5" s="132">
        <f>IF(SER_hh_fech!O5=0,0,SER_hh_fech!O5/SER_summary!O$26)</f>
        <v>305.86862912885232</v>
      </c>
      <c r="P5" s="132">
        <f>IF(SER_hh_fech!P5=0,0,SER_hh_fech!P5/SER_summary!P$26)</f>
        <v>201.12302046496333</v>
      </c>
      <c r="Q5" s="132">
        <f>IF(SER_hh_fech!Q5=0,0,SER_hh_fech!Q5/SER_summary!Q$26)</f>
        <v>200.9556982168379</v>
      </c>
      <c r="R5" s="132">
        <f>IF(SER_hh_fech!R5=0,0,SER_hh_fech!R5/SER_summary!R$26)</f>
        <v>307.85048378488995</v>
      </c>
      <c r="S5" s="132">
        <f>IF(SER_hh_fech!S5=0,0,SER_hh_fech!S5/SER_summary!S$26)</f>
        <v>179.11216210688141</v>
      </c>
      <c r="T5" s="132">
        <f>IF(SER_hh_fech!T5=0,0,SER_hh_fech!T5/SER_summary!T$26)</f>
        <v>217.59973958499853</v>
      </c>
      <c r="U5" s="132">
        <f>IF(SER_hh_fech!U5=0,0,SER_hh_fech!U5/SER_summary!U$26)</f>
        <v>219.12032231877222</v>
      </c>
      <c r="V5" s="132">
        <f>IF(SER_hh_fech!V5=0,0,SER_hh_fech!V5/SER_summary!V$26)</f>
        <v>233.64176205189537</v>
      </c>
      <c r="W5" s="132">
        <f>IF(SER_hh_fech!W5=0,0,SER_hh_fech!W5/SER_summary!W$26)</f>
        <v>242.11726265791418</v>
      </c>
      <c r="X5" s="132">
        <f>IF(SER_hh_fech!X5=0,0,SER_hh_fech!X5/SER_summary!X$26)</f>
        <v>243.13333092629648</v>
      </c>
      <c r="Y5" s="132">
        <f>IF(SER_hh_fech!Y5=0,0,SER_hh_fech!Y5/SER_summary!Y$26)</f>
        <v>141.93625541724057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216.42375204562461</v>
      </c>
      <c r="C7" s="132">
        <f>IF(SER_hh_fech!C7=0,0,SER_hh_fech!C7/SER_summary!C$26)</f>
        <v>282.53022395779305</v>
      </c>
      <c r="D7" s="132">
        <f>IF(SER_hh_fech!D7=0,0,SER_hh_fech!D7/SER_summary!D$26)</f>
        <v>221.54176567610864</v>
      </c>
      <c r="E7" s="132">
        <f>IF(SER_hh_fech!E7=0,0,SER_hh_fech!E7/SER_summary!E$26)</f>
        <v>236.61963628881094</v>
      </c>
      <c r="F7" s="132">
        <f>IF(SER_hh_fech!F7=0,0,SER_hh_fech!F7/SER_summary!F$26)</f>
        <v>277.24980207000698</v>
      </c>
      <c r="G7" s="132">
        <f>IF(SER_hh_fech!G7=0,0,SER_hh_fech!G7/SER_summary!G$26)</f>
        <v>326.18720442640534</v>
      </c>
      <c r="H7" s="132">
        <f>IF(SER_hh_fech!H7=0,0,SER_hh_fech!H7/SER_summary!H$26)</f>
        <v>267.24818001526523</v>
      </c>
      <c r="I7" s="132">
        <f>IF(SER_hh_fech!I7=0,0,SER_hh_fech!I7/SER_summary!I$26)</f>
        <v>295.18499510365677</v>
      </c>
      <c r="J7" s="132">
        <f>IF(SER_hh_fech!J7=0,0,SER_hh_fech!J7/SER_summary!J$26)</f>
        <v>311.87413897633917</v>
      </c>
      <c r="K7" s="132">
        <f>IF(SER_hh_fech!K7=0,0,SER_hh_fech!K7/SER_summary!K$26)</f>
        <v>283.75850699055911</v>
      </c>
      <c r="L7" s="132">
        <f>IF(SER_hh_fech!L7=0,0,SER_hh_fech!L7/SER_summary!L$26)</f>
        <v>222.72705237968788</v>
      </c>
      <c r="M7" s="132">
        <f>IF(SER_hh_fech!M7=0,0,SER_hh_fech!M7/SER_summary!M$26)</f>
        <v>275.19007355501873</v>
      </c>
      <c r="N7" s="132">
        <f>IF(SER_hh_fech!N7=0,0,SER_hh_fech!N7/SER_summary!N$26)</f>
        <v>269.73949792710175</v>
      </c>
      <c r="O7" s="132">
        <f>IF(SER_hh_fech!O7=0,0,SER_hh_fech!O7/SER_summary!O$26)</f>
        <v>252.07254168542471</v>
      </c>
      <c r="P7" s="132">
        <f>IF(SER_hh_fech!P7=0,0,SER_hh_fech!P7/SER_summary!P$26)</f>
        <v>227.25293152325034</v>
      </c>
      <c r="Q7" s="132">
        <f>IF(SER_hh_fech!Q7=0,0,SER_hh_fech!Q7/SER_summary!Q$26)</f>
        <v>280.02633564782053</v>
      </c>
      <c r="R7" s="132">
        <f>IF(SER_hh_fech!R7=0,0,SER_hh_fech!R7/SER_summary!R$26)</f>
        <v>241.6823042206324</v>
      </c>
      <c r="S7" s="132">
        <f>IF(SER_hh_fech!S7=0,0,SER_hh_fech!S7/SER_summary!S$26)</f>
        <v>278.12731591577796</v>
      </c>
      <c r="T7" s="132">
        <f>IF(SER_hh_fech!T7=0,0,SER_hh_fech!T7/SER_summary!T$26)</f>
        <v>299.34018504016154</v>
      </c>
      <c r="U7" s="132">
        <f>IF(SER_hh_fech!U7=0,0,SER_hh_fech!U7/SER_summary!U$26)</f>
        <v>234.56692079694304</v>
      </c>
      <c r="V7" s="132">
        <f>IF(SER_hh_fech!V7=0,0,SER_hh_fech!V7/SER_summary!V$26)</f>
        <v>250.10296623883477</v>
      </c>
      <c r="W7" s="132">
        <f>IF(SER_hh_fech!W7=0,0,SER_hh_fech!W7/SER_summary!W$26)</f>
        <v>247.82154508556593</v>
      </c>
      <c r="X7" s="132">
        <f>IF(SER_hh_fech!X7=0,0,SER_hh_fech!X7/SER_summary!X$26)</f>
        <v>219.72066750320664</v>
      </c>
      <c r="Y7" s="132">
        <f>IF(SER_hh_fech!Y7=0,0,SER_hh_fech!Y7/SER_summary!Y$26)</f>
        <v>209.72044916942477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0</v>
      </c>
      <c r="C8" s="132">
        <f>IF(SER_hh_fech!C8=0,0,SER_hh_fech!C8/SER_summary!C$26)</f>
        <v>0</v>
      </c>
      <c r="D8" s="132">
        <f>IF(SER_hh_fech!D8=0,0,SER_hh_fech!D8/SER_summary!D$26)</f>
        <v>0</v>
      </c>
      <c r="E8" s="132">
        <f>IF(SER_hh_fech!E8=0,0,SER_hh_fech!E8/SER_summary!E$26)</f>
        <v>0</v>
      </c>
      <c r="F8" s="132">
        <f>IF(SER_hh_fech!F8=0,0,SER_hh_fech!F8/SER_summary!F$26)</f>
        <v>0</v>
      </c>
      <c r="G8" s="132">
        <f>IF(SER_hh_fech!G8=0,0,SER_hh_fech!G8/SER_summary!G$26)</f>
        <v>0</v>
      </c>
      <c r="H8" s="132">
        <f>IF(SER_hh_fech!H8=0,0,SER_hh_fech!H8/SER_summary!H$26)</f>
        <v>0</v>
      </c>
      <c r="I8" s="132">
        <f>IF(SER_hh_fech!I8=0,0,SER_hh_fech!I8/SER_summary!I$26)</f>
        <v>0</v>
      </c>
      <c r="J8" s="132">
        <f>IF(SER_hh_fech!J8=0,0,SER_hh_fech!J8/SER_summary!J$26)</f>
        <v>0</v>
      </c>
      <c r="K8" s="132">
        <f>IF(SER_hh_fech!K8=0,0,SER_hh_fech!K8/SER_summary!K$26)</f>
        <v>0</v>
      </c>
      <c r="L8" s="132">
        <f>IF(SER_hh_fech!L8=0,0,SER_hh_fech!L8/SER_summary!L$26)</f>
        <v>0</v>
      </c>
      <c r="M8" s="132">
        <f>IF(SER_hh_fech!M8=0,0,SER_hh_fech!M8/SER_summary!M$26)</f>
        <v>0</v>
      </c>
      <c r="N8" s="132">
        <f>IF(SER_hh_fech!N8=0,0,SER_hh_fech!N8/SER_summary!N$26)</f>
        <v>0</v>
      </c>
      <c r="O8" s="132">
        <f>IF(SER_hh_fech!O8=0,0,SER_hh_fech!O8/SER_summary!O$26)</f>
        <v>0</v>
      </c>
      <c r="P8" s="132">
        <f>IF(SER_hh_fech!P8=0,0,SER_hh_fech!P8/SER_summary!P$26)</f>
        <v>0</v>
      </c>
      <c r="Q8" s="132">
        <f>IF(SER_hh_fech!Q8=0,0,SER_hh_fech!Q8/SER_summary!Q$26)</f>
        <v>0</v>
      </c>
      <c r="R8" s="132">
        <f>IF(SER_hh_fech!R8=0,0,SER_hh_fech!R8/SER_summary!R$26)</f>
        <v>0</v>
      </c>
      <c r="S8" s="132">
        <f>IF(SER_hh_fech!S8=0,0,SER_hh_fech!S8/SER_summary!S$26)</f>
        <v>0</v>
      </c>
      <c r="T8" s="132">
        <f>IF(SER_hh_fech!T8=0,0,SER_hh_fech!T8/SER_summary!T$26)</f>
        <v>0</v>
      </c>
      <c r="U8" s="132">
        <f>IF(SER_hh_fech!U8=0,0,SER_hh_fech!U8/SER_summary!U$26)</f>
        <v>0</v>
      </c>
      <c r="V8" s="132">
        <f>IF(SER_hh_fech!V8=0,0,SER_hh_fech!V8/SER_summary!V$26)</f>
        <v>0</v>
      </c>
      <c r="W8" s="132">
        <f>IF(SER_hh_fech!W8=0,0,SER_hh_fech!W8/SER_summary!W$26)</f>
        <v>0</v>
      </c>
      <c r="X8" s="132">
        <f>IF(SER_hh_fech!X8=0,0,SER_hh_fech!X8/SER_summary!X$26)</f>
        <v>0</v>
      </c>
      <c r="Y8" s="132">
        <f>IF(SER_hh_fech!Y8=0,0,SER_hh_fech!Y8/SER_summary!Y$26)</f>
        <v>0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166.85157124218884</v>
      </c>
      <c r="C9" s="132">
        <f>IF(SER_hh_fech!C9=0,0,SER_hh_fech!C9/SER_summary!C$26)</f>
        <v>224.6169526070731</v>
      </c>
      <c r="D9" s="132">
        <f>IF(SER_hh_fech!D9=0,0,SER_hh_fech!D9/SER_summary!D$26)</f>
        <v>155.68408492988817</v>
      </c>
      <c r="E9" s="132">
        <f>IF(SER_hh_fech!E9=0,0,SER_hh_fech!E9/SER_summary!E$26)</f>
        <v>306.30686161940253</v>
      </c>
      <c r="F9" s="132">
        <f>IF(SER_hh_fech!F9=0,0,SER_hh_fech!F9/SER_summary!F$26)</f>
        <v>271.22496412845396</v>
      </c>
      <c r="G9" s="132">
        <f>IF(SER_hh_fech!G9=0,0,SER_hh_fech!G9/SER_summary!G$26)</f>
        <v>222.21649456256708</v>
      </c>
      <c r="H9" s="132">
        <f>IF(SER_hh_fech!H9=0,0,SER_hh_fech!H9/SER_summary!H$26)</f>
        <v>263.16791926472263</v>
      </c>
      <c r="I9" s="132">
        <f>IF(SER_hh_fech!I9=0,0,SER_hh_fech!I9/SER_summary!I$26)</f>
        <v>269.41578396806295</v>
      </c>
      <c r="J9" s="132">
        <f>IF(SER_hh_fech!J9=0,0,SER_hh_fech!J9/SER_summary!J$26)</f>
        <v>246.05413235510881</v>
      </c>
      <c r="K9" s="132">
        <f>IF(SER_hh_fech!K9=0,0,SER_hh_fech!K9/SER_summary!K$26)</f>
        <v>226.04716439059314</v>
      </c>
      <c r="L9" s="132">
        <f>IF(SER_hh_fech!L9=0,0,SER_hh_fech!L9/SER_summary!L$26)</f>
        <v>255.41991034335763</v>
      </c>
      <c r="M9" s="132">
        <f>IF(SER_hh_fech!M9=0,0,SER_hh_fech!M9/SER_summary!M$26)</f>
        <v>230.20657626778873</v>
      </c>
      <c r="N9" s="132">
        <f>IF(SER_hh_fech!N9=0,0,SER_hh_fech!N9/SER_summary!N$26)</f>
        <v>211.59659559503353</v>
      </c>
      <c r="O9" s="132">
        <f>IF(SER_hh_fech!O9=0,0,SER_hh_fech!O9/SER_summary!O$26)</f>
        <v>214.11990774407877</v>
      </c>
      <c r="P9" s="132">
        <f>IF(SER_hh_fech!P9=0,0,SER_hh_fech!P9/SER_summary!P$26)</f>
        <v>268.49473299696905</v>
      </c>
      <c r="Q9" s="132">
        <f>IF(SER_hh_fech!Q9=0,0,SER_hh_fech!Q9/SER_summary!Q$26)</f>
        <v>246.72401508147743</v>
      </c>
      <c r="R9" s="132">
        <f>IF(SER_hh_fech!R9=0,0,SER_hh_fech!R9/SER_summary!R$26)</f>
        <v>271.36578156166598</v>
      </c>
      <c r="S9" s="132">
        <f>IF(SER_hh_fech!S9=0,0,SER_hh_fech!S9/SER_summary!S$26)</f>
        <v>223.71599605971369</v>
      </c>
      <c r="T9" s="132">
        <f>IF(SER_hh_fech!T9=0,0,SER_hh_fech!T9/SER_summary!T$26)</f>
        <v>234.0374866923537</v>
      </c>
      <c r="U9" s="132">
        <f>IF(SER_hh_fech!U9=0,0,SER_hh_fech!U9/SER_summary!U$26)</f>
        <v>215.74942362827326</v>
      </c>
      <c r="V9" s="132">
        <f>IF(SER_hh_fech!V9=0,0,SER_hh_fech!V9/SER_summary!V$26)</f>
        <v>229.92833723037188</v>
      </c>
      <c r="W9" s="132">
        <f>IF(SER_hh_fech!W9=0,0,SER_hh_fech!W9/SER_summary!W$26)</f>
        <v>271.32743808992865</v>
      </c>
      <c r="X9" s="132">
        <f>IF(SER_hh_fech!X9=0,0,SER_hh_fech!X9/SER_summary!X$26)</f>
        <v>177.42670680502755</v>
      </c>
      <c r="Y9" s="132">
        <f>IF(SER_hh_fech!Y9=0,0,SER_hh_fech!Y9/SER_summary!Y$26)</f>
        <v>172.57947354659271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212.81080901106083</v>
      </c>
      <c r="C10" s="132">
        <f>IF(SER_hh_fech!C10=0,0,SER_hh_fech!C10/SER_summary!C$26)</f>
        <v>252.09210552082953</v>
      </c>
      <c r="D10" s="132">
        <f>IF(SER_hh_fech!D10=0,0,SER_hh_fech!D10/SER_summary!D$26)</f>
        <v>219.70987392883214</v>
      </c>
      <c r="E10" s="132">
        <f>IF(SER_hh_fech!E10=0,0,SER_hh_fech!E10/SER_summary!E$26)</f>
        <v>210.49826378097481</v>
      </c>
      <c r="F10" s="132">
        <f>IF(SER_hh_fech!F10=0,0,SER_hh_fech!F10/SER_summary!F$26)</f>
        <v>367.62449904469048</v>
      </c>
      <c r="G10" s="132">
        <f>IF(SER_hh_fech!G10=0,0,SER_hh_fech!G10/SER_summary!G$26)</f>
        <v>231.14122093873192</v>
      </c>
      <c r="H10" s="132">
        <f>IF(SER_hh_fech!H10=0,0,SER_hh_fech!H10/SER_summary!H$26)</f>
        <v>263.46945873785694</v>
      </c>
      <c r="I10" s="132">
        <f>IF(SER_hh_fech!I10=0,0,SER_hh_fech!I10/SER_summary!I$26)</f>
        <v>282.74363357832743</v>
      </c>
      <c r="J10" s="132">
        <f>IF(SER_hh_fech!J10=0,0,SER_hh_fech!J10/SER_summary!J$26)</f>
        <v>304.38242255776629</v>
      </c>
      <c r="K10" s="132">
        <f>IF(SER_hh_fech!K10=0,0,SER_hh_fech!K10/SER_summary!K$26)</f>
        <v>227.26157444323238</v>
      </c>
      <c r="L10" s="132">
        <f>IF(SER_hh_fech!L10=0,0,SER_hh_fech!L10/SER_summary!L$26)</f>
        <v>279.33997049201668</v>
      </c>
      <c r="M10" s="132">
        <f>IF(SER_hh_fech!M10=0,0,SER_hh_fech!M10/SER_summary!M$26)</f>
        <v>303.13646609019497</v>
      </c>
      <c r="N10" s="132">
        <f>IF(SER_hh_fech!N10=0,0,SER_hh_fech!N10/SER_summary!N$26)</f>
        <v>221.39538109226848</v>
      </c>
      <c r="O10" s="132">
        <f>IF(SER_hh_fech!O10=0,0,SER_hh_fech!O10/SER_summary!O$26)</f>
        <v>237.23319343747468</v>
      </c>
      <c r="P10" s="132">
        <f>IF(SER_hh_fech!P10=0,0,SER_hh_fech!P10/SER_summary!P$26)</f>
        <v>252.91333801286089</v>
      </c>
      <c r="Q10" s="132">
        <f>IF(SER_hh_fech!Q10=0,0,SER_hh_fech!Q10/SER_summary!Q$26)</f>
        <v>283.80127024288919</v>
      </c>
      <c r="R10" s="132">
        <f>IF(SER_hh_fech!R10=0,0,SER_hh_fech!R10/SER_summary!R$26)</f>
        <v>277.7145340841189</v>
      </c>
      <c r="S10" s="132">
        <f>IF(SER_hh_fech!S10=0,0,SER_hh_fech!S10/SER_summary!S$26)</f>
        <v>296.49331205428314</v>
      </c>
      <c r="T10" s="132">
        <f>IF(SER_hh_fech!T10=0,0,SER_hh_fech!T10/SER_summary!T$26)</f>
        <v>259.32723178567898</v>
      </c>
      <c r="U10" s="132">
        <f>IF(SER_hh_fech!U10=0,0,SER_hh_fech!U10/SER_summary!U$26)</f>
        <v>280.4164874419435</v>
      </c>
      <c r="V10" s="132">
        <f>IF(SER_hh_fech!V10=0,0,SER_hh_fech!V10/SER_summary!V$26)</f>
        <v>347.80529096646706</v>
      </c>
      <c r="W10" s="132">
        <f>IF(SER_hh_fech!W10=0,0,SER_hh_fech!W10/SER_summary!W$26)</f>
        <v>295.82478574219277</v>
      </c>
      <c r="X10" s="132">
        <f>IF(SER_hh_fech!X10=0,0,SER_hh_fech!X10/SER_summary!X$26)</f>
        <v>297.96585062494847</v>
      </c>
      <c r="Y10" s="132">
        <f>IF(SER_hh_fech!Y10=0,0,SER_hh_fech!Y10/SER_summary!Y$26)</f>
        <v>188.4419562349413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0</v>
      </c>
      <c r="E11" s="132">
        <f>IF(SER_hh_fech!E11=0,0,SER_hh_fech!E11/SER_summary!E$26)</f>
        <v>0</v>
      </c>
      <c r="F11" s="132">
        <f>IF(SER_hh_fech!F11=0,0,SER_hh_fech!F11/SER_summary!F$26)</f>
        <v>0</v>
      </c>
      <c r="G11" s="132">
        <f>IF(SER_hh_fech!G11=0,0,SER_hh_fech!G11/SER_summary!G$26)</f>
        <v>0</v>
      </c>
      <c r="H11" s="132">
        <f>IF(SER_hh_fech!H11=0,0,SER_hh_fech!H11/SER_summary!H$26)</f>
        <v>0</v>
      </c>
      <c r="I11" s="132">
        <f>IF(SER_hh_fech!I11=0,0,SER_hh_fech!I11/SER_summary!I$26)</f>
        <v>0</v>
      </c>
      <c r="J11" s="132">
        <f>IF(SER_hh_fech!J11=0,0,SER_hh_fech!J11/SER_summary!J$26)</f>
        <v>0</v>
      </c>
      <c r="K11" s="132">
        <f>IF(SER_hh_fech!K11=0,0,SER_hh_fech!K11/SER_summary!K$26)</f>
        <v>0</v>
      </c>
      <c r="L11" s="132">
        <f>IF(SER_hh_fech!L11=0,0,SER_hh_fech!L11/SER_summary!L$26)</f>
        <v>0</v>
      </c>
      <c r="M11" s="132">
        <f>IF(SER_hh_fech!M11=0,0,SER_hh_fech!M11/SER_summary!M$26)</f>
        <v>0</v>
      </c>
      <c r="N11" s="132">
        <f>IF(SER_hh_fech!N11=0,0,SER_hh_fech!N11/SER_summary!N$26)</f>
        <v>0</v>
      </c>
      <c r="O11" s="132">
        <f>IF(SER_hh_fech!O11=0,0,SER_hh_fech!O11/SER_summary!O$26)</f>
        <v>0</v>
      </c>
      <c r="P11" s="132">
        <f>IF(SER_hh_fech!P11=0,0,SER_hh_fech!P11/SER_summary!P$26)</f>
        <v>0</v>
      </c>
      <c r="Q11" s="132">
        <f>IF(SER_hh_fech!Q11=0,0,SER_hh_fech!Q11/SER_summary!Q$26)</f>
        <v>0</v>
      </c>
      <c r="R11" s="132">
        <f>IF(SER_hh_fech!R11=0,0,SER_hh_fech!R11/SER_summary!R$26)</f>
        <v>0</v>
      </c>
      <c r="S11" s="132">
        <f>IF(SER_hh_fech!S11=0,0,SER_hh_fech!S11/SER_summary!S$26)</f>
        <v>0</v>
      </c>
      <c r="T11" s="132">
        <f>IF(SER_hh_fech!T11=0,0,SER_hh_fech!T11/SER_summary!T$26)</f>
        <v>0</v>
      </c>
      <c r="U11" s="132">
        <f>IF(SER_hh_fech!U11=0,0,SER_hh_fech!U11/SER_summary!U$26)</f>
        <v>0</v>
      </c>
      <c r="V11" s="132">
        <f>IF(SER_hh_fech!V11=0,0,SER_hh_fech!V11/SER_summary!V$26)</f>
        <v>0</v>
      </c>
      <c r="W11" s="132">
        <f>IF(SER_hh_fech!W11=0,0,SER_hh_fech!W11/SER_summary!W$26)</f>
        <v>0</v>
      </c>
      <c r="X11" s="132">
        <f>IF(SER_hh_fech!X11=0,0,SER_hh_fech!X11/SER_summary!X$26)</f>
        <v>0</v>
      </c>
      <c r="Y11" s="132">
        <f>IF(SER_hh_fech!Y11=0,0,SER_hh_fech!Y11/SER_summary!Y$26)</f>
        <v>0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170.77948955037979</v>
      </c>
      <c r="C12" s="132">
        <f>IF(SER_hh_fech!C12=0,0,SER_hh_fech!C12/SER_summary!C$26)</f>
        <v>118.30426276781684</v>
      </c>
      <c r="D12" s="132">
        <f>IF(SER_hh_fech!D12=0,0,SER_hh_fech!D12/SER_summary!D$26)</f>
        <v>143.99986441812965</v>
      </c>
      <c r="E12" s="132">
        <f>IF(SER_hh_fech!E12=0,0,SER_hh_fech!E12/SER_summary!E$26)</f>
        <v>142.11085532755885</v>
      </c>
      <c r="F12" s="132">
        <f>IF(SER_hh_fech!F12=0,0,SER_hh_fech!F12/SER_summary!F$26)</f>
        <v>174.54137073723899</v>
      </c>
      <c r="G12" s="132">
        <f>IF(SER_hh_fech!G12=0,0,SER_hh_fech!G12/SER_summary!G$26)</f>
        <v>190.27150956681942</v>
      </c>
      <c r="H12" s="132">
        <f>IF(SER_hh_fech!H12=0,0,SER_hh_fech!H12/SER_summary!H$26)</f>
        <v>162.314978159368</v>
      </c>
      <c r="I12" s="132">
        <f>IF(SER_hh_fech!I12=0,0,SER_hh_fech!I12/SER_summary!I$26)</f>
        <v>152.77584063311753</v>
      </c>
      <c r="J12" s="132">
        <f>IF(SER_hh_fech!J12=0,0,SER_hh_fech!J12/SER_summary!J$26)</f>
        <v>189.85722855798312</v>
      </c>
      <c r="K12" s="132">
        <f>IF(SER_hh_fech!K12=0,0,SER_hh_fech!K12/SER_summary!K$26)</f>
        <v>187.16491236930278</v>
      </c>
      <c r="L12" s="132">
        <f>IF(SER_hh_fech!L12=0,0,SER_hh_fech!L12/SER_summary!L$26)</f>
        <v>198.63870656173455</v>
      </c>
      <c r="M12" s="132">
        <f>IF(SER_hh_fech!M12=0,0,SER_hh_fech!M12/SER_summary!M$26)</f>
        <v>153.9565427032291</v>
      </c>
      <c r="N12" s="132">
        <f>IF(SER_hh_fech!N12=0,0,SER_hh_fech!N12/SER_summary!N$26)</f>
        <v>174.05216199991338</v>
      </c>
      <c r="O12" s="132">
        <f>IF(SER_hh_fech!O12=0,0,SER_hh_fech!O12/SER_summary!O$26)</f>
        <v>164.62760292583553</v>
      </c>
      <c r="P12" s="132">
        <f>IF(SER_hh_fech!P12=0,0,SER_hh_fech!P12/SER_summary!P$26)</f>
        <v>182.00205514844382</v>
      </c>
      <c r="Q12" s="132">
        <f>IF(SER_hh_fech!Q12=0,0,SER_hh_fech!Q12/SER_summary!Q$26)</f>
        <v>179.91588017801561</v>
      </c>
      <c r="R12" s="132">
        <f>IF(SER_hh_fech!R12=0,0,SER_hh_fech!R12/SER_summary!R$26)</f>
        <v>201.96688708338851</v>
      </c>
      <c r="S12" s="132">
        <f>IF(SER_hh_fech!S12=0,0,SER_hh_fech!S12/SER_summary!S$26)</f>
        <v>191.89506172126815</v>
      </c>
      <c r="T12" s="132">
        <f>IF(SER_hh_fech!T12=0,0,SER_hh_fech!T12/SER_summary!T$26)</f>
        <v>198.85936741296501</v>
      </c>
      <c r="U12" s="132">
        <f>IF(SER_hh_fech!U12=0,0,SER_hh_fech!U12/SER_summary!U$26)</f>
        <v>170.20452250486483</v>
      </c>
      <c r="V12" s="132">
        <f>IF(SER_hh_fech!V12=0,0,SER_hh_fech!V12/SER_summary!V$26)</f>
        <v>181.26796066041791</v>
      </c>
      <c r="W12" s="132">
        <f>IF(SER_hh_fech!W12=0,0,SER_hh_fech!W12/SER_summary!W$26)</f>
        <v>180.82867327733172</v>
      </c>
      <c r="X12" s="132">
        <f>IF(SER_hh_fech!X12=0,0,SER_hh_fech!X12/SER_summary!X$26)</f>
        <v>164.64389621707164</v>
      </c>
      <c r="Y12" s="132">
        <f>IF(SER_hh_fech!Y12=0,0,SER_hh_fech!Y12/SER_summary!Y$26)</f>
        <v>149.6397042569732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0</v>
      </c>
      <c r="C13" s="132">
        <f>IF(SER_hh_fech!C13=0,0,SER_hh_fech!C13/SER_summary!C$26)</f>
        <v>0</v>
      </c>
      <c r="D13" s="132">
        <f>IF(SER_hh_fech!D13=0,0,SER_hh_fech!D13/SER_summary!D$26)</f>
        <v>0</v>
      </c>
      <c r="E13" s="132">
        <f>IF(SER_hh_fech!E13=0,0,SER_hh_fech!E13/SER_summary!E$26)</f>
        <v>0</v>
      </c>
      <c r="F13" s="132">
        <f>IF(SER_hh_fech!F13=0,0,SER_hh_fech!F13/SER_summary!F$26)</f>
        <v>0</v>
      </c>
      <c r="G13" s="132">
        <f>IF(SER_hh_fech!G13=0,0,SER_hh_fech!G13/SER_summary!G$26)</f>
        <v>0</v>
      </c>
      <c r="H13" s="132">
        <f>IF(SER_hh_fech!H13=0,0,SER_hh_fech!H13/SER_summary!H$26)</f>
        <v>0</v>
      </c>
      <c r="I13" s="132">
        <f>IF(SER_hh_fech!I13=0,0,SER_hh_fech!I13/SER_summary!I$26)</f>
        <v>0</v>
      </c>
      <c r="J13" s="132">
        <f>IF(SER_hh_fech!J13=0,0,SER_hh_fech!J13/SER_summary!J$26)</f>
        <v>0</v>
      </c>
      <c r="K13" s="132">
        <f>IF(SER_hh_fech!K13=0,0,SER_hh_fech!K13/SER_summary!K$26)</f>
        <v>0</v>
      </c>
      <c r="L13" s="132">
        <f>IF(SER_hh_fech!L13=0,0,SER_hh_fech!L13/SER_summary!L$26)</f>
        <v>0</v>
      </c>
      <c r="M13" s="132">
        <f>IF(SER_hh_fech!M13=0,0,SER_hh_fech!M13/SER_summary!M$26)</f>
        <v>0</v>
      </c>
      <c r="N13" s="132">
        <f>IF(SER_hh_fech!N13=0,0,SER_hh_fech!N13/SER_summary!N$26)</f>
        <v>0</v>
      </c>
      <c r="O13" s="132">
        <f>IF(SER_hh_fech!O13=0,0,SER_hh_fech!O13/SER_summary!O$26)</f>
        <v>0</v>
      </c>
      <c r="P13" s="132">
        <f>IF(SER_hh_fech!P13=0,0,SER_hh_fech!P13/SER_summary!P$26)</f>
        <v>0</v>
      </c>
      <c r="Q13" s="132">
        <f>IF(SER_hh_fech!Q13=0,0,SER_hh_fech!Q13/SER_summary!Q$26)</f>
        <v>0</v>
      </c>
      <c r="R13" s="132">
        <f>IF(SER_hh_fech!R13=0,0,SER_hh_fech!R13/SER_summary!R$26)</f>
        <v>0</v>
      </c>
      <c r="S13" s="132">
        <f>IF(SER_hh_fech!S13=0,0,SER_hh_fech!S13/SER_summary!S$26)</f>
        <v>0</v>
      </c>
      <c r="T13" s="132">
        <f>IF(SER_hh_fech!T13=0,0,SER_hh_fech!T13/SER_summary!T$26)</f>
        <v>0</v>
      </c>
      <c r="U13" s="132">
        <f>IF(SER_hh_fech!U13=0,0,SER_hh_fech!U13/SER_summary!U$26)</f>
        <v>0</v>
      </c>
      <c r="V13" s="132">
        <f>IF(SER_hh_fech!V13=0,0,SER_hh_fech!V13/SER_summary!V$26)</f>
        <v>0</v>
      </c>
      <c r="W13" s="132">
        <f>IF(SER_hh_fech!W13=0,0,SER_hh_fech!W13/SER_summary!W$26)</f>
        <v>0</v>
      </c>
      <c r="X13" s="132">
        <f>IF(SER_hh_fech!X13=0,0,SER_hh_fech!X13/SER_summary!X$26)</f>
        <v>0</v>
      </c>
      <c r="Y13" s="132">
        <f>IF(SER_hh_fech!Y13=0,0,SER_hh_fech!Y13/SER_summary!Y$26)</f>
        <v>0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157.00542138520024</v>
      </c>
      <c r="C14" s="65">
        <f>IF(SER_hh_fech!C14=0,0,SER_hh_fech!C14/SER_summary!C$26)</f>
        <v>156.15150270845629</v>
      </c>
      <c r="D14" s="65">
        <f>IF(SER_hh_fech!D14=0,0,SER_hh_fech!D14/SER_summary!D$26)</f>
        <v>168.23095808059898</v>
      </c>
      <c r="E14" s="65">
        <f>IF(SER_hh_fech!E14=0,0,SER_hh_fech!E14/SER_summary!E$26)</f>
        <v>161.53249664546627</v>
      </c>
      <c r="F14" s="65">
        <f>IF(SER_hh_fech!F14=0,0,SER_hh_fech!F14/SER_summary!F$26)</f>
        <v>193.59369243464369</v>
      </c>
      <c r="G14" s="65">
        <f>IF(SER_hh_fech!G14=0,0,SER_hh_fech!G14/SER_summary!G$26)</f>
        <v>174.77474450899817</v>
      </c>
      <c r="H14" s="65">
        <f>IF(SER_hh_fech!H14=0,0,SER_hh_fech!H14/SER_summary!H$26)</f>
        <v>185.63202454728957</v>
      </c>
      <c r="I14" s="65">
        <f>IF(SER_hh_fech!I14=0,0,SER_hh_fech!I14/SER_summary!I$26)</f>
        <v>191.1130522669061</v>
      </c>
      <c r="J14" s="65">
        <f>IF(SER_hh_fech!J14=0,0,SER_hh_fech!J14/SER_summary!J$26)</f>
        <v>214.64567954908748</v>
      </c>
      <c r="K14" s="65">
        <f>IF(SER_hh_fech!K14=0,0,SER_hh_fech!K14/SER_summary!K$26)</f>
        <v>210.75694470790776</v>
      </c>
      <c r="L14" s="65">
        <f>IF(SER_hh_fech!L14=0,0,SER_hh_fech!L14/SER_summary!L$26)</f>
        <v>197.47701456904591</v>
      </c>
      <c r="M14" s="65">
        <f>IF(SER_hh_fech!M14=0,0,SER_hh_fech!M14/SER_summary!M$26)</f>
        <v>162.92922789533847</v>
      </c>
      <c r="N14" s="65">
        <f>IF(SER_hh_fech!N14=0,0,SER_hh_fech!N14/SER_summary!N$26)</f>
        <v>188.35720460711056</v>
      </c>
      <c r="O14" s="65">
        <f>IF(SER_hh_fech!O14=0,0,SER_hh_fech!O14/SER_summary!O$26)</f>
        <v>173.60967459772039</v>
      </c>
      <c r="P14" s="65">
        <f>IF(SER_hh_fech!P14=0,0,SER_hh_fech!P14/SER_summary!P$26)</f>
        <v>209.86606914242901</v>
      </c>
      <c r="Q14" s="65">
        <f>IF(SER_hh_fech!Q14=0,0,SER_hh_fech!Q14/SER_summary!Q$26)</f>
        <v>198.83157791259103</v>
      </c>
      <c r="R14" s="65">
        <f>IF(SER_hh_fech!R14=0,0,SER_hh_fech!R14/SER_summary!R$26)</f>
        <v>229.81037422778203</v>
      </c>
      <c r="S14" s="65">
        <f>IF(SER_hh_fech!S14=0,0,SER_hh_fech!S14/SER_summary!S$26)</f>
        <v>179.12377365523901</v>
      </c>
      <c r="T14" s="65">
        <f>IF(SER_hh_fech!T14=0,0,SER_hh_fech!T14/SER_summary!T$26)</f>
        <v>207.62703814252501</v>
      </c>
      <c r="U14" s="65">
        <f>IF(SER_hh_fech!U14=0,0,SER_hh_fech!U14/SER_summary!U$26)</f>
        <v>196.94384607053627</v>
      </c>
      <c r="V14" s="65">
        <f>IF(SER_hh_fech!V14=0,0,SER_hh_fech!V14/SER_summary!V$26)</f>
        <v>188.40624146590795</v>
      </c>
      <c r="W14" s="65">
        <f>IF(SER_hh_fech!W14=0,0,SER_hh_fech!W14/SER_summary!W$26)</f>
        <v>226.19499495458132</v>
      </c>
      <c r="X14" s="65">
        <f>IF(SER_hh_fech!X14=0,0,SER_hh_fech!X14/SER_summary!X$26)</f>
        <v>177.52678131784958</v>
      </c>
      <c r="Y14" s="65">
        <f>IF(SER_hh_fech!Y14=0,0,SER_hh_fech!Y14/SER_summary!Y$26)</f>
        <v>129.76653341365653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1.0480300484134972</v>
      </c>
      <c r="C15" s="134">
        <f>IF(SER_hh_fech!C15=0,0,SER_hh_fech!C15/SER_summary!C$26)</f>
        <v>1.1492002801278178</v>
      </c>
      <c r="D15" s="134">
        <f>IF(SER_hh_fech!D15=0,0,SER_hh_fech!D15/SER_summary!D$26)</f>
        <v>0.9927933051913137</v>
      </c>
      <c r="E15" s="134">
        <f>IF(SER_hh_fech!E15=0,0,SER_hh_fech!E15/SER_summary!E$26)</f>
        <v>1.3136236951016038</v>
      </c>
      <c r="F15" s="134">
        <f>IF(SER_hh_fech!F15=0,0,SER_hh_fech!F15/SER_summary!F$26)</f>
        <v>1.3569637244427617</v>
      </c>
      <c r="G15" s="134">
        <f>IF(SER_hh_fech!G15=0,0,SER_hh_fech!G15/SER_summary!G$26)</f>
        <v>1.2479352694247074</v>
      </c>
      <c r="H15" s="134">
        <f>IF(SER_hh_fech!H15=0,0,SER_hh_fech!H15/SER_summary!H$26)</f>
        <v>1.1331776613234119</v>
      </c>
      <c r="I15" s="134">
        <f>IF(SER_hh_fech!I15=0,0,SER_hh_fech!I15/SER_summary!I$26)</f>
        <v>1.1059044351862806</v>
      </c>
      <c r="J15" s="134">
        <f>IF(SER_hh_fech!J15=0,0,SER_hh_fech!J15/SER_summary!J$26)</f>
        <v>1.1214937107853118</v>
      </c>
      <c r="K15" s="134">
        <f>IF(SER_hh_fech!K15=0,0,SER_hh_fech!K15/SER_summary!K$26)</f>
        <v>1.016532311145993</v>
      </c>
      <c r="L15" s="134">
        <f>IF(SER_hh_fech!L15=0,0,SER_hh_fech!L15/SER_summary!L$26)</f>
        <v>1.0225511378758199</v>
      </c>
      <c r="M15" s="134">
        <f>IF(SER_hh_fech!M15=0,0,SER_hh_fech!M15/SER_summary!M$26)</f>
        <v>1.0276954644899075</v>
      </c>
      <c r="N15" s="134">
        <f>IF(SER_hh_fech!N15=0,0,SER_hh_fech!N15/SER_summary!N$26)</f>
        <v>1.0728943146381056</v>
      </c>
      <c r="O15" s="134">
        <f>IF(SER_hh_fech!O15=0,0,SER_hh_fech!O15/SER_summary!O$26)</f>
        <v>1.1109925977058317</v>
      </c>
      <c r="P15" s="134">
        <f>IF(SER_hh_fech!P15=0,0,SER_hh_fech!P15/SER_summary!P$26)</f>
        <v>1.2659761237476157</v>
      </c>
      <c r="Q15" s="134">
        <f>IF(SER_hh_fech!Q15=0,0,SER_hh_fech!Q15/SER_summary!Q$26)</f>
        <v>1.3053564850075341</v>
      </c>
      <c r="R15" s="134">
        <f>IF(SER_hh_fech!R15=0,0,SER_hh_fech!R15/SER_summary!R$26)</f>
        <v>1.3991530365257137</v>
      </c>
      <c r="S15" s="134">
        <f>IF(SER_hh_fech!S15=0,0,SER_hh_fech!S15/SER_summary!S$26)</f>
        <v>1.2818939966018248</v>
      </c>
      <c r="T15" s="134">
        <f>IF(SER_hh_fech!T15=0,0,SER_hh_fech!T15/SER_summary!T$26)</f>
        <v>1.3507633998193744</v>
      </c>
      <c r="U15" s="134">
        <f>IF(SER_hh_fech!U15=0,0,SER_hh_fech!U15/SER_summary!U$26)</f>
        <v>1.2118977600733618</v>
      </c>
      <c r="V15" s="134">
        <f>IF(SER_hh_fech!V15=0,0,SER_hh_fech!V15/SER_summary!V$26)</f>
        <v>1.2766647484050453</v>
      </c>
      <c r="W15" s="134">
        <f>IF(SER_hh_fech!W15=0,0,SER_hh_fech!W15/SER_summary!W$26)</f>
        <v>1.341327349794037</v>
      </c>
      <c r="X15" s="134">
        <f>IF(SER_hh_fech!X15=0,0,SER_hh_fech!X15/SER_summary!X$26)</f>
        <v>0.98024778247038746</v>
      </c>
      <c r="Y15" s="134">
        <f>IF(SER_hh_fech!Y15=0,0,SER_hh_fech!Y15/SER_summary!Y$26)</f>
        <v>0.88409822785209979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10.854598900519958</v>
      </c>
      <c r="C16" s="130">
        <f>IF(SER_hh_fech!C16=0,0,SER_hh_fech!C16/SER_summary!C$26)</f>
        <v>10.431233574483468</v>
      </c>
      <c r="D16" s="130">
        <f>IF(SER_hh_fech!D16=0,0,SER_hh_fech!D16/SER_summary!D$26)</f>
        <v>9.8123688454972857</v>
      </c>
      <c r="E16" s="130">
        <f>IF(SER_hh_fech!E16=0,0,SER_hh_fech!E16/SER_summary!E$26)</f>
        <v>9.7395516867973146</v>
      </c>
      <c r="F16" s="130">
        <f>IF(SER_hh_fech!F16=0,0,SER_hh_fech!F16/SER_summary!F$26)</f>
        <v>8.8010737904314791</v>
      </c>
      <c r="G16" s="130">
        <f>IF(SER_hh_fech!G16=0,0,SER_hh_fech!G16/SER_summary!G$26)</f>
        <v>8.2678486037595107</v>
      </c>
      <c r="H16" s="130">
        <f>IF(SER_hh_fech!H16=0,0,SER_hh_fech!H16/SER_summary!H$26)</f>
        <v>7.8526739733154569</v>
      </c>
      <c r="I16" s="130">
        <f>IF(SER_hh_fech!I16=0,0,SER_hh_fech!I16/SER_summary!I$26)</f>
        <v>7.3074394313990352</v>
      </c>
      <c r="J16" s="130">
        <f>IF(SER_hh_fech!J16=0,0,SER_hh_fech!J16/SER_summary!J$26)</f>
        <v>6.9118630906090726</v>
      </c>
      <c r="K16" s="130">
        <f>IF(SER_hh_fech!K16=0,0,SER_hh_fech!K16/SER_summary!K$26)</f>
        <v>6.792016891409129</v>
      </c>
      <c r="L16" s="130">
        <f>IF(SER_hh_fech!L16=0,0,SER_hh_fech!L16/SER_summary!L$26)</f>
        <v>7.7068222498621202</v>
      </c>
      <c r="M16" s="130">
        <f>IF(SER_hh_fech!M16=0,0,SER_hh_fech!M16/SER_summary!M$26)</f>
        <v>6.7121238770049292</v>
      </c>
      <c r="N16" s="130">
        <f>IF(SER_hh_fech!N16=0,0,SER_hh_fech!N16/SER_summary!N$26)</f>
        <v>6.1950104875870666</v>
      </c>
      <c r="O16" s="130">
        <f>IF(SER_hh_fech!O16=0,0,SER_hh_fech!O16/SER_summary!O$26)</f>
        <v>5.9125708265803114</v>
      </c>
      <c r="P16" s="130">
        <f>IF(SER_hh_fech!P16=0,0,SER_hh_fech!P16/SER_summary!P$26)</f>
        <v>5.7856175446458744</v>
      </c>
      <c r="Q16" s="130">
        <f>IF(SER_hh_fech!Q16=0,0,SER_hh_fech!Q16/SER_summary!Q$26)</f>
        <v>5.4047706929026882</v>
      </c>
      <c r="R16" s="130">
        <f>IF(SER_hh_fech!R16=0,0,SER_hh_fech!R16/SER_summary!R$26)</f>
        <v>5.2642539450002186</v>
      </c>
      <c r="S16" s="130">
        <f>IF(SER_hh_fech!S16=0,0,SER_hh_fech!S16/SER_summary!S$26)</f>
        <v>5.0923996584929743</v>
      </c>
      <c r="T16" s="130">
        <f>IF(SER_hh_fech!T16=0,0,SER_hh_fech!T16/SER_summary!T$26)</f>
        <v>5.2863532609399266</v>
      </c>
      <c r="U16" s="130">
        <f>IF(SER_hh_fech!U16=0,0,SER_hh_fech!U16/SER_summary!U$26)</f>
        <v>4.8365217604771571</v>
      </c>
      <c r="V16" s="130">
        <f>IF(SER_hh_fech!V16=0,0,SER_hh_fech!V16/SER_summary!V$26)</f>
        <v>4.5909289526561627</v>
      </c>
      <c r="W16" s="130">
        <f>IF(SER_hh_fech!W16=0,0,SER_hh_fech!W16/SER_summary!W$26)</f>
        <v>5.0582760263509519</v>
      </c>
      <c r="X16" s="130">
        <f>IF(SER_hh_fech!X16=0,0,SER_hh_fech!X16/SER_summary!X$26)</f>
        <v>4.7619329108965562</v>
      </c>
      <c r="Y16" s="130">
        <f>IF(SER_hh_fech!Y16=0,0,SER_hh_fech!Y16/SER_summary!Y$26)</f>
        <v>4.4948361464164357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0</v>
      </c>
      <c r="C17" s="132">
        <f>IF(SER_hh_fech!C17=0,0,SER_hh_fech!C17/SER_summary!C$26)</f>
        <v>0</v>
      </c>
      <c r="D17" s="132">
        <f>IF(SER_hh_fech!D17=0,0,SER_hh_fech!D17/SER_summary!D$26)</f>
        <v>0</v>
      </c>
      <c r="E17" s="132">
        <f>IF(SER_hh_fech!E17=0,0,SER_hh_fech!E17/SER_summary!E$26)</f>
        <v>0</v>
      </c>
      <c r="F17" s="132">
        <f>IF(SER_hh_fech!F17=0,0,SER_hh_fech!F17/SER_summary!F$26)</f>
        <v>0</v>
      </c>
      <c r="G17" s="132">
        <f>IF(SER_hh_fech!G17=0,0,SER_hh_fech!G17/SER_summary!G$26)</f>
        <v>0</v>
      </c>
      <c r="H17" s="132">
        <f>IF(SER_hh_fech!H17=0,0,SER_hh_fech!H17/SER_summary!H$26)</f>
        <v>0</v>
      </c>
      <c r="I17" s="132">
        <f>IF(SER_hh_fech!I17=0,0,SER_hh_fech!I17/SER_summary!I$26)</f>
        <v>0</v>
      </c>
      <c r="J17" s="132">
        <f>IF(SER_hh_fech!J17=0,0,SER_hh_fech!J17/SER_summary!J$26)</f>
        <v>0</v>
      </c>
      <c r="K17" s="132">
        <f>IF(SER_hh_fech!K17=0,0,SER_hh_fech!K17/SER_summary!K$26)</f>
        <v>0</v>
      </c>
      <c r="L17" s="132">
        <f>IF(SER_hh_fech!L17=0,0,SER_hh_fech!L17/SER_summary!L$26)</f>
        <v>0</v>
      </c>
      <c r="M17" s="132">
        <f>IF(SER_hh_fech!M17=0,0,SER_hh_fech!M17/SER_summary!M$26)</f>
        <v>0</v>
      </c>
      <c r="N17" s="132">
        <f>IF(SER_hh_fech!N17=0,0,SER_hh_fech!N17/SER_summary!N$26)</f>
        <v>0</v>
      </c>
      <c r="O17" s="132">
        <f>IF(SER_hh_fech!O17=0,0,SER_hh_fech!O17/SER_summary!O$26)</f>
        <v>0</v>
      </c>
      <c r="P17" s="132">
        <f>IF(SER_hh_fech!P17=0,0,SER_hh_fech!P17/SER_summary!P$26)</f>
        <v>0</v>
      </c>
      <c r="Q17" s="132">
        <f>IF(SER_hh_fech!Q17=0,0,SER_hh_fech!Q17/SER_summary!Q$26)</f>
        <v>0</v>
      </c>
      <c r="R17" s="132">
        <f>IF(SER_hh_fech!R17=0,0,SER_hh_fech!R17/SER_summary!R$26)</f>
        <v>0</v>
      </c>
      <c r="S17" s="132">
        <f>IF(SER_hh_fech!S17=0,0,SER_hh_fech!S17/SER_summary!S$26)</f>
        <v>0</v>
      </c>
      <c r="T17" s="132">
        <f>IF(SER_hh_fech!T17=0,0,SER_hh_fech!T17/SER_summary!T$26)</f>
        <v>0</v>
      </c>
      <c r="U17" s="132">
        <f>IF(SER_hh_fech!U17=0,0,SER_hh_fech!U17/SER_summary!U$26)</f>
        <v>0</v>
      </c>
      <c r="V17" s="132">
        <f>IF(SER_hh_fech!V17=0,0,SER_hh_fech!V17/SER_summary!V$26)</f>
        <v>0</v>
      </c>
      <c r="W17" s="132">
        <f>IF(SER_hh_fech!W17=0,0,SER_hh_fech!W17/SER_summary!W$26)</f>
        <v>0</v>
      </c>
      <c r="X17" s="132">
        <f>IF(SER_hh_fech!X17=0,0,SER_hh_fech!X17/SER_summary!X$26)</f>
        <v>0</v>
      </c>
      <c r="Y17" s="132">
        <f>IF(SER_hh_fech!Y17=0,0,SER_hh_fech!Y17/SER_summary!Y$26)</f>
        <v>0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10.854598900519958</v>
      </c>
      <c r="C18" s="132">
        <f>IF(SER_hh_fech!C18=0,0,SER_hh_fech!C18/SER_summary!C$26)</f>
        <v>10.431233574483468</v>
      </c>
      <c r="D18" s="132">
        <f>IF(SER_hh_fech!D18=0,0,SER_hh_fech!D18/SER_summary!D$26)</f>
        <v>9.8123688454972857</v>
      </c>
      <c r="E18" s="132">
        <f>IF(SER_hh_fech!E18=0,0,SER_hh_fech!E18/SER_summary!E$26)</f>
        <v>9.7395516867973146</v>
      </c>
      <c r="F18" s="132">
        <f>IF(SER_hh_fech!F18=0,0,SER_hh_fech!F18/SER_summary!F$26)</f>
        <v>8.8010737904314791</v>
      </c>
      <c r="G18" s="132">
        <f>IF(SER_hh_fech!G18=0,0,SER_hh_fech!G18/SER_summary!G$26)</f>
        <v>8.2678486037595107</v>
      </c>
      <c r="H18" s="132">
        <f>IF(SER_hh_fech!H18=0,0,SER_hh_fech!H18/SER_summary!H$26)</f>
        <v>7.8526739733154569</v>
      </c>
      <c r="I18" s="132">
        <f>IF(SER_hh_fech!I18=0,0,SER_hh_fech!I18/SER_summary!I$26)</f>
        <v>7.3074394313990352</v>
      </c>
      <c r="J18" s="132">
        <f>IF(SER_hh_fech!J18=0,0,SER_hh_fech!J18/SER_summary!J$26)</f>
        <v>6.9118630906090726</v>
      </c>
      <c r="K18" s="132">
        <f>IF(SER_hh_fech!K18=0,0,SER_hh_fech!K18/SER_summary!K$26)</f>
        <v>6.792016891409129</v>
      </c>
      <c r="L18" s="132">
        <f>IF(SER_hh_fech!L18=0,0,SER_hh_fech!L18/SER_summary!L$26)</f>
        <v>7.7068222498621202</v>
      </c>
      <c r="M18" s="132">
        <f>IF(SER_hh_fech!M18=0,0,SER_hh_fech!M18/SER_summary!M$26)</f>
        <v>6.7121238770049292</v>
      </c>
      <c r="N18" s="132">
        <f>IF(SER_hh_fech!N18=0,0,SER_hh_fech!N18/SER_summary!N$26)</f>
        <v>6.1950104875870666</v>
      </c>
      <c r="O18" s="132">
        <f>IF(SER_hh_fech!O18=0,0,SER_hh_fech!O18/SER_summary!O$26)</f>
        <v>5.9125708265803114</v>
      </c>
      <c r="P18" s="132">
        <f>IF(SER_hh_fech!P18=0,0,SER_hh_fech!P18/SER_summary!P$26)</f>
        <v>5.7856175446458744</v>
      </c>
      <c r="Q18" s="132">
        <f>IF(SER_hh_fech!Q18=0,0,SER_hh_fech!Q18/SER_summary!Q$26)</f>
        <v>5.4047706929026882</v>
      </c>
      <c r="R18" s="132">
        <f>IF(SER_hh_fech!R18=0,0,SER_hh_fech!R18/SER_summary!R$26)</f>
        <v>5.2642539450002186</v>
      </c>
      <c r="S18" s="132">
        <f>IF(SER_hh_fech!S18=0,0,SER_hh_fech!S18/SER_summary!S$26)</f>
        <v>5.0923996584929743</v>
      </c>
      <c r="T18" s="132">
        <f>IF(SER_hh_fech!T18=0,0,SER_hh_fech!T18/SER_summary!T$26)</f>
        <v>5.2863532609399266</v>
      </c>
      <c r="U18" s="132">
        <f>IF(SER_hh_fech!U18=0,0,SER_hh_fech!U18/SER_summary!U$26)</f>
        <v>4.8365217604771571</v>
      </c>
      <c r="V18" s="132">
        <f>IF(SER_hh_fech!V18=0,0,SER_hh_fech!V18/SER_summary!V$26)</f>
        <v>4.5909289526561627</v>
      </c>
      <c r="W18" s="132">
        <f>IF(SER_hh_fech!W18=0,0,SER_hh_fech!W18/SER_summary!W$26)</f>
        <v>5.0582760263509519</v>
      </c>
      <c r="X18" s="132">
        <f>IF(SER_hh_fech!X18=0,0,SER_hh_fech!X18/SER_summary!X$26)</f>
        <v>4.7619329108965562</v>
      </c>
      <c r="Y18" s="132">
        <f>IF(SER_hh_fech!Y18=0,0,SER_hh_fech!Y18/SER_summary!Y$26)</f>
        <v>4.4948361464164357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31.632580911971992</v>
      </c>
      <c r="C19" s="130">
        <f>IF(SER_hh_fech!C19=0,0,SER_hh_fech!C19/SER_summary!C$26)</f>
        <v>31.021955818157455</v>
      </c>
      <c r="D19" s="130">
        <f>IF(SER_hh_fech!D19=0,0,SER_hh_fech!D19/SER_summary!D$26)</f>
        <v>29.895765318991717</v>
      </c>
      <c r="E19" s="130">
        <f>IF(SER_hh_fech!E19=0,0,SER_hh_fech!E19/SER_summary!E$26)</f>
        <v>29.343189782660826</v>
      </c>
      <c r="F19" s="130">
        <f>IF(SER_hh_fech!F19=0,0,SER_hh_fech!F19/SER_summary!F$26)</f>
        <v>28.301709076403984</v>
      </c>
      <c r="G19" s="130">
        <f>IF(SER_hh_fech!G19=0,0,SER_hh_fech!G19/SER_summary!G$26)</f>
        <v>28.256304570426774</v>
      </c>
      <c r="H19" s="130">
        <f>IF(SER_hh_fech!H19=0,0,SER_hh_fech!H19/SER_summary!H$26)</f>
        <v>27.389976807269637</v>
      </c>
      <c r="I19" s="130">
        <f>IF(SER_hh_fech!I19=0,0,SER_hh_fech!I19/SER_summary!I$26)</f>
        <v>26.128716575687328</v>
      </c>
      <c r="J19" s="130">
        <f>IF(SER_hh_fech!J19=0,0,SER_hh_fech!J19/SER_summary!J$26)</f>
        <v>26.525133634416537</v>
      </c>
      <c r="K19" s="130">
        <f>IF(SER_hh_fech!K19=0,0,SER_hh_fech!K19/SER_summary!K$26)</f>
        <v>26.360951580074577</v>
      </c>
      <c r="L19" s="130">
        <f>IF(SER_hh_fech!L19=0,0,SER_hh_fech!L19/SER_summary!L$26)</f>
        <v>26.189399128934934</v>
      </c>
      <c r="M19" s="130">
        <f>IF(SER_hh_fech!M19=0,0,SER_hh_fech!M19/SER_summary!M$26)</f>
        <v>26.655753417360632</v>
      </c>
      <c r="N19" s="130">
        <f>IF(SER_hh_fech!N19=0,0,SER_hh_fech!N19/SER_summary!N$26)</f>
        <v>26.484127127023484</v>
      </c>
      <c r="O19" s="130">
        <f>IF(SER_hh_fech!O19=0,0,SER_hh_fech!O19/SER_summary!O$26)</f>
        <v>26.351951537844894</v>
      </c>
      <c r="P19" s="130">
        <f>IF(SER_hh_fech!P19=0,0,SER_hh_fech!P19/SER_summary!P$26)</f>
        <v>26.288465412486836</v>
      </c>
      <c r="Q19" s="130">
        <f>IF(SER_hh_fech!Q19=0,0,SER_hh_fech!Q19/SER_summary!Q$26)</f>
        <v>26.478791951066537</v>
      </c>
      <c r="R19" s="130">
        <f>IF(SER_hh_fech!R19=0,0,SER_hh_fech!R19/SER_summary!R$26)</f>
        <v>25.811642421267994</v>
      </c>
      <c r="S19" s="130">
        <f>IF(SER_hh_fech!S19=0,0,SER_hh_fech!S19/SER_summary!S$26)</f>
        <v>25.529943348707434</v>
      </c>
      <c r="T19" s="130">
        <f>IF(SER_hh_fech!T19=0,0,SER_hh_fech!T19/SER_summary!T$26)</f>
        <v>25.304978736580015</v>
      </c>
      <c r="U19" s="130">
        <f>IF(SER_hh_fech!U19=0,0,SER_hh_fech!U19/SER_summary!U$26)</f>
        <v>25.357444771261562</v>
      </c>
      <c r="V19" s="130">
        <f>IF(SER_hh_fech!V19=0,0,SER_hh_fech!V19/SER_summary!V$26)</f>
        <v>24.026981047707071</v>
      </c>
      <c r="W19" s="130">
        <f>IF(SER_hh_fech!W19=0,0,SER_hh_fech!W19/SER_summary!W$26)</f>
        <v>25.444981552815111</v>
      </c>
      <c r="X19" s="130">
        <f>IF(SER_hh_fech!X19=0,0,SER_hh_fech!X19/SER_summary!X$26)</f>
        <v>25.696220469098783</v>
      </c>
      <c r="Y19" s="130">
        <f>IF(SER_hh_fech!Y19=0,0,SER_hh_fech!Y19/SER_summary!Y$26)</f>
        <v>27.530476662953522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0</v>
      </c>
      <c r="C21" s="132">
        <f>IF(SER_hh_fech!C21=0,0,SER_hh_fech!C21/SER_summary!C$26)</f>
        <v>0</v>
      </c>
      <c r="D21" s="132">
        <f>IF(SER_hh_fech!D21=0,0,SER_hh_fech!D21/SER_summary!D$26)</f>
        <v>0</v>
      </c>
      <c r="E21" s="132">
        <f>IF(SER_hh_fech!E21=0,0,SER_hh_fech!E21/SER_summary!E$26)</f>
        <v>0</v>
      </c>
      <c r="F21" s="132">
        <f>IF(SER_hh_fech!F21=0,0,SER_hh_fech!F21/SER_summary!F$26)</f>
        <v>0</v>
      </c>
      <c r="G21" s="132">
        <f>IF(SER_hh_fech!G21=0,0,SER_hh_fech!G21/SER_summary!G$26)</f>
        <v>0</v>
      </c>
      <c r="H21" s="132">
        <f>IF(SER_hh_fech!H21=0,0,SER_hh_fech!H21/SER_summary!H$26)</f>
        <v>0</v>
      </c>
      <c r="I21" s="132">
        <f>IF(SER_hh_fech!I21=0,0,SER_hh_fech!I21/SER_summary!I$26)</f>
        <v>0</v>
      </c>
      <c r="J21" s="132">
        <f>IF(SER_hh_fech!J21=0,0,SER_hh_fech!J21/SER_summary!J$26)</f>
        <v>0</v>
      </c>
      <c r="K21" s="132">
        <f>IF(SER_hh_fech!K21=0,0,SER_hh_fech!K21/SER_summary!K$26)</f>
        <v>0</v>
      </c>
      <c r="L21" s="132">
        <f>IF(SER_hh_fech!L21=0,0,SER_hh_fech!L21/SER_summary!L$26)</f>
        <v>0</v>
      </c>
      <c r="M21" s="132">
        <f>IF(SER_hh_fech!M21=0,0,SER_hh_fech!M21/SER_summary!M$26)</f>
        <v>0</v>
      </c>
      <c r="N21" s="132">
        <f>IF(SER_hh_fech!N21=0,0,SER_hh_fech!N21/SER_summary!N$26)</f>
        <v>0</v>
      </c>
      <c r="O21" s="132">
        <f>IF(SER_hh_fech!O21=0,0,SER_hh_fech!O21/SER_summary!O$26)</f>
        <v>0</v>
      </c>
      <c r="P21" s="132">
        <f>IF(SER_hh_fech!P21=0,0,SER_hh_fech!P21/SER_summary!P$26)</f>
        <v>0</v>
      </c>
      <c r="Q21" s="132">
        <f>IF(SER_hh_fech!Q21=0,0,SER_hh_fech!Q21/SER_summary!Q$26)</f>
        <v>0</v>
      </c>
      <c r="R21" s="132">
        <f>IF(SER_hh_fech!R21=0,0,SER_hh_fech!R21/SER_summary!R$26)</f>
        <v>0</v>
      </c>
      <c r="S21" s="132">
        <f>IF(SER_hh_fech!S21=0,0,SER_hh_fech!S21/SER_summary!S$26)</f>
        <v>0</v>
      </c>
      <c r="T21" s="132">
        <f>IF(SER_hh_fech!T21=0,0,SER_hh_fech!T21/SER_summary!T$26)</f>
        <v>0</v>
      </c>
      <c r="U21" s="132">
        <f>IF(SER_hh_fech!U21=0,0,SER_hh_fech!U21/SER_summary!U$26)</f>
        <v>0</v>
      </c>
      <c r="V21" s="132">
        <f>IF(SER_hh_fech!V21=0,0,SER_hh_fech!V21/SER_summary!V$26)</f>
        <v>0</v>
      </c>
      <c r="W21" s="132">
        <f>IF(SER_hh_fech!W21=0,0,SER_hh_fech!W21/SER_summary!W$26)</f>
        <v>0</v>
      </c>
      <c r="X21" s="132">
        <f>IF(SER_hh_fech!X21=0,0,SER_hh_fech!X21/SER_summary!X$26)</f>
        <v>0</v>
      </c>
      <c r="Y21" s="132">
        <f>IF(SER_hh_fech!Y21=0,0,SER_hh_fech!Y21/SER_summary!Y$26)</f>
        <v>0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40.034640574432316</v>
      </c>
      <c r="C22" s="132">
        <f>IF(SER_hh_fech!C22=0,0,SER_hh_fech!C22/SER_summary!C$26)</f>
        <v>40.392138697925574</v>
      </c>
      <c r="D22" s="132">
        <f>IF(SER_hh_fech!D22=0,0,SER_hh_fech!D22/SER_summary!D$26)</f>
        <v>40.402955222867611</v>
      </c>
      <c r="E22" s="132">
        <f>IF(SER_hh_fech!E22=0,0,SER_hh_fech!E22/SER_summary!E$26)</f>
        <v>35.708026898519023</v>
      </c>
      <c r="F22" s="132">
        <f>IF(SER_hh_fech!F22=0,0,SER_hh_fech!F22/SER_summary!F$26)</f>
        <v>34.711614456488867</v>
      </c>
      <c r="G22" s="132">
        <f>IF(SER_hh_fech!G22=0,0,SER_hh_fech!G22/SER_summary!G$26)</f>
        <v>36.541491018207928</v>
      </c>
      <c r="H22" s="132">
        <f>IF(SER_hh_fech!H22=0,0,SER_hh_fech!H22/SER_summary!H$26)</f>
        <v>35.705085903723983</v>
      </c>
      <c r="I22" s="132">
        <f>IF(SER_hh_fech!I22=0,0,SER_hh_fech!I22/SER_summary!I$26)</f>
        <v>34.903514683031574</v>
      </c>
      <c r="J22" s="132">
        <f>IF(SER_hh_fech!J22=0,0,SER_hh_fech!J22/SER_summary!J$26)</f>
        <v>35.511542157199052</v>
      </c>
      <c r="K22" s="132">
        <f>IF(SER_hh_fech!K22=0,0,SER_hh_fech!K22/SER_summary!K$26)</f>
        <v>34.742776454558587</v>
      </c>
      <c r="L22" s="132">
        <f>IF(SER_hh_fech!L22=0,0,SER_hh_fech!L22/SER_summary!L$26)</f>
        <v>34.337530759179963</v>
      </c>
      <c r="M22" s="132">
        <f>IF(SER_hh_fech!M22=0,0,SER_hh_fech!M22/SER_summary!M$26)</f>
        <v>34.283530188520764</v>
      </c>
      <c r="N22" s="132">
        <f>IF(SER_hh_fech!N22=0,0,SER_hh_fech!N22/SER_summary!N$26)</f>
        <v>33.620567779415303</v>
      </c>
      <c r="O22" s="132">
        <f>IF(SER_hh_fech!O22=0,0,SER_hh_fech!O22/SER_summary!O$26)</f>
        <v>33.039988588550507</v>
      </c>
      <c r="P22" s="132">
        <f>IF(SER_hh_fech!P22=0,0,SER_hh_fech!P22/SER_summary!P$26)</f>
        <v>33.425945244771867</v>
      </c>
      <c r="Q22" s="132">
        <f>IF(SER_hh_fech!Q22=0,0,SER_hh_fech!Q22/SER_summary!Q$26)</f>
        <v>34.017841586553281</v>
      </c>
      <c r="R22" s="132">
        <f>IF(SER_hh_fech!R22=0,0,SER_hh_fech!R22/SER_summary!R$26)</f>
        <v>32.348778652104635</v>
      </c>
      <c r="S22" s="132">
        <f>IF(SER_hh_fech!S22=0,0,SER_hh_fech!S22/SER_summary!S$26)</f>
        <v>33.48876512582283</v>
      </c>
      <c r="T22" s="132">
        <f>IF(SER_hh_fech!T22=0,0,SER_hh_fech!T22/SER_summary!T$26)</f>
        <v>36.320716410756056</v>
      </c>
      <c r="U22" s="132">
        <f>IF(SER_hh_fech!U22=0,0,SER_hh_fech!U22/SER_summary!U$26)</f>
        <v>29.954661684753514</v>
      </c>
      <c r="V22" s="132">
        <f>IF(SER_hh_fech!V22=0,0,SER_hh_fech!V22/SER_summary!V$26)</f>
        <v>32.396659222241539</v>
      </c>
      <c r="W22" s="132">
        <f>IF(SER_hh_fech!W22=0,0,SER_hh_fech!W22/SER_summary!W$26)</f>
        <v>32.521204865461208</v>
      </c>
      <c r="X22" s="132">
        <f>IF(SER_hh_fech!X22=0,0,SER_hh_fech!X22/SER_summary!X$26)</f>
        <v>34.071766231416326</v>
      </c>
      <c r="Y22" s="132">
        <f>IF(SER_hh_fech!Y22=0,0,SER_hh_fech!Y22/SER_summary!Y$26)</f>
        <v>36.494742739042522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27.08311324433766</v>
      </c>
      <c r="C23" s="132">
        <f>IF(SER_hh_fech!C23=0,0,SER_hh_fech!C23/SER_summary!C$26)</f>
        <v>42.2945453724723</v>
      </c>
      <c r="D23" s="132">
        <f>IF(SER_hh_fech!D23=0,0,SER_hh_fech!D23/SER_summary!D$26)</f>
        <v>37.870495012823341</v>
      </c>
      <c r="E23" s="132">
        <f>IF(SER_hh_fech!E23=0,0,SER_hh_fech!E23/SER_summary!E$26)</f>
        <v>35.425381732506203</v>
      </c>
      <c r="F23" s="132">
        <f>IF(SER_hh_fech!F23=0,0,SER_hh_fech!F23/SER_summary!F$26)</f>
        <v>33.863179099513417</v>
      </c>
      <c r="G23" s="132">
        <f>IF(SER_hh_fech!G23=0,0,SER_hh_fech!G23/SER_summary!G$26)</f>
        <v>33.312314365142235</v>
      </c>
      <c r="H23" s="132">
        <f>IF(SER_hh_fech!H23=0,0,SER_hh_fech!H23/SER_summary!H$26)</f>
        <v>32.795369461441851</v>
      </c>
      <c r="I23" s="132">
        <f>IF(SER_hh_fech!I23=0,0,SER_hh_fech!I23/SER_summary!I$26)</f>
        <v>31.831417814718851</v>
      </c>
      <c r="J23" s="132">
        <f>IF(SER_hh_fech!J23=0,0,SER_hh_fech!J23/SER_summary!J$26)</f>
        <v>31.250002695333794</v>
      </c>
      <c r="K23" s="132">
        <f>IF(SER_hh_fech!K23=0,0,SER_hh_fech!K23/SER_summary!K$26)</f>
        <v>30.617382444007276</v>
      </c>
      <c r="L23" s="132">
        <f>IF(SER_hh_fech!L23=0,0,SER_hh_fech!L23/SER_summary!L$26)</f>
        <v>28.717983766359904</v>
      </c>
      <c r="M23" s="132">
        <f>IF(SER_hh_fech!M23=0,0,SER_hh_fech!M23/SER_summary!M$26)</f>
        <v>30.243195825359948</v>
      </c>
      <c r="N23" s="132">
        <f>IF(SER_hh_fech!N23=0,0,SER_hh_fech!N23/SER_summary!N$26)</f>
        <v>26.124730742570428</v>
      </c>
      <c r="O23" s="132">
        <f>IF(SER_hh_fech!O23=0,0,SER_hh_fech!O23/SER_summary!O$26)</f>
        <v>28.160806352124034</v>
      </c>
      <c r="P23" s="132">
        <f>IF(SER_hh_fech!P23=0,0,SER_hh_fech!P23/SER_summary!P$26)</f>
        <v>30.767011266384298</v>
      </c>
      <c r="Q23" s="132">
        <f>IF(SER_hh_fech!Q23=0,0,SER_hh_fech!Q23/SER_summary!Q$26)</f>
        <v>28.121811924309128</v>
      </c>
      <c r="R23" s="132">
        <f>IF(SER_hh_fech!R23=0,0,SER_hh_fech!R23/SER_summary!R$26)</f>
        <v>26.74101892739445</v>
      </c>
      <c r="S23" s="132">
        <f>IF(SER_hh_fech!S23=0,0,SER_hh_fech!S23/SER_summary!S$26)</f>
        <v>26.442133454840786</v>
      </c>
      <c r="T23" s="132">
        <f>IF(SER_hh_fech!T23=0,0,SER_hh_fech!T23/SER_summary!T$26)</f>
        <v>26.663542587919608</v>
      </c>
      <c r="U23" s="132">
        <f>IF(SER_hh_fech!U23=0,0,SER_hh_fech!U23/SER_summary!U$26)</f>
        <v>27.256972673940847</v>
      </c>
      <c r="V23" s="132">
        <f>IF(SER_hh_fech!V23=0,0,SER_hh_fech!V23/SER_summary!V$26)</f>
        <v>27.242728810313878</v>
      </c>
      <c r="W23" s="132">
        <f>IF(SER_hh_fech!W23=0,0,SER_hh_fech!W23/SER_summary!W$26)</f>
        <v>27.826932062653121</v>
      </c>
      <c r="X23" s="132">
        <f>IF(SER_hh_fech!X23=0,0,SER_hh_fech!X23/SER_summary!X$26)</f>
        <v>28.455561185799112</v>
      </c>
      <c r="Y23" s="132">
        <f>IF(SER_hh_fech!Y23=0,0,SER_hh_fech!Y23/SER_summary!Y$26)</f>
        <v>27.825129816594806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0</v>
      </c>
      <c r="O24" s="132">
        <f>IF(SER_hh_fech!O24=0,0,SER_hh_fech!O24/SER_summary!O$26)</f>
        <v>0</v>
      </c>
      <c r="P24" s="132">
        <f>IF(SER_hh_fech!P24=0,0,SER_hh_fech!P24/SER_summary!P$26)</f>
        <v>0</v>
      </c>
      <c r="Q24" s="132">
        <f>IF(SER_hh_fech!Q24=0,0,SER_hh_fech!Q24/SER_summary!Q$26)</f>
        <v>0</v>
      </c>
      <c r="R24" s="132">
        <f>IF(SER_hh_fech!R24=0,0,SER_hh_fech!R24/SER_summary!R$26)</f>
        <v>0</v>
      </c>
      <c r="S24" s="132">
        <f>IF(SER_hh_fech!S24=0,0,SER_hh_fech!S24/SER_summary!S$26)</f>
        <v>0</v>
      </c>
      <c r="T24" s="132">
        <f>IF(SER_hh_fech!T24=0,0,SER_hh_fech!T24/SER_summary!T$26)</f>
        <v>0</v>
      </c>
      <c r="U24" s="132">
        <f>IF(SER_hh_fech!U24=0,0,SER_hh_fech!U24/SER_summary!U$26)</f>
        <v>0</v>
      </c>
      <c r="V24" s="132">
        <f>IF(SER_hh_fech!V24=0,0,SER_hh_fech!V24/SER_summary!V$26)</f>
        <v>0</v>
      </c>
      <c r="W24" s="132">
        <f>IF(SER_hh_fech!W24=0,0,SER_hh_fech!W24/SER_summary!W$26)</f>
        <v>0</v>
      </c>
      <c r="X24" s="132">
        <f>IF(SER_hh_fech!X24=0,0,SER_hh_fech!X24/SER_summary!X$26)</f>
        <v>0</v>
      </c>
      <c r="Y24" s="132">
        <f>IF(SER_hh_fech!Y24=0,0,SER_hh_fech!Y24/SER_summary!Y$26)</f>
        <v>0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25.665655072930956</v>
      </c>
      <c r="C25" s="132">
        <f>IF(SER_hh_fech!C25=0,0,SER_hh_fech!C25/SER_summary!C$26)</f>
        <v>26.033031570320539</v>
      </c>
      <c r="D25" s="132">
        <f>IF(SER_hh_fech!D25=0,0,SER_hh_fech!D25/SER_summary!D$26)</f>
        <v>25.097378533465349</v>
      </c>
      <c r="E25" s="132">
        <f>IF(SER_hh_fech!E25=0,0,SER_hh_fech!E25/SER_summary!E$26)</f>
        <v>24.343599777829994</v>
      </c>
      <c r="F25" s="132">
        <f>IF(SER_hh_fech!F25=0,0,SER_hh_fech!F25/SER_summary!F$26)</f>
        <v>23.80779001985179</v>
      </c>
      <c r="G25" s="132">
        <f>IF(SER_hh_fech!G25=0,0,SER_hh_fech!G25/SER_summary!G$26)</f>
        <v>23.920561097017043</v>
      </c>
      <c r="H25" s="132">
        <f>IF(SER_hh_fech!H25=0,0,SER_hh_fech!H25/SER_summary!H$26)</f>
        <v>23.32802460976308</v>
      </c>
      <c r="I25" s="132">
        <f>IF(SER_hh_fech!I25=0,0,SER_hh_fech!I25/SER_summary!I$26)</f>
        <v>22.953992380455489</v>
      </c>
      <c r="J25" s="132">
        <f>IF(SER_hh_fech!J25=0,0,SER_hh_fech!J25/SER_summary!J$26)</f>
        <v>22.534034772289292</v>
      </c>
      <c r="K25" s="132">
        <f>IF(SER_hh_fech!K25=0,0,SER_hh_fech!K25/SER_summary!K$26)</f>
        <v>22.934040139568832</v>
      </c>
      <c r="L25" s="132">
        <f>IF(SER_hh_fech!L25=0,0,SER_hh_fech!L25/SER_summary!L$26)</f>
        <v>22.803638910516959</v>
      </c>
      <c r="M25" s="132">
        <f>IF(SER_hh_fech!M25=0,0,SER_hh_fech!M25/SER_summary!M$26)</f>
        <v>23.041933337855436</v>
      </c>
      <c r="N25" s="132">
        <f>IF(SER_hh_fech!N25=0,0,SER_hh_fech!N25/SER_summary!N$26)</f>
        <v>23.025013171209253</v>
      </c>
      <c r="O25" s="132">
        <f>IF(SER_hh_fech!O25=0,0,SER_hh_fech!O25/SER_summary!O$26)</f>
        <v>23.156844615547609</v>
      </c>
      <c r="P25" s="132">
        <f>IF(SER_hh_fech!P25=0,0,SER_hh_fech!P25/SER_summary!P$26)</f>
        <v>23.033470016689861</v>
      </c>
      <c r="Q25" s="132">
        <f>IF(SER_hh_fech!Q25=0,0,SER_hh_fech!Q25/SER_summary!Q$26)</f>
        <v>23.077754546213953</v>
      </c>
      <c r="R25" s="132">
        <f>IF(SER_hh_fech!R25=0,0,SER_hh_fech!R25/SER_summary!R$26)</f>
        <v>23.063136276951973</v>
      </c>
      <c r="S25" s="132">
        <f>IF(SER_hh_fech!S25=0,0,SER_hh_fech!S25/SER_summary!S$26)</f>
        <v>23.113037903977858</v>
      </c>
      <c r="T25" s="132">
        <f>IF(SER_hh_fech!T25=0,0,SER_hh_fech!T25/SER_summary!T$26)</f>
        <v>23.350518855008673</v>
      </c>
      <c r="U25" s="132">
        <f>IF(SER_hh_fech!U25=0,0,SER_hh_fech!U25/SER_summary!U$26)</f>
        <v>23.510834259383326</v>
      </c>
      <c r="V25" s="132">
        <f>IF(SER_hh_fech!V25=0,0,SER_hh_fech!V25/SER_summary!V$26)</f>
        <v>20.481768762794918</v>
      </c>
      <c r="W25" s="132">
        <f>IF(SER_hh_fech!W25=0,0,SER_hh_fech!W25/SER_summary!W$26)</f>
        <v>23.523031017164008</v>
      </c>
      <c r="X25" s="132">
        <f>IF(SER_hh_fech!X25=0,0,SER_hh_fech!X25/SER_summary!X$26)</f>
        <v>25.481105704473507</v>
      </c>
      <c r="Y25" s="132">
        <f>IF(SER_hh_fech!Y25=0,0,SER_hh_fech!Y25/SER_summary!Y$26)</f>
        <v>26.338324626243043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32.89356763739606</v>
      </c>
      <c r="C26" s="65">
        <f>IF(SER_hh_fech!C26=0,0,SER_hh_fech!C26/SER_summary!C$26)</f>
        <v>29.971354041176934</v>
      </c>
      <c r="D26" s="65">
        <f>IF(SER_hh_fech!D26=0,0,SER_hh_fech!D26/SER_summary!D$26)</f>
        <v>29.127242584197816</v>
      </c>
      <c r="E26" s="65">
        <f>IF(SER_hh_fech!E26=0,0,SER_hh_fech!E26/SER_summary!E$26)</f>
        <v>30.390451487896691</v>
      </c>
      <c r="F26" s="65">
        <f>IF(SER_hh_fech!F26=0,0,SER_hh_fech!F26/SER_summary!F$26)</f>
        <v>29.323357614329559</v>
      </c>
      <c r="G26" s="65">
        <f>IF(SER_hh_fech!G26=0,0,SER_hh_fech!G26/SER_summary!G$26)</f>
        <v>29.092807349327447</v>
      </c>
      <c r="H26" s="65">
        <f>IF(SER_hh_fech!H26=0,0,SER_hh_fech!H26/SER_summary!H$26)</f>
        <v>28.132648215128796</v>
      </c>
      <c r="I26" s="65">
        <f>IF(SER_hh_fech!I26=0,0,SER_hh_fech!I26/SER_summary!I$26)</f>
        <v>26.32821457109258</v>
      </c>
      <c r="J26" s="65">
        <f>IF(SER_hh_fech!J26=0,0,SER_hh_fech!J26/SER_summary!J$26)</f>
        <v>27.439822944356699</v>
      </c>
      <c r="K26" s="65">
        <f>IF(SER_hh_fech!K26=0,0,SER_hh_fech!K26/SER_summary!K$26)</f>
        <v>27.125615879039778</v>
      </c>
      <c r="L26" s="65">
        <f>IF(SER_hh_fech!L26=0,0,SER_hh_fech!L26/SER_summary!L$26)</f>
        <v>27.210913585016218</v>
      </c>
      <c r="M26" s="65">
        <f>IF(SER_hh_fech!M26=0,0,SER_hh_fech!M26/SER_summary!M$26)</f>
        <v>27.70456599445766</v>
      </c>
      <c r="N26" s="65">
        <f>IF(SER_hh_fech!N26=0,0,SER_hh_fech!N26/SER_summary!N$26)</f>
        <v>28.089693054434974</v>
      </c>
      <c r="O26" s="65">
        <f>IF(SER_hh_fech!O26=0,0,SER_hh_fech!O26/SER_summary!O$26)</f>
        <v>27.374686811291266</v>
      </c>
      <c r="P26" s="65">
        <f>IF(SER_hh_fech!P26=0,0,SER_hh_fech!P26/SER_summary!P$26)</f>
        <v>26.393038701850521</v>
      </c>
      <c r="Q26" s="65">
        <f>IF(SER_hh_fech!Q26=0,0,SER_hh_fech!Q26/SER_summary!Q$26)</f>
        <v>27.420216632003687</v>
      </c>
      <c r="R26" s="65">
        <f>IF(SER_hh_fech!R26=0,0,SER_hh_fech!R26/SER_summary!R$26)</f>
        <v>26.647963015367438</v>
      </c>
      <c r="S26" s="65">
        <f>IF(SER_hh_fech!S26=0,0,SER_hh_fech!S26/SER_summary!S$26)</f>
        <v>25.968557354103769</v>
      </c>
      <c r="T26" s="65">
        <f>IF(SER_hh_fech!T26=0,0,SER_hh_fech!T26/SER_summary!T$26)</f>
        <v>24.938876220245032</v>
      </c>
      <c r="U26" s="65">
        <f>IF(SER_hh_fech!U26=0,0,SER_hh_fech!U26/SER_summary!U$26)</f>
        <v>25.326808830094759</v>
      </c>
      <c r="V26" s="65">
        <f>IF(SER_hh_fech!V26=0,0,SER_hh_fech!V26/SER_summary!V$26)</f>
        <v>24.240353956614552</v>
      </c>
      <c r="W26" s="65">
        <f>IF(SER_hh_fech!W26=0,0,SER_hh_fech!W26/SER_summary!W$26)</f>
        <v>25.205303862545648</v>
      </c>
      <c r="X26" s="65">
        <f>IF(SER_hh_fech!X26=0,0,SER_hh_fech!X26/SER_summary!X$26)</f>
        <v>24.393683691470301</v>
      </c>
      <c r="Y26" s="65">
        <f>IF(SER_hh_fech!Y26=0,0,SER_hh_fech!Y26/SER_summary!Y$26)</f>
        <v>27.446022583111194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</v>
      </c>
      <c r="C27" s="145">
        <f>IF(SER_hh_fech!C27=0,0,SER_hh_fech!C27/SER_summary!C$26)</f>
        <v>0</v>
      </c>
      <c r="D27" s="145">
        <f>IF(SER_hh_fech!D27=0,0,SER_hh_fech!D27/SER_summary!D$26)</f>
        <v>0</v>
      </c>
      <c r="E27" s="145">
        <f>IF(SER_hh_fech!E27=0,0,SER_hh_fech!E27/SER_summary!E$26)</f>
        <v>0</v>
      </c>
      <c r="F27" s="145">
        <f>IF(SER_hh_fech!F27=0,0,SER_hh_fech!F27/SER_summary!F$26)</f>
        <v>0</v>
      </c>
      <c r="G27" s="145">
        <f>IF(SER_hh_fech!G27=0,0,SER_hh_fech!G27/SER_summary!G$26)</f>
        <v>0</v>
      </c>
      <c r="H27" s="145">
        <f>IF(SER_hh_fech!H27=0,0,SER_hh_fech!H27/SER_summary!H$26)</f>
        <v>0</v>
      </c>
      <c r="I27" s="145">
        <f>IF(SER_hh_fech!I27=0,0,SER_hh_fech!I27/SER_summary!I$26)</f>
        <v>0</v>
      </c>
      <c r="J27" s="145">
        <f>IF(SER_hh_fech!J27=0,0,SER_hh_fech!J27/SER_summary!J$26)</f>
        <v>0</v>
      </c>
      <c r="K27" s="145">
        <f>IF(SER_hh_fech!K27=0,0,SER_hh_fech!K27/SER_summary!K$26)</f>
        <v>0</v>
      </c>
      <c r="L27" s="145">
        <f>IF(SER_hh_fech!L27=0,0,SER_hh_fech!L27/SER_summary!L$26)</f>
        <v>0</v>
      </c>
      <c r="M27" s="145">
        <f>IF(SER_hh_fech!M27=0,0,SER_hh_fech!M27/SER_summary!M$26)</f>
        <v>0</v>
      </c>
      <c r="N27" s="145">
        <f>IF(SER_hh_fech!N27=0,0,SER_hh_fech!N27/SER_summary!N$26)</f>
        <v>0</v>
      </c>
      <c r="O27" s="145">
        <f>IF(SER_hh_fech!O27=0,0,SER_hh_fech!O27/SER_summary!O$26)</f>
        <v>0</v>
      </c>
      <c r="P27" s="145">
        <f>IF(SER_hh_fech!P27=0,0,SER_hh_fech!P27/SER_summary!P$26)</f>
        <v>0</v>
      </c>
      <c r="Q27" s="145">
        <f>IF(SER_hh_fech!Q27=0,0,SER_hh_fech!Q27/SER_summary!Q$26)</f>
        <v>0</v>
      </c>
      <c r="R27" s="145">
        <f>IF(SER_hh_fech!R27=0,0,SER_hh_fech!R27/SER_summary!R$26)</f>
        <v>0</v>
      </c>
      <c r="S27" s="145">
        <f>IF(SER_hh_fech!S27=0,0,SER_hh_fech!S27/SER_summary!S$26)</f>
        <v>0</v>
      </c>
      <c r="T27" s="145">
        <f>IF(SER_hh_fech!T27=0,0,SER_hh_fech!T27/SER_summary!T$26)</f>
        <v>0</v>
      </c>
      <c r="U27" s="145">
        <f>IF(SER_hh_fech!U27=0,0,SER_hh_fech!U27/SER_summary!U$26)</f>
        <v>0</v>
      </c>
      <c r="V27" s="145">
        <f>IF(SER_hh_fech!V27=0,0,SER_hh_fech!V27/SER_summary!V$26)</f>
        <v>0</v>
      </c>
      <c r="W27" s="145">
        <f>IF(SER_hh_fech!W27=0,0,SER_hh_fech!W27/SER_summary!W$26)</f>
        <v>0</v>
      </c>
      <c r="X27" s="145">
        <f>IF(SER_hh_fech!X27=0,0,SER_hh_fech!X27/SER_summary!X$26)</f>
        <v>0</v>
      </c>
      <c r="Y27" s="145">
        <f>IF(SER_hh_fech!Y27=0,0,SER_hh_fech!Y27/SER_summary!Y$26)</f>
        <v>0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0</v>
      </c>
      <c r="C28" s="146">
        <f>IF(SER_hh_fech!C28=0,0,SER_hh_fech!C28/SER_summary!C$26)</f>
        <v>0</v>
      </c>
      <c r="D28" s="146">
        <f>IF(SER_hh_fech!D28=0,0,SER_hh_fech!D28/SER_summary!D$26)</f>
        <v>0</v>
      </c>
      <c r="E28" s="146">
        <f>IF(SER_hh_fech!E28=0,0,SER_hh_fech!E28/SER_summary!E$26)</f>
        <v>0</v>
      </c>
      <c r="F28" s="146">
        <f>IF(SER_hh_fech!F28=0,0,SER_hh_fech!F28/SER_summary!F$26)</f>
        <v>0</v>
      </c>
      <c r="G28" s="146">
        <f>IF(SER_hh_fech!G28=0,0,SER_hh_fech!G28/SER_summary!G$26)</f>
        <v>0</v>
      </c>
      <c r="H28" s="146">
        <f>IF(SER_hh_fech!H28=0,0,SER_hh_fech!H28/SER_summary!H$26)</f>
        <v>0</v>
      </c>
      <c r="I28" s="146">
        <f>IF(SER_hh_fech!I28=0,0,SER_hh_fech!I28/SER_summary!I$26)</f>
        <v>0</v>
      </c>
      <c r="J28" s="146">
        <f>IF(SER_hh_fech!J28=0,0,SER_hh_fech!J28/SER_summary!J$26)</f>
        <v>0</v>
      </c>
      <c r="K28" s="146">
        <f>IF(SER_hh_fech!K28=0,0,SER_hh_fech!K28/SER_summary!K$26)</f>
        <v>0</v>
      </c>
      <c r="L28" s="146">
        <f>IF(SER_hh_fech!L28=0,0,SER_hh_fech!L28/SER_summary!L$26)</f>
        <v>0</v>
      </c>
      <c r="M28" s="146">
        <f>IF(SER_hh_fech!M28=0,0,SER_hh_fech!M28/SER_summary!M$26)</f>
        <v>0</v>
      </c>
      <c r="N28" s="146">
        <f>IF(SER_hh_fech!N28=0,0,SER_hh_fech!N28/SER_summary!N$26)</f>
        <v>0</v>
      </c>
      <c r="O28" s="146">
        <f>IF(SER_hh_fech!O28=0,0,SER_hh_fech!O28/SER_summary!O$26)</f>
        <v>0</v>
      </c>
      <c r="P28" s="146">
        <f>IF(SER_hh_fech!P28=0,0,SER_hh_fech!P28/SER_summary!P$26)</f>
        <v>0</v>
      </c>
      <c r="Q28" s="146">
        <f>IF(SER_hh_fech!Q28=0,0,SER_hh_fech!Q28/SER_summary!Q$26)</f>
        <v>0</v>
      </c>
      <c r="R28" s="146">
        <f>IF(SER_hh_fech!R28=0,0,SER_hh_fech!R28/SER_summary!R$26)</f>
        <v>0</v>
      </c>
      <c r="S28" s="146">
        <f>IF(SER_hh_fech!S28=0,0,SER_hh_fech!S28/SER_summary!S$26)</f>
        <v>0</v>
      </c>
      <c r="T28" s="146">
        <f>IF(SER_hh_fech!T28=0,0,SER_hh_fech!T28/SER_summary!T$26)</f>
        <v>0</v>
      </c>
      <c r="U28" s="146">
        <f>IF(SER_hh_fech!U28=0,0,SER_hh_fech!U28/SER_summary!U$26)</f>
        <v>0</v>
      </c>
      <c r="V28" s="146">
        <f>IF(SER_hh_fech!V28=0,0,SER_hh_fech!V28/SER_summary!V$26)</f>
        <v>0</v>
      </c>
      <c r="W28" s="146">
        <f>IF(SER_hh_fech!W28=0,0,SER_hh_fech!W28/SER_summary!W$26)</f>
        <v>0</v>
      </c>
      <c r="X28" s="146">
        <f>IF(SER_hh_fech!X28=0,0,SER_hh_fech!X28/SER_summary!X$26)</f>
        <v>0</v>
      </c>
      <c r="Y28" s="146">
        <f>IF(SER_hh_fech!Y28=0,0,SER_hh_fech!Y28/SER_summary!Y$26)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28.264680861997572</v>
      </c>
      <c r="C29" s="130">
        <f>IF(SER_hh_fech!C29=0,0,SER_hh_fech!C29/SER_summary!C$26)</f>
        <v>28.690326523969002</v>
      </c>
      <c r="D29" s="130">
        <f>IF(SER_hh_fech!D29=0,0,SER_hh_fech!D29/SER_summary!D$26)</f>
        <v>28.478041552869236</v>
      </c>
      <c r="E29" s="130">
        <f>IF(SER_hh_fech!E29=0,0,SER_hh_fech!E29/SER_summary!E$26)</f>
        <v>28.884302688784469</v>
      </c>
      <c r="F29" s="130">
        <f>IF(SER_hh_fech!F29=0,0,SER_hh_fech!F29/SER_summary!F$26)</f>
        <v>28.674330663753867</v>
      </c>
      <c r="G29" s="130">
        <f>IF(SER_hh_fech!G29=0,0,SER_hh_fech!G29/SER_summary!G$26)</f>
        <v>29.257374283307364</v>
      </c>
      <c r="H29" s="130">
        <f>IF(SER_hh_fech!H29=0,0,SER_hh_fech!H29/SER_summary!H$26)</f>
        <v>28.454545847713678</v>
      </c>
      <c r="I29" s="130">
        <f>IF(SER_hh_fech!I29=0,0,SER_hh_fech!I29/SER_summary!I$26)</f>
        <v>28.216016840411577</v>
      </c>
      <c r="J29" s="130">
        <f>IF(SER_hh_fech!J29=0,0,SER_hh_fech!J29/SER_summary!J$26)</f>
        <v>29.201726166037098</v>
      </c>
      <c r="K29" s="130">
        <f>IF(SER_hh_fech!K29=0,0,SER_hh_fech!K29/SER_summary!K$26)</f>
        <v>30.388674513096458</v>
      </c>
      <c r="L29" s="130">
        <f>IF(SER_hh_fech!L29=0,0,SER_hh_fech!L29/SER_summary!L$26)</f>
        <v>30.819149163802614</v>
      </c>
      <c r="M29" s="130">
        <f>IF(SER_hh_fech!M29=0,0,SER_hh_fech!M29/SER_summary!M$26)</f>
        <v>31.03611123708092</v>
      </c>
      <c r="N29" s="130">
        <f>IF(SER_hh_fech!N29=0,0,SER_hh_fech!N29/SER_summary!N$26)</f>
        <v>30.626975374334123</v>
      </c>
      <c r="O29" s="130">
        <f>IF(SER_hh_fech!O29=0,0,SER_hh_fech!O29/SER_summary!O$26)</f>
        <v>31.229513001342486</v>
      </c>
      <c r="P29" s="130">
        <f>IF(SER_hh_fech!P29=0,0,SER_hh_fech!P29/SER_summary!P$26)</f>
        <v>30.760536793427612</v>
      </c>
      <c r="Q29" s="130">
        <f>IF(SER_hh_fech!Q29=0,0,SER_hh_fech!Q29/SER_summary!Q$26)</f>
        <v>30.361516749549377</v>
      </c>
      <c r="R29" s="130">
        <f>IF(SER_hh_fech!R29=0,0,SER_hh_fech!R29/SER_summary!R$26)</f>
        <v>30.396665637183883</v>
      </c>
      <c r="S29" s="130">
        <f>IF(SER_hh_fech!S29=0,0,SER_hh_fech!S29/SER_summary!S$26)</f>
        <v>30.61610121390418</v>
      </c>
      <c r="T29" s="130">
        <f>IF(SER_hh_fech!T29=0,0,SER_hh_fech!T29/SER_summary!T$26)</f>
        <v>29.946536608680375</v>
      </c>
      <c r="U29" s="130">
        <f>IF(SER_hh_fech!U29=0,0,SER_hh_fech!U29/SER_summary!U$26)</f>
        <v>30.02940638752272</v>
      </c>
      <c r="V29" s="130">
        <f>IF(SER_hh_fech!V29=0,0,SER_hh_fech!V29/SER_summary!V$26)</f>
        <v>27.734097076803</v>
      </c>
      <c r="W29" s="130">
        <f>IF(SER_hh_fech!W29=0,0,SER_hh_fech!W29/SER_summary!W$26)</f>
        <v>30.532216112657743</v>
      </c>
      <c r="X29" s="130">
        <f>IF(SER_hh_fech!X29=0,0,SER_hh_fech!X29/SER_summary!X$26)</f>
        <v>32.643479044489744</v>
      </c>
      <c r="Y29" s="130">
        <f>IF(SER_hh_fech!Y29=0,0,SER_hh_fech!Y29/SER_summary!Y$26)</f>
        <v>36.1833580162114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0</v>
      </c>
      <c r="C30" s="132">
        <f>IF(SER_hh_fech!C30=0,0,SER_hh_fech!C30/SER_summary!C$26)</f>
        <v>0</v>
      </c>
      <c r="D30" s="132">
        <f>IF(SER_hh_fech!D30=0,0,SER_hh_fech!D30/SER_summary!D$26)</f>
        <v>0</v>
      </c>
      <c r="E30" s="132">
        <f>IF(SER_hh_fech!E30=0,0,SER_hh_fech!E30/SER_summary!E$26)</f>
        <v>0</v>
      </c>
      <c r="F30" s="132">
        <f>IF(SER_hh_fech!F30=0,0,SER_hh_fech!F30/SER_summary!F$26)</f>
        <v>48.682979384807339</v>
      </c>
      <c r="G30" s="132">
        <f>IF(SER_hh_fech!G30=0,0,SER_hh_fech!G30/SER_summary!G$26)</f>
        <v>38.031523055396256</v>
      </c>
      <c r="H30" s="132">
        <f>IF(SER_hh_fech!H30=0,0,SER_hh_fech!H30/SER_summary!H$26)</f>
        <v>34.157898269636597</v>
      </c>
      <c r="I30" s="132">
        <f>IF(SER_hh_fech!I30=0,0,SER_hh_fech!I30/SER_summary!I$26)</f>
        <v>34.453270338739017</v>
      </c>
      <c r="J30" s="132">
        <f>IF(SER_hh_fech!J30=0,0,SER_hh_fech!J30/SER_summary!J$26)</f>
        <v>35.284062659797215</v>
      </c>
      <c r="K30" s="132">
        <f>IF(SER_hh_fech!K30=0,0,SER_hh_fech!K30/SER_summary!K$26)</f>
        <v>36.430867740507814</v>
      </c>
      <c r="L30" s="132">
        <f>IF(SER_hh_fech!L30=0,0,SER_hh_fech!L30/SER_summary!L$26)</f>
        <v>36.926054637817764</v>
      </c>
      <c r="M30" s="132">
        <f>IF(SER_hh_fech!M30=0,0,SER_hh_fech!M30/SER_summary!M$26)</f>
        <v>37.345351176456283</v>
      </c>
      <c r="N30" s="132">
        <f>IF(SER_hh_fech!N30=0,0,SER_hh_fech!N30/SER_summary!N$26)</f>
        <v>37.66224285141854</v>
      </c>
      <c r="O30" s="132">
        <f>IF(SER_hh_fech!O30=0,0,SER_hh_fech!O30/SER_summary!O$26)</f>
        <v>37.742644498449025</v>
      </c>
      <c r="P30" s="132">
        <f>IF(SER_hh_fech!P30=0,0,SER_hh_fech!P30/SER_summary!P$26)</f>
        <v>34.060286055653684</v>
      </c>
      <c r="Q30" s="132">
        <f>IF(SER_hh_fech!Q30=0,0,SER_hh_fech!Q30/SER_summary!Q$26)</f>
        <v>26.614767791987379</v>
      </c>
      <c r="R30" s="132">
        <f>IF(SER_hh_fech!R30=0,0,SER_hh_fech!R30/SER_summary!R$26)</f>
        <v>41.213020127384546</v>
      </c>
      <c r="S30" s="132">
        <f>IF(SER_hh_fech!S30=0,0,SER_hh_fech!S30/SER_summary!S$26)</f>
        <v>60.746086038538301</v>
      </c>
      <c r="T30" s="132">
        <f>IF(SER_hh_fech!T30=0,0,SER_hh_fech!T30/SER_summary!T$26)</f>
        <v>18.996087642355686</v>
      </c>
      <c r="U30" s="132">
        <f>IF(SER_hh_fech!U30=0,0,SER_hh_fech!U30/SER_summary!U$26)</f>
        <v>39.334800142049545</v>
      </c>
      <c r="V30" s="132">
        <f>IF(SER_hh_fech!V30=0,0,SER_hh_fech!V30/SER_summary!V$26)</f>
        <v>44.692264247115347</v>
      </c>
      <c r="W30" s="132">
        <f>IF(SER_hh_fech!W30=0,0,SER_hh_fech!W30/SER_summary!W$26)</f>
        <v>28.035447147320809</v>
      </c>
      <c r="X30" s="132">
        <f>IF(SER_hh_fech!X30=0,0,SER_hh_fech!X30/SER_summary!X$26)</f>
        <v>38.110554864665801</v>
      </c>
      <c r="Y30" s="132">
        <f>IF(SER_hh_fech!Y30=0,0,SER_hh_fech!Y30/SER_summary!Y$26)</f>
        <v>54.223718566863326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20.745037907658787</v>
      </c>
      <c r="C31" s="132">
        <f>IF(SER_hh_fech!C31=0,0,SER_hh_fech!C31/SER_summary!C$26)</f>
        <v>38.73311653778768</v>
      </c>
      <c r="D31" s="132">
        <f>IF(SER_hh_fech!D31=0,0,SER_hh_fech!D31/SER_summary!D$26)</f>
        <v>41.668494827993221</v>
      </c>
      <c r="E31" s="132">
        <f>IF(SER_hh_fech!E31=0,0,SER_hh_fech!E31/SER_summary!E$26)</f>
        <v>37.601847755260742</v>
      </c>
      <c r="F31" s="132">
        <f>IF(SER_hh_fech!F31=0,0,SER_hh_fech!F31/SER_summary!F$26)</f>
        <v>36.279345382878304</v>
      </c>
      <c r="G31" s="132">
        <f>IF(SER_hh_fech!G31=0,0,SER_hh_fech!G31/SER_summary!G$26)</f>
        <v>36.432207295763071</v>
      </c>
      <c r="H31" s="132">
        <f>IF(SER_hh_fech!H31=0,0,SER_hh_fech!H31/SER_summary!H$26)</f>
        <v>36.158182607531572</v>
      </c>
      <c r="I31" s="132">
        <f>IF(SER_hh_fech!I31=0,0,SER_hh_fech!I31/SER_summary!I$26)</f>
        <v>36.845825366685403</v>
      </c>
      <c r="J31" s="132">
        <f>IF(SER_hh_fech!J31=0,0,SER_hh_fech!J31/SER_summary!J$26)</f>
        <v>37.706374561991282</v>
      </c>
      <c r="K31" s="132">
        <f>IF(SER_hh_fech!K31=0,0,SER_hh_fech!K31/SER_summary!K$26)</f>
        <v>36.517243641725024</v>
      </c>
      <c r="L31" s="132">
        <f>IF(SER_hh_fech!L31=0,0,SER_hh_fech!L31/SER_summary!L$26)</f>
        <v>38.857933545930173</v>
      </c>
      <c r="M31" s="132">
        <f>IF(SER_hh_fech!M31=0,0,SER_hh_fech!M31/SER_summary!M$26)</f>
        <v>39.219820189010072</v>
      </c>
      <c r="N31" s="132">
        <f>IF(SER_hh_fech!N31=0,0,SER_hh_fech!N31/SER_summary!N$26)</f>
        <v>40.179406262241415</v>
      </c>
      <c r="O31" s="132">
        <f>IF(SER_hh_fech!O31=0,0,SER_hh_fech!O31/SER_summary!O$26)</f>
        <v>39.750135732636693</v>
      </c>
      <c r="P31" s="132">
        <f>IF(SER_hh_fech!P31=0,0,SER_hh_fech!P31/SER_summary!P$26)</f>
        <v>37.660058109061289</v>
      </c>
      <c r="Q31" s="132">
        <f>IF(SER_hh_fech!Q31=0,0,SER_hh_fech!Q31/SER_summary!Q$26)</f>
        <v>35.332657547574698</v>
      </c>
      <c r="R31" s="132">
        <f>IF(SER_hh_fech!R31=0,0,SER_hh_fech!R31/SER_summary!R$26)</f>
        <v>42.399884767957751</v>
      </c>
      <c r="S31" s="132">
        <f>IF(SER_hh_fech!S31=0,0,SER_hh_fech!S31/SER_summary!S$26)</f>
        <v>37.550823530868968</v>
      </c>
      <c r="T31" s="132">
        <f>IF(SER_hh_fech!T31=0,0,SER_hh_fech!T31/SER_summary!T$26)</f>
        <v>37.407206395354166</v>
      </c>
      <c r="U31" s="132">
        <f>IF(SER_hh_fech!U31=0,0,SER_hh_fech!U31/SER_summary!U$26)</f>
        <v>43.136688240598076</v>
      </c>
      <c r="V31" s="132">
        <f>IF(SER_hh_fech!V31=0,0,SER_hh_fech!V31/SER_summary!V$26)</f>
        <v>42.240104585730222</v>
      </c>
      <c r="W31" s="132">
        <f>IF(SER_hh_fech!W31=0,0,SER_hh_fech!W31/SER_summary!W$26)</f>
        <v>43.104053300119745</v>
      </c>
      <c r="X31" s="132">
        <f>IF(SER_hh_fech!X31=0,0,SER_hh_fech!X31/SER_summary!X$26)</f>
        <v>41.958215023859928</v>
      </c>
      <c r="Y31" s="132">
        <f>IF(SER_hh_fech!Y31=0,0,SER_hh_fech!Y31/SER_summary!Y$26)</f>
        <v>46.910424027181961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28.667416761311927</v>
      </c>
      <c r="C33" s="68">
        <f>IF(SER_hh_fech!C33=0,0,SER_hh_fech!C33/SER_summary!C$26)</f>
        <v>27.744223525705284</v>
      </c>
      <c r="D33" s="68">
        <f>IF(SER_hh_fech!D33=0,0,SER_hh_fech!D33/SER_summary!D$26)</f>
        <v>26.847374178789892</v>
      </c>
      <c r="E33" s="68">
        <f>IF(SER_hh_fech!E33=0,0,SER_hh_fech!E33/SER_summary!E$26)</f>
        <v>27.710240558845317</v>
      </c>
      <c r="F33" s="68">
        <f>IF(SER_hh_fech!F33=0,0,SER_hh_fech!F33/SER_summary!F$26)</f>
        <v>27.178971394888702</v>
      </c>
      <c r="G33" s="68">
        <f>IF(SER_hh_fech!G33=0,0,SER_hh_fech!G33/SER_summary!G$26)</f>
        <v>28.102187748310747</v>
      </c>
      <c r="H33" s="68">
        <f>IF(SER_hh_fech!H33=0,0,SER_hh_fech!H33/SER_summary!H$26)</f>
        <v>27.388513664538017</v>
      </c>
      <c r="I33" s="68">
        <f>IF(SER_hh_fech!I33=0,0,SER_hh_fech!I33/SER_summary!I$26)</f>
        <v>27.109780339555797</v>
      </c>
      <c r="J33" s="68">
        <f>IF(SER_hh_fech!J33=0,0,SER_hh_fech!J33/SER_summary!J$26)</f>
        <v>28.148875298759521</v>
      </c>
      <c r="K33" s="68">
        <f>IF(SER_hh_fech!K33=0,0,SER_hh_fech!K33/SER_summary!K$26)</f>
        <v>29.624644396810101</v>
      </c>
      <c r="L33" s="68">
        <f>IF(SER_hh_fech!L33=0,0,SER_hh_fech!L33/SER_summary!L$26)</f>
        <v>29.882956739962982</v>
      </c>
      <c r="M33" s="68">
        <f>IF(SER_hh_fech!M33=0,0,SER_hh_fech!M33/SER_summary!M$26)</f>
        <v>30.09997587339118</v>
      </c>
      <c r="N33" s="68">
        <f>IF(SER_hh_fech!N33=0,0,SER_hh_fech!N33/SER_summary!N$26)</f>
        <v>29.52594398391135</v>
      </c>
      <c r="O33" s="68">
        <f>IF(SER_hh_fech!O33=0,0,SER_hh_fech!O33/SER_summary!O$26)</f>
        <v>30.231274516953267</v>
      </c>
      <c r="P33" s="68">
        <f>IF(SER_hh_fech!P33=0,0,SER_hh_fech!P33/SER_summary!P$26)</f>
        <v>29.952601890941288</v>
      </c>
      <c r="Q33" s="68">
        <f>IF(SER_hh_fech!Q33=0,0,SER_hh_fech!Q33/SER_summary!Q$26)</f>
        <v>29.927899137760264</v>
      </c>
      <c r="R33" s="68">
        <f>IF(SER_hh_fech!R33=0,0,SER_hh_fech!R33/SER_summary!R$26)</f>
        <v>28.313474859573812</v>
      </c>
      <c r="S33" s="68">
        <f>IF(SER_hh_fech!S33=0,0,SER_hh_fech!S33/SER_summary!S$26)</f>
        <v>28.24736460594632</v>
      </c>
      <c r="T33" s="68">
        <f>IF(SER_hh_fech!T33=0,0,SER_hh_fech!T33/SER_summary!T$26)</f>
        <v>29.26300091638161</v>
      </c>
      <c r="U33" s="68">
        <f>IF(SER_hh_fech!U33=0,0,SER_hh_fech!U33/SER_summary!U$26)</f>
        <v>27.446201915321996</v>
      </c>
      <c r="V33" s="68">
        <f>IF(SER_hh_fech!V33=0,0,SER_hh_fech!V33/SER_summary!V$26)</f>
        <v>24.712155246349219</v>
      </c>
      <c r="W33" s="68">
        <f>IF(SER_hh_fech!W33=0,0,SER_hh_fech!W33/SER_summary!W$26)</f>
        <v>28.768151898795949</v>
      </c>
      <c r="X33" s="68">
        <f>IF(SER_hh_fech!X33=0,0,SER_hh_fech!X33/SER_summary!X$26)</f>
        <v>31.212248759591901</v>
      </c>
      <c r="Y33" s="68">
        <f>IF(SER_hh_fech!Y33=0,0,SER_hh_fech!Y33/SER_summary!Y$26)</f>
        <v>33.953374373533734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151.7998833589626</v>
      </c>
      <c r="C3" s="125">
        <f>IF(SER_hh_tesh!C3=0,0,SER_hh_tesh!C3/SER_summary!C$26)</f>
        <v>142.76570655380866</v>
      </c>
      <c r="D3" s="125">
        <f>IF(SER_hh_tesh!D3=0,0,SER_hh_tesh!D3/SER_summary!D$26)</f>
        <v>142.71814322495987</v>
      </c>
      <c r="E3" s="125">
        <f>IF(SER_hh_tesh!E3=0,0,SER_hh_tesh!E3/SER_summary!E$26)</f>
        <v>155.23510946183154</v>
      </c>
      <c r="F3" s="125">
        <f>IF(SER_hh_tesh!F3=0,0,SER_hh_tesh!F3/SER_summary!F$26)</f>
        <v>173.84437735931434</v>
      </c>
      <c r="G3" s="125">
        <f>IF(SER_hh_tesh!G3=0,0,SER_hh_tesh!G3/SER_summary!G$26)</f>
        <v>172.64092289503375</v>
      </c>
      <c r="H3" s="125">
        <f>IF(SER_hh_tesh!H3=0,0,SER_hh_tesh!H3/SER_summary!H$26)</f>
        <v>165.5664388439088</v>
      </c>
      <c r="I3" s="125">
        <f>IF(SER_hh_tesh!I3=0,0,SER_hh_tesh!I3/SER_summary!I$26)</f>
        <v>165.91750836916694</v>
      </c>
      <c r="J3" s="125">
        <f>IF(SER_hh_tesh!J3=0,0,SER_hh_tesh!J3/SER_summary!J$26)</f>
        <v>185.58907204191959</v>
      </c>
      <c r="K3" s="125">
        <f>IF(SER_hh_tesh!K3=0,0,SER_hh_tesh!K3/SER_summary!K$26)</f>
        <v>182.17153289326305</v>
      </c>
      <c r="L3" s="125">
        <f>IF(SER_hh_tesh!L3=0,0,SER_hh_tesh!L3/SER_summary!L$26)</f>
        <v>184.79336067017428</v>
      </c>
      <c r="M3" s="125">
        <f>IF(SER_hh_tesh!M3=0,0,SER_hh_tesh!M3/SER_summary!M$26)</f>
        <v>165.04062493521127</v>
      </c>
      <c r="N3" s="125">
        <f>IF(SER_hh_tesh!N3=0,0,SER_hh_tesh!N3/SER_summary!N$26)</f>
        <v>175.7993008434691</v>
      </c>
      <c r="O3" s="125">
        <f>IF(SER_hh_tesh!O3=0,0,SER_hh_tesh!O3/SER_summary!O$26)</f>
        <v>171.19665389729573</v>
      </c>
      <c r="P3" s="125">
        <f>IF(SER_hh_tesh!P3=0,0,SER_hh_tesh!P3/SER_summary!P$26)</f>
        <v>188.90588758815113</v>
      </c>
      <c r="Q3" s="125">
        <f>IF(SER_hh_tesh!Q3=0,0,SER_hh_tesh!Q3/SER_summary!Q$26)</f>
        <v>187.93830034322809</v>
      </c>
      <c r="R3" s="125">
        <f>IF(SER_hh_tesh!R3=0,0,SER_hh_tesh!R3/SER_summary!R$26)</f>
        <v>204.93729040668401</v>
      </c>
      <c r="S3" s="125">
        <f>IF(SER_hh_tesh!S3=0,0,SER_hh_tesh!S3/SER_summary!S$26)</f>
        <v>187.61598492442039</v>
      </c>
      <c r="T3" s="125">
        <f>IF(SER_hh_tesh!T3=0,0,SER_hh_tesh!T3/SER_summary!T$26)</f>
        <v>200.44805870929494</v>
      </c>
      <c r="U3" s="125">
        <f>IF(SER_hh_tesh!U3=0,0,SER_hh_tesh!U3/SER_summary!U$26)</f>
        <v>187.15104636790025</v>
      </c>
      <c r="V3" s="125">
        <f>IF(SER_hh_tesh!V3=0,0,SER_hh_tesh!V3/SER_summary!V$26)</f>
        <v>190.68603374474429</v>
      </c>
      <c r="W3" s="125">
        <f>IF(SER_hh_tesh!W3=0,0,SER_hh_tesh!W3/SER_summary!W$26)</f>
        <v>210.94373819703375</v>
      </c>
      <c r="X3" s="125">
        <f>IF(SER_hh_tesh!X3=0,0,SER_hh_tesh!X3/SER_summary!X$26)</f>
        <v>184.98985258805868</v>
      </c>
      <c r="Y3" s="125">
        <f>IF(SER_hh_tesh!Y3=0,0,SER_hh_tesh!Y3/SER_summary!Y$26)</f>
        <v>171.74007449928138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111.52902221490993</v>
      </c>
      <c r="C4" s="130">
        <f>IF(SER_hh_tesh!C4=0,0,SER_hh_tesh!C4/SER_summary!C$26)</f>
        <v>102.82663902855859</v>
      </c>
      <c r="D4" s="130">
        <f>IF(SER_hh_tesh!D4=0,0,SER_hh_tesh!D4/SER_summary!D$26)</f>
        <v>103.55978636547736</v>
      </c>
      <c r="E4" s="130">
        <f>IF(SER_hh_tesh!E4=0,0,SER_hh_tesh!E4/SER_summary!E$26)</f>
        <v>115.70518714090153</v>
      </c>
      <c r="F4" s="130">
        <f>IF(SER_hh_tesh!F4=0,0,SER_hh_tesh!F4/SER_summary!F$26)</f>
        <v>134.99409853895119</v>
      </c>
      <c r="G4" s="130">
        <f>IF(SER_hh_tesh!G4=0,0,SER_hh_tesh!G4/SER_summary!G$26)</f>
        <v>133.06472650691316</v>
      </c>
      <c r="H4" s="130">
        <f>IF(SER_hh_tesh!H4=0,0,SER_hh_tesh!H4/SER_summary!H$26)</f>
        <v>126.75009036082017</v>
      </c>
      <c r="I4" s="130">
        <f>IF(SER_hh_tesh!I4=0,0,SER_hh_tesh!I4/SER_summary!I$26)</f>
        <v>127.80859840250989</v>
      </c>
      <c r="J4" s="130">
        <f>IF(SER_hh_tesh!J4=0,0,SER_hh_tesh!J4/SER_summary!J$26)</f>
        <v>146.26311579755736</v>
      </c>
      <c r="K4" s="130">
        <f>IF(SER_hh_tesh!K4=0,0,SER_hh_tesh!K4/SER_summary!K$26)</f>
        <v>141.76424490630319</v>
      </c>
      <c r="L4" s="130">
        <f>IF(SER_hh_tesh!L4=0,0,SER_hh_tesh!L4/SER_summary!L$26)</f>
        <v>143.73240835428282</v>
      </c>
      <c r="M4" s="130">
        <f>IF(SER_hh_tesh!M4=0,0,SER_hh_tesh!M4/SER_summary!M$26)</f>
        <v>123.4216617841027</v>
      </c>
      <c r="N4" s="130">
        <f>IF(SER_hh_tesh!N4=0,0,SER_hh_tesh!N4/SER_summary!N$26)</f>
        <v>134.40419733822108</v>
      </c>
      <c r="O4" s="130">
        <f>IF(SER_hh_tesh!O4=0,0,SER_hh_tesh!O4/SER_summary!O$26)</f>
        <v>129.15585780838668</v>
      </c>
      <c r="P4" s="130">
        <f>IF(SER_hh_tesh!P4=0,0,SER_hh_tesh!P4/SER_summary!P$26)</f>
        <v>146.98363114286232</v>
      </c>
      <c r="Q4" s="130">
        <f>IF(SER_hh_tesh!Q4=0,0,SER_hh_tesh!Q4/SER_summary!Q$26)</f>
        <v>145.83649224382157</v>
      </c>
      <c r="R4" s="130">
        <f>IF(SER_hh_tesh!R4=0,0,SER_hh_tesh!R4/SER_summary!R$26)</f>
        <v>163.18681502281694</v>
      </c>
      <c r="S4" s="130">
        <f>IF(SER_hh_tesh!S4=0,0,SER_hh_tesh!S4/SER_summary!S$26)</f>
        <v>145.40748615242248</v>
      </c>
      <c r="T4" s="130">
        <f>IF(SER_hh_tesh!T4=0,0,SER_hh_tesh!T4/SER_summary!T$26)</f>
        <v>157.95359336103556</v>
      </c>
      <c r="U4" s="130">
        <f>IF(SER_hh_tesh!U4=0,0,SER_hh_tesh!U4/SER_summary!U$26)</f>
        <v>144.26481314279758</v>
      </c>
      <c r="V4" s="130">
        <f>IF(SER_hh_tesh!V4=0,0,SER_hh_tesh!V4/SER_summary!V$26)</f>
        <v>150.09420735524881</v>
      </c>
      <c r="W4" s="130">
        <f>IF(SER_hh_tesh!W4=0,0,SER_hh_tesh!W4/SER_summary!W$26)</f>
        <v>165.91397020461915</v>
      </c>
      <c r="X4" s="130">
        <f>IF(SER_hh_tesh!X4=0,0,SER_hh_tesh!X4/SER_summary!X$26)</f>
        <v>137.24113324586176</v>
      </c>
      <c r="Y4" s="130">
        <f>IF(SER_hh_tesh!Y4=0,0,SER_hh_tesh!Y4/SER_summary!Y$26)</f>
        <v>119.18152754818776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95.869232533013502</v>
      </c>
      <c r="C5" s="132">
        <f>IF(SER_hh_tesh!C5=0,0,SER_hh_tesh!C5/SER_summary!C$26)</f>
        <v>118.85569917612095</v>
      </c>
      <c r="D5" s="132">
        <f>IF(SER_hh_tesh!D5=0,0,SER_hh_tesh!D5/SER_summary!D$26)</f>
        <v>104.05623583809927</v>
      </c>
      <c r="E5" s="132">
        <f>IF(SER_hh_tesh!E5=0,0,SER_hh_tesh!E5/SER_summary!E$26)</f>
        <v>115.02169804419566</v>
      </c>
      <c r="F5" s="132">
        <f>IF(SER_hh_tesh!F5=0,0,SER_hh_tesh!F5/SER_summary!F$26)</f>
        <v>123.81528650163833</v>
      </c>
      <c r="G5" s="132">
        <f>IF(SER_hh_tesh!G5=0,0,SER_hh_tesh!G5/SER_summary!G$26)</f>
        <v>152.33024515364735</v>
      </c>
      <c r="H5" s="132">
        <f>IF(SER_hh_tesh!H5=0,0,SER_hh_tesh!H5/SER_summary!H$26)</f>
        <v>112.11567320257981</v>
      </c>
      <c r="I5" s="132">
        <f>IF(SER_hh_tesh!I5=0,0,SER_hh_tesh!I5/SER_summary!I$26)</f>
        <v>141.58901456727526</v>
      </c>
      <c r="J5" s="132">
        <f>IF(SER_hh_tesh!J5=0,0,SER_hh_tesh!J5/SER_summary!J$26)</f>
        <v>128.87511079913625</v>
      </c>
      <c r="K5" s="132">
        <f>IF(SER_hh_tesh!K5=0,0,SER_hh_tesh!K5/SER_summary!K$26)</f>
        <v>129.525334706591</v>
      </c>
      <c r="L5" s="132">
        <f>IF(SER_hh_tesh!L5=0,0,SER_hh_tesh!L5/SER_summary!L$26)</f>
        <v>135.02821662201887</v>
      </c>
      <c r="M5" s="132">
        <f>IF(SER_hh_tesh!M5=0,0,SER_hh_tesh!M5/SER_summary!M$26)</f>
        <v>100.78871067301777</v>
      </c>
      <c r="N5" s="132">
        <f>IF(SER_hh_tesh!N5=0,0,SER_hh_tesh!N5/SER_summary!N$26)</f>
        <v>118.91710040083088</v>
      </c>
      <c r="O5" s="132">
        <f>IF(SER_hh_tesh!O5=0,0,SER_hh_tesh!O5/SER_summary!O$26)</f>
        <v>192.97175706011643</v>
      </c>
      <c r="P5" s="132">
        <f>IF(SER_hh_tesh!P5=0,0,SER_hh_tesh!P5/SER_summary!P$26)</f>
        <v>126.8995988195656</v>
      </c>
      <c r="Q5" s="132">
        <f>IF(SER_hh_tesh!Q5=0,0,SER_hh_tesh!Q5/SER_summary!Q$26)</f>
        <v>127.12510489540512</v>
      </c>
      <c r="R5" s="132">
        <f>IF(SER_hh_tesh!R5=0,0,SER_hh_tesh!R5/SER_summary!R$26)</f>
        <v>195.7396763933061</v>
      </c>
      <c r="S5" s="132">
        <f>IF(SER_hh_tesh!S5=0,0,SER_hh_tesh!S5/SER_summary!S$26)</f>
        <v>115.11625151593927</v>
      </c>
      <c r="T5" s="132">
        <f>IF(SER_hh_tesh!T5=0,0,SER_hh_tesh!T5/SER_summary!T$26)</f>
        <v>141.24737071647476</v>
      </c>
      <c r="U5" s="132">
        <f>IF(SER_hh_tesh!U5=0,0,SER_hh_tesh!U5/SER_summary!U$26)</f>
        <v>142.95207652251318</v>
      </c>
      <c r="V5" s="132">
        <f>IF(SER_hh_tesh!V5=0,0,SER_hh_tesh!V5/SER_summary!V$26)</f>
        <v>153.1639162526823</v>
      </c>
      <c r="W5" s="132">
        <f>IF(SER_hh_tesh!W5=0,0,SER_hh_tesh!W5/SER_summary!W$26)</f>
        <v>159.2974828610605</v>
      </c>
      <c r="X5" s="132">
        <f>IF(SER_hh_tesh!X5=0,0,SER_hh_tesh!X5/SER_summary!X$26)</f>
        <v>159.96598999595651</v>
      </c>
      <c r="Y5" s="132">
        <f>IF(SER_hh_tesh!Y5=0,0,SER_hh_tesh!Y5/SER_summary!Y$26)</f>
        <v>93.384866351461355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94.039193488709557</v>
      </c>
      <c r="C7" s="132">
        <f>IF(SER_hh_tesh!C7=0,0,SER_hh_tesh!C7/SER_summary!C$26)</f>
        <v>123.25385893010821</v>
      </c>
      <c r="D7" s="132">
        <f>IF(SER_hh_tesh!D7=0,0,SER_hh_tesh!D7/SER_summary!D$26)</f>
        <v>96.681805947816684</v>
      </c>
      <c r="E7" s="132">
        <f>IF(SER_hh_tesh!E7=0,0,SER_hh_tesh!E7/SER_summary!E$26)</f>
        <v>103.27057124678312</v>
      </c>
      <c r="F7" s="132">
        <f>IF(SER_hh_tesh!F7=0,0,SER_hh_tesh!F7/SER_summary!F$26)</f>
        <v>121.00325183020783</v>
      </c>
      <c r="G7" s="132">
        <f>IF(SER_hh_tesh!G7=0,0,SER_hh_tesh!G7/SER_summary!G$26)</f>
        <v>142.3615531780741</v>
      </c>
      <c r="H7" s="132">
        <f>IF(SER_hh_tesh!H7=0,0,SER_hh_tesh!H7/SER_summary!H$26)</f>
        <v>116.8159312805839</v>
      </c>
      <c r="I7" s="132">
        <f>IF(SER_hh_tesh!I7=0,0,SER_hh_tesh!I7/SER_summary!I$26)</f>
        <v>131.48295173936484</v>
      </c>
      <c r="J7" s="132">
        <f>IF(SER_hh_tesh!J7=0,0,SER_hh_tesh!J7/SER_summary!J$26)</f>
        <v>140.92777027337667</v>
      </c>
      <c r="K7" s="132">
        <f>IF(SER_hh_tesh!K7=0,0,SER_hh_tesh!K7/SER_summary!K$26)</f>
        <v>132.42001253963278</v>
      </c>
      <c r="L7" s="132">
        <f>IF(SER_hh_tesh!L7=0,0,SER_hh_tesh!L7/SER_summary!L$26)</f>
        <v>108.14257045191052</v>
      </c>
      <c r="M7" s="132">
        <f>IF(SER_hh_tesh!M7=0,0,SER_hh_tesh!M7/SER_summary!M$26)</f>
        <v>140.9022672073458</v>
      </c>
      <c r="N7" s="132">
        <f>IF(SER_hh_tesh!N7=0,0,SER_hh_tesh!N7/SER_summary!N$26)</f>
        <v>143.73463253942748</v>
      </c>
      <c r="O7" s="132">
        <f>IF(SER_hh_tesh!O7=0,0,SER_hh_tesh!O7/SER_summary!O$26)</f>
        <v>138.79509451691885</v>
      </c>
      <c r="P7" s="132">
        <f>IF(SER_hh_tesh!P7=0,0,SER_hh_tesh!P7/SER_summary!P$26)</f>
        <v>125.27924105081732</v>
      </c>
      <c r="Q7" s="132">
        <f>IF(SER_hh_tesh!Q7=0,0,SER_hh_tesh!Q7/SER_summary!Q$26)</f>
        <v>154.46266443953346</v>
      </c>
      <c r="R7" s="132">
        <f>IF(SER_hh_tesh!R7=0,0,SER_hh_tesh!R7/SER_summary!R$26)</f>
        <v>133.48213574550991</v>
      </c>
      <c r="S7" s="132">
        <f>IF(SER_hh_tesh!S7=0,0,SER_hh_tesh!S7/SER_summary!S$26)</f>
        <v>153.89830410555601</v>
      </c>
      <c r="T7" s="132">
        <f>IF(SER_hh_tesh!T7=0,0,SER_hh_tesh!T7/SER_summary!T$26)</f>
        <v>165.63618239595871</v>
      </c>
      <c r="U7" s="132">
        <f>IF(SER_hh_tesh!U7=0,0,SER_hh_tesh!U7/SER_summary!U$26)</f>
        <v>129.8022346860682</v>
      </c>
      <c r="V7" s="132">
        <f>IF(SER_hh_tesh!V7=0,0,SER_hh_tesh!V7/SER_summary!V$26)</f>
        <v>138.46836752978484</v>
      </c>
      <c r="W7" s="132">
        <f>IF(SER_hh_tesh!W7=0,0,SER_hh_tesh!W7/SER_summary!W$26)</f>
        <v>140.19813875525125</v>
      </c>
      <c r="X7" s="132">
        <f>IF(SER_hh_tesh!X7=0,0,SER_hh_tesh!X7/SER_summary!X$26)</f>
        <v>129.89518858788591</v>
      </c>
      <c r="Y7" s="132">
        <f>IF(SER_hh_tesh!Y7=0,0,SER_hh_tesh!Y7/SER_summary!Y$26)</f>
        <v>130.07948388290438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0</v>
      </c>
      <c r="C8" s="132">
        <f>IF(SER_hh_tesh!C8=0,0,SER_hh_tesh!C8/SER_summary!C$26)</f>
        <v>0</v>
      </c>
      <c r="D8" s="132">
        <f>IF(SER_hh_tesh!D8=0,0,SER_hh_tesh!D8/SER_summary!D$26)</f>
        <v>0</v>
      </c>
      <c r="E8" s="132">
        <f>IF(SER_hh_tesh!E8=0,0,SER_hh_tesh!E8/SER_summary!E$26)</f>
        <v>0</v>
      </c>
      <c r="F8" s="132">
        <f>IF(SER_hh_tesh!F8=0,0,SER_hh_tesh!F8/SER_summary!F$26)</f>
        <v>0</v>
      </c>
      <c r="G8" s="132">
        <f>IF(SER_hh_tesh!G8=0,0,SER_hh_tesh!G8/SER_summary!G$26)</f>
        <v>0</v>
      </c>
      <c r="H8" s="132">
        <f>IF(SER_hh_tesh!H8=0,0,SER_hh_tesh!H8/SER_summary!H$26)</f>
        <v>0</v>
      </c>
      <c r="I8" s="132">
        <f>IF(SER_hh_tesh!I8=0,0,SER_hh_tesh!I8/SER_summary!I$26)</f>
        <v>0</v>
      </c>
      <c r="J8" s="132">
        <f>IF(SER_hh_tesh!J8=0,0,SER_hh_tesh!J8/SER_summary!J$26)</f>
        <v>0</v>
      </c>
      <c r="K8" s="132">
        <f>IF(SER_hh_tesh!K8=0,0,SER_hh_tesh!K8/SER_summary!K$26)</f>
        <v>0</v>
      </c>
      <c r="L8" s="132">
        <f>IF(SER_hh_tesh!L8=0,0,SER_hh_tesh!L8/SER_summary!L$26)</f>
        <v>0</v>
      </c>
      <c r="M8" s="132">
        <f>IF(SER_hh_tesh!M8=0,0,SER_hh_tesh!M8/SER_summary!M$26)</f>
        <v>0</v>
      </c>
      <c r="N8" s="132">
        <f>IF(SER_hh_tesh!N8=0,0,SER_hh_tesh!N8/SER_summary!N$26)</f>
        <v>0</v>
      </c>
      <c r="O8" s="132">
        <f>IF(SER_hh_tesh!O8=0,0,SER_hh_tesh!O8/SER_summary!O$26)</f>
        <v>0</v>
      </c>
      <c r="P8" s="132">
        <f>IF(SER_hh_tesh!P8=0,0,SER_hh_tesh!P8/SER_summary!P$26)</f>
        <v>0</v>
      </c>
      <c r="Q8" s="132">
        <f>IF(SER_hh_tesh!Q8=0,0,SER_hh_tesh!Q8/SER_summary!Q$26)</f>
        <v>0</v>
      </c>
      <c r="R8" s="132">
        <f>IF(SER_hh_tesh!R8=0,0,SER_hh_tesh!R8/SER_summary!R$26)</f>
        <v>0</v>
      </c>
      <c r="S8" s="132">
        <f>IF(SER_hh_tesh!S8=0,0,SER_hh_tesh!S8/SER_summary!S$26)</f>
        <v>0</v>
      </c>
      <c r="T8" s="132">
        <f>IF(SER_hh_tesh!T8=0,0,SER_hh_tesh!T8/SER_summary!T$26)</f>
        <v>0</v>
      </c>
      <c r="U8" s="132">
        <f>IF(SER_hh_tesh!U8=0,0,SER_hh_tesh!U8/SER_summary!U$26)</f>
        <v>0</v>
      </c>
      <c r="V8" s="132">
        <f>IF(SER_hh_tesh!V8=0,0,SER_hh_tesh!V8/SER_summary!V$26)</f>
        <v>0</v>
      </c>
      <c r="W8" s="132">
        <f>IF(SER_hh_tesh!W8=0,0,SER_hh_tesh!W8/SER_summary!W$26)</f>
        <v>0</v>
      </c>
      <c r="X8" s="132">
        <f>IF(SER_hh_tesh!X8=0,0,SER_hh_tesh!X8/SER_summary!X$26)</f>
        <v>0</v>
      </c>
      <c r="Y8" s="132">
        <f>IF(SER_hh_tesh!Y8=0,0,SER_hh_tesh!Y8/SER_summary!Y$26)</f>
        <v>0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78.364170907699773</v>
      </c>
      <c r="C9" s="132">
        <f>IF(SER_hh_tesh!C9=0,0,SER_hh_tesh!C9/SER_summary!C$26)</f>
        <v>109.13530969444049</v>
      </c>
      <c r="D9" s="132">
        <f>IF(SER_hh_tesh!D9=0,0,SER_hh_tesh!D9/SER_summary!D$26)</f>
        <v>78.158787538173996</v>
      </c>
      <c r="E9" s="132">
        <f>IF(SER_hh_tesh!E9=0,0,SER_hh_tesh!E9/SER_summary!E$26)</f>
        <v>156.23447155260328</v>
      </c>
      <c r="F9" s="132">
        <f>IF(SER_hh_tesh!F9=0,0,SER_hh_tesh!F9/SER_summary!F$26)</f>
        <v>138.81197670834578</v>
      </c>
      <c r="G9" s="132">
        <f>IF(SER_hh_tesh!G9=0,0,SER_hh_tesh!G9/SER_summary!G$26)</f>
        <v>113.95015428683824</v>
      </c>
      <c r="H9" s="132">
        <f>IF(SER_hh_tesh!H9=0,0,SER_hh_tesh!H9/SER_summary!H$26)</f>
        <v>135.16234102059616</v>
      </c>
      <c r="I9" s="132">
        <f>IF(SER_hh_tesh!I9=0,0,SER_hh_tesh!I9/SER_summary!I$26)</f>
        <v>138.54009825299818</v>
      </c>
      <c r="J9" s="132">
        <f>IF(SER_hh_tesh!J9=0,0,SER_hh_tesh!J9/SER_summary!J$26)</f>
        <v>126.63128847914837</v>
      </c>
      <c r="K9" s="132">
        <f>IF(SER_hh_tesh!K9=0,0,SER_hh_tesh!K9/SER_summary!K$26)</f>
        <v>116.37279188496224</v>
      </c>
      <c r="L9" s="132">
        <f>IF(SER_hh_tesh!L9=0,0,SER_hh_tesh!L9/SER_summary!L$26)</f>
        <v>131.72388998167327</v>
      </c>
      <c r="M9" s="132">
        <f>IF(SER_hh_tesh!M9=0,0,SER_hh_tesh!M9/SER_summary!M$26)</f>
        <v>121.20863565490212</v>
      </c>
      <c r="N9" s="132">
        <f>IF(SER_hh_tesh!N9=0,0,SER_hh_tesh!N9/SER_summary!N$26)</f>
        <v>114.74306559001428</v>
      </c>
      <c r="O9" s="132">
        <f>IF(SER_hh_tesh!O9=0,0,SER_hh_tesh!O9/SER_summary!O$26)</f>
        <v>120.5394084038135</v>
      </c>
      <c r="P9" s="132">
        <f>IF(SER_hh_tesh!P9=0,0,SER_hh_tesh!P9/SER_summary!P$26)</f>
        <v>156.26145574713226</v>
      </c>
      <c r="Q9" s="132">
        <f>IF(SER_hh_tesh!Q9=0,0,SER_hh_tesh!Q9/SER_summary!Q$26)</f>
        <v>147.76130926290404</v>
      </c>
      <c r="R9" s="132">
        <f>IF(SER_hh_tesh!R9=0,0,SER_hh_tesh!R9/SER_summary!R$26)</f>
        <v>167.64263987038615</v>
      </c>
      <c r="S9" s="132">
        <f>IF(SER_hh_tesh!S9=0,0,SER_hh_tesh!S9/SER_summary!S$26)</f>
        <v>142.56110463782542</v>
      </c>
      <c r="T9" s="132">
        <f>IF(SER_hh_tesh!T9=0,0,SER_hh_tesh!T9/SER_summary!T$26)</f>
        <v>153.61585404428521</v>
      </c>
      <c r="U9" s="132">
        <f>IF(SER_hh_tesh!U9=0,0,SER_hh_tesh!U9/SER_summary!U$26)</f>
        <v>144.2612484151482</v>
      </c>
      <c r="V9" s="132">
        <f>IF(SER_hh_tesh!V9=0,0,SER_hh_tesh!V9/SER_summary!V$26)</f>
        <v>154.15207476076424</v>
      </c>
      <c r="W9" s="132">
        <f>IF(SER_hh_tesh!W9=0,0,SER_hh_tesh!W9/SER_summary!W$26)</f>
        <v>182.17841277839298</v>
      </c>
      <c r="X9" s="132">
        <f>IF(SER_hh_tesh!X9=0,0,SER_hh_tesh!X9/SER_summary!X$26)</f>
        <v>119.19370893554471</v>
      </c>
      <c r="Y9" s="132">
        <f>IF(SER_hh_tesh!Y9=0,0,SER_hh_tesh!Y9/SER_summary!Y$26)</f>
        <v>115.9373800516217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91.127879438921454</v>
      </c>
      <c r="C10" s="132">
        <f>IF(SER_hh_tesh!C10=0,0,SER_hh_tesh!C10/SER_summary!C$26)</f>
        <v>112.83937932215809</v>
      </c>
      <c r="D10" s="132">
        <f>IF(SER_hh_tesh!D10=0,0,SER_hh_tesh!D10/SER_summary!D$26)</f>
        <v>100.99040976461522</v>
      </c>
      <c r="E10" s="132">
        <f>IF(SER_hh_tesh!E10=0,0,SER_hh_tesh!E10/SER_summary!E$26)</f>
        <v>98.80699968106066</v>
      </c>
      <c r="F10" s="132">
        <f>IF(SER_hh_tesh!F10=0,0,SER_hh_tesh!F10/SER_summary!F$26)</f>
        <v>175.7829994765531</v>
      </c>
      <c r="G10" s="132">
        <f>IF(SER_hh_tesh!G10=0,0,SER_hh_tesh!G10/SER_summary!G$26)</f>
        <v>111.9562421029418</v>
      </c>
      <c r="H10" s="132">
        <f>IF(SER_hh_tesh!H10=0,0,SER_hh_tesh!H10/SER_summary!H$26)</f>
        <v>129.30994962601852</v>
      </c>
      <c r="I10" s="132">
        <f>IF(SER_hh_tesh!I10=0,0,SER_hh_tesh!I10/SER_summary!I$26)</f>
        <v>139.826451704129</v>
      </c>
      <c r="J10" s="132">
        <f>IF(SER_hh_tesh!J10=0,0,SER_hh_tesh!J10/SER_summary!J$26)</f>
        <v>151.52021461695654</v>
      </c>
      <c r="K10" s="132">
        <f>IF(SER_hh_tesh!K10=0,0,SER_hh_tesh!K10/SER_summary!K$26)</f>
        <v>113.94852771382153</v>
      </c>
      <c r="L10" s="132">
        <f>IF(SER_hh_tesh!L10=0,0,SER_hh_tesh!L10/SER_summary!L$26)</f>
        <v>141.31381680951401</v>
      </c>
      <c r="M10" s="132">
        <f>IF(SER_hh_tesh!M10=0,0,SER_hh_tesh!M10/SER_summary!M$26)</f>
        <v>155.07349995222378</v>
      </c>
      <c r="N10" s="132">
        <f>IF(SER_hh_tesh!N10=0,0,SER_hh_tesh!N10/SER_summary!N$26)</f>
        <v>114.45952971713525</v>
      </c>
      <c r="O10" s="132">
        <f>IF(SER_hh_tesh!O10=0,0,SER_hh_tesh!O10/SER_summary!O$26)</f>
        <v>123.92427622845655</v>
      </c>
      <c r="P10" s="132">
        <f>IF(SER_hh_tesh!P10=0,0,SER_hh_tesh!P10/SER_summary!P$26)</f>
        <v>132.12015935012997</v>
      </c>
      <c r="Q10" s="132">
        <f>IF(SER_hh_tesh!Q10=0,0,SER_hh_tesh!Q10/SER_summary!Q$26)</f>
        <v>148.26254752241189</v>
      </c>
      <c r="R10" s="132">
        <f>IF(SER_hh_tesh!R10=0,0,SER_hh_tesh!R10/SER_summary!R$26)</f>
        <v>145.15588480418589</v>
      </c>
      <c r="S10" s="132">
        <f>IF(SER_hh_tesh!S10=0,0,SER_hh_tesh!S10/SER_summary!S$26)</f>
        <v>155.20525244851967</v>
      </c>
      <c r="T10" s="132">
        <f>IF(SER_hh_tesh!T10=0,0,SER_hh_tesh!T10/SER_summary!T$26)</f>
        <v>135.91866599087356</v>
      </c>
      <c r="U10" s="132">
        <f>IF(SER_hh_tesh!U10=0,0,SER_hh_tesh!U10/SER_summary!U$26)</f>
        <v>147.16026965140935</v>
      </c>
      <c r="V10" s="132">
        <f>IF(SER_hh_tesh!V10=0,0,SER_hh_tesh!V10/SER_summary!V$26)</f>
        <v>182.65727460253152</v>
      </c>
      <c r="W10" s="132">
        <f>IF(SER_hh_tesh!W10=0,0,SER_hh_tesh!W10/SER_summary!W$26)</f>
        <v>155.45887253486751</v>
      </c>
      <c r="X10" s="132">
        <f>IF(SER_hh_tesh!X10=0,0,SER_hh_tesh!X10/SER_summary!X$26)</f>
        <v>156.67273101862764</v>
      </c>
      <c r="Y10" s="132">
        <f>IF(SER_hh_tesh!Y10=0,0,SER_hh_tesh!Y10/SER_summary!Y$26)</f>
        <v>99.095475780766307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0</v>
      </c>
      <c r="E11" s="132">
        <f>IF(SER_hh_tesh!E11=0,0,SER_hh_tesh!E11/SER_summary!E$26)</f>
        <v>0</v>
      </c>
      <c r="F11" s="132">
        <f>IF(SER_hh_tesh!F11=0,0,SER_hh_tesh!F11/SER_summary!F$26)</f>
        <v>0</v>
      </c>
      <c r="G11" s="132">
        <f>IF(SER_hh_tesh!G11=0,0,SER_hh_tesh!G11/SER_summary!G$26)</f>
        <v>0</v>
      </c>
      <c r="H11" s="132">
        <f>IF(SER_hh_tesh!H11=0,0,SER_hh_tesh!H11/SER_summary!H$26)</f>
        <v>0</v>
      </c>
      <c r="I11" s="132">
        <f>IF(SER_hh_tesh!I11=0,0,SER_hh_tesh!I11/SER_summary!I$26)</f>
        <v>0</v>
      </c>
      <c r="J11" s="132">
        <f>IF(SER_hh_tesh!J11=0,0,SER_hh_tesh!J11/SER_summary!J$26)</f>
        <v>0</v>
      </c>
      <c r="K11" s="132">
        <f>IF(SER_hh_tesh!K11=0,0,SER_hh_tesh!K11/SER_summary!K$26)</f>
        <v>0</v>
      </c>
      <c r="L11" s="132">
        <f>IF(SER_hh_tesh!L11=0,0,SER_hh_tesh!L11/SER_summary!L$26)</f>
        <v>0</v>
      </c>
      <c r="M11" s="132">
        <f>IF(SER_hh_tesh!M11=0,0,SER_hh_tesh!M11/SER_summary!M$26)</f>
        <v>0</v>
      </c>
      <c r="N11" s="132">
        <f>IF(SER_hh_tesh!N11=0,0,SER_hh_tesh!N11/SER_summary!N$26)</f>
        <v>0</v>
      </c>
      <c r="O11" s="132">
        <f>IF(SER_hh_tesh!O11=0,0,SER_hh_tesh!O11/SER_summary!O$26)</f>
        <v>0</v>
      </c>
      <c r="P11" s="132">
        <f>IF(SER_hh_tesh!P11=0,0,SER_hh_tesh!P11/SER_summary!P$26)</f>
        <v>0</v>
      </c>
      <c r="Q11" s="132">
        <f>IF(SER_hh_tesh!Q11=0,0,SER_hh_tesh!Q11/SER_summary!Q$26)</f>
        <v>0</v>
      </c>
      <c r="R11" s="132">
        <f>IF(SER_hh_tesh!R11=0,0,SER_hh_tesh!R11/SER_summary!R$26)</f>
        <v>0</v>
      </c>
      <c r="S11" s="132">
        <f>IF(SER_hh_tesh!S11=0,0,SER_hh_tesh!S11/SER_summary!S$26)</f>
        <v>0</v>
      </c>
      <c r="T11" s="132">
        <f>IF(SER_hh_tesh!T11=0,0,SER_hh_tesh!T11/SER_summary!T$26)</f>
        <v>0</v>
      </c>
      <c r="U11" s="132">
        <f>IF(SER_hh_tesh!U11=0,0,SER_hh_tesh!U11/SER_summary!U$26)</f>
        <v>0</v>
      </c>
      <c r="V11" s="132">
        <f>IF(SER_hh_tesh!V11=0,0,SER_hh_tesh!V11/SER_summary!V$26)</f>
        <v>0</v>
      </c>
      <c r="W11" s="132">
        <f>IF(SER_hh_tesh!W11=0,0,SER_hh_tesh!W11/SER_summary!W$26)</f>
        <v>0</v>
      </c>
      <c r="X11" s="132">
        <f>IF(SER_hh_tesh!X11=0,0,SER_hh_tesh!X11/SER_summary!X$26)</f>
        <v>0</v>
      </c>
      <c r="Y11" s="132">
        <f>IF(SER_hh_tesh!Y11=0,0,SER_hh_tesh!Y11/SER_summary!Y$26)</f>
        <v>0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127.05029723813691</v>
      </c>
      <c r="C12" s="132">
        <f>IF(SER_hh_tesh!C12=0,0,SER_hh_tesh!C12/SER_summary!C$26)</f>
        <v>88.152398293242555</v>
      </c>
      <c r="D12" s="132">
        <f>IF(SER_hh_tesh!D12=0,0,SER_hh_tesh!D12/SER_summary!D$26)</f>
        <v>107.53272922820142</v>
      </c>
      <c r="E12" s="132">
        <f>IF(SER_hh_tesh!E12=0,0,SER_hh_tesh!E12/SER_summary!E$26)</f>
        <v>106.44759741343921</v>
      </c>
      <c r="F12" s="132">
        <f>IF(SER_hh_tesh!F12=0,0,SER_hh_tesh!F12/SER_summary!F$26)</f>
        <v>131.37953224490707</v>
      </c>
      <c r="G12" s="132">
        <f>IF(SER_hh_tesh!G12=0,0,SER_hh_tesh!G12/SER_summary!G$26)</f>
        <v>144.0140621588007</v>
      </c>
      <c r="H12" s="132">
        <f>IF(SER_hh_tesh!H12=0,0,SER_hh_tesh!H12/SER_summary!H$26)</f>
        <v>123.49396518561166</v>
      </c>
      <c r="I12" s="132">
        <f>IF(SER_hh_tesh!I12=0,0,SER_hh_tesh!I12/SER_summary!I$26)</f>
        <v>116.73705150508694</v>
      </c>
      <c r="J12" s="132">
        <f>IF(SER_hh_tesh!J12=0,0,SER_hh_tesh!J12/SER_summary!J$26)</f>
        <v>145.54133563269946</v>
      </c>
      <c r="K12" s="132">
        <f>IF(SER_hh_tesh!K12=0,0,SER_hh_tesh!K12/SER_summary!K$26)</f>
        <v>144.06848174034741</v>
      </c>
      <c r="L12" s="132">
        <f>IF(SER_hh_tesh!L12=0,0,SER_hh_tesh!L12/SER_summary!L$26)</f>
        <v>153.63162027546184</v>
      </c>
      <c r="M12" s="132">
        <f>IF(SER_hh_tesh!M12=0,0,SER_hh_tesh!M12/SER_summary!M$26)</f>
        <v>119.62817029892457</v>
      </c>
      <c r="N12" s="132">
        <f>IF(SER_hh_tesh!N12=0,0,SER_hh_tesh!N12/SER_summary!N$26)</f>
        <v>135.90350721038524</v>
      </c>
      <c r="O12" s="132">
        <f>IF(SER_hh_tesh!O12=0,0,SER_hh_tesh!O12/SER_summary!O$26)</f>
        <v>129.02631186574098</v>
      </c>
      <c r="P12" s="132">
        <f>IF(SER_hh_tesh!P12=0,0,SER_hh_tesh!P12/SER_summary!P$26)</f>
        <v>142.72892851404941</v>
      </c>
      <c r="Q12" s="132">
        <f>IF(SER_hh_tesh!Q12=0,0,SER_hh_tesh!Q12/SER_summary!Q$26)</f>
        <v>141.58955103954304</v>
      </c>
      <c r="R12" s="132">
        <f>IF(SER_hh_tesh!R12=0,0,SER_hh_tesh!R12/SER_summary!R$26)</f>
        <v>159.648676842562</v>
      </c>
      <c r="S12" s="132">
        <f>IF(SER_hh_tesh!S12=0,0,SER_hh_tesh!S12/SER_summary!S$26)</f>
        <v>152.72084807524641</v>
      </c>
      <c r="T12" s="132">
        <f>IF(SER_hh_tesh!T12=0,0,SER_hh_tesh!T12/SER_summary!T$26)</f>
        <v>159.18937492110121</v>
      </c>
      <c r="U12" s="132">
        <f>IF(SER_hh_tesh!U12=0,0,SER_hh_tesh!U12/SER_summary!U$26)</f>
        <v>137.06882259270802</v>
      </c>
      <c r="V12" s="132">
        <f>IF(SER_hh_tesh!V12=0,0,SER_hh_tesh!V12/SER_summary!V$26)</f>
        <v>147.32046321367912</v>
      </c>
      <c r="W12" s="132">
        <f>IF(SER_hh_tesh!W12=0,0,SER_hh_tesh!W12/SER_summary!W$26)</f>
        <v>148.43888832309622</v>
      </c>
      <c r="X12" s="132">
        <f>IF(SER_hh_tesh!X12=0,0,SER_hh_tesh!X12/SER_summary!X$26)</f>
        <v>136.67668421062652</v>
      </c>
      <c r="Y12" s="132">
        <f>IF(SER_hh_tesh!Y12=0,0,SER_hh_tesh!Y12/SER_summary!Y$26)</f>
        <v>125.38594740501472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0</v>
      </c>
      <c r="C13" s="132">
        <f>IF(SER_hh_tesh!C13=0,0,SER_hh_tesh!C13/SER_summary!C$26)</f>
        <v>0</v>
      </c>
      <c r="D13" s="132">
        <f>IF(SER_hh_tesh!D13=0,0,SER_hh_tesh!D13/SER_summary!D$26)</f>
        <v>0</v>
      </c>
      <c r="E13" s="132">
        <f>IF(SER_hh_tesh!E13=0,0,SER_hh_tesh!E13/SER_summary!E$26)</f>
        <v>0</v>
      </c>
      <c r="F13" s="132">
        <f>IF(SER_hh_tesh!F13=0,0,SER_hh_tesh!F13/SER_summary!F$26)</f>
        <v>0</v>
      </c>
      <c r="G13" s="132">
        <f>IF(SER_hh_tesh!G13=0,0,SER_hh_tesh!G13/SER_summary!G$26)</f>
        <v>0</v>
      </c>
      <c r="H13" s="132">
        <f>IF(SER_hh_tesh!H13=0,0,SER_hh_tesh!H13/SER_summary!H$26)</f>
        <v>0</v>
      </c>
      <c r="I13" s="132">
        <f>IF(SER_hh_tesh!I13=0,0,SER_hh_tesh!I13/SER_summary!I$26)</f>
        <v>0</v>
      </c>
      <c r="J13" s="132">
        <f>IF(SER_hh_tesh!J13=0,0,SER_hh_tesh!J13/SER_summary!J$26)</f>
        <v>0</v>
      </c>
      <c r="K13" s="132">
        <f>IF(SER_hh_tesh!K13=0,0,SER_hh_tesh!K13/SER_summary!K$26)</f>
        <v>0</v>
      </c>
      <c r="L13" s="132">
        <f>IF(SER_hh_tesh!L13=0,0,SER_hh_tesh!L13/SER_summary!L$26)</f>
        <v>0</v>
      </c>
      <c r="M13" s="132">
        <f>IF(SER_hh_tesh!M13=0,0,SER_hh_tesh!M13/SER_summary!M$26)</f>
        <v>0</v>
      </c>
      <c r="N13" s="132">
        <f>IF(SER_hh_tesh!N13=0,0,SER_hh_tesh!N13/SER_summary!N$26)</f>
        <v>0</v>
      </c>
      <c r="O13" s="132">
        <f>IF(SER_hh_tesh!O13=0,0,SER_hh_tesh!O13/SER_summary!O$26)</f>
        <v>0</v>
      </c>
      <c r="P13" s="132">
        <f>IF(SER_hh_tesh!P13=0,0,SER_hh_tesh!P13/SER_summary!P$26)</f>
        <v>0</v>
      </c>
      <c r="Q13" s="132">
        <f>IF(SER_hh_tesh!Q13=0,0,SER_hh_tesh!Q13/SER_summary!Q$26)</f>
        <v>0</v>
      </c>
      <c r="R13" s="132">
        <f>IF(SER_hh_tesh!R13=0,0,SER_hh_tesh!R13/SER_summary!R$26)</f>
        <v>0</v>
      </c>
      <c r="S13" s="132">
        <f>IF(SER_hh_tesh!S13=0,0,SER_hh_tesh!S13/SER_summary!S$26)</f>
        <v>0</v>
      </c>
      <c r="T13" s="132">
        <f>IF(SER_hh_tesh!T13=0,0,SER_hh_tesh!T13/SER_summary!T$26)</f>
        <v>0</v>
      </c>
      <c r="U13" s="132">
        <f>IF(SER_hh_tesh!U13=0,0,SER_hh_tesh!U13/SER_summary!U$26)</f>
        <v>0</v>
      </c>
      <c r="V13" s="132">
        <f>IF(SER_hh_tesh!V13=0,0,SER_hh_tesh!V13/SER_summary!V$26)</f>
        <v>0</v>
      </c>
      <c r="W13" s="132">
        <f>IF(SER_hh_tesh!W13=0,0,SER_hh_tesh!W13/SER_summary!W$26)</f>
        <v>0</v>
      </c>
      <c r="X13" s="132">
        <f>IF(SER_hh_tesh!X13=0,0,SER_hh_tesh!X13/SER_summary!X$26)</f>
        <v>0</v>
      </c>
      <c r="Y13" s="132">
        <f>IF(SER_hh_tesh!Y13=0,0,SER_hh_tesh!Y13/SER_summary!Y$26)</f>
        <v>0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103.26265574636834</v>
      </c>
      <c r="C14" s="65">
        <f>IF(SER_hh_tesh!C14=0,0,SER_hh_tesh!C14/SER_summary!C$26)</f>
        <v>103.831754065905</v>
      </c>
      <c r="D14" s="65">
        <f>IF(SER_hh_tesh!D14=0,0,SER_hh_tesh!D14/SER_summary!D$26)</f>
        <v>112.72845247106055</v>
      </c>
      <c r="E14" s="65">
        <f>IF(SER_hh_tesh!E14=0,0,SER_hh_tesh!E14/SER_summary!E$26)</f>
        <v>108.85135007281148</v>
      </c>
      <c r="F14" s="65">
        <f>IF(SER_hh_tesh!F14=0,0,SER_hh_tesh!F14/SER_summary!F$26)</f>
        <v>131.55352941083564</v>
      </c>
      <c r="G14" s="65">
        <f>IF(SER_hh_tesh!G14=0,0,SER_hh_tesh!G14/SER_summary!G$26)</f>
        <v>119.92286380157125</v>
      </c>
      <c r="H14" s="65">
        <f>IF(SER_hh_tesh!H14=0,0,SER_hh_tesh!H14/SER_summary!H$26)</f>
        <v>128.87854657575679</v>
      </c>
      <c r="I14" s="65">
        <f>IF(SER_hh_tesh!I14=0,0,SER_hh_tesh!I14/SER_summary!I$26)</f>
        <v>133.9413529573919</v>
      </c>
      <c r="J14" s="65">
        <f>IF(SER_hh_tesh!J14=0,0,SER_hh_tesh!J14/SER_summary!J$26)</f>
        <v>151.47956473508424</v>
      </c>
      <c r="K14" s="65">
        <f>IF(SER_hh_tesh!K14=0,0,SER_hh_tesh!K14/SER_summary!K$26)</f>
        <v>149.46107164352512</v>
      </c>
      <c r="L14" s="65">
        <f>IF(SER_hh_tesh!L14=0,0,SER_hh_tesh!L14/SER_summary!L$26)</f>
        <v>140.54636946166198</v>
      </c>
      <c r="M14" s="65">
        <f>IF(SER_hh_tesh!M14=0,0,SER_hh_tesh!M14/SER_summary!M$26)</f>
        <v>116.48637718787948</v>
      </c>
      <c r="N14" s="65">
        <f>IF(SER_hh_tesh!N14=0,0,SER_hh_tesh!N14/SER_summary!N$26)</f>
        <v>135.61151743462807</v>
      </c>
      <c r="O14" s="65">
        <f>IF(SER_hh_tesh!O14=0,0,SER_hh_tesh!O14/SER_summary!O$26)</f>
        <v>125.82908938243028</v>
      </c>
      <c r="P14" s="65">
        <f>IF(SER_hh_tesh!P14=0,0,SER_hh_tesh!P14/SER_summary!P$26)</f>
        <v>152.70697361053629</v>
      </c>
      <c r="Q14" s="65">
        <f>IF(SER_hh_tesh!Q14=0,0,SER_hh_tesh!Q14/SER_summary!Q$26)</f>
        <v>145.20230819422915</v>
      </c>
      <c r="R14" s="65">
        <f>IF(SER_hh_tesh!R14=0,0,SER_hh_tesh!R14/SER_summary!R$26)</f>
        <v>168.95459193634429</v>
      </c>
      <c r="S14" s="65">
        <f>IF(SER_hh_tesh!S14=0,0,SER_hh_tesh!S14/SER_summary!S$26)</f>
        <v>132.94084686427939</v>
      </c>
      <c r="T14" s="65">
        <f>IF(SER_hh_tesh!T14=0,0,SER_hh_tesh!T14/SER_summary!T$26)</f>
        <v>156.70313070737794</v>
      </c>
      <c r="U14" s="65">
        <f>IF(SER_hh_tesh!U14=0,0,SER_hh_tesh!U14/SER_summary!U$26)</f>
        <v>151.70646473693054</v>
      </c>
      <c r="V14" s="65">
        <f>IF(SER_hh_tesh!V14=0,0,SER_hh_tesh!V14/SER_summary!V$26)</f>
        <v>147.87875805127371</v>
      </c>
      <c r="W14" s="65">
        <f>IF(SER_hh_tesh!W14=0,0,SER_hh_tesh!W14/SER_summary!W$26)</f>
        <v>180.43644082915927</v>
      </c>
      <c r="X14" s="65">
        <f>IF(SER_hh_tesh!X14=0,0,SER_hh_tesh!X14/SER_summary!X$26)</f>
        <v>142.98866895353248</v>
      </c>
      <c r="Y14" s="65">
        <f>IF(SER_hh_tesh!Y14=0,0,SER_hh_tesh!Y14/SER_summary!Y$26)</f>
        <v>105.30589071733557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1.0480300484134972</v>
      </c>
      <c r="C15" s="134">
        <f>IF(SER_hh_tesh!C15=0,0,SER_hh_tesh!C15/SER_summary!C$26)</f>
        <v>1.1492002801278178</v>
      </c>
      <c r="D15" s="134">
        <f>IF(SER_hh_tesh!D15=0,0,SER_hh_tesh!D15/SER_summary!D$26)</f>
        <v>0.9927933051913137</v>
      </c>
      <c r="E15" s="134">
        <f>IF(SER_hh_tesh!E15=0,0,SER_hh_tesh!E15/SER_summary!E$26)</f>
        <v>1.3136236951016038</v>
      </c>
      <c r="F15" s="134">
        <f>IF(SER_hh_tesh!F15=0,0,SER_hh_tesh!F15/SER_summary!F$26)</f>
        <v>1.3569637244427617</v>
      </c>
      <c r="G15" s="134">
        <f>IF(SER_hh_tesh!G15=0,0,SER_hh_tesh!G15/SER_summary!G$26)</f>
        <v>1.2479352694247074</v>
      </c>
      <c r="H15" s="134">
        <f>IF(SER_hh_tesh!H15=0,0,SER_hh_tesh!H15/SER_summary!H$26)</f>
        <v>1.1331776613234119</v>
      </c>
      <c r="I15" s="134">
        <f>IF(SER_hh_tesh!I15=0,0,SER_hh_tesh!I15/SER_summary!I$26)</f>
        <v>1.1059044351862806</v>
      </c>
      <c r="J15" s="134">
        <f>IF(SER_hh_tesh!J15=0,0,SER_hh_tesh!J15/SER_summary!J$26)</f>
        <v>1.1214937107853118</v>
      </c>
      <c r="K15" s="134">
        <f>IF(SER_hh_tesh!K15=0,0,SER_hh_tesh!K15/SER_summary!K$26)</f>
        <v>1.016532311145993</v>
      </c>
      <c r="L15" s="134">
        <f>IF(SER_hh_tesh!L15=0,0,SER_hh_tesh!L15/SER_summary!L$26)</f>
        <v>1.0225511378758199</v>
      </c>
      <c r="M15" s="134">
        <f>IF(SER_hh_tesh!M15=0,0,SER_hh_tesh!M15/SER_summary!M$26)</f>
        <v>1.0276954644899075</v>
      </c>
      <c r="N15" s="134">
        <f>IF(SER_hh_tesh!N15=0,0,SER_hh_tesh!N15/SER_summary!N$26)</f>
        <v>1.0728943146381056</v>
      </c>
      <c r="O15" s="134">
        <f>IF(SER_hh_tesh!O15=0,0,SER_hh_tesh!O15/SER_summary!O$26)</f>
        <v>1.1109925977058317</v>
      </c>
      <c r="P15" s="134">
        <f>IF(SER_hh_tesh!P15=0,0,SER_hh_tesh!P15/SER_summary!P$26)</f>
        <v>1.2659761237476157</v>
      </c>
      <c r="Q15" s="134">
        <f>IF(SER_hh_tesh!Q15=0,0,SER_hh_tesh!Q15/SER_summary!Q$26)</f>
        <v>1.3053564850075341</v>
      </c>
      <c r="R15" s="134">
        <f>IF(SER_hh_tesh!R15=0,0,SER_hh_tesh!R15/SER_summary!R$26)</f>
        <v>1.3991530365257137</v>
      </c>
      <c r="S15" s="134">
        <f>IF(SER_hh_tesh!S15=0,0,SER_hh_tesh!S15/SER_summary!S$26)</f>
        <v>1.2818939966018248</v>
      </c>
      <c r="T15" s="134">
        <f>IF(SER_hh_tesh!T15=0,0,SER_hh_tesh!T15/SER_summary!T$26)</f>
        <v>1.3507633998193744</v>
      </c>
      <c r="U15" s="134">
        <f>IF(SER_hh_tesh!U15=0,0,SER_hh_tesh!U15/SER_summary!U$26)</f>
        <v>1.2118977600733618</v>
      </c>
      <c r="V15" s="134">
        <f>IF(SER_hh_tesh!V15=0,0,SER_hh_tesh!V15/SER_summary!V$26)</f>
        <v>1.2766647484050453</v>
      </c>
      <c r="W15" s="134">
        <f>IF(SER_hh_tesh!W15=0,0,SER_hh_tesh!W15/SER_summary!W$26)</f>
        <v>1.341327349794037</v>
      </c>
      <c r="X15" s="134">
        <f>IF(SER_hh_tesh!X15=0,0,SER_hh_tesh!X15/SER_summary!X$26)</f>
        <v>0.98024778247038746</v>
      </c>
      <c r="Y15" s="134">
        <f>IF(SER_hh_tesh!Y15=0,0,SER_hh_tesh!Y15/SER_summary!Y$26)</f>
        <v>0.88409822785209979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22.178329014449634</v>
      </c>
      <c r="C16" s="130">
        <f>IF(SER_hh_tesh!C16=0,0,SER_hh_tesh!C16/SER_summary!C$26)</f>
        <v>22.469960092130083</v>
      </c>
      <c r="D16" s="130">
        <f>IF(SER_hh_tesh!D16=0,0,SER_hh_tesh!D16/SER_summary!D$26)</f>
        <v>22.407372066571288</v>
      </c>
      <c r="E16" s="130">
        <f>IF(SER_hh_tesh!E16=0,0,SER_hh_tesh!E16/SER_summary!E$26)</f>
        <v>23.490172228362169</v>
      </c>
      <c r="F16" s="130">
        <f>IF(SER_hh_tesh!F16=0,0,SER_hh_tesh!F16/SER_summary!F$26)</f>
        <v>22.372487371909649</v>
      </c>
      <c r="G16" s="130">
        <f>IF(SER_hh_tesh!G16=0,0,SER_hh_tesh!G16/SER_summary!G$26)</f>
        <v>22.428487501232794</v>
      </c>
      <c r="H16" s="130">
        <f>IF(SER_hh_tesh!H16=0,0,SER_hh_tesh!H16/SER_summary!H$26)</f>
        <v>22.804379911963334</v>
      </c>
      <c r="I16" s="130">
        <f>IF(SER_hh_tesh!I16=0,0,SER_hh_tesh!I16/SER_summary!I$26)</f>
        <v>22.500205302399884</v>
      </c>
      <c r="J16" s="130">
        <f>IF(SER_hh_tesh!J16=0,0,SER_hh_tesh!J16/SER_summary!J$26)</f>
        <v>22.546597051475903</v>
      </c>
      <c r="K16" s="130">
        <f>IF(SER_hh_tesh!K16=0,0,SER_hh_tesh!K16/SER_summary!K$26)</f>
        <v>22.573868799766583</v>
      </c>
      <c r="L16" s="130">
        <f>IF(SER_hh_tesh!L16=0,0,SER_hh_tesh!L16/SER_summary!L$26)</f>
        <v>26.348732904010486</v>
      </c>
      <c r="M16" s="130">
        <f>IF(SER_hh_tesh!M16=0,0,SER_hh_tesh!M16/SER_summary!M$26)</f>
        <v>23.959364574856025</v>
      </c>
      <c r="N16" s="130">
        <f>IF(SER_hh_tesh!N16=0,0,SER_hh_tesh!N16/SER_summary!N$26)</f>
        <v>23.02038684367249</v>
      </c>
      <c r="O16" s="130">
        <f>IF(SER_hh_tesh!O16=0,0,SER_hh_tesh!O16/SER_summary!O$26)</f>
        <v>22.877171785185737</v>
      </c>
      <c r="P16" s="130">
        <f>IF(SER_hh_tesh!P16=0,0,SER_hh_tesh!P16/SER_summary!P$26)</f>
        <v>23.36929419092915</v>
      </c>
      <c r="Q16" s="130">
        <f>IF(SER_hh_tesh!Q16=0,0,SER_hh_tesh!Q16/SER_summary!Q$26)</f>
        <v>22.901165611997801</v>
      </c>
      <c r="R16" s="130">
        <f>IF(SER_hh_tesh!R16=0,0,SER_hh_tesh!R16/SER_summary!R$26)</f>
        <v>23.275467119719906</v>
      </c>
      <c r="S16" s="130">
        <f>IF(SER_hh_tesh!S16=0,0,SER_hh_tesh!S16/SER_summary!S$26)</f>
        <v>23.357660810901976</v>
      </c>
      <c r="T16" s="130">
        <f>IF(SER_hh_tesh!T16=0,0,SER_hh_tesh!T16/SER_summary!T$26)</f>
        <v>25.033228303800158</v>
      </c>
      <c r="U16" s="130">
        <f>IF(SER_hh_tesh!U16=0,0,SER_hh_tesh!U16/SER_summary!U$26)</f>
        <v>23.472714106101321</v>
      </c>
      <c r="V16" s="130">
        <f>IF(SER_hh_tesh!V16=0,0,SER_hh_tesh!V16/SER_summary!V$26)</f>
        <v>22.805741263458103</v>
      </c>
      <c r="W16" s="130">
        <f>IF(SER_hh_tesh!W16=0,0,SER_hh_tesh!W16/SER_summary!W$26)</f>
        <v>25.687398795954394</v>
      </c>
      <c r="X16" s="130">
        <f>IF(SER_hh_tesh!X16=0,0,SER_hh_tesh!X16/SER_summary!X$26)</f>
        <v>24.619088747888288</v>
      </c>
      <c r="Y16" s="130">
        <f>IF(SER_hh_tesh!Y16=0,0,SER_hh_tesh!Y16/SER_summary!Y$26)</f>
        <v>23.562395649350691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0</v>
      </c>
      <c r="C17" s="132">
        <f>IF(SER_hh_tesh!C17=0,0,SER_hh_tesh!C17/SER_summary!C$26)</f>
        <v>0</v>
      </c>
      <c r="D17" s="132">
        <f>IF(SER_hh_tesh!D17=0,0,SER_hh_tesh!D17/SER_summary!D$26)</f>
        <v>0</v>
      </c>
      <c r="E17" s="132">
        <f>IF(SER_hh_tesh!E17=0,0,SER_hh_tesh!E17/SER_summary!E$26)</f>
        <v>0</v>
      </c>
      <c r="F17" s="132">
        <f>IF(SER_hh_tesh!F17=0,0,SER_hh_tesh!F17/SER_summary!F$26)</f>
        <v>0</v>
      </c>
      <c r="G17" s="132">
        <f>IF(SER_hh_tesh!G17=0,0,SER_hh_tesh!G17/SER_summary!G$26)</f>
        <v>0</v>
      </c>
      <c r="H17" s="132">
        <f>IF(SER_hh_tesh!H17=0,0,SER_hh_tesh!H17/SER_summary!H$26)</f>
        <v>0</v>
      </c>
      <c r="I17" s="132">
        <f>IF(SER_hh_tesh!I17=0,0,SER_hh_tesh!I17/SER_summary!I$26)</f>
        <v>0</v>
      </c>
      <c r="J17" s="132">
        <f>IF(SER_hh_tesh!J17=0,0,SER_hh_tesh!J17/SER_summary!J$26)</f>
        <v>0</v>
      </c>
      <c r="K17" s="132">
        <f>IF(SER_hh_tesh!K17=0,0,SER_hh_tesh!K17/SER_summary!K$26)</f>
        <v>0</v>
      </c>
      <c r="L17" s="132">
        <f>IF(SER_hh_tesh!L17=0,0,SER_hh_tesh!L17/SER_summary!L$26)</f>
        <v>0</v>
      </c>
      <c r="M17" s="132">
        <f>IF(SER_hh_tesh!M17=0,0,SER_hh_tesh!M17/SER_summary!M$26)</f>
        <v>0</v>
      </c>
      <c r="N17" s="132">
        <f>IF(SER_hh_tesh!N17=0,0,SER_hh_tesh!N17/SER_summary!N$26)</f>
        <v>0</v>
      </c>
      <c r="O17" s="132">
        <f>IF(SER_hh_tesh!O17=0,0,SER_hh_tesh!O17/SER_summary!O$26)</f>
        <v>0</v>
      </c>
      <c r="P17" s="132">
        <f>IF(SER_hh_tesh!P17=0,0,SER_hh_tesh!P17/SER_summary!P$26)</f>
        <v>0</v>
      </c>
      <c r="Q17" s="132">
        <f>IF(SER_hh_tesh!Q17=0,0,SER_hh_tesh!Q17/SER_summary!Q$26)</f>
        <v>0</v>
      </c>
      <c r="R17" s="132">
        <f>IF(SER_hh_tesh!R17=0,0,SER_hh_tesh!R17/SER_summary!R$26)</f>
        <v>0</v>
      </c>
      <c r="S17" s="132">
        <f>IF(SER_hh_tesh!S17=0,0,SER_hh_tesh!S17/SER_summary!S$26)</f>
        <v>0</v>
      </c>
      <c r="T17" s="132">
        <f>IF(SER_hh_tesh!T17=0,0,SER_hh_tesh!T17/SER_summary!T$26)</f>
        <v>0</v>
      </c>
      <c r="U17" s="132">
        <f>IF(SER_hh_tesh!U17=0,0,SER_hh_tesh!U17/SER_summary!U$26)</f>
        <v>0</v>
      </c>
      <c r="V17" s="132">
        <f>IF(SER_hh_tesh!V17=0,0,SER_hh_tesh!V17/SER_summary!V$26)</f>
        <v>0</v>
      </c>
      <c r="W17" s="132">
        <f>IF(SER_hh_tesh!W17=0,0,SER_hh_tesh!W17/SER_summary!W$26)</f>
        <v>0</v>
      </c>
      <c r="X17" s="132">
        <f>IF(SER_hh_tesh!X17=0,0,SER_hh_tesh!X17/SER_summary!X$26)</f>
        <v>0</v>
      </c>
      <c r="Y17" s="132">
        <f>IF(SER_hh_tesh!Y17=0,0,SER_hh_tesh!Y17/SER_summary!Y$26)</f>
        <v>0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22.178329014449634</v>
      </c>
      <c r="C18" s="132">
        <f>IF(SER_hh_tesh!C18=0,0,SER_hh_tesh!C18/SER_summary!C$26)</f>
        <v>22.469960092130083</v>
      </c>
      <c r="D18" s="132">
        <f>IF(SER_hh_tesh!D18=0,0,SER_hh_tesh!D18/SER_summary!D$26)</f>
        <v>22.407372066571288</v>
      </c>
      <c r="E18" s="132">
        <f>IF(SER_hh_tesh!E18=0,0,SER_hh_tesh!E18/SER_summary!E$26)</f>
        <v>23.490172228362169</v>
      </c>
      <c r="F18" s="132">
        <f>IF(SER_hh_tesh!F18=0,0,SER_hh_tesh!F18/SER_summary!F$26)</f>
        <v>22.372487371909649</v>
      </c>
      <c r="G18" s="132">
        <f>IF(SER_hh_tesh!G18=0,0,SER_hh_tesh!G18/SER_summary!G$26)</f>
        <v>22.428487501232794</v>
      </c>
      <c r="H18" s="132">
        <f>IF(SER_hh_tesh!H18=0,0,SER_hh_tesh!H18/SER_summary!H$26)</f>
        <v>22.804379911963334</v>
      </c>
      <c r="I18" s="132">
        <f>IF(SER_hh_tesh!I18=0,0,SER_hh_tesh!I18/SER_summary!I$26)</f>
        <v>22.500205302399884</v>
      </c>
      <c r="J18" s="132">
        <f>IF(SER_hh_tesh!J18=0,0,SER_hh_tesh!J18/SER_summary!J$26)</f>
        <v>22.546597051475903</v>
      </c>
      <c r="K18" s="132">
        <f>IF(SER_hh_tesh!K18=0,0,SER_hh_tesh!K18/SER_summary!K$26)</f>
        <v>22.573868799766583</v>
      </c>
      <c r="L18" s="132">
        <f>IF(SER_hh_tesh!L18=0,0,SER_hh_tesh!L18/SER_summary!L$26)</f>
        <v>26.348732904010486</v>
      </c>
      <c r="M18" s="132">
        <f>IF(SER_hh_tesh!M18=0,0,SER_hh_tesh!M18/SER_summary!M$26)</f>
        <v>23.959364574856025</v>
      </c>
      <c r="N18" s="132">
        <f>IF(SER_hh_tesh!N18=0,0,SER_hh_tesh!N18/SER_summary!N$26)</f>
        <v>23.02038684367249</v>
      </c>
      <c r="O18" s="132">
        <f>IF(SER_hh_tesh!O18=0,0,SER_hh_tesh!O18/SER_summary!O$26)</f>
        <v>22.877171785185737</v>
      </c>
      <c r="P18" s="132">
        <f>IF(SER_hh_tesh!P18=0,0,SER_hh_tesh!P18/SER_summary!P$26)</f>
        <v>23.36929419092915</v>
      </c>
      <c r="Q18" s="132">
        <f>IF(SER_hh_tesh!Q18=0,0,SER_hh_tesh!Q18/SER_summary!Q$26)</f>
        <v>22.901165611997801</v>
      </c>
      <c r="R18" s="132">
        <f>IF(SER_hh_tesh!R18=0,0,SER_hh_tesh!R18/SER_summary!R$26)</f>
        <v>23.275467119719906</v>
      </c>
      <c r="S18" s="132">
        <f>IF(SER_hh_tesh!S18=0,0,SER_hh_tesh!S18/SER_summary!S$26)</f>
        <v>23.357660810901976</v>
      </c>
      <c r="T18" s="132">
        <f>IF(SER_hh_tesh!T18=0,0,SER_hh_tesh!T18/SER_summary!T$26)</f>
        <v>25.033228303800158</v>
      </c>
      <c r="U18" s="132">
        <f>IF(SER_hh_tesh!U18=0,0,SER_hh_tesh!U18/SER_summary!U$26)</f>
        <v>23.472714106101321</v>
      </c>
      <c r="V18" s="132">
        <f>IF(SER_hh_tesh!V18=0,0,SER_hh_tesh!V18/SER_summary!V$26)</f>
        <v>22.805741263458103</v>
      </c>
      <c r="W18" s="132">
        <f>IF(SER_hh_tesh!W18=0,0,SER_hh_tesh!W18/SER_summary!W$26)</f>
        <v>25.687398795954394</v>
      </c>
      <c r="X18" s="132">
        <f>IF(SER_hh_tesh!X18=0,0,SER_hh_tesh!X18/SER_summary!X$26)</f>
        <v>24.619088747888288</v>
      </c>
      <c r="Y18" s="132">
        <f>IF(SER_hh_tesh!Y18=0,0,SER_hh_tesh!Y18/SER_summary!Y$26)</f>
        <v>23.562395649350691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19.611130231764221</v>
      </c>
      <c r="C19" s="130">
        <f>IF(SER_hh_tesh!C19=0,0,SER_hh_tesh!C19/SER_summary!C$26)</f>
        <v>19.260786007488662</v>
      </c>
      <c r="D19" s="130">
        <f>IF(SER_hh_tesh!D19=0,0,SER_hh_tesh!D19/SER_summary!D$26)</f>
        <v>18.735421826541945</v>
      </c>
      <c r="E19" s="130">
        <f>IF(SER_hh_tesh!E19=0,0,SER_hh_tesh!E19/SER_summary!E$26)</f>
        <v>18.659280315947669</v>
      </c>
      <c r="F19" s="130">
        <f>IF(SER_hh_tesh!F19=0,0,SER_hh_tesh!F19/SER_summary!F$26)</f>
        <v>18.186037025211476</v>
      </c>
      <c r="G19" s="130">
        <f>IF(SER_hh_tesh!G19=0,0,SER_hh_tesh!G19/SER_summary!G$26)</f>
        <v>18.300786872158241</v>
      </c>
      <c r="H19" s="130">
        <f>IF(SER_hh_tesh!H19=0,0,SER_hh_tesh!H19/SER_summary!H$26)</f>
        <v>17.86838586574811</v>
      </c>
      <c r="I19" s="130">
        <f>IF(SER_hh_tesh!I19=0,0,SER_hh_tesh!I19/SER_summary!I$26)</f>
        <v>17.178725519450612</v>
      </c>
      <c r="J19" s="130">
        <f>IF(SER_hh_tesh!J19=0,0,SER_hh_tesh!J19/SER_summary!J$26)</f>
        <v>17.516225478018285</v>
      </c>
      <c r="K19" s="130">
        <f>IF(SER_hh_tesh!K19=0,0,SER_hh_tesh!K19/SER_summary!K$26)</f>
        <v>17.556185010629232</v>
      </c>
      <c r="L19" s="130">
        <f>IF(SER_hh_tesh!L19=0,0,SER_hh_tesh!L19/SER_summary!L$26)</f>
        <v>17.565901828882467</v>
      </c>
      <c r="M19" s="130">
        <f>IF(SER_hh_tesh!M19=0,0,SER_hh_tesh!M19/SER_summary!M$26)</f>
        <v>17.998089426343753</v>
      </c>
      <c r="N19" s="130">
        <f>IF(SER_hh_tesh!N19=0,0,SER_hh_tesh!N19/SER_summary!N$26)</f>
        <v>18.061860103325635</v>
      </c>
      <c r="O19" s="130">
        <f>IF(SER_hh_tesh!O19=0,0,SER_hh_tesh!O19/SER_summary!O$26)</f>
        <v>18.140480680342012</v>
      </c>
      <c r="P19" s="130">
        <f>IF(SER_hh_tesh!P19=0,0,SER_hh_tesh!P19/SER_summary!P$26)</f>
        <v>18.179468985611042</v>
      </c>
      <c r="Q19" s="130">
        <f>IF(SER_hh_tesh!Q19=0,0,SER_hh_tesh!Q19/SER_summary!Q$26)</f>
        <v>18.504673997957482</v>
      </c>
      <c r="R19" s="130">
        <f>IF(SER_hh_tesh!R19=0,0,SER_hh_tesh!R19/SER_summary!R$26)</f>
        <v>18.298866085104866</v>
      </c>
      <c r="S19" s="130">
        <f>IF(SER_hh_tesh!S19=0,0,SER_hh_tesh!S19/SER_summary!S$26)</f>
        <v>18.418889066056696</v>
      </c>
      <c r="T19" s="130">
        <f>IF(SER_hh_tesh!T19=0,0,SER_hh_tesh!T19/SER_summary!T$26)</f>
        <v>18.575082906985227</v>
      </c>
      <c r="U19" s="130">
        <f>IF(SER_hh_tesh!U19=0,0,SER_hh_tesh!U19/SER_summary!U$26)</f>
        <v>19.028559535405869</v>
      </c>
      <c r="V19" s="130">
        <f>IF(SER_hh_tesh!V19=0,0,SER_hh_tesh!V19/SER_summary!V$26)</f>
        <v>18.284686882607176</v>
      </c>
      <c r="W19" s="130">
        <f>IF(SER_hh_tesh!W19=0,0,SER_hh_tesh!W19/SER_summary!W$26)</f>
        <v>19.811021761604355</v>
      </c>
      <c r="X19" s="130">
        <f>IF(SER_hh_tesh!X19=0,0,SER_hh_tesh!X19/SER_summary!X$26)</f>
        <v>20.40756971281769</v>
      </c>
      <c r="Y19" s="130">
        <f>IF(SER_hh_tesh!Y19=0,0,SER_hh_tesh!Y19/SER_summary!Y$26)</f>
        <v>22.269639506655579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0</v>
      </c>
      <c r="C21" s="132">
        <f>IF(SER_hh_tesh!C21=0,0,SER_hh_tesh!C21/SER_summary!C$26)</f>
        <v>0</v>
      </c>
      <c r="D21" s="132">
        <f>IF(SER_hh_tesh!D21=0,0,SER_hh_tesh!D21/SER_summary!D$26)</f>
        <v>0</v>
      </c>
      <c r="E21" s="132">
        <f>IF(SER_hh_tesh!E21=0,0,SER_hh_tesh!E21/SER_summary!E$26)</f>
        <v>0</v>
      </c>
      <c r="F21" s="132">
        <f>IF(SER_hh_tesh!F21=0,0,SER_hh_tesh!F21/SER_summary!F$26)</f>
        <v>0</v>
      </c>
      <c r="G21" s="132">
        <f>IF(SER_hh_tesh!G21=0,0,SER_hh_tesh!G21/SER_summary!G$26)</f>
        <v>0</v>
      </c>
      <c r="H21" s="132">
        <f>IF(SER_hh_tesh!H21=0,0,SER_hh_tesh!H21/SER_summary!H$26)</f>
        <v>0</v>
      </c>
      <c r="I21" s="132">
        <f>IF(SER_hh_tesh!I21=0,0,SER_hh_tesh!I21/SER_summary!I$26)</f>
        <v>0</v>
      </c>
      <c r="J21" s="132">
        <f>IF(SER_hh_tesh!J21=0,0,SER_hh_tesh!J21/SER_summary!J$26)</f>
        <v>0</v>
      </c>
      <c r="K21" s="132">
        <f>IF(SER_hh_tesh!K21=0,0,SER_hh_tesh!K21/SER_summary!K$26)</f>
        <v>0</v>
      </c>
      <c r="L21" s="132">
        <f>IF(SER_hh_tesh!L21=0,0,SER_hh_tesh!L21/SER_summary!L$26)</f>
        <v>0</v>
      </c>
      <c r="M21" s="132">
        <f>IF(SER_hh_tesh!M21=0,0,SER_hh_tesh!M21/SER_summary!M$26)</f>
        <v>0</v>
      </c>
      <c r="N21" s="132">
        <f>IF(SER_hh_tesh!N21=0,0,SER_hh_tesh!N21/SER_summary!N$26)</f>
        <v>0</v>
      </c>
      <c r="O21" s="132">
        <f>IF(SER_hh_tesh!O21=0,0,SER_hh_tesh!O21/SER_summary!O$26)</f>
        <v>0</v>
      </c>
      <c r="P21" s="132">
        <f>IF(SER_hh_tesh!P21=0,0,SER_hh_tesh!P21/SER_summary!P$26)</f>
        <v>0</v>
      </c>
      <c r="Q21" s="132">
        <f>IF(SER_hh_tesh!Q21=0,0,SER_hh_tesh!Q21/SER_summary!Q$26)</f>
        <v>0</v>
      </c>
      <c r="R21" s="132">
        <f>IF(SER_hh_tesh!R21=0,0,SER_hh_tesh!R21/SER_summary!R$26)</f>
        <v>0</v>
      </c>
      <c r="S21" s="132">
        <f>IF(SER_hh_tesh!S21=0,0,SER_hh_tesh!S21/SER_summary!S$26)</f>
        <v>0</v>
      </c>
      <c r="T21" s="132">
        <f>IF(SER_hh_tesh!T21=0,0,SER_hh_tesh!T21/SER_summary!T$26)</f>
        <v>0</v>
      </c>
      <c r="U21" s="132">
        <f>IF(SER_hh_tesh!U21=0,0,SER_hh_tesh!U21/SER_summary!U$26)</f>
        <v>0</v>
      </c>
      <c r="V21" s="132">
        <f>IF(SER_hh_tesh!V21=0,0,SER_hh_tesh!V21/SER_summary!V$26)</f>
        <v>0</v>
      </c>
      <c r="W21" s="132">
        <f>IF(SER_hh_tesh!W21=0,0,SER_hh_tesh!W21/SER_summary!W$26)</f>
        <v>0</v>
      </c>
      <c r="X21" s="132">
        <f>IF(SER_hh_tesh!X21=0,0,SER_hh_tesh!X21/SER_summary!X$26)</f>
        <v>0</v>
      </c>
      <c r="Y21" s="132">
        <f>IF(SER_hh_tesh!Y21=0,0,SER_hh_tesh!Y21/SER_summary!Y$26)</f>
        <v>0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19.566093673392484</v>
      </c>
      <c r="C22" s="132">
        <f>IF(SER_hh_tesh!C22=0,0,SER_hh_tesh!C22/SER_summary!C$26)</f>
        <v>19.784873250058634</v>
      </c>
      <c r="D22" s="132">
        <f>IF(SER_hh_tesh!D22=0,0,SER_hh_tesh!D22/SER_summary!D$26)</f>
        <v>19.793996122851777</v>
      </c>
      <c r="E22" s="132">
        <f>IF(SER_hh_tesh!E22=0,0,SER_hh_tesh!E22/SER_summary!E$26)</f>
        <v>17.495831361227957</v>
      </c>
      <c r="F22" s="132">
        <f>IF(SER_hh_tesh!F22=0,0,SER_hh_tesh!F22/SER_summary!F$26)</f>
        <v>17.007620010275041</v>
      </c>
      <c r="G22" s="132">
        <f>IF(SER_hh_tesh!G22=0,0,SER_hh_tesh!G22/SER_summary!G$26)</f>
        <v>17.904203062222617</v>
      </c>
      <c r="H22" s="132">
        <f>IF(SER_hh_tesh!H22=0,0,SER_hh_tesh!H22/SER_summary!H$26)</f>
        <v>17.494390364526726</v>
      </c>
      <c r="I22" s="132">
        <f>IF(SER_hh_tesh!I22=0,0,SER_hh_tesh!I22/SER_summary!I$26)</f>
        <v>17.197576576994113</v>
      </c>
      <c r="J22" s="132">
        <f>IF(SER_hh_tesh!J22=0,0,SER_hh_tesh!J22/SER_summary!J$26)</f>
        <v>17.69745148722841</v>
      </c>
      <c r="K22" s="132">
        <f>IF(SER_hh_tesh!K22=0,0,SER_hh_tesh!K22/SER_summary!K$26)</f>
        <v>17.536912481101051</v>
      </c>
      <c r="L22" s="132">
        <f>IF(SER_hh_tesh!L22=0,0,SER_hh_tesh!L22/SER_summary!L$26)</f>
        <v>17.591270246871531</v>
      </c>
      <c r="M22" s="132">
        <f>IF(SER_hh_tesh!M22=0,0,SER_hh_tesh!M22/SER_summary!M$26)</f>
        <v>17.89497850164145</v>
      </c>
      <c r="N22" s="132">
        <f>IF(SER_hh_tesh!N22=0,0,SER_hh_tesh!N22/SER_summary!N$26)</f>
        <v>18.002929775112158</v>
      </c>
      <c r="O22" s="132">
        <f>IF(SER_hh_tesh!O22=0,0,SER_hh_tesh!O22/SER_summary!O$26)</f>
        <v>18.205699007532502</v>
      </c>
      <c r="P22" s="132">
        <f>IF(SER_hh_tesh!P22=0,0,SER_hh_tesh!P22/SER_summary!P$26)</f>
        <v>18.44534940702653</v>
      </c>
      <c r="Q22" s="132">
        <f>IF(SER_hh_tesh!Q22=0,0,SER_hh_tesh!Q22/SER_summary!Q$26)</f>
        <v>18.806769057169021</v>
      </c>
      <c r="R22" s="132">
        <f>IF(SER_hh_tesh!R22=0,0,SER_hh_tesh!R22/SER_summary!R$26)</f>
        <v>17.925491161732349</v>
      </c>
      <c r="S22" s="132">
        <f>IF(SER_hh_tesh!S22=0,0,SER_hh_tesh!S22/SER_summary!S$26)</f>
        <v>18.611645506533492</v>
      </c>
      <c r="T22" s="132">
        <f>IF(SER_hh_tesh!T22=0,0,SER_hh_tesh!T22/SER_summary!T$26)</f>
        <v>20.205897023818803</v>
      </c>
      <c r="U22" s="132">
        <f>IF(SER_hh_tesh!U22=0,0,SER_hh_tesh!U22/SER_summary!U$26)</f>
        <v>16.680249434726893</v>
      </c>
      <c r="V22" s="132">
        <f>IF(SER_hh_tesh!V22=0,0,SER_hh_tesh!V22/SER_summary!V$26)</f>
        <v>18.050036924246189</v>
      </c>
      <c r="W22" s="132">
        <f>IF(SER_hh_tesh!W22=0,0,SER_hh_tesh!W22/SER_summary!W$26)</f>
        <v>18.355274807972066</v>
      </c>
      <c r="X22" s="132">
        <f>IF(SER_hh_tesh!X22=0,0,SER_hh_tesh!X22/SER_summary!X$26)</f>
        <v>20.286528307233464</v>
      </c>
      <c r="Y22" s="132">
        <f>IF(SER_hh_tesh!Y22=0,0,SER_hh_tesh!Y22/SER_summary!Y$26)</f>
        <v>23.273327726055467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13.533690324302027</v>
      </c>
      <c r="C23" s="132">
        <f>IF(SER_hh_tesh!C23=0,0,SER_hh_tesh!C23/SER_summary!C$26)</f>
        <v>21.865616970030342</v>
      </c>
      <c r="D23" s="132">
        <f>IF(SER_hh_tesh!D23=0,0,SER_hh_tesh!D23/SER_summary!D$26)</f>
        <v>19.896396361530861</v>
      </c>
      <c r="E23" s="132">
        <f>IF(SER_hh_tesh!E23=0,0,SER_hh_tesh!E23/SER_summary!E$26)</f>
        <v>18.839315380953543</v>
      </c>
      <c r="F23" s="132">
        <f>IF(SER_hh_tesh!F23=0,0,SER_hh_tesh!F23/SER_summary!F$26)</f>
        <v>18.166036512660789</v>
      </c>
      <c r="G23" s="132">
        <f>IF(SER_hh_tesh!G23=0,0,SER_hh_tesh!G23/SER_summary!G$26)</f>
        <v>18.033250422004222</v>
      </c>
      <c r="H23" s="132">
        <f>IF(SER_hh_tesh!H23=0,0,SER_hh_tesh!H23/SER_summary!H$26)</f>
        <v>17.928373698595525</v>
      </c>
      <c r="I23" s="132">
        <f>IF(SER_hh_tesh!I23=0,0,SER_hh_tesh!I23/SER_summary!I$26)</f>
        <v>17.576627168125405</v>
      </c>
      <c r="J23" s="132">
        <f>IF(SER_hh_tesh!J23=0,0,SER_hh_tesh!J23/SER_summary!J$26)</f>
        <v>17.418298818944741</v>
      </c>
      <c r="K23" s="132">
        <f>IF(SER_hh_tesh!K23=0,0,SER_hh_tesh!K23/SER_summary!K$26)</f>
        <v>17.268113776710649</v>
      </c>
      <c r="L23" s="132">
        <f>IF(SER_hh_tesh!L23=0,0,SER_hh_tesh!L23/SER_summary!L$26)</f>
        <v>16.433258022233598</v>
      </c>
      <c r="M23" s="132">
        <f>IF(SER_hh_tesh!M23=0,0,SER_hh_tesh!M23/SER_summary!M$26)</f>
        <v>17.712393402367276</v>
      </c>
      <c r="N23" s="132">
        <f>IF(SER_hh_tesh!N23=0,0,SER_hh_tesh!N23/SER_summary!N$26)</f>
        <v>15.765359056300854</v>
      </c>
      <c r="O23" s="132">
        <f>IF(SER_hh_tesh!O23=0,0,SER_hh_tesh!O23/SER_summary!O$26)</f>
        <v>17.626496843649146</v>
      </c>
      <c r="P23" s="132">
        <f>IF(SER_hh_tesh!P23=0,0,SER_hh_tesh!P23/SER_summary!P$26)</f>
        <v>19.877522171277789</v>
      </c>
      <c r="Q23" s="132">
        <f>IF(SER_hh_tesh!Q23=0,0,SER_hh_tesh!Q23/SER_summary!Q$26)</f>
        <v>18.615868215328057</v>
      </c>
      <c r="R23" s="132">
        <f>IF(SER_hh_tesh!R23=0,0,SER_hh_tesh!R23/SER_summary!R$26)</f>
        <v>18.103544633892358</v>
      </c>
      <c r="S23" s="132">
        <f>IF(SER_hh_tesh!S23=0,0,SER_hh_tesh!S23/SER_summary!S$26)</f>
        <v>18.304696611177022</v>
      </c>
      <c r="T23" s="132">
        <f>IF(SER_hh_tesh!T23=0,0,SER_hh_tesh!T23/SER_summary!T$26)</f>
        <v>18.818315875045823</v>
      </c>
      <c r="U23" s="132">
        <f>IF(SER_hh_tesh!U23=0,0,SER_hh_tesh!U23/SER_summary!U$26)</f>
        <v>19.510960376874095</v>
      </c>
      <c r="V23" s="132">
        <f>IF(SER_hh_tesh!V23=0,0,SER_hh_tesh!V23/SER_summary!V$26)</f>
        <v>19.672293021819414</v>
      </c>
      <c r="W23" s="132">
        <f>IF(SER_hh_tesh!W23=0,0,SER_hh_tesh!W23/SER_summary!W$26)</f>
        <v>20.195798318756754</v>
      </c>
      <c r="X23" s="132">
        <f>IF(SER_hh_tesh!X23=0,0,SER_hh_tesh!X23/SER_summary!X$26)</f>
        <v>20.737454573514349</v>
      </c>
      <c r="Y23" s="132">
        <f>IF(SER_hh_tesh!Y23=0,0,SER_hh_tesh!Y23/SER_summary!Y$26)</f>
        <v>20.333937777213286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0</v>
      </c>
      <c r="O24" s="132">
        <f>IF(SER_hh_tesh!O24=0,0,SER_hh_tesh!O24/SER_summary!O$26)</f>
        <v>0</v>
      </c>
      <c r="P24" s="132">
        <f>IF(SER_hh_tesh!P24=0,0,SER_hh_tesh!P24/SER_summary!P$26)</f>
        <v>0</v>
      </c>
      <c r="Q24" s="132">
        <f>IF(SER_hh_tesh!Q24=0,0,SER_hh_tesh!Q24/SER_summary!Q$26)</f>
        <v>0</v>
      </c>
      <c r="R24" s="132">
        <f>IF(SER_hh_tesh!R24=0,0,SER_hh_tesh!R24/SER_summary!R$26)</f>
        <v>0</v>
      </c>
      <c r="S24" s="132">
        <f>IF(SER_hh_tesh!S24=0,0,SER_hh_tesh!S24/SER_summary!S$26)</f>
        <v>0</v>
      </c>
      <c r="T24" s="132">
        <f>IF(SER_hh_tesh!T24=0,0,SER_hh_tesh!T24/SER_summary!T$26)</f>
        <v>0</v>
      </c>
      <c r="U24" s="132">
        <f>IF(SER_hh_tesh!U24=0,0,SER_hh_tesh!U24/SER_summary!U$26)</f>
        <v>0</v>
      </c>
      <c r="V24" s="132">
        <f>IF(SER_hh_tesh!V24=0,0,SER_hh_tesh!V24/SER_summary!V$26)</f>
        <v>0</v>
      </c>
      <c r="W24" s="132">
        <f>IF(SER_hh_tesh!W24=0,0,SER_hh_tesh!W24/SER_summary!W$26)</f>
        <v>0</v>
      </c>
      <c r="X24" s="132">
        <f>IF(SER_hh_tesh!X24=0,0,SER_hh_tesh!X24/SER_summary!X$26)</f>
        <v>0</v>
      </c>
      <c r="Y24" s="132">
        <f>IF(SER_hh_tesh!Y24=0,0,SER_hh_tesh!Y24/SER_summary!Y$26)</f>
        <v>0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19.138638168765464</v>
      </c>
      <c r="C25" s="132">
        <f>IF(SER_hh_tesh!C25=0,0,SER_hh_tesh!C25/SER_summary!C$26)</f>
        <v>19.483138975578651</v>
      </c>
      <c r="D25" s="132">
        <f>IF(SER_hh_tesh!D25=0,0,SER_hh_tesh!D25/SER_summary!D$26)</f>
        <v>18.849717050882532</v>
      </c>
      <c r="E25" s="132">
        <f>IF(SER_hh_tesh!E25=0,0,SER_hh_tesh!E25/SER_summary!E$26)</f>
        <v>18.352567673600507</v>
      </c>
      <c r="F25" s="132">
        <f>IF(SER_hh_tesh!F25=0,0,SER_hh_tesh!F25/SER_summary!F$26)</f>
        <v>18.024209600275753</v>
      </c>
      <c r="G25" s="132">
        <f>IF(SER_hh_tesh!G25=0,0,SER_hh_tesh!G25/SER_summary!G$26)</f>
        <v>18.19326739458829</v>
      </c>
      <c r="H25" s="132">
        <f>IF(SER_hh_tesh!H25=0,0,SER_hh_tesh!H25/SER_summary!H$26)</f>
        <v>17.825303552599266</v>
      </c>
      <c r="I25" s="132">
        <f>IF(SER_hh_tesh!I25=0,0,SER_hh_tesh!I25/SER_summary!I$26)</f>
        <v>17.620661931809874</v>
      </c>
      <c r="J25" s="132">
        <f>IF(SER_hh_tesh!J25=0,0,SER_hh_tesh!J25/SER_summary!J$26)</f>
        <v>17.370211484165029</v>
      </c>
      <c r="K25" s="132">
        <f>IF(SER_hh_tesh!K25=0,0,SER_hh_tesh!K25/SER_summary!K$26)</f>
        <v>17.754265835364425</v>
      </c>
      <c r="L25" s="132">
        <f>IF(SER_hh_tesh!L25=0,0,SER_hh_tesh!L25/SER_summary!L$26)</f>
        <v>17.727266069781461</v>
      </c>
      <c r="M25" s="132">
        <f>IF(SER_hh_tesh!M25=0,0,SER_hh_tesh!M25/SER_summary!M$26)</f>
        <v>17.993295489043927</v>
      </c>
      <c r="N25" s="132">
        <f>IF(SER_hh_tesh!N25=0,0,SER_hh_tesh!N25/SER_summary!N$26)</f>
        <v>18.072493904558144</v>
      </c>
      <c r="O25" s="132">
        <f>IF(SER_hh_tesh!O25=0,0,SER_hh_tesh!O25/SER_summary!O$26)</f>
        <v>18.270690439126412</v>
      </c>
      <c r="P25" s="132">
        <f>IF(SER_hh_tesh!P25=0,0,SER_hh_tesh!P25/SER_summary!P$26)</f>
        <v>18.210631856232919</v>
      </c>
      <c r="Q25" s="132">
        <f>IF(SER_hh_tesh!Q25=0,0,SER_hh_tesh!Q25/SER_summary!Q$26)</f>
        <v>18.301899539402395</v>
      </c>
      <c r="R25" s="132">
        <f>IF(SER_hh_tesh!R25=0,0,SER_hh_tesh!R25/SER_summary!R$26)</f>
        <v>18.377585331694306</v>
      </c>
      <c r="S25" s="132">
        <f>IF(SER_hh_tesh!S25=0,0,SER_hh_tesh!S25/SER_summary!S$26)</f>
        <v>18.532620669341309</v>
      </c>
      <c r="T25" s="132">
        <f>IF(SER_hh_tesh!T25=0,0,SER_hh_tesh!T25/SER_summary!T$26)</f>
        <v>18.840113185067988</v>
      </c>
      <c r="U25" s="132">
        <f>IF(SER_hh_tesh!U25=0,0,SER_hh_tesh!U25/SER_summary!U$26)</f>
        <v>19.094311129477386</v>
      </c>
      <c r="V25" s="132">
        <f>IF(SER_hh_tesh!V25=0,0,SER_hh_tesh!V25/SER_summary!V$26)</f>
        <v>16.787554576959565</v>
      </c>
      <c r="W25" s="132">
        <f>IF(SER_hh_tesh!W25=0,0,SER_hh_tesh!W25/SER_summary!W$26)</f>
        <v>19.44940007685647</v>
      </c>
      <c r="X25" s="132">
        <f>IF(SER_hh_tesh!X25=0,0,SER_hh_tesh!X25/SER_summary!X$26)</f>
        <v>21.284843904772828</v>
      </c>
      <c r="Y25" s="132">
        <f>IF(SER_hh_tesh!Y25=0,0,SER_hh_tesh!Y25/SER_summary!Y$26)</f>
        <v>22.211138651514233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20.398484951853778</v>
      </c>
      <c r="C26" s="65">
        <f>IF(SER_hh_tesh!C26=0,0,SER_hh_tesh!C26/SER_summary!C$26)</f>
        <v>18.647531149209502</v>
      </c>
      <c r="D26" s="65">
        <f>IF(SER_hh_tesh!D26=0,0,SER_hh_tesh!D26/SER_summary!D$26)</f>
        <v>18.215336653368407</v>
      </c>
      <c r="E26" s="65">
        <f>IF(SER_hh_tesh!E26=0,0,SER_hh_tesh!E26/SER_summary!E$26)</f>
        <v>19.105906064015404</v>
      </c>
      <c r="F26" s="65">
        <f>IF(SER_hh_tesh!F26=0,0,SER_hh_tesh!F26/SER_summary!F$26)</f>
        <v>18.513759748595959</v>
      </c>
      <c r="G26" s="65">
        <f>IF(SER_hh_tesh!G26=0,0,SER_hh_tesh!G26/SER_summary!G$26)</f>
        <v>18.459249999715812</v>
      </c>
      <c r="H26" s="65">
        <f>IF(SER_hh_tesh!H26=0,0,SER_hh_tesh!H26/SER_summary!H$26)</f>
        <v>17.941423023923893</v>
      </c>
      <c r="I26" s="65">
        <f>IF(SER_hh_tesh!I26=0,0,SER_hh_tesh!I26/SER_summary!I$26)</f>
        <v>16.857210410417675</v>
      </c>
      <c r="J26" s="65">
        <f>IF(SER_hh_tesh!J26=0,0,SER_hh_tesh!J26/SER_summary!J$26)</f>
        <v>17.6015214706592</v>
      </c>
      <c r="K26" s="65">
        <f>IF(SER_hh_tesh!K26=0,0,SER_hh_tesh!K26/SER_summary!K$26)</f>
        <v>17.449472090382635</v>
      </c>
      <c r="L26" s="65">
        <f>IF(SER_hh_tesh!L26=0,0,SER_hh_tesh!L26/SER_summary!L$26)</f>
        <v>17.592397408815998</v>
      </c>
      <c r="M26" s="65">
        <f>IF(SER_hh_tesh!M26=0,0,SER_hh_tesh!M26/SER_summary!M$26)</f>
        <v>18.058159345383263</v>
      </c>
      <c r="N26" s="65">
        <f>IF(SER_hh_tesh!N26=0,0,SER_hh_tesh!N26/SER_summary!N$26)</f>
        <v>18.47770342517984</v>
      </c>
      <c r="O26" s="65">
        <f>IF(SER_hh_tesh!O26=0,0,SER_hh_tesh!O26/SER_summary!O$26)</f>
        <v>18.158777265709432</v>
      </c>
      <c r="P26" s="65">
        <f>IF(SER_hh_tesh!P26=0,0,SER_hh_tesh!P26/SER_summary!P$26)</f>
        <v>17.60255039748365</v>
      </c>
      <c r="Q26" s="65">
        <f>IF(SER_hh_tesh!Q26=0,0,SER_hh_tesh!Q26/SER_summary!Q$26)</f>
        <v>18.575100013153094</v>
      </c>
      <c r="R26" s="65">
        <f>IF(SER_hh_tesh!R26=0,0,SER_hh_tesh!R26/SER_summary!R$26)</f>
        <v>18.359879645749448</v>
      </c>
      <c r="S26" s="65">
        <f>IF(SER_hh_tesh!S26=0,0,SER_hh_tesh!S26/SER_summary!S$26)</f>
        <v>18.363662387891811</v>
      </c>
      <c r="T26" s="65">
        <f>IF(SER_hh_tesh!T26=0,0,SER_hh_tesh!T26/SER_summary!T$26)</f>
        <v>18.136258281274774</v>
      </c>
      <c r="U26" s="65">
        <f>IF(SER_hh_tesh!U26=0,0,SER_hh_tesh!U26/SER_summary!U$26)</f>
        <v>18.982367803781571</v>
      </c>
      <c r="V26" s="65">
        <f>IF(SER_hh_tesh!V26=0,0,SER_hh_tesh!V26/SER_summary!V$26)</f>
        <v>18.652924636415239</v>
      </c>
      <c r="W26" s="65">
        <f>IF(SER_hh_tesh!W26=0,0,SER_hh_tesh!W26/SER_summary!W$26)</f>
        <v>19.98769347931373</v>
      </c>
      <c r="X26" s="65">
        <f>IF(SER_hh_tesh!X26=0,0,SER_hh_tesh!X26/SER_summary!X$26)</f>
        <v>19.817284628925787</v>
      </c>
      <c r="Y26" s="65">
        <f>IF(SER_hh_tesh!Y26=0,0,SER_hh_tesh!Y26/SER_summary!Y$26)</f>
        <v>22.705130140793507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</v>
      </c>
      <c r="C27" s="145">
        <f>IF(SER_hh_tesh!C27=0,0,SER_hh_tesh!C27/SER_summary!C$26)</f>
        <v>0</v>
      </c>
      <c r="D27" s="145">
        <f>IF(SER_hh_tesh!D27=0,0,SER_hh_tesh!D27/SER_summary!D$26)</f>
        <v>0</v>
      </c>
      <c r="E27" s="145">
        <f>IF(SER_hh_tesh!E27=0,0,SER_hh_tesh!E27/SER_summary!E$26)</f>
        <v>0</v>
      </c>
      <c r="F27" s="145">
        <f>IF(SER_hh_tesh!F27=0,0,SER_hh_tesh!F27/SER_summary!F$26)</f>
        <v>0</v>
      </c>
      <c r="G27" s="145">
        <f>IF(SER_hh_tesh!G27=0,0,SER_hh_tesh!G27/SER_summary!G$26)</f>
        <v>0</v>
      </c>
      <c r="H27" s="145">
        <f>IF(SER_hh_tesh!H27=0,0,SER_hh_tesh!H27/SER_summary!H$26)</f>
        <v>0</v>
      </c>
      <c r="I27" s="145">
        <f>IF(SER_hh_tesh!I27=0,0,SER_hh_tesh!I27/SER_summary!I$26)</f>
        <v>0</v>
      </c>
      <c r="J27" s="145">
        <f>IF(SER_hh_tesh!J27=0,0,SER_hh_tesh!J27/SER_summary!J$26)</f>
        <v>0</v>
      </c>
      <c r="K27" s="145">
        <f>IF(SER_hh_tesh!K27=0,0,SER_hh_tesh!K27/SER_summary!K$26)</f>
        <v>0</v>
      </c>
      <c r="L27" s="145">
        <f>IF(SER_hh_tesh!L27=0,0,SER_hh_tesh!L27/SER_summary!L$26)</f>
        <v>0</v>
      </c>
      <c r="M27" s="145">
        <f>IF(SER_hh_tesh!M27=0,0,SER_hh_tesh!M27/SER_summary!M$26)</f>
        <v>0</v>
      </c>
      <c r="N27" s="145">
        <f>IF(SER_hh_tesh!N27=0,0,SER_hh_tesh!N27/SER_summary!N$26)</f>
        <v>0</v>
      </c>
      <c r="O27" s="145">
        <f>IF(SER_hh_tesh!O27=0,0,SER_hh_tesh!O27/SER_summary!O$26)</f>
        <v>0</v>
      </c>
      <c r="P27" s="145">
        <f>IF(SER_hh_tesh!P27=0,0,SER_hh_tesh!P27/SER_summary!P$26)</f>
        <v>0</v>
      </c>
      <c r="Q27" s="145">
        <f>IF(SER_hh_tesh!Q27=0,0,SER_hh_tesh!Q27/SER_summary!Q$26)</f>
        <v>0</v>
      </c>
      <c r="R27" s="145">
        <f>IF(SER_hh_tesh!R27=0,0,SER_hh_tesh!R27/SER_summary!R$26)</f>
        <v>0</v>
      </c>
      <c r="S27" s="145">
        <f>IF(SER_hh_tesh!S27=0,0,SER_hh_tesh!S27/SER_summary!S$26)</f>
        <v>0</v>
      </c>
      <c r="T27" s="145">
        <f>IF(SER_hh_tesh!T27=0,0,SER_hh_tesh!T27/SER_summary!T$26)</f>
        <v>0</v>
      </c>
      <c r="U27" s="145">
        <f>IF(SER_hh_tesh!U27=0,0,SER_hh_tesh!U27/SER_summary!U$26)</f>
        <v>0</v>
      </c>
      <c r="V27" s="145">
        <f>IF(SER_hh_tesh!V27=0,0,SER_hh_tesh!V27/SER_summary!V$26)</f>
        <v>0</v>
      </c>
      <c r="W27" s="145">
        <f>IF(SER_hh_tesh!W27=0,0,SER_hh_tesh!W27/SER_summary!W$26)</f>
        <v>0</v>
      </c>
      <c r="X27" s="145">
        <f>IF(SER_hh_tesh!X27=0,0,SER_hh_tesh!X27/SER_summary!X$26)</f>
        <v>0</v>
      </c>
      <c r="Y27" s="145">
        <f>IF(SER_hh_tesh!Y27=0,0,SER_hh_tesh!Y27/SER_summary!Y$26)</f>
        <v>0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0</v>
      </c>
      <c r="C28" s="146">
        <f>IF(SER_hh_tesh!C28=0,0,SER_hh_tesh!C28/SER_summary!C$26)</f>
        <v>0</v>
      </c>
      <c r="D28" s="146">
        <f>IF(SER_hh_tesh!D28=0,0,SER_hh_tesh!D28/SER_summary!D$26)</f>
        <v>0</v>
      </c>
      <c r="E28" s="146">
        <f>IF(SER_hh_tesh!E28=0,0,SER_hh_tesh!E28/SER_summary!E$26)</f>
        <v>0</v>
      </c>
      <c r="F28" s="146">
        <f>IF(SER_hh_tesh!F28=0,0,SER_hh_tesh!F28/SER_summary!F$26)</f>
        <v>0</v>
      </c>
      <c r="G28" s="146">
        <f>IF(SER_hh_tesh!G28=0,0,SER_hh_tesh!G28/SER_summary!G$26)</f>
        <v>0</v>
      </c>
      <c r="H28" s="146">
        <f>IF(SER_hh_tesh!H28=0,0,SER_hh_tesh!H28/SER_summary!H$26)</f>
        <v>0</v>
      </c>
      <c r="I28" s="146">
        <f>IF(SER_hh_tesh!I28=0,0,SER_hh_tesh!I28/SER_summary!I$26)</f>
        <v>0</v>
      </c>
      <c r="J28" s="146">
        <f>IF(SER_hh_tesh!J28=0,0,SER_hh_tesh!J28/SER_summary!J$26)</f>
        <v>0</v>
      </c>
      <c r="K28" s="146">
        <f>IF(SER_hh_tesh!K28=0,0,SER_hh_tesh!K28/SER_summary!K$26)</f>
        <v>0</v>
      </c>
      <c r="L28" s="146">
        <f>IF(SER_hh_tesh!L28=0,0,SER_hh_tesh!L28/SER_summary!L$26)</f>
        <v>0</v>
      </c>
      <c r="M28" s="146">
        <f>IF(SER_hh_tesh!M28=0,0,SER_hh_tesh!M28/SER_summary!M$26)</f>
        <v>0</v>
      </c>
      <c r="N28" s="146">
        <f>IF(SER_hh_tesh!N28=0,0,SER_hh_tesh!N28/SER_summary!N$26)</f>
        <v>0</v>
      </c>
      <c r="O28" s="146">
        <f>IF(SER_hh_tesh!O28=0,0,SER_hh_tesh!O28/SER_summary!O$26)</f>
        <v>0</v>
      </c>
      <c r="P28" s="146">
        <f>IF(SER_hh_tesh!P28=0,0,SER_hh_tesh!P28/SER_summary!P$26)</f>
        <v>0</v>
      </c>
      <c r="Q28" s="146">
        <f>IF(SER_hh_tesh!Q28=0,0,SER_hh_tesh!Q28/SER_summary!Q$26)</f>
        <v>0</v>
      </c>
      <c r="R28" s="146">
        <f>IF(SER_hh_tesh!R28=0,0,SER_hh_tesh!R28/SER_summary!R$26)</f>
        <v>0</v>
      </c>
      <c r="S28" s="146">
        <f>IF(SER_hh_tesh!S28=0,0,SER_hh_tesh!S28/SER_summary!S$26)</f>
        <v>0</v>
      </c>
      <c r="T28" s="146">
        <f>IF(SER_hh_tesh!T28=0,0,SER_hh_tesh!T28/SER_summary!T$26)</f>
        <v>0</v>
      </c>
      <c r="U28" s="146">
        <f>IF(SER_hh_tesh!U28=0,0,SER_hh_tesh!U28/SER_summary!U$26)</f>
        <v>0</v>
      </c>
      <c r="V28" s="146">
        <f>IF(SER_hh_tesh!V28=0,0,SER_hh_tesh!V28/SER_summary!V$26)</f>
        <v>0</v>
      </c>
      <c r="W28" s="146">
        <f>IF(SER_hh_tesh!W28=0,0,SER_hh_tesh!W28/SER_summary!W$26)</f>
        <v>0</v>
      </c>
      <c r="X28" s="146">
        <f>IF(SER_hh_tesh!X28=0,0,SER_hh_tesh!X28/SER_summary!X$26)</f>
        <v>0</v>
      </c>
      <c r="Y28" s="146">
        <f>IF(SER_hh_tesh!Y28=0,0,SER_hh_tesh!Y28/SER_summary!Y$26)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19.935283577576502</v>
      </c>
      <c r="C29" s="130">
        <f>IF(SER_hh_tesh!C29=0,0,SER_hh_tesh!C29/SER_summary!C$26)</f>
        <v>19.898421724481803</v>
      </c>
      <c r="D29" s="130">
        <f>IF(SER_hh_tesh!D29=0,0,SER_hh_tesh!D29/SER_summary!D$26)</f>
        <v>19.58286121204582</v>
      </c>
      <c r="E29" s="130">
        <f>IF(SER_hh_tesh!E29=0,0,SER_hh_tesh!E29/SER_summary!E$26)</f>
        <v>19.941996560249979</v>
      </c>
      <c r="F29" s="130">
        <f>IF(SER_hh_tesh!F29=0,0,SER_hh_tesh!F29/SER_summary!F$26)</f>
        <v>19.738235278038356</v>
      </c>
      <c r="G29" s="130">
        <f>IF(SER_hh_tesh!G29=0,0,SER_hh_tesh!G29/SER_summary!G$26)</f>
        <v>20.267135400231396</v>
      </c>
      <c r="H29" s="130">
        <f>IF(SER_hh_tesh!H29=0,0,SER_hh_tesh!H29/SER_summary!H$26)</f>
        <v>19.812590235216508</v>
      </c>
      <c r="I29" s="130">
        <f>IF(SER_hh_tesh!I29=0,0,SER_hh_tesh!I29/SER_summary!I$26)</f>
        <v>19.733134658223207</v>
      </c>
      <c r="J29" s="130">
        <f>IF(SER_hh_tesh!J29=0,0,SER_hh_tesh!J29/SER_summary!J$26)</f>
        <v>20.506185680740753</v>
      </c>
      <c r="K29" s="130">
        <f>IF(SER_hh_tesh!K29=0,0,SER_hh_tesh!K29/SER_summary!K$26)</f>
        <v>21.485567479579274</v>
      </c>
      <c r="L29" s="130">
        <f>IF(SER_hh_tesh!L29=0,0,SER_hh_tesh!L29/SER_summary!L$26)</f>
        <v>21.831474342487894</v>
      </c>
      <c r="M29" s="130">
        <f>IF(SER_hh_tesh!M29=0,0,SER_hh_tesh!M29/SER_summary!M$26)</f>
        <v>22.030681124582237</v>
      </c>
      <c r="N29" s="130">
        <f>IF(SER_hh_tesh!N29=0,0,SER_hh_tesh!N29/SER_summary!N$26)</f>
        <v>21.752689823755411</v>
      </c>
      <c r="O29" s="130">
        <f>IF(SER_hh_tesh!O29=0,0,SER_hh_tesh!O29/SER_summary!O$26)</f>
        <v>22.267041053503789</v>
      </c>
      <c r="P29" s="130">
        <f>IF(SER_hh_tesh!P29=0,0,SER_hh_tesh!P29/SER_summary!P$26)</f>
        <v>22.01788980101286</v>
      </c>
      <c r="Q29" s="130">
        <f>IF(SER_hh_tesh!Q29=0,0,SER_hh_tesh!Q29/SER_summary!Q$26)</f>
        <v>21.846006326278079</v>
      </c>
      <c r="R29" s="130">
        <f>IF(SER_hh_tesh!R29=0,0,SER_hh_tesh!R29/SER_summary!R$26)</f>
        <v>21.634876867524373</v>
      </c>
      <c r="S29" s="130">
        <f>IF(SER_hh_tesh!S29=0,0,SER_hh_tesh!S29/SER_summary!S$26)</f>
        <v>21.920636802084356</v>
      </c>
      <c r="T29" s="130">
        <f>IF(SER_hh_tesh!T29=0,0,SER_hh_tesh!T29/SER_summary!T$26)</f>
        <v>21.826111806831467</v>
      </c>
      <c r="U29" s="130">
        <f>IF(SER_hh_tesh!U29=0,0,SER_hh_tesh!U29/SER_summary!U$26)</f>
        <v>21.840090520420837</v>
      </c>
      <c r="V29" s="130">
        <f>IF(SER_hh_tesh!V29=0,0,SER_hh_tesh!V29/SER_summary!V$26)</f>
        <v>20.335081265411208</v>
      </c>
      <c r="W29" s="130">
        <f>IF(SER_hh_tesh!W29=0,0,SER_hh_tesh!W29/SER_summary!W$26)</f>
        <v>22.969157289317245</v>
      </c>
      <c r="X29" s="130">
        <f>IF(SER_hh_tesh!X29=0,0,SER_hh_tesh!X29/SER_summary!X$26)</f>
        <v>25.111797448185005</v>
      </c>
      <c r="Y29" s="130">
        <f>IF(SER_hh_tesh!Y29=0,0,SER_hh_tesh!Y29/SER_summary!Y$26)</f>
        <v>28.084271873292298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0</v>
      </c>
      <c r="C30" s="132">
        <f>IF(SER_hh_tesh!C30=0,0,SER_hh_tesh!C30/SER_summary!C$26)</f>
        <v>0</v>
      </c>
      <c r="D30" s="132">
        <f>IF(SER_hh_tesh!D30=0,0,SER_hh_tesh!D30/SER_summary!D$26)</f>
        <v>0</v>
      </c>
      <c r="E30" s="132">
        <f>IF(SER_hh_tesh!E30=0,0,SER_hh_tesh!E30/SER_summary!E$26)</f>
        <v>0</v>
      </c>
      <c r="F30" s="132">
        <f>IF(SER_hh_tesh!F30=0,0,SER_hh_tesh!F30/SER_summary!F$26)</f>
        <v>28.42295801275624</v>
      </c>
      <c r="G30" s="132">
        <f>IF(SER_hh_tesh!G30=0,0,SER_hh_tesh!G30/SER_summary!G$26)</f>
        <v>22.206664202548154</v>
      </c>
      <c r="H30" s="132">
        <f>IF(SER_hh_tesh!H30=0,0,SER_hh_tesh!H30/SER_summary!H$26)</f>
        <v>19.946709771042094</v>
      </c>
      <c r="I30" s="132">
        <f>IF(SER_hh_tesh!I30=0,0,SER_hh_tesh!I30/SER_summary!I$26)</f>
        <v>20.119220020536435</v>
      </c>
      <c r="J30" s="132">
        <f>IF(SER_hh_tesh!J30=0,0,SER_hh_tesh!J30/SER_summary!J$26)</f>
        <v>20.60441100922294</v>
      </c>
      <c r="K30" s="132">
        <f>IF(SER_hh_tesh!K30=0,0,SER_hh_tesh!K30/SER_summary!K$26)</f>
        <v>21.274163731251125</v>
      </c>
      <c r="L30" s="132">
        <f>IF(SER_hh_tesh!L30=0,0,SER_hh_tesh!L30/SER_summary!L$26)</f>
        <v>21.564630774554857</v>
      </c>
      <c r="M30" s="132">
        <f>IF(SER_hh_tesh!M30=0,0,SER_hh_tesh!M30/SER_summary!M$26)</f>
        <v>21.813835038898791</v>
      </c>
      <c r="N30" s="132">
        <f>IF(SER_hh_tesh!N30=0,0,SER_hh_tesh!N30/SER_summary!N$26)</f>
        <v>22.006409078790007</v>
      </c>
      <c r="O30" s="132">
        <f>IF(SER_hh_tesh!O30=0,0,SER_hh_tesh!O30/SER_summary!O$26)</f>
        <v>22.06321988378609</v>
      </c>
      <c r="P30" s="132">
        <f>IF(SER_hh_tesh!P30=0,0,SER_hh_tesh!P30/SER_summary!P$26)</f>
        <v>19.927321425789692</v>
      </c>
      <c r="Q30" s="132">
        <f>IF(SER_hh_tesh!Q30=0,0,SER_hh_tesh!Q30/SER_summary!Q$26)</f>
        <v>15.594438340459682</v>
      </c>
      <c r="R30" s="132">
        <f>IF(SER_hh_tesh!R30=0,0,SER_hh_tesh!R30/SER_summary!R$26)</f>
        <v>24.207984979774476</v>
      </c>
      <c r="S30" s="132">
        <f>IF(SER_hh_tesh!S30=0,0,SER_hh_tesh!S30/SER_summary!S$26)</f>
        <v>35.709085765091949</v>
      </c>
      <c r="T30" s="132">
        <f>IF(SER_hh_tesh!T30=0,0,SER_hh_tesh!T30/SER_summary!T$26)</f>
        <v>11.181460728541781</v>
      </c>
      <c r="U30" s="132">
        <f>IF(SER_hh_tesh!U30=0,0,SER_hh_tesh!U30/SER_summary!U$26)</f>
        <v>23.155143206454547</v>
      </c>
      <c r="V30" s="132">
        <f>IF(SER_hh_tesh!V30=0,0,SER_hh_tesh!V30/SER_summary!V$26)</f>
        <v>26.311881487888847</v>
      </c>
      <c r="W30" s="132">
        <f>IF(SER_hh_tesh!W30=0,0,SER_hh_tesh!W30/SER_summary!W$26)</f>
        <v>16.562104266965278</v>
      </c>
      <c r="X30" s="132">
        <f>IF(SER_hh_tesh!X30=0,0,SER_hh_tesh!X30/SER_summary!X$26)</f>
        <v>22.544865194996483</v>
      </c>
      <c r="Y30" s="132">
        <f>IF(SER_hh_tesh!Y30=0,0,SER_hh_tesh!Y30/SER_summary!Y$26)</f>
        <v>32.268212377713553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11.293531932146745</v>
      </c>
      <c r="C31" s="132">
        <f>IF(SER_hh_tesh!C31=0,0,SER_hh_tesh!C31/SER_summary!C$26)</f>
        <v>21.204179687913605</v>
      </c>
      <c r="D31" s="132">
        <f>IF(SER_hh_tesh!D31=0,0,SER_hh_tesh!D31/SER_summary!D$26)</f>
        <v>22.86483418297345</v>
      </c>
      <c r="E31" s="132">
        <f>IF(SER_hh_tesh!E31=0,0,SER_hh_tesh!E31/SER_summary!E$26)</f>
        <v>20.65916304835407</v>
      </c>
      <c r="F31" s="132">
        <f>IF(SER_hh_tesh!F31=0,0,SER_hh_tesh!F31/SER_summary!F$26)</f>
        <v>19.947775707024999</v>
      </c>
      <c r="G31" s="132">
        <f>IF(SER_hh_tesh!G31=0,0,SER_hh_tesh!G31/SER_summary!G$26)</f>
        <v>20.043748261833692</v>
      </c>
      <c r="H31" s="132">
        <f>IF(SER_hh_tesh!H31=0,0,SER_hh_tesh!H31/SER_summary!H$26)</f>
        <v>19.907439681890764</v>
      </c>
      <c r="I31" s="132">
        <f>IF(SER_hh_tesh!I31=0,0,SER_hh_tesh!I31/SER_summary!I$26)</f>
        <v>20.301788365439727</v>
      </c>
      <c r="J31" s="132">
        <f>IF(SER_hh_tesh!J31=0,0,SER_hh_tesh!J31/SER_summary!J$26)</f>
        <v>20.794447995790968</v>
      </c>
      <c r="K31" s="132">
        <f>IF(SER_hh_tesh!K31=0,0,SER_hh_tesh!K31/SER_summary!K$26)</f>
        <v>20.162827567129355</v>
      </c>
      <c r="L31" s="132">
        <f>IF(SER_hh_tesh!L31=0,0,SER_hh_tesh!L31/SER_summary!L$26)</f>
        <v>21.491998180745632</v>
      </c>
      <c r="M31" s="132">
        <f>IF(SER_hh_tesh!M31=0,0,SER_hh_tesh!M31/SER_summary!M$26)</f>
        <v>21.72858714695257</v>
      </c>
      <c r="N31" s="132">
        <f>IF(SER_hh_tesh!N31=0,0,SER_hh_tesh!N31/SER_summary!N$26)</f>
        <v>22.310654292600944</v>
      </c>
      <c r="O31" s="132">
        <f>IF(SER_hh_tesh!O31=0,0,SER_hh_tesh!O31/SER_summary!O$26)</f>
        <v>22.128974589950356</v>
      </c>
      <c r="P31" s="132">
        <f>IF(SER_hh_tesh!P31=0,0,SER_hh_tesh!P31/SER_summary!P$26)</f>
        <v>21.003031378180797</v>
      </c>
      <c r="Q31" s="132">
        <f>IF(SER_hh_tesh!Q31=0,0,SER_hh_tesh!Q31/SER_summary!Q$26)</f>
        <v>19.735918628422926</v>
      </c>
      <c r="R31" s="132">
        <f>IF(SER_hh_tesh!R31=0,0,SER_hh_tesh!R31/SER_summary!R$26)</f>
        <v>23.75755723303843</v>
      </c>
      <c r="S31" s="132">
        <f>IF(SER_hh_tesh!S31=0,0,SER_hh_tesh!S31/SER_summary!S$26)</f>
        <v>21.119890634362793</v>
      </c>
      <c r="T31" s="132">
        <f>IF(SER_hh_tesh!T31=0,0,SER_hh_tesh!T31/SER_summary!T$26)</f>
        <v>21.16725794830624</v>
      </c>
      <c r="U31" s="132">
        <f>IF(SER_hh_tesh!U31=0,0,SER_hh_tesh!U31/SER_summary!U$26)</f>
        <v>24.51167980694153</v>
      </c>
      <c r="V31" s="132">
        <f>IF(SER_hh_tesh!V31=0,0,SER_hh_tesh!V31/SER_summary!V$26)</f>
        <v>24.09919842850298</v>
      </c>
      <c r="W31" s="132">
        <f>IF(SER_hh_tesh!W31=0,0,SER_hh_tesh!W31/SER_summary!W$26)</f>
        <v>24.67247987119346</v>
      </c>
      <c r="X31" s="132">
        <f>IF(SER_hh_tesh!X31=0,0,SER_hh_tesh!X31/SER_summary!X$26)</f>
        <v>24.072576186359615</v>
      </c>
      <c r="Y31" s="132">
        <f>IF(SER_hh_tesh!Y31=0,0,SER_hh_tesh!Y31/SER_summary!Y$26)</f>
        <v>26.990251097003817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20.398117204346683</v>
      </c>
      <c r="C33" s="68">
        <f>IF(SER_hh_tesh!C33=0,0,SER_hh_tesh!C33/SER_summary!C$26)</f>
        <v>19.775409939658093</v>
      </c>
      <c r="D33" s="68">
        <f>IF(SER_hh_tesh!D33=0,0,SER_hh_tesh!D33/SER_summary!D$26)</f>
        <v>19.177127903669295</v>
      </c>
      <c r="E33" s="68">
        <f>IF(SER_hh_tesh!E33=0,0,SER_hh_tesh!E33/SER_summary!E$26)</f>
        <v>19.845409962977037</v>
      </c>
      <c r="F33" s="68">
        <f>IF(SER_hh_tesh!F33=0,0,SER_hh_tesh!F33/SER_summary!F$26)</f>
        <v>19.51225024562541</v>
      </c>
      <c r="G33" s="68">
        <f>IF(SER_hh_tesh!G33=0,0,SER_hh_tesh!G33/SER_summary!G$26)</f>
        <v>20.242055630784328</v>
      </c>
      <c r="H33" s="68">
        <f>IF(SER_hh_tesh!H33=0,0,SER_hh_tesh!H33/SER_summary!H$26)</f>
        <v>19.79762507684989</v>
      </c>
      <c r="I33" s="68">
        <f>IF(SER_hh_tesh!I33=0,0,SER_hh_tesh!I33/SER_summary!I$26)</f>
        <v>19.660922353546024</v>
      </c>
      <c r="J33" s="68">
        <f>IF(SER_hh_tesh!J33=0,0,SER_hh_tesh!J33/SER_summary!J$26)</f>
        <v>20.473430180274949</v>
      </c>
      <c r="K33" s="68">
        <f>IF(SER_hh_tesh!K33=0,0,SER_hh_tesh!K33/SER_summary!K$26)</f>
        <v>21.62157005711402</v>
      </c>
      <c r="L33" s="68">
        <f>IF(SER_hh_tesh!L33=0,0,SER_hh_tesh!L33/SER_summary!L$26)</f>
        <v>21.871239636005846</v>
      </c>
      <c r="M33" s="68">
        <f>IF(SER_hh_tesh!M33=0,0,SER_hh_tesh!M33/SER_summary!M$26)</f>
        <v>22.064840987129756</v>
      </c>
      <c r="N33" s="68">
        <f>IF(SER_hh_tesh!N33=0,0,SER_hh_tesh!N33/SER_summary!N$26)</f>
        <v>21.692212937286619</v>
      </c>
      <c r="O33" s="68">
        <f>IF(SER_hh_tesh!O33=0,0,SER_hh_tesh!O33/SER_summary!O$26)</f>
        <v>22.28560011132079</v>
      </c>
      <c r="P33" s="68">
        <f>IF(SER_hh_tesh!P33=0,0,SER_hh_tesh!P33/SER_summary!P$26)</f>
        <v>22.17970708296065</v>
      </c>
      <c r="Q33" s="68">
        <f>IF(SER_hh_tesh!Q33=0,0,SER_hh_tesh!Q33/SER_summary!Q$26)</f>
        <v>22.296556599229053</v>
      </c>
      <c r="R33" s="68">
        <f>IF(SER_hh_tesh!R33=0,0,SER_hh_tesh!R33/SER_summary!R$26)</f>
        <v>21.237001338173698</v>
      </c>
      <c r="S33" s="68">
        <f>IF(SER_hh_tesh!S33=0,0,SER_hh_tesh!S33/SER_summary!S$26)</f>
        <v>21.414479613022319</v>
      </c>
      <c r="T33" s="68">
        <f>IF(SER_hh_tesh!T33=0,0,SER_hh_tesh!T33/SER_summary!T$26)</f>
        <v>22.447632404872735</v>
      </c>
      <c r="U33" s="68">
        <f>IF(SER_hh_tesh!U33=0,0,SER_hh_tesh!U33/SER_summary!U$26)</f>
        <v>21.340434456317748</v>
      </c>
      <c r="V33" s="68">
        <f>IF(SER_hh_tesh!V33=0,0,SER_hh_tesh!V33/SER_summary!V$26)</f>
        <v>19.485714978897501</v>
      </c>
      <c r="W33" s="68">
        <f>IF(SER_hh_tesh!W33=0,0,SER_hh_tesh!W33/SER_summary!W$26)</f>
        <v>23.016638676029398</v>
      </c>
      <c r="X33" s="68">
        <f>IF(SER_hh_tesh!X33=0,0,SER_hh_tesh!X33/SER_summary!X$26)</f>
        <v>25.359536501260163</v>
      </c>
      <c r="Y33" s="68">
        <f>IF(SER_hh_tesh!Y33=0,0,SER_hh_tesh!Y33/SER_summary!Y$26)</f>
        <v>27.96845655534279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18.772520363046425</v>
      </c>
      <c r="C3" s="125">
        <f>IF(SER_hh_emih!C3=0,0,SER_hh_emih!C3/SER_summary!C$26)</f>
        <v>23.933448747143164</v>
      </c>
      <c r="D3" s="125">
        <f>IF(SER_hh_emih!D3=0,0,SER_hh_emih!D3/SER_summary!D$26)</f>
        <v>18.574433822020794</v>
      </c>
      <c r="E3" s="125">
        <f>IF(SER_hh_emih!E3=0,0,SER_hh_emih!E3/SER_summary!E$26)</f>
        <v>23.538908685135002</v>
      </c>
      <c r="F3" s="125">
        <f>IF(SER_hh_emih!F3=0,0,SER_hh_emih!F3/SER_summary!F$26)</f>
        <v>22.130598759105482</v>
      </c>
      <c r="G3" s="125">
        <f>IF(SER_hh_emih!G3=0,0,SER_hh_emih!G3/SER_summary!G$26)</f>
        <v>20.373901032441299</v>
      </c>
      <c r="H3" s="125">
        <f>IF(SER_hh_emih!H3=0,0,SER_hh_emih!H3/SER_summary!H$26)</f>
        <v>16.829705373635534</v>
      </c>
      <c r="I3" s="125">
        <f>IF(SER_hh_emih!I3=0,0,SER_hh_emih!I3/SER_summary!I$26)</f>
        <v>16.023018460641698</v>
      </c>
      <c r="J3" s="125">
        <f>IF(SER_hh_emih!J3=0,0,SER_hh_emih!J3/SER_summary!J$26)</f>
        <v>14.168453862122917</v>
      </c>
      <c r="K3" s="125">
        <f>IF(SER_hh_emih!K3=0,0,SER_hh_emih!K3/SER_summary!K$26)</f>
        <v>12.500979029713186</v>
      </c>
      <c r="L3" s="125">
        <f>IF(SER_hh_emih!L3=0,0,SER_hh_emih!L3/SER_summary!L$26)</f>
        <v>11.662202153279152</v>
      </c>
      <c r="M3" s="125">
        <f>IF(SER_hh_emih!M3=0,0,SER_hh_emih!M3/SER_summary!M$26)</f>
        <v>14.113320301361723</v>
      </c>
      <c r="N3" s="125">
        <f>IF(SER_hh_emih!N3=0,0,SER_hh_emih!N3/SER_summary!N$26)</f>
        <v>14.747947696999375</v>
      </c>
      <c r="O3" s="125">
        <f>IF(SER_hh_emih!O3=0,0,SER_hh_emih!O3/SER_summary!O$26)</f>
        <v>15.554814359039458</v>
      </c>
      <c r="P3" s="125">
        <f>IF(SER_hh_emih!P3=0,0,SER_hh_emih!P3/SER_summary!P$26)</f>
        <v>16.760461218731304</v>
      </c>
      <c r="Q3" s="125">
        <f>IF(SER_hh_emih!Q3=0,0,SER_hh_emih!Q3/SER_summary!Q$26)</f>
        <v>17.378476572227463</v>
      </c>
      <c r="R3" s="125">
        <f>IF(SER_hh_emih!R3=0,0,SER_hh_emih!R3/SER_summary!R$26)</f>
        <v>17.28148289500081</v>
      </c>
      <c r="S3" s="125">
        <f>IF(SER_hh_emih!S3=0,0,SER_hh_emih!S3/SER_summary!S$26)</f>
        <v>16.136026822289569</v>
      </c>
      <c r="T3" s="125">
        <f>IF(SER_hh_emih!T3=0,0,SER_hh_emih!T3/SER_summary!T$26)</f>
        <v>16.257859587258359</v>
      </c>
      <c r="U3" s="125">
        <f>IF(SER_hh_emih!U3=0,0,SER_hh_emih!U3/SER_summary!U$26)</f>
        <v>14.340480707249309</v>
      </c>
      <c r="V3" s="125">
        <f>IF(SER_hh_emih!V3=0,0,SER_hh_emih!V3/SER_summary!V$26)</f>
        <v>14.477135972344339</v>
      </c>
      <c r="W3" s="125">
        <f>IF(SER_hh_emih!W3=0,0,SER_hh_emih!W3/SER_summary!W$26)</f>
        <v>15.027245847686396</v>
      </c>
      <c r="X3" s="125">
        <f>IF(SER_hh_emih!X3=0,0,SER_hh_emih!X3/SER_summary!X$26)</f>
        <v>10.841958249007421</v>
      </c>
      <c r="Y3" s="125">
        <f>IF(SER_hh_emih!Y3=0,0,SER_hh_emih!Y3/SER_summary!Y$26)</f>
        <v>10.553422140413543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16.409226091512028</v>
      </c>
      <c r="C4" s="130">
        <f>IF(SER_hh_emih!C4=0,0,SER_hh_emih!C4/SER_summary!C$26)</f>
        <v>20.993478775686299</v>
      </c>
      <c r="D4" s="130">
        <f>IF(SER_hh_emih!D4=0,0,SER_hh_emih!D4/SER_summary!D$26)</f>
        <v>15.673054085182862</v>
      </c>
      <c r="E4" s="130">
        <f>IF(SER_hh_emih!E4=0,0,SER_hh_emih!E4/SER_summary!E$26)</f>
        <v>21.11369891690191</v>
      </c>
      <c r="F4" s="130">
        <f>IF(SER_hh_emih!F4=0,0,SER_hh_emih!F4/SER_summary!F$26)</f>
        <v>19.739914337720293</v>
      </c>
      <c r="G4" s="130">
        <f>IF(SER_hh_emih!G4=0,0,SER_hh_emih!G4/SER_summary!G$26)</f>
        <v>18.165905383079675</v>
      </c>
      <c r="H4" s="130">
        <f>IF(SER_hh_emih!H4=0,0,SER_hh_emih!H4/SER_summary!H$26)</f>
        <v>14.805292101535466</v>
      </c>
      <c r="I4" s="130">
        <f>IF(SER_hh_emih!I4=0,0,SER_hh_emih!I4/SER_summary!I$26)</f>
        <v>14.112693985162821</v>
      </c>
      <c r="J4" s="130">
        <f>IF(SER_hh_emih!J4=0,0,SER_hh_emih!J4/SER_summary!J$26)</f>
        <v>12.236295980544639</v>
      </c>
      <c r="K4" s="130">
        <f>IF(SER_hh_emih!K4=0,0,SER_hh_emih!K4/SER_summary!K$26)</f>
        <v>10.636594807067086</v>
      </c>
      <c r="L4" s="130">
        <f>IF(SER_hh_emih!L4=0,0,SER_hh_emih!L4/SER_summary!L$26)</f>
        <v>9.7928974760228851</v>
      </c>
      <c r="M4" s="130">
        <f>IF(SER_hh_emih!M4=0,0,SER_hh_emih!M4/SER_summary!M$26)</f>
        <v>12.217350894601635</v>
      </c>
      <c r="N4" s="130">
        <f>IF(SER_hh_emih!N4=0,0,SER_hh_emih!N4/SER_summary!N$26)</f>
        <v>12.825106537068672</v>
      </c>
      <c r="O4" s="130">
        <f>IF(SER_hh_emih!O4=0,0,SER_hh_emih!O4/SER_summary!O$26)</f>
        <v>13.516918762071805</v>
      </c>
      <c r="P4" s="130">
        <f>IF(SER_hh_emih!P4=0,0,SER_hh_emih!P4/SER_summary!P$26)</f>
        <v>14.498439040318333</v>
      </c>
      <c r="Q4" s="130">
        <f>IF(SER_hh_emih!Q4=0,0,SER_hh_emih!Q4/SER_summary!Q$26)</f>
        <v>15.136528578345274</v>
      </c>
      <c r="R4" s="130">
        <f>IF(SER_hh_emih!R4=0,0,SER_hh_emih!R4/SER_summary!R$26)</f>
        <v>14.716498477222473</v>
      </c>
      <c r="S4" s="130">
        <f>IF(SER_hh_emih!S4=0,0,SER_hh_emih!S4/SER_summary!S$26)</f>
        <v>13.368083935646554</v>
      </c>
      <c r="T4" s="130">
        <f>IF(SER_hh_emih!T4=0,0,SER_hh_emih!T4/SER_summary!T$26)</f>
        <v>13.677369629409439</v>
      </c>
      <c r="U4" s="130">
        <f>IF(SER_hh_emih!U4=0,0,SER_hh_emih!U4/SER_summary!U$26)</f>
        <v>11.51035429168552</v>
      </c>
      <c r="V4" s="130">
        <f>IF(SER_hh_emih!V4=0,0,SER_hh_emih!V4/SER_summary!V$26)</f>
        <v>11.688195652288302</v>
      </c>
      <c r="W4" s="130">
        <f>IF(SER_hh_emih!W4=0,0,SER_hh_emih!W4/SER_summary!W$26)</f>
        <v>12.467166673259676</v>
      </c>
      <c r="X4" s="130">
        <f>IF(SER_hh_emih!X4=0,0,SER_hh_emih!X4/SER_summary!X$26)</f>
        <v>8.4676433967613374</v>
      </c>
      <c r="Y4" s="130">
        <f>IF(SER_hh_emih!Y4=0,0,SER_hh_emih!Y4/SER_summary!Y$26)</f>
        <v>8.0631525114953657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66.430020819291371</v>
      </c>
      <c r="C5" s="132">
        <f>IF(SER_hh_emih!C5=0,0,SER_hh_emih!C5/SER_summary!C$26)</f>
        <v>80.515321442295175</v>
      </c>
      <c r="D5" s="132">
        <f>IF(SER_hh_emih!D5=0,0,SER_hh_emih!D5/SER_summary!D$26)</f>
        <v>70.195464823074829</v>
      </c>
      <c r="E5" s="132">
        <f>IF(SER_hh_emih!E5=0,0,SER_hh_emih!E5/SER_summary!E$26)</f>
        <v>77.380443639331688</v>
      </c>
      <c r="F5" s="132">
        <f>IF(SER_hh_emih!F5=0,0,SER_hh_emih!F5/SER_summary!F$26)</f>
        <v>82.896780777118082</v>
      </c>
      <c r="G5" s="132">
        <f>IF(SER_hh_emih!G5=0,0,SER_hh_emih!G5/SER_summary!G$26)</f>
        <v>100.57795597016562</v>
      </c>
      <c r="H5" s="132">
        <f>IF(SER_hh_emih!H5=0,0,SER_hh_emih!H5/SER_summary!H$26)</f>
        <v>73.896621989271551</v>
      </c>
      <c r="I5" s="132">
        <f>IF(SER_hh_emih!I5=0,0,SER_hh_emih!I5/SER_summary!I$26)</f>
        <v>92.566603805273985</v>
      </c>
      <c r="J5" s="132">
        <f>IF(SER_hh_emih!J5=0,0,SER_hh_emih!J5/SER_summary!J$26)</f>
        <v>86.674127366952334</v>
      </c>
      <c r="K5" s="132">
        <f>IF(SER_hh_emih!K5=0,0,SER_hh_emih!K5/SER_summary!K$26)</f>
        <v>86.086609660690314</v>
      </c>
      <c r="L5" s="132">
        <f>IF(SER_hh_emih!L5=0,0,SER_hh_emih!L5/SER_summary!L$26)</f>
        <v>88.421784312709022</v>
      </c>
      <c r="M5" s="132">
        <f>IF(SER_hh_emih!M5=0,0,SER_hh_emih!M5/SER_summary!M$26)</f>
        <v>63.890433581401815</v>
      </c>
      <c r="N5" s="132">
        <f>IF(SER_hh_emih!N5=0,0,SER_hh_emih!N5/SER_summary!N$26)</f>
        <v>71.033387271913199</v>
      </c>
      <c r="O5" s="132">
        <f>IF(SER_hh_emih!O5=0,0,SER_hh_emih!O5/SER_summary!O$26)</f>
        <v>107.82729300958441</v>
      </c>
      <c r="P5" s="132">
        <f>IF(SER_hh_emih!P5=0,0,SER_hh_emih!P5/SER_summary!P$26)</f>
        <v>71.16450536567632</v>
      </c>
      <c r="Q5" s="132">
        <f>IF(SER_hh_emih!Q5=0,0,SER_hh_emih!Q5/SER_summary!Q$26)</f>
        <v>71.473631377957375</v>
      </c>
      <c r="R5" s="132">
        <f>IF(SER_hh_emih!R5=0,0,SER_hh_emih!R5/SER_summary!R$26)</f>
        <v>111.07034510031812</v>
      </c>
      <c r="S5" s="132">
        <f>IF(SER_hh_emih!S5=0,0,SER_hh_emih!S5/SER_summary!S$26)</f>
        <v>60.748115110713798</v>
      </c>
      <c r="T5" s="132">
        <f>IF(SER_hh_emih!T5=0,0,SER_hh_emih!T5/SER_summary!T$26)</f>
        <v>73.83247756215755</v>
      </c>
      <c r="U5" s="132">
        <f>IF(SER_hh_emih!U5=0,0,SER_hh_emih!U5/SER_summary!U$26)</f>
        <v>74.464158655589159</v>
      </c>
      <c r="V5" s="132">
        <f>IF(SER_hh_emih!V5=0,0,SER_hh_emih!V5/SER_summary!V$26)</f>
        <v>79.460519416953417</v>
      </c>
      <c r="W5" s="132">
        <f>IF(SER_hh_emih!W5=0,0,SER_hh_emih!W5/SER_summary!W$26)</f>
        <v>82.286689506382999</v>
      </c>
      <c r="X5" s="132">
        <f>IF(SER_hh_emih!X5=0,0,SER_hh_emih!X5/SER_summary!X$26)</f>
        <v>92.750503081763569</v>
      </c>
      <c r="Y5" s="132">
        <f>IF(SER_hh_emih!Y5=0,0,SER_hh_emih!Y5/SER_summary!Y$26)</f>
        <v>48.348529130531702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59.050635299196585</v>
      </c>
      <c r="C7" s="132">
        <f>IF(SER_hh_emih!C7=0,0,SER_hh_emih!C7/SER_summary!C$26)</f>
        <v>77.045279861017065</v>
      </c>
      <c r="D7" s="132">
        <f>IF(SER_hh_emih!D7=0,0,SER_hh_emih!D7/SER_summary!D$26)</f>
        <v>60.142109020627395</v>
      </c>
      <c r="E7" s="132">
        <f>IF(SER_hh_emih!E7=0,0,SER_hh_emih!E7/SER_summary!E$26)</f>
        <v>63.737107884635215</v>
      </c>
      <c r="F7" s="132">
        <f>IF(SER_hh_emih!F7=0,0,SER_hh_emih!F7/SER_summary!F$26)</f>
        <v>75.209444335703353</v>
      </c>
      <c r="G7" s="132">
        <f>IF(SER_hh_emih!G7=0,0,SER_hh_emih!G7/SER_summary!G$26)</f>
        <v>87.214698734848071</v>
      </c>
      <c r="H7" s="132">
        <f>IF(SER_hh_emih!H7=0,0,SER_hh_emih!H7/SER_summary!H$26)</f>
        <v>71.535928555041977</v>
      </c>
      <c r="I7" s="132">
        <f>IF(SER_hh_emih!I7=0,0,SER_hh_emih!I7/SER_summary!I$26)</f>
        <v>78.811548948261247</v>
      </c>
      <c r="J7" s="132">
        <f>IF(SER_hh_emih!J7=0,0,SER_hh_emih!J7/SER_summary!J$26)</f>
        <v>83.228400239377805</v>
      </c>
      <c r="K7" s="132">
        <f>IF(SER_hh_emih!K7=0,0,SER_hh_emih!K7/SER_summary!K$26)</f>
        <v>75.662078046825968</v>
      </c>
      <c r="L7" s="132">
        <f>IF(SER_hh_emih!L7=0,0,SER_hh_emih!L7/SER_summary!L$26)</f>
        <v>59.530522521339321</v>
      </c>
      <c r="M7" s="132">
        <f>IF(SER_hh_emih!M7=0,0,SER_hh_emih!M7/SER_summary!M$26)</f>
        <v>73.423670317825724</v>
      </c>
      <c r="N7" s="132">
        <f>IF(SER_hh_emih!N7=0,0,SER_hh_emih!N7/SER_summary!N$26)</f>
        <v>71.931543617927446</v>
      </c>
      <c r="O7" s="132">
        <f>IF(SER_hh_emih!O7=0,0,SER_hh_emih!O7/SER_summary!O$26)</f>
        <v>67.248048666049883</v>
      </c>
      <c r="P7" s="132">
        <f>IF(SER_hh_emih!P7=0,0,SER_hh_emih!P7/SER_summary!P$26)</f>
        <v>60.574958265575191</v>
      </c>
      <c r="Q7" s="132">
        <f>IF(SER_hh_emih!Q7=0,0,SER_hh_emih!Q7/SER_summary!Q$26)</f>
        <v>74.735130868254643</v>
      </c>
      <c r="R7" s="132">
        <f>IF(SER_hh_emih!R7=0,0,SER_hh_emih!R7/SER_summary!R$26)</f>
        <v>64.424712838309702</v>
      </c>
      <c r="S7" s="132">
        <f>IF(SER_hh_emih!S7=0,0,SER_hh_emih!S7/SER_summary!S$26)</f>
        <v>73.972762198500547</v>
      </c>
      <c r="T7" s="132">
        <f>IF(SER_hh_emih!T7=0,0,SER_hh_emih!T7/SER_summary!T$26)</f>
        <v>80.060250975040162</v>
      </c>
      <c r="U7" s="132">
        <f>IF(SER_hh_emih!U7=0,0,SER_hh_emih!U7/SER_summary!U$26)</f>
        <v>62.834757277776689</v>
      </c>
      <c r="V7" s="132">
        <f>IF(SER_hh_emih!V7=0,0,SER_hh_emih!V7/SER_summary!V$26)</f>
        <v>66.528682734170772</v>
      </c>
      <c r="W7" s="132">
        <f>IF(SER_hh_emih!W7=0,0,SER_hh_emih!W7/SER_summary!W$26)</f>
        <v>65.944730942487354</v>
      </c>
      <c r="X7" s="132">
        <f>IF(SER_hh_emih!X7=0,0,SER_hh_emih!X7/SER_summary!X$26)</f>
        <v>58.463093460546865</v>
      </c>
      <c r="Y7" s="132">
        <f>IF(SER_hh_emih!Y7=0,0,SER_hh_emih!Y7/SER_summary!Y$26)</f>
        <v>56.474853854176182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0</v>
      </c>
      <c r="C8" s="132">
        <f>IF(SER_hh_emih!C8=0,0,SER_hh_emih!C8/SER_summary!C$26)</f>
        <v>0</v>
      </c>
      <c r="D8" s="132">
        <f>IF(SER_hh_emih!D8=0,0,SER_hh_emih!D8/SER_summary!D$26)</f>
        <v>0</v>
      </c>
      <c r="E8" s="132">
        <f>IF(SER_hh_emih!E8=0,0,SER_hh_emih!E8/SER_summary!E$26)</f>
        <v>0</v>
      </c>
      <c r="F8" s="132">
        <f>IF(SER_hh_emih!F8=0,0,SER_hh_emih!F8/SER_summary!F$26)</f>
        <v>0</v>
      </c>
      <c r="G8" s="132">
        <f>IF(SER_hh_emih!G8=0,0,SER_hh_emih!G8/SER_summary!G$26)</f>
        <v>0</v>
      </c>
      <c r="H8" s="132">
        <f>IF(SER_hh_emih!H8=0,0,SER_hh_emih!H8/SER_summary!H$26)</f>
        <v>0</v>
      </c>
      <c r="I8" s="132">
        <f>IF(SER_hh_emih!I8=0,0,SER_hh_emih!I8/SER_summary!I$26)</f>
        <v>0</v>
      </c>
      <c r="J8" s="132">
        <f>IF(SER_hh_emih!J8=0,0,SER_hh_emih!J8/SER_summary!J$26)</f>
        <v>0</v>
      </c>
      <c r="K8" s="132">
        <f>IF(SER_hh_emih!K8=0,0,SER_hh_emih!K8/SER_summary!K$26)</f>
        <v>0</v>
      </c>
      <c r="L8" s="132">
        <f>IF(SER_hh_emih!L8=0,0,SER_hh_emih!L8/SER_summary!L$26)</f>
        <v>0</v>
      </c>
      <c r="M8" s="132">
        <f>IF(SER_hh_emih!M8=0,0,SER_hh_emih!M8/SER_summary!M$26)</f>
        <v>0</v>
      </c>
      <c r="N8" s="132">
        <f>IF(SER_hh_emih!N8=0,0,SER_hh_emih!N8/SER_summary!N$26)</f>
        <v>0</v>
      </c>
      <c r="O8" s="132">
        <f>IF(SER_hh_emih!O8=0,0,SER_hh_emih!O8/SER_summary!O$26)</f>
        <v>0</v>
      </c>
      <c r="P8" s="132">
        <f>IF(SER_hh_emih!P8=0,0,SER_hh_emih!P8/SER_summary!P$26)</f>
        <v>0</v>
      </c>
      <c r="Q8" s="132">
        <f>IF(SER_hh_emih!Q8=0,0,SER_hh_emih!Q8/SER_summary!Q$26)</f>
        <v>0</v>
      </c>
      <c r="R8" s="132">
        <f>IF(SER_hh_emih!R8=0,0,SER_hh_emih!R8/SER_summary!R$26)</f>
        <v>0</v>
      </c>
      <c r="S8" s="132">
        <f>IF(SER_hh_emih!S8=0,0,SER_hh_emih!S8/SER_summary!S$26)</f>
        <v>0</v>
      </c>
      <c r="T8" s="132">
        <f>IF(SER_hh_emih!T8=0,0,SER_hh_emih!T8/SER_summary!T$26)</f>
        <v>0</v>
      </c>
      <c r="U8" s="132">
        <f>IF(SER_hh_emih!U8=0,0,SER_hh_emih!U8/SER_summary!U$26)</f>
        <v>0</v>
      </c>
      <c r="V8" s="132">
        <f>IF(SER_hh_emih!V8=0,0,SER_hh_emih!V8/SER_summary!V$26)</f>
        <v>0</v>
      </c>
      <c r="W8" s="132">
        <f>IF(SER_hh_emih!W8=0,0,SER_hh_emih!W8/SER_summary!W$26)</f>
        <v>0</v>
      </c>
      <c r="X8" s="132">
        <f>IF(SER_hh_emih!X8=0,0,SER_hh_emih!X8/SER_summary!X$26)</f>
        <v>0</v>
      </c>
      <c r="Y8" s="132">
        <f>IF(SER_hh_emih!Y8=0,0,SER_hh_emih!Y8/SER_summary!Y$26)</f>
        <v>0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33.697343328072463</v>
      </c>
      <c r="C9" s="132">
        <f>IF(SER_hh_emih!C9=0,0,SER_hh_emih!C9/SER_summary!C$26)</f>
        <v>45.363639748524491</v>
      </c>
      <c r="D9" s="132">
        <f>IF(SER_hh_emih!D9=0,0,SER_hh_emih!D9/SER_summary!D$26)</f>
        <v>31.44195779244022</v>
      </c>
      <c r="E9" s="132">
        <f>IF(SER_hh_emih!E9=0,0,SER_hh_emih!E9/SER_summary!E$26)</f>
        <v>61.861733772654553</v>
      </c>
      <c r="F9" s="132">
        <f>IF(SER_hh_emih!F9=0,0,SER_hh_emih!F9/SER_summary!F$26)</f>
        <v>54.776593755382571</v>
      </c>
      <c r="G9" s="132">
        <f>IF(SER_hh_emih!G9=0,0,SER_hh_emih!G9/SER_summary!G$26)</f>
        <v>44.374569886989676</v>
      </c>
      <c r="H9" s="132">
        <f>IF(SER_hh_emih!H9=0,0,SER_hh_emih!H9/SER_summary!H$26)</f>
        <v>52.437289547207634</v>
      </c>
      <c r="I9" s="132">
        <f>IF(SER_hh_emih!I9=0,0,SER_hh_emih!I9/SER_summary!I$26)</f>
        <v>52.998169449338015</v>
      </c>
      <c r="J9" s="132">
        <f>IF(SER_hh_emih!J9=0,0,SER_hh_emih!J9/SER_summary!J$26)</f>
        <v>48.43207949124583</v>
      </c>
      <c r="K9" s="132">
        <f>IF(SER_hh_emih!K9=0,0,SER_hh_emih!K9/SER_summary!K$26)</f>
        <v>44.181263193294484</v>
      </c>
      <c r="L9" s="132">
        <f>IF(SER_hh_emih!L9=0,0,SER_hh_emih!L9/SER_summary!L$26)</f>
        <v>49.978499222065643</v>
      </c>
      <c r="M9" s="132">
        <f>IF(SER_hh_emih!M9=0,0,SER_hh_emih!M9/SER_summary!M$26)</f>
        <v>44.967974821896384</v>
      </c>
      <c r="N9" s="132">
        <f>IF(SER_hh_emih!N9=0,0,SER_hh_emih!N9/SER_summary!N$26)</f>
        <v>41.873549584021198</v>
      </c>
      <c r="O9" s="132">
        <f>IF(SER_hh_emih!O9=0,0,SER_hh_emih!O9/SER_summary!O$26)</f>
        <v>41.199039236174109</v>
      </c>
      <c r="P9" s="132">
        <f>IF(SER_hh_emih!P9=0,0,SER_hh_emih!P9/SER_summary!P$26)</f>
        <v>52.864890317433364</v>
      </c>
      <c r="Q9" s="132">
        <f>IF(SER_hh_emih!Q9=0,0,SER_hh_emih!Q9/SER_summary!Q$26)</f>
        <v>48.439871613666391</v>
      </c>
      <c r="R9" s="132">
        <f>IF(SER_hh_emih!R9=0,0,SER_hh_emih!R9/SER_summary!R$26)</f>
        <v>50.811701676149774</v>
      </c>
      <c r="S9" s="132">
        <f>IF(SER_hh_emih!S9=0,0,SER_hh_emih!S9/SER_summary!S$26)</f>
        <v>43.230093516072273</v>
      </c>
      <c r="T9" s="132">
        <f>IF(SER_hh_emih!T9=0,0,SER_hh_emih!T9/SER_summary!T$26)</f>
        <v>45.51463687668825</v>
      </c>
      <c r="U9" s="132">
        <f>IF(SER_hh_emih!U9=0,0,SER_hh_emih!U9/SER_summary!U$26)</f>
        <v>41.820048779144273</v>
      </c>
      <c r="V9" s="132">
        <f>IF(SER_hh_emih!V9=0,0,SER_hh_emih!V9/SER_summary!V$26)</f>
        <v>44.69676841746022</v>
      </c>
      <c r="W9" s="132">
        <f>IF(SER_hh_emih!W9=0,0,SER_hh_emih!W9/SER_summary!W$26)</f>
        <v>52.691594724937652</v>
      </c>
      <c r="X9" s="132">
        <f>IF(SER_hh_emih!X9=0,0,SER_hh_emih!X9/SER_summary!X$26)</f>
        <v>34.005127658937461</v>
      </c>
      <c r="Y9" s="132">
        <f>IF(SER_hh_emih!Y9=0,0,SER_hh_emih!Y9/SER_summary!Y$26)</f>
        <v>31.588554245995294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0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0</v>
      </c>
      <c r="K10" s="132">
        <f>IF(SER_hh_emih!K10=0,0,SER_hh_emih!K10/SER_summary!K$26)</f>
        <v>0</v>
      </c>
      <c r="L10" s="132">
        <f>IF(SER_hh_emih!L10=0,0,SER_hh_emih!L10/SER_summary!L$26)</f>
        <v>0</v>
      </c>
      <c r="M10" s="132">
        <f>IF(SER_hh_emih!M10=0,0,SER_hh_emih!M10/SER_summary!M$26)</f>
        <v>0</v>
      </c>
      <c r="N10" s="132">
        <f>IF(SER_hh_emih!N10=0,0,SER_hh_emih!N10/SER_summary!N$26)</f>
        <v>0</v>
      </c>
      <c r="O10" s="132">
        <f>IF(SER_hh_emih!O10=0,0,SER_hh_emih!O10/SER_summary!O$26)</f>
        <v>0</v>
      </c>
      <c r="P10" s="132">
        <f>IF(SER_hh_emih!P10=0,0,SER_hh_emih!P10/SER_summary!P$26)</f>
        <v>0</v>
      </c>
      <c r="Q10" s="132">
        <f>IF(SER_hh_emih!Q10=0,0,SER_hh_emih!Q10/SER_summary!Q$26)</f>
        <v>0</v>
      </c>
      <c r="R10" s="132">
        <f>IF(SER_hh_emih!R10=0,0,SER_hh_emih!R10/SER_summary!R$26)</f>
        <v>0</v>
      </c>
      <c r="S10" s="132">
        <f>IF(SER_hh_emih!S10=0,0,SER_hh_emih!S10/SER_summary!S$26)</f>
        <v>0</v>
      </c>
      <c r="T10" s="132">
        <f>IF(SER_hh_emih!T10=0,0,SER_hh_emih!T10/SER_summary!T$26)</f>
        <v>0</v>
      </c>
      <c r="U10" s="132">
        <f>IF(SER_hh_emih!U10=0,0,SER_hh_emih!U10/SER_summary!U$26)</f>
        <v>0</v>
      </c>
      <c r="V10" s="132">
        <f>IF(SER_hh_emih!V10=0,0,SER_hh_emih!V10/SER_summary!V$26)</f>
        <v>0</v>
      </c>
      <c r="W10" s="132">
        <f>IF(SER_hh_emih!W10=0,0,SER_hh_emih!W10/SER_summary!W$26)</f>
        <v>0</v>
      </c>
      <c r="X10" s="132">
        <f>IF(SER_hh_emih!X10=0,0,SER_hh_emih!X10/SER_summary!X$26)</f>
        <v>0</v>
      </c>
      <c r="Y10" s="132">
        <f>IF(SER_hh_emih!Y10=0,0,SER_hh_emih!Y10/SER_summary!Y$26)</f>
        <v>0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0</v>
      </c>
      <c r="C16" s="130">
        <f>IF(SER_hh_emih!C16=0,0,SER_hh_emih!C16/SER_summary!C$26)</f>
        <v>0</v>
      </c>
      <c r="D16" s="130">
        <f>IF(SER_hh_emih!D16=0,0,SER_hh_emih!D16/SER_summary!D$26)</f>
        <v>0</v>
      </c>
      <c r="E16" s="130">
        <f>IF(SER_hh_emih!E16=0,0,SER_hh_emih!E16/SER_summary!E$26)</f>
        <v>0</v>
      </c>
      <c r="F16" s="130">
        <f>IF(SER_hh_emih!F16=0,0,SER_hh_emih!F16/SER_summary!F$26)</f>
        <v>0</v>
      </c>
      <c r="G16" s="130">
        <f>IF(SER_hh_emih!G16=0,0,SER_hh_emih!G16/SER_summary!G$26)</f>
        <v>0</v>
      </c>
      <c r="H16" s="130">
        <f>IF(SER_hh_emih!H16=0,0,SER_hh_emih!H16/SER_summary!H$26)</f>
        <v>0</v>
      </c>
      <c r="I16" s="130">
        <f>IF(SER_hh_emih!I16=0,0,SER_hh_emih!I16/SER_summary!I$26)</f>
        <v>0</v>
      </c>
      <c r="J16" s="130">
        <f>IF(SER_hh_emih!J16=0,0,SER_hh_emih!J16/SER_summary!J$26)</f>
        <v>0</v>
      </c>
      <c r="K16" s="130">
        <f>IF(SER_hh_emih!K16=0,0,SER_hh_emih!K16/SER_summary!K$26)</f>
        <v>0</v>
      </c>
      <c r="L16" s="130">
        <f>IF(SER_hh_emih!L16=0,0,SER_hh_emih!L16/SER_summary!L$26)</f>
        <v>0</v>
      </c>
      <c r="M16" s="130">
        <f>IF(SER_hh_emih!M16=0,0,SER_hh_emih!M16/SER_summary!M$26)</f>
        <v>0</v>
      </c>
      <c r="N16" s="130">
        <f>IF(SER_hh_emih!N16=0,0,SER_hh_emih!N16/SER_summary!N$26)</f>
        <v>0</v>
      </c>
      <c r="O16" s="130">
        <f>IF(SER_hh_emih!O16=0,0,SER_hh_emih!O16/SER_summary!O$26)</f>
        <v>0</v>
      </c>
      <c r="P16" s="130">
        <f>IF(SER_hh_emih!P16=0,0,SER_hh_emih!P16/SER_summary!P$26)</f>
        <v>0</v>
      </c>
      <c r="Q16" s="130">
        <f>IF(SER_hh_emih!Q16=0,0,SER_hh_emih!Q16/SER_summary!Q$26)</f>
        <v>0</v>
      </c>
      <c r="R16" s="130">
        <f>IF(SER_hh_emih!R16=0,0,SER_hh_emih!R16/SER_summary!R$26)</f>
        <v>0</v>
      </c>
      <c r="S16" s="130">
        <f>IF(SER_hh_emih!S16=0,0,SER_hh_emih!S16/SER_summary!S$26)</f>
        <v>0</v>
      </c>
      <c r="T16" s="130">
        <f>IF(SER_hh_emih!T16=0,0,SER_hh_emih!T16/SER_summary!T$26)</f>
        <v>0</v>
      </c>
      <c r="U16" s="130">
        <f>IF(SER_hh_emih!U16=0,0,SER_hh_emih!U16/SER_summary!U$26)</f>
        <v>0</v>
      </c>
      <c r="V16" s="130">
        <f>IF(SER_hh_emih!V16=0,0,SER_hh_emih!V16/SER_summary!V$26)</f>
        <v>0</v>
      </c>
      <c r="W16" s="130">
        <f>IF(SER_hh_emih!W16=0,0,SER_hh_emih!W16/SER_summary!W$26)</f>
        <v>0</v>
      </c>
      <c r="X16" s="130">
        <f>IF(SER_hh_emih!X16=0,0,SER_hh_emih!X16/SER_summary!X$26)</f>
        <v>0</v>
      </c>
      <c r="Y16" s="130">
        <f>IF(SER_hh_emih!Y16=0,0,SER_hh_emih!Y16/SER_summary!Y$26)</f>
        <v>0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0</v>
      </c>
      <c r="C17" s="132">
        <f>IF(SER_hh_emih!C17=0,0,SER_hh_emih!C17/SER_summary!C$26)</f>
        <v>0</v>
      </c>
      <c r="D17" s="132">
        <f>IF(SER_hh_emih!D17=0,0,SER_hh_emih!D17/SER_summary!D$26)</f>
        <v>0</v>
      </c>
      <c r="E17" s="132">
        <f>IF(SER_hh_emih!E17=0,0,SER_hh_emih!E17/SER_summary!E$26)</f>
        <v>0</v>
      </c>
      <c r="F17" s="132">
        <f>IF(SER_hh_emih!F17=0,0,SER_hh_emih!F17/SER_summary!F$26)</f>
        <v>0</v>
      </c>
      <c r="G17" s="132">
        <f>IF(SER_hh_emih!G17=0,0,SER_hh_emih!G17/SER_summary!G$26)</f>
        <v>0</v>
      </c>
      <c r="H17" s="132">
        <f>IF(SER_hh_emih!H17=0,0,SER_hh_emih!H17/SER_summary!H$26)</f>
        <v>0</v>
      </c>
      <c r="I17" s="132">
        <f>IF(SER_hh_emih!I17=0,0,SER_hh_emih!I17/SER_summary!I$26)</f>
        <v>0</v>
      </c>
      <c r="J17" s="132">
        <f>IF(SER_hh_emih!J17=0,0,SER_hh_emih!J17/SER_summary!J$26)</f>
        <v>0</v>
      </c>
      <c r="K17" s="132">
        <f>IF(SER_hh_emih!K17=0,0,SER_hh_emih!K17/SER_summary!K$26)</f>
        <v>0</v>
      </c>
      <c r="L17" s="132">
        <f>IF(SER_hh_emih!L17=0,0,SER_hh_emih!L17/SER_summary!L$26)</f>
        <v>0</v>
      </c>
      <c r="M17" s="132">
        <f>IF(SER_hh_emih!M17=0,0,SER_hh_emih!M17/SER_summary!M$26)</f>
        <v>0</v>
      </c>
      <c r="N17" s="132">
        <f>IF(SER_hh_emih!N17=0,0,SER_hh_emih!N17/SER_summary!N$26)</f>
        <v>0</v>
      </c>
      <c r="O17" s="132">
        <f>IF(SER_hh_emih!O17=0,0,SER_hh_emih!O17/SER_summary!O$26)</f>
        <v>0</v>
      </c>
      <c r="P17" s="132">
        <f>IF(SER_hh_emih!P17=0,0,SER_hh_emih!P17/SER_summary!P$26)</f>
        <v>0</v>
      </c>
      <c r="Q17" s="132">
        <f>IF(SER_hh_emih!Q17=0,0,SER_hh_emih!Q17/SER_summary!Q$26)</f>
        <v>0</v>
      </c>
      <c r="R17" s="132">
        <f>IF(SER_hh_emih!R17=0,0,SER_hh_emih!R17/SER_summary!R$26)</f>
        <v>0</v>
      </c>
      <c r="S17" s="132">
        <f>IF(SER_hh_emih!S17=0,0,SER_hh_emih!S17/SER_summary!S$26)</f>
        <v>0</v>
      </c>
      <c r="T17" s="132">
        <f>IF(SER_hh_emih!T17=0,0,SER_hh_emih!T17/SER_summary!T$26)</f>
        <v>0</v>
      </c>
      <c r="U17" s="132">
        <f>IF(SER_hh_emih!U17=0,0,SER_hh_emih!U17/SER_summary!U$26)</f>
        <v>0</v>
      </c>
      <c r="V17" s="132">
        <f>IF(SER_hh_emih!V17=0,0,SER_hh_emih!V17/SER_summary!V$26)</f>
        <v>0</v>
      </c>
      <c r="W17" s="132">
        <f>IF(SER_hh_emih!W17=0,0,SER_hh_emih!W17/SER_summary!W$26)</f>
        <v>0</v>
      </c>
      <c r="X17" s="132">
        <f>IF(SER_hh_emih!X17=0,0,SER_hh_emih!X17/SER_summary!X$26)</f>
        <v>0</v>
      </c>
      <c r="Y17" s="132">
        <f>IF(SER_hh_emih!Y17=0,0,SER_hh_emih!Y17/SER_summary!Y$26)</f>
        <v>0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2.1503115698843196</v>
      </c>
      <c r="C19" s="130">
        <f>IF(SER_hh_emih!C19=0,0,SER_hh_emih!C19/SER_summary!C$26)</f>
        <v>2.2664782244508741</v>
      </c>
      <c r="D19" s="130">
        <f>IF(SER_hh_emih!D19=0,0,SER_hh_emih!D19/SER_summary!D$26)</f>
        <v>1.9754937431075958</v>
      </c>
      <c r="E19" s="130">
        <f>IF(SER_hh_emih!E19=0,0,SER_hh_emih!E19/SER_summary!E$26)</f>
        <v>1.5238487607943216</v>
      </c>
      <c r="F19" s="130">
        <f>IF(SER_hh_emih!F19=0,0,SER_hh_emih!F19/SER_summary!F$26)</f>
        <v>1.3092722486859918</v>
      </c>
      <c r="G19" s="130">
        <f>IF(SER_hh_emih!G19=0,0,SER_hh_emih!G19/SER_summary!G$26)</f>
        <v>1.1998743332579773</v>
      </c>
      <c r="H19" s="130">
        <f>IF(SER_hh_emih!H19=0,0,SER_hh_emih!H19/SER_summary!H$26)</f>
        <v>1.0933899147453685</v>
      </c>
      <c r="I19" s="130">
        <f>IF(SER_hh_emih!I19=0,0,SER_hh_emih!I19/SER_summary!I$26)</f>
        <v>1.0298873761047802</v>
      </c>
      <c r="J19" s="130">
        <f>IF(SER_hh_emih!J19=0,0,SER_hh_emih!J19/SER_summary!J$26)</f>
        <v>1.0551895883969744</v>
      </c>
      <c r="K19" s="130">
        <f>IF(SER_hh_emih!K19=0,0,SER_hh_emih!K19/SER_summary!K$26)</f>
        <v>1.044362007395282</v>
      </c>
      <c r="L19" s="130">
        <f>IF(SER_hh_emih!L19=0,0,SER_hh_emih!L19/SER_summary!L$26)</f>
        <v>1.0207361181755454</v>
      </c>
      <c r="M19" s="130">
        <f>IF(SER_hh_emih!M19=0,0,SER_hh_emih!M19/SER_summary!M$26)</f>
        <v>1.0566897624636338</v>
      </c>
      <c r="N19" s="130">
        <f>IF(SER_hh_emih!N19=0,0,SER_hh_emih!N19/SER_summary!N$26)</f>
        <v>1.0470883595740132</v>
      </c>
      <c r="O19" s="130">
        <f>IF(SER_hh_emih!O19=0,0,SER_hh_emih!O19/SER_summary!O$26)</f>
        <v>1.1809878866012951</v>
      </c>
      <c r="P19" s="130">
        <f>IF(SER_hh_emih!P19=0,0,SER_hh_emih!P19/SER_summary!P$26)</f>
        <v>1.3951391915682378</v>
      </c>
      <c r="Q19" s="130">
        <f>IF(SER_hh_emih!Q19=0,0,SER_hh_emih!Q19/SER_summary!Q$26)</f>
        <v>1.3802456820195514</v>
      </c>
      <c r="R19" s="130">
        <f>IF(SER_hh_emih!R19=0,0,SER_hh_emih!R19/SER_summary!R$26)</f>
        <v>1.3116189216437035</v>
      </c>
      <c r="S19" s="130">
        <f>IF(SER_hh_emih!S19=0,0,SER_hh_emih!S19/SER_summary!S$26)</f>
        <v>1.3584303776161681</v>
      </c>
      <c r="T19" s="130">
        <f>IF(SER_hh_emih!T19=0,0,SER_hh_emih!T19/SER_summary!T$26)</f>
        <v>1.4316853728267707</v>
      </c>
      <c r="U19" s="130">
        <f>IF(SER_hh_emih!U19=0,0,SER_hh_emih!U19/SER_summary!U$26)</f>
        <v>1.3543306161213986</v>
      </c>
      <c r="V19" s="130">
        <f>IF(SER_hh_emih!V19=0,0,SER_hh_emih!V19/SER_summary!V$26)</f>
        <v>1.3459817618909069</v>
      </c>
      <c r="W19" s="130">
        <f>IF(SER_hh_emih!W19=0,0,SER_hh_emih!W19/SER_summary!W$26)</f>
        <v>1.2619805237548569</v>
      </c>
      <c r="X19" s="130">
        <f>IF(SER_hh_emih!X19=0,0,SER_hh_emih!X19/SER_summary!X$26)</f>
        <v>1.1691150520144435</v>
      </c>
      <c r="Y19" s="130">
        <f>IF(SER_hh_emih!Y19=0,0,SER_hh_emih!Y19/SER_summary!Y$26)</f>
        <v>1.0668656800045713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0</v>
      </c>
      <c r="C21" s="132">
        <f>IF(SER_hh_emih!C21=0,0,SER_hh_emih!C21/SER_summary!C$26)</f>
        <v>0</v>
      </c>
      <c r="D21" s="132">
        <f>IF(SER_hh_emih!D21=0,0,SER_hh_emih!D21/SER_summary!D$26)</f>
        <v>0</v>
      </c>
      <c r="E21" s="132">
        <f>IF(SER_hh_emih!E21=0,0,SER_hh_emih!E21/SER_summary!E$26)</f>
        <v>0</v>
      </c>
      <c r="F21" s="132">
        <f>IF(SER_hh_emih!F21=0,0,SER_hh_emih!F21/SER_summary!F$26)</f>
        <v>0</v>
      </c>
      <c r="G21" s="132">
        <f>IF(SER_hh_emih!G21=0,0,SER_hh_emih!G21/SER_summary!G$26)</f>
        <v>0</v>
      </c>
      <c r="H21" s="132">
        <f>IF(SER_hh_emih!H21=0,0,SER_hh_emih!H21/SER_summary!H$26)</f>
        <v>0</v>
      </c>
      <c r="I21" s="132">
        <f>IF(SER_hh_emih!I21=0,0,SER_hh_emih!I21/SER_summary!I$26)</f>
        <v>0</v>
      </c>
      <c r="J21" s="132">
        <f>IF(SER_hh_emih!J21=0,0,SER_hh_emih!J21/SER_summary!J$26)</f>
        <v>0</v>
      </c>
      <c r="K21" s="132">
        <f>IF(SER_hh_emih!K21=0,0,SER_hh_emih!K21/SER_summary!K$26)</f>
        <v>0</v>
      </c>
      <c r="L21" s="132">
        <f>IF(SER_hh_emih!L21=0,0,SER_hh_emih!L21/SER_summary!L$26)</f>
        <v>0</v>
      </c>
      <c r="M21" s="132">
        <f>IF(SER_hh_emih!M21=0,0,SER_hh_emih!M21/SER_summary!M$26)</f>
        <v>0</v>
      </c>
      <c r="N21" s="132">
        <f>IF(SER_hh_emih!N21=0,0,SER_hh_emih!N21/SER_summary!N$26)</f>
        <v>0</v>
      </c>
      <c r="O21" s="132">
        <f>IF(SER_hh_emih!O21=0,0,SER_hh_emih!O21/SER_summary!O$26)</f>
        <v>0</v>
      </c>
      <c r="P21" s="132">
        <f>IF(SER_hh_emih!P21=0,0,SER_hh_emih!P21/SER_summary!P$26)</f>
        <v>0</v>
      </c>
      <c r="Q21" s="132">
        <f>IF(SER_hh_emih!Q21=0,0,SER_hh_emih!Q21/SER_summary!Q$26)</f>
        <v>0</v>
      </c>
      <c r="R21" s="132">
        <f>IF(SER_hh_emih!R21=0,0,SER_hh_emih!R21/SER_summary!R$26)</f>
        <v>0</v>
      </c>
      <c r="S21" s="132">
        <f>IF(SER_hh_emih!S21=0,0,SER_hh_emih!S21/SER_summary!S$26)</f>
        <v>0</v>
      </c>
      <c r="T21" s="132">
        <f>IF(SER_hh_emih!T21=0,0,SER_hh_emih!T21/SER_summary!T$26)</f>
        <v>0</v>
      </c>
      <c r="U21" s="132">
        <f>IF(SER_hh_emih!U21=0,0,SER_hh_emih!U21/SER_summary!U$26)</f>
        <v>0</v>
      </c>
      <c r="V21" s="132">
        <f>IF(SER_hh_emih!V21=0,0,SER_hh_emih!V21/SER_summary!V$26)</f>
        <v>0</v>
      </c>
      <c r="W21" s="132">
        <f>IF(SER_hh_emih!W21=0,0,SER_hh_emih!W21/SER_summary!W$26)</f>
        <v>0</v>
      </c>
      <c r="X21" s="132">
        <f>IF(SER_hh_emih!X21=0,0,SER_hh_emih!X21/SER_summary!X$26)</f>
        <v>0</v>
      </c>
      <c r="Y21" s="132">
        <f>IF(SER_hh_emih!Y21=0,0,SER_hh_emih!Y21/SER_summary!Y$26)</f>
        <v>0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10.923343383293936</v>
      </c>
      <c r="C22" s="132">
        <f>IF(SER_hh_emih!C22=0,0,SER_hh_emih!C22/SER_summary!C$26)</f>
        <v>11.014834400979327</v>
      </c>
      <c r="D22" s="132">
        <f>IF(SER_hh_emih!D22=0,0,SER_hh_emih!D22/SER_summary!D$26)</f>
        <v>10.968220508460433</v>
      </c>
      <c r="E22" s="132">
        <f>IF(SER_hh_emih!E22=0,0,SER_hh_emih!E22/SER_summary!E$26)</f>
        <v>9.6185016530091971</v>
      </c>
      <c r="F22" s="132">
        <f>IF(SER_hh_emih!F22=0,0,SER_hh_emih!F22/SER_summary!F$26)</f>
        <v>9.4162059477629327</v>
      </c>
      <c r="G22" s="132">
        <f>IF(SER_hh_emih!G22=0,0,SER_hh_emih!G22/SER_summary!G$26)</f>
        <v>9.7703254058643036</v>
      </c>
      <c r="H22" s="132">
        <f>IF(SER_hh_emih!H22=0,0,SER_hh_emih!H22/SER_summary!H$26)</f>
        <v>9.5573952051405531</v>
      </c>
      <c r="I22" s="132">
        <f>IF(SER_hh_emih!I22=0,0,SER_hh_emih!I22/SER_summary!I$26)</f>
        <v>9.3189020496862707</v>
      </c>
      <c r="J22" s="132">
        <f>IF(SER_hh_emih!J22=0,0,SER_hh_emih!J22/SER_summary!J$26)</f>
        <v>9.4768000113056203</v>
      </c>
      <c r="K22" s="132">
        <f>IF(SER_hh_emih!K22=0,0,SER_hh_emih!K22/SER_summary!K$26)</f>
        <v>9.2639008132210758</v>
      </c>
      <c r="L22" s="132">
        <f>IF(SER_hh_emih!L22=0,0,SER_hh_emih!L22/SER_summary!L$26)</f>
        <v>9.1777407654184202</v>
      </c>
      <c r="M22" s="132">
        <f>IF(SER_hh_emih!M22=0,0,SER_hh_emih!M22/SER_summary!M$26)</f>
        <v>9.1472144520863523</v>
      </c>
      <c r="N22" s="132">
        <f>IF(SER_hh_emih!N22=0,0,SER_hh_emih!N22/SER_summary!N$26)</f>
        <v>8.9656107328340742</v>
      </c>
      <c r="O22" s="132">
        <f>IF(SER_hh_emih!O22=0,0,SER_hh_emih!O22/SER_summary!O$26)</f>
        <v>8.8144259809994647</v>
      </c>
      <c r="P22" s="132">
        <f>IF(SER_hh_emih!P22=0,0,SER_hh_emih!P22/SER_summary!P$26)</f>
        <v>8.9097871020524178</v>
      </c>
      <c r="Q22" s="132">
        <f>IF(SER_hh_emih!Q22=0,0,SER_hh_emih!Q22/SER_summary!Q$26)</f>
        <v>9.0788883729279419</v>
      </c>
      <c r="R22" s="132">
        <f>IF(SER_hh_emih!R22=0,0,SER_hh_emih!R22/SER_summary!R$26)</f>
        <v>8.623141781325204</v>
      </c>
      <c r="S22" s="132">
        <f>IF(SER_hh_emih!S22=0,0,SER_hh_emih!S22/SER_summary!S$26)</f>
        <v>8.9069153485236559</v>
      </c>
      <c r="T22" s="132">
        <f>IF(SER_hh_emih!T22=0,0,SER_hh_emih!T22/SER_summary!T$26)</f>
        <v>9.7141841181405457</v>
      </c>
      <c r="U22" s="132">
        <f>IF(SER_hh_emih!U22=0,0,SER_hh_emih!U22/SER_summary!U$26)</f>
        <v>8.0241233073471534</v>
      </c>
      <c r="V22" s="132">
        <f>IF(SER_hh_emih!V22=0,0,SER_hh_emih!V22/SER_summary!V$26)</f>
        <v>8.6176789322256724</v>
      </c>
      <c r="W22" s="132">
        <f>IF(SER_hh_emih!W22=0,0,SER_hh_emih!W22/SER_summary!W$26)</f>
        <v>8.6538162129441911</v>
      </c>
      <c r="X22" s="132">
        <f>IF(SER_hh_emih!X22=0,0,SER_hh_emih!X22/SER_summary!X$26)</f>
        <v>9.0657873753461367</v>
      </c>
      <c r="Y22" s="132">
        <f>IF(SER_hh_emih!Y22=0,0,SER_hh_emih!Y22/SER_summary!Y$26)</f>
        <v>9.8275359927736758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5.4697055508264345</v>
      </c>
      <c r="C23" s="132">
        <f>IF(SER_hh_emih!C23=0,0,SER_hh_emih!C23/SER_summary!C$26)</f>
        <v>8.5418063834245093</v>
      </c>
      <c r="D23" s="132">
        <f>IF(SER_hh_emih!D23=0,0,SER_hh_emih!D23/SER_summary!D$26)</f>
        <v>7.6483251727898036</v>
      </c>
      <c r="E23" s="132">
        <f>IF(SER_hh_emih!E23=0,0,SER_hh_emih!E23/SER_summary!E$26)</f>
        <v>7.1545100946969544</v>
      </c>
      <c r="F23" s="132">
        <f>IF(SER_hh_emih!F23=0,0,SER_hh_emih!F23/SER_summary!F$26)</f>
        <v>6.8390076509377309</v>
      </c>
      <c r="G23" s="132">
        <f>IF(SER_hh_emih!G23=0,0,SER_hh_emih!G23/SER_summary!G$26)</f>
        <v>6.652159754401886</v>
      </c>
      <c r="H23" s="132">
        <f>IF(SER_hh_emih!H23=0,0,SER_hh_emih!H23/SER_summary!H$26)</f>
        <v>6.5346121558510246</v>
      </c>
      <c r="I23" s="132">
        <f>IF(SER_hh_emih!I23=0,0,SER_hh_emih!I23/SER_summary!I$26)</f>
        <v>6.2617224956542525</v>
      </c>
      <c r="J23" s="132">
        <f>IF(SER_hh_emih!J23=0,0,SER_hh_emih!J23/SER_summary!J$26)</f>
        <v>6.1510961029410565</v>
      </c>
      <c r="K23" s="132">
        <f>IF(SER_hh_emih!K23=0,0,SER_hh_emih!K23/SER_summary!K$26)</f>
        <v>5.9842141160905973</v>
      </c>
      <c r="L23" s="132">
        <f>IF(SER_hh_emih!L23=0,0,SER_hh_emih!L23/SER_summary!L$26)</f>
        <v>5.619302455305391</v>
      </c>
      <c r="M23" s="132">
        <f>IF(SER_hh_emih!M23=0,0,SER_hh_emih!M23/SER_summary!M$26)</f>
        <v>5.9076299663414966</v>
      </c>
      <c r="N23" s="132">
        <f>IF(SER_hh_emih!N23=0,0,SER_hh_emih!N23/SER_summary!N$26)</f>
        <v>5.1699093033229406</v>
      </c>
      <c r="O23" s="132">
        <f>IF(SER_hh_emih!O23=0,0,SER_hh_emih!O23/SER_summary!O$26)</f>
        <v>5.4184507085168168</v>
      </c>
      <c r="P23" s="132">
        <f>IF(SER_hh_emih!P23=0,0,SER_hh_emih!P23/SER_summary!P$26)</f>
        <v>6.057827123227046</v>
      </c>
      <c r="Q23" s="132">
        <f>IF(SER_hh_emih!Q23=0,0,SER_hh_emih!Q23/SER_summary!Q$26)</f>
        <v>5.5212175381766224</v>
      </c>
      <c r="R23" s="132">
        <f>IF(SER_hh_emih!R23=0,0,SER_hh_emih!R23/SER_summary!R$26)</f>
        <v>5.0071039481677371</v>
      </c>
      <c r="S23" s="132">
        <f>IF(SER_hh_emih!S23=0,0,SER_hh_emih!S23/SER_summary!S$26)</f>
        <v>5.1095850191781471</v>
      </c>
      <c r="T23" s="132">
        <f>IF(SER_hh_emih!T23=0,0,SER_hh_emih!T23/SER_summary!T$26)</f>
        <v>5.1854148490773486</v>
      </c>
      <c r="U23" s="132">
        <f>IF(SER_hh_emih!U23=0,0,SER_hh_emih!U23/SER_summary!U$26)</f>
        <v>5.2833880509455522</v>
      </c>
      <c r="V23" s="132">
        <f>IF(SER_hh_emih!V23=0,0,SER_hh_emih!V23/SER_summary!V$26)</f>
        <v>5.2958324117929836</v>
      </c>
      <c r="W23" s="132">
        <f>IF(SER_hh_emih!W23=0,0,SER_hh_emih!W23/SER_summary!W$26)</f>
        <v>5.4039703356419109</v>
      </c>
      <c r="X23" s="132">
        <f>IF(SER_hh_emih!X23=0,0,SER_hh_emih!X23/SER_summary!X$26)</f>
        <v>5.4537166819712724</v>
      </c>
      <c r="Y23" s="132">
        <f>IF(SER_hh_emih!Y23=0,0,SER_hh_emih!Y23/SER_summary!Y$26)</f>
        <v>5.0930484637042728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0.21298270165007219</v>
      </c>
      <c r="C29" s="130">
        <f>IF(SER_hh_emih!C29=0,0,SER_hh_emih!C29/SER_summary!C$26)</f>
        <v>0.67349174700598791</v>
      </c>
      <c r="D29" s="130">
        <f>IF(SER_hh_emih!D29=0,0,SER_hh_emih!D29/SER_summary!D$26)</f>
        <v>0.92588599373033442</v>
      </c>
      <c r="E29" s="130">
        <f>IF(SER_hh_emih!E29=0,0,SER_hh_emih!E29/SER_summary!E$26)</f>
        <v>0.90136100743877012</v>
      </c>
      <c r="F29" s="130">
        <f>IF(SER_hh_emih!F29=0,0,SER_hh_emih!F29/SER_summary!F$26)</f>
        <v>1.081412172699193</v>
      </c>
      <c r="G29" s="130">
        <f>IF(SER_hh_emih!G29=0,0,SER_hh_emih!G29/SER_summary!G$26)</f>
        <v>1.0081213161036477</v>
      </c>
      <c r="H29" s="130">
        <f>IF(SER_hh_emih!H29=0,0,SER_hh_emih!H29/SER_summary!H$26)</f>
        <v>0.93102335735469899</v>
      </c>
      <c r="I29" s="130">
        <f>IF(SER_hh_emih!I29=0,0,SER_hh_emih!I29/SER_summary!I$26)</f>
        <v>0.88043709937409542</v>
      </c>
      <c r="J29" s="130">
        <f>IF(SER_hh_emih!J29=0,0,SER_hh_emih!J29/SER_summary!J$26)</f>
        <v>0.87696829318130198</v>
      </c>
      <c r="K29" s="130">
        <f>IF(SER_hh_emih!K29=0,0,SER_hh_emih!K29/SER_summary!K$26)</f>
        <v>0.82002221525082031</v>
      </c>
      <c r="L29" s="130">
        <f>IF(SER_hh_emih!L29=0,0,SER_hh_emih!L29/SER_summary!L$26)</f>
        <v>0.84856855908072137</v>
      </c>
      <c r="M29" s="130">
        <f>IF(SER_hh_emih!M29=0,0,SER_hh_emih!M29/SER_summary!M$26)</f>
        <v>0.83927964429645519</v>
      </c>
      <c r="N29" s="130">
        <f>IF(SER_hh_emih!N29=0,0,SER_hh_emih!N29/SER_summary!N$26)</f>
        <v>0.87575280035669112</v>
      </c>
      <c r="O29" s="130">
        <f>IF(SER_hh_emih!O29=0,0,SER_hh_emih!O29/SER_summary!O$26)</f>
        <v>0.85690771036635915</v>
      </c>
      <c r="P29" s="130">
        <f>IF(SER_hh_emih!P29=0,0,SER_hh_emih!P29/SER_summary!P$26)</f>
        <v>0.86688298684473231</v>
      </c>
      <c r="Q29" s="130">
        <f>IF(SER_hh_emih!Q29=0,0,SER_hh_emih!Q29/SER_summary!Q$26)</f>
        <v>0.86170231186264235</v>
      </c>
      <c r="R29" s="130">
        <f>IF(SER_hh_emih!R29=0,0,SER_hh_emih!R29/SER_summary!R$26)</f>
        <v>1.2533654961346363</v>
      </c>
      <c r="S29" s="130">
        <f>IF(SER_hh_emih!S29=0,0,SER_hh_emih!S29/SER_summary!S$26)</f>
        <v>1.4095125090268446</v>
      </c>
      <c r="T29" s="130">
        <f>IF(SER_hh_emih!T29=0,0,SER_hh_emih!T29/SER_summary!T$26)</f>
        <v>1.1488045850221509</v>
      </c>
      <c r="U29" s="130">
        <f>IF(SER_hh_emih!U29=0,0,SER_hh_emih!U29/SER_summary!U$26)</f>
        <v>1.4757957994423923</v>
      </c>
      <c r="V29" s="130">
        <f>IF(SER_hh_emih!V29=0,0,SER_hh_emih!V29/SER_summary!V$26)</f>
        <v>1.4429585581651327</v>
      </c>
      <c r="W29" s="130">
        <f>IF(SER_hh_emih!W29=0,0,SER_hh_emih!W29/SER_summary!W$26)</f>
        <v>1.2980986506718648</v>
      </c>
      <c r="X29" s="130">
        <f>IF(SER_hh_emih!X29=0,0,SER_hh_emih!X29/SER_summary!X$26)</f>
        <v>1.2051998002316371</v>
      </c>
      <c r="Y29" s="130">
        <f>IF(SER_hh_emih!Y29=0,0,SER_hh_emih!Y29/SER_summary!Y$26)</f>
        <v>1.4234039489136037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0</v>
      </c>
      <c r="C30" s="132">
        <f>IF(SER_hh_emih!C30=0,0,SER_hh_emih!C30/SER_summary!C$26)</f>
        <v>0</v>
      </c>
      <c r="D30" s="132">
        <f>IF(SER_hh_emih!D30=0,0,SER_hh_emih!D30/SER_summary!D$26)</f>
        <v>0</v>
      </c>
      <c r="E30" s="132">
        <f>IF(SER_hh_emih!E30=0,0,SER_hh_emih!E30/SER_summary!E$26)</f>
        <v>0</v>
      </c>
      <c r="F30" s="132">
        <f>IF(SER_hh_emih!F30=0,0,SER_hh_emih!F30/SER_summary!F$26)</f>
        <v>11.058825597052838</v>
      </c>
      <c r="G30" s="132">
        <f>IF(SER_hh_emih!G30=0,0,SER_hh_emih!G30/SER_summary!G$26)</f>
        <v>8.6392407772638151</v>
      </c>
      <c r="H30" s="132">
        <f>IF(SER_hh_emih!H30=0,0,SER_hh_emih!H30/SER_summary!H$26)</f>
        <v>7.7593081709306508</v>
      </c>
      <c r="I30" s="132">
        <f>IF(SER_hh_emih!I30=0,0,SER_hh_emih!I30/SER_summary!I$26)</f>
        <v>7.8264048901479564</v>
      </c>
      <c r="J30" s="132">
        <f>IF(SER_hh_emih!J30=0,0,SER_hh_emih!J30/SER_summary!J$26)</f>
        <v>8.0151276737995367</v>
      </c>
      <c r="K30" s="132">
        <f>IF(SER_hh_emih!K30=0,0,SER_hh_emih!K30/SER_summary!K$26)</f>
        <v>8.2756359159337549</v>
      </c>
      <c r="L30" s="132">
        <f>IF(SER_hh_emih!L30=0,0,SER_hh_emih!L30/SER_summary!L$26)</f>
        <v>8.3881225715266847</v>
      </c>
      <c r="M30" s="132">
        <f>IF(SER_hh_emih!M30=0,0,SER_hh_emih!M30/SER_summary!M$26)</f>
        <v>8.4833699732438106</v>
      </c>
      <c r="N30" s="132">
        <f>IF(SER_hh_emih!N30=0,0,SER_hh_emih!N30/SER_summary!N$26)</f>
        <v>8.5553550861282375</v>
      </c>
      <c r="O30" s="132">
        <f>IF(SER_hh_emih!O30=0,0,SER_hh_emih!O30/SER_summary!O$26)</f>
        <v>8.5736191242676814</v>
      </c>
      <c r="P30" s="132">
        <f>IF(SER_hh_emih!P30=0,0,SER_hh_emih!P30/SER_summary!P$26)</f>
        <v>7.7371345804022917</v>
      </c>
      <c r="Q30" s="132">
        <f>IF(SER_hh_emih!Q30=0,0,SER_hh_emih!Q30/SER_summary!Q$26)</f>
        <v>6.0458106516278551</v>
      </c>
      <c r="R30" s="132">
        <f>IF(SER_hh_emih!R30=0,0,SER_hh_emih!R30/SER_summary!R$26)</f>
        <v>9.3619496521366745</v>
      </c>
      <c r="S30" s="132">
        <f>IF(SER_hh_emih!S30=0,0,SER_hh_emih!S30/SER_summary!S$26)</f>
        <v>13.799080904514364</v>
      </c>
      <c r="T30" s="132">
        <f>IF(SER_hh_emih!T30=0,0,SER_hh_emih!T30/SER_summary!T$26)</f>
        <v>4.3151512688375178</v>
      </c>
      <c r="U30" s="132">
        <f>IF(SER_hh_emih!U30=0,0,SER_hh_emih!U30/SER_summary!U$26)</f>
        <v>8.9352932002679779</v>
      </c>
      <c r="V30" s="132">
        <f>IF(SER_hh_emih!V30=0,0,SER_hh_emih!V30/SER_summary!V$26)</f>
        <v>10.152294746374725</v>
      </c>
      <c r="W30" s="132">
        <f>IF(SER_hh_emih!W30=0,0,SER_hh_emih!W30/SER_summary!W$26)</f>
        <v>6.3685321739853959</v>
      </c>
      <c r="X30" s="132">
        <f>IF(SER_hh_emih!X30=0,0,SER_hh_emih!X30/SER_summary!X$26)</f>
        <v>8.6571936430574841</v>
      </c>
      <c r="Y30" s="132">
        <f>IF(SER_hh_emih!Y30=0,0,SER_hh_emih!Y30/SER_summary!Y$26)</f>
        <v>12.317459909648676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4.1896678558307698</v>
      </c>
      <c r="C31" s="132">
        <f>IF(SER_hh_emih!C31=0,0,SER_hh_emih!C31/SER_summary!C$26)</f>
        <v>7.8225402159716015</v>
      </c>
      <c r="D31" s="132">
        <f>IF(SER_hh_emih!D31=0,0,SER_hh_emih!D31/SER_summary!D$26)</f>
        <v>8.4153692154615118</v>
      </c>
      <c r="E31" s="132">
        <f>IF(SER_hh_emih!E31=0,0,SER_hh_emih!E31/SER_summary!E$26)</f>
        <v>7.5940691726524605</v>
      </c>
      <c r="F31" s="132">
        <f>IF(SER_hh_emih!F31=0,0,SER_hh_emih!F31/SER_summary!F$26)</f>
        <v>7.3269765935261031</v>
      </c>
      <c r="G31" s="132">
        <f>IF(SER_hh_emih!G31=0,0,SER_hh_emih!G31/SER_summary!G$26)</f>
        <v>7.2751733932511797</v>
      </c>
      <c r="H31" s="132">
        <f>IF(SER_hh_emih!H31=0,0,SER_hh_emih!H31/SER_summary!H$26)</f>
        <v>7.2046664965447507</v>
      </c>
      <c r="I31" s="132">
        <f>IF(SER_hh_emih!I31=0,0,SER_hh_emih!I31/SER_summary!I$26)</f>
        <v>7.2481324869807686</v>
      </c>
      <c r="J31" s="132">
        <f>IF(SER_hh_emih!J31=0,0,SER_hh_emih!J31/SER_summary!J$26)</f>
        <v>7.4219364358305375</v>
      </c>
      <c r="K31" s="132">
        <f>IF(SER_hh_emih!K31=0,0,SER_hh_emih!K31/SER_summary!K$26)</f>
        <v>7.1373509894639167</v>
      </c>
      <c r="L31" s="132">
        <f>IF(SER_hh_emih!L31=0,0,SER_hh_emih!L31/SER_summary!L$26)</f>
        <v>7.6034056972522723</v>
      </c>
      <c r="M31" s="132">
        <f>IF(SER_hh_emih!M31=0,0,SER_hh_emih!M31/SER_summary!M$26)</f>
        <v>7.6611012394674241</v>
      </c>
      <c r="N31" s="132">
        <f>IF(SER_hh_emih!N31=0,0,SER_hh_emih!N31/SER_summary!N$26)</f>
        <v>7.9512354896223458</v>
      </c>
      <c r="O31" s="132">
        <f>IF(SER_hh_emih!O31=0,0,SER_hh_emih!O31/SER_summary!O$26)</f>
        <v>7.6483659036950664</v>
      </c>
      <c r="P31" s="132">
        <f>IF(SER_hh_emih!P31=0,0,SER_hh_emih!P31/SER_summary!P$26)</f>
        <v>7.4150238221103839</v>
      </c>
      <c r="Q31" s="132">
        <f>IF(SER_hh_emih!Q31=0,0,SER_hh_emih!Q31/SER_summary!Q$26)</f>
        <v>6.9369388091749196</v>
      </c>
      <c r="R31" s="132">
        <f>IF(SER_hh_emih!R31=0,0,SER_hh_emih!R31/SER_summary!R$26)</f>
        <v>7.9391376596353265</v>
      </c>
      <c r="S31" s="132">
        <f>IF(SER_hh_emih!S31=0,0,SER_hh_emih!S31/SER_summary!S$26)</f>
        <v>7.2561892821097116</v>
      </c>
      <c r="T31" s="132">
        <f>IF(SER_hh_emih!T31=0,0,SER_hh_emih!T31/SER_summary!T$26)</f>
        <v>7.2747978954924406</v>
      </c>
      <c r="U31" s="132">
        <f>IF(SER_hh_emih!U31=0,0,SER_hh_emih!U31/SER_summary!U$26)</f>
        <v>8.3614517992906734</v>
      </c>
      <c r="V31" s="132">
        <f>IF(SER_hh_emih!V31=0,0,SER_hh_emih!V31/SER_summary!V$26)</f>
        <v>8.2112374461528201</v>
      </c>
      <c r="W31" s="132">
        <f>IF(SER_hh_emih!W31=0,0,SER_hh_emih!W31/SER_summary!W$26)</f>
        <v>8.3707763707231422</v>
      </c>
      <c r="X31" s="132">
        <f>IF(SER_hh_emih!X31=0,0,SER_hh_emih!X31/SER_summary!X$26)</f>
        <v>8.0415991702725726</v>
      </c>
      <c r="Y31" s="132">
        <f>IF(SER_hh_emih!Y31=0,0,SER_hh_emih!Y31/SER_summary!Y$26)</f>
        <v>8.5863772998775296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496.06625535343278</v>
      </c>
      <c r="D3" s="124">
        <f t="shared" si="0"/>
        <v>530.09347313127864</v>
      </c>
      <c r="E3" s="124">
        <f t="shared" si="0"/>
        <v>581.08290174075648</v>
      </c>
      <c r="F3" s="124">
        <f t="shared" si="0"/>
        <v>434.36728504116206</v>
      </c>
      <c r="G3" s="124">
        <f t="shared" si="0"/>
        <v>792.30247572232645</v>
      </c>
      <c r="H3" s="124">
        <f t="shared" si="0"/>
        <v>966.03432544223983</v>
      </c>
      <c r="I3" s="124">
        <f t="shared" si="0"/>
        <v>611.0064851539164</v>
      </c>
      <c r="J3" s="124">
        <f t="shared" si="0"/>
        <v>67.623706267417759</v>
      </c>
      <c r="K3" s="124">
        <f t="shared" si="0"/>
        <v>66.347787281240088</v>
      </c>
      <c r="L3" s="124">
        <f t="shared" si="0"/>
        <v>113.21065076774768</v>
      </c>
      <c r="M3" s="124">
        <f t="shared" si="0"/>
        <v>497.84473611006683</v>
      </c>
      <c r="N3" s="124">
        <f t="shared" si="0"/>
        <v>335.94458197093923</v>
      </c>
      <c r="O3" s="124">
        <f t="shared" si="0"/>
        <v>148.77116649620399</v>
      </c>
      <c r="P3" s="124">
        <f t="shared" si="0"/>
        <v>261.319076300392</v>
      </c>
      <c r="Q3" s="124">
        <f t="shared" si="0"/>
        <v>458.14217623223692</v>
      </c>
      <c r="R3" s="124">
        <f t="shared" si="0"/>
        <v>268.83769533419593</v>
      </c>
      <c r="S3" s="124">
        <f t="shared" si="0"/>
        <v>398.78648075650892</v>
      </c>
      <c r="T3" s="124">
        <f t="shared" si="0"/>
        <v>332.15170783529271</v>
      </c>
      <c r="U3" s="124">
        <f t="shared" si="0"/>
        <v>286.14140198219604</v>
      </c>
      <c r="V3" s="124">
        <f t="shared" si="0"/>
        <v>274.45149721963594</v>
      </c>
      <c r="W3" s="124">
        <f t="shared" si="0"/>
        <v>259.92727673555044</v>
      </c>
      <c r="X3" s="124">
        <f t="shared" si="0"/>
        <v>248.80880590849537</v>
      </c>
      <c r="Y3" s="124">
        <f t="shared" si="0"/>
        <v>237.07398224828097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496.06625535343278</v>
      </c>
      <c r="D4" s="139">
        <f t="shared" si="1"/>
        <v>530.09347313127864</v>
      </c>
      <c r="E4" s="139">
        <f t="shared" si="1"/>
        <v>581.08290174075648</v>
      </c>
      <c r="F4" s="139">
        <f t="shared" si="1"/>
        <v>434.36728504116206</v>
      </c>
      <c r="G4" s="139">
        <f t="shared" si="1"/>
        <v>792.30247572232645</v>
      </c>
      <c r="H4" s="139">
        <f t="shared" si="1"/>
        <v>966.03432544223983</v>
      </c>
      <c r="I4" s="139">
        <f t="shared" si="1"/>
        <v>611.0064851539164</v>
      </c>
      <c r="J4" s="139">
        <f t="shared" si="1"/>
        <v>67.623706267417759</v>
      </c>
      <c r="K4" s="139">
        <f t="shared" si="1"/>
        <v>66.347787281240088</v>
      </c>
      <c r="L4" s="139">
        <f t="shared" si="1"/>
        <v>113.21065076774768</v>
      </c>
      <c r="M4" s="139">
        <f t="shared" si="1"/>
        <v>497.84473611006683</v>
      </c>
      <c r="N4" s="139">
        <f t="shared" si="1"/>
        <v>335.94458197093923</v>
      </c>
      <c r="O4" s="139">
        <f t="shared" si="1"/>
        <v>148.77116649620399</v>
      </c>
      <c r="P4" s="139">
        <f t="shared" si="1"/>
        <v>261.319076300392</v>
      </c>
      <c r="Q4" s="139">
        <f t="shared" si="1"/>
        <v>458.14217623223692</v>
      </c>
      <c r="R4" s="139">
        <f t="shared" ref="R4:W4" si="2">SUM(R5:R14)</f>
        <v>268.83769533419593</v>
      </c>
      <c r="S4" s="139">
        <f t="shared" si="2"/>
        <v>398.78648075650892</v>
      </c>
      <c r="T4" s="139">
        <f t="shared" si="2"/>
        <v>332.15170783529271</v>
      </c>
      <c r="U4" s="139">
        <f t="shared" si="2"/>
        <v>286.14140198219604</v>
      </c>
      <c r="V4" s="139">
        <f t="shared" si="2"/>
        <v>274.45149721963594</v>
      </c>
      <c r="W4" s="139">
        <f t="shared" si="2"/>
        <v>259.92727673555044</v>
      </c>
      <c r="X4" s="139">
        <f t="shared" ref="X4:Y4" si="3">SUM(X5:X14)</f>
        <v>248.80880590849537</v>
      </c>
      <c r="Y4" s="139">
        <f t="shared" si="3"/>
        <v>237.07398224828097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11.960837883742252</v>
      </c>
      <c r="D5" s="140">
        <v>9.8930564862553787</v>
      </c>
      <c r="E5" s="140">
        <v>6.5253092415955765</v>
      </c>
      <c r="F5" s="140">
        <v>0</v>
      </c>
      <c r="G5" s="140">
        <v>6.6571073708819899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5.9080628783522222</v>
      </c>
      <c r="N5" s="140">
        <v>8.0486039015049027</v>
      </c>
      <c r="O5" s="140">
        <v>3.4045933529129715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0.29260596690105256</v>
      </c>
      <c r="W5" s="140">
        <v>0</v>
      </c>
      <c r="X5" s="140">
        <v>0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34.979372961046344</v>
      </c>
      <c r="D7" s="140">
        <v>0</v>
      </c>
      <c r="E7" s="140">
        <v>0</v>
      </c>
      <c r="F7" s="140">
        <v>0</v>
      </c>
      <c r="G7" s="140">
        <v>0</v>
      </c>
      <c r="H7" s="140">
        <v>6.1206122839264152</v>
      </c>
      <c r="I7" s="140">
        <v>58.740256344223319</v>
      </c>
      <c r="J7" s="140">
        <v>5.7837472651083104</v>
      </c>
      <c r="K7" s="140">
        <v>13.630967878876547</v>
      </c>
      <c r="L7" s="140">
        <v>29.251230609568616</v>
      </c>
      <c r="M7" s="140">
        <v>165.07152267671634</v>
      </c>
      <c r="N7" s="140">
        <v>60.281281227343641</v>
      </c>
      <c r="O7" s="140">
        <v>15.1550030884463</v>
      </c>
      <c r="P7" s="140">
        <v>0</v>
      </c>
      <c r="Q7" s="140">
        <v>0</v>
      </c>
      <c r="R7" s="140">
        <v>0</v>
      </c>
      <c r="S7" s="140">
        <v>0</v>
      </c>
      <c r="T7" s="140">
        <v>0</v>
      </c>
      <c r="U7" s="140">
        <v>0</v>
      </c>
      <c r="V7" s="140">
        <v>0</v>
      </c>
      <c r="W7" s="140">
        <v>14.724625786079596</v>
      </c>
      <c r="X7" s="140">
        <v>31.309533963350159</v>
      </c>
      <c r="Y7" s="140">
        <v>40.230313910932125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121.26818487783447</v>
      </c>
      <c r="D9" s="140">
        <v>247.82813593279354</v>
      </c>
      <c r="E9" s="140">
        <v>272.00857079161489</v>
      </c>
      <c r="F9" s="140">
        <v>30.307236445569821</v>
      </c>
      <c r="G9" s="140">
        <v>0</v>
      </c>
      <c r="H9" s="140">
        <v>0</v>
      </c>
      <c r="I9" s="140">
        <v>0</v>
      </c>
      <c r="J9" s="140">
        <v>0</v>
      </c>
      <c r="K9" s="140">
        <v>0</v>
      </c>
      <c r="L9" s="140">
        <v>0</v>
      </c>
      <c r="M9" s="140">
        <v>66.561722140719809</v>
      </c>
      <c r="N9" s="140">
        <v>71.5530941815246</v>
      </c>
      <c r="O9" s="140">
        <v>57.504102962865531</v>
      </c>
      <c r="P9" s="140">
        <v>133.82234332776295</v>
      </c>
      <c r="Q9" s="140">
        <v>169.96709730809738</v>
      </c>
      <c r="R9" s="140">
        <v>82.812228254155045</v>
      </c>
      <c r="S9" s="140">
        <v>81.696867482321835</v>
      </c>
      <c r="T9" s="140">
        <v>59.794152166031722</v>
      </c>
      <c r="U9" s="140">
        <v>36.159138434919718</v>
      </c>
      <c r="V9" s="140">
        <v>0</v>
      </c>
      <c r="W9" s="140">
        <v>0</v>
      </c>
      <c r="X9" s="140">
        <v>0</v>
      </c>
      <c r="Y9" s="140">
        <v>0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53.65920194132844</v>
      </c>
      <c r="D10" s="140">
        <v>38.59844040293941</v>
      </c>
      <c r="E10" s="140">
        <v>41.113739498132283</v>
      </c>
      <c r="F10" s="140">
        <v>36.663675633539647</v>
      </c>
      <c r="G10" s="140">
        <v>40.751650812402751</v>
      </c>
      <c r="H10" s="140">
        <v>51.358661738935147</v>
      </c>
      <c r="I10" s="140">
        <v>8.4079464597932301</v>
      </c>
      <c r="J10" s="140">
        <v>0</v>
      </c>
      <c r="K10" s="140">
        <v>0</v>
      </c>
      <c r="L10" s="140">
        <v>2.2923752367431778</v>
      </c>
      <c r="M10" s="140">
        <v>16.625759154812016</v>
      </c>
      <c r="N10" s="140">
        <v>0</v>
      </c>
      <c r="O10" s="140">
        <v>0</v>
      </c>
      <c r="P10" s="140">
        <v>0</v>
      </c>
      <c r="Q10" s="140">
        <v>0</v>
      </c>
      <c r="R10" s="140">
        <v>4.7018989702341871</v>
      </c>
      <c r="S10" s="140">
        <v>23.124056044901302</v>
      </c>
      <c r="T10" s="140">
        <v>15.908763275375534</v>
      </c>
      <c r="U10" s="140">
        <v>19.13398181076909</v>
      </c>
      <c r="V10" s="140">
        <v>7.1976158034369879</v>
      </c>
      <c r="W10" s="140">
        <v>10.366035396214318</v>
      </c>
      <c r="X10" s="140">
        <v>1.7830486230018596</v>
      </c>
      <c r="Y10" s="140">
        <v>0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101.23046927594883</v>
      </c>
      <c r="D12" s="140">
        <v>114.52708892864715</v>
      </c>
      <c r="E12" s="140">
        <v>171.24201763237954</v>
      </c>
      <c r="F12" s="140">
        <v>241.46669121954955</v>
      </c>
      <c r="G12" s="140">
        <v>477.28000298058026</v>
      </c>
      <c r="H12" s="140">
        <v>484.84134874245996</v>
      </c>
      <c r="I12" s="140">
        <v>264.63630761573097</v>
      </c>
      <c r="J12" s="140">
        <v>25.432995878909068</v>
      </c>
      <c r="K12" s="140">
        <v>35.171372791903835</v>
      </c>
      <c r="L12" s="140">
        <v>73.65037602734813</v>
      </c>
      <c r="M12" s="140">
        <v>194.66909882119322</v>
      </c>
      <c r="N12" s="140">
        <v>105.778812139675</v>
      </c>
      <c r="O12" s="140">
        <v>18.877288915039639</v>
      </c>
      <c r="P12" s="140">
        <v>7.7561341051855921</v>
      </c>
      <c r="Q12" s="140">
        <v>167.2724640050991</v>
      </c>
      <c r="R12" s="140">
        <v>95.110905492745857</v>
      </c>
      <c r="S12" s="140">
        <v>184.93249563239004</v>
      </c>
      <c r="T12" s="140">
        <v>106.72337492611079</v>
      </c>
      <c r="U12" s="140">
        <v>80.635631980173542</v>
      </c>
      <c r="V12" s="140">
        <v>148.65753701889352</v>
      </c>
      <c r="W12" s="140">
        <v>163.01744679852303</v>
      </c>
      <c r="X12" s="140">
        <v>206.4047121883938</v>
      </c>
      <c r="Y12" s="140">
        <v>196.84366833734884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172.96818841353249</v>
      </c>
      <c r="D14" s="141">
        <v>119.24675138064326</v>
      </c>
      <c r="E14" s="141">
        <v>90.193264577034157</v>
      </c>
      <c r="F14" s="141">
        <v>125.92968174250299</v>
      </c>
      <c r="G14" s="141">
        <v>267.61371455846142</v>
      </c>
      <c r="H14" s="141">
        <v>423.71370267691827</v>
      </c>
      <c r="I14" s="141">
        <v>279.22197473416895</v>
      </c>
      <c r="J14" s="141">
        <v>36.406963123400374</v>
      </c>
      <c r="K14" s="141">
        <v>17.545446610459702</v>
      </c>
      <c r="L14" s="141">
        <v>8.0166688940877524</v>
      </c>
      <c r="M14" s="141">
        <v>49.008570438273217</v>
      </c>
      <c r="N14" s="141">
        <v>90.282790520891069</v>
      </c>
      <c r="O14" s="141">
        <v>53.830178176939555</v>
      </c>
      <c r="P14" s="141">
        <v>119.74059886744344</v>
      </c>
      <c r="Q14" s="141">
        <v>120.90261491904047</v>
      </c>
      <c r="R14" s="141">
        <v>86.212662617060829</v>
      </c>
      <c r="S14" s="141">
        <v>109.03306159689581</v>
      </c>
      <c r="T14" s="141">
        <v>149.72541746777466</v>
      </c>
      <c r="U14" s="141">
        <v>150.21264975633366</v>
      </c>
      <c r="V14" s="141">
        <v>118.30373843040434</v>
      </c>
      <c r="W14" s="141">
        <v>71.819168754733454</v>
      </c>
      <c r="X14" s="141">
        <v>9.3115111337495389</v>
      </c>
      <c r="Y14" s="141">
        <v>0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323.09806693990032</v>
      </c>
      <c r="D15" s="143">
        <f t="shared" si="4"/>
        <v>410.84672175063542</v>
      </c>
      <c r="E15" s="143">
        <f t="shared" si="4"/>
        <v>490.88963716372228</v>
      </c>
      <c r="F15" s="143">
        <f t="shared" si="4"/>
        <v>308.43760329865904</v>
      </c>
      <c r="G15" s="143">
        <f t="shared" si="4"/>
        <v>524.68876116386502</v>
      </c>
      <c r="H15" s="143">
        <f t="shared" si="4"/>
        <v>542.32062276532156</v>
      </c>
      <c r="I15" s="143">
        <f t="shared" si="4"/>
        <v>331.78451041974751</v>
      </c>
      <c r="J15" s="143">
        <f t="shared" si="4"/>
        <v>31.216743144017379</v>
      </c>
      <c r="K15" s="143">
        <f t="shared" si="4"/>
        <v>48.802340670780382</v>
      </c>
      <c r="L15" s="143">
        <f t="shared" si="4"/>
        <v>105.19398187365992</v>
      </c>
      <c r="M15" s="143">
        <f t="shared" si="4"/>
        <v>448.83616567179359</v>
      </c>
      <c r="N15" s="143">
        <f t="shared" si="4"/>
        <v>245.66179145004816</v>
      </c>
      <c r="O15" s="143">
        <f t="shared" si="4"/>
        <v>94.940988319264449</v>
      </c>
      <c r="P15" s="143">
        <f t="shared" si="4"/>
        <v>141.57847743294855</v>
      </c>
      <c r="Q15" s="143">
        <f t="shared" si="4"/>
        <v>337.23956131319648</v>
      </c>
      <c r="R15" s="143">
        <f t="shared" ref="R15:W15" si="5">SUM(R5:R12)</f>
        <v>182.62503271713507</v>
      </c>
      <c r="S15" s="143">
        <f t="shared" si="5"/>
        <v>289.75341915961314</v>
      </c>
      <c r="T15" s="143">
        <f t="shared" si="5"/>
        <v>182.42629036751805</v>
      </c>
      <c r="U15" s="143">
        <f t="shared" si="5"/>
        <v>135.92875222586235</v>
      </c>
      <c r="V15" s="143">
        <f t="shared" si="5"/>
        <v>156.14775878923157</v>
      </c>
      <c r="W15" s="143">
        <f t="shared" si="5"/>
        <v>188.10810798081695</v>
      </c>
      <c r="X15" s="143">
        <f t="shared" ref="X15:Y15" si="6">SUM(X5:X12)</f>
        <v>239.49729477474582</v>
      </c>
      <c r="Y15" s="143">
        <f t="shared" si="6"/>
        <v>237.07398224828097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94.439213361767187</v>
      </c>
      <c r="D16" s="139">
        <f t="shared" si="7"/>
        <v>107.79307992057147</v>
      </c>
      <c r="E16" s="139">
        <f t="shared" si="7"/>
        <v>102.44942930192235</v>
      </c>
      <c r="F16" s="139">
        <f t="shared" si="7"/>
        <v>97.562506078753159</v>
      </c>
      <c r="G16" s="139">
        <f t="shared" si="7"/>
        <v>144.48681467891566</v>
      </c>
      <c r="H16" s="139">
        <f t="shared" si="7"/>
        <v>184.9099095154464</v>
      </c>
      <c r="I16" s="139">
        <f t="shared" si="7"/>
        <v>159.56050559383351</v>
      </c>
      <c r="J16" s="139">
        <f t="shared" si="7"/>
        <v>67.623706267417745</v>
      </c>
      <c r="K16" s="139">
        <f t="shared" si="7"/>
        <v>66.347787281240073</v>
      </c>
      <c r="L16" s="139">
        <f t="shared" si="7"/>
        <v>113.21065076774767</v>
      </c>
      <c r="M16" s="139">
        <f t="shared" si="7"/>
        <v>194.41888973946541</v>
      </c>
      <c r="N16" s="139">
        <f t="shared" si="7"/>
        <v>178.11811461491368</v>
      </c>
      <c r="O16" s="139">
        <f t="shared" si="7"/>
        <v>148.77116649620402</v>
      </c>
      <c r="P16" s="139">
        <f t="shared" si="7"/>
        <v>193.80004574779753</v>
      </c>
      <c r="Q16" s="139">
        <f t="shared" si="7"/>
        <v>228.75156103856443</v>
      </c>
      <c r="R16" s="139">
        <f t="shared" ref="R16:W16" si="8">SUM(R17:R18)</f>
        <v>197.92747757034013</v>
      </c>
      <c r="S16" s="139">
        <f t="shared" si="8"/>
        <v>206.70023878172739</v>
      </c>
      <c r="T16" s="139">
        <f t="shared" si="8"/>
        <v>231.32206288673163</v>
      </c>
      <c r="U16" s="139">
        <f t="shared" si="8"/>
        <v>208.46397358516654</v>
      </c>
      <c r="V16" s="139">
        <f t="shared" si="8"/>
        <v>199.15250800209751</v>
      </c>
      <c r="W16" s="139">
        <f t="shared" si="8"/>
        <v>227.94566271171223</v>
      </c>
      <c r="X16" s="139">
        <f t="shared" ref="X16:Y16" si="9">SUM(X17:X18)</f>
        <v>248.80880590849534</v>
      </c>
      <c r="Y16" s="139">
        <f t="shared" si="9"/>
        <v>237.07398224828097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94.439213361767187</v>
      </c>
      <c r="D18" s="140">
        <v>107.79307992057147</v>
      </c>
      <c r="E18" s="140">
        <v>102.44942930192235</v>
      </c>
      <c r="F18" s="140">
        <v>97.562506078753159</v>
      </c>
      <c r="G18" s="140">
        <v>144.48681467891566</v>
      </c>
      <c r="H18" s="140">
        <v>184.9099095154464</v>
      </c>
      <c r="I18" s="140">
        <v>159.56050559383351</v>
      </c>
      <c r="J18" s="140">
        <v>67.623706267417745</v>
      </c>
      <c r="K18" s="140">
        <v>66.347787281240073</v>
      </c>
      <c r="L18" s="140">
        <v>113.21065076774767</v>
      </c>
      <c r="M18" s="140">
        <v>194.41888973946541</v>
      </c>
      <c r="N18" s="140">
        <v>178.11811461491368</v>
      </c>
      <c r="O18" s="140">
        <v>148.77116649620402</v>
      </c>
      <c r="P18" s="140">
        <v>193.80004574779753</v>
      </c>
      <c r="Q18" s="140">
        <v>228.75156103856443</v>
      </c>
      <c r="R18" s="140">
        <v>197.92747757034013</v>
      </c>
      <c r="S18" s="140">
        <v>206.70023878172739</v>
      </c>
      <c r="T18" s="140">
        <v>231.32206288673163</v>
      </c>
      <c r="U18" s="140">
        <v>208.46397358516654</v>
      </c>
      <c r="V18" s="140">
        <v>199.15250800209751</v>
      </c>
      <c r="W18" s="140">
        <v>227.94566271171223</v>
      </c>
      <c r="X18" s="140">
        <v>248.80880590849534</v>
      </c>
      <c r="Y18" s="140">
        <v>237.07398224828097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496.06625535343278</v>
      </c>
      <c r="D19" s="139">
        <f t="shared" si="10"/>
        <v>530.09347313127864</v>
      </c>
      <c r="E19" s="139">
        <f t="shared" si="10"/>
        <v>581.08290174075637</v>
      </c>
      <c r="F19" s="139">
        <f t="shared" si="10"/>
        <v>434.36728504116201</v>
      </c>
      <c r="G19" s="139">
        <f t="shared" si="10"/>
        <v>792.30247572232656</v>
      </c>
      <c r="H19" s="139">
        <f t="shared" si="10"/>
        <v>966.03432544223995</v>
      </c>
      <c r="I19" s="139">
        <f t="shared" si="10"/>
        <v>611.0064851539164</v>
      </c>
      <c r="J19" s="139">
        <f t="shared" si="10"/>
        <v>67.623706267417731</v>
      </c>
      <c r="K19" s="139">
        <f t="shared" si="10"/>
        <v>66.347787281240088</v>
      </c>
      <c r="L19" s="139">
        <f t="shared" si="10"/>
        <v>113.21065076774767</v>
      </c>
      <c r="M19" s="139">
        <f t="shared" si="10"/>
        <v>497.84473611006678</v>
      </c>
      <c r="N19" s="139">
        <f t="shared" si="10"/>
        <v>335.94458197093923</v>
      </c>
      <c r="O19" s="139">
        <f t="shared" si="10"/>
        <v>148.77116649620399</v>
      </c>
      <c r="P19" s="139">
        <f t="shared" si="10"/>
        <v>261.319076300392</v>
      </c>
      <c r="Q19" s="139">
        <f t="shared" si="10"/>
        <v>458.14217623223692</v>
      </c>
      <c r="R19" s="139">
        <f t="shared" ref="R19:W19" si="11">SUM(R20:R26)</f>
        <v>268.83769533419593</v>
      </c>
      <c r="S19" s="139">
        <f t="shared" si="11"/>
        <v>398.78648075650898</v>
      </c>
      <c r="T19" s="139">
        <f t="shared" si="11"/>
        <v>332.15170783529265</v>
      </c>
      <c r="U19" s="139">
        <f t="shared" si="11"/>
        <v>286.14140198219599</v>
      </c>
      <c r="V19" s="139">
        <f t="shared" si="11"/>
        <v>274.45149721963594</v>
      </c>
      <c r="W19" s="139">
        <f t="shared" si="11"/>
        <v>259.92727673555038</v>
      </c>
      <c r="X19" s="139">
        <f t="shared" ref="X19:Y19" si="12">SUM(X20:X26)</f>
        <v>248.80880590849537</v>
      </c>
      <c r="Y19" s="139">
        <f t="shared" si="12"/>
        <v>237.07398224828094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44.580314542879101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36.483061915949193</v>
      </c>
      <c r="J22" s="140">
        <v>13.861889886096549</v>
      </c>
      <c r="K22" s="140">
        <v>10.529341795216226</v>
      </c>
      <c r="L22" s="140">
        <v>13.488814278168526</v>
      </c>
      <c r="M22" s="140">
        <v>43.469685807014578</v>
      </c>
      <c r="N22" s="140">
        <v>31.720095603746092</v>
      </c>
      <c r="O22" s="140">
        <v>13.697566467571116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3.778342424979571</v>
      </c>
      <c r="X22" s="140">
        <v>16.969314813604566</v>
      </c>
      <c r="Y22" s="140">
        <v>25.465206071315137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73.36094474250892</v>
      </c>
      <c r="D23" s="140">
        <v>46.262626767051373</v>
      </c>
      <c r="E23" s="140">
        <v>39.170988659515551</v>
      </c>
      <c r="F23" s="140">
        <v>21.806461007213908</v>
      </c>
      <c r="G23" s="140">
        <v>34.487638605181559</v>
      </c>
      <c r="H23" s="140">
        <v>43.209388508776208</v>
      </c>
      <c r="I23" s="140">
        <v>32.13715790145217</v>
      </c>
      <c r="J23" s="140">
        <v>5.7488862481469249</v>
      </c>
      <c r="K23" s="140">
        <v>6.0997966492096989</v>
      </c>
      <c r="L23" s="140">
        <v>10.408284381871011</v>
      </c>
      <c r="M23" s="140">
        <v>64.924269027509652</v>
      </c>
      <c r="N23" s="140">
        <v>66.427013035263911</v>
      </c>
      <c r="O23" s="140">
        <v>49.763716577341683</v>
      </c>
      <c r="P23" s="140">
        <v>138.05022037859425</v>
      </c>
      <c r="Q23" s="140">
        <v>131.15759961218524</v>
      </c>
      <c r="R23" s="140">
        <v>70.190808715666122</v>
      </c>
      <c r="S23" s="140">
        <v>81.683283394213277</v>
      </c>
      <c r="T23" s="140">
        <v>70.989150665556011</v>
      </c>
      <c r="U23" s="140">
        <v>45.204522947244996</v>
      </c>
      <c r="V23" s="140">
        <v>21.187196297931429</v>
      </c>
      <c r="W23" s="140">
        <v>0</v>
      </c>
      <c r="X23" s="140">
        <v>0</v>
      </c>
      <c r="Y23" s="140">
        <v>0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164.30342589596148</v>
      </c>
      <c r="D25" s="140">
        <v>151.95344364233767</v>
      </c>
      <c r="E25" s="140">
        <v>164.04631021132309</v>
      </c>
      <c r="F25" s="140">
        <v>158.1085446907021</v>
      </c>
      <c r="G25" s="140">
        <v>278.89484749982552</v>
      </c>
      <c r="H25" s="140">
        <v>333.98029783147183</v>
      </c>
      <c r="I25" s="140">
        <v>253.21481724547164</v>
      </c>
      <c r="J25" s="140">
        <v>45.024620063589722</v>
      </c>
      <c r="K25" s="140">
        <v>36.047257103822396</v>
      </c>
      <c r="L25" s="140">
        <v>41.205809960969091</v>
      </c>
      <c r="M25" s="140">
        <v>129.89371663584754</v>
      </c>
      <c r="N25" s="140">
        <v>90.553434686315754</v>
      </c>
      <c r="O25" s="140">
        <v>42.503267258832381</v>
      </c>
      <c r="P25" s="140">
        <v>53.88581207213123</v>
      </c>
      <c r="Q25" s="140">
        <v>87.128447647721941</v>
      </c>
      <c r="R25" s="140">
        <v>72.205426084846764</v>
      </c>
      <c r="S25" s="140">
        <v>98.04030447818063</v>
      </c>
      <c r="T25" s="140">
        <v>73.55194440194991</v>
      </c>
      <c r="U25" s="140">
        <v>60.175021414970317</v>
      </c>
      <c r="V25" s="140">
        <v>99.345795180000053</v>
      </c>
      <c r="W25" s="140">
        <v>76.407331123663994</v>
      </c>
      <c r="X25" s="140">
        <v>96.561503979826284</v>
      </c>
      <c r="Y25" s="140">
        <v>100.93763068882556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213.82157017208331</v>
      </c>
      <c r="D26" s="141">
        <v>331.87740272188967</v>
      </c>
      <c r="E26" s="141">
        <v>377.86560286991772</v>
      </c>
      <c r="F26" s="141">
        <v>254.452279343246</v>
      </c>
      <c r="G26" s="141">
        <v>478.91998961731946</v>
      </c>
      <c r="H26" s="141">
        <v>588.8446391019919</v>
      </c>
      <c r="I26" s="141">
        <v>289.17144809104343</v>
      </c>
      <c r="J26" s="141">
        <v>2.9883100695845419</v>
      </c>
      <c r="K26" s="141">
        <v>13.671391732991761</v>
      </c>
      <c r="L26" s="141">
        <v>48.107742146739042</v>
      </c>
      <c r="M26" s="141">
        <v>259.557064639695</v>
      </c>
      <c r="N26" s="141">
        <v>147.24403864561344</v>
      </c>
      <c r="O26" s="141">
        <v>42.806616192458812</v>
      </c>
      <c r="P26" s="141">
        <v>69.383043849666507</v>
      </c>
      <c r="Q26" s="141">
        <v>239.85612897232977</v>
      </c>
      <c r="R26" s="141">
        <v>126.44146053368304</v>
      </c>
      <c r="S26" s="141">
        <v>219.06289288411506</v>
      </c>
      <c r="T26" s="141">
        <v>187.61061276778673</v>
      </c>
      <c r="U26" s="141">
        <v>180.76185761998067</v>
      </c>
      <c r="V26" s="141">
        <v>153.91850574170442</v>
      </c>
      <c r="W26" s="141">
        <v>179.74160318690681</v>
      </c>
      <c r="X26" s="141">
        <v>135.27798711506452</v>
      </c>
      <c r="Y26" s="141">
        <v>110.67114548814024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496.06625535343289</v>
      </c>
      <c r="D29" s="139">
        <f t="shared" si="13"/>
        <v>530.09347313127876</v>
      </c>
      <c r="E29" s="139">
        <f t="shared" si="13"/>
        <v>581.08290174075637</v>
      </c>
      <c r="F29" s="139">
        <f t="shared" si="13"/>
        <v>434.36728504116195</v>
      </c>
      <c r="G29" s="139">
        <f t="shared" si="13"/>
        <v>792.30247572232645</v>
      </c>
      <c r="H29" s="139">
        <f t="shared" si="13"/>
        <v>966.03432544223972</v>
      </c>
      <c r="I29" s="139">
        <f t="shared" si="13"/>
        <v>611.0064851539164</v>
      </c>
      <c r="J29" s="139">
        <f t="shared" si="13"/>
        <v>67.623706267417745</v>
      </c>
      <c r="K29" s="139">
        <f t="shared" si="13"/>
        <v>66.347787281240073</v>
      </c>
      <c r="L29" s="139">
        <f t="shared" si="13"/>
        <v>113.21065076774767</v>
      </c>
      <c r="M29" s="139">
        <f t="shared" si="13"/>
        <v>497.84473611006683</v>
      </c>
      <c r="N29" s="139">
        <f t="shared" si="13"/>
        <v>335.94458197093923</v>
      </c>
      <c r="O29" s="139">
        <f t="shared" si="13"/>
        <v>148.77116649620399</v>
      </c>
      <c r="P29" s="139">
        <f t="shared" si="13"/>
        <v>261.319076300392</v>
      </c>
      <c r="Q29" s="139">
        <f t="shared" si="13"/>
        <v>458.14217623223692</v>
      </c>
      <c r="R29" s="139">
        <f t="shared" ref="R29:W29" si="14">SUM(R30:R33)</f>
        <v>268.83769533419593</v>
      </c>
      <c r="S29" s="139">
        <f t="shared" si="14"/>
        <v>398.78648075650898</v>
      </c>
      <c r="T29" s="139">
        <f t="shared" si="14"/>
        <v>332.15170783529271</v>
      </c>
      <c r="U29" s="139">
        <f t="shared" si="14"/>
        <v>286.14140198219599</v>
      </c>
      <c r="V29" s="139">
        <f t="shared" si="14"/>
        <v>274.45149721963588</v>
      </c>
      <c r="W29" s="139">
        <f t="shared" si="14"/>
        <v>259.92727673555038</v>
      </c>
      <c r="X29" s="139">
        <f t="shared" ref="X29:Y29" si="15">SUM(X30:X33)</f>
        <v>248.80880590849537</v>
      </c>
      <c r="Y29" s="139">
        <f t="shared" si="15"/>
        <v>237.07398224828097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0</v>
      </c>
      <c r="D30" s="140">
        <v>0</v>
      </c>
      <c r="E30" s="140">
        <v>0</v>
      </c>
      <c r="F30" s="140">
        <v>71.652458095892101</v>
      </c>
      <c r="G30" s="140">
        <v>29.914640212997821</v>
      </c>
      <c r="H30" s="140">
        <v>17.496775626674953</v>
      </c>
      <c r="I30" s="140">
        <v>0</v>
      </c>
      <c r="J30" s="140">
        <v>0</v>
      </c>
      <c r="K30" s="140">
        <v>0</v>
      </c>
      <c r="L30" s="140">
        <v>0.52277384640358426</v>
      </c>
      <c r="M30" s="140">
        <v>7.4615755329225681</v>
      </c>
      <c r="N30" s="140">
        <v>7.2391978577456459</v>
      </c>
      <c r="O30" s="140">
        <v>3.5437755777735949</v>
      </c>
      <c r="P30" s="140">
        <v>12.523113601809337</v>
      </c>
      <c r="Q30" s="140">
        <v>37.747992818193303</v>
      </c>
      <c r="R30" s="140">
        <v>31.466911188547456</v>
      </c>
      <c r="S30" s="140">
        <v>7.9243209577821228</v>
      </c>
      <c r="T30" s="140">
        <v>10.419774633938598</v>
      </c>
      <c r="U30" s="140">
        <v>0</v>
      </c>
      <c r="V30" s="140">
        <v>0</v>
      </c>
      <c r="W30" s="140">
        <v>15.312009125089213</v>
      </c>
      <c r="X30" s="140">
        <v>4.2832932092795364</v>
      </c>
      <c r="Y30" s="140">
        <v>33.142143441648827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155.73835483523007</v>
      </c>
      <c r="D31" s="140">
        <v>128.14991059740214</v>
      </c>
      <c r="E31" s="140">
        <v>78.311460278547884</v>
      </c>
      <c r="F31" s="140">
        <v>27.637839637135709</v>
      </c>
      <c r="G31" s="140">
        <v>19.201022074153443</v>
      </c>
      <c r="H31" s="140">
        <v>27.995578327249159</v>
      </c>
      <c r="I31" s="140">
        <v>17.996919641813733</v>
      </c>
      <c r="J31" s="140">
        <v>2.9878066108750496</v>
      </c>
      <c r="K31" s="140">
        <v>3.1864211874147683</v>
      </c>
      <c r="L31" s="140">
        <v>11.469559496392785</v>
      </c>
      <c r="M31" s="140">
        <v>65.748866438071644</v>
      </c>
      <c r="N31" s="140">
        <v>55.278287573283521</v>
      </c>
      <c r="O31" s="140">
        <v>23.730173607776365</v>
      </c>
      <c r="P31" s="140">
        <v>36.339235039826555</v>
      </c>
      <c r="Q31" s="140">
        <v>53.971470064197987</v>
      </c>
      <c r="R31" s="140">
        <v>48.216897970913344</v>
      </c>
      <c r="S31" s="140">
        <v>51.570173607613349</v>
      </c>
      <c r="T31" s="140">
        <v>57.444822497207831</v>
      </c>
      <c r="U31" s="140">
        <v>27.990150533378888</v>
      </c>
      <c r="V31" s="140">
        <v>21.061705559376026</v>
      </c>
      <c r="W31" s="140">
        <v>10.29663211785371</v>
      </c>
      <c r="X31" s="140">
        <v>0</v>
      </c>
      <c r="Y31" s="140">
        <v>0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340.3279005182028</v>
      </c>
      <c r="D33" s="152">
        <v>401.94356253387662</v>
      </c>
      <c r="E33" s="152">
        <v>502.77144146220854</v>
      </c>
      <c r="F33" s="152">
        <v>335.07698730813416</v>
      </c>
      <c r="G33" s="152">
        <v>743.18681343517517</v>
      </c>
      <c r="H33" s="152">
        <v>920.54197148831565</v>
      </c>
      <c r="I33" s="152">
        <v>593.00956551210265</v>
      </c>
      <c r="J33" s="152">
        <v>64.635899656542691</v>
      </c>
      <c r="K33" s="152">
        <v>63.161366093825308</v>
      </c>
      <c r="L33" s="152">
        <v>101.21831742495129</v>
      </c>
      <c r="M33" s="152">
        <v>424.63429413907261</v>
      </c>
      <c r="N33" s="152">
        <v>273.42709653991005</v>
      </c>
      <c r="O33" s="152">
        <v>121.49721731065404</v>
      </c>
      <c r="P33" s="152">
        <v>212.45672765875608</v>
      </c>
      <c r="Q33" s="152">
        <v>366.42271334984565</v>
      </c>
      <c r="R33" s="152">
        <v>189.15388617473516</v>
      </c>
      <c r="S33" s="152">
        <v>339.29198619111349</v>
      </c>
      <c r="T33" s="152">
        <v>264.2871107041463</v>
      </c>
      <c r="U33" s="152">
        <v>258.15125144881711</v>
      </c>
      <c r="V33" s="152">
        <v>253.38979166025987</v>
      </c>
      <c r="W33" s="152">
        <v>234.31863549260746</v>
      </c>
      <c r="X33" s="152">
        <v>244.52551269921582</v>
      </c>
      <c r="Y33" s="152">
        <v>203.93183880663213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9.0227898515687812</v>
      </c>
      <c r="D3" s="125">
        <f t="shared" si="0"/>
        <v>8.6571636069406708</v>
      </c>
      <c r="E3" s="125">
        <f t="shared" si="0"/>
        <v>12.243349045642006</v>
      </c>
      <c r="F3" s="125">
        <f t="shared" si="0"/>
        <v>8.2554315234429154</v>
      </c>
      <c r="G3" s="125">
        <f t="shared" si="0"/>
        <v>13.945779892907517</v>
      </c>
      <c r="H3" s="125">
        <f t="shared" si="0"/>
        <v>16.103763105623244</v>
      </c>
      <c r="I3" s="125">
        <f t="shared" si="0"/>
        <v>10.199276466868463</v>
      </c>
      <c r="J3" s="125">
        <f t="shared" si="0"/>
        <v>1.2675799249450157</v>
      </c>
      <c r="K3" s="125">
        <f t="shared" si="0"/>
        <v>1.2153180233739487</v>
      </c>
      <c r="L3" s="125">
        <f t="shared" si="0"/>
        <v>2.0114374212210344</v>
      </c>
      <c r="M3" s="125">
        <f t="shared" si="0"/>
        <v>8.6164496965038353</v>
      </c>
      <c r="N3" s="125">
        <f t="shared" si="0"/>
        <v>5.5441757463056538</v>
      </c>
      <c r="O3" s="125">
        <f t="shared" si="0"/>
        <v>2.3506320428412169</v>
      </c>
      <c r="P3" s="125">
        <f t="shared" si="0"/>
        <v>4.5069445178891812</v>
      </c>
      <c r="Q3" s="125">
        <f t="shared" si="0"/>
        <v>6.8444634095341224</v>
      </c>
      <c r="R3" s="125">
        <f t="shared" ref="R3:W3" si="1">SUM(R4,R16,R19,R29)</f>
        <v>4.2395643735019046</v>
      </c>
      <c r="S3" s="125">
        <f t="shared" si="1"/>
        <v>5.3545264970621771</v>
      </c>
      <c r="T3" s="125">
        <f t="shared" si="1"/>
        <v>4.4026455242565472</v>
      </c>
      <c r="U3" s="125">
        <f t="shared" si="1"/>
        <v>3.3835996665973154</v>
      </c>
      <c r="V3" s="125">
        <f t="shared" si="1"/>
        <v>2.8852860219859346</v>
      </c>
      <c r="W3" s="125">
        <f t="shared" si="1"/>
        <v>2.6228785249691544</v>
      </c>
      <c r="X3" s="125">
        <f t="shared" ref="X3:Y3" si="2">SUM(X4,X16,X19,X29)</f>
        <v>2.3888105477372892</v>
      </c>
      <c r="Y3" s="125">
        <f t="shared" si="2"/>
        <v>2.3418528576361997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6.619858071421687</v>
      </c>
      <c r="D4" s="130">
        <f t="shared" si="3"/>
        <v>6.2223050346013755</v>
      </c>
      <c r="E4" s="130">
        <f t="shared" si="3"/>
        <v>9.6350320653508685</v>
      </c>
      <c r="F4" s="130">
        <f t="shared" si="3"/>
        <v>6.2700925164061987</v>
      </c>
      <c r="G4" s="130">
        <f t="shared" si="3"/>
        <v>10.517288465928171</v>
      </c>
      <c r="H4" s="130">
        <f t="shared" si="3"/>
        <v>12.047184015819974</v>
      </c>
      <c r="I4" s="130">
        <f t="shared" si="3"/>
        <v>7.6846293630768949</v>
      </c>
      <c r="J4" s="130">
        <f t="shared" si="3"/>
        <v>0.96038732528696524</v>
      </c>
      <c r="K4" s="130">
        <f t="shared" si="3"/>
        <v>0.90757770981206776</v>
      </c>
      <c r="L4" s="130">
        <f t="shared" si="3"/>
        <v>1.4727074699856515</v>
      </c>
      <c r="M4" s="130">
        <f t="shared" si="3"/>
        <v>6.3666476364277047</v>
      </c>
      <c r="N4" s="130">
        <f t="shared" si="3"/>
        <v>4.0363610005797455</v>
      </c>
      <c r="O4" s="130">
        <f t="shared" si="3"/>
        <v>1.6609611123742256</v>
      </c>
      <c r="P4" s="130">
        <f t="shared" si="3"/>
        <v>3.3340959012313323</v>
      </c>
      <c r="Q4" s="130">
        <f t="shared" si="3"/>
        <v>4.9312923748885913</v>
      </c>
      <c r="R4" s="130">
        <f t="shared" ref="R4:W4" si="4">SUM(R5:R15)</f>
        <v>3.0797298143025587</v>
      </c>
      <c r="S4" s="130">
        <f t="shared" si="4"/>
        <v>3.7615848822368134</v>
      </c>
      <c r="T4" s="130">
        <f t="shared" si="4"/>
        <v>3.0675744479966922</v>
      </c>
      <c r="U4" s="130">
        <f t="shared" si="4"/>
        <v>2.2701758847667191</v>
      </c>
      <c r="V4" s="130">
        <f t="shared" si="4"/>
        <v>1.9170071442647156</v>
      </c>
      <c r="W4" s="130">
        <f t="shared" si="4"/>
        <v>1.609898650654856</v>
      </c>
      <c r="X4" s="130">
        <f t="shared" ref="X4:Y4" si="5">SUM(X5:X15)</f>
        <v>1.3582928180724887</v>
      </c>
      <c r="Y4" s="130">
        <f t="shared" si="5"/>
        <v>1.2166689394822106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0.18829514999424699</v>
      </c>
      <c r="D5" s="132">
        <v>0.13319757787539555</v>
      </c>
      <c r="E5" s="132">
        <v>9.4748178736359184E-2</v>
      </c>
      <c r="F5" s="132">
        <v>0</v>
      </c>
      <c r="G5" s="132">
        <v>0.12133659632534782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5.8244517318716139E-2</v>
      </c>
      <c r="N5" s="132">
        <v>9.088401739714945E-2</v>
      </c>
      <c r="O5" s="132">
        <v>5.9924926595967772E-2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2.3766564018511153E-3</v>
      </c>
      <c r="W5" s="132">
        <v>0</v>
      </c>
      <c r="X5" s="132">
        <v>0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0.68142871050047948</v>
      </c>
      <c r="D7" s="132">
        <v>0</v>
      </c>
      <c r="E7" s="132">
        <v>0</v>
      </c>
      <c r="F7" s="132">
        <v>0</v>
      </c>
      <c r="G7" s="132">
        <v>0</v>
      </c>
      <c r="H7" s="132">
        <v>9.9266826732891389E-2</v>
      </c>
      <c r="I7" s="132">
        <v>1.0422259045415641</v>
      </c>
      <c r="J7" s="132">
        <v>0.10626331076630018</v>
      </c>
      <c r="K7" s="132">
        <v>0.2266480534688623</v>
      </c>
      <c r="L7" s="132">
        <v>0.38152895816662447</v>
      </c>
      <c r="M7" s="132">
        <v>2.6882564287886059</v>
      </c>
      <c r="N7" s="132">
        <v>0.93394237188568641</v>
      </c>
      <c r="O7" s="132">
        <v>0.20704784957675862</v>
      </c>
      <c r="P7" s="132">
        <v>0</v>
      </c>
      <c r="Q7" s="132">
        <v>0</v>
      </c>
      <c r="R7" s="132">
        <v>0</v>
      </c>
      <c r="S7" s="132">
        <v>0</v>
      </c>
      <c r="T7" s="132">
        <v>0</v>
      </c>
      <c r="U7" s="132">
        <v>0</v>
      </c>
      <c r="V7" s="132">
        <v>0</v>
      </c>
      <c r="W7" s="132">
        <v>9.2892071029543083E-2</v>
      </c>
      <c r="X7" s="132">
        <v>0.18599708758401787</v>
      </c>
      <c r="Y7" s="132">
        <v>0.24356925892398129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1.9625702779568095</v>
      </c>
      <c r="D9" s="132">
        <v>2.824031340775969</v>
      </c>
      <c r="E9" s="132">
        <v>6.0805745702242939</v>
      </c>
      <c r="F9" s="132">
        <v>0.58851163376571358</v>
      </c>
      <c r="G9" s="132">
        <v>0</v>
      </c>
      <c r="H9" s="132">
        <v>0</v>
      </c>
      <c r="I9" s="132">
        <v>0</v>
      </c>
      <c r="J9" s="132">
        <v>0</v>
      </c>
      <c r="K9" s="132">
        <v>0</v>
      </c>
      <c r="L9" s="132">
        <v>0</v>
      </c>
      <c r="M9" s="132">
        <v>0.88978385763221102</v>
      </c>
      <c r="N9" s="132">
        <v>0.85018355380810051</v>
      </c>
      <c r="O9" s="132">
        <v>0.6597109046952111</v>
      </c>
      <c r="P9" s="132">
        <v>1.8279812945799754</v>
      </c>
      <c r="Q9" s="132">
        <v>2.0313445793934148</v>
      </c>
      <c r="R9" s="132">
        <v>1.0476024369170944</v>
      </c>
      <c r="S9" s="132">
        <v>0.82020461045143656</v>
      </c>
      <c r="T9" s="132">
        <v>0.59935119626338951</v>
      </c>
      <c r="U9" s="132">
        <v>0.31151586957855354</v>
      </c>
      <c r="V9" s="132">
        <v>0</v>
      </c>
      <c r="W9" s="132">
        <v>0</v>
      </c>
      <c r="X9" s="132">
        <v>0</v>
      </c>
      <c r="Y9" s="132">
        <v>0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0.89032021562437558</v>
      </c>
      <c r="D10" s="132">
        <v>0.56694169170597641</v>
      </c>
      <c r="E10" s="132">
        <v>0.58382195716351248</v>
      </c>
      <c r="F10" s="132">
        <v>0.91385813135320815</v>
      </c>
      <c r="G10" s="132">
        <v>0.63775701556313891</v>
      </c>
      <c r="H10" s="132">
        <v>0.9145212474309603</v>
      </c>
      <c r="I10" s="132">
        <v>0.15872875171635703</v>
      </c>
      <c r="J10" s="132">
        <v>0</v>
      </c>
      <c r="K10" s="132">
        <v>0</v>
      </c>
      <c r="L10" s="132">
        <v>4.0574630018865389E-2</v>
      </c>
      <c r="M10" s="132">
        <v>0.3142172546834055</v>
      </c>
      <c r="N10" s="132">
        <v>0</v>
      </c>
      <c r="O10" s="132">
        <v>0</v>
      </c>
      <c r="P10" s="132">
        <v>0</v>
      </c>
      <c r="Q10" s="132">
        <v>0</v>
      </c>
      <c r="R10" s="132">
        <v>6.7289956886124547E-2</v>
      </c>
      <c r="S10" s="132">
        <v>0.33962158295089623</v>
      </c>
      <c r="T10" s="132">
        <v>0.19341944674775918</v>
      </c>
      <c r="U10" s="132">
        <v>0.23539862187610888</v>
      </c>
      <c r="V10" s="132">
        <v>0.10069776770479209</v>
      </c>
      <c r="W10" s="132">
        <v>0.10250481584698289</v>
      </c>
      <c r="X10" s="132">
        <v>1.7670410568033514E-2</v>
      </c>
      <c r="Y10" s="132">
        <v>0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0.88932526567651293</v>
      </c>
      <c r="D12" s="132">
        <v>1.2104911208053502</v>
      </c>
      <c r="E12" s="132">
        <v>1.765286549374111</v>
      </c>
      <c r="F12" s="132">
        <v>3.0244977792278442</v>
      </c>
      <c r="G12" s="132">
        <v>6.4559913525524379</v>
      </c>
      <c r="H12" s="132">
        <v>5.5332295828941005</v>
      </c>
      <c r="I12" s="132">
        <v>2.7977830183578574</v>
      </c>
      <c r="J12" s="132">
        <v>0.32695341422910312</v>
      </c>
      <c r="K12" s="132">
        <v>0.43531704755903006</v>
      </c>
      <c r="L12" s="132">
        <v>0.94315015140768788</v>
      </c>
      <c r="M12" s="132">
        <v>1.8815952362382222</v>
      </c>
      <c r="N12" s="132">
        <v>1.1185894366461424</v>
      </c>
      <c r="O12" s="132">
        <v>0.18116458079567244</v>
      </c>
      <c r="P12" s="132">
        <v>7.8150799118748671E-2</v>
      </c>
      <c r="Q12" s="132">
        <v>1.5897812943180012</v>
      </c>
      <c r="R12" s="132">
        <v>0.96259537292520958</v>
      </c>
      <c r="S12" s="132">
        <v>1.6860908689333254</v>
      </c>
      <c r="T12" s="132">
        <v>0.94460119449715918</v>
      </c>
      <c r="U12" s="132">
        <v>0.56613834300449628</v>
      </c>
      <c r="V12" s="132">
        <v>1.0237942784837721</v>
      </c>
      <c r="W12" s="132">
        <v>0.93772884282831259</v>
      </c>
      <c r="X12" s="132">
        <v>1.1007323423238402</v>
      </c>
      <c r="Y12" s="132">
        <v>0.96705505736072772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1.9726064379980359</v>
      </c>
      <c r="D14" s="65">
        <v>1.4513071500323571</v>
      </c>
      <c r="E14" s="65">
        <v>1.040542328442593</v>
      </c>
      <c r="F14" s="65">
        <v>1.7221914395329436</v>
      </c>
      <c r="G14" s="65">
        <v>3.2756777041282974</v>
      </c>
      <c r="H14" s="65">
        <v>5.4756680052261339</v>
      </c>
      <c r="I14" s="65">
        <v>3.6659755833727847</v>
      </c>
      <c r="J14" s="65">
        <v>0.52508404818187182</v>
      </c>
      <c r="K14" s="65">
        <v>0.24206769369376169</v>
      </c>
      <c r="L14" s="65">
        <v>0.10061018733741857</v>
      </c>
      <c r="M14" s="65">
        <v>0.4928637319678586</v>
      </c>
      <c r="N14" s="65">
        <v>1.021103784523689</v>
      </c>
      <c r="O14" s="65">
        <v>0.54327312555645246</v>
      </c>
      <c r="P14" s="65">
        <v>1.4079010921678023</v>
      </c>
      <c r="Q14" s="65">
        <v>1.2820482915706686</v>
      </c>
      <c r="R14" s="65">
        <v>0.98679538677404322</v>
      </c>
      <c r="S14" s="65">
        <v>0.89914795457886287</v>
      </c>
      <c r="T14" s="65">
        <v>1.3192542636067051</v>
      </c>
      <c r="U14" s="65">
        <v>1.1505824768554096</v>
      </c>
      <c r="V14" s="65">
        <v>0.78625742527290754</v>
      </c>
      <c r="W14" s="65">
        <v>0.47213419879499535</v>
      </c>
      <c r="X14" s="65">
        <v>4.7990975682594056E-2</v>
      </c>
      <c r="Y14" s="65">
        <v>0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3.5312013671226591E-2</v>
      </c>
      <c r="D15" s="134">
        <v>3.6336153406326954E-2</v>
      </c>
      <c r="E15" s="134">
        <v>7.0058481409999748E-2</v>
      </c>
      <c r="F15" s="134">
        <v>2.103353252648836E-2</v>
      </c>
      <c r="G15" s="134">
        <v>2.6525797358949763E-2</v>
      </c>
      <c r="H15" s="134">
        <v>2.4498353535887751E-2</v>
      </c>
      <c r="I15" s="134">
        <v>1.9916105088332005E-2</v>
      </c>
      <c r="J15" s="134">
        <v>2.0865521096901018E-3</v>
      </c>
      <c r="K15" s="134">
        <v>3.5449150904136636E-3</v>
      </c>
      <c r="L15" s="134">
        <v>6.8435430550549724E-3</v>
      </c>
      <c r="M15" s="134">
        <v>4.1686609798685818E-2</v>
      </c>
      <c r="N15" s="134">
        <v>2.1657836318977483E-2</v>
      </c>
      <c r="O15" s="134">
        <v>9.8397251541631724E-3</v>
      </c>
      <c r="P15" s="134">
        <v>2.0062715364805726E-2</v>
      </c>
      <c r="Q15" s="134">
        <v>2.81182096065061E-2</v>
      </c>
      <c r="R15" s="134">
        <v>1.5446660800087159E-2</v>
      </c>
      <c r="S15" s="134">
        <v>1.6519865322292243E-2</v>
      </c>
      <c r="T15" s="134">
        <v>1.0948346881679307E-2</v>
      </c>
      <c r="U15" s="134">
        <v>6.5405734521505462E-3</v>
      </c>
      <c r="V15" s="134">
        <v>3.8810164013927261E-3</v>
      </c>
      <c r="W15" s="134">
        <v>4.6387221550221961E-3</v>
      </c>
      <c r="X15" s="134">
        <v>5.9020019140030187E-3</v>
      </c>
      <c r="Y15" s="134">
        <v>6.0446231975016381E-3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5.9570949900812714E-2</v>
      </c>
      <c r="D16" s="130">
        <f t="shared" si="6"/>
        <v>6.4368262813765773E-2</v>
      </c>
      <c r="E16" s="130">
        <f t="shared" si="6"/>
        <v>6.0963312261182366E-2</v>
      </c>
      <c r="F16" s="130">
        <f t="shared" si="6"/>
        <v>5.2630095814146266E-2</v>
      </c>
      <c r="G16" s="130">
        <f t="shared" si="6"/>
        <v>7.4609793886292505E-2</v>
      </c>
      <c r="H16" s="130">
        <f t="shared" si="6"/>
        <v>9.2904348014567678E-2</v>
      </c>
      <c r="I16" s="130">
        <f t="shared" si="6"/>
        <v>7.5620823892090905E-2</v>
      </c>
      <c r="J16" s="130">
        <f t="shared" si="6"/>
        <v>3.0660436326583624E-2</v>
      </c>
      <c r="K16" s="130">
        <f t="shared" si="6"/>
        <v>2.8608001440689455E-2</v>
      </c>
      <c r="L16" s="130">
        <f t="shared" si="6"/>
        <v>5.4299889463136672E-2</v>
      </c>
      <c r="M16" s="130">
        <f t="shared" si="6"/>
        <v>8.0991394095731861E-2</v>
      </c>
      <c r="N16" s="130">
        <f t="shared" si="6"/>
        <v>6.7616177623348747E-2</v>
      </c>
      <c r="O16" s="130">
        <f t="shared" si="6"/>
        <v>5.2930654087229592E-2</v>
      </c>
      <c r="P16" s="130">
        <f t="shared" si="6"/>
        <v>6.6563660721945292E-2</v>
      </c>
      <c r="Q16" s="130">
        <f t="shared" si="6"/>
        <v>7.3848884214909316E-2</v>
      </c>
      <c r="R16" s="130">
        <f t="shared" ref="R16:W16" si="7">SUM(R17:R18)</f>
        <v>6.2325171029049185E-2</v>
      </c>
      <c r="S16" s="130">
        <f t="shared" si="7"/>
        <v>6.3456026838046589E-2</v>
      </c>
      <c r="T16" s="130">
        <f t="shared" si="7"/>
        <v>7.4212199833955036E-2</v>
      </c>
      <c r="U16" s="130">
        <f t="shared" si="7"/>
        <v>6.0885811863543964E-2</v>
      </c>
      <c r="V16" s="130">
        <f t="shared" si="7"/>
        <v>5.4703968110895278E-2</v>
      </c>
      <c r="W16" s="130">
        <f t="shared" si="7"/>
        <v>6.5311478625071751E-2</v>
      </c>
      <c r="X16" s="130">
        <f t="shared" ref="X16:Y16" si="8">SUM(X17:X18)</f>
        <v>7.1734092340152503E-2</v>
      </c>
      <c r="Y16" s="130">
        <f t="shared" si="8"/>
        <v>6.8332920539188852E-2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5.9570949900812714E-2</v>
      </c>
      <c r="D18" s="132">
        <v>6.4368262813765773E-2</v>
      </c>
      <c r="E18" s="132">
        <v>6.0963312261182366E-2</v>
      </c>
      <c r="F18" s="132">
        <v>5.2630095814146266E-2</v>
      </c>
      <c r="G18" s="132">
        <v>7.4609793886292505E-2</v>
      </c>
      <c r="H18" s="132">
        <v>9.2904348014567678E-2</v>
      </c>
      <c r="I18" s="132">
        <v>7.5620823892090905E-2</v>
      </c>
      <c r="J18" s="132">
        <v>3.0660436326583624E-2</v>
      </c>
      <c r="K18" s="132">
        <v>2.8608001440689455E-2</v>
      </c>
      <c r="L18" s="132">
        <v>5.4299889463136672E-2</v>
      </c>
      <c r="M18" s="132">
        <v>8.0991394095731861E-2</v>
      </c>
      <c r="N18" s="132">
        <v>6.7616177623348747E-2</v>
      </c>
      <c r="O18" s="132">
        <v>5.2930654087229592E-2</v>
      </c>
      <c r="P18" s="132">
        <v>6.6563660721945292E-2</v>
      </c>
      <c r="Q18" s="132">
        <v>7.3848884214909316E-2</v>
      </c>
      <c r="R18" s="132">
        <v>6.2325171029049185E-2</v>
      </c>
      <c r="S18" s="132">
        <v>6.3456026838046589E-2</v>
      </c>
      <c r="T18" s="132">
        <v>7.4212199833955036E-2</v>
      </c>
      <c r="U18" s="132">
        <v>6.0885811863543964E-2</v>
      </c>
      <c r="V18" s="132">
        <v>5.4703968110895278E-2</v>
      </c>
      <c r="W18" s="132">
        <v>6.5311478625071751E-2</v>
      </c>
      <c r="X18" s="132">
        <v>7.1734092340152503E-2</v>
      </c>
      <c r="Y18" s="132">
        <v>6.8332920539188852E-2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1.1599055278723813</v>
      </c>
      <c r="D19" s="130">
        <f t="shared" si="9"/>
        <v>1.1370105816461586</v>
      </c>
      <c r="E19" s="130">
        <f t="shared" si="9"/>
        <v>1.2584430089470111</v>
      </c>
      <c r="F19" s="130">
        <f t="shared" si="9"/>
        <v>0.89104148802886018</v>
      </c>
      <c r="G19" s="130">
        <f t="shared" si="9"/>
        <v>1.6173934110848407</v>
      </c>
      <c r="H19" s="130">
        <f t="shared" si="9"/>
        <v>1.9121119815083676</v>
      </c>
      <c r="I19" s="130">
        <f t="shared" si="9"/>
        <v>1.1578120310351689</v>
      </c>
      <c r="J19" s="130">
        <f t="shared" si="9"/>
        <v>0.12859310595346224</v>
      </c>
      <c r="K19" s="130">
        <f t="shared" si="9"/>
        <v>0.12684438881352011</v>
      </c>
      <c r="L19" s="130">
        <f t="shared" si="9"/>
        <v>0.21702300640208935</v>
      </c>
      <c r="M19" s="130">
        <f t="shared" si="9"/>
        <v>0.97268950342167448</v>
      </c>
      <c r="N19" s="130">
        <f t="shared" si="9"/>
        <v>0.6336077000131255</v>
      </c>
      <c r="O19" s="130">
        <f t="shared" si="9"/>
        <v>0.27528858941785439</v>
      </c>
      <c r="P19" s="130">
        <f t="shared" si="9"/>
        <v>0.48821830436101271</v>
      </c>
      <c r="Q19" s="130">
        <f t="shared" si="9"/>
        <v>0.79447618278579479</v>
      </c>
      <c r="R19" s="130">
        <f t="shared" ref="R19:W19" si="10">SUM(R20:R27)</f>
        <v>0.44490859150565087</v>
      </c>
      <c r="S19" s="130">
        <f t="shared" si="10"/>
        <v>0.64468922171450871</v>
      </c>
      <c r="T19" s="130">
        <f t="shared" si="10"/>
        <v>0.52503904640908883</v>
      </c>
      <c r="U19" s="130">
        <f t="shared" si="10"/>
        <v>0.45422108054507226</v>
      </c>
      <c r="V19" s="130">
        <f t="shared" si="10"/>
        <v>0.39989461996709919</v>
      </c>
      <c r="W19" s="130">
        <f t="shared" si="10"/>
        <v>0.39923019120003128</v>
      </c>
      <c r="X19" s="130">
        <f t="shared" ref="X19:Y19" si="11">SUM(X20:X27)</f>
        <v>0.39567577230897399</v>
      </c>
      <c r="Y19" s="130">
        <f t="shared" si="11"/>
        <v>0.41685906486807955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0.13397176614857628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9.0306034781481095E-2</v>
      </c>
      <c r="J22" s="132">
        <v>3.48780979660646E-2</v>
      </c>
      <c r="K22" s="132">
        <v>2.5882573346318778E-2</v>
      </c>
      <c r="L22" s="132">
        <v>3.2730679765999152E-2</v>
      </c>
      <c r="M22" s="132">
        <v>0.10443631299211049</v>
      </c>
      <c r="N22" s="132">
        <v>7.3540910861263756E-2</v>
      </c>
      <c r="O22" s="132">
        <v>3.031939639869086E-2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6.1204478434523542E-3</v>
      </c>
      <c r="X22" s="132">
        <v>3.035449659009011E-2</v>
      </c>
      <c r="Y22" s="132">
        <v>5.2374655695590959E-2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0.22455108982284638</v>
      </c>
      <c r="D23" s="132">
        <v>0.12710171353554087</v>
      </c>
      <c r="E23" s="132">
        <v>0.10045429106228532</v>
      </c>
      <c r="F23" s="132">
        <v>5.3142607960516876E-2</v>
      </c>
      <c r="G23" s="132">
        <v>8.2191999639229366E-2</v>
      </c>
      <c r="H23" s="132">
        <v>0.10082263284269508</v>
      </c>
      <c r="I23" s="132">
        <v>7.2341994314036664E-2</v>
      </c>
      <c r="J23" s="132">
        <v>1.2600480898610955E-2</v>
      </c>
      <c r="K23" s="132">
        <v>1.3005791762262298E-2</v>
      </c>
      <c r="L23" s="132">
        <v>2.0697368305017286E-2</v>
      </c>
      <c r="M23" s="132">
        <v>0.13543767069806892</v>
      </c>
      <c r="N23" s="132">
        <v>0.11880983298596928</v>
      </c>
      <c r="O23" s="132">
        <v>9.4771333370224309E-2</v>
      </c>
      <c r="P23" s="132">
        <v>0.28150898000575458</v>
      </c>
      <c r="Q23" s="132">
        <v>0.23948149860626855</v>
      </c>
      <c r="R23" s="132">
        <v>0.1208863854376527</v>
      </c>
      <c r="S23" s="132">
        <v>0.13847007433036382</v>
      </c>
      <c r="T23" s="132">
        <v>0.12073376349905039</v>
      </c>
      <c r="U23" s="132">
        <v>7.7938623454930966E-2</v>
      </c>
      <c r="V23" s="132">
        <v>3.6071139374690822E-2</v>
      </c>
      <c r="W23" s="132">
        <v>0</v>
      </c>
      <c r="X23" s="132">
        <v>0</v>
      </c>
      <c r="Y23" s="132">
        <v>0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0.3206812730365437</v>
      </c>
      <c r="D25" s="132">
        <v>0.2854175626665742</v>
      </c>
      <c r="E25" s="132">
        <v>0.29834141738532938</v>
      </c>
      <c r="F25" s="132">
        <v>0.28076875012546421</v>
      </c>
      <c r="G25" s="132">
        <v>0.49701797988409202</v>
      </c>
      <c r="H25" s="132">
        <v>0.57971800272522422</v>
      </c>
      <c r="I25" s="132">
        <v>0.4316823959495884</v>
      </c>
      <c r="J25" s="132">
        <v>7.5093761724440281E-2</v>
      </c>
      <c r="K25" s="132">
        <v>6.0949840929827505E-2</v>
      </c>
      <c r="L25" s="132">
        <v>6.8964672767546809E-2</v>
      </c>
      <c r="M25" s="132">
        <v>0.21846265324773748</v>
      </c>
      <c r="N25" s="132">
        <v>0.15106932225053243</v>
      </c>
      <c r="O25" s="132">
        <v>7.0586014667623639E-2</v>
      </c>
      <c r="P25" s="132">
        <v>8.7665348280447072E-2</v>
      </c>
      <c r="Q25" s="132">
        <v>0.14009925960571196</v>
      </c>
      <c r="R25" s="132">
        <v>0.11486630433820848</v>
      </c>
      <c r="S25" s="132">
        <v>0.15498057478075114</v>
      </c>
      <c r="T25" s="132">
        <v>0.11641222616383266</v>
      </c>
      <c r="U25" s="132">
        <v>9.5028961201934548E-2</v>
      </c>
      <c r="V25" s="132">
        <v>0.13583357647052033</v>
      </c>
      <c r="W25" s="132">
        <v>0.11826814205853751</v>
      </c>
      <c r="X25" s="132">
        <v>0.16304139030769138</v>
      </c>
      <c r="Y25" s="132">
        <v>0.17730537009153749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0.48070139886441493</v>
      </c>
      <c r="D26" s="65">
        <v>0.72449130544404361</v>
      </c>
      <c r="E26" s="65">
        <v>0.85964730049939642</v>
      </c>
      <c r="F26" s="65">
        <v>0.55713012994287903</v>
      </c>
      <c r="G26" s="65">
        <v>1.0381834315615193</v>
      </c>
      <c r="H26" s="65">
        <v>1.2315713459404483</v>
      </c>
      <c r="I26" s="65">
        <v>0.56348160599006281</v>
      </c>
      <c r="J26" s="65">
        <v>6.0207653643464011E-3</v>
      </c>
      <c r="K26" s="65">
        <v>2.7006182775111531E-2</v>
      </c>
      <c r="L26" s="65">
        <v>9.4630285563526109E-2</v>
      </c>
      <c r="M26" s="65">
        <v>0.51435286648375755</v>
      </c>
      <c r="N26" s="65">
        <v>0.29018763391535995</v>
      </c>
      <c r="O26" s="65">
        <v>7.9611844981315544E-2</v>
      </c>
      <c r="P26" s="65">
        <v>0.11904397607481103</v>
      </c>
      <c r="Q26" s="65">
        <v>0.41489542457381429</v>
      </c>
      <c r="R26" s="65">
        <v>0.20915590172978968</v>
      </c>
      <c r="S26" s="65">
        <v>0.35123857260339375</v>
      </c>
      <c r="T26" s="65">
        <v>0.2878930567462058</v>
      </c>
      <c r="U26" s="65">
        <v>0.28125349588820675</v>
      </c>
      <c r="V26" s="65">
        <v>0.22798990412188799</v>
      </c>
      <c r="W26" s="65">
        <v>0.27484160129804142</v>
      </c>
      <c r="X26" s="65">
        <v>0.20227988541119252</v>
      </c>
      <c r="Y26" s="65">
        <v>0.1871790390809511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1.183455302373899</v>
      </c>
      <c r="D29" s="130">
        <f t="shared" si="12"/>
        <v>1.2334797278793701</v>
      </c>
      <c r="E29" s="130">
        <f t="shared" si="12"/>
        <v>1.2889106590829433</v>
      </c>
      <c r="F29" s="130">
        <f t="shared" si="12"/>
        <v>1.0416674231937102</v>
      </c>
      <c r="G29" s="130">
        <f t="shared" si="12"/>
        <v>1.7364882220082118</v>
      </c>
      <c r="H29" s="130">
        <f t="shared" si="12"/>
        <v>2.0515627602803339</v>
      </c>
      <c r="I29" s="130">
        <f t="shared" si="12"/>
        <v>1.281214248864307</v>
      </c>
      <c r="J29" s="130">
        <f t="shared" si="12"/>
        <v>0.14793905737800456</v>
      </c>
      <c r="K29" s="130">
        <f t="shared" si="12"/>
        <v>0.15228792330767132</v>
      </c>
      <c r="L29" s="130">
        <f t="shared" si="12"/>
        <v>0.26740705537015708</v>
      </c>
      <c r="M29" s="130">
        <f t="shared" si="12"/>
        <v>1.196121162558724</v>
      </c>
      <c r="N29" s="130">
        <f t="shared" si="12"/>
        <v>0.80659086808943425</v>
      </c>
      <c r="O29" s="130">
        <f t="shared" si="12"/>
        <v>0.36145168696190699</v>
      </c>
      <c r="P29" s="130">
        <f t="shared" si="12"/>
        <v>0.61806665157489138</v>
      </c>
      <c r="Q29" s="130">
        <f t="shared" si="12"/>
        <v>1.044845967644827</v>
      </c>
      <c r="R29" s="130">
        <f t="shared" ref="R29:W29" si="13">SUM(R30:R33)</f>
        <v>0.65260079666464632</v>
      </c>
      <c r="S29" s="130">
        <f t="shared" si="13"/>
        <v>0.88479636627280855</v>
      </c>
      <c r="T29" s="130">
        <f t="shared" si="13"/>
        <v>0.73581983001681062</v>
      </c>
      <c r="U29" s="130">
        <f t="shared" si="13"/>
        <v>0.59831688942197991</v>
      </c>
      <c r="V29" s="130">
        <f t="shared" si="13"/>
        <v>0.51368028964322476</v>
      </c>
      <c r="W29" s="130">
        <f t="shared" si="13"/>
        <v>0.54843820448919511</v>
      </c>
      <c r="X29" s="130">
        <f t="shared" ref="X29:Y29" si="14">SUM(X30:X33)</f>
        <v>0.56310786501567389</v>
      </c>
      <c r="Y29" s="130">
        <f t="shared" si="14"/>
        <v>0.63999193274672073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0</v>
      </c>
      <c r="D30" s="132">
        <v>0</v>
      </c>
      <c r="E30" s="132">
        <v>0</v>
      </c>
      <c r="F30" s="132">
        <v>0.26994235823884594</v>
      </c>
      <c r="G30" s="132">
        <v>8.8007799405081119E-2</v>
      </c>
      <c r="H30" s="132">
        <v>4.6213282553145787E-2</v>
      </c>
      <c r="I30" s="132">
        <v>0</v>
      </c>
      <c r="J30" s="132">
        <v>0</v>
      </c>
      <c r="K30" s="132">
        <v>0</v>
      </c>
      <c r="L30" s="132">
        <v>1.48980026242535E-3</v>
      </c>
      <c r="M30" s="132">
        <v>2.1501589887584317E-2</v>
      </c>
      <c r="N30" s="132">
        <v>2.1040492872842573E-2</v>
      </c>
      <c r="O30" s="132">
        <v>1.032515475111913E-2</v>
      </c>
      <c r="P30" s="132">
        <v>3.2943504417807211E-2</v>
      </c>
      <c r="Q30" s="132">
        <v>7.7597959962788676E-2</v>
      </c>
      <c r="R30" s="132">
        <v>0.10003920895382881</v>
      </c>
      <c r="S30" s="132">
        <v>3.696667917342731E-2</v>
      </c>
      <c r="T30" s="132">
        <v>1.5133176385576382E-2</v>
      </c>
      <c r="U30" s="132">
        <v>0</v>
      </c>
      <c r="V30" s="132">
        <v>0</v>
      </c>
      <c r="W30" s="132">
        <v>3.2590507728368814E-2</v>
      </c>
      <c r="X30" s="132">
        <v>1.2401717529181573E-2</v>
      </c>
      <c r="Y30" s="132">
        <v>0.13733562017720941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0.46407751740305275</v>
      </c>
      <c r="D31" s="132">
        <v>0.41119868761937339</v>
      </c>
      <c r="E31" s="132">
        <v>0.22672326277304644</v>
      </c>
      <c r="F31" s="132">
        <v>7.7152522167052068E-2</v>
      </c>
      <c r="G31" s="132">
        <v>5.3783512636207217E-2</v>
      </c>
      <c r="H31" s="132">
        <v>7.7776043084834143E-2</v>
      </c>
      <c r="I31" s="132">
        <v>5.0917769165752837E-2</v>
      </c>
      <c r="J31" s="132">
        <v>8.6463620531144272E-3</v>
      </c>
      <c r="K31" s="132">
        <v>8.9286438373597371E-3</v>
      </c>
      <c r="L31" s="132">
        <v>3.4209950987694818E-2</v>
      </c>
      <c r="M31" s="132">
        <v>0.19805785703139908</v>
      </c>
      <c r="N31" s="132">
        <v>0.17087723042408345</v>
      </c>
      <c r="O31" s="132">
        <v>7.2732275226282769E-2</v>
      </c>
      <c r="P31" s="132">
        <v>0.10560827052551712</v>
      </c>
      <c r="Q31" s="132">
        <v>0.14680370059302544</v>
      </c>
      <c r="R31" s="132">
        <v>0.15624938240238673</v>
      </c>
      <c r="S31" s="132">
        <v>0.14643353347680726</v>
      </c>
      <c r="T31" s="132">
        <v>0.16095043362451222</v>
      </c>
      <c r="U31" s="132">
        <v>8.9550716565734351E-2</v>
      </c>
      <c r="V31" s="132">
        <v>6.5602404263511438E-2</v>
      </c>
      <c r="W31" s="132">
        <v>3.2681021735681999E-2</v>
      </c>
      <c r="X31" s="132">
        <v>0</v>
      </c>
      <c r="Y31" s="132">
        <v>0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0.71937778497084626</v>
      </c>
      <c r="D33" s="68">
        <v>0.82228104025999682</v>
      </c>
      <c r="E33" s="68">
        <v>1.0621873963098969</v>
      </c>
      <c r="F33" s="68">
        <v>0.69457254278781222</v>
      </c>
      <c r="G33" s="68">
        <v>1.5946969099669235</v>
      </c>
      <c r="H33" s="68">
        <v>1.9275734346423539</v>
      </c>
      <c r="I33" s="68">
        <v>1.2302964796985543</v>
      </c>
      <c r="J33" s="68">
        <v>0.13929269532489014</v>
      </c>
      <c r="K33" s="68">
        <v>0.14335927947031157</v>
      </c>
      <c r="L33" s="68">
        <v>0.2317073041200369</v>
      </c>
      <c r="M33" s="68">
        <v>0.97656171563974059</v>
      </c>
      <c r="N33" s="68">
        <v>0.61467314479250823</v>
      </c>
      <c r="O33" s="68">
        <v>0.2783942569845051</v>
      </c>
      <c r="P33" s="68">
        <v>0.47951487663156711</v>
      </c>
      <c r="Q33" s="68">
        <v>0.82044430708901295</v>
      </c>
      <c r="R33" s="68">
        <v>0.39631220530843081</v>
      </c>
      <c r="S33" s="68">
        <v>0.70139615362257401</v>
      </c>
      <c r="T33" s="68">
        <v>0.55973622000672207</v>
      </c>
      <c r="U33" s="68">
        <v>0.50876617285624559</v>
      </c>
      <c r="V33" s="68">
        <v>0.44807788537971333</v>
      </c>
      <c r="W33" s="68">
        <v>0.48316667502514427</v>
      </c>
      <c r="X33" s="68">
        <v>0.55070614748649227</v>
      </c>
      <c r="Y33" s="68">
        <v>0.50265631256951127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5.7014409542424804</v>
      </c>
      <c r="D3" s="125">
        <f t="shared" si="0"/>
        <v>5.6012970563952678</v>
      </c>
      <c r="E3" s="125">
        <f t="shared" si="0"/>
        <v>7.6533732392936562</v>
      </c>
      <c r="F3" s="125">
        <f t="shared" si="0"/>
        <v>5.8626716205717653</v>
      </c>
      <c r="G3" s="125">
        <f t="shared" si="0"/>
        <v>10.401409830983216</v>
      </c>
      <c r="H3" s="125">
        <f t="shared" si="0"/>
        <v>11.932356177503934</v>
      </c>
      <c r="I3" s="125">
        <f t="shared" si="0"/>
        <v>7.4908806359617905</v>
      </c>
      <c r="J3" s="125">
        <f t="shared" si="0"/>
        <v>1.0072606852820911</v>
      </c>
      <c r="K3" s="125">
        <f t="shared" si="0"/>
        <v>0.95315632422762553</v>
      </c>
      <c r="L3" s="125">
        <f t="shared" si="0"/>
        <v>1.6102836903802187</v>
      </c>
      <c r="M3" s="125">
        <f t="shared" si="0"/>
        <v>5.9678095003225238</v>
      </c>
      <c r="N3" s="125">
        <f t="shared" si="0"/>
        <v>4.0913238150073452</v>
      </c>
      <c r="O3" s="125">
        <f t="shared" si="0"/>
        <v>1.8384681916563728</v>
      </c>
      <c r="P3" s="125">
        <f t="shared" si="0"/>
        <v>3.477319072727528</v>
      </c>
      <c r="Q3" s="125">
        <f t="shared" si="0"/>
        <v>5.46050491691269</v>
      </c>
      <c r="R3" s="125">
        <f t="shared" ref="R3:W3" si="1">SUM(R4,R16,R19,R29)</f>
        <v>3.4896611459702811</v>
      </c>
      <c r="S3" s="125">
        <f t="shared" si="1"/>
        <v>4.4375132525948775</v>
      </c>
      <c r="T3" s="125">
        <f t="shared" si="1"/>
        <v>3.8283641653328768</v>
      </c>
      <c r="U3" s="125">
        <f t="shared" si="1"/>
        <v>3.0163091280077032</v>
      </c>
      <c r="V3" s="125">
        <f t="shared" si="1"/>
        <v>2.6832702213863318</v>
      </c>
      <c r="W3" s="125">
        <f t="shared" si="1"/>
        <v>2.5127636106165183</v>
      </c>
      <c r="X3" s="125">
        <f t="shared" ref="X3:Y3" si="2">SUM(X4,X16,X19,X29)</f>
        <v>2.3581443901684174</v>
      </c>
      <c r="Y3" s="125">
        <f t="shared" si="2"/>
        <v>2.2744146720455514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4.0146553800912441</v>
      </c>
      <c r="D4" s="130">
        <f t="shared" si="3"/>
        <v>3.8357157610346491</v>
      </c>
      <c r="E4" s="130">
        <f t="shared" si="3"/>
        <v>5.7296313758900377</v>
      </c>
      <c r="F4" s="130">
        <f t="shared" si="3"/>
        <v>4.3812081206157432</v>
      </c>
      <c r="G4" s="130">
        <f t="shared" si="3"/>
        <v>7.7999521332589676</v>
      </c>
      <c r="H4" s="130">
        <f t="shared" si="3"/>
        <v>8.8157736060688254</v>
      </c>
      <c r="I4" s="130">
        <f t="shared" si="3"/>
        <v>5.4915409701829505</v>
      </c>
      <c r="J4" s="130">
        <f t="shared" si="3"/>
        <v>0.69775795005467878</v>
      </c>
      <c r="K4" s="130">
        <f t="shared" si="3"/>
        <v>0.64491024254432139</v>
      </c>
      <c r="L4" s="130">
        <f t="shared" si="3"/>
        <v>1.054235092337497</v>
      </c>
      <c r="M4" s="130">
        <f t="shared" si="3"/>
        <v>4.1147581026198434</v>
      </c>
      <c r="N4" s="130">
        <f t="shared" si="3"/>
        <v>2.7866842606651874</v>
      </c>
      <c r="O4" s="130">
        <f t="shared" si="3"/>
        <v>1.1426584241783346</v>
      </c>
      <c r="P4" s="130">
        <f t="shared" si="3"/>
        <v>2.3515909697053874</v>
      </c>
      <c r="Q4" s="130">
        <f t="shared" si="3"/>
        <v>3.7127366593632529</v>
      </c>
      <c r="R4" s="130">
        <f t="shared" ref="R4:W4" si="4">SUM(R5:R15)</f>
        <v>2.3551674725858605</v>
      </c>
      <c r="S4" s="130">
        <f t="shared" si="4"/>
        <v>2.9104760383590165</v>
      </c>
      <c r="T4" s="130">
        <f t="shared" si="4"/>
        <v>2.4386992914449865</v>
      </c>
      <c r="U4" s="130">
        <f t="shared" si="4"/>
        <v>1.8278265830961169</v>
      </c>
      <c r="V4" s="130">
        <f t="shared" si="4"/>
        <v>1.6228159648145419</v>
      </c>
      <c r="W4" s="130">
        <f t="shared" si="4"/>
        <v>1.350833704330809</v>
      </c>
      <c r="X4" s="130">
        <f t="shared" ref="X4:Y4" si="5">SUM(X5:X15)</f>
        <v>1.1336091519204912</v>
      </c>
      <c r="Y4" s="130">
        <f t="shared" si="5"/>
        <v>1.0107911655243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0.10894697068780372</v>
      </c>
      <c r="D5" s="132">
        <v>7.8033801626374716E-2</v>
      </c>
      <c r="E5" s="132">
        <v>5.6193448201204844E-2</v>
      </c>
      <c r="F5" s="132">
        <v>0</v>
      </c>
      <c r="G5" s="132">
        <v>7.3714537880365361E-2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3.7836377193380344E-2</v>
      </c>
      <c r="N5" s="132">
        <v>5.9566396943941377E-2</v>
      </c>
      <c r="O5" s="132">
        <v>3.9581657115615558E-2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1.729813876463752E-3</v>
      </c>
      <c r="W5" s="132">
        <v>0</v>
      </c>
      <c r="X5" s="132">
        <v>0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0.3303449353044105</v>
      </c>
      <c r="D7" s="132">
        <v>0</v>
      </c>
      <c r="E7" s="132">
        <v>0</v>
      </c>
      <c r="F7" s="132">
        <v>0</v>
      </c>
      <c r="G7" s="132">
        <v>0</v>
      </c>
      <c r="H7" s="132">
        <v>5.0903579944833542E-2</v>
      </c>
      <c r="I7" s="132">
        <v>0.54094626098430665</v>
      </c>
      <c r="J7" s="132">
        <v>5.5874233513215021E-2</v>
      </c>
      <c r="K7" s="132">
        <v>0.12088505444229999</v>
      </c>
      <c r="L7" s="132">
        <v>0.20668716019291544</v>
      </c>
      <c r="M7" s="132">
        <v>1.4970497474531868</v>
      </c>
      <c r="N7" s="132">
        <v>0.54224300470908082</v>
      </c>
      <c r="O7" s="132">
        <v>0.12708042692889424</v>
      </c>
      <c r="P7" s="132">
        <v>0</v>
      </c>
      <c r="Q7" s="132">
        <v>0</v>
      </c>
      <c r="R7" s="132">
        <v>0</v>
      </c>
      <c r="S7" s="132">
        <v>0</v>
      </c>
      <c r="T7" s="132">
        <v>0</v>
      </c>
      <c r="U7" s="132">
        <v>0</v>
      </c>
      <c r="V7" s="132">
        <v>0</v>
      </c>
      <c r="W7" s="132">
        <v>6.5548673629823265E-2</v>
      </c>
      <c r="X7" s="132">
        <v>0.13145880244847621</v>
      </c>
      <c r="Y7" s="132">
        <v>0.17232683247501362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1.0151945699464244</v>
      </c>
      <c r="D9" s="132">
        <v>1.4726530267046247</v>
      </c>
      <c r="E9" s="132">
        <v>3.1979541393827366</v>
      </c>
      <c r="F9" s="132">
        <v>0.31212946411197812</v>
      </c>
      <c r="G9" s="132">
        <v>0</v>
      </c>
      <c r="H9" s="132">
        <v>0</v>
      </c>
      <c r="I9" s="132">
        <v>0</v>
      </c>
      <c r="J9" s="132">
        <v>0</v>
      </c>
      <c r="K9" s="132">
        <v>0</v>
      </c>
      <c r="L9" s="132">
        <v>0</v>
      </c>
      <c r="M9" s="132">
        <v>0.51392270152878183</v>
      </c>
      <c r="N9" s="132">
        <v>0.50892317182570646</v>
      </c>
      <c r="O9" s="132">
        <v>0.41461191608578651</v>
      </c>
      <c r="P9" s="132">
        <v>1.2131437718266569</v>
      </c>
      <c r="Q9" s="132">
        <v>1.4083344509149893</v>
      </c>
      <c r="R9" s="132">
        <v>0.7420499770409269</v>
      </c>
      <c r="S9" s="132">
        <v>0.59039518921112843</v>
      </c>
      <c r="T9" s="132">
        <v>0.43700202569494134</v>
      </c>
      <c r="U9" s="132">
        <v>0.22965350434649254</v>
      </c>
      <c r="V9" s="132">
        <v>0</v>
      </c>
      <c r="W9" s="132">
        <v>0</v>
      </c>
      <c r="X9" s="132">
        <v>0</v>
      </c>
      <c r="Y9" s="132">
        <v>0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0.46426241986901806</v>
      </c>
      <c r="D10" s="132">
        <v>0.29578421630317542</v>
      </c>
      <c r="E10" s="132">
        <v>0.30474620355968779</v>
      </c>
      <c r="F10" s="132">
        <v>0.4772651195606008</v>
      </c>
      <c r="G10" s="132">
        <v>0.33324276468573039</v>
      </c>
      <c r="H10" s="132">
        <v>0.47810702558056284</v>
      </c>
      <c r="I10" s="132">
        <v>8.3025919986331076E-2</v>
      </c>
      <c r="J10" s="132">
        <v>0</v>
      </c>
      <c r="K10" s="132">
        <v>0</v>
      </c>
      <c r="L10" s="132">
        <v>2.1256430385626406E-2</v>
      </c>
      <c r="M10" s="132">
        <v>0.16469178819329294</v>
      </c>
      <c r="N10" s="132">
        <v>0</v>
      </c>
      <c r="O10" s="132">
        <v>0</v>
      </c>
      <c r="P10" s="132">
        <v>0</v>
      </c>
      <c r="Q10" s="132">
        <v>0</v>
      </c>
      <c r="R10" s="132">
        <v>3.5335974252491867E-2</v>
      </c>
      <c r="S10" s="132">
        <v>0.17844926351431206</v>
      </c>
      <c r="T10" s="132">
        <v>0.10168907980880867</v>
      </c>
      <c r="U10" s="132">
        <v>0.12382639955046321</v>
      </c>
      <c r="V10" s="132">
        <v>5.2993953733619537E-2</v>
      </c>
      <c r="W10" s="132">
        <v>5.3964612100273202E-2</v>
      </c>
      <c r="X10" s="132">
        <v>9.3922106718604178E-3</v>
      </c>
      <c r="Y10" s="132">
        <v>0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0.68378038023780907</v>
      </c>
      <c r="D12" s="132">
        <v>0.93328674779524323</v>
      </c>
      <c r="E12" s="132">
        <v>1.3648819525793445</v>
      </c>
      <c r="F12" s="132">
        <v>2.3450951124902195</v>
      </c>
      <c r="G12" s="132">
        <v>5.0202282797315254</v>
      </c>
      <c r="H12" s="132">
        <v>4.3153425218127737</v>
      </c>
      <c r="I12" s="132">
        <v>2.1885442531469295</v>
      </c>
      <c r="J12" s="132">
        <v>0.25655791492674485</v>
      </c>
      <c r="K12" s="132">
        <v>0.34271865760857323</v>
      </c>
      <c r="L12" s="132">
        <v>0.7451173369648274</v>
      </c>
      <c r="M12" s="132">
        <v>1.493669800467309</v>
      </c>
      <c r="N12" s="132">
        <v>0.89372418685361021</v>
      </c>
      <c r="O12" s="132">
        <v>0.14596588896609672</v>
      </c>
      <c r="P12" s="132">
        <v>6.3580267155077141E-2</v>
      </c>
      <c r="Q12" s="132">
        <v>1.3051548913040065</v>
      </c>
      <c r="R12" s="132">
        <v>0.79572008580407239</v>
      </c>
      <c r="S12" s="132">
        <v>1.4030995294416815</v>
      </c>
      <c r="T12" s="132">
        <v>0.79109521444215314</v>
      </c>
      <c r="U12" s="132">
        <v>0.47702433088977247</v>
      </c>
      <c r="V12" s="132">
        <v>0.86759436505950183</v>
      </c>
      <c r="W12" s="132">
        <v>0.79883836992017887</v>
      </c>
      <c r="X12" s="132">
        <v>0.94268996099824054</v>
      </c>
      <c r="Y12" s="132">
        <v>0.83241970985178493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1.3768140903745518</v>
      </c>
      <c r="D14" s="65">
        <v>1.0196218151989038</v>
      </c>
      <c r="E14" s="65">
        <v>0.73579715075706476</v>
      </c>
      <c r="F14" s="65">
        <v>1.2256848919264558</v>
      </c>
      <c r="G14" s="65">
        <v>2.3462407536023959</v>
      </c>
      <c r="H14" s="65">
        <v>3.9469221251947681</v>
      </c>
      <c r="I14" s="65">
        <v>2.6591084309770507</v>
      </c>
      <c r="J14" s="65">
        <v>0.38323924950502886</v>
      </c>
      <c r="K14" s="65">
        <v>0.17776161540303442</v>
      </c>
      <c r="L14" s="65">
        <v>7.4330621739072761E-2</v>
      </c>
      <c r="M14" s="65">
        <v>0.36590107798520732</v>
      </c>
      <c r="N14" s="65">
        <v>0.76056966401387116</v>
      </c>
      <c r="O14" s="65">
        <v>0.40557880992777845</v>
      </c>
      <c r="P14" s="65">
        <v>1.0548042153588475</v>
      </c>
      <c r="Q14" s="65">
        <v>0.97112910753775106</v>
      </c>
      <c r="R14" s="65">
        <v>0.76661477468828243</v>
      </c>
      <c r="S14" s="65">
        <v>0.72201219086960233</v>
      </c>
      <c r="T14" s="65">
        <v>1.097964624617404</v>
      </c>
      <c r="U14" s="65">
        <v>0.99078177485723806</v>
      </c>
      <c r="V14" s="65">
        <v>0.69661681574356404</v>
      </c>
      <c r="W14" s="65">
        <v>0.42784332652551155</v>
      </c>
      <c r="X14" s="65">
        <v>4.4166175887911163E-2</v>
      </c>
      <c r="Y14" s="65">
        <v>0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3.5312013671226591E-2</v>
      </c>
      <c r="D15" s="134">
        <v>3.6336153406326954E-2</v>
      </c>
      <c r="E15" s="134">
        <v>7.0058481409999748E-2</v>
      </c>
      <c r="F15" s="134">
        <v>2.103353252648836E-2</v>
      </c>
      <c r="G15" s="134">
        <v>2.6525797358949763E-2</v>
      </c>
      <c r="H15" s="134">
        <v>2.4498353535887751E-2</v>
      </c>
      <c r="I15" s="134">
        <v>1.9916105088332005E-2</v>
      </c>
      <c r="J15" s="134">
        <v>2.0865521096901018E-3</v>
      </c>
      <c r="K15" s="134">
        <v>3.5449150904136636E-3</v>
      </c>
      <c r="L15" s="134">
        <v>6.8435430550549724E-3</v>
      </c>
      <c r="M15" s="134">
        <v>4.1686609798685818E-2</v>
      </c>
      <c r="N15" s="134">
        <v>2.1657836318977483E-2</v>
      </c>
      <c r="O15" s="134">
        <v>9.8397251541631724E-3</v>
      </c>
      <c r="P15" s="134">
        <v>2.0062715364805726E-2</v>
      </c>
      <c r="Q15" s="134">
        <v>2.81182096065061E-2</v>
      </c>
      <c r="R15" s="134">
        <v>1.5446660800087159E-2</v>
      </c>
      <c r="S15" s="134">
        <v>1.6519865322292243E-2</v>
      </c>
      <c r="T15" s="134">
        <v>1.0948346881679307E-2</v>
      </c>
      <c r="U15" s="134">
        <v>6.5405734521505462E-3</v>
      </c>
      <c r="V15" s="134">
        <v>3.8810164013927261E-3</v>
      </c>
      <c r="W15" s="134">
        <v>4.6387221550221961E-3</v>
      </c>
      <c r="X15" s="134">
        <v>5.9020019140030187E-3</v>
      </c>
      <c r="Y15" s="134">
        <v>6.0446231975016381E-3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0.16316921024113348</v>
      </c>
      <c r="D16" s="130">
        <f t="shared" si="6"/>
        <v>0.18465325874985389</v>
      </c>
      <c r="E16" s="130">
        <f t="shared" si="6"/>
        <v>0.1829064320710457</v>
      </c>
      <c r="F16" s="130">
        <f t="shared" si="6"/>
        <v>0.16488469601342767</v>
      </c>
      <c r="G16" s="130">
        <f t="shared" si="6"/>
        <v>0.24377627298825957</v>
      </c>
      <c r="H16" s="130">
        <f t="shared" si="6"/>
        <v>0.31620048806612805</v>
      </c>
      <c r="I16" s="130">
        <f t="shared" si="6"/>
        <v>0.26781322613941361</v>
      </c>
      <c r="J16" s="130">
        <f t="shared" si="6"/>
        <v>0.11289590840650703</v>
      </c>
      <c r="K16" s="130">
        <f t="shared" si="6"/>
        <v>0.10945147603118839</v>
      </c>
      <c r="L16" s="130">
        <f t="shared" si="6"/>
        <v>0.21572841429990178</v>
      </c>
      <c r="M16" s="130">
        <f t="shared" si="6"/>
        <v>0.33541463153426887</v>
      </c>
      <c r="N16" s="130">
        <f t="shared" si="6"/>
        <v>0.29322938533687104</v>
      </c>
      <c r="O16" s="130">
        <f t="shared" si="6"/>
        <v>0.24128435631701187</v>
      </c>
      <c r="P16" s="130">
        <f t="shared" si="6"/>
        <v>0.31852354319407783</v>
      </c>
      <c r="Q16" s="130">
        <f t="shared" si="6"/>
        <v>0.36623669623137667</v>
      </c>
      <c r="R16" s="130">
        <f t="shared" ref="R16:W16" si="7">SUM(R17:R18)</f>
        <v>0.31864727014802591</v>
      </c>
      <c r="S16" s="130">
        <f t="shared" si="7"/>
        <v>0.32939072522344615</v>
      </c>
      <c r="T16" s="130">
        <f t="shared" si="7"/>
        <v>0.38896335012723282</v>
      </c>
      <c r="U16" s="130">
        <f t="shared" si="7"/>
        <v>0.32129834619256675</v>
      </c>
      <c r="V16" s="130">
        <f t="shared" si="7"/>
        <v>0.29063183718984087</v>
      </c>
      <c r="W16" s="130">
        <f t="shared" si="7"/>
        <v>0.34945294297411195</v>
      </c>
      <c r="X16" s="130">
        <f t="shared" ref="X16:Y16" si="8">SUM(X17:X18)</f>
        <v>0.38572274590534966</v>
      </c>
      <c r="Y16" s="130">
        <f t="shared" si="8"/>
        <v>0.36901317839453213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0.16316921024113348</v>
      </c>
      <c r="D18" s="132">
        <v>0.18465325874985389</v>
      </c>
      <c r="E18" s="132">
        <v>0.1829064320710457</v>
      </c>
      <c r="F18" s="132">
        <v>0.16488469601342767</v>
      </c>
      <c r="G18" s="132">
        <v>0.24377627298825957</v>
      </c>
      <c r="H18" s="132">
        <v>0.31620048806612805</v>
      </c>
      <c r="I18" s="132">
        <v>0.26781322613941361</v>
      </c>
      <c r="J18" s="132">
        <v>0.11289590840650703</v>
      </c>
      <c r="K18" s="132">
        <v>0.10945147603118839</v>
      </c>
      <c r="L18" s="132">
        <v>0.21572841429990178</v>
      </c>
      <c r="M18" s="132">
        <v>0.33541463153426887</v>
      </c>
      <c r="N18" s="132">
        <v>0.29322938533687104</v>
      </c>
      <c r="O18" s="132">
        <v>0.24128435631701187</v>
      </c>
      <c r="P18" s="132">
        <v>0.31852354319407783</v>
      </c>
      <c r="Q18" s="132">
        <v>0.36623669623137667</v>
      </c>
      <c r="R18" s="132">
        <v>0.31864727014802591</v>
      </c>
      <c r="S18" s="132">
        <v>0.32939072522344615</v>
      </c>
      <c r="T18" s="132">
        <v>0.38896335012723282</v>
      </c>
      <c r="U18" s="132">
        <v>0.32129834619256675</v>
      </c>
      <c r="V18" s="132">
        <v>0.29063183718984087</v>
      </c>
      <c r="W18" s="132">
        <v>0.34945294297411195</v>
      </c>
      <c r="X18" s="132">
        <v>0.38572274590534966</v>
      </c>
      <c r="Y18" s="132">
        <v>0.36901317839453213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0.74724619828764327</v>
      </c>
      <c r="D19" s="130">
        <f t="shared" si="9"/>
        <v>0.75767570568840825</v>
      </c>
      <c r="E19" s="130">
        <f t="shared" si="9"/>
        <v>0.84350102548998529</v>
      </c>
      <c r="F19" s="130">
        <f t="shared" si="9"/>
        <v>0.61035396853531432</v>
      </c>
      <c r="G19" s="130">
        <f t="shared" si="9"/>
        <v>1.1123233611113073</v>
      </c>
      <c r="H19" s="130">
        <f t="shared" si="9"/>
        <v>1.3199193671037834</v>
      </c>
      <c r="I19" s="130">
        <f t="shared" si="9"/>
        <v>0.80099882066975381</v>
      </c>
      <c r="J19" s="130">
        <f t="shared" si="9"/>
        <v>8.9392421734583241E-2</v>
      </c>
      <c r="K19" s="130">
        <f t="shared" si="9"/>
        <v>8.8140637761067911E-2</v>
      </c>
      <c r="L19" s="130">
        <f t="shared" si="9"/>
        <v>0.14905685377850189</v>
      </c>
      <c r="M19" s="130">
        <f t="shared" si="9"/>
        <v>0.66941704502557031</v>
      </c>
      <c r="N19" s="130">
        <f t="shared" si="9"/>
        <v>0.44464679128164963</v>
      </c>
      <c r="O19" s="130">
        <f t="shared" si="9"/>
        <v>0.19830400811918164</v>
      </c>
      <c r="P19" s="130">
        <f t="shared" si="9"/>
        <v>0.36416820798249594</v>
      </c>
      <c r="Q19" s="130">
        <f t="shared" si="9"/>
        <v>0.62130627758343882</v>
      </c>
      <c r="R19" s="130">
        <f t="shared" ref="R19:W19" si="10">SUM(R20:R27)</f>
        <v>0.3573859729412554</v>
      </c>
      <c r="S19" s="130">
        <f t="shared" si="10"/>
        <v>0.52919427886574222</v>
      </c>
      <c r="T19" s="130">
        <f t="shared" si="10"/>
        <v>0.43848571738011072</v>
      </c>
      <c r="U19" s="130">
        <f t="shared" si="10"/>
        <v>0.38776623465333188</v>
      </c>
      <c r="V19" s="130">
        <f t="shared" si="10"/>
        <v>0.34845128160594419</v>
      </c>
      <c r="W19" s="130">
        <f t="shared" si="10"/>
        <v>0.35583182851572664</v>
      </c>
      <c r="X19" s="130">
        <f t="shared" ref="X19:Y19" si="11">SUM(X20:X27)</f>
        <v>0.35146443219631041</v>
      </c>
      <c r="Y19" s="130">
        <f t="shared" si="11"/>
        <v>0.37046700504606556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6.8121900815966557E-2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4.7622961984901922E-2</v>
      </c>
      <c r="J22" s="132">
        <v>1.8549878199914629E-2</v>
      </c>
      <c r="K22" s="132">
        <v>1.3904446203781989E-2</v>
      </c>
      <c r="L22" s="132">
        <v>1.7789284895626593E-2</v>
      </c>
      <c r="M22" s="132">
        <v>5.8101265582235967E-2</v>
      </c>
      <c r="N22" s="132">
        <v>4.2468118312399369E-2</v>
      </c>
      <c r="O22" s="132">
        <v>1.844594132826308E-2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4.7465910956509877E-3</v>
      </c>
      <c r="X22" s="132">
        <v>2.3643231000400989E-2</v>
      </c>
      <c r="Y22" s="132">
        <v>4.0884290414451574E-2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0.12391531790695055</v>
      </c>
      <c r="D23" s="132">
        <v>7.0961554741107144E-2</v>
      </c>
      <c r="E23" s="132">
        <v>5.6763485088198729E-2</v>
      </c>
      <c r="F23" s="132">
        <v>3.0391324334163489E-2</v>
      </c>
      <c r="G23" s="132">
        <v>4.7586278884440274E-2</v>
      </c>
      <c r="H23" s="132">
        <v>5.9110938324573155E-2</v>
      </c>
      <c r="I23" s="132">
        <v>4.2963760743874722E-2</v>
      </c>
      <c r="J23" s="132">
        <v>7.5856526238361789E-3</v>
      </c>
      <c r="K23" s="132">
        <v>7.9440672245556891E-3</v>
      </c>
      <c r="L23" s="132">
        <v>1.2839227626911377E-2</v>
      </c>
      <c r="M23" s="132">
        <v>8.6005806655384875E-2</v>
      </c>
      <c r="N23" s="132">
        <v>7.7969169525142809E-2</v>
      </c>
      <c r="O23" s="132">
        <v>6.4918583520565745E-2</v>
      </c>
      <c r="P23" s="132">
        <v>0.20224492307717157</v>
      </c>
      <c r="Q23" s="132">
        <v>0.17906021962739968</v>
      </c>
      <c r="R23" s="132">
        <v>9.2549454750309817E-2</v>
      </c>
      <c r="S23" s="132">
        <v>0.10812109252806811</v>
      </c>
      <c r="T23" s="132">
        <v>9.5819970300928467E-2</v>
      </c>
      <c r="U23" s="132">
        <v>6.2684428722635271E-2</v>
      </c>
      <c r="V23" s="132">
        <v>2.9323087964791557E-2</v>
      </c>
      <c r="W23" s="132">
        <v>0</v>
      </c>
      <c r="X23" s="132">
        <v>0</v>
      </c>
      <c r="Y23" s="132">
        <v>0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0.24724733756813613</v>
      </c>
      <c r="D25" s="132">
        <v>0.22075900799891895</v>
      </c>
      <c r="E25" s="132">
        <v>0.23150677575345063</v>
      </c>
      <c r="F25" s="132">
        <v>0.2185806954856786</v>
      </c>
      <c r="G25" s="132">
        <v>0.38821950001037098</v>
      </c>
      <c r="H25" s="132">
        <v>0.45434917959455834</v>
      </c>
      <c r="I25" s="132">
        <v>0.33949807379268837</v>
      </c>
      <c r="J25" s="132">
        <v>5.9270373568915499E-2</v>
      </c>
      <c r="K25" s="132">
        <v>4.8289398745421923E-2</v>
      </c>
      <c r="L25" s="132">
        <v>5.4858186058701554E-2</v>
      </c>
      <c r="M25" s="132">
        <v>0.17473650645677052</v>
      </c>
      <c r="N25" s="132">
        <v>0.12173000427699582</v>
      </c>
      <c r="O25" s="132">
        <v>5.7426769105354825E-2</v>
      </c>
      <c r="P25" s="132">
        <v>7.2117289808264359E-2</v>
      </c>
      <c r="Q25" s="132">
        <v>0.11645076602136258</v>
      </c>
      <c r="R25" s="132">
        <v>9.6230417911819008E-2</v>
      </c>
      <c r="S25" s="132">
        <v>0.13082535809495385</v>
      </c>
      <c r="T25" s="132">
        <v>9.8985283262332802E-2</v>
      </c>
      <c r="U25" s="132">
        <v>8.1363383151638213E-2</v>
      </c>
      <c r="V25" s="132">
        <v>0.11705940926151454</v>
      </c>
      <c r="W25" s="132">
        <v>0.10253077603073298</v>
      </c>
      <c r="X25" s="132">
        <v>0.1420986174811375</v>
      </c>
      <c r="Y25" s="132">
        <v>0.15531659873107051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0.30796164199659004</v>
      </c>
      <c r="D26" s="65">
        <v>0.46595514294838208</v>
      </c>
      <c r="E26" s="65">
        <v>0.55523076464833587</v>
      </c>
      <c r="F26" s="65">
        <v>0.36138194871547219</v>
      </c>
      <c r="G26" s="65">
        <v>0.67651758221649594</v>
      </c>
      <c r="H26" s="65">
        <v>0.80645924918465195</v>
      </c>
      <c r="I26" s="65">
        <v>0.37091402414828883</v>
      </c>
      <c r="J26" s="65">
        <v>3.9865173419169403E-3</v>
      </c>
      <c r="K26" s="65">
        <v>1.8002725587308314E-2</v>
      </c>
      <c r="L26" s="65">
        <v>6.3570155197262362E-2</v>
      </c>
      <c r="M26" s="65">
        <v>0.35057346633117892</v>
      </c>
      <c r="N26" s="65">
        <v>0.20247949916711167</v>
      </c>
      <c r="O26" s="65">
        <v>5.7512714164997987E-2</v>
      </c>
      <c r="P26" s="65">
        <v>8.9805995097059985E-2</v>
      </c>
      <c r="Q26" s="65">
        <v>0.32579529193467655</v>
      </c>
      <c r="R26" s="65">
        <v>0.16860610027912656</v>
      </c>
      <c r="S26" s="65">
        <v>0.29024782824272033</v>
      </c>
      <c r="T26" s="65">
        <v>0.24368046381684944</v>
      </c>
      <c r="U26" s="65">
        <v>0.24371842277905839</v>
      </c>
      <c r="V26" s="65">
        <v>0.20206878437963807</v>
      </c>
      <c r="W26" s="65">
        <v>0.2485544613893427</v>
      </c>
      <c r="X26" s="65">
        <v>0.1857225837147719</v>
      </c>
      <c r="Y26" s="65">
        <v>0.17426611590054344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0.7763701656224602</v>
      </c>
      <c r="D29" s="130">
        <f t="shared" si="12"/>
        <v>0.82325233092235683</v>
      </c>
      <c r="E29" s="130">
        <f t="shared" si="12"/>
        <v>0.89733440584258806</v>
      </c>
      <c r="F29" s="130">
        <f t="shared" si="12"/>
        <v>0.7062248354072802</v>
      </c>
      <c r="G29" s="130">
        <f t="shared" si="12"/>
        <v>1.2453580636246797</v>
      </c>
      <c r="H29" s="130">
        <f t="shared" si="12"/>
        <v>1.4804627162651973</v>
      </c>
      <c r="I29" s="130">
        <f t="shared" si="12"/>
        <v>0.93052761896967373</v>
      </c>
      <c r="J29" s="130">
        <f t="shared" si="12"/>
        <v>0.1072144050863221</v>
      </c>
      <c r="K29" s="130">
        <f t="shared" si="12"/>
        <v>0.1106539678910477</v>
      </c>
      <c r="L29" s="130">
        <f t="shared" si="12"/>
        <v>0.19126332996431789</v>
      </c>
      <c r="M29" s="130">
        <f t="shared" si="12"/>
        <v>0.84821972114284161</v>
      </c>
      <c r="N29" s="130">
        <f t="shared" si="12"/>
        <v>0.56676337772363705</v>
      </c>
      <c r="O29" s="130">
        <f t="shared" si="12"/>
        <v>0.2562214030418446</v>
      </c>
      <c r="P29" s="130">
        <f t="shared" si="12"/>
        <v>0.44303635184556717</v>
      </c>
      <c r="Q29" s="130">
        <f t="shared" si="12"/>
        <v>0.76022528373462217</v>
      </c>
      <c r="R29" s="130">
        <f t="shared" ref="R29:W29" si="13">SUM(R30:R33)</f>
        <v>0.45846043029513928</v>
      </c>
      <c r="S29" s="130">
        <f t="shared" si="13"/>
        <v>0.66845221014667289</v>
      </c>
      <c r="T29" s="130">
        <f t="shared" si="13"/>
        <v>0.56221580638054669</v>
      </c>
      <c r="U29" s="130">
        <f t="shared" si="13"/>
        <v>0.47941796406568754</v>
      </c>
      <c r="V29" s="130">
        <f t="shared" si="13"/>
        <v>0.42137113777600432</v>
      </c>
      <c r="W29" s="130">
        <f t="shared" si="13"/>
        <v>0.45664513479587099</v>
      </c>
      <c r="X29" s="130">
        <f t="shared" ref="X29:Y29" si="14">SUM(X30:X33)</f>
        <v>0.48734806014626597</v>
      </c>
      <c r="Y29" s="130">
        <f t="shared" si="14"/>
        <v>0.52414332308065381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0</v>
      </c>
      <c r="D30" s="132">
        <v>0</v>
      </c>
      <c r="E30" s="132">
        <v>0</v>
      </c>
      <c r="F30" s="132">
        <v>0.15760252168299962</v>
      </c>
      <c r="G30" s="132">
        <v>5.1407904811270645E-2</v>
      </c>
      <c r="H30" s="132">
        <v>2.7007978918219742E-2</v>
      </c>
      <c r="I30" s="132">
        <v>0</v>
      </c>
      <c r="J30" s="132">
        <v>0</v>
      </c>
      <c r="K30" s="132">
        <v>0</v>
      </c>
      <c r="L30" s="132">
        <v>8.7240606007381197E-4</v>
      </c>
      <c r="M30" s="132">
        <v>1.2595788480215869E-2</v>
      </c>
      <c r="N30" s="132">
        <v>1.2328278118131206E-2</v>
      </c>
      <c r="O30" s="132">
        <v>6.0505924172045518E-3</v>
      </c>
      <c r="P30" s="132">
        <v>1.9311857179315592E-2</v>
      </c>
      <c r="Q30" s="132">
        <v>4.5553987259801108E-2</v>
      </c>
      <c r="R30" s="132">
        <v>5.89488789398993E-2</v>
      </c>
      <c r="S30" s="132">
        <v>2.1897956237351808E-2</v>
      </c>
      <c r="T30" s="132">
        <v>9.0161195857847102E-3</v>
      </c>
      <c r="U30" s="132">
        <v>0</v>
      </c>
      <c r="V30" s="132">
        <v>0</v>
      </c>
      <c r="W30" s="132">
        <v>1.9625037188289451E-2</v>
      </c>
      <c r="X30" s="132">
        <v>7.4728840235998148E-3</v>
      </c>
      <c r="Y30" s="132">
        <v>8.2759583052879893E-2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0.25555233484124162</v>
      </c>
      <c r="D31" s="132">
        <v>0.22675097254817067</v>
      </c>
      <c r="E31" s="132">
        <v>0.12519899430819448</v>
      </c>
      <c r="F31" s="132">
        <v>4.2663979664443463E-2</v>
      </c>
      <c r="G31" s="132">
        <v>2.9782838137731651E-2</v>
      </c>
      <c r="H31" s="132">
        <v>4.3128827017921333E-2</v>
      </c>
      <c r="I31" s="132">
        <v>2.8274521790037407E-2</v>
      </c>
      <c r="J31" s="132">
        <v>4.8079802469638494E-3</v>
      </c>
      <c r="K31" s="132">
        <v>4.9718430664043326E-3</v>
      </c>
      <c r="L31" s="132">
        <v>1.9075956719465575E-2</v>
      </c>
      <c r="M31" s="132">
        <v>0.11055605991330057</v>
      </c>
      <c r="N31" s="132">
        <v>9.543983555813039E-2</v>
      </c>
      <c r="O31" s="132">
        <v>4.0637314523081246E-2</v>
      </c>
      <c r="P31" s="132">
        <v>5.9063687396432273E-2</v>
      </c>
      <c r="Q31" s="132">
        <v>8.2429826938868203E-2</v>
      </c>
      <c r="R31" s="132">
        <v>8.8646959744556636E-2</v>
      </c>
      <c r="S31" s="132">
        <v>8.4285536021419333E-2</v>
      </c>
      <c r="T31" s="132">
        <v>9.4097544112962811E-2</v>
      </c>
      <c r="U31" s="132">
        <v>5.3093469205507303E-2</v>
      </c>
      <c r="V31" s="132">
        <v>3.9278864949810539E-2</v>
      </c>
      <c r="W31" s="132">
        <v>1.9659424230605911E-2</v>
      </c>
      <c r="X31" s="132">
        <v>0</v>
      </c>
      <c r="Y31" s="132">
        <v>0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0.52081783078121857</v>
      </c>
      <c r="D33" s="68">
        <v>0.59650135837418616</v>
      </c>
      <c r="E33" s="68">
        <v>0.77213541153439358</v>
      </c>
      <c r="F33" s="68">
        <v>0.50595833405983714</v>
      </c>
      <c r="G33" s="68">
        <v>1.1641673206756775</v>
      </c>
      <c r="H33" s="68">
        <v>1.4103259103290562</v>
      </c>
      <c r="I33" s="68">
        <v>0.90225309717963631</v>
      </c>
      <c r="J33" s="68">
        <v>0.10240642483935825</v>
      </c>
      <c r="K33" s="68">
        <v>0.10568212482464337</v>
      </c>
      <c r="L33" s="68">
        <v>0.17131496718477848</v>
      </c>
      <c r="M33" s="68">
        <v>0.72506787274932516</v>
      </c>
      <c r="N33" s="68">
        <v>0.45899526404737545</v>
      </c>
      <c r="O33" s="68">
        <v>0.20953349610155883</v>
      </c>
      <c r="P33" s="68">
        <v>0.36466080726981931</v>
      </c>
      <c r="Q33" s="68">
        <v>0.63224146953595284</v>
      </c>
      <c r="R33" s="68">
        <v>0.31086459161068331</v>
      </c>
      <c r="S33" s="68">
        <v>0.56226871788790178</v>
      </c>
      <c r="T33" s="68">
        <v>0.45910214268179922</v>
      </c>
      <c r="U33" s="68">
        <v>0.42632449486018026</v>
      </c>
      <c r="V33" s="68">
        <v>0.38209227282619379</v>
      </c>
      <c r="W33" s="68">
        <v>0.41736067337697563</v>
      </c>
      <c r="X33" s="68">
        <v>0.47987517612266617</v>
      </c>
      <c r="Y33" s="68">
        <v>0.44138374002777386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0.63189335538510605</v>
      </c>
      <c r="D3" s="126">
        <f>IF(SER_hh_tes_in!D3=0,"",SER_hh_tes_in!D3/SER_hh_fec_in!D3)</f>
        <v>0.64701296067739367</v>
      </c>
      <c r="E3" s="126">
        <f>IF(SER_hh_tes_in!E3=0,"",SER_hh_tes_in!E3/SER_hh_fec_in!E3)</f>
        <v>0.62510455356313299</v>
      </c>
      <c r="F3" s="126">
        <f>IF(SER_hh_tes_in!F3=0,"",SER_hh_tes_in!F3/SER_hh_fec_in!F3)</f>
        <v>0.71015931801064069</v>
      </c>
      <c r="G3" s="126">
        <f>IF(SER_hh_tes_in!G3=0,"",SER_hh_tes_in!G3/SER_hh_fec_in!G3)</f>
        <v>0.74584640736177965</v>
      </c>
      <c r="H3" s="126">
        <f>IF(SER_hh_tes_in!H3=0,"",SER_hh_tes_in!H3/SER_hh_fec_in!H3)</f>
        <v>0.74096694662238893</v>
      </c>
      <c r="I3" s="126">
        <f>IF(SER_hh_tes_in!I3=0,"",SER_hh_tes_in!I3/SER_hh_fec_in!I3)</f>
        <v>0.73445216043464645</v>
      </c>
      <c r="J3" s="126">
        <f>IF(SER_hh_tes_in!J3=0,"",SER_hh_tes_in!J3/SER_hh_fec_in!J3)</f>
        <v>0.79463287912656355</v>
      </c>
      <c r="K3" s="126">
        <f>IF(SER_hh_tes_in!K3=0,"",SER_hh_tes_in!K3/SER_hh_fec_in!K3)</f>
        <v>0.78428551695587168</v>
      </c>
      <c r="L3" s="126">
        <f>IF(SER_hh_tes_in!L3=0,"",SER_hh_tes_in!L3/SER_hh_fec_in!L3)</f>
        <v>0.80056365333140855</v>
      </c>
      <c r="M3" s="126">
        <f>IF(SER_hh_tes_in!M3=0,"",SER_hh_tes_in!M3/SER_hh_fec_in!M3)</f>
        <v>0.69260655032245944</v>
      </c>
      <c r="N3" s="126">
        <f>IF(SER_hh_tes_in!N3=0,"",SER_hh_tes_in!N3/SER_hh_fec_in!N3)</f>
        <v>0.73794987789367739</v>
      </c>
      <c r="O3" s="126">
        <f>IF(SER_hh_tes_in!O3=0,"",SER_hh_tes_in!O3/SER_hh_fec_in!O3)</f>
        <v>0.78211653638236378</v>
      </c>
      <c r="P3" s="126">
        <f>IF(SER_hh_tes_in!P3=0,"",SER_hh_tes_in!P3/SER_hh_fec_in!P3)</f>
        <v>0.77154690032796847</v>
      </c>
      <c r="Q3" s="126">
        <f>IF(SER_hh_tes_in!Q3=0,"",SER_hh_tes_in!Q3/SER_hh_fec_in!Q3)</f>
        <v>0.79779883245578875</v>
      </c>
      <c r="R3" s="126">
        <f>IF(SER_hh_tes_in!R3=0,"",SER_hh_tes_in!R3/SER_hh_fec_in!R3)</f>
        <v>0.82311785800006643</v>
      </c>
      <c r="S3" s="126">
        <f>IF(SER_hh_tes_in!S3=0,"",SER_hh_tes_in!S3/SER_hh_fec_in!S3)</f>
        <v>0.82874055344194686</v>
      </c>
      <c r="T3" s="126">
        <f>IF(SER_hh_tes_in!T3=0,"",SER_hh_tes_in!T3/SER_hh_fec_in!T3)</f>
        <v>0.8695599371424193</v>
      </c>
      <c r="U3" s="126">
        <f>IF(SER_hh_tes_in!U3=0,"",SER_hh_tes_in!U3/SER_hh_fec_in!U3)</f>
        <v>0.89144976510800567</v>
      </c>
      <c r="V3" s="126">
        <f>IF(SER_hh_tes_in!V3=0,"",SER_hh_tes_in!V3/SER_hh_fec_in!V3)</f>
        <v>0.92998413361440124</v>
      </c>
      <c r="W3" s="126">
        <f>IF(SER_hh_tes_in!W3=0,"",SER_hh_tes_in!W3/SER_hh_fec_in!W3)</f>
        <v>0.95801753176734283</v>
      </c>
      <c r="X3" s="126">
        <f>IF(SER_hh_tes_in!X3=0,"",SER_hh_tes_in!X3/SER_hh_fec_in!X3)</f>
        <v>0.98716258281849967</v>
      </c>
      <c r="Y3" s="126">
        <f>IF(SER_hh_tes_in!Y3=0,"",SER_hh_tes_in!Y3/SER_hh_fec_in!Y3)</f>
        <v>0.97120306454321026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0.60645641292866159</v>
      </c>
      <c r="D4" s="135">
        <f>IF(SER_hh_tes_in!D4=0,"",SER_hh_tes_in!D4/SER_hh_fec_in!D4)</f>
        <v>0.61644611437478003</v>
      </c>
      <c r="E4" s="135">
        <f>IF(SER_hh_tes_in!E4=0,"",SER_hh_tes_in!E4/SER_hh_fec_in!E4)</f>
        <v>0.59466656021776176</v>
      </c>
      <c r="F4" s="135">
        <f>IF(SER_hh_tes_in!F4=0,"",SER_hh_tes_in!F4/SER_hh_fec_in!F4)</f>
        <v>0.6987469657189207</v>
      </c>
      <c r="G4" s="135">
        <f>IF(SER_hh_tes_in!G4=0,"",SER_hh_tes_in!G4/SER_hh_fec_in!G4)</f>
        <v>0.74163147264883988</v>
      </c>
      <c r="H4" s="135">
        <f>IF(SER_hh_tes_in!H4=0,"",SER_hh_tes_in!H4/SER_hh_fec_in!H4)</f>
        <v>0.73177047802143935</v>
      </c>
      <c r="I4" s="135">
        <f>IF(SER_hh_tes_in!I4=0,"",SER_hh_tes_in!I4/SER_hh_fec_in!I4)</f>
        <v>0.71461364116904647</v>
      </c>
      <c r="J4" s="135">
        <f>IF(SER_hh_tes_in!J4=0,"",SER_hh_tes_in!J4/SER_hh_fec_in!J4)</f>
        <v>0.72653806613512684</v>
      </c>
      <c r="K4" s="135">
        <f>IF(SER_hh_tes_in!K4=0,"",SER_hh_tes_in!K4/SER_hh_fec_in!K4)</f>
        <v>0.71058404759396643</v>
      </c>
      <c r="L4" s="135">
        <f>IF(SER_hh_tes_in!L4=0,"",SER_hh_tes_in!L4/SER_hh_fec_in!L4)</f>
        <v>0.71584826846010929</v>
      </c>
      <c r="M4" s="135">
        <f>IF(SER_hh_tes_in!M4=0,"",SER_hh_tes_in!M4/SER_hh_fec_in!M4)</f>
        <v>0.6462990159965275</v>
      </c>
      <c r="N4" s="135">
        <f>IF(SER_hh_tes_in!N4=0,"",SER_hh_tes_in!N4/SER_hh_fec_in!N4)</f>
        <v>0.69039520009853772</v>
      </c>
      <c r="O4" s="135">
        <f>IF(SER_hh_tes_in!O4=0,"",SER_hh_tes_in!O4/SER_hh_fec_in!O4)</f>
        <v>0.68795013661998727</v>
      </c>
      <c r="P4" s="135">
        <f>IF(SER_hh_tes_in!P4=0,"",SER_hh_tes_in!P4/SER_hh_fec_in!P4)</f>
        <v>0.70531593552450278</v>
      </c>
      <c r="Q4" s="135">
        <f>IF(SER_hh_tes_in!Q4=0,"",SER_hh_tes_in!Q4/SER_hh_fec_in!Q4)</f>
        <v>0.75289323307404421</v>
      </c>
      <c r="R4" s="135">
        <f>IF(SER_hh_tes_in!R4=0,"",SER_hh_tes_in!R4/SER_hh_fec_in!R4)</f>
        <v>0.76473184811480488</v>
      </c>
      <c r="S4" s="135">
        <f>IF(SER_hh_tes_in!S4=0,"",SER_hh_tes_in!S4/SER_hh_fec_in!S4)</f>
        <v>0.77373663747508259</v>
      </c>
      <c r="T4" s="135">
        <f>IF(SER_hh_tes_in!T4=0,"",SER_hh_tes_in!T4/SER_hh_fec_in!T4)</f>
        <v>0.79499269953744778</v>
      </c>
      <c r="U4" s="135">
        <f>IF(SER_hh_tes_in!U4=0,"",SER_hh_tes_in!U4/SER_hh_fec_in!U4)</f>
        <v>0.80514756383465969</v>
      </c>
      <c r="V4" s="135">
        <f>IF(SER_hh_tes_in!V4=0,"",SER_hh_tes_in!V4/SER_hh_fec_in!V4)</f>
        <v>0.84653621123409362</v>
      </c>
      <c r="W4" s="135">
        <f>IF(SER_hh_tes_in!W4=0,"",SER_hh_tes_in!W4/SER_hh_fec_in!W4)</f>
        <v>0.83907996555021169</v>
      </c>
      <c r="X4" s="135">
        <f>IF(SER_hh_tes_in!X4=0,"",SER_hh_tes_in!X4/SER_hh_fec_in!X4)</f>
        <v>0.83458377813493911</v>
      </c>
      <c r="Y4" s="135">
        <f>IF(SER_hh_tes_in!Y4=0,"",SER_hh_tes_in!Y4/SER_hh_fec_in!Y4)</f>
        <v>0.83078570737120327</v>
      </c>
      <c r="DA4" s="162" t="s">
        <v>663</v>
      </c>
    </row>
    <row r="5" spans="1:105" ht="12" customHeight="1" x14ac:dyDescent="0.25">
      <c r="A5" s="131" t="s">
        <v>29</v>
      </c>
      <c r="B5" s="136"/>
      <c r="C5" s="136">
        <f>IF(SER_hh_tes_in!C5=0,"",SER_hh_tes_in!C5/SER_hh_fec_in!C5)</f>
        <v>0.57859679705575207</v>
      </c>
      <c r="D5" s="136">
        <f>IF(SER_hh_tes_in!D5=0,"",SER_hh_tes_in!D5/SER_hh_fec_in!D5)</f>
        <v>0.58585000471535775</v>
      </c>
      <c r="E5" s="136">
        <f>IF(SER_hh_tes_in!E5=0,"",SER_hh_tes_in!E5/SER_hh_fec_in!E5)</f>
        <v>0.59308209350984453</v>
      </c>
      <c r="F5" s="136" t="str">
        <f>IF(SER_hh_tes_in!F5=0,"",SER_hh_tes_in!F5/SER_hh_fec_in!F5)</f>
        <v/>
      </c>
      <c r="G5" s="136">
        <f>IF(SER_hh_tes_in!G5=0,"",SER_hh_tes_in!G5/SER_hh_fec_in!G5)</f>
        <v>0.60752106217574875</v>
      </c>
      <c r="H5" s="136" t="str">
        <f>IF(SER_hh_tes_in!H5=0,"",SER_hh_tes_in!H5/SER_hh_fec_in!H5)</f>
        <v/>
      </c>
      <c r="I5" s="136" t="str">
        <f>IF(SER_hh_tes_in!I5=0,"",SER_hh_tes_in!I5/SER_hh_fec_in!I5)</f>
        <v/>
      </c>
      <c r="J5" s="136" t="str">
        <f>IF(SER_hh_tes_in!J5=0,"",SER_hh_tes_in!J5/SER_hh_fec_in!J5)</f>
        <v/>
      </c>
      <c r="K5" s="136" t="str">
        <f>IF(SER_hh_tes_in!K5=0,"",SER_hh_tes_in!K5/SER_hh_fec_in!K5)</f>
        <v/>
      </c>
      <c r="L5" s="136" t="str">
        <f>IF(SER_hh_tes_in!L5=0,"",SER_hh_tes_in!L5/SER_hh_fec_in!L5)</f>
        <v/>
      </c>
      <c r="M5" s="136">
        <f>IF(SER_hh_tes_in!M5=0,"",SER_hh_tes_in!M5/SER_hh_fec_in!M5)</f>
        <v>0.64961268347951617</v>
      </c>
      <c r="N5" s="136">
        <f>IF(SER_hh_tes_in!N5=0,"",SER_hh_tes_in!N5/SER_hh_fec_in!N5)</f>
        <v>0.65541113443131815</v>
      </c>
      <c r="O5" s="136">
        <f>IF(SER_hh_tes_in!O5=0,"",SER_hh_tes_in!O5/SER_hh_fec_in!O5)</f>
        <v>0.66052074427203267</v>
      </c>
      <c r="P5" s="136" t="str">
        <f>IF(SER_hh_tes_in!P5=0,"",SER_hh_tes_in!P5/SER_hh_fec_in!P5)</f>
        <v/>
      </c>
      <c r="Q5" s="136" t="str">
        <f>IF(SER_hh_tes_in!Q5=0,"",SER_hh_tes_in!Q5/SER_hh_fec_in!Q5)</f>
        <v/>
      </c>
      <c r="R5" s="136" t="str">
        <f>IF(SER_hh_tes_in!R5=0,"",SER_hh_tes_in!R5/SER_hh_fec_in!R5)</f>
        <v/>
      </c>
      <c r="S5" s="136" t="str">
        <f>IF(SER_hh_tes_in!S5=0,"",SER_hh_tes_in!S5/SER_hh_fec_in!S5)</f>
        <v/>
      </c>
      <c r="T5" s="136" t="str">
        <f>IF(SER_hh_tes_in!T5=0,"",SER_hh_tes_in!T5/SER_hh_fec_in!T5)</f>
        <v/>
      </c>
      <c r="U5" s="136" t="str">
        <f>IF(SER_hh_tes_in!U5=0,"",SER_hh_tes_in!U5/SER_hh_fec_in!U5)</f>
        <v/>
      </c>
      <c r="V5" s="136">
        <f>IF(SER_hh_tes_in!V5=0,"",SER_hh_tes_in!V5/SER_hh_fec_in!V5)</f>
        <v>0.72783506909810158</v>
      </c>
      <c r="W5" s="136" t="str">
        <f>IF(SER_hh_tes_in!W5=0,"",SER_hh_tes_in!W5/SER_hh_fec_in!W5)</f>
        <v/>
      </c>
      <c r="X5" s="136" t="str">
        <f>IF(SER_hh_tes_in!X5=0,"",SER_hh_tes_in!X5/SER_hh_fec_in!X5)</f>
        <v/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0.48478282498808517</v>
      </c>
      <c r="D7" s="136" t="str">
        <f>IF(SER_hh_tes_in!D7=0,"",SER_hh_tes_in!D7/SER_hh_fec_in!D7)</f>
        <v/>
      </c>
      <c r="E7" s="136" t="str">
        <f>IF(SER_hh_tes_in!E7=0,"",SER_hh_tes_in!E7/SER_hh_fec_in!E7)</f>
        <v/>
      </c>
      <c r="F7" s="136" t="str">
        <f>IF(SER_hh_tes_in!F7=0,"",SER_hh_tes_in!F7/SER_hh_fec_in!F7)</f>
        <v/>
      </c>
      <c r="G7" s="136" t="str">
        <f>IF(SER_hh_tes_in!G7=0,"",SER_hh_tes_in!G7/SER_hh_fec_in!G7)</f>
        <v/>
      </c>
      <c r="H7" s="136">
        <f>IF(SER_hh_tes_in!H7=0,"",SER_hh_tes_in!H7/SER_hh_fec_in!H7)</f>
        <v>0.51279547881394083</v>
      </c>
      <c r="I7" s="136">
        <f>IF(SER_hh_tes_in!I7=0,"",SER_hh_tes_in!I7/SER_hh_fec_in!I7)</f>
        <v>0.51902975988900268</v>
      </c>
      <c r="J7" s="136">
        <f>IF(SER_hh_tes_in!J7=0,"",SER_hh_tes_in!J7/SER_hh_fec_in!J7)</f>
        <v>0.52580926671950357</v>
      </c>
      <c r="K7" s="136">
        <f>IF(SER_hh_tes_in!K7=0,"",SER_hh_tes_in!K7/SER_hh_fec_in!K7)</f>
        <v>0.53336021462415784</v>
      </c>
      <c r="L7" s="136">
        <f>IF(SER_hh_tes_in!L7=0,"",SER_hh_tes_in!L7/SER_hh_fec_in!L7)</f>
        <v>0.54173387306200049</v>
      </c>
      <c r="M7" s="136">
        <f>IF(SER_hh_tes_in!M7=0,"",SER_hh_tes_in!M7/SER_hh_fec_in!M7)</f>
        <v>0.55688502459112277</v>
      </c>
      <c r="N7" s="136">
        <f>IF(SER_hh_tes_in!N7=0,"",SER_hh_tes_in!N7/SER_hh_fec_in!N7)</f>
        <v>0.58059578517061949</v>
      </c>
      <c r="O7" s="136">
        <f>IF(SER_hh_tes_in!O7=0,"",SER_hh_tes_in!O7/SER_hh_fec_in!O7)</f>
        <v>0.61377322772812404</v>
      </c>
      <c r="P7" s="136" t="str">
        <f>IF(SER_hh_tes_in!P7=0,"",SER_hh_tes_in!P7/SER_hh_fec_in!P7)</f>
        <v/>
      </c>
      <c r="Q7" s="136" t="str">
        <f>IF(SER_hh_tes_in!Q7=0,"",SER_hh_tes_in!Q7/SER_hh_fec_in!Q7)</f>
        <v/>
      </c>
      <c r="R7" s="136" t="str">
        <f>IF(SER_hh_tes_in!R7=0,"",SER_hh_tes_in!R7/SER_hh_fec_in!R7)</f>
        <v/>
      </c>
      <c r="S7" s="136" t="str">
        <f>IF(SER_hh_tes_in!S7=0,"",SER_hh_tes_in!S7/SER_hh_fec_in!S7)</f>
        <v/>
      </c>
      <c r="T7" s="136" t="str">
        <f>IF(SER_hh_tes_in!T7=0,"",SER_hh_tes_in!T7/SER_hh_fec_in!T7)</f>
        <v/>
      </c>
      <c r="U7" s="136" t="str">
        <f>IF(SER_hh_tes_in!U7=0,"",SER_hh_tes_in!U7/SER_hh_fec_in!U7)</f>
        <v/>
      </c>
      <c r="V7" s="136" t="str">
        <f>IF(SER_hh_tes_in!V7=0,"",SER_hh_tes_in!V7/SER_hh_fec_in!V7)</f>
        <v/>
      </c>
      <c r="W7" s="136">
        <f>IF(SER_hh_tes_in!W7=0,"",SER_hh_tes_in!W7/SER_hh_fec_in!W7)</f>
        <v>0.70564336550292206</v>
      </c>
      <c r="X7" s="136">
        <f>IF(SER_hh_tes_in!X7=0,"",SER_hh_tes_in!X7/SER_hh_fec_in!X7)</f>
        <v>0.70677882194845743</v>
      </c>
      <c r="Y7" s="136">
        <f>IF(SER_hh_tes_in!Y7=0,"",SER_hh_tes_in!Y7/SER_hh_fec_in!Y7)</f>
        <v>0.70750649419513711</v>
      </c>
      <c r="DA7" s="163" t="s">
        <v>666</v>
      </c>
    </row>
    <row r="8" spans="1:105" ht="12" customHeight="1" x14ac:dyDescent="0.25">
      <c r="A8" s="131" t="s">
        <v>73</v>
      </c>
      <c r="B8" s="136"/>
      <c r="C8" s="136" t="str">
        <f>IF(SER_hh_tes_in!C8=0,"",SER_hh_tes_in!C8/SER_hh_fec_in!C8)</f>
        <v/>
      </c>
      <c r="D8" s="136" t="str">
        <f>IF(SER_hh_tes_in!D8=0,"",SER_hh_tes_in!D8/SER_hh_fec_in!D8)</f>
        <v/>
      </c>
      <c r="E8" s="136" t="str">
        <f>IF(SER_hh_tes_in!E8=0,"",SER_hh_tes_in!E8/SER_hh_fec_in!E8)</f>
        <v/>
      </c>
      <c r="F8" s="136" t="str">
        <f>IF(SER_hh_tes_in!F8=0,"",SER_hh_tes_in!F8/SER_hh_fec_in!F8)</f>
        <v/>
      </c>
      <c r="G8" s="136" t="str">
        <f>IF(SER_hh_tes_in!G8=0,"",SER_hh_tes_in!G8/SER_hh_fec_in!G8)</f>
        <v/>
      </c>
      <c r="H8" s="136" t="str">
        <f>IF(SER_hh_tes_in!H8=0,"",SER_hh_tes_in!H8/SER_hh_fec_in!H8)</f>
        <v/>
      </c>
      <c r="I8" s="136" t="str">
        <f>IF(SER_hh_tes_in!I8=0,"",SER_hh_tes_in!I8/SER_hh_fec_in!I8)</f>
        <v/>
      </c>
      <c r="J8" s="136" t="str">
        <f>IF(SER_hh_tes_in!J8=0,"",SER_hh_tes_in!J8/SER_hh_fec_in!J8)</f>
        <v/>
      </c>
      <c r="K8" s="136" t="str">
        <f>IF(SER_hh_tes_in!K8=0,"",SER_hh_tes_in!K8/SER_hh_fec_in!K8)</f>
        <v/>
      </c>
      <c r="L8" s="136" t="str">
        <f>IF(SER_hh_tes_in!L8=0,"",SER_hh_tes_in!L8/SER_hh_fec_in!L8)</f>
        <v/>
      </c>
      <c r="M8" s="136" t="str">
        <f>IF(SER_hh_tes_in!M8=0,"",SER_hh_tes_in!M8/SER_hh_fec_in!M8)</f>
        <v/>
      </c>
      <c r="N8" s="136" t="str">
        <f>IF(SER_hh_tes_in!N8=0,"",SER_hh_tes_in!N8/SER_hh_fec_in!N8)</f>
        <v/>
      </c>
      <c r="O8" s="136" t="str">
        <f>IF(SER_hh_tes_in!O8=0,"",SER_hh_tes_in!O8/SER_hh_fec_in!O8)</f>
        <v/>
      </c>
      <c r="P8" s="136" t="str">
        <f>IF(SER_hh_tes_in!P8=0,"",SER_hh_tes_in!P8/SER_hh_fec_in!P8)</f>
        <v/>
      </c>
      <c r="Q8" s="136" t="str">
        <f>IF(SER_hh_tes_in!Q8=0,"",SER_hh_tes_in!Q8/SER_hh_fec_in!Q8)</f>
        <v/>
      </c>
      <c r="R8" s="136" t="str">
        <f>IF(SER_hh_tes_in!R8=0,"",SER_hh_tes_in!R8/SER_hh_fec_in!R8)</f>
        <v/>
      </c>
      <c r="S8" s="136" t="str">
        <f>IF(SER_hh_tes_in!S8=0,"",SER_hh_tes_in!S8/SER_hh_fec_in!S8)</f>
        <v/>
      </c>
      <c r="T8" s="136" t="str">
        <f>IF(SER_hh_tes_in!T8=0,"",SER_hh_tes_in!T8/SER_hh_fec_in!T8)</f>
        <v/>
      </c>
      <c r="U8" s="136" t="str">
        <f>IF(SER_hh_tes_in!U8=0,"",SER_hh_tes_in!U8/SER_hh_fec_in!U8)</f>
        <v/>
      </c>
      <c r="V8" s="136" t="str">
        <f>IF(SER_hh_tes_in!V8=0,"",SER_hh_tes_in!V8/SER_hh_fec_in!V8)</f>
        <v/>
      </c>
      <c r="W8" s="136" t="str">
        <f>IF(SER_hh_tes_in!W8=0,"",SER_hh_tes_in!W8/SER_hh_fec_in!W8)</f>
        <v/>
      </c>
      <c r="X8" s="136" t="str">
        <f>IF(SER_hh_tes_in!X8=0,"",SER_hh_tes_in!X8/SER_hh_fec_in!X8)</f>
        <v/>
      </c>
      <c r="Y8" s="136" t="str">
        <f>IF(SER_hh_tes_in!Y8=0,"",SER_hh_tes_in!Y8/SER_hh_fec_in!Y8)</f>
        <v/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0.51727807220402933</v>
      </c>
      <c r="D9" s="136">
        <f>IF(SER_hh_tes_in!D9=0,"",SER_hh_tes_in!D9/SER_hh_fec_in!D9)</f>
        <v>0.52147191337472154</v>
      </c>
      <c r="E9" s="136">
        <f>IF(SER_hh_tes_in!E9=0,"",SER_hh_tes_in!E9/SER_hh_fec_in!E9)</f>
        <v>0.52592959800915229</v>
      </c>
      <c r="F9" s="136">
        <f>IF(SER_hh_tes_in!F9=0,"",SER_hh_tes_in!F9/SER_hh_fec_in!F9)</f>
        <v>0.53037093271164937</v>
      </c>
      <c r="G9" s="136" t="str">
        <f>IF(SER_hh_tes_in!G9=0,"",SER_hh_tes_in!G9/SER_hh_fec_in!G9)</f>
        <v/>
      </c>
      <c r="H9" s="136" t="str">
        <f>IF(SER_hh_tes_in!H9=0,"",SER_hh_tes_in!H9/SER_hh_fec_in!H9)</f>
        <v/>
      </c>
      <c r="I9" s="136" t="str">
        <f>IF(SER_hh_tes_in!I9=0,"",SER_hh_tes_in!I9/SER_hh_fec_in!I9)</f>
        <v/>
      </c>
      <c r="J9" s="136" t="str">
        <f>IF(SER_hh_tes_in!J9=0,"",SER_hh_tes_in!J9/SER_hh_fec_in!J9)</f>
        <v/>
      </c>
      <c r="K9" s="136" t="str">
        <f>IF(SER_hh_tes_in!K9=0,"",SER_hh_tes_in!K9/SER_hh_fec_in!K9)</f>
        <v/>
      </c>
      <c r="L9" s="136" t="str">
        <f>IF(SER_hh_tes_in!L9=0,"",SER_hh_tes_in!L9/SER_hh_fec_in!L9)</f>
        <v/>
      </c>
      <c r="M9" s="136">
        <f>IF(SER_hh_tes_in!M9=0,"",SER_hh_tes_in!M9/SER_hh_fec_in!M9)</f>
        <v>0.57758150714980705</v>
      </c>
      <c r="N9" s="136">
        <f>IF(SER_hh_tes_in!N9=0,"",SER_hh_tes_in!N9/SER_hh_fec_in!N9)</f>
        <v>0.59860387741701504</v>
      </c>
      <c r="O9" s="136">
        <f>IF(SER_hh_tes_in!O9=0,"",SER_hh_tes_in!O9/SER_hh_fec_in!O9)</f>
        <v>0.62847515955089261</v>
      </c>
      <c r="P9" s="136">
        <f>IF(SER_hh_tes_in!P9=0,"",SER_hh_tes_in!P9/SER_hh_fec_in!P9)</f>
        <v>0.6636521803716855</v>
      </c>
      <c r="Q9" s="136">
        <f>IF(SER_hh_tes_in!Q9=0,"",SER_hh_tes_in!Q9/SER_hh_fec_in!Q9)</f>
        <v>0.69330160190524437</v>
      </c>
      <c r="R9" s="136">
        <f>IF(SER_hh_tes_in!R9=0,"",SER_hh_tes_in!R9/SER_hh_fec_in!R9)</f>
        <v>0.70833166370311862</v>
      </c>
      <c r="S9" s="136">
        <f>IF(SER_hh_tes_in!S9=0,"",SER_hh_tes_in!S9/SER_hh_fec_in!S9)</f>
        <v>0.71981452150845371</v>
      </c>
      <c r="T9" s="136">
        <f>IF(SER_hh_tes_in!T9=0,"",SER_hh_tes_in!T9/SER_hh_fec_in!T9)</f>
        <v>0.72912514135184514</v>
      </c>
      <c r="U9" s="136">
        <f>IF(SER_hh_tes_in!U9=0,"",SER_hh_tes_in!U9/SER_hh_fec_in!U9)</f>
        <v>0.73721285742902376</v>
      </c>
      <c r="V9" s="136" t="str">
        <f>IF(SER_hh_tes_in!V9=0,"",SER_hh_tes_in!V9/SER_hh_fec_in!V9)</f>
        <v/>
      </c>
      <c r="W9" s="136" t="str">
        <f>IF(SER_hh_tes_in!W9=0,"",SER_hh_tes_in!W9/SER_hh_fec_in!W9)</f>
        <v/>
      </c>
      <c r="X9" s="136" t="str">
        <f>IF(SER_hh_tes_in!X9=0,"",SER_hh_tes_in!X9/SER_hh_fec_in!X9)</f>
        <v/>
      </c>
      <c r="Y9" s="136" t="str">
        <f>IF(SER_hh_tes_in!Y9=0,"",SER_hh_tes_in!Y9/SER_hh_fec_in!Y9)</f>
        <v/>
      </c>
      <c r="DA9" s="163" t="s">
        <v>668</v>
      </c>
    </row>
    <row r="10" spans="1:105" ht="12" customHeight="1" x14ac:dyDescent="0.25">
      <c r="A10" s="131" t="s">
        <v>128</v>
      </c>
      <c r="B10" s="136"/>
      <c r="C10" s="136">
        <f>IF(SER_hh_tes_in!C10=0,"",SER_hh_tes_in!C10/SER_hh_fec_in!C10)</f>
        <v>0.52145555241990538</v>
      </c>
      <c r="D10" s="136">
        <f>IF(SER_hh_tes_in!D10=0,"",SER_hh_tes_in!D10/SER_hh_fec_in!D10)</f>
        <v>0.52171893623334564</v>
      </c>
      <c r="E10" s="136">
        <f>IF(SER_hh_tes_in!E10=0,"",SER_hh_tes_in!E10/SER_hh_fec_in!E10)</f>
        <v>0.52198482742973773</v>
      </c>
      <c r="F10" s="136">
        <f>IF(SER_hh_tes_in!F10=0,"",SER_hh_tes_in!F10/SER_hh_fec_in!F10)</f>
        <v>0.52225296595422732</v>
      </c>
      <c r="G10" s="136">
        <f>IF(SER_hh_tes_in!G10=0,"",SER_hh_tes_in!G10/SER_hh_fec_in!G10)</f>
        <v>0.52252308724738572</v>
      </c>
      <c r="H10" s="136">
        <f>IF(SER_hh_tes_in!H10=0,"",SER_hh_tes_in!H10/SER_hh_fec_in!H10)</f>
        <v>0.52279487975117434</v>
      </c>
      <c r="I10" s="136">
        <f>IF(SER_hh_tes_in!I10=0,"",SER_hh_tes_in!I10/SER_hh_fec_in!I10)</f>
        <v>0.52306793248582728</v>
      </c>
      <c r="J10" s="136" t="str">
        <f>IF(SER_hh_tes_in!J10=0,"",SER_hh_tes_in!J10/SER_hh_fec_in!J10)</f>
        <v/>
      </c>
      <c r="K10" s="136" t="str">
        <f>IF(SER_hh_tes_in!K10=0,"",SER_hh_tes_in!K10/SER_hh_fec_in!K10)</f>
        <v/>
      </c>
      <c r="L10" s="136">
        <f>IF(SER_hh_tes_in!L10=0,"",SER_hh_tes_in!L10/SER_hh_fec_in!L10)</f>
        <v>0.52388476187566257</v>
      </c>
      <c r="M10" s="136">
        <f>IF(SER_hh_tes_in!M10=0,"",SER_hh_tes_in!M10/SER_hh_fec_in!M10)</f>
        <v>0.52413349597631331</v>
      </c>
      <c r="N10" s="136" t="str">
        <f>IF(SER_hh_tes_in!N10=0,"",SER_hh_tes_in!N10/SER_hh_fec_in!N10)</f>
        <v/>
      </c>
      <c r="O10" s="136" t="str">
        <f>IF(SER_hh_tes_in!O10=0,"",SER_hh_tes_in!O10/SER_hh_fec_in!O10)</f>
        <v/>
      </c>
      <c r="P10" s="136" t="str">
        <f>IF(SER_hh_tes_in!P10=0,"",SER_hh_tes_in!P10/SER_hh_fec_in!P10)</f>
        <v/>
      </c>
      <c r="Q10" s="136" t="str">
        <f>IF(SER_hh_tes_in!Q10=0,"",SER_hh_tes_in!Q10/SER_hh_fec_in!Q10)</f>
        <v/>
      </c>
      <c r="R10" s="136">
        <f>IF(SER_hh_tes_in!R10=0,"",SER_hh_tes_in!R10/SER_hh_fec_in!R10)</f>
        <v>0.52512998800536137</v>
      </c>
      <c r="S10" s="136">
        <f>IF(SER_hh_tes_in!S10=0,"",SER_hh_tes_in!S10/SER_hh_fec_in!S10)</f>
        <v>0.52543558028263748</v>
      </c>
      <c r="T10" s="136">
        <f>IF(SER_hh_tes_in!T10=0,"",SER_hh_tes_in!T10/SER_hh_fec_in!T10)</f>
        <v>0.52574382523915875</v>
      </c>
      <c r="U10" s="136">
        <f>IF(SER_hh_tes_in!U10=0,"",SER_hh_tes_in!U10/SER_hh_fec_in!U10)</f>
        <v>0.52602856619795113</v>
      </c>
      <c r="V10" s="136">
        <f>IF(SER_hh_tes_in!V10=0,"",SER_hh_tes_in!V10/SER_hh_fec_in!V10)</f>
        <v>0.5262674132854448</v>
      </c>
      <c r="W10" s="136">
        <f>IF(SER_hh_tes_in!W10=0,"",SER_hh_tes_in!W10/SER_hh_fec_in!W10)</f>
        <v>0.52645928539426368</v>
      </c>
      <c r="X10" s="136">
        <f>IF(SER_hh_tes_in!X10=0,"",SER_hh_tes_in!X10/SER_hh_fec_in!X10)</f>
        <v>0.53152192676560139</v>
      </c>
      <c r="Y10" s="136" t="str">
        <f>IF(SER_hh_tes_in!Y10=0,"",SER_hh_tes_in!Y10/SER_hh_fec_in!Y10)</f>
        <v/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 t="str">
        <f>IF(SER_hh_tes_in!F11=0,"",SER_hh_tes_in!F11/SER_hh_fec_in!F11)</f>
        <v/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 t="str">
        <f>IF(SER_hh_tes_in!I11=0,"",SER_hh_tes_in!I11/SER_hh_fec_in!I11)</f>
        <v/>
      </c>
      <c r="J11" s="136" t="str">
        <f>IF(SER_hh_tes_in!J11=0,"",SER_hh_tes_in!J11/SER_hh_fec_in!J11)</f>
        <v/>
      </c>
      <c r="K11" s="136" t="str">
        <f>IF(SER_hh_tes_in!K11=0,"",SER_hh_tes_in!K11/SER_hh_fec_in!K11)</f>
        <v/>
      </c>
      <c r="L11" s="136" t="str">
        <f>IF(SER_hh_tes_in!L11=0,"",SER_hh_tes_in!L11/SER_hh_fec_in!L11)</f>
        <v/>
      </c>
      <c r="M11" s="136" t="str">
        <f>IF(SER_hh_tes_in!M11=0,"",SER_hh_tes_in!M11/SER_hh_fec_in!M11)</f>
        <v/>
      </c>
      <c r="N11" s="136" t="str">
        <f>IF(SER_hh_tes_in!N11=0,"",SER_hh_tes_in!N11/SER_hh_fec_in!N11)</f>
        <v/>
      </c>
      <c r="O11" s="136" t="str">
        <f>IF(SER_hh_tes_in!O11=0,"",SER_hh_tes_in!O11/SER_hh_fec_in!O11)</f>
        <v/>
      </c>
      <c r="P11" s="136" t="str">
        <f>IF(SER_hh_tes_in!P11=0,"",SER_hh_tes_in!P11/SER_hh_fec_in!P11)</f>
        <v/>
      </c>
      <c r="Q11" s="136" t="str">
        <f>IF(SER_hh_tes_in!Q11=0,"",SER_hh_tes_in!Q11/SER_hh_fec_in!Q11)</f>
        <v/>
      </c>
      <c r="R11" s="136" t="str">
        <f>IF(SER_hh_tes_in!R11=0,"",SER_hh_tes_in!R11/SER_hh_fec_in!R11)</f>
        <v/>
      </c>
      <c r="S11" s="136" t="str">
        <f>IF(SER_hh_tes_in!S11=0,"",SER_hh_tes_in!S11/SER_hh_fec_in!S11)</f>
        <v/>
      </c>
      <c r="T11" s="136" t="str">
        <f>IF(SER_hh_tes_in!T11=0,"",SER_hh_tes_in!T11/SER_hh_fec_in!T11)</f>
        <v/>
      </c>
      <c r="U11" s="136" t="str">
        <f>IF(SER_hh_tes_in!U11=0,"",SER_hh_tes_in!U11/SER_hh_fec_in!U11)</f>
        <v/>
      </c>
      <c r="V11" s="136" t="str">
        <f>IF(SER_hh_tes_in!V11=0,"",SER_hh_tes_in!V11/SER_hh_fec_in!V11)</f>
        <v/>
      </c>
      <c r="W11" s="136" t="str">
        <f>IF(SER_hh_tes_in!W11=0,"",SER_hh_tes_in!W11/SER_hh_fec_in!W11)</f>
        <v/>
      </c>
      <c r="X11" s="136" t="str">
        <f>IF(SER_hh_tes_in!X11=0,"",SER_hh_tes_in!X11/SER_hh_fec_in!X11)</f>
        <v/>
      </c>
      <c r="Y11" s="136" t="str">
        <f>IF(SER_hh_tes_in!Y11=0,"",SER_hh_tes_in!Y11/SER_hh_fec_in!Y11)</f>
        <v/>
      </c>
      <c r="DA11" s="163" t="s">
        <v>670</v>
      </c>
    </row>
    <row r="12" spans="1:105" ht="12" customHeight="1" x14ac:dyDescent="0.25">
      <c r="A12" s="131" t="s">
        <v>162</v>
      </c>
      <c r="B12" s="136"/>
      <c r="C12" s="136">
        <f>IF(SER_hh_tes_in!C12=0,"",SER_hh_tes_in!C12/SER_hh_fec_in!C12)</f>
        <v>0.76887546843466192</v>
      </c>
      <c r="D12" s="136">
        <f>IF(SER_hh_tes_in!D12=0,"",SER_hh_tes_in!D12/SER_hh_fec_in!D12)</f>
        <v>0.77099842514691019</v>
      </c>
      <c r="E12" s="136">
        <f>IF(SER_hh_tes_in!E12=0,"",SER_hh_tes_in!E12/SER_hh_fec_in!E12)</f>
        <v>0.77317869615177692</v>
      </c>
      <c r="F12" s="136">
        <f>IF(SER_hh_tes_in!F12=0,"",SER_hh_tes_in!F12/SER_hh_fec_in!F12)</f>
        <v>0.77536678274200066</v>
      </c>
      <c r="G12" s="136">
        <f>IF(SER_hh_tes_in!G12=0,"",SER_hh_tes_in!G12/SER_hh_fec_in!G12)</f>
        <v>0.77760765242455443</v>
      </c>
      <c r="H12" s="136">
        <f>IF(SER_hh_tes_in!H12=0,"",SER_hh_tes_in!H12/SER_hh_fec_in!H12)</f>
        <v>0.77989580174905315</v>
      </c>
      <c r="I12" s="136">
        <f>IF(SER_hh_tes_in!I12=0,"",SER_hh_tes_in!I12/SER_hh_fec_in!I12)</f>
        <v>0.7822423107105293</v>
      </c>
      <c r="J12" s="136">
        <f>IF(SER_hh_tes_in!J12=0,"",SER_hh_tes_in!J12/SER_hh_fec_in!J12)</f>
        <v>0.78469257013774241</v>
      </c>
      <c r="K12" s="136">
        <f>IF(SER_hh_tes_in!K12=0,"",SER_hh_tes_in!K12/SER_hh_fec_in!K12)</f>
        <v>0.7872851741743464</v>
      </c>
      <c r="L12" s="136">
        <f>IF(SER_hh_tes_in!L12=0,"",SER_hh_tes_in!L12/SER_hh_fec_in!L12)</f>
        <v>0.79003044833604819</v>
      </c>
      <c r="M12" s="136">
        <f>IF(SER_hh_tes_in!M12=0,"",SER_hh_tes_in!M12/SER_hh_fec_in!M12)</f>
        <v>0.79383162313565758</v>
      </c>
      <c r="N12" s="136">
        <f>IF(SER_hh_tes_in!N12=0,"",SER_hh_tes_in!N12/SER_hh_fec_in!N12)</f>
        <v>0.79897427740177496</v>
      </c>
      <c r="O12" s="136">
        <f>IF(SER_hh_tes_in!O12=0,"",SER_hh_tes_in!O12/SER_hh_fec_in!O12)</f>
        <v>0.8057087556795951</v>
      </c>
      <c r="P12" s="136">
        <f>IF(SER_hh_tes_in!P12=0,"",SER_hh_tes_in!P12/SER_hh_fec_in!P12)</f>
        <v>0.81355875911733311</v>
      </c>
      <c r="Q12" s="136">
        <f>IF(SER_hh_tes_in!Q12=0,"",SER_hh_tes_in!Q12/SER_hh_fec_in!Q12)</f>
        <v>0.82096505724952795</v>
      </c>
      <c r="R12" s="136">
        <f>IF(SER_hh_tes_in!R12=0,"",SER_hh_tes_in!R12/SER_hh_fec_in!R12)</f>
        <v>0.82664025631660409</v>
      </c>
      <c r="S12" s="136">
        <f>IF(SER_hh_tes_in!S12=0,"",SER_hh_tes_in!S12/SER_hh_fec_in!S12)</f>
        <v>0.83216127629546255</v>
      </c>
      <c r="T12" s="136">
        <f>IF(SER_hh_tes_in!T12=0,"",SER_hh_tes_in!T12/SER_hh_fec_in!T12)</f>
        <v>0.83749122809788301</v>
      </c>
      <c r="U12" s="136">
        <f>IF(SER_hh_tes_in!U12=0,"",SER_hh_tes_in!U12/SER_hh_fec_in!U12)</f>
        <v>0.84259322263566228</v>
      </c>
      <c r="V12" s="136">
        <f>IF(SER_hh_tes_in!V12=0,"",SER_hh_tes_in!V12/SER_hh_fec_in!V12)</f>
        <v>0.84743037082059036</v>
      </c>
      <c r="W12" s="136">
        <f>IF(SER_hh_tes_in!W12=0,"",SER_hh_tes_in!W12/SER_hh_fec_in!W12)</f>
        <v>0.85188631663581771</v>
      </c>
      <c r="X12" s="136">
        <f>IF(SER_hh_tes_in!X12=0,"",SER_hh_tes_in!X12/SER_hh_fec_in!X12)</f>
        <v>0.85642069806730281</v>
      </c>
      <c r="Y12" s="136">
        <f>IF(SER_hh_tes_in!Y12=0,"",SER_hh_tes_in!Y12/SER_hh_fec_in!Y12)</f>
        <v>0.86077799140372879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 t="str">
        <f>IF(SER_hh_tes_in!C13=0,"",SER_hh_tes_in!C13/SER_hh_fec_in!C13)</f>
        <v/>
      </c>
      <c r="D13" s="136" t="str">
        <f>IF(SER_hh_tes_in!D13=0,"",SER_hh_tes_in!D13/SER_hh_fec_in!D13)</f>
        <v/>
      </c>
      <c r="E13" s="136" t="str">
        <f>IF(SER_hh_tes_in!E13=0,"",SER_hh_tes_in!E13/SER_hh_fec_in!E13)</f>
        <v/>
      </c>
      <c r="F13" s="136" t="str">
        <f>IF(SER_hh_tes_in!F13=0,"",SER_hh_tes_in!F13/SER_hh_fec_in!F13)</f>
        <v/>
      </c>
      <c r="G13" s="136" t="str">
        <f>IF(SER_hh_tes_in!G13=0,"",SER_hh_tes_in!G13/SER_hh_fec_in!G13)</f>
        <v/>
      </c>
      <c r="H13" s="136" t="str">
        <f>IF(SER_hh_tes_in!H13=0,"",SER_hh_tes_in!H13/SER_hh_fec_in!H13)</f>
        <v/>
      </c>
      <c r="I13" s="136" t="str">
        <f>IF(SER_hh_tes_in!I13=0,"",SER_hh_tes_in!I13/SER_hh_fec_in!I13)</f>
        <v/>
      </c>
      <c r="J13" s="136" t="str">
        <f>IF(SER_hh_tes_in!J13=0,"",SER_hh_tes_in!J13/SER_hh_fec_in!J13)</f>
        <v/>
      </c>
      <c r="K13" s="136" t="str">
        <f>IF(SER_hh_tes_in!K13=0,"",SER_hh_tes_in!K13/SER_hh_fec_in!K13)</f>
        <v/>
      </c>
      <c r="L13" s="136" t="str">
        <f>IF(SER_hh_tes_in!L13=0,"",SER_hh_tes_in!L13/SER_hh_fec_in!L13)</f>
        <v/>
      </c>
      <c r="M13" s="136" t="str">
        <f>IF(SER_hh_tes_in!M13=0,"",SER_hh_tes_in!M13/SER_hh_fec_in!M13)</f>
        <v/>
      </c>
      <c r="N13" s="136" t="str">
        <f>IF(SER_hh_tes_in!N13=0,"",SER_hh_tes_in!N13/SER_hh_fec_in!N13)</f>
        <v/>
      </c>
      <c r="O13" s="136" t="str">
        <f>IF(SER_hh_tes_in!O13=0,"",SER_hh_tes_in!O13/SER_hh_fec_in!O13)</f>
        <v/>
      </c>
      <c r="P13" s="136" t="str">
        <f>IF(SER_hh_tes_in!P13=0,"",SER_hh_tes_in!P13/SER_hh_fec_in!P13)</f>
        <v/>
      </c>
      <c r="Q13" s="136" t="str">
        <f>IF(SER_hh_tes_in!Q13=0,"",SER_hh_tes_in!Q13/SER_hh_fec_in!Q13)</f>
        <v/>
      </c>
      <c r="R13" s="136" t="str">
        <f>IF(SER_hh_tes_in!R13=0,"",SER_hh_tes_in!R13/SER_hh_fec_in!R13)</f>
        <v/>
      </c>
      <c r="S13" s="136" t="str">
        <f>IF(SER_hh_tes_in!S13=0,"",SER_hh_tes_in!S13/SER_hh_fec_in!S13)</f>
        <v/>
      </c>
      <c r="T13" s="136" t="str">
        <f>IF(SER_hh_tes_in!T13=0,"",SER_hh_tes_in!T13/SER_hh_fec_in!T13)</f>
        <v/>
      </c>
      <c r="U13" s="136" t="str">
        <f>IF(SER_hh_tes_in!U13=0,"",SER_hh_tes_in!U13/SER_hh_fec_in!U13)</f>
        <v/>
      </c>
      <c r="V13" s="136" t="str">
        <f>IF(SER_hh_tes_in!V13=0,"",SER_hh_tes_in!V13/SER_hh_fec_in!V13)</f>
        <v/>
      </c>
      <c r="W13" s="136" t="str">
        <f>IF(SER_hh_tes_in!W13=0,"",SER_hh_tes_in!W13/SER_hh_fec_in!W13)</f>
        <v/>
      </c>
      <c r="X13" s="136" t="str">
        <f>IF(SER_hh_tes_in!X13=0,"",SER_hh_tes_in!X13/SER_hh_fec_in!X13)</f>
        <v/>
      </c>
      <c r="Y13" s="136" t="str">
        <f>IF(SER_hh_tes_in!Y13=0,"",SER_hh_tes_in!Y13/SER_hh_fec_in!Y13)</f>
        <v/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0.69796694558690409</v>
      </c>
      <c r="D14" s="137">
        <f>IF(SER_hh_tes_in!D14=0,"",SER_hh_tes_in!D14/SER_hh_fec_in!D14)</f>
        <v>0.70255411831752579</v>
      </c>
      <c r="E14" s="137">
        <f>IF(SER_hh_tes_in!E14=0,"",SER_hh_tes_in!E14/SER_hh_fec_in!E14)</f>
        <v>0.70712851428000212</v>
      </c>
      <c r="F14" s="137">
        <f>IF(SER_hh_tes_in!F14=0,"",SER_hh_tes_in!F14/SER_hh_fec_in!F14)</f>
        <v>0.71170072257405959</v>
      </c>
      <c r="G14" s="137">
        <f>IF(SER_hh_tes_in!G14=0,"",SER_hh_tes_in!G14/SER_hh_fec_in!G14)</f>
        <v>0.71626117265610623</v>
      </c>
      <c r="H14" s="137">
        <f>IF(SER_hh_tes_in!H14=0,"",SER_hh_tes_in!H14/SER_hh_fec_in!H14)</f>
        <v>0.72081107207882456</v>
      </c>
      <c r="I14" s="137">
        <f>IF(SER_hh_tes_in!I14=0,"",SER_hh_tes_in!I14/SER_hh_fec_in!I14)</f>
        <v>0.72534810189068633</v>
      </c>
      <c r="J14" s="137">
        <f>IF(SER_hh_tes_in!J14=0,"",SER_hh_tes_in!J14/SER_hh_fec_in!J14)</f>
        <v>0.72986267785512193</v>
      </c>
      <c r="K14" s="137">
        <f>IF(SER_hh_tes_in!K14=0,"",SER_hh_tes_in!K14/SER_hh_fec_in!K14)</f>
        <v>0.73434671389036954</v>
      </c>
      <c r="L14" s="137">
        <f>IF(SER_hh_tes_in!L14=0,"",SER_hh_tes_in!L14/SER_hh_fec_in!L14)</f>
        <v>0.73879816454161384</v>
      </c>
      <c r="M14" s="137">
        <f>IF(SER_hh_tes_in!M14=0,"",SER_hh_tes_in!M14/SER_hh_fec_in!M14)</f>
        <v>0.74239805904214728</v>
      </c>
      <c r="N14" s="137">
        <f>IF(SER_hh_tes_in!N14=0,"",SER_hh_tes_in!N14/SER_hh_fec_in!N14)</f>
        <v>0.74485049956861304</v>
      </c>
      <c r="O14" s="137">
        <f>IF(SER_hh_tes_in!O14=0,"",SER_hh_tes_in!O14/SER_hh_fec_in!O14)</f>
        <v>0.7465467935899841</v>
      </c>
      <c r="P14" s="137">
        <f>IF(SER_hh_tes_in!P14=0,"",SER_hh_tes_in!P14/SER_hh_fec_in!P14)</f>
        <v>0.74920335045320741</v>
      </c>
      <c r="Q14" s="137">
        <f>IF(SER_hh_tes_in!Q14=0,"",SER_hh_tes_in!Q14/SER_hh_fec_in!Q14)</f>
        <v>0.75748247076402808</v>
      </c>
      <c r="R14" s="137">
        <f>IF(SER_hh_tes_in!R14=0,"",SER_hh_tes_in!R14/SER_hh_fec_in!R14)</f>
        <v>0.77687308327863325</v>
      </c>
      <c r="S14" s="137">
        <f>IF(SER_hh_tes_in!S14=0,"",SER_hh_tes_in!S14/SER_hh_fec_in!S14)</f>
        <v>0.80299597768397724</v>
      </c>
      <c r="T14" s="137">
        <f>IF(SER_hh_tes_in!T14=0,"",SER_hh_tes_in!T14/SER_hh_fec_in!T14)</f>
        <v>0.83226156996884126</v>
      </c>
      <c r="U14" s="137">
        <f>IF(SER_hh_tes_in!U14=0,"",SER_hh_tes_in!U14/SER_hh_fec_in!U14)</f>
        <v>0.86111321420876008</v>
      </c>
      <c r="V14" s="137">
        <f>IF(SER_hh_tes_in!V14=0,"",SER_hh_tes_in!V14/SER_hh_fec_in!V14)</f>
        <v>0.88599076250602082</v>
      </c>
      <c r="W14" s="137">
        <f>IF(SER_hh_tes_in!W14=0,"",SER_hh_tes_in!W14/SER_hh_fec_in!W14)</f>
        <v>0.90619007819699315</v>
      </c>
      <c r="X14" s="137">
        <f>IF(SER_hh_tes_in!X14=0,"",SER_hh_tes_in!X14/SER_hh_fec_in!X14)</f>
        <v>0.92030168713427263</v>
      </c>
      <c r="Y14" s="137" t="str">
        <f>IF(SER_hh_tes_in!Y14=0,"",SER_hh_tes_in!Y14/SER_hh_fec_in!Y14)</f>
        <v/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2.7390734999662545</v>
      </c>
      <c r="D16" s="135">
        <f>IF(SER_hh_tes_in!D16=0,"",SER_hh_tes_in!D16/SER_hh_fec_in!D16)</f>
        <v>2.8687003606747021</v>
      </c>
      <c r="E16" s="135">
        <f>IF(SER_hh_tes_in!E16=0,"",SER_hh_tes_in!E16/SER_hh_fec_in!E16)</f>
        <v>3.0002705772847107</v>
      </c>
      <c r="F16" s="135">
        <f>IF(SER_hh_tes_in!F16=0,"",SER_hh_tes_in!F16/SER_hh_fec_in!F16)</f>
        <v>3.1328975078382602</v>
      </c>
      <c r="G16" s="135">
        <f>IF(SER_hh_tes_in!G16=0,"",SER_hh_tes_in!G16/SER_hh_fec_in!G16)</f>
        <v>3.2673495032003665</v>
      </c>
      <c r="H16" s="135">
        <f>IF(SER_hh_tes_in!H16=0,"",SER_hh_tes_in!H16/SER_hh_fec_in!H16)</f>
        <v>3.4035058081086462</v>
      </c>
      <c r="I16" s="135">
        <f>IF(SER_hh_tes_in!I16=0,"",SER_hh_tes_in!I16/SER_hh_fec_in!I16)</f>
        <v>3.5415274835087307</v>
      </c>
      <c r="J16" s="135">
        <f>IF(SER_hh_tes_in!J16=0,"",SER_hh_tes_in!J16/SER_hh_fec_in!J16)</f>
        <v>3.6821363924499173</v>
      </c>
      <c r="K16" s="135">
        <f>IF(SER_hh_tes_in!K16=0,"",SER_hh_tes_in!K16/SER_hh_fec_in!K16)</f>
        <v>3.8259043106560542</v>
      </c>
      <c r="L16" s="135">
        <f>IF(SER_hh_tes_in!L16=0,"",SER_hh_tes_in!L16/SER_hh_fec_in!L16)</f>
        <v>3.9729070617419278</v>
      </c>
      <c r="M16" s="135">
        <f>IF(SER_hh_tes_in!M16=0,"",SER_hh_tes_in!M16/SER_hh_fec_in!M16)</f>
        <v>4.141361378936244</v>
      </c>
      <c r="N16" s="135">
        <f>IF(SER_hh_tes_in!N16=0,"",SER_hh_tes_in!N16/SER_hh_fec_in!N16)</f>
        <v>4.3366749740023032</v>
      </c>
      <c r="O16" s="135">
        <f>IF(SER_hh_tes_in!O16=0,"",SER_hh_tes_in!O16/SER_hh_fec_in!O16)</f>
        <v>4.5584994268042829</v>
      </c>
      <c r="P16" s="135">
        <f>IF(SER_hh_tes_in!P16=0,"",SER_hh_tes_in!P16/SER_hh_fec_in!P16)</f>
        <v>4.7852467808920283</v>
      </c>
      <c r="Q16" s="135">
        <f>IF(SER_hh_tes_in!Q16=0,"",SER_hh_tes_in!Q16/SER_hh_fec_in!Q16)</f>
        <v>4.9592718986191171</v>
      </c>
      <c r="R16" s="135">
        <f>IF(SER_hh_tes_in!R16=0,"",SER_hh_tes_in!R16/SER_hh_fec_in!R16)</f>
        <v>5.1126577735263234</v>
      </c>
      <c r="S16" s="135">
        <f>IF(SER_hh_tes_in!S16=0,"",SER_hh_tes_in!S16/SER_hh_fec_in!S16)</f>
        <v>5.1908501309752975</v>
      </c>
      <c r="T16" s="135">
        <f>IF(SER_hh_tes_in!T16=0,"",SER_hh_tes_in!T16/SER_hh_fec_in!T16)</f>
        <v>5.2412319133176615</v>
      </c>
      <c r="U16" s="135">
        <f>IF(SER_hh_tes_in!U16=0,"",SER_hh_tes_in!U16/SER_hh_fec_in!U16)</f>
        <v>5.2770643333565799</v>
      </c>
      <c r="V16" s="135">
        <f>IF(SER_hh_tes_in!V16=0,"",SER_hh_tes_in!V16/SER_hh_fec_in!V16)</f>
        <v>5.3128108842246187</v>
      </c>
      <c r="W16" s="135">
        <f>IF(SER_hh_tes_in!W16=0,"",SER_hh_tes_in!W16/SER_hh_fec_in!W16)</f>
        <v>5.3505593554264452</v>
      </c>
      <c r="X16" s="135">
        <f>IF(SER_hh_tes_in!X16=0,"",SER_hh_tes_in!X16/SER_hh_fec_in!X16)</f>
        <v>5.3771189307910836</v>
      </c>
      <c r="Y16" s="135">
        <f>IF(SER_hh_tes_in!Y16=0,"",SER_hh_tes_in!Y16/SER_hh_fec_in!Y16)</f>
        <v>5.400225476721773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 t="str">
        <f>IF(SER_hh_tes_in!C17=0,"",SER_hh_tes_in!C17/SER_hh_fec_in!C17)</f>
        <v/>
      </c>
      <c r="D17" s="136" t="str">
        <f>IF(SER_hh_tes_in!D17=0,"",SER_hh_tes_in!D17/SER_hh_fec_in!D17)</f>
        <v/>
      </c>
      <c r="E17" s="136" t="str">
        <f>IF(SER_hh_tes_in!E17=0,"",SER_hh_tes_in!E17/SER_hh_fec_in!E17)</f>
        <v/>
      </c>
      <c r="F17" s="136" t="str">
        <f>IF(SER_hh_tes_in!F17=0,"",SER_hh_tes_in!F17/SER_hh_fec_in!F17)</f>
        <v/>
      </c>
      <c r="G17" s="136" t="str">
        <f>IF(SER_hh_tes_in!G17=0,"",SER_hh_tes_in!G17/SER_hh_fec_in!G17)</f>
        <v/>
      </c>
      <c r="H17" s="136" t="str">
        <f>IF(SER_hh_tes_in!H17=0,"",SER_hh_tes_in!H17/SER_hh_fec_in!H17)</f>
        <v/>
      </c>
      <c r="I17" s="136" t="str">
        <f>IF(SER_hh_tes_in!I17=0,"",SER_hh_tes_in!I17/SER_hh_fec_in!I17)</f>
        <v/>
      </c>
      <c r="J17" s="136" t="str">
        <f>IF(SER_hh_tes_in!J17=0,"",SER_hh_tes_in!J17/SER_hh_fec_in!J17)</f>
        <v/>
      </c>
      <c r="K17" s="136" t="str">
        <f>IF(SER_hh_tes_in!K17=0,"",SER_hh_tes_in!K17/SER_hh_fec_in!K17)</f>
        <v/>
      </c>
      <c r="L17" s="136" t="str">
        <f>IF(SER_hh_tes_in!L17=0,"",SER_hh_tes_in!L17/SER_hh_fec_in!L17)</f>
        <v/>
      </c>
      <c r="M17" s="136" t="str">
        <f>IF(SER_hh_tes_in!M17=0,"",SER_hh_tes_in!M17/SER_hh_fec_in!M17)</f>
        <v/>
      </c>
      <c r="N17" s="136" t="str">
        <f>IF(SER_hh_tes_in!N17=0,"",SER_hh_tes_in!N17/SER_hh_fec_in!N17)</f>
        <v/>
      </c>
      <c r="O17" s="136" t="str">
        <f>IF(SER_hh_tes_in!O17=0,"",SER_hh_tes_in!O17/SER_hh_fec_in!O17)</f>
        <v/>
      </c>
      <c r="P17" s="136" t="str">
        <f>IF(SER_hh_tes_in!P17=0,"",SER_hh_tes_in!P17/SER_hh_fec_in!P17)</f>
        <v/>
      </c>
      <c r="Q17" s="136" t="str">
        <f>IF(SER_hh_tes_in!Q17=0,"",SER_hh_tes_in!Q17/SER_hh_fec_in!Q17)</f>
        <v/>
      </c>
      <c r="R17" s="136" t="str">
        <f>IF(SER_hh_tes_in!R17=0,"",SER_hh_tes_in!R17/SER_hh_fec_in!R17)</f>
        <v/>
      </c>
      <c r="S17" s="136" t="str">
        <f>IF(SER_hh_tes_in!S17=0,"",SER_hh_tes_in!S17/SER_hh_fec_in!S17)</f>
        <v/>
      </c>
      <c r="T17" s="136" t="str">
        <f>IF(SER_hh_tes_in!T17=0,"",SER_hh_tes_in!T17/SER_hh_fec_in!T17)</f>
        <v/>
      </c>
      <c r="U17" s="136" t="str">
        <f>IF(SER_hh_tes_in!U17=0,"",SER_hh_tes_in!U17/SER_hh_fec_in!U17)</f>
        <v/>
      </c>
      <c r="V17" s="136" t="str">
        <f>IF(SER_hh_tes_in!V17=0,"",SER_hh_tes_in!V17/SER_hh_fec_in!V17)</f>
        <v/>
      </c>
      <c r="W17" s="136" t="str">
        <f>IF(SER_hh_tes_in!W17=0,"",SER_hh_tes_in!W17/SER_hh_fec_in!W17)</f>
        <v/>
      </c>
      <c r="X17" s="136" t="str">
        <f>IF(SER_hh_tes_in!X17=0,"",SER_hh_tes_in!X17/SER_hh_fec_in!X17)</f>
        <v/>
      </c>
      <c r="Y17" s="136" t="str">
        <f>IF(SER_hh_tes_in!Y17=0,"",SER_hh_tes_in!Y17/SER_hh_fec_in!Y17)</f>
        <v/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2.7390734999662545</v>
      </c>
      <c r="D18" s="136">
        <f>IF(SER_hh_tes_in!D18=0,"",SER_hh_tes_in!D18/SER_hh_fec_in!D18)</f>
        <v>2.8687003606747021</v>
      </c>
      <c r="E18" s="136">
        <f>IF(SER_hh_tes_in!E18=0,"",SER_hh_tes_in!E18/SER_hh_fec_in!E18)</f>
        <v>3.0002705772847107</v>
      </c>
      <c r="F18" s="136">
        <f>IF(SER_hh_tes_in!F18=0,"",SER_hh_tes_in!F18/SER_hh_fec_in!F18)</f>
        <v>3.1328975078382602</v>
      </c>
      <c r="G18" s="136">
        <f>IF(SER_hh_tes_in!G18=0,"",SER_hh_tes_in!G18/SER_hh_fec_in!G18)</f>
        <v>3.2673495032003665</v>
      </c>
      <c r="H18" s="136">
        <f>IF(SER_hh_tes_in!H18=0,"",SER_hh_tes_in!H18/SER_hh_fec_in!H18)</f>
        <v>3.4035058081086462</v>
      </c>
      <c r="I18" s="136">
        <f>IF(SER_hh_tes_in!I18=0,"",SER_hh_tes_in!I18/SER_hh_fec_in!I18)</f>
        <v>3.5415274835087307</v>
      </c>
      <c r="J18" s="136">
        <f>IF(SER_hh_tes_in!J18=0,"",SER_hh_tes_in!J18/SER_hh_fec_in!J18)</f>
        <v>3.6821363924499173</v>
      </c>
      <c r="K18" s="136">
        <f>IF(SER_hh_tes_in!K18=0,"",SER_hh_tes_in!K18/SER_hh_fec_in!K18)</f>
        <v>3.8259043106560542</v>
      </c>
      <c r="L18" s="136">
        <f>IF(SER_hh_tes_in!L18=0,"",SER_hh_tes_in!L18/SER_hh_fec_in!L18)</f>
        <v>3.9729070617419278</v>
      </c>
      <c r="M18" s="136">
        <f>IF(SER_hh_tes_in!M18=0,"",SER_hh_tes_in!M18/SER_hh_fec_in!M18)</f>
        <v>4.141361378936244</v>
      </c>
      <c r="N18" s="136">
        <f>IF(SER_hh_tes_in!N18=0,"",SER_hh_tes_in!N18/SER_hh_fec_in!N18)</f>
        <v>4.3366749740023032</v>
      </c>
      <c r="O18" s="136">
        <f>IF(SER_hh_tes_in!O18=0,"",SER_hh_tes_in!O18/SER_hh_fec_in!O18)</f>
        <v>4.5584994268042829</v>
      </c>
      <c r="P18" s="136">
        <f>IF(SER_hh_tes_in!P18=0,"",SER_hh_tes_in!P18/SER_hh_fec_in!P18)</f>
        <v>4.7852467808920283</v>
      </c>
      <c r="Q18" s="136">
        <f>IF(SER_hh_tes_in!Q18=0,"",SER_hh_tes_in!Q18/SER_hh_fec_in!Q18)</f>
        <v>4.9592718986191171</v>
      </c>
      <c r="R18" s="136">
        <f>IF(SER_hh_tes_in!R18=0,"",SER_hh_tes_in!R18/SER_hh_fec_in!R18)</f>
        <v>5.1126577735263234</v>
      </c>
      <c r="S18" s="136">
        <f>IF(SER_hh_tes_in!S18=0,"",SER_hh_tes_in!S18/SER_hh_fec_in!S18)</f>
        <v>5.1908501309752975</v>
      </c>
      <c r="T18" s="136">
        <f>IF(SER_hh_tes_in!T18=0,"",SER_hh_tes_in!T18/SER_hh_fec_in!T18)</f>
        <v>5.2412319133176615</v>
      </c>
      <c r="U18" s="136">
        <f>IF(SER_hh_tes_in!U18=0,"",SER_hh_tes_in!U18/SER_hh_fec_in!U18)</f>
        <v>5.2770643333565799</v>
      </c>
      <c r="V18" s="136">
        <f>IF(SER_hh_tes_in!V18=0,"",SER_hh_tes_in!V18/SER_hh_fec_in!V18)</f>
        <v>5.3128108842246187</v>
      </c>
      <c r="W18" s="136">
        <f>IF(SER_hh_tes_in!W18=0,"",SER_hh_tes_in!W18/SER_hh_fec_in!W18)</f>
        <v>5.3505593554264452</v>
      </c>
      <c r="X18" s="136">
        <f>IF(SER_hh_tes_in!X18=0,"",SER_hh_tes_in!X18/SER_hh_fec_in!X18)</f>
        <v>5.3771189307910836</v>
      </c>
      <c r="Y18" s="136">
        <f>IF(SER_hh_tes_in!Y18=0,"",SER_hh_tes_in!Y18/SER_hh_fec_in!Y18)</f>
        <v>5.400225476721773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0.64423022421344911</v>
      </c>
      <c r="D19" s="135">
        <f>IF(SER_hh_tes_in!D19=0,"",SER_hh_tes_in!D19/SER_hh_fec_in!D19)</f>
        <v>0.66637524568280526</v>
      </c>
      <c r="E19" s="135">
        <f>IF(SER_hh_tes_in!E19=0,"",SER_hh_tes_in!E19/SER_hh_fec_in!E19)</f>
        <v>0.67027352013006603</v>
      </c>
      <c r="F19" s="135">
        <f>IF(SER_hh_tes_in!F19=0,"",SER_hh_tes_in!F19/SER_hh_fec_in!F19)</f>
        <v>0.68498939357529154</v>
      </c>
      <c r="G19" s="135">
        <f>IF(SER_hh_tes_in!G19=0,"",SER_hh_tes_in!G19/SER_hh_fec_in!G19)</f>
        <v>0.68772591349017198</v>
      </c>
      <c r="H19" s="135">
        <f>IF(SER_hh_tes_in!H19=0,"",SER_hh_tes_in!H19/SER_hh_fec_in!H19)</f>
        <v>0.6902939680669572</v>
      </c>
      <c r="I19" s="135">
        <f>IF(SER_hh_tes_in!I19=0,"",SER_hh_tes_in!I19/SER_hh_fec_in!I19)</f>
        <v>0.69182112398124074</v>
      </c>
      <c r="J19" s="135">
        <f>IF(SER_hh_tes_in!J19=0,"",SER_hh_tes_in!J19/SER_hh_fec_in!J19)</f>
        <v>0.6951571864741668</v>
      </c>
      <c r="K19" s="135">
        <f>IF(SER_hh_tes_in!K19=0,"",SER_hh_tes_in!K19/SER_hh_fec_in!K19)</f>
        <v>0.69487218619222957</v>
      </c>
      <c r="L19" s="135">
        <f>IF(SER_hh_tes_in!L19=0,"",SER_hh_tes_in!L19/SER_hh_fec_in!L19)</f>
        <v>0.68682512628332515</v>
      </c>
      <c r="M19" s="135">
        <f>IF(SER_hh_tes_in!M19=0,"",SER_hh_tes_in!M19/SER_hh_fec_in!M19)</f>
        <v>0.68821246931392932</v>
      </c>
      <c r="N19" s="135">
        <f>IF(SER_hh_tes_in!N19=0,"",SER_hh_tes_in!N19/SER_hh_fec_in!N19)</f>
        <v>0.70176986686310561</v>
      </c>
      <c r="O19" s="135">
        <f>IF(SER_hh_tes_in!O19=0,"",SER_hh_tes_in!O19/SER_hh_fec_in!O19)</f>
        <v>0.72034953769253551</v>
      </c>
      <c r="P19" s="135">
        <f>IF(SER_hh_tes_in!P19=0,"",SER_hh_tes_in!P19/SER_hh_fec_in!P19)</f>
        <v>0.74591264753812259</v>
      </c>
      <c r="Q19" s="135">
        <f>IF(SER_hh_tes_in!Q19=0,"",SER_hh_tes_in!Q19/SER_hh_fec_in!Q19)</f>
        <v>0.78203260342538705</v>
      </c>
      <c r="R19" s="135">
        <f>IF(SER_hh_tes_in!R19=0,"",SER_hh_tes_in!R19/SER_hh_fec_in!R19)</f>
        <v>0.80327954947284086</v>
      </c>
      <c r="S19" s="135">
        <f>IF(SER_hh_tes_in!S19=0,"",SER_hh_tes_in!S19/SER_hh_fec_in!S19)</f>
        <v>0.82085175467705929</v>
      </c>
      <c r="T19" s="135">
        <f>IF(SER_hh_tes_in!T19=0,"",SER_hh_tes_in!T19/SER_hh_fec_in!T19)</f>
        <v>0.83514877679870825</v>
      </c>
      <c r="U19" s="135">
        <f>IF(SER_hh_tes_in!U19=0,"",SER_hh_tes_in!U19/SER_hh_fec_in!U19)</f>
        <v>0.85369493240605754</v>
      </c>
      <c r="V19" s="135">
        <f>IF(SER_hh_tes_in!V19=0,"",SER_hh_tes_in!V19/SER_hh_fec_in!V19)</f>
        <v>0.87135776328926995</v>
      </c>
      <c r="W19" s="135">
        <f>IF(SER_hh_tes_in!W19=0,"",SER_hh_tes_in!W19/SER_hh_fec_in!W19)</f>
        <v>0.89129488790951628</v>
      </c>
      <c r="X19" s="135">
        <f>IF(SER_hh_tes_in!X19=0,"",SER_hh_tes_in!X19/SER_hh_fec_in!X19)</f>
        <v>0.88826371689459926</v>
      </c>
      <c r="Y19" s="135">
        <f>IF(SER_hh_tes_in!Y19=0,"",SER_hh_tes_in!Y19/SER_hh_fec_in!Y19)</f>
        <v>0.88871044501168428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 t="str">
        <f>IF(SER_hh_tes_in!C21=0,"",SER_hh_tes_in!C21/SER_hh_fec_in!C21)</f>
        <v/>
      </c>
      <c r="D21" s="136" t="str">
        <f>IF(SER_hh_tes_in!D21=0,"",SER_hh_tes_in!D21/SER_hh_fec_in!D21)</f>
        <v/>
      </c>
      <c r="E21" s="136" t="str">
        <f>IF(SER_hh_tes_in!E21=0,"",SER_hh_tes_in!E21/SER_hh_fec_in!E21)</f>
        <v/>
      </c>
      <c r="F21" s="136" t="str">
        <f>IF(SER_hh_tes_in!F21=0,"",SER_hh_tes_in!F21/SER_hh_fec_in!F21)</f>
        <v/>
      </c>
      <c r="G21" s="136" t="str">
        <f>IF(SER_hh_tes_in!G21=0,"",SER_hh_tes_in!G21/SER_hh_fec_in!G21)</f>
        <v/>
      </c>
      <c r="H21" s="136" t="str">
        <f>IF(SER_hh_tes_in!H21=0,"",SER_hh_tes_in!H21/SER_hh_fec_in!H21)</f>
        <v/>
      </c>
      <c r="I21" s="136" t="str">
        <f>IF(SER_hh_tes_in!I21=0,"",SER_hh_tes_in!I21/SER_hh_fec_in!I21)</f>
        <v/>
      </c>
      <c r="J21" s="136" t="str">
        <f>IF(SER_hh_tes_in!J21=0,"",SER_hh_tes_in!J21/SER_hh_fec_in!J21)</f>
        <v/>
      </c>
      <c r="K21" s="136" t="str">
        <f>IF(SER_hh_tes_in!K21=0,"",SER_hh_tes_in!K21/SER_hh_fec_in!K21)</f>
        <v/>
      </c>
      <c r="L21" s="136" t="str">
        <f>IF(SER_hh_tes_in!L21=0,"",SER_hh_tes_in!L21/SER_hh_fec_in!L21)</f>
        <v/>
      </c>
      <c r="M21" s="136" t="str">
        <f>IF(SER_hh_tes_in!M21=0,"",SER_hh_tes_in!M21/SER_hh_fec_in!M21)</f>
        <v/>
      </c>
      <c r="N21" s="136" t="str">
        <f>IF(SER_hh_tes_in!N21=0,"",SER_hh_tes_in!N21/SER_hh_fec_in!N21)</f>
        <v/>
      </c>
      <c r="O21" s="136" t="str">
        <f>IF(SER_hh_tes_in!O21=0,"",SER_hh_tes_in!O21/SER_hh_fec_in!O21)</f>
        <v/>
      </c>
      <c r="P21" s="136" t="str">
        <f>IF(SER_hh_tes_in!P21=0,"",SER_hh_tes_in!P21/SER_hh_fec_in!P21)</f>
        <v/>
      </c>
      <c r="Q21" s="136" t="str">
        <f>IF(SER_hh_tes_in!Q21=0,"",SER_hh_tes_in!Q21/SER_hh_fec_in!Q21)</f>
        <v/>
      </c>
      <c r="R21" s="136" t="str">
        <f>IF(SER_hh_tes_in!R21=0,"",SER_hh_tes_in!R21/SER_hh_fec_in!R21)</f>
        <v/>
      </c>
      <c r="S21" s="136" t="str">
        <f>IF(SER_hh_tes_in!S21=0,"",SER_hh_tes_in!S21/SER_hh_fec_in!S21)</f>
        <v/>
      </c>
      <c r="T21" s="136" t="str">
        <f>IF(SER_hh_tes_in!T21=0,"",SER_hh_tes_in!T21/SER_hh_fec_in!T21)</f>
        <v/>
      </c>
      <c r="U21" s="136" t="str">
        <f>IF(SER_hh_tes_in!U21=0,"",SER_hh_tes_in!U21/SER_hh_fec_in!U21)</f>
        <v/>
      </c>
      <c r="V21" s="136" t="str">
        <f>IF(SER_hh_tes_in!V21=0,"",SER_hh_tes_in!V21/SER_hh_fec_in!V21)</f>
        <v/>
      </c>
      <c r="W21" s="136" t="str">
        <f>IF(SER_hh_tes_in!W21=0,"",SER_hh_tes_in!W21/SER_hh_fec_in!W21)</f>
        <v/>
      </c>
      <c r="X21" s="136" t="str">
        <f>IF(SER_hh_tes_in!X21=0,"",SER_hh_tes_in!X21/SER_hh_fec_in!X21)</f>
        <v/>
      </c>
      <c r="Y21" s="136" t="str">
        <f>IF(SER_hh_tes_in!Y21=0,"",SER_hh_tes_in!Y21/SER_hh_fec_in!Y21)</f>
        <v/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0.5084795309813156</v>
      </c>
      <c r="D22" s="136" t="str">
        <f>IF(SER_hh_tes_in!D22=0,"",SER_hh_tes_in!D22/SER_hh_fec_in!D22)</f>
        <v/>
      </c>
      <c r="E22" s="136" t="str">
        <f>IF(SER_hh_tes_in!E22=0,"",SER_hh_tes_in!E22/SER_hh_fec_in!E22)</f>
        <v/>
      </c>
      <c r="F22" s="136" t="str">
        <f>IF(SER_hh_tes_in!F22=0,"",SER_hh_tes_in!F22/SER_hh_fec_in!F22)</f>
        <v/>
      </c>
      <c r="G22" s="136" t="str">
        <f>IF(SER_hh_tes_in!G22=0,"",SER_hh_tes_in!G22/SER_hh_fec_in!G22)</f>
        <v/>
      </c>
      <c r="H22" s="136" t="str">
        <f>IF(SER_hh_tes_in!H22=0,"",SER_hh_tes_in!H22/SER_hh_fec_in!H22)</f>
        <v/>
      </c>
      <c r="I22" s="136">
        <f>IF(SER_hh_tes_in!I22=0,"",SER_hh_tes_in!I22/SER_hh_fec_in!I22)</f>
        <v>0.52735082544746925</v>
      </c>
      <c r="J22" s="136">
        <f>IF(SER_hh_tes_in!J22=0,"",SER_hh_tes_in!J22/SER_hh_fec_in!J22)</f>
        <v>0.53184890466111812</v>
      </c>
      <c r="K22" s="136">
        <f>IF(SER_hh_tes_in!K22=0,"",SER_hh_tes_in!K22/SER_hh_fec_in!K22)</f>
        <v>0.53721266497481357</v>
      </c>
      <c r="L22" s="136">
        <f>IF(SER_hh_tes_in!L22=0,"",SER_hh_tes_in!L22/SER_hh_fec_in!L22)</f>
        <v>0.54350490190876577</v>
      </c>
      <c r="M22" s="136">
        <f>IF(SER_hh_tes_in!M22=0,"",SER_hh_tes_in!M22/SER_hh_fec_in!M22)</f>
        <v>0.55633202587901731</v>
      </c>
      <c r="N22" s="136">
        <f>IF(SER_hh_tes_in!N22=0,"",SER_hh_tes_in!N22/SER_hh_fec_in!N22)</f>
        <v>0.57747609888210705</v>
      </c>
      <c r="O22" s="136">
        <f>IF(SER_hh_tes_in!O22=0,"",SER_hh_tes_in!O22/SER_hh_fec_in!O22)</f>
        <v>0.60838748521588459</v>
      </c>
      <c r="P22" s="136" t="str">
        <f>IF(SER_hh_tes_in!P22=0,"",SER_hh_tes_in!P22/SER_hh_fec_in!P22)</f>
        <v/>
      </c>
      <c r="Q22" s="136" t="str">
        <f>IF(SER_hh_tes_in!Q22=0,"",SER_hh_tes_in!Q22/SER_hh_fec_in!Q22)</f>
        <v/>
      </c>
      <c r="R22" s="136" t="str">
        <f>IF(SER_hh_tes_in!R22=0,"",SER_hh_tes_in!R22/SER_hh_fec_in!R22)</f>
        <v/>
      </c>
      <c r="S22" s="136" t="str">
        <f>IF(SER_hh_tes_in!S22=0,"",SER_hh_tes_in!S22/SER_hh_fec_in!S22)</f>
        <v/>
      </c>
      <c r="T22" s="136" t="str">
        <f>IF(SER_hh_tes_in!T22=0,"",SER_hh_tes_in!T22/SER_hh_fec_in!T22)</f>
        <v/>
      </c>
      <c r="U22" s="136" t="str">
        <f>IF(SER_hh_tes_in!U22=0,"",SER_hh_tes_in!U22/SER_hh_fec_in!U22)</f>
        <v/>
      </c>
      <c r="V22" s="136" t="str">
        <f>IF(SER_hh_tes_in!V22=0,"",SER_hh_tes_in!V22/SER_hh_fec_in!V22)</f>
        <v/>
      </c>
      <c r="W22" s="136">
        <f>IF(SER_hh_tes_in!W22=0,"",SER_hh_tes_in!W22/SER_hh_fec_in!W22)</f>
        <v>0.77553002934726156</v>
      </c>
      <c r="X22" s="136">
        <f>IF(SER_hh_tes_in!X22=0,"",SER_hh_tes_in!X22/SER_hh_fec_in!X22)</f>
        <v>0.77890374265405671</v>
      </c>
      <c r="Y22" s="136">
        <f>IF(SER_hh_tes_in!Y22=0,"",SER_hh_tes_in!Y22/SER_hh_fec_in!Y22)</f>
        <v>0.78061210849913665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0.55183574483967213</v>
      </c>
      <c r="D23" s="136">
        <f>IF(SER_hh_tes_in!D23=0,"",SER_hh_tes_in!D23/SER_hh_fec_in!D23)</f>
        <v>0.5583052562172145</v>
      </c>
      <c r="E23" s="136">
        <f>IF(SER_hh_tes_in!E23=0,"",SER_hh_tes_in!E23/SER_hh_fec_in!E23)</f>
        <v>0.56506779837810317</v>
      </c>
      <c r="F23" s="136">
        <f>IF(SER_hh_tes_in!F23=0,"",SER_hh_tes_in!F23/SER_hh_fec_in!F23)</f>
        <v>0.571882440484351</v>
      </c>
      <c r="G23" s="136">
        <f>IF(SER_hh_tes_in!G23=0,"",SER_hh_tes_in!G23/SER_hh_fec_in!G23)</f>
        <v>0.57896485172904655</v>
      </c>
      <c r="H23" s="136">
        <f>IF(SER_hh_tes_in!H23=0,"",SER_hh_tes_in!H23/SER_hh_fec_in!H23)</f>
        <v>0.58628639877713662</v>
      </c>
      <c r="I23" s="136">
        <f>IF(SER_hh_tes_in!I23=0,"",SER_hh_tes_in!I23/SER_hh_fec_in!I23)</f>
        <v>0.59389793094960852</v>
      </c>
      <c r="J23" s="136">
        <f>IF(SER_hh_tes_in!J23=0,"",SER_hh_tes_in!J23/SER_hh_fec_in!J23)</f>
        <v>0.6020129457656177</v>
      </c>
      <c r="K23" s="136">
        <f>IF(SER_hh_tes_in!K23=0,"",SER_hh_tes_in!K23/SER_hh_fec_in!K23)</f>
        <v>0.61080996603422899</v>
      </c>
      <c r="L23" s="136">
        <f>IF(SER_hh_tes_in!L23=0,"",SER_hh_tes_in!L23/SER_hh_fec_in!L23)</f>
        <v>0.62033140821091715</v>
      </c>
      <c r="M23" s="136">
        <f>IF(SER_hh_tes_in!M23=0,"",SER_hh_tes_in!M23/SER_hh_fec_in!M23)</f>
        <v>0.63502130693843328</v>
      </c>
      <c r="N23" s="136">
        <f>IF(SER_hh_tes_in!N23=0,"",SER_hh_tes_in!N23/SER_hh_fec_in!N23)</f>
        <v>0.65625182331794452</v>
      </c>
      <c r="O23" s="136">
        <f>IF(SER_hh_tes_in!O23=0,"",SER_hh_tes_in!O23/SER_hh_fec_in!O23)</f>
        <v>0.68500232308604581</v>
      </c>
      <c r="P23" s="136">
        <f>IF(SER_hh_tes_in!P23=0,"",SER_hh_tes_in!P23/SER_hh_fec_in!P23)</f>
        <v>0.71843151530383609</v>
      </c>
      <c r="Q23" s="136">
        <f>IF(SER_hh_tes_in!Q23=0,"",SER_hh_tes_in!Q23/SER_hh_fec_in!Q23)</f>
        <v>0.7476995954572363</v>
      </c>
      <c r="R23" s="136">
        <f>IF(SER_hh_tes_in!R23=0,"",SER_hh_tes_in!R23/SER_hh_fec_in!R23)</f>
        <v>0.76559038815865921</v>
      </c>
      <c r="S23" s="136">
        <f>IF(SER_hh_tes_in!S23=0,"",SER_hh_tes_in!S23/SER_hh_fec_in!S23)</f>
        <v>0.78082642080563425</v>
      </c>
      <c r="T23" s="136">
        <f>IF(SER_hh_tes_in!T23=0,"",SER_hh_tes_in!T23/SER_hh_fec_in!T23)</f>
        <v>0.7936468434671311</v>
      </c>
      <c r="U23" s="136">
        <f>IF(SER_hh_tes_in!U23=0,"",SER_hh_tes_in!U23/SER_hh_fec_in!U23)</f>
        <v>0.80427939247455871</v>
      </c>
      <c r="V23" s="136">
        <f>IF(SER_hh_tes_in!V23=0,"",SER_hh_tes_in!V23/SER_hh_fec_in!V23)</f>
        <v>0.81292380759577532</v>
      </c>
      <c r="W23" s="136" t="str">
        <f>IF(SER_hh_tes_in!W23=0,"",SER_hh_tes_in!W23/SER_hh_fec_in!W23)</f>
        <v/>
      </c>
      <c r="X23" s="136" t="str">
        <f>IF(SER_hh_tes_in!X23=0,"",SER_hh_tes_in!X23/SER_hh_fec_in!X23)</f>
        <v/>
      </c>
      <c r="Y23" s="136" t="str">
        <f>IF(SER_hh_tes_in!Y23=0,"",SER_hh_tes_in!Y23/SER_hh_fec_in!Y23)</f>
        <v/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 t="str">
        <f>IF(SER_hh_tes_in!N24=0,"",SER_hh_tes_in!N24/SER_hh_fec_in!N24)</f>
        <v/>
      </c>
      <c r="O24" s="136" t="str">
        <f>IF(SER_hh_tes_in!O24=0,"",SER_hh_tes_in!O24/SER_hh_fec_in!O24)</f>
        <v/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 t="str">
        <f>IF(SER_hh_tes_in!V24=0,"",SER_hh_tes_in!V24/SER_hh_fec_in!V24)</f>
        <v/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0.77100647389522092</v>
      </c>
      <c r="D25" s="136">
        <f>IF(SER_hh_tes_in!D25=0,"",SER_hh_tes_in!D25/SER_hh_fec_in!D25)</f>
        <v>0.7734597897075115</v>
      </c>
      <c r="E25" s="136">
        <f>IF(SER_hh_tes_in!E25=0,"",SER_hh_tes_in!E25/SER_hh_fec_in!E25)</f>
        <v>0.77597933864624302</v>
      </c>
      <c r="F25" s="136">
        <f>IF(SER_hh_tes_in!F25=0,"",SER_hh_tes_in!F25/SER_hh_fec_in!F25)</f>
        <v>0.77850791937494368</v>
      </c>
      <c r="G25" s="136">
        <f>IF(SER_hh_tes_in!G25=0,"",SER_hh_tes_in!G25/SER_hh_fec_in!G25)</f>
        <v>0.78109749691732766</v>
      </c>
      <c r="H25" s="136">
        <f>IF(SER_hh_tes_in!H25=0,"",SER_hh_tes_in!H25/SER_hh_fec_in!H25)</f>
        <v>0.78374171141604443</v>
      </c>
      <c r="I25" s="136">
        <f>IF(SER_hh_tes_in!I25=0,"",SER_hh_tes_in!I25/SER_hh_fec_in!I25)</f>
        <v>0.78645336705445534</v>
      </c>
      <c r="J25" s="136">
        <f>IF(SER_hh_tes_in!J25=0,"",SER_hh_tes_in!J25/SER_hh_fec_in!J25)</f>
        <v>0.78928491805232281</v>
      </c>
      <c r="K25" s="136">
        <f>IF(SER_hh_tes_in!K25=0,"",SER_hh_tes_in!K25/SER_hh_fec_in!K25)</f>
        <v>0.79228096429354511</v>
      </c>
      <c r="L25" s="136">
        <f>IF(SER_hh_tes_in!L25=0,"",SER_hh_tes_in!L25/SER_hh_fec_in!L25)</f>
        <v>0.79545343807556723</v>
      </c>
      <c r="M25" s="136">
        <f>IF(SER_hh_tes_in!M25=0,"",SER_hh_tes_in!M25/SER_hh_fec_in!M25)</f>
        <v>0.799846124081532</v>
      </c>
      <c r="N25" s="136">
        <f>IF(SER_hh_tes_in!N25=0,"",SER_hh_tes_in!N25/SER_hh_fec_in!N25)</f>
        <v>0.8057890408425844</v>
      </c>
      <c r="O25" s="136">
        <f>IF(SER_hh_tes_in!O25=0,"",SER_hh_tes_in!O25/SER_hh_fec_in!O25)</f>
        <v>0.81357148970326143</v>
      </c>
      <c r="P25" s="136">
        <f>IF(SER_hh_tes_in!P25=0,"",SER_hh_tes_in!P25/SER_hh_fec_in!P25)</f>
        <v>0.82264305364482815</v>
      </c>
      <c r="Q25" s="136">
        <f>IF(SER_hh_tes_in!Q25=0,"",SER_hh_tes_in!Q25/SER_hh_fec_in!Q25)</f>
        <v>0.83120186608477109</v>
      </c>
      <c r="R25" s="136">
        <f>IF(SER_hh_tes_in!R25=0,"",SER_hh_tes_in!R25/SER_hh_fec_in!R25)</f>
        <v>0.83776019839971005</v>
      </c>
      <c r="S25" s="136">
        <f>IF(SER_hh_tes_in!S25=0,"",SER_hh_tes_in!S25/SER_hh_fec_in!S25)</f>
        <v>0.84414035939685128</v>
      </c>
      <c r="T25" s="136">
        <f>IF(SER_hh_tes_in!T25=0,"",SER_hh_tes_in!T25/SER_hh_fec_in!T25)</f>
        <v>0.85029971957606876</v>
      </c>
      <c r="U25" s="136">
        <f>IF(SER_hh_tes_in!U25=0,"",SER_hh_tes_in!U25/SER_hh_fec_in!U25)</f>
        <v>0.85619564943725668</v>
      </c>
      <c r="V25" s="136">
        <f>IF(SER_hh_tes_in!V25=0,"",SER_hh_tes_in!V25/SER_hh_fec_in!V25)</f>
        <v>0.86178551948030091</v>
      </c>
      <c r="W25" s="136">
        <f>IF(SER_hh_tes_in!W25=0,"",SER_hh_tes_in!W25/SER_hh_fec_in!W25)</f>
        <v>0.86693486721034951</v>
      </c>
      <c r="X25" s="136">
        <f>IF(SER_hh_tes_in!X25=0,"",SER_hh_tes_in!X25/SER_hh_fec_in!X25)</f>
        <v>0.87154934837693221</v>
      </c>
      <c r="Y25" s="136">
        <f>IF(SER_hh_tes_in!Y25=0,"",SER_hh_tes_in!Y25/SER_hh_fec_in!Y25)</f>
        <v>0.87598361319166573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0.64065060497869009</v>
      </c>
      <c r="D26" s="137">
        <f>IF(SER_hh_tes_in!D26=0,"",SER_hh_tes_in!D26/SER_hh_fec_in!D26)</f>
        <v>0.64314801219428896</v>
      </c>
      <c r="E26" s="137">
        <f>IF(SER_hh_tes_in!E26=0,"",SER_hh_tes_in!E26/SER_hh_fec_in!E26)</f>
        <v>0.6458820545656162</v>
      </c>
      <c r="F26" s="137">
        <f>IF(SER_hh_tes_in!F26=0,"",SER_hh_tes_in!F26/SER_hh_fec_in!F26)</f>
        <v>0.64864908446528224</v>
      </c>
      <c r="G26" s="137">
        <f>IF(SER_hh_tes_in!G26=0,"",SER_hh_tes_in!G26/SER_hh_fec_in!G26)</f>
        <v>0.65163588788828386</v>
      </c>
      <c r="H26" s="137">
        <f>IF(SER_hh_tes_in!H26=0,"",SER_hh_tes_in!H26/SER_hh_fec_in!H26)</f>
        <v>0.65482138070436047</v>
      </c>
      <c r="I26" s="137">
        <f>IF(SER_hh_tes_in!I26=0,"",SER_hh_tes_in!I26/SER_hh_fec_in!I26)</f>
        <v>0.65825400546407553</v>
      </c>
      <c r="J26" s="137">
        <f>IF(SER_hh_tes_in!J26=0,"",SER_hh_tes_in!J26/SER_hh_fec_in!J26)</f>
        <v>0.66212800211816703</v>
      </c>
      <c r="K26" s="137">
        <f>IF(SER_hh_tes_in!K26=0,"",SER_hh_tes_in!K26/SER_hh_fec_in!K26)</f>
        <v>0.66661496507012241</v>
      </c>
      <c r="L26" s="137">
        <f>IF(SER_hh_tes_in!L26=0,"",SER_hh_tes_in!L26/SER_hh_fec_in!L26)</f>
        <v>0.6717738916109175</v>
      </c>
      <c r="M26" s="137">
        <f>IF(SER_hh_tes_in!M26=0,"",SER_hh_tes_in!M26/SER_hh_fec_in!M26)</f>
        <v>0.68158163232915403</v>
      </c>
      <c r="N26" s="137">
        <f>IF(SER_hh_tes_in!N26=0,"",SER_hh_tes_in!N26/SER_hh_fec_in!N26)</f>
        <v>0.69775371346860893</v>
      </c>
      <c r="O26" s="137">
        <f>IF(SER_hh_tes_in!O26=0,"",SER_hh_tes_in!O26/SER_hh_fec_in!O26)</f>
        <v>0.72241403497803502</v>
      </c>
      <c r="P26" s="137">
        <f>IF(SER_hh_tes_in!P26=0,"",SER_hh_tes_in!P26/SER_hh_fec_in!P26)</f>
        <v>0.75439344398764907</v>
      </c>
      <c r="Q26" s="137">
        <f>IF(SER_hh_tes_in!Q26=0,"",SER_hh_tes_in!Q26/SER_hh_fec_in!Q26)</f>
        <v>0.78524676975972318</v>
      </c>
      <c r="R26" s="137">
        <f>IF(SER_hh_tes_in!R26=0,"",SER_hh_tes_in!R26/SER_hh_fec_in!R26)</f>
        <v>0.80612642954225722</v>
      </c>
      <c r="S26" s="137">
        <f>IF(SER_hh_tes_in!S26=0,"",SER_hh_tes_in!S26/SER_hh_fec_in!S26)</f>
        <v>0.82635522087278834</v>
      </c>
      <c r="T26" s="137">
        <f>IF(SER_hh_tes_in!T26=0,"",SER_hh_tes_in!T26/SER_hh_fec_in!T26)</f>
        <v>0.84642702596217079</v>
      </c>
      <c r="U26" s="137">
        <f>IF(SER_hh_tes_in!U26=0,"",SER_hh_tes_in!U26/SER_hh_fec_in!U26)</f>
        <v>0.86654362111798289</v>
      </c>
      <c r="V26" s="137">
        <f>IF(SER_hh_tes_in!V26=0,"",SER_hh_tes_in!V26/SER_hh_fec_in!V26)</f>
        <v>0.88630584392722944</v>
      </c>
      <c r="W26" s="137">
        <f>IF(SER_hh_tes_in!W26=0,"",SER_hh_tes_in!W26/SER_hh_fec_in!W26)</f>
        <v>0.90435530944170039</v>
      </c>
      <c r="X26" s="137">
        <f>IF(SER_hh_tes_in!X26=0,"",SER_hh_tes_in!X26/SER_hh_fec_in!X26)</f>
        <v>0.91814657368050656</v>
      </c>
      <c r="Y26" s="137">
        <f>IF(SER_hh_tes_in!Y26=0,"",SER_hh_tes_in!Y26/SER_hh_fec_in!Y26)</f>
        <v>0.93101298498052942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 t="str">
        <f>IF(SER_hh_tes_in!C27=0,"",SER_hh_tes_in!C27/SER_hh_fec_in!C27)</f>
        <v/>
      </c>
      <c r="D27" s="148" t="str">
        <f>IF(SER_hh_tes_in!D27=0,"",SER_hh_tes_in!D27/SER_hh_fec_in!D27)</f>
        <v/>
      </c>
      <c r="E27" s="148" t="str">
        <f>IF(SER_hh_tes_in!E27=0,"",SER_hh_tes_in!E27/SER_hh_fec_in!E27)</f>
        <v/>
      </c>
      <c r="F27" s="148" t="str">
        <f>IF(SER_hh_tes_in!F27=0,"",SER_hh_tes_in!F27/SER_hh_fec_in!F27)</f>
        <v/>
      </c>
      <c r="G27" s="148" t="str">
        <f>IF(SER_hh_tes_in!G27=0,"",SER_hh_tes_in!G27/SER_hh_fec_in!G27)</f>
        <v/>
      </c>
      <c r="H27" s="148" t="str">
        <f>IF(SER_hh_tes_in!H27=0,"",SER_hh_tes_in!H27/SER_hh_fec_in!H27)</f>
        <v/>
      </c>
      <c r="I27" s="148" t="str">
        <f>IF(SER_hh_tes_in!I27=0,"",SER_hh_tes_in!I27/SER_hh_fec_in!I27)</f>
        <v/>
      </c>
      <c r="J27" s="148" t="str">
        <f>IF(SER_hh_tes_in!J27=0,"",SER_hh_tes_in!J27/SER_hh_fec_in!J27)</f>
        <v/>
      </c>
      <c r="K27" s="148" t="str">
        <f>IF(SER_hh_tes_in!K27=0,"",SER_hh_tes_in!K27/SER_hh_fec_in!K27)</f>
        <v/>
      </c>
      <c r="L27" s="148" t="str">
        <f>IF(SER_hh_tes_in!L27=0,"",SER_hh_tes_in!L27/SER_hh_fec_in!L27)</f>
        <v/>
      </c>
      <c r="M27" s="148" t="str">
        <f>IF(SER_hh_tes_in!M27=0,"",SER_hh_tes_in!M27/SER_hh_fec_in!M27)</f>
        <v/>
      </c>
      <c r="N27" s="148" t="str">
        <f>IF(SER_hh_tes_in!N27=0,"",SER_hh_tes_in!N27/SER_hh_fec_in!N27)</f>
        <v/>
      </c>
      <c r="O27" s="148" t="str">
        <f>IF(SER_hh_tes_in!O27=0,"",SER_hh_tes_in!O27/SER_hh_fec_in!O27)</f>
        <v/>
      </c>
      <c r="P27" s="148" t="str">
        <f>IF(SER_hh_tes_in!P27=0,"",SER_hh_tes_in!P27/SER_hh_fec_in!P27)</f>
        <v/>
      </c>
      <c r="Q27" s="148" t="str">
        <f>IF(SER_hh_tes_in!Q27=0,"",SER_hh_tes_in!Q27/SER_hh_fec_in!Q27)</f>
        <v/>
      </c>
      <c r="R27" s="148" t="str">
        <f>IF(SER_hh_tes_in!R27=0,"",SER_hh_tes_in!R27/SER_hh_fec_in!R27)</f>
        <v/>
      </c>
      <c r="S27" s="148" t="str">
        <f>IF(SER_hh_tes_in!S27=0,"",SER_hh_tes_in!S27/SER_hh_fec_in!S27)</f>
        <v/>
      </c>
      <c r="T27" s="148" t="str">
        <f>IF(SER_hh_tes_in!T27=0,"",SER_hh_tes_in!T27/SER_hh_fec_in!T27)</f>
        <v/>
      </c>
      <c r="U27" s="148" t="str">
        <f>IF(SER_hh_tes_in!U27=0,"",SER_hh_tes_in!U27/SER_hh_fec_in!U27)</f>
        <v/>
      </c>
      <c r="V27" s="148" t="str">
        <f>IF(SER_hh_tes_in!V27=0,"",SER_hh_tes_in!V27/SER_hh_fec_in!V27)</f>
        <v/>
      </c>
      <c r="W27" s="148" t="str">
        <f>IF(SER_hh_tes_in!W27=0,"",SER_hh_tes_in!W27/SER_hh_fec_in!W27)</f>
        <v/>
      </c>
      <c r="X27" s="148" t="str">
        <f>IF(SER_hh_tes_in!X27=0,"",SER_hh_tes_in!X27/SER_hh_fec_in!X27)</f>
        <v/>
      </c>
      <c r="Y27" s="148" t="str">
        <f>IF(SER_hh_tes_in!Y27=0,"",SER_hh_tes_in!Y27/SER_hh_fec_in!Y27)</f>
        <v/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0.65601984634750077</v>
      </c>
      <c r="D29" s="135">
        <f>IF(SER_hh_tes_in!D29=0,"",SER_hh_tes_in!D29/SER_hh_fec_in!D29)</f>
        <v>0.66742266801393912</v>
      </c>
      <c r="E29" s="135">
        <f>IF(SER_hh_tes_in!E29=0,"",SER_hh_tes_in!E29/SER_hh_fec_in!E29)</f>
        <v>0.69619596945612916</v>
      </c>
      <c r="F29" s="135">
        <f>IF(SER_hh_tes_in!F29=0,"",SER_hh_tes_in!F29/SER_hh_fec_in!F29)</f>
        <v>0.6779753496005696</v>
      </c>
      <c r="G29" s="135">
        <f>IF(SER_hh_tes_in!G29=0,"",SER_hh_tes_in!G29/SER_hh_fec_in!G29)</f>
        <v>0.71717046383674832</v>
      </c>
      <c r="H29" s="135">
        <f>IF(SER_hh_tes_in!H29=0,"",SER_hh_tes_in!H29/SER_hh_fec_in!H29)</f>
        <v>0.72162682269729872</v>
      </c>
      <c r="I29" s="135">
        <f>IF(SER_hh_tes_in!I29=0,"",SER_hh_tes_in!I29/SER_hh_fec_in!I29)</f>
        <v>0.72628572449495576</v>
      </c>
      <c r="J29" s="135">
        <f>IF(SER_hh_tes_in!J29=0,"",SER_hh_tes_in!J29/SER_hh_fec_in!J29)</f>
        <v>0.72472007721648923</v>
      </c>
      <c r="K29" s="135">
        <f>IF(SER_hh_tes_in!K29=0,"",SER_hh_tes_in!K29/SER_hh_fec_in!K29)</f>
        <v>0.72661026224312319</v>
      </c>
      <c r="L29" s="135">
        <f>IF(SER_hh_tes_in!L29=0,"",SER_hh_tes_in!L29/SER_hh_fec_in!L29)</f>
        <v>0.71525162153841615</v>
      </c>
      <c r="M29" s="135">
        <f>IF(SER_hh_tes_in!M29=0,"",SER_hh_tes_in!M29/SER_hh_fec_in!M29)</f>
        <v>0.70914197298235493</v>
      </c>
      <c r="N29" s="135">
        <f>IF(SER_hh_tes_in!N29=0,"",SER_hh_tes_in!N29/SER_hh_fec_in!N29)</f>
        <v>0.70266525464902074</v>
      </c>
      <c r="O29" s="135">
        <f>IF(SER_hh_tes_in!O29=0,"",SER_hh_tes_in!O29/SER_hh_fec_in!O29)</f>
        <v>0.70886763648954143</v>
      </c>
      <c r="P29" s="135">
        <f>IF(SER_hh_tes_in!P29=0,"",SER_hh_tes_in!P29/SER_hh_fec_in!P29)</f>
        <v>0.71680999244445442</v>
      </c>
      <c r="Q29" s="135">
        <f>IF(SER_hh_tes_in!Q29=0,"",SER_hh_tes_in!Q29/SER_hh_fec_in!Q29)</f>
        <v>0.72759555693001865</v>
      </c>
      <c r="R29" s="135">
        <f>IF(SER_hh_tes_in!R29=0,"",SER_hh_tes_in!R29/SER_hh_fec_in!R29)</f>
        <v>0.70251282658290948</v>
      </c>
      <c r="S29" s="135">
        <f>IF(SER_hh_tes_in!S29=0,"",SER_hh_tes_in!S29/SER_hh_fec_in!S29)</f>
        <v>0.75548706530353171</v>
      </c>
      <c r="T29" s="135">
        <f>IF(SER_hh_tes_in!T29=0,"",SER_hh_tes_in!T29/SER_hh_fec_in!T29)</f>
        <v>0.76406721244207598</v>
      </c>
      <c r="U29" s="135">
        <f>IF(SER_hh_tes_in!U29=0,"",SER_hh_tes_in!U29/SER_hh_fec_in!U29)</f>
        <v>0.80127767165129193</v>
      </c>
      <c r="V29" s="135">
        <f>IF(SER_hh_tes_in!V29=0,"",SER_hh_tes_in!V29/SER_hh_fec_in!V29)</f>
        <v>0.82029843517777656</v>
      </c>
      <c r="W29" s="135">
        <f>IF(SER_hh_tes_in!W29=0,"",SER_hh_tes_in!W29/SER_hh_fec_in!W29)</f>
        <v>0.83262823606751024</v>
      </c>
      <c r="X29" s="135">
        <f>IF(SER_hh_tes_in!X29=0,"",SER_hh_tes_in!X29/SER_hh_fec_in!X29)</f>
        <v>0.86546129156391882</v>
      </c>
      <c r="Y29" s="135">
        <f>IF(SER_hh_tes_in!Y29=0,"",SER_hh_tes_in!Y29/SER_hh_fec_in!Y29)</f>
        <v>0.81898426567837002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 t="str">
        <f>IF(SER_hh_tes_in!C30=0,"",SER_hh_tes_in!C30/SER_hh_fec_in!C30)</f>
        <v/>
      </c>
      <c r="D30" s="136" t="str">
        <f>IF(SER_hh_tes_in!D30=0,"",SER_hh_tes_in!D30/SER_hh_fec_in!D30)</f>
        <v/>
      </c>
      <c r="E30" s="136" t="str">
        <f>IF(SER_hh_tes_in!E30=0,"",SER_hh_tes_in!E30/SER_hh_fec_in!E30)</f>
        <v/>
      </c>
      <c r="F30" s="136">
        <f>IF(SER_hh_tes_in!F30=0,"",SER_hh_tes_in!F30/SER_hh_fec_in!F30)</f>
        <v>0.58383768561269056</v>
      </c>
      <c r="G30" s="136">
        <f>IF(SER_hh_tes_in!G30=0,"",SER_hh_tes_in!G30/SER_hh_fec_in!G30)</f>
        <v>0.58412896537329639</v>
      </c>
      <c r="H30" s="136">
        <f>IF(SER_hh_tes_in!H30=0,"",SER_hh_tes_in!H30/SER_hh_fec_in!H30)</f>
        <v>0.58442026677417402</v>
      </c>
      <c r="I30" s="136" t="str">
        <f>IF(SER_hh_tes_in!I30=0,"",SER_hh_tes_in!I30/SER_hh_fec_in!I30)</f>
        <v/>
      </c>
      <c r="J30" s="136" t="str">
        <f>IF(SER_hh_tes_in!J30=0,"",SER_hh_tes_in!J30/SER_hh_fec_in!J30)</f>
        <v/>
      </c>
      <c r="K30" s="136" t="str">
        <f>IF(SER_hh_tes_in!K30=0,"",SER_hh_tes_in!K30/SER_hh_fec_in!K30)</f>
        <v/>
      </c>
      <c r="L30" s="136">
        <f>IF(SER_hh_tes_in!L30=0,"",SER_hh_tes_in!L30/SER_hh_fec_in!L30)</f>
        <v>0.58558592186952707</v>
      </c>
      <c r="M30" s="136">
        <f>IF(SER_hh_tes_in!M30=0,"",SER_hh_tes_in!M30/SER_hh_fec_in!M30)</f>
        <v>0.58580730755585042</v>
      </c>
      <c r="N30" s="136">
        <f>IF(SER_hh_tes_in!N30=0,"",SER_hh_tes_in!N30/SER_hh_fec_in!N30)</f>
        <v>0.58593105174088322</v>
      </c>
      <c r="O30" s="136">
        <f>IF(SER_hh_tes_in!O30=0,"",SER_hh_tes_in!O30/SER_hh_fec_in!O30)</f>
        <v>0.58600501038967345</v>
      </c>
      <c r="P30" s="136">
        <f>IF(SER_hh_tes_in!P30=0,"",SER_hh_tes_in!P30/SER_hh_fec_in!P30)</f>
        <v>0.58621137977284532</v>
      </c>
      <c r="Q30" s="136">
        <f>IF(SER_hh_tes_in!Q30=0,"",SER_hh_tes_in!Q30/SER_hh_fec_in!Q30)</f>
        <v>0.58705135137117093</v>
      </c>
      <c r="R30" s="136">
        <f>IF(SER_hh_tes_in!R30=0,"",SER_hh_tes_in!R30/SER_hh_fec_in!R30)</f>
        <v>0.58925774760080352</v>
      </c>
      <c r="S30" s="136">
        <f>IF(SER_hh_tes_in!S30=0,"",SER_hh_tes_in!S30/SER_hh_fec_in!S30)</f>
        <v>0.59237012160650548</v>
      </c>
      <c r="T30" s="136">
        <f>IF(SER_hh_tes_in!T30=0,"",SER_hh_tes_in!T30/SER_hh_fec_in!T30)</f>
        <v>0.59578500613910013</v>
      </c>
      <c r="U30" s="136" t="str">
        <f>IF(SER_hh_tes_in!U30=0,"",SER_hh_tes_in!U30/SER_hh_fec_in!U30)</f>
        <v/>
      </c>
      <c r="V30" s="136" t="str">
        <f>IF(SER_hh_tes_in!V30=0,"",SER_hh_tes_in!V30/SER_hh_fec_in!V30)</f>
        <v/>
      </c>
      <c r="W30" s="136">
        <f>IF(SER_hh_tes_in!W30=0,"",SER_hh_tes_in!W30/SER_hh_fec_in!W30)</f>
        <v>0.6021703421087421</v>
      </c>
      <c r="X30" s="136">
        <f>IF(SER_hh_tes_in!X30=0,"",SER_hh_tes_in!X30/SER_hh_fec_in!X30)</f>
        <v>0.60256847537576297</v>
      </c>
      <c r="Y30" s="136">
        <f>IF(SER_hh_tes_in!Y30=0,"",SER_hh_tes_in!Y30/SER_hh_fec_in!Y30)</f>
        <v>0.60260828870246508</v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0.5506673459884367</v>
      </c>
      <c r="D31" s="136">
        <f>IF(SER_hh_tes_in!D31=0,"",SER_hh_tes_in!D31/SER_hh_fec_in!D31)</f>
        <v>0.55143895001450738</v>
      </c>
      <c r="E31" s="136">
        <f>IF(SER_hh_tes_in!E31=0,"",SER_hh_tes_in!E31/SER_hh_fec_in!E31)</f>
        <v>0.55221062354558936</v>
      </c>
      <c r="F31" s="136">
        <f>IF(SER_hh_tes_in!F31=0,"",SER_hh_tes_in!F31/SER_hh_fec_in!F31)</f>
        <v>0.55298230655462732</v>
      </c>
      <c r="G31" s="136">
        <f>IF(SER_hh_tes_in!G31=0,"",SER_hh_tes_in!G31/SER_hh_fec_in!G31)</f>
        <v>0.55375405357369234</v>
      </c>
      <c r="H31" s="136">
        <f>IF(SER_hh_tes_in!H31=0,"",SER_hh_tes_in!H31/SER_hh_fec_in!H31)</f>
        <v>0.55452585792875331</v>
      </c>
      <c r="I31" s="136">
        <f>IF(SER_hh_tes_in!I31=0,"",SER_hh_tes_in!I31/SER_hh_fec_in!I31)</f>
        <v>0.55529773305651375</v>
      </c>
      <c r="J31" s="136">
        <f>IF(SER_hh_tes_in!J31=0,"",SER_hh_tes_in!J31/SER_hh_fec_in!J31)</f>
        <v>0.55606973400240745</v>
      </c>
      <c r="K31" s="136">
        <f>IF(SER_hh_tes_in!K31=0,"",SER_hh_tes_in!K31/SER_hh_fec_in!K31)</f>
        <v>0.55684190756953089</v>
      </c>
      <c r="L31" s="136">
        <f>IF(SER_hh_tes_in!L31=0,"",SER_hh_tes_in!L31/SER_hh_fec_in!L31)</f>
        <v>0.55761426627963073</v>
      </c>
      <c r="M31" s="136">
        <f>IF(SER_hh_tes_in!M31=0,"",SER_hh_tes_in!M31/SER_hh_fec_in!M31)</f>
        <v>0.55820082863854059</v>
      </c>
      <c r="N31" s="136">
        <f>IF(SER_hh_tes_in!N31=0,"",SER_hh_tes_in!N31/SER_hh_fec_in!N31)</f>
        <v>0.55852868940623401</v>
      </c>
      <c r="O31" s="136">
        <f>IF(SER_hh_tes_in!O31=0,"",SER_hh_tes_in!O31/SER_hh_fec_in!O31)</f>
        <v>0.55872464317459458</v>
      </c>
      <c r="P31" s="136">
        <f>IF(SER_hh_tes_in!P31=0,"",SER_hh_tes_in!P31/SER_hh_fec_in!P31)</f>
        <v>0.55927141977162931</v>
      </c>
      <c r="Q31" s="136">
        <f>IF(SER_hh_tes_in!Q31=0,"",SER_hh_tes_in!Q31/SER_hh_fec_in!Q31)</f>
        <v>0.56149692825103348</v>
      </c>
      <c r="R31" s="136">
        <f>IF(SER_hh_tes_in!R31=0,"",SER_hh_tes_in!R31/SER_hh_fec_in!R31)</f>
        <v>0.56734278485828138</v>
      </c>
      <c r="S31" s="136">
        <f>IF(SER_hh_tes_in!S31=0,"",SER_hh_tes_in!S31/SER_hh_fec_in!S31)</f>
        <v>0.57558903360594527</v>
      </c>
      <c r="T31" s="136">
        <f>IF(SER_hh_tes_in!T31=0,"",SER_hh_tes_in!T31/SER_hh_fec_in!T31)</f>
        <v>0.58463678533781882</v>
      </c>
      <c r="U31" s="136">
        <f>IF(SER_hh_tes_in!U31=0,"",SER_hh_tes_in!U31/SER_hh_fec_in!U31)</f>
        <v>0.59288715089771782</v>
      </c>
      <c r="V31" s="136">
        <f>IF(SER_hh_tes_in!V31=0,"",SER_hh_tes_in!V31/SER_hh_fec_in!V31)</f>
        <v>0.5987412411294466</v>
      </c>
      <c r="W31" s="136">
        <f>IF(SER_hh_tes_in!W31=0,"",SER_hh_tes_in!W31/SER_hh_fec_in!W31)</f>
        <v>0.6015547613415414</v>
      </c>
      <c r="X31" s="136" t="str">
        <f>IF(SER_hh_tes_in!X31=0,"",SER_hh_tes_in!X31/SER_hh_fec_in!X31)</f>
        <v/>
      </c>
      <c r="Y31" s="136" t="str">
        <f>IF(SER_hh_tes_in!Y31=0,"",SER_hh_tes_in!Y31/SER_hh_fec_in!Y31)</f>
        <v/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0.72398375604874343</v>
      </c>
      <c r="D33" s="149">
        <f>IF(SER_hh_tes_in!D33=0,"",SER_hh_tes_in!D33/SER_hh_fec_in!D33)</f>
        <v>0.72542273160716264</v>
      </c>
      <c r="E33" s="149">
        <f>IF(SER_hh_tes_in!E33=0,"",SER_hh_tes_in!E33/SER_hh_fec_in!E33)</f>
        <v>0.7269295551960403</v>
      </c>
      <c r="F33" s="149">
        <f>IF(SER_hh_tes_in!F33=0,"",SER_hh_tes_in!F33/SER_hh_fec_in!F33)</f>
        <v>0.72844563078907143</v>
      </c>
      <c r="G33" s="149">
        <f>IF(SER_hh_tes_in!G33=0,"",SER_hh_tes_in!G33/SER_hh_fec_in!G33)</f>
        <v>0.73002419042739863</v>
      </c>
      <c r="H33" s="149">
        <f>IF(SER_hh_tes_in!H33=0,"",SER_hh_tes_in!H33/SER_hh_fec_in!H33)</f>
        <v>0.73165871918686776</v>
      </c>
      <c r="I33" s="149">
        <f>IF(SER_hh_tes_in!I33=0,"",SER_hh_tes_in!I33/SER_hh_fec_in!I33)</f>
        <v>0.73336233344397217</v>
      </c>
      <c r="J33" s="149">
        <f>IF(SER_hh_tes_in!J33=0,"",SER_hh_tes_in!J33/SER_hh_fec_in!J33)</f>
        <v>0.7351887663635388</v>
      </c>
      <c r="K33" s="149">
        <f>IF(SER_hh_tes_in!K33=0,"",SER_hh_tes_in!K33/SER_hh_fec_in!K33)</f>
        <v>0.73718370526917443</v>
      </c>
      <c r="L33" s="149">
        <f>IF(SER_hh_tes_in!L33=0,"",SER_hh_tes_in!L33/SER_hh_fec_in!L33)</f>
        <v>0.73935937339302893</v>
      </c>
      <c r="M33" s="149">
        <f>IF(SER_hh_tes_in!M33=0,"",SER_hh_tes_in!M33/SER_hh_fec_in!M33)</f>
        <v>0.74247009803608455</v>
      </c>
      <c r="N33" s="149">
        <f>IF(SER_hh_tes_in!N33=0,"",SER_hh_tes_in!N33/SER_hh_fec_in!N33)</f>
        <v>0.74673062901148202</v>
      </c>
      <c r="O33" s="149">
        <f>IF(SER_hh_tes_in!O33=0,"",SER_hh_tes_in!O33/SER_hh_fec_in!O33)</f>
        <v>0.75265021042880587</v>
      </c>
      <c r="P33" s="149">
        <f>IF(SER_hh_tes_in!P33=0,"",SER_hh_tes_in!P33/SER_hh_fec_in!P33)</f>
        <v>0.76047861086488178</v>
      </c>
      <c r="Q33" s="149">
        <f>IF(SER_hh_tes_in!Q33=0,"",SER_hh_tes_in!Q33/SER_hh_fec_in!Q33)</f>
        <v>0.77060863738476604</v>
      </c>
      <c r="R33" s="149">
        <f>IF(SER_hh_tes_in!R33=0,"",SER_hh_tes_in!R33/SER_hh_fec_in!R33)</f>
        <v>0.78439318155430582</v>
      </c>
      <c r="S33" s="149">
        <f>IF(SER_hh_tes_in!S33=0,"",SER_hh_tes_in!S33/SER_hh_fec_in!S33)</f>
        <v>0.80164214614507623</v>
      </c>
      <c r="T33" s="149">
        <f>IF(SER_hh_tes_in!T33=0,"",SER_hh_tes_in!T33/SER_hh_fec_in!T33)</f>
        <v>0.82021160373771362</v>
      </c>
      <c r="U33" s="149">
        <f>IF(SER_hh_tes_in!U33=0,"",SER_hh_tes_in!U33/SER_hh_fec_in!U33)</f>
        <v>0.83795762691290476</v>
      </c>
      <c r="V33" s="149">
        <f>IF(SER_hh_tes_in!V33=0,"",SER_hh_tes_in!V33/SER_hh_fec_in!V33)</f>
        <v>0.85273628825131254</v>
      </c>
      <c r="W33" s="149">
        <f>IF(SER_hh_tes_in!W33=0,"",SER_hh_tes_in!W33/SER_hh_fec_in!W33)</f>
        <v>0.86380268952790662</v>
      </c>
      <c r="X33" s="149">
        <f>IF(SER_hh_tes_in!X33=0,"",SER_hh_tes_in!X33/SER_hh_fec_in!X33)</f>
        <v>0.87138154951218616</v>
      </c>
      <c r="Y33" s="149">
        <f>IF(SER_hh_tes_in!Y33=0,"",SER_hh_tes_in!Y33/SER_hh_fec_in!Y33)</f>
        <v>0.87810245090025774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9.5727244561140683</v>
      </c>
      <c r="D3" s="125">
        <f t="shared" si="0"/>
        <v>8.4384556116211478</v>
      </c>
      <c r="E3" s="125">
        <f t="shared" si="0"/>
        <v>15.43735331276474</v>
      </c>
      <c r="F3" s="125">
        <f t="shared" si="0"/>
        <v>2.4014824231517164</v>
      </c>
      <c r="G3" s="125">
        <f t="shared" si="0"/>
        <v>1.0399690229901646</v>
      </c>
      <c r="H3" s="125">
        <f t="shared" si="0"/>
        <v>0.84498553931892328</v>
      </c>
      <c r="I3" s="125">
        <f t="shared" si="0"/>
        <v>3.7986159265041968</v>
      </c>
      <c r="J3" s="125">
        <f t="shared" si="0"/>
        <v>0.48669078105362867</v>
      </c>
      <c r="K3" s="125">
        <f t="shared" si="0"/>
        <v>0.83296987126247968</v>
      </c>
      <c r="L3" s="125">
        <f t="shared" si="0"/>
        <v>1.4165994239206776</v>
      </c>
      <c r="M3" s="125">
        <f t="shared" si="0"/>
        <v>11.740304481163202</v>
      </c>
      <c r="N3" s="125">
        <f t="shared" si="0"/>
        <v>6.1806551123059936</v>
      </c>
      <c r="O3" s="125">
        <f t="shared" si="0"/>
        <v>2.8605249224074494</v>
      </c>
      <c r="P3" s="125">
        <f t="shared" si="0"/>
        <v>5.159325469093333</v>
      </c>
      <c r="Q3" s="125">
        <f t="shared" si="0"/>
        <v>5.7252833261083937</v>
      </c>
      <c r="R3" s="125">
        <f t="shared" ref="R3:W3" si="1">SUM(R4,R16,R19,R29)</f>
        <v>3.1491087510967888</v>
      </c>
      <c r="S3" s="125">
        <f t="shared" si="1"/>
        <v>2.581215493659867</v>
      </c>
      <c r="T3" s="125">
        <f t="shared" si="1"/>
        <v>2.0326652415123867</v>
      </c>
      <c r="U3" s="125">
        <f t="shared" si="1"/>
        <v>1.0798286410109237</v>
      </c>
      <c r="V3" s="125">
        <f t="shared" si="1"/>
        <v>0.23926459593608318</v>
      </c>
      <c r="W3" s="125">
        <f t="shared" si="1"/>
        <v>0.46632682468039366</v>
      </c>
      <c r="X3" s="125">
        <f t="shared" ref="X3:Y3" si="2">SUM(X4,X16,X19,X29)</f>
        <v>0.70226388136694984</v>
      </c>
      <c r="Y3" s="125">
        <f t="shared" si="2"/>
        <v>1.2896601837432142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7.5303895017116798</v>
      </c>
      <c r="D4" s="130">
        <f t="shared" si="3"/>
        <v>7.1740984285505718</v>
      </c>
      <c r="E4" s="130">
        <f t="shared" si="3"/>
        <v>14.668880375639592</v>
      </c>
      <c r="F4" s="130">
        <f t="shared" si="3"/>
        <v>1.3822930651284127</v>
      </c>
      <c r="G4" s="130">
        <f t="shared" si="3"/>
        <v>0.49167385350563209</v>
      </c>
      <c r="H4" s="130">
        <f t="shared" si="3"/>
        <v>0.30902478731422017</v>
      </c>
      <c r="I4" s="130">
        <f t="shared" si="3"/>
        <v>3.2362134882092599</v>
      </c>
      <c r="J4" s="130">
        <f t="shared" si="3"/>
        <v>0.32980348503830453</v>
      </c>
      <c r="K4" s="130">
        <f t="shared" si="3"/>
        <v>0.70284746505356821</v>
      </c>
      <c r="L4" s="130">
        <f t="shared" si="3"/>
        <v>1.1859706635110749</v>
      </c>
      <c r="M4" s="130">
        <f t="shared" si="3"/>
        <v>10.60180642947633</v>
      </c>
      <c r="N4" s="130">
        <f t="shared" si="3"/>
        <v>5.2302762394564617</v>
      </c>
      <c r="O4" s="130">
        <f t="shared" si="3"/>
        <v>2.3643468519227677</v>
      </c>
      <c r="P4" s="130">
        <f t="shared" si="3"/>
        <v>4.1858438852849407</v>
      </c>
      <c r="Q4" s="130">
        <f t="shared" si="3"/>
        <v>4.6382576946820153</v>
      </c>
      <c r="R4" s="130">
        <f t="shared" ref="R4:W4" si="4">SUM(R5:R15)</f>
        <v>2.2813129765679285</v>
      </c>
      <c r="S4" s="130">
        <f t="shared" si="4"/>
        <v>1.8432789262462663</v>
      </c>
      <c r="T4" s="130">
        <f t="shared" si="4"/>
        <v>1.3555849788690246</v>
      </c>
      <c r="U4" s="130">
        <f t="shared" si="4"/>
        <v>0.70225490528964429</v>
      </c>
      <c r="V4" s="130">
        <f t="shared" si="4"/>
        <v>9.4004153042258048E-3</v>
      </c>
      <c r="W4" s="130">
        <f t="shared" si="4"/>
        <v>0.28747454855401794</v>
      </c>
      <c r="X4" s="130">
        <f t="shared" ref="X4:Y4" si="5">SUM(X5:X15)</f>
        <v>0.5755681325856189</v>
      </c>
      <c r="Y4" s="130">
        <f t="shared" si="5"/>
        <v>0.76281026039847688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0.75958277909415173</v>
      </c>
      <c r="D5" s="132">
        <v>0.54102830029894755</v>
      </c>
      <c r="E5" s="132">
        <v>0.38685844408453496</v>
      </c>
      <c r="F5" s="132">
        <v>0</v>
      </c>
      <c r="G5" s="132">
        <v>0.49167385350563209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0.23873369833781852</v>
      </c>
      <c r="N5" s="132">
        <v>0.37707221276243369</v>
      </c>
      <c r="O5" s="132">
        <v>0.24568632902572218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9.4004153042258048E-3</v>
      </c>
      <c r="W5" s="132">
        <v>0</v>
      </c>
      <c r="X5" s="132">
        <v>0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2.1611318591180191</v>
      </c>
      <c r="D7" s="132">
        <v>0</v>
      </c>
      <c r="E7" s="132">
        <v>0</v>
      </c>
      <c r="F7" s="132">
        <v>0</v>
      </c>
      <c r="G7" s="132">
        <v>0</v>
      </c>
      <c r="H7" s="132">
        <v>0.30902478731422017</v>
      </c>
      <c r="I7" s="132">
        <v>3.2362134882092599</v>
      </c>
      <c r="J7" s="132">
        <v>0.32980348503830453</v>
      </c>
      <c r="K7" s="132">
        <v>0.70284746505356821</v>
      </c>
      <c r="L7" s="132">
        <v>1.1859706635110749</v>
      </c>
      <c r="M7" s="132">
        <v>8.3416839987751494</v>
      </c>
      <c r="N7" s="132">
        <v>2.8965073132896841</v>
      </c>
      <c r="O7" s="132">
        <v>0.64239859947407307</v>
      </c>
      <c r="P7" s="132">
        <v>0</v>
      </c>
      <c r="Q7" s="132">
        <v>0</v>
      </c>
      <c r="R7" s="132">
        <v>0</v>
      </c>
      <c r="S7" s="132">
        <v>0</v>
      </c>
      <c r="T7" s="132">
        <v>0</v>
      </c>
      <c r="U7" s="132">
        <v>0</v>
      </c>
      <c r="V7" s="132">
        <v>0</v>
      </c>
      <c r="W7" s="132">
        <v>0.28747454855401794</v>
      </c>
      <c r="X7" s="132">
        <v>0.5755681325856189</v>
      </c>
      <c r="Y7" s="132">
        <v>0.76281026039847688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4.6096748634995093</v>
      </c>
      <c r="D9" s="132">
        <v>6.6330701282516245</v>
      </c>
      <c r="E9" s="132">
        <v>14.282021931555057</v>
      </c>
      <c r="F9" s="132">
        <v>1.3822930651284127</v>
      </c>
      <c r="G9" s="132">
        <v>0</v>
      </c>
      <c r="H9" s="132">
        <v>0</v>
      </c>
      <c r="I9" s="132">
        <v>0</v>
      </c>
      <c r="J9" s="132">
        <v>0</v>
      </c>
      <c r="K9" s="132">
        <v>0</v>
      </c>
      <c r="L9" s="132">
        <v>0</v>
      </c>
      <c r="M9" s="132">
        <v>2.0213887323633624</v>
      </c>
      <c r="N9" s="132">
        <v>1.9566967134043436</v>
      </c>
      <c r="O9" s="132">
        <v>1.4762619234229724</v>
      </c>
      <c r="P9" s="132">
        <v>4.1858438852849407</v>
      </c>
      <c r="Q9" s="132">
        <v>4.6382576946820153</v>
      </c>
      <c r="R9" s="132">
        <v>2.2813129765679285</v>
      </c>
      <c r="S9" s="132">
        <v>1.8432789262462663</v>
      </c>
      <c r="T9" s="132">
        <v>1.3555849788690246</v>
      </c>
      <c r="U9" s="132">
        <v>0.70225490528964429</v>
      </c>
      <c r="V9" s="132">
        <v>0</v>
      </c>
      <c r="W9" s="132">
        <v>0</v>
      </c>
      <c r="X9" s="132">
        <v>0</v>
      </c>
      <c r="Y9" s="132">
        <v>0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0.95231209472918943</v>
      </c>
      <c r="D19" s="130">
        <f t="shared" si="9"/>
        <v>0.29853584382336806</v>
      </c>
      <c r="E19" s="130">
        <f t="shared" si="9"/>
        <v>0.23594651648478226</v>
      </c>
      <c r="F19" s="130">
        <f t="shared" si="9"/>
        <v>0.12482108123610065</v>
      </c>
      <c r="G19" s="130">
        <f t="shared" si="9"/>
        <v>0.19088294437960043</v>
      </c>
      <c r="H19" s="130">
        <f t="shared" si="9"/>
        <v>0.23363883788884568</v>
      </c>
      <c r="I19" s="130">
        <f t="shared" si="9"/>
        <v>0.44591290204741757</v>
      </c>
      <c r="J19" s="130">
        <f t="shared" si="9"/>
        <v>0.13709411552408574</v>
      </c>
      <c r="K19" s="130">
        <f t="shared" si="9"/>
        <v>0.10982669478079268</v>
      </c>
      <c r="L19" s="130">
        <f t="shared" si="9"/>
        <v>0.1488425398497355</v>
      </c>
      <c r="M19" s="130">
        <f t="shared" si="9"/>
        <v>0.63175073900595979</v>
      </c>
      <c r="N19" s="130">
        <f t="shared" si="9"/>
        <v>0.5015188111544554</v>
      </c>
      <c r="O19" s="130">
        <f t="shared" si="9"/>
        <v>0.30614437517650761</v>
      </c>
      <c r="P19" s="130">
        <f t="shared" si="9"/>
        <v>0.64461963921826926</v>
      </c>
      <c r="Q19" s="130">
        <f t="shared" si="9"/>
        <v>0.54681855304736016</v>
      </c>
      <c r="R19" s="130">
        <f t="shared" ref="R19:W19" si="10">SUM(R20:R27)</f>
        <v>0.26324841377887531</v>
      </c>
      <c r="S19" s="130">
        <f t="shared" si="10"/>
        <v>0.31118938698531756</v>
      </c>
      <c r="T19" s="130">
        <f t="shared" si="10"/>
        <v>0.27307007521131943</v>
      </c>
      <c r="U19" s="130">
        <f t="shared" si="10"/>
        <v>0.17569820987545573</v>
      </c>
      <c r="V19" s="130">
        <f t="shared" si="10"/>
        <v>8.1549856532249804E-2</v>
      </c>
      <c r="W19" s="130">
        <f t="shared" si="10"/>
        <v>1.894104589599796E-2</v>
      </c>
      <c r="X19" s="130">
        <f t="shared" ref="X19:Y19" si="11">SUM(X20:X27)</f>
        <v>9.3932013371138046E-2</v>
      </c>
      <c r="Y19" s="130">
        <f t="shared" si="11"/>
        <v>0.16402695859867697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0.42488766261895483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0.2804090807501789</v>
      </c>
      <c r="J22" s="132">
        <v>0.10824919887931334</v>
      </c>
      <c r="K22" s="132">
        <v>8.0263213326129068E-2</v>
      </c>
      <c r="L22" s="132">
        <v>0.10174227976241261</v>
      </c>
      <c r="M22" s="132">
        <v>0.32406682325686242</v>
      </c>
      <c r="N22" s="132">
        <v>0.2280780833463541</v>
      </c>
      <c r="O22" s="132">
        <v>9.4070707922023239E-2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1.894104589599796E-2</v>
      </c>
      <c r="X22" s="132">
        <v>9.3932013371138046E-2</v>
      </c>
      <c r="Y22" s="132">
        <v>0.16402695859867697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0.5274244321102346</v>
      </c>
      <c r="D23" s="132">
        <v>0.29853584382336806</v>
      </c>
      <c r="E23" s="132">
        <v>0.23594651648478226</v>
      </c>
      <c r="F23" s="132">
        <v>0.12482108123610065</v>
      </c>
      <c r="G23" s="132">
        <v>0.19088294437960043</v>
      </c>
      <c r="H23" s="132">
        <v>0.23363883788884568</v>
      </c>
      <c r="I23" s="132">
        <v>0.16550382129723867</v>
      </c>
      <c r="J23" s="132">
        <v>2.88449166447724E-2</v>
      </c>
      <c r="K23" s="132">
        <v>2.9563481454663611E-2</v>
      </c>
      <c r="L23" s="132">
        <v>4.7100260087322897E-2</v>
      </c>
      <c r="M23" s="132">
        <v>0.30768391574909737</v>
      </c>
      <c r="N23" s="132">
        <v>0.2734407278081013</v>
      </c>
      <c r="O23" s="132">
        <v>0.2120736672544844</v>
      </c>
      <c r="P23" s="132">
        <v>0.64461963921826926</v>
      </c>
      <c r="Q23" s="132">
        <v>0.54681855304736016</v>
      </c>
      <c r="R23" s="132">
        <v>0.26324841377887531</v>
      </c>
      <c r="S23" s="132">
        <v>0.31118938698531756</v>
      </c>
      <c r="T23" s="132">
        <v>0.27307007521131943</v>
      </c>
      <c r="U23" s="132">
        <v>0.17569820987545573</v>
      </c>
      <c r="V23" s="132">
        <v>8.1549856532249804E-2</v>
      </c>
      <c r="W23" s="132">
        <v>0</v>
      </c>
      <c r="X23" s="132">
        <v>0</v>
      </c>
      <c r="Y23" s="132">
        <v>0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1.0900228596732</v>
      </c>
      <c r="D29" s="130">
        <f t="shared" si="12"/>
        <v>0.9658213392472087</v>
      </c>
      <c r="E29" s="130">
        <f t="shared" si="12"/>
        <v>0.53252642064036515</v>
      </c>
      <c r="F29" s="130">
        <f t="shared" si="12"/>
        <v>0.89436827678720321</v>
      </c>
      <c r="G29" s="130">
        <f t="shared" si="12"/>
        <v>0.35741222510493209</v>
      </c>
      <c r="H29" s="130">
        <f t="shared" si="12"/>
        <v>0.3023219141158574</v>
      </c>
      <c r="I29" s="130">
        <f t="shared" si="12"/>
        <v>0.11648953624751926</v>
      </c>
      <c r="J29" s="130">
        <f t="shared" si="12"/>
        <v>1.9793180491238429E-2</v>
      </c>
      <c r="K29" s="130">
        <f t="shared" si="12"/>
        <v>2.0295711428118864E-2</v>
      </c>
      <c r="L29" s="130">
        <f t="shared" si="12"/>
        <v>8.1786220559867187E-2</v>
      </c>
      <c r="M29" s="130">
        <f t="shared" si="12"/>
        <v>0.50674731268091266</v>
      </c>
      <c r="N29" s="130">
        <f t="shared" si="12"/>
        <v>0.44886006169507642</v>
      </c>
      <c r="O29" s="130">
        <f t="shared" si="12"/>
        <v>0.19003369530817382</v>
      </c>
      <c r="P29" s="130">
        <f t="shared" si="12"/>
        <v>0.32886194459012341</v>
      </c>
      <c r="Q29" s="130">
        <f t="shared" si="12"/>
        <v>0.54020707837901827</v>
      </c>
      <c r="R29" s="130">
        <f t="shared" ref="R29:W29" si="13">SUM(R30:R33)</f>
        <v>0.60454736074998505</v>
      </c>
      <c r="S29" s="130">
        <f t="shared" si="13"/>
        <v>0.42674718042828302</v>
      </c>
      <c r="T29" s="130">
        <f t="shared" si="13"/>
        <v>0.40401018743204287</v>
      </c>
      <c r="U29" s="130">
        <f t="shared" si="13"/>
        <v>0.20187552584582377</v>
      </c>
      <c r="V29" s="130">
        <f t="shared" si="13"/>
        <v>0.14831432409960757</v>
      </c>
      <c r="W29" s="130">
        <f t="shared" si="13"/>
        <v>0.15991123023037776</v>
      </c>
      <c r="X29" s="130">
        <f t="shared" ref="X29:Y29" si="14">SUM(X30:X33)</f>
        <v>3.2763735410192951E-2</v>
      </c>
      <c r="Y29" s="130">
        <f t="shared" si="14"/>
        <v>0.36282296474606041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0</v>
      </c>
      <c r="D30" s="132">
        <v>0</v>
      </c>
      <c r="E30" s="132">
        <v>0</v>
      </c>
      <c r="F30" s="132">
        <v>0.71315283391434658</v>
      </c>
      <c r="G30" s="132">
        <v>0.23250523542054122</v>
      </c>
      <c r="H30" s="132">
        <v>0.12208952174930532</v>
      </c>
      <c r="I30" s="132">
        <v>0</v>
      </c>
      <c r="J30" s="132">
        <v>0</v>
      </c>
      <c r="K30" s="132">
        <v>0</v>
      </c>
      <c r="L30" s="132">
        <v>3.93585981113387E-3</v>
      </c>
      <c r="M30" s="132">
        <v>5.6804422477584299E-2</v>
      </c>
      <c r="N30" s="132">
        <v>5.5586263738370917E-2</v>
      </c>
      <c r="O30" s="132">
        <v>2.7277724842462901E-2</v>
      </c>
      <c r="P30" s="132">
        <v>8.7032482371075887E-2</v>
      </c>
      <c r="Q30" s="132">
        <v>0.20500378456526053</v>
      </c>
      <c r="R30" s="132">
        <v>0.26429066499021892</v>
      </c>
      <c r="S30" s="132">
        <v>9.7661190281245772E-2</v>
      </c>
      <c r="T30" s="132">
        <v>3.9979896804303791E-2</v>
      </c>
      <c r="U30" s="132">
        <v>0</v>
      </c>
      <c r="V30" s="132">
        <v>0</v>
      </c>
      <c r="W30" s="132">
        <v>8.6099910724751899E-2</v>
      </c>
      <c r="X30" s="132">
        <v>3.2763735410192951E-2</v>
      </c>
      <c r="Y30" s="132">
        <v>0.36282296474606041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1.0900228596732</v>
      </c>
      <c r="D31" s="132">
        <v>0.9658213392472087</v>
      </c>
      <c r="E31" s="132">
        <v>0.53252642064036515</v>
      </c>
      <c r="F31" s="132">
        <v>0.18121544287285665</v>
      </c>
      <c r="G31" s="132">
        <v>0.12490698968439085</v>
      </c>
      <c r="H31" s="132">
        <v>0.18023239236655209</v>
      </c>
      <c r="I31" s="132">
        <v>0.11648953624751926</v>
      </c>
      <c r="J31" s="132">
        <v>1.9793180491238429E-2</v>
      </c>
      <c r="K31" s="132">
        <v>2.0295711428118864E-2</v>
      </c>
      <c r="L31" s="132">
        <v>7.7850360748733319E-2</v>
      </c>
      <c r="M31" s="132">
        <v>0.44994289020332834</v>
      </c>
      <c r="N31" s="132">
        <v>0.39327379795670553</v>
      </c>
      <c r="O31" s="132">
        <v>0.16275597046571091</v>
      </c>
      <c r="P31" s="132">
        <v>0.2418294622190475</v>
      </c>
      <c r="Q31" s="132">
        <v>0.3352032938137578</v>
      </c>
      <c r="R31" s="132">
        <v>0.34025669575976614</v>
      </c>
      <c r="S31" s="132">
        <v>0.32908599014703727</v>
      </c>
      <c r="T31" s="132">
        <v>0.36403029062773906</v>
      </c>
      <c r="U31" s="132">
        <v>0.20187552584582377</v>
      </c>
      <c r="V31" s="132">
        <v>0.14831432409960757</v>
      </c>
      <c r="W31" s="132">
        <v>7.3811319505625861E-2</v>
      </c>
      <c r="X31" s="132">
        <v>0</v>
      </c>
      <c r="Y31" s="132">
        <v>0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211534.33607166397</v>
      </c>
      <c r="D3" s="125">
        <f>IF(SER_hh_fec_in!D3=0,0,11630*1000*SER_hh_fec_in!D3/SER_hh_num_in!D3)</f>
        <v>189934.07361532579</v>
      </c>
      <c r="E3" s="125">
        <f>IF(SER_hh_fec_in!E3=0,0,11630*1000*SER_hh_fec_in!E3/SER_hh_num_in!E3)</f>
        <v>245042.74514747687</v>
      </c>
      <c r="F3" s="125">
        <f>IF(SER_hh_fec_in!F3=0,0,11630*1000*SER_hh_fec_in!F3/SER_hh_num_in!F3)</f>
        <v>221035.6809181493</v>
      </c>
      <c r="G3" s="125">
        <f>IF(SER_hh_fec_in!G3=0,0,11630*1000*SER_hh_fec_in!G3/SER_hh_num_in!G3)</f>
        <v>204706.44119425421</v>
      </c>
      <c r="H3" s="125">
        <f>IF(SER_hh_fec_in!H3=0,0,11630*1000*SER_hh_fec_in!H3/SER_hh_num_in!H3)</f>
        <v>193871.74967376082</v>
      </c>
      <c r="I3" s="125">
        <f>IF(SER_hh_fec_in!I3=0,0,11630*1000*SER_hh_fec_in!I3/SER_hh_num_in!I3)</f>
        <v>194134.740288067</v>
      </c>
      <c r="J3" s="125">
        <f>IF(SER_hh_fec_in!J3=0,0,11630*1000*SER_hh_fec_in!J3/SER_hh_num_in!J3)</f>
        <v>217999.8012651586</v>
      </c>
      <c r="K3" s="125">
        <f>IF(SER_hh_fec_in!K3=0,0,11630*1000*SER_hh_fec_in!K3/SER_hh_num_in!K3)</f>
        <v>213031.19804020156</v>
      </c>
      <c r="L3" s="125">
        <f>IF(SER_hh_fec_in!L3=0,0,11630*1000*SER_hh_fec_in!L3/SER_hh_num_in!L3)</f>
        <v>206632.65381975006</v>
      </c>
      <c r="M3" s="125">
        <f>IF(SER_hh_fec_in!M3=0,0,11630*1000*SER_hh_fec_in!M3/SER_hh_num_in!M3)</f>
        <v>201286.26999921651</v>
      </c>
      <c r="N3" s="125">
        <f>IF(SER_hh_fec_in!N3=0,0,11630*1000*SER_hh_fec_in!N3/SER_hh_num_in!N3)</f>
        <v>191932.73947520449</v>
      </c>
      <c r="O3" s="125">
        <f>IF(SER_hh_fec_in!O3=0,0,11630*1000*SER_hh_fec_in!O3/SER_hh_num_in!O3)</f>
        <v>183757.72202432048</v>
      </c>
      <c r="P3" s="125">
        <f>IF(SER_hh_fec_in!P3=0,0,11630*1000*SER_hh_fec_in!P3/SER_hh_num_in!P3)</f>
        <v>200581.47107024866</v>
      </c>
      <c r="Q3" s="125">
        <f>IF(SER_hh_fec_in!Q3=0,0,11630*1000*SER_hh_fec_in!Q3/SER_hh_num_in!Q3)</f>
        <v>173747.61282080965</v>
      </c>
      <c r="R3" s="125">
        <f>IF(SER_hh_fec_in!R3=0,0,11630*1000*SER_hh_fec_in!R3/SER_hh_num_in!R3)</f>
        <v>183404.83689437227</v>
      </c>
      <c r="S3" s="125">
        <f>IF(SER_hh_fec_in!S3=0,0,11630*1000*SER_hh_fec_in!S3/SER_hh_num_in!S3)</f>
        <v>156156.6055165643</v>
      </c>
      <c r="T3" s="125">
        <f>IF(SER_hh_fec_in!T3=0,0,11630*1000*SER_hh_fec_in!T3/SER_hh_num_in!T3)</f>
        <v>154154.76193334541</v>
      </c>
      <c r="U3" s="125">
        <f>IF(SER_hh_fec_in!U3=0,0,11630*1000*SER_hh_fec_in!U3/SER_hh_num_in!U3)</f>
        <v>137523.8390876943</v>
      </c>
      <c r="V3" s="125">
        <f>IF(SER_hh_fec_in!V3=0,0,11630*1000*SER_hh_fec_in!V3/SER_hh_num_in!V3)</f>
        <v>122265.23365927416</v>
      </c>
      <c r="W3" s="125">
        <f>IF(SER_hh_fec_in!W3=0,0,11630*1000*SER_hh_fec_in!W3/SER_hh_num_in!W3)</f>
        <v>117356.1991203642</v>
      </c>
      <c r="X3" s="125">
        <f>IF(SER_hh_fec_in!X3=0,0,11630*1000*SER_hh_fec_in!X3/SER_hh_num_in!X3)</f>
        <v>111659.49922368115</v>
      </c>
      <c r="Y3" s="125">
        <f>IF(SER_hh_fec_in!Y3=0,0,11630*1000*SER_hh_fec_in!Y3/SER_hh_num_in!Y3)</f>
        <v>114882.90902282884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155198.92461901449</v>
      </c>
      <c r="D4" s="130">
        <f>IF(SER_hh_fec_in!D4=0,0,11630*1000*SER_hh_fec_in!D4/SER_hh_num_in!D4)</f>
        <v>136514.42853078211</v>
      </c>
      <c r="E4" s="130">
        <f>IF(SER_hh_fec_in!E4=0,0,11630*1000*SER_hh_fec_in!E4/SER_hh_num_in!E4)</f>
        <v>192838.96081668368</v>
      </c>
      <c r="F4" s="130">
        <f>IF(SER_hh_fec_in!F4=0,0,11630*1000*SER_hh_fec_in!F4/SER_hh_num_in!F4)</f>
        <v>167879.07026399061</v>
      </c>
      <c r="G4" s="130">
        <f>IF(SER_hh_fec_in!G4=0,0,11630*1000*SER_hh_fec_in!G4/SER_hh_num_in!G4)</f>
        <v>154380.51578373715</v>
      </c>
      <c r="H4" s="130">
        <f>IF(SER_hh_fec_in!H4=0,0,11630*1000*SER_hh_fec_in!H4/SER_hh_num_in!H4)</f>
        <v>145034.96036732034</v>
      </c>
      <c r="I4" s="130">
        <f>IF(SER_hh_fec_in!I4=0,0,11630*1000*SER_hh_fec_in!I4/SER_hh_num_in!I4)</f>
        <v>146270.52521393591</v>
      </c>
      <c r="J4" s="130">
        <f>IF(SER_hh_fec_in!J4=0,0,11630*1000*SER_hh_fec_in!J4/SER_hh_num_in!J4)</f>
        <v>165168.47729283606</v>
      </c>
      <c r="K4" s="130">
        <f>IF(SER_hh_fec_in!K4=0,0,11630*1000*SER_hh_fec_in!K4/SER_hh_num_in!K4)</f>
        <v>159087.87915371553</v>
      </c>
      <c r="L4" s="130">
        <f>IF(SER_hh_fec_in!L4=0,0,11630*1000*SER_hh_fec_in!L4/SER_hh_num_in!L4)</f>
        <v>151289.54528377787</v>
      </c>
      <c r="M4" s="130">
        <f>IF(SER_hh_fec_in!M4=0,0,11630*1000*SER_hh_fec_in!M4/SER_hh_num_in!M4)</f>
        <v>148729.325914343</v>
      </c>
      <c r="N4" s="130">
        <f>IF(SER_hh_fec_in!N4=0,0,11630*1000*SER_hh_fec_in!N4/SER_hh_num_in!N4)</f>
        <v>139733.99470036168</v>
      </c>
      <c r="O4" s="130">
        <f>IF(SER_hh_fec_in!O4=0,0,11630*1000*SER_hh_fec_in!O4/SER_hh_num_in!O4)</f>
        <v>129843.55901655937</v>
      </c>
      <c r="P4" s="130">
        <f>IF(SER_hh_fec_in!P4=0,0,11630*1000*SER_hh_fec_in!P4/SER_hh_num_in!P4)</f>
        <v>148383.86802939358</v>
      </c>
      <c r="Q4" s="130">
        <f>IF(SER_hh_fec_in!Q4=0,0,11630*1000*SER_hh_fec_in!Q4/SER_hh_num_in!Q4)</f>
        <v>125181.51197431459</v>
      </c>
      <c r="R4" s="130">
        <f>IF(SER_hh_fec_in!R4=0,0,11630*1000*SER_hh_fec_in!R4/SER_hh_num_in!R4)</f>
        <v>133230.04311509893</v>
      </c>
      <c r="S4" s="130">
        <f>IF(SER_hh_fec_in!S4=0,0,11630*1000*SER_hh_fec_in!S4/SER_hh_num_in!S4)</f>
        <v>109700.8908060886</v>
      </c>
      <c r="T4" s="130">
        <f>IF(SER_hh_fec_in!T4=0,0,11630*1000*SER_hh_fec_in!T4/SER_hh_num_in!T4)</f>
        <v>107408.42208131135</v>
      </c>
      <c r="U4" s="130">
        <f>IF(SER_hh_fec_in!U4=0,0,11630*1000*SER_hh_fec_in!U4/SER_hh_num_in!U4)</f>
        <v>92269.574961681734</v>
      </c>
      <c r="V4" s="130">
        <f>IF(SER_hh_fec_in!V4=0,0,11630*1000*SER_hh_fec_in!V4/SER_hh_num_in!V4)</f>
        <v>81234.000592668424</v>
      </c>
      <c r="W4" s="130">
        <f>IF(SER_hh_fec_in!W4=0,0,11630*1000*SER_hh_fec_in!W4/SER_hh_num_in!W4)</f>
        <v>72032.152770810761</v>
      </c>
      <c r="X4" s="130">
        <f>IF(SER_hh_fec_in!X4=0,0,11630*1000*SER_hh_fec_in!X4/SER_hh_num_in!X4)</f>
        <v>63490.298972748977</v>
      </c>
      <c r="Y4" s="130">
        <f>IF(SER_hh_fec_in!Y4=0,0,11630*1000*SER_hh_fec_in!Y4/SER_hh_num_in!Y4)</f>
        <v>59685.418163513852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183086.88870448389</v>
      </c>
      <c r="D5" s="132">
        <f>IF(SER_hh_fec_in!D5=0,0,11630*1000*SER_hh_fec_in!D5/SER_hh_num_in!D5)</f>
        <v>156583.3403299606</v>
      </c>
      <c r="E5" s="132">
        <f>IF(SER_hh_fec_in!E5=0,0,11630*1000*SER_hh_fec_in!E5/SER_hh_num_in!E5)</f>
        <v>168868.8271936081</v>
      </c>
      <c r="F5" s="132">
        <f>IF(SER_hh_fec_in!F5=0,0,11630*1000*SER_hh_fec_in!F5/SER_hh_num_in!F5)</f>
        <v>0</v>
      </c>
      <c r="G5" s="132">
        <f>IF(SER_hh_fec_in!G5=0,0,11630*1000*SER_hh_fec_in!G5/SER_hh_num_in!G5)</f>
        <v>211975.64297011404</v>
      </c>
      <c r="H5" s="132">
        <f>IF(SER_hh_fec_in!H5=0,0,11630*1000*SER_hh_fec_in!H5/SER_hh_num_in!H5)</f>
        <v>0</v>
      </c>
      <c r="I5" s="132">
        <f>IF(SER_hh_fec_in!I5=0,0,11630*1000*SER_hh_fec_in!I5/SER_hh_num_in!I5)</f>
        <v>0</v>
      </c>
      <c r="J5" s="132">
        <f>IF(SER_hh_fec_in!J5=0,0,11630*1000*SER_hh_fec_in!J5/SER_hh_num_in!J5)</f>
        <v>0</v>
      </c>
      <c r="K5" s="132">
        <f>IF(SER_hh_fec_in!K5=0,0,11630*1000*SER_hh_fec_in!K5/SER_hh_num_in!K5)</f>
        <v>0</v>
      </c>
      <c r="L5" s="132">
        <f>IF(SER_hh_fec_in!L5=0,0,11630*1000*SER_hh_fec_in!L5/SER_hh_num_in!L5)</f>
        <v>0</v>
      </c>
      <c r="M5" s="132">
        <f>IF(SER_hh_fec_in!M5=0,0,11630*1000*SER_hh_fec_in!M5/SER_hh_num_in!M5)</f>
        <v>114654.11766328277</v>
      </c>
      <c r="N5" s="132">
        <f>IF(SER_hh_fec_in!N5=0,0,11630*1000*SER_hh_fec_in!N5/SER_hh_num_in!N5)</f>
        <v>131324.77821789903</v>
      </c>
      <c r="O5" s="132">
        <f>IF(SER_hh_fec_in!O5=0,0,11630*1000*SER_hh_fec_in!O5/SER_hh_num_in!O5)</f>
        <v>204701.94941631262</v>
      </c>
      <c r="P5" s="132">
        <f>IF(SER_hh_fec_in!P5=0,0,11630*1000*SER_hh_fec_in!P5/SER_hh_num_in!P5)</f>
        <v>0</v>
      </c>
      <c r="Q5" s="132">
        <f>IF(SER_hh_fec_in!Q5=0,0,11630*1000*SER_hh_fec_in!Q5/SER_hh_num_in!Q5)</f>
        <v>0</v>
      </c>
      <c r="R5" s="132">
        <f>IF(SER_hh_fec_in!R5=0,0,11630*1000*SER_hh_fec_in!R5/SER_hh_num_in!R5)</f>
        <v>0</v>
      </c>
      <c r="S5" s="132">
        <f>IF(SER_hh_fec_in!S5=0,0,11630*1000*SER_hh_fec_in!S5/SER_hh_num_in!S5)</f>
        <v>0</v>
      </c>
      <c r="T5" s="132">
        <f>IF(SER_hh_fec_in!T5=0,0,11630*1000*SER_hh_fec_in!T5/SER_hh_num_in!T5)</f>
        <v>0</v>
      </c>
      <c r="U5" s="132">
        <f>IF(SER_hh_fec_in!U5=0,0,11630*1000*SER_hh_fec_in!U5/SER_hh_num_in!U5)</f>
        <v>0</v>
      </c>
      <c r="V5" s="132">
        <f>IF(SER_hh_fec_in!V5=0,0,11630*1000*SER_hh_fec_in!V5/SER_hh_num_in!V5)</f>
        <v>94463.261451108308</v>
      </c>
      <c r="W5" s="132">
        <f>IF(SER_hh_fec_in!W5=0,0,11630*1000*SER_hh_fec_in!W5/SER_hh_num_in!W5)</f>
        <v>0</v>
      </c>
      <c r="X5" s="132">
        <f>IF(SER_hh_fec_in!X5=0,0,11630*1000*SER_hh_fec_in!X5/SER_hh_num_in!X5)</f>
        <v>0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226562.54907559423</v>
      </c>
      <c r="D7" s="132">
        <f>IF(SER_hh_fec_in!D7=0,0,11630*1000*SER_hh_fec_in!D7/SER_hh_num_in!D7)</f>
        <v>0</v>
      </c>
      <c r="E7" s="132">
        <f>IF(SER_hh_fec_in!E7=0,0,11630*1000*SER_hh_fec_in!E7/SER_hh_num_in!E7)</f>
        <v>0</v>
      </c>
      <c r="F7" s="132">
        <f>IF(SER_hh_fec_in!F7=0,0,11630*1000*SER_hh_fec_in!F7/SER_hh_num_in!F7)</f>
        <v>0</v>
      </c>
      <c r="G7" s="132">
        <f>IF(SER_hh_fec_in!G7=0,0,11630*1000*SER_hh_fec_in!G7/SER_hh_num_in!G7)</f>
        <v>0</v>
      </c>
      <c r="H7" s="132">
        <f>IF(SER_hh_fec_in!H7=0,0,11630*1000*SER_hh_fec_in!H7/SER_hh_num_in!H7)</f>
        <v>188620.54012722473</v>
      </c>
      <c r="I7" s="132">
        <f>IF(SER_hh_fec_in!I7=0,0,11630*1000*SER_hh_fec_in!I7/SER_hh_num_in!I7)</f>
        <v>206350.60219668946</v>
      </c>
      <c r="J7" s="132">
        <f>IF(SER_hh_fec_in!J7=0,0,11630*1000*SER_hh_fec_in!J7/SER_hh_num_in!J7)</f>
        <v>213675.01855891134</v>
      </c>
      <c r="K7" s="132">
        <f>IF(SER_hh_fec_in!K7=0,0,11630*1000*SER_hh_fec_in!K7/SER_hh_num_in!K7)</f>
        <v>193377.08703192385</v>
      </c>
      <c r="L7" s="132">
        <f>IF(SER_hh_fec_in!L7=0,0,11630*1000*SER_hh_fec_in!L7/SER_hh_num_in!L7)</f>
        <v>151692.14050182077</v>
      </c>
      <c r="M7" s="132">
        <f>IF(SER_hh_fec_in!M7=0,0,11630*1000*SER_hh_fec_in!M7/SER_hh_num_in!M7)</f>
        <v>189399.248034085</v>
      </c>
      <c r="N7" s="132">
        <f>IF(SER_hh_fec_in!N7=0,0,11630*1000*SER_hh_fec_in!N7/SER_hh_num_in!N7)</f>
        <v>180184.45467452396</v>
      </c>
      <c r="O7" s="132">
        <f>IF(SER_hh_fec_in!O7=0,0,11630*1000*SER_hh_fec_in!O7/SER_hh_num_in!O7)</f>
        <v>158889.21147191722</v>
      </c>
      <c r="P7" s="132">
        <f>IF(SER_hh_fec_in!P7=0,0,11630*1000*SER_hh_fec_in!P7/SER_hh_num_in!P7)</f>
        <v>0</v>
      </c>
      <c r="Q7" s="132">
        <f>IF(SER_hh_fec_in!Q7=0,0,11630*1000*SER_hh_fec_in!Q7/SER_hh_num_in!Q7)</f>
        <v>0</v>
      </c>
      <c r="R7" s="132">
        <f>IF(SER_hh_fec_in!R7=0,0,11630*1000*SER_hh_fec_in!R7/SER_hh_num_in!R7)</f>
        <v>0</v>
      </c>
      <c r="S7" s="132">
        <f>IF(SER_hh_fec_in!S7=0,0,11630*1000*SER_hh_fec_in!S7/SER_hh_num_in!S7)</f>
        <v>0</v>
      </c>
      <c r="T7" s="132">
        <f>IF(SER_hh_fec_in!T7=0,0,11630*1000*SER_hh_fec_in!T7/SER_hh_num_in!T7)</f>
        <v>0</v>
      </c>
      <c r="U7" s="132">
        <f>IF(SER_hh_fec_in!U7=0,0,11630*1000*SER_hh_fec_in!U7/SER_hh_num_in!U7)</f>
        <v>0</v>
      </c>
      <c r="V7" s="132">
        <f>IF(SER_hh_fec_in!V7=0,0,11630*1000*SER_hh_fec_in!V7/SER_hh_num_in!V7)</f>
        <v>0</v>
      </c>
      <c r="W7" s="132">
        <f>IF(SER_hh_fec_in!W7=0,0,11630*1000*SER_hh_fec_in!W7/SER_hh_num_in!W7)</f>
        <v>73369.252418958975</v>
      </c>
      <c r="X7" s="132">
        <f>IF(SER_hh_fec_in!X7=0,0,11630*1000*SER_hh_fec_in!X7/SER_hh_num_in!X7)</f>
        <v>69089.055465796162</v>
      </c>
      <c r="Y7" s="132">
        <f>IF(SER_hh_fec_in!Y7=0,0,11630*1000*SER_hh_fec_in!Y7/SER_hh_num_in!Y7)</f>
        <v>70412.338505669613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0</v>
      </c>
      <c r="D8" s="132">
        <f>IF(SER_hh_fec_in!D8=0,0,11630*1000*SER_hh_fec_in!D8/SER_hh_num_in!D8)</f>
        <v>0</v>
      </c>
      <c r="E8" s="132">
        <f>IF(SER_hh_fec_in!E8=0,0,11630*1000*SER_hh_fec_in!E8/SER_hh_num_in!E8)</f>
        <v>0</v>
      </c>
      <c r="F8" s="132">
        <f>IF(SER_hh_fec_in!F8=0,0,11630*1000*SER_hh_fec_in!F8/SER_hh_num_in!F8)</f>
        <v>0</v>
      </c>
      <c r="G8" s="132">
        <f>IF(SER_hh_fec_in!G8=0,0,11630*1000*SER_hh_fec_in!G8/SER_hh_num_in!G8)</f>
        <v>0</v>
      </c>
      <c r="H8" s="132">
        <f>IF(SER_hh_fec_in!H8=0,0,11630*1000*SER_hh_fec_in!H8/SER_hh_num_in!H8)</f>
        <v>0</v>
      </c>
      <c r="I8" s="132">
        <f>IF(SER_hh_fec_in!I8=0,0,11630*1000*SER_hh_fec_in!I8/SER_hh_num_in!I8)</f>
        <v>0</v>
      </c>
      <c r="J8" s="132">
        <f>IF(SER_hh_fec_in!J8=0,0,11630*1000*SER_hh_fec_in!J8/SER_hh_num_in!J8)</f>
        <v>0</v>
      </c>
      <c r="K8" s="132">
        <f>IF(SER_hh_fec_in!K8=0,0,11630*1000*SER_hh_fec_in!K8/SER_hh_num_in!K8)</f>
        <v>0</v>
      </c>
      <c r="L8" s="132">
        <f>IF(SER_hh_fec_in!L8=0,0,11630*1000*SER_hh_fec_in!L8/SER_hh_num_in!L8)</f>
        <v>0</v>
      </c>
      <c r="M8" s="132">
        <f>IF(SER_hh_fec_in!M8=0,0,11630*1000*SER_hh_fec_in!M8/SER_hh_num_in!M8)</f>
        <v>0</v>
      </c>
      <c r="N8" s="132">
        <f>IF(SER_hh_fec_in!N8=0,0,11630*1000*SER_hh_fec_in!N8/SER_hh_num_in!N8)</f>
        <v>0</v>
      </c>
      <c r="O8" s="132">
        <f>IF(SER_hh_fec_in!O8=0,0,11630*1000*SER_hh_fec_in!O8/SER_hh_num_in!O8)</f>
        <v>0</v>
      </c>
      <c r="P8" s="132">
        <f>IF(SER_hh_fec_in!P8=0,0,11630*1000*SER_hh_fec_in!P8/SER_hh_num_in!P8)</f>
        <v>0</v>
      </c>
      <c r="Q8" s="132">
        <f>IF(SER_hh_fec_in!Q8=0,0,11630*1000*SER_hh_fec_in!Q8/SER_hh_num_in!Q8)</f>
        <v>0</v>
      </c>
      <c r="R8" s="132">
        <f>IF(SER_hh_fec_in!R8=0,0,11630*1000*SER_hh_fec_in!R8/SER_hh_num_in!R8)</f>
        <v>0</v>
      </c>
      <c r="S8" s="132">
        <f>IF(SER_hh_fec_in!S8=0,0,11630*1000*SER_hh_fec_in!S8/SER_hh_num_in!S8)</f>
        <v>0</v>
      </c>
      <c r="T8" s="132">
        <f>IF(SER_hh_fec_in!T8=0,0,11630*1000*SER_hh_fec_in!T8/SER_hh_num_in!T8)</f>
        <v>0</v>
      </c>
      <c r="U8" s="132">
        <f>IF(SER_hh_fec_in!U8=0,0,11630*1000*SER_hh_fec_in!U8/SER_hh_num_in!U8)</f>
        <v>0</v>
      </c>
      <c r="V8" s="132">
        <f>IF(SER_hh_fec_in!V8=0,0,11630*1000*SER_hh_fec_in!V8/SER_hh_num_in!V8)</f>
        <v>0</v>
      </c>
      <c r="W8" s="132">
        <f>IF(SER_hh_fec_in!W8=0,0,11630*1000*SER_hh_fec_in!W8/SER_hh_num_in!W8)</f>
        <v>0</v>
      </c>
      <c r="X8" s="132">
        <f>IF(SER_hh_fec_in!X8=0,0,11630*1000*SER_hh_fec_in!X8/SER_hh_num_in!X8)</f>
        <v>0</v>
      </c>
      <c r="Y8" s="132">
        <f>IF(SER_hh_fec_in!Y8=0,0,11630*1000*SER_hh_fec_in!Y8/SER_hh_num_in!Y8)</f>
        <v>0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188216.65678950568</v>
      </c>
      <c r="D9" s="132">
        <f>IF(SER_hh_fec_in!D9=0,0,11630*1000*SER_hh_fec_in!D9/SER_hh_num_in!D9)</f>
        <v>132525.24524548365</v>
      </c>
      <c r="E9" s="132">
        <f>IF(SER_hh_fec_in!E9=0,0,11630*1000*SER_hh_fec_in!E9/SER_hh_num_in!E9)</f>
        <v>259981.08091191261</v>
      </c>
      <c r="F9" s="132">
        <f>IF(SER_hh_fec_in!F9=0,0,11630*1000*SER_hh_fec_in!F9/SER_hh_num_in!F9)</f>
        <v>225833.53361786742</v>
      </c>
      <c r="G9" s="132">
        <f>IF(SER_hh_fec_in!G9=0,0,11630*1000*SER_hh_fec_in!G9/SER_hh_num_in!G9)</f>
        <v>0</v>
      </c>
      <c r="H9" s="132">
        <f>IF(SER_hh_fec_in!H9=0,0,11630*1000*SER_hh_fec_in!H9/SER_hh_num_in!H9)</f>
        <v>0</v>
      </c>
      <c r="I9" s="132">
        <f>IF(SER_hh_fec_in!I9=0,0,11630*1000*SER_hh_fec_in!I9/SER_hh_num_in!I9)</f>
        <v>0</v>
      </c>
      <c r="J9" s="132">
        <f>IF(SER_hh_fec_in!J9=0,0,11630*1000*SER_hh_fec_in!J9/SER_hh_num_in!J9)</f>
        <v>0</v>
      </c>
      <c r="K9" s="132">
        <f>IF(SER_hh_fec_in!K9=0,0,11630*1000*SER_hh_fec_in!K9/SER_hh_num_in!K9)</f>
        <v>0</v>
      </c>
      <c r="L9" s="132">
        <f>IF(SER_hh_fec_in!L9=0,0,11630*1000*SER_hh_fec_in!L9/SER_hh_num_in!L9)</f>
        <v>0</v>
      </c>
      <c r="M9" s="132">
        <f>IF(SER_hh_fec_in!M9=0,0,11630*1000*SER_hh_fec_in!M9/SER_hh_num_in!M9)</f>
        <v>155467.52595110526</v>
      </c>
      <c r="N9" s="132">
        <f>IF(SER_hh_fec_in!N9=0,0,11630*1000*SER_hh_fec_in!N9/SER_hh_num_in!N9)</f>
        <v>138185.98404289901</v>
      </c>
      <c r="O9" s="132">
        <f>IF(SER_hh_fec_in!O9=0,0,11630*1000*SER_hh_fec_in!O9/SER_hh_num_in!O9)</f>
        <v>133424.18064603044</v>
      </c>
      <c r="P9" s="132">
        <f>IF(SER_hh_fec_in!P9=0,0,11630*1000*SER_hh_fec_in!P9/SER_hh_num_in!P9)</f>
        <v>158863.02636246398</v>
      </c>
      <c r="Q9" s="132">
        <f>IF(SER_hh_fec_in!Q9=0,0,11630*1000*SER_hh_fec_in!Q9/SER_hh_num_in!Q9)</f>
        <v>138994.76917889284</v>
      </c>
      <c r="R9" s="132">
        <f>IF(SER_hh_fec_in!R9=0,0,11630*1000*SER_hh_fec_in!R9/SER_hh_num_in!R9)</f>
        <v>147123.39709002461</v>
      </c>
      <c r="S9" s="132">
        <f>IF(SER_hh_fec_in!S9=0,0,11630*1000*SER_hh_fec_in!S9/SER_hh_num_in!S9)</f>
        <v>116760.6532969495</v>
      </c>
      <c r="T9" s="132">
        <f>IF(SER_hh_fec_in!T9=0,0,11630*1000*SER_hh_fec_in!T9/SER_hh_num_in!T9)</f>
        <v>116574.18259210713</v>
      </c>
      <c r="U9" s="132">
        <f>IF(SER_hh_fec_in!U9=0,0,11630*1000*SER_hh_fec_in!U9/SER_hh_num_in!U9)</f>
        <v>100194.02342008875</v>
      </c>
      <c r="V9" s="132">
        <f>IF(SER_hh_fec_in!V9=0,0,11630*1000*SER_hh_fec_in!V9/SER_hh_num_in!V9)</f>
        <v>0</v>
      </c>
      <c r="W9" s="132">
        <f>IF(SER_hh_fec_in!W9=0,0,11630*1000*SER_hh_fec_in!W9/SER_hh_num_in!W9)</f>
        <v>0</v>
      </c>
      <c r="X9" s="132">
        <f>IF(SER_hh_fec_in!X9=0,0,11630*1000*SER_hh_fec_in!X9/SER_hh_num_in!X9)</f>
        <v>0</v>
      </c>
      <c r="Y9" s="132">
        <f>IF(SER_hh_fec_in!Y9=0,0,11630*1000*SER_hh_fec_in!Y9/SER_hh_num_in!Y9)</f>
        <v>0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192966.42016840147</v>
      </c>
      <c r="D10" s="132">
        <f>IF(SER_hh_fec_in!D10=0,0,11630*1000*SER_hh_fec_in!D10/SER_hh_num_in!D10)</f>
        <v>170823.78991764612</v>
      </c>
      <c r="E10" s="132">
        <f>IF(SER_hh_fec_in!E10=0,0,11630*1000*SER_hh_fec_in!E10/SER_hh_num_in!E10)</f>
        <v>165147.93946486185</v>
      </c>
      <c r="F10" s="132">
        <f>IF(SER_hh_fec_in!F10=0,0,11630*1000*SER_hh_fec_in!F10/SER_hh_num_in!F10)</f>
        <v>289882.83045781811</v>
      </c>
      <c r="G10" s="132">
        <f>IF(SER_hh_fec_in!G10=0,0,11630*1000*SER_hh_fec_in!G10/SER_hh_num_in!G10)</f>
        <v>182007.69645243202</v>
      </c>
      <c r="H10" s="132">
        <f>IF(SER_hh_fec_in!H10=0,0,11630*1000*SER_hh_fec_in!H10/SER_hh_num_in!H10)</f>
        <v>207090.32804799461</v>
      </c>
      <c r="I10" s="132">
        <f>IF(SER_hh_fec_in!I10=0,0,11630*1000*SER_hh_fec_in!I10/SER_hh_num_in!I10)</f>
        <v>219556.03443586032</v>
      </c>
      <c r="J10" s="132">
        <f>IF(SER_hh_fec_in!J10=0,0,11630*1000*SER_hh_fec_in!J10/SER_hh_num_in!J10)</f>
        <v>0</v>
      </c>
      <c r="K10" s="132">
        <f>IF(SER_hh_fec_in!K10=0,0,11630*1000*SER_hh_fec_in!K10/SER_hh_num_in!K10)</f>
        <v>0</v>
      </c>
      <c r="L10" s="132">
        <f>IF(SER_hh_fec_in!L10=0,0,11630*1000*SER_hh_fec_in!L10/SER_hh_num_in!L10)</f>
        <v>205848.91145038616</v>
      </c>
      <c r="M10" s="132">
        <f>IF(SER_hh_fec_in!M10=0,0,11630*1000*SER_hh_fec_in!M10/SER_hh_num_in!M10)</f>
        <v>219800.28929447854</v>
      </c>
      <c r="N10" s="132">
        <f>IF(SER_hh_fec_in!N10=0,0,11630*1000*SER_hh_fec_in!N10/SER_hh_num_in!N10)</f>
        <v>0</v>
      </c>
      <c r="O10" s="132">
        <f>IF(SER_hh_fec_in!O10=0,0,11630*1000*SER_hh_fec_in!O10/SER_hh_num_in!O10)</f>
        <v>0</v>
      </c>
      <c r="P10" s="132">
        <f>IF(SER_hh_fec_in!P10=0,0,11630*1000*SER_hh_fec_in!P10/SER_hh_num_in!P10)</f>
        <v>0</v>
      </c>
      <c r="Q10" s="132">
        <f>IF(SER_hh_fec_in!Q10=0,0,11630*1000*SER_hh_fec_in!Q10/SER_hh_num_in!Q10)</f>
        <v>0</v>
      </c>
      <c r="R10" s="132">
        <f>IF(SER_hh_fec_in!R10=0,0,11630*1000*SER_hh_fec_in!R10/SER_hh_num_in!R10)</f>
        <v>166439.60313478418</v>
      </c>
      <c r="S10" s="132">
        <f>IF(SER_hh_fec_in!S10=0,0,11630*1000*SER_hh_fec_in!S10/SER_hh_num_in!S10)</f>
        <v>170809.09171165182</v>
      </c>
      <c r="T10" s="132">
        <f>IF(SER_hh_fec_in!T10=0,0,11630*1000*SER_hh_fec_in!T10/SER_hh_num_in!T10)</f>
        <v>141398.05381090124</v>
      </c>
      <c r="U10" s="132">
        <f>IF(SER_hh_fec_in!U10=0,0,11630*1000*SER_hh_fec_in!U10/SER_hh_num_in!U10)</f>
        <v>143079.78336627808</v>
      </c>
      <c r="V10" s="132">
        <f>IF(SER_hh_fec_in!V10=0,0,11630*1000*SER_hh_fec_in!V10/SER_hh_num_in!V10)</f>
        <v>162708.74556092644</v>
      </c>
      <c r="W10" s="132">
        <f>IF(SER_hh_fec_in!W10=0,0,11630*1000*SER_hh_fec_in!W10/SER_hh_num_in!W10)</f>
        <v>115003.56334262354</v>
      </c>
      <c r="X10" s="132">
        <f>IF(SER_hh_fec_in!X10=0,0,11630*1000*SER_hh_fec_in!X10/SER_hh_num_in!X10)</f>
        <v>115255.90062723456</v>
      </c>
      <c r="Y10" s="132">
        <f>IF(SER_hh_fec_in!Y10=0,0,11630*1000*SER_hh_fec_in!Y10/SER_hh_num_in!Y10)</f>
        <v>0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0</v>
      </c>
      <c r="J11" s="132">
        <f>IF(SER_hh_fec_in!J11=0,0,11630*1000*SER_hh_fec_in!J11/SER_hh_num_in!J11)</f>
        <v>0</v>
      </c>
      <c r="K11" s="132">
        <f>IF(SER_hh_fec_in!K11=0,0,11630*1000*SER_hh_fec_in!K11/SER_hh_num_in!K11)</f>
        <v>0</v>
      </c>
      <c r="L11" s="132">
        <f>IF(SER_hh_fec_in!L11=0,0,11630*1000*SER_hh_fec_in!L11/SER_hh_num_in!L11)</f>
        <v>0</v>
      </c>
      <c r="M11" s="132">
        <f>IF(SER_hh_fec_in!M11=0,0,11630*1000*SER_hh_fec_in!M11/SER_hh_num_in!M11)</f>
        <v>0</v>
      </c>
      <c r="N11" s="132">
        <f>IF(SER_hh_fec_in!N11=0,0,11630*1000*SER_hh_fec_in!N11/SER_hh_num_in!N11)</f>
        <v>0</v>
      </c>
      <c r="O11" s="132">
        <f>IF(SER_hh_fec_in!O11=0,0,11630*1000*SER_hh_fec_in!O11/SER_hh_num_in!O11)</f>
        <v>0</v>
      </c>
      <c r="P11" s="132">
        <f>IF(SER_hh_fec_in!P11=0,0,11630*1000*SER_hh_fec_in!P11/SER_hh_num_in!P11)</f>
        <v>0</v>
      </c>
      <c r="Q11" s="132">
        <f>IF(SER_hh_fec_in!Q11=0,0,11630*1000*SER_hh_fec_in!Q11/SER_hh_num_in!Q11)</f>
        <v>0</v>
      </c>
      <c r="R11" s="132">
        <f>IF(SER_hh_fec_in!R11=0,0,11630*1000*SER_hh_fec_in!R11/SER_hh_num_in!R11)</f>
        <v>0</v>
      </c>
      <c r="S11" s="132">
        <f>IF(SER_hh_fec_in!S11=0,0,11630*1000*SER_hh_fec_in!S11/SER_hh_num_in!S11)</f>
        <v>0</v>
      </c>
      <c r="T11" s="132">
        <f>IF(SER_hh_fec_in!T11=0,0,11630*1000*SER_hh_fec_in!T11/SER_hh_num_in!T11)</f>
        <v>0</v>
      </c>
      <c r="U11" s="132">
        <f>IF(SER_hh_fec_in!U11=0,0,11630*1000*SER_hh_fec_in!U11/SER_hh_num_in!U11)</f>
        <v>0</v>
      </c>
      <c r="V11" s="132">
        <f>IF(SER_hh_fec_in!V11=0,0,11630*1000*SER_hh_fec_in!V11/SER_hh_num_in!V11)</f>
        <v>0</v>
      </c>
      <c r="W11" s="132">
        <f>IF(SER_hh_fec_in!W11=0,0,11630*1000*SER_hh_fec_in!W11/SER_hh_num_in!W11)</f>
        <v>0</v>
      </c>
      <c r="X11" s="132">
        <f>IF(SER_hh_fec_in!X11=0,0,11630*1000*SER_hh_fec_in!X11/SER_hh_num_in!X11)</f>
        <v>0</v>
      </c>
      <c r="Y11" s="132">
        <f>IF(SER_hh_fec_in!Y11=0,0,11630*1000*SER_hh_fec_in!Y11/SER_hh_num_in!Y11)</f>
        <v>0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102171.34143302037</v>
      </c>
      <c r="D12" s="132">
        <f>IF(SER_hh_fec_in!D12=0,0,11630*1000*SER_hh_fec_in!D12/SER_hh_num_in!D12)</f>
        <v>122922.98587749076</v>
      </c>
      <c r="E12" s="132">
        <f>IF(SER_hh_fec_in!E12=0,0,11630*1000*SER_hh_fec_in!E12/SER_hh_num_in!E12)</f>
        <v>119890.45009557814</v>
      </c>
      <c r="F12" s="132">
        <f>IF(SER_hh_fec_in!F12=0,0,11630*1000*SER_hh_fec_in!F12/SER_hh_num_in!F12)</f>
        <v>145671.88954619679</v>
      </c>
      <c r="G12" s="132">
        <f>IF(SER_hh_fec_in!G12=0,0,11630*1000*SER_hh_fec_in!G12/SER_hh_num_in!G12)</f>
        <v>157314.73969430031</v>
      </c>
      <c r="H12" s="132">
        <f>IF(SER_hh_fec_in!H12=0,0,11630*1000*SER_hh_fec_in!H12/SER_hh_num_in!H12)</f>
        <v>132726.83985383611</v>
      </c>
      <c r="I12" s="132">
        <f>IF(SER_hh_fec_in!I12=0,0,11630*1000*SER_hh_fec_in!I12/SER_hh_num_in!I12)</f>
        <v>122954.46832922667</v>
      </c>
      <c r="J12" s="132">
        <f>IF(SER_hh_fec_in!J12=0,0,11630*1000*SER_hh_fec_in!J12/SER_hh_num_in!J12)</f>
        <v>149509.2526884636</v>
      </c>
      <c r="K12" s="132">
        <f>IF(SER_hh_fec_in!K12=0,0,11630*1000*SER_hh_fec_in!K12/SER_hh_num_in!K12)</f>
        <v>143944.82959382582</v>
      </c>
      <c r="L12" s="132">
        <f>IF(SER_hh_fec_in!L12=0,0,11630*1000*SER_hh_fec_in!L12/SER_hh_num_in!L12)</f>
        <v>148931.16440842638</v>
      </c>
      <c r="M12" s="132">
        <f>IF(SER_hh_fec_in!M12=0,0,11630*1000*SER_hh_fec_in!M12/SER_hh_num_in!M12)</f>
        <v>112411.0232695451</v>
      </c>
      <c r="N12" s="132">
        <f>IF(SER_hh_fec_in!N12=0,0,11630*1000*SER_hh_fec_in!N12/SER_hh_num_in!N12)</f>
        <v>122984.88596200838</v>
      </c>
      <c r="O12" s="132">
        <f>IF(SER_hh_fec_in!O12=0,0,11630*1000*SER_hh_fec_in!O12/SER_hh_num_in!O12)</f>
        <v>111612.6412079786</v>
      </c>
      <c r="P12" s="132">
        <f>IF(SER_hh_fec_in!P12=0,0,11630*1000*SER_hh_fec_in!P12/SER_hh_num_in!P12)</f>
        <v>117183.86781674897</v>
      </c>
      <c r="Q12" s="132">
        <f>IF(SER_hh_fec_in!Q12=0,0,11630*1000*SER_hh_fec_in!Q12/SER_hh_num_in!Q12)</f>
        <v>110533.17449998665</v>
      </c>
      <c r="R12" s="132">
        <f>IF(SER_hh_fec_in!R12=0,0,11630*1000*SER_hh_fec_in!R12/SER_hh_num_in!R12)</f>
        <v>117704.52745793734</v>
      </c>
      <c r="S12" s="132">
        <f>IF(SER_hh_fec_in!S12=0,0,11630*1000*SER_hh_fec_in!S12/SER_hh_num_in!S12)</f>
        <v>106034.56541609613</v>
      </c>
      <c r="T12" s="132">
        <f>IF(SER_hh_fec_in!T12=0,0,11630*1000*SER_hh_fec_in!T12/SER_hh_num_in!T12)</f>
        <v>102936.32392723566</v>
      </c>
      <c r="U12" s="132">
        <f>IF(SER_hh_fec_in!U12=0,0,11630*1000*SER_hh_fec_in!U12/SER_hh_num_in!U12)</f>
        <v>81653.591191065425</v>
      </c>
      <c r="V12" s="132">
        <f>IF(SER_hh_fec_in!V12=0,0,11630*1000*SER_hh_fec_in!V12/SER_hh_num_in!V12)</f>
        <v>80095.013663874939</v>
      </c>
      <c r="W12" s="132">
        <f>IF(SER_hh_fec_in!W12=0,0,11630*1000*SER_hh_fec_in!W12/SER_hh_num_in!W12)</f>
        <v>66899.504662049978</v>
      </c>
      <c r="X12" s="132">
        <f>IF(SER_hh_fec_in!X12=0,0,11630*1000*SER_hh_fec_in!X12/SER_hh_num_in!X12)</f>
        <v>62021.43839401209</v>
      </c>
      <c r="Y12" s="132">
        <f>IF(SER_hh_fec_in!Y12=0,0,11630*1000*SER_hh_fec_in!Y12/SER_hh_num_in!Y12)</f>
        <v>57135.951651899297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0</v>
      </c>
      <c r="D13" s="132">
        <f>IF(SER_hh_fec_in!D13=0,0,11630*1000*SER_hh_fec_in!D13/SER_hh_num_in!D13)</f>
        <v>0</v>
      </c>
      <c r="E13" s="132">
        <f>IF(SER_hh_fec_in!E13=0,0,11630*1000*SER_hh_fec_in!E13/SER_hh_num_in!E13)</f>
        <v>0</v>
      </c>
      <c r="F13" s="132">
        <f>IF(SER_hh_fec_in!F13=0,0,11630*1000*SER_hh_fec_in!F13/SER_hh_num_in!F13)</f>
        <v>0</v>
      </c>
      <c r="G13" s="132">
        <f>IF(SER_hh_fec_in!G13=0,0,11630*1000*SER_hh_fec_in!G13/SER_hh_num_in!G13)</f>
        <v>0</v>
      </c>
      <c r="H13" s="132">
        <f>IF(SER_hh_fec_in!H13=0,0,11630*1000*SER_hh_fec_in!H13/SER_hh_num_in!H13)</f>
        <v>0</v>
      </c>
      <c r="I13" s="132">
        <f>IF(SER_hh_fec_in!I13=0,0,11630*1000*SER_hh_fec_in!I13/SER_hh_num_in!I13)</f>
        <v>0</v>
      </c>
      <c r="J13" s="132">
        <f>IF(SER_hh_fec_in!J13=0,0,11630*1000*SER_hh_fec_in!J13/SER_hh_num_in!J13)</f>
        <v>0</v>
      </c>
      <c r="K13" s="132">
        <f>IF(SER_hh_fec_in!K13=0,0,11630*1000*SER_hh_fec_in!K13/SER_hh_num_in!K13)</f>
        <v>0</v>
      </c>
      <c r="L13" s="132">
        <f>IF(SER_hh_fec_in!L13=0,0,11630*1000*SER_hh_fec_in!L13/SER_hh_num_in!L13)</f>
        <v>0</v>
      </c>
      <c r="M13" s="132">
        <f>IF(SER_hh_fec_in!M13=0,0,11630*1000*SER_hh_fec_in!M13/SER_hh_num_in!M13)</f>
        <v>0</v>
      </c>
      <c r="N13" s="132">
        <f>IF(SER_hh_fec_in!N13=0,0,11630*1000*SER_hh_fec_in!N13/SER_hh_num_in!N13)</f>
        <v>0</v>
      </c>
      <c r="O13" s="132">
        <f>IF(SER_hh_fec_in!O13=0,0,11630*1000*SER_hh_fec_in!O13/SER_hh_num_in!O13)</f>
        <v>0</v>
      </c>
      <c r="P13" s="132">
        <f>IF(SER_hh_fec_in!P13=0,0,11630*1000*SER_hh_fec_in!P13/SER_hh_num_in!P13)</f>
        <v>0</v>
      </c>
      <c r="Q13" s="132">
        <f>IF(SER_hh_fec_in!Q13=0,0,11630*1000*SER_hh_fec_in!Q13/SER_hh_num_in!Q13)</f>
        <v>0</v>
      </c>
      <c r="R13" s="132">
        <f>IF(SER_hh_fec_in!R13=0,0,11630*1000*SER_hh_fec_in!R13/SER_hh_num_in!R13)</f>
        <v>0</v>
      </c>
      <c r="S13" s="132">
        <f>IF(SER_hh_fec_in!S13=0,0,11630*1000*SER_hh_fec_in!S13/SER_hh_num_in!S13)</f>
        <v>0</v>
      </c>
      <c r="T13" s="132">
        <f>IF(SER_hh_fec_in!T13=0,0,11630*1000*SER_hh_fec_in!T13/SER_hh_num_in!T13)</f>
        <v>0</v>
      </c>
      <c r="U13" s="132">
        <f>IF(SER_hh_fec_in!U13=0,0,11630*1000*SER_hh_fec_in!U13/SER_hh_num_in!U13)</f>
        <v>0</v>
      </c>
      <c r="V13" s="132">
        <f>IF(SER_hh_fec_in!V13=0,0,11630*1000*SER_hh_fec_in!V13/SER_hh_num_in!V13)</f>
        <v>0</v>
      </c>
      <c r="W13" s="132">
        <f>IF(SER_hh_fec_in!W13=0,0,11630*1000*SER_hh_fec_in!W13/SER_hh_num_in!W13)</f>
        <v>0</v>
      </c>
      <c r="X13" s="132">
        <f>IF(SER_hh_fec_in!X13=0,0,11630*1000*SER_hh_fec_in!X13/SER_hh_num_in!X13)</f>
        <v>0</v>
      </c>
      <c r="Y13" s="132">
        <f>IF(SER_hh_fec_in!Y13=0,0,11630*1000*SER_hh_fec_in!Y13/SER_hh_num_in!Y13)</f>
        <v>0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132633.71192319371</v>
      </c>
      <c r="D14" s="65">
        <f>IF(SER_hh_fec_in!D14=0,0,11630*1000*SER_hh_fec_in!D14/SER_hh_num_in!D14)</f>
        <v>141544.33524984188</v>
      </c>
      <c r="E14" s="65">
        <f>IF(SER_hh_fec_in!E14=0,0,11630*1000*SER_hh_fec_in!E14/SER_hh_num_in!E14)</f>
        <v>134173.07086663268</v>
      </c>
      <c r="F14" s="65">
        <f>IF(SER_hh_fec_in!F14=0,0,11630*1000*SER_hh_fec_in!F14/SER_hh_num_in!F14)</f>
        <v>159049.76622368486</v>
      </c>
      <c r="G14" s="65">
        <f>IF(SER_hh_fec_in!G14=0,0,11630*1000*SER_hh_fec_in!G14/SER_hh_num_in!G14)</f>
        <v>142354.93035873477</v>
      </c>
      <c r="H14" s="65">
        <f>IF(SER_hh_fec_in!H14=0,0,11630*1000*SER_hh_fec_in!H14/SER_hh_num_in!H14)</f>
        <v>150294.92437571104</v>
      </c>
      <c r="I14" s="65">
        <f>IF(SER_hh_fec_in!I14=0,0,11630*1000*SER_hh_fec_in!I14/SER_hh_num_in!I14)</f>
        <v>152693.19714258192</v>
      </c>
      <c r="J14" s="65">
        <f>IF(SER_hh_fec_in!J14=0,0,11630*1000*SER_hh_fec_in!J14/SER_hh_num_in!J14)</f>
        <v>167735.15164273905</v>
      </c>
      <c r="K14" s="65">
        <f>IF(SER_hh_fec_in!K14=0,0,11630*1000*SER_hh_fec_in!K14/SER_hh_num_in!K14)</f>
        <v>160454.58061923264</v>
      </c>
      <c r="L14" s="65">
        <f>IF(SER_hh_fec_in!L14=0,0,11630*1000*SER_hh_fec_in!L14/SER_hh_num_in!L14)</f>
        <v>145957.94016104587</v>
      </c>
      <c r="M14" s="65">
        <f>IF(SER_hh_fec_in!M14=0,0,11630*1000*SER_hh_fec_in!M14/SER_hh_num_in!M14)</f>
        <v>116959.24103735514</v>
      </c>
      <c r="N14" s="65">
        <f>IF(SER_hh_fec_in!N14=0,0,11630*1000*SER_hh_fec_in!N14/SER_hh_num_in!N14)</f>
        <v>131535.99867144754</v>
      </c>
      <c r="O14" s="65">
        <f>IF(SER_hh_fec_in!O14=0,0,11630*1000*SER_hh_fec_in!O14/SER_hh_num_in!O14)</f>
        <v>117374.05790212005</v>
      </c>
      <c r="P14" s="65">
        <f>IF(SER_hh_fec_in!P14=0,0,11630*1000*SER_hh_fec_in!P14/SER_hh_num_in!P14)</f>
        <v>136744.67855332798</v>
      </c>
      <c r="Q14" s="65">
        <f>IF(SER_hh_fec_in!Q14=0,0,11630*1000*SER_hh_fec_in!Q14/SER_hh_num_in!Q14)</f>
        <v>123324.22785852189</v>
      </c>
      <c r="R14" s="65">
        <f>IF(SER_hh_fec_in!R14=0,0,11630*1000*SER_hh_fec_in!R14/SER_hh_num_in!R14)</f>
        <v>133117.68828157065</v>
      </c>
      <c r="S14" s="65">
        <f>IF(SER_hh_fec_in!S14=0,0,11630*1000*SER_hh_fec_in!S14/SER_hh_num_in!S14)</f>
        <v>95907.521614066922</v>
      </c>
      <c r="T14" s="65">
        <f>IF(SER_hh_fec_in!T14=0,0,11630*1000*SER_hh_fec_in!T14/SER_hh_num_in!T14)</f>
        <v>102473.76394223934</v>
      </c>
      <c r="U14" s="65">
        <f>IF(SER_hh_fec_in!U14=0,0,11630*1000*SER_hh_fec_in!U14/SER_hh_num_in!U14)</f>
        <v>89082.205976226032</v>
      </c>
      <c r="V14" s="65">
        <f>IF(SER_hh_fec_in!V14=0,0,11630*1000*SER_hh_fec_in!V14/SER_hh_num_in!V14)</f>
        <v>77294.039708671131</v>
      </c>
      <c r="W14" s="65">
        <f>IF(SER_hh_fec_in!W14=0,0,11630*1000*SER_hh_fec_in!W14/SER_hh_num_in!W14)</f>
        <v>76454.807639692997</v>
      </c>
      <c r="X14" s="65">
        <f>IF(SER_hh_fec_in!X14=0,0,11630*1000*SER_hh_fec_in!X14/SER_hh_num_in!X14)</f>
        <v>59940.329681356488</v>
      </c>
      <c r="Y14" s="65">
        <f>IF(SER_hh_fec_in!Y14=0,0,11630*1000*SER_hh_fec_in!Y14/SER_hh_num_in!Y14)</f>
        <v>0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1271.0652307082848</v>
      </c>
      <c r="D15" s="134">
        <f>IF(SER_hh_fec_in!D15=0,0,11630*1000*SER_hh_fec_in!D15/SER_hh_num_in!D15)</f>
        <v>1028.5818085998367</v>
      </c>
      <c r="E15" s="134">
        <f>IF(SER_hh_fec_in!E15=0,0,11630*1000*SER_hh_fec_in!E15/SER_hh_num_in!E15)</f>
        <v>1659.8030944510451</v>
      </c>
      <c r="F15" s="134">
        <f>IF(SER_hh_fec_in!F15=0,0,11630*1000*SER_hh_fec_in!F15/SER_hh_num_in!F15)</f>
        <v>793.09390511050947</v>
      </c>
      <c r="G15" s="134">
        <f>IF(SER_hh_fec_in!G15=0,0,11630*1000*SER_hh_fec_in!G15/SER_hh_num_in!G15)</f>
        <v>587.95813083604423</v>
      </c>
      <c r="H15" s="134">
        <f>IF(SER_hh_fec_in!H15=0,0,11630*1000*SER_hh_fec_in!H15/SER_hh_num_in!H15)</f>
        <v>525.36422120474333</v>
      </c>
      <c r="I15" s="134">
        <f>IF(SER_hh_fec_in!I15=0,0,11630*1000*SER_hh_fec_in!I15/SER_hh_num_in!I15)</f>
        <v>698.11668388095779</v>
      </c>
      <c r="J15" s="134">
        <f>IF(SER_hh_fec_in!J15=0,0,11630*1000*SER_hh_fec_in!J15/SER_hh_num_in!J15)</f>
        <v>777.35851314606225</v>
      </c>
      <c r="K15" s="134">
        <f>IF(SER_hh_fec_in!K15=0,0,11630*1000*SER_hh_fec_in!K15/SER_hh_num_in!K15)</f>
        <v>844.7824824557058</v>
      </c>
      <c r="L15" s="134">
        <f>IF(SER_hh_fec_in!L15=0,0,11630*1000*SER_hh_fec_in!L15/SER_hh_num_in!L15)</f>
        <v>756.60607491670964</v>
      </c>
      <c r="M15" s="134">
        <f>IF(SER_hh_fec_in!M15=0,0,11630*1000*SER_hh_fec_in!M15/SER_hh_num_in!M15)</f>
        <v>1080.1608895153777</v>
      </c>
      <c r="N15" s="134">
        <f>IF(SER_hh_fec_in!N15=0,0,11630*1000*SER_hh_fec_in!N15/SER_hh_num_in!N15)</f>
        <v>1025.3146608715685</v>
      </c>
      <c r="O15" s="134">
        <f>IF(SER_hh_fec_in!O15=0,0,11630*1000*SER_hh_fec_in!O15/SER_hh_num_in!O15)</f>
        <v>1205.3382376650225</v>
      </c>
      <c r="P15" s="134">
        <f>IF(SER_hh_fec_in!P15=0,0,11630*1000*SER_hh_fec_in!P15/SER_hh_num_in!P15)</f>
        <v>1648.0568510365229</v>
      </c>
      <c r="Q15" s="134">
        <f>IF(SER_hh_fec_in!Q15=0,0,11630*1000*SER_hh_fec_in!Q15/SER_hh_num_in!Q15)</f>
        <v>969.68094861197278</v>
      </c>
      <c r="R15" s="134">
        <f>IF(SER_hh_fec_in!R15=0,0,11630*1000*SER_hh_fec_in!R15/SER_hh_num_in!R15)</f>
        <v>983.68039929806537</v>
      </c>
      <c r="S15" s="134">
        <f>IF(SER_hh_fec_in!S15=0,0,11630*1000*SER_hh_fec_in!S15/SER_hh_num_in!S15)</f>
        <v>663.06735656646219</v>
      </c>
      <c r="T15" s="134">
        <f>IF(SER_hh_fec_in!T15=0,0,11630*1000*SER_hh_fec_in!T15/SER_hh_num_in!T15)</f>
        <v>697.97655796985919</v>
      </c>
      <c r="U15" s="134">
        <f>IF(SER_hh_fec_in!U15=0,0,11630*1000*SER_hh_fec_in!U15/SER_hh_num_in!U15)</f>
        <v>559.60838308966731</v>
      </c>
      <c r="V15" s="134">
        <f>IF(SER_hh_fec_in!V15=0,0,11630*1000*SER_hh_fec_in!V15/SER_hh_num_in!V15)</f>
        <v>289.06095801939961</v>
      </c>
      <c r="W15" s="134">
        <f>IF(SER_hh_fec_in!W15=0,0,11630*1000*SER_hh_fec_in!W15/SER_hh_num_in!W15)</f>
        <v>286.79432929286457</v>
      </c>
      <c r="X15" s="134">
        <f>IF(SER_hh_fec_in!X15=0,0,11630*1000*SER_hh_fec_in!X15/SER_hh_num_in!X15)</f>
        <v>286.6014930332023</v>
      </c>
      <c r="Y15" s="134">
        <f>IF(SER_hh_fec_in!Y15=0,0,11630*1000*SER_hh_fec_in!Y15/SER_hh_num_in!Y15)</f>
        <v>296.52755279287419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7336.0431825338501</v>
      </c>
      <c r="D16" s="130">
        <f>IF(SER_hh_fec_in!D16=0,0,11630*1000*SER_hh_fec_in!D16/SER_hh_num_in!D16)</f>
        <v>6944.8140555563705</v>
      </c>
      <c r="E16" s="130">
        <f>IF(SER_hh_fec_in!E16=0,0,11630*1000*SER_hh_fec_in!E16/SER_hh_num_in!E16)</f>
        <v>6920.5199719374832</v>
      </c>
      <c r="F16" s="130">
        <f>IF(SER_hh_fec_in!F16=0,0,11630*1000*SER_hh_fec_in!F16/SER_hh_num_in!F16)</f>
        <v>6273.803727678327</v>
      </c>
      <c r="G16" s="130">
        <f>IF(SER_hh_fec_in!G16=0,0,11630*1000*SER_hh_fec_in!G16/SER_hh_num_in!G16)</f>
        <v>6005.4746505821013</v>
      </c>
      <c r="H16" s="130">
        <f>IF(SER_hh_fec_in!H16=0,0,11630*1000*SER_hh_fec_in!H16/SER_hh_num_in!H16)</f>
        <v>5843.2648106356064</v>
      </c>
      <c r="I16" s="130">
        <f>IF(SER_hh_fec_in!I16=0,0,11630*1000*SER_hh_fec_in!I16/SER_hh_num_in!I16)</f>
        <v>5511.8287485484498</v>
      </c>
      <c r="J16" s="130">
        <f>IF(SER_hh_fec_in!J16=0,0,11630*1000*SER_hh_fec_in!J16/SER_hh_num_in!J16)</f>
        <v>5273.0158425222889</v>
      </c>
      <c r="K16" s="130">
        <f>IF(SER_hh_fec_in!K16=0,0,11630*1000*SER_hh_fec_in!K16/SER_hh_num_in!K16)</f>
        <v>5014.6518880109343</v>
      </c>
      <c r="L16" s="130">
        <f>IF(SER_hh_fec_in!L16=0,0,11630*1000*SER_hh_fec_in!L16/SER_hh_num_in!L16)</f>
        <v>5578.1652183222714</v>
      </c>
      <c r="M16" s="130">
        <f>IF(SER_hh_fec_in!M16=0,0,11630*1000*SER_hh_fec_in!M16/SER_hh_num_in!M16)</f>
        <v>4844.8477130777355</v>
      </c>
      <c r="N16" s="130">
        <f>IF(SER_hh_fec_in!N16=0,0,11630*1000*SER_hh_fec_in!N16/SER_hh_num_in!N16)</f>
        <v>4414.9139320257736</v>
      </c>
      <c r="O16" s="130">
        <f>IF(SER_hh_fec_in!O16=0,0,11630*1000*SER_hh_fec_in!O16/SER_hh_num_in!O16)</f>
        <v>4137.787728176394</v>
      </c>
      <c r="P16" s="130">
        <f>IF(SER_hh_fec_in!P16=0,0,11630*1000*SER_hh_fec_in!P16/SER_hh_num_in!P16)</f>
        <v>3994.5056318699121</v>
      </c>
      <c r="Q16" s="130">
        <f>IF(SER_hh_fec_in!Q16=0,0,11630*1000*SER_hh_fec_in!Q16/SER_hh_num_in!Q16)</f>
        <v>3754.5646443680562</v>
      </c>
      <c r="R16" s="130">
        <f>IF(SER_hh_fec_in!R16=0,0,11630*1000*SER_hh_fec_in!R16/SER_hh_num_in!R16)</f>
        <v>3662.1582206050462</v>
      </c>
      <c r="S16" s="130">
        <f>IF(SER_hh_fec_in!S16=0,0,11630*1000*SER_hh_fec_in!S16/SER_hh_num_in!S16)</f>
        <v>3570.3567469304808</v>
      </c>
      <c r="T16" s="130">
        <f>IF(SER_hh_fec_in!T16=0,0,11630*1000*SER_hh_fec_in!T16/SER_hh_num_in!T16)</f>
        <v>3731.1092305601378</v>
      </c>
      <c r="U16" s="130">
        <f>IF(SER_hh_fec_in!U16=0,0,11630*1000*SER_hh_fec_in!U16/SER_hh_num_in!U16)</f>
        <v>3396.7595445633488</v>
      </c>
      <c r="V16" s="130">
        <f>IF(SER_hh_fec_in!V16=0,0,11630*1000*SER_hh_fec_in!V16/SER_hh_num_in!V16)</f>
        <v>3194.5726193064634</v>
      </c>
      <c r="W16" s="130">
        <f>IF(SER_hh_fec_in!W16=0,0,11630*1000*SER_hh_fec_in!W16/SER_hh_num_in!W16)</f>
        <v>3332.2524647912783</v>
      </c>
      <c r="X16" s="130">
        <f>IF(SER_hh_fec_in!X16=0,0,11630*1000*SER_hh_fec_in!X16/SER_hh_num_in!X16)</f>
        <v>3353.0464923447803</v>
      </c>
      <c r="Y16" s="130">
        <f>IF(SER_hh_fec_in!Y16=0,0,11630*1000*SER_hh_fec_in!Y16/SER_hh_num_in!Y16)</f>
        <v>3352.1682064566949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0</v>
      </c>
      <c r="D17" s="132">
        <f>IF(SER_hh_fec_in!D17=0,0,11630*1000*SER_hh_fec_in!D17/SER_hh_num_in!D17)</f>
        <v>0</v>
      </c>
      <c r="E17" s="132">
        <f>IF(SER_hh_fec_in!E17=0,0,11630*1000*SER_hh_fec_in!E17/SER_hh_num_in!E17)</f>
        <v>0</v>
      </c>
      <c r="F17" s="132">
        <f>IF(SER_hh_fec_in!F17=0,0,11630*1000*SER_hh_fec_in!F17/SER_hh_num_in!F17)</f>
        <v>0</v>
      </c>
      <c r="G17" s="132">
        <f>IF(SER_hh_fec_in!G17=0,0,11630*1000*SER_hh_fec_in!G17/SER_hh_num_in!G17)</f>
        <v>0</v>
      </c>
      <c r="H17" s="132">
        <f>IF(SER_hh_fec_in!H17=0,0,11630*1000*SER_hh_fec_in!H17/SER_hh_num_in!H17)</f>
        <v>0</v>
      </c>
      <c r="I17" s="132">
        <f>IF(SER_hh_fec_in!I17=0,0,11630*1000*SER_hh_fec_in!I17/SER_hh_num_in!I17)</f>
        <v>0</v>
      </c>
      <c r="J17" s="132">
        <f>IF(SER_hh_fec_in!J17=0,0,11630*1000*SER_hh_fec_in!J17/SER_hh_num_in!J17)</f>
        <v>0</v>
      </c>
      <c r="K17" s="132">
        <f>IF(SER_hh_fec_in!K17=0,0,11630*1000*SER_hh_fec_in!K17/SER_hh_num_in!K17)</f>
        <v>0</v>
      </c>
      <c r="L17" s="132">
        <f>IF(SER_hh_fec_in!L17=0,0,11630*1000*SER_hh_fec_in!L17/SER_hh_num_in!L17)</f>
        <v>0</v>
      </c>
      <c r="M17" s="132">
        <f>IF(SER_hh_fec_in!M17=0,0,11630*1000*SER_hh_fec_in!M17/SER_hh_num_in!M17)</f>
        <v>0</v>
      </c>
      <c r="N17" s="132">
        <f>IF(SER_hh_fec_in!N17=0,0,11630*1000*SER_hh_fec_in!N17/SER_hh_num_in!N17)</f>
        <v>0</v>
      </c>
      <c r="O17" s="132">
        <f>IF(SER_hh_fec_in!O17=0,0,11630*1000*SER_hh_fec_in!O17/SER_hh_num_in!O17)</f>
        <v>0</v>
      </c>
      <c r="P17" s="132">
        <f>IF(SER_hh_fec_in!P17=0,0,11630*1000*SER_hh_fec_in!P17/SER_hh_num_in!P17)</f>
        <v>0</v>
      </c>
      <c r="Q17" s="132">
        <f>IF(SER_hh_fec_in!Q17=0,0,11630*1000*SER_hh_fec_in!Q17/SER_hh_num_in!Q17)</f>
        <v>0</v>
      </c>
      <c r="R17" s="132">
        <f>IF(SER_hh_fec_in!R17=0,0,11630*1000*SER_hh_fec_in!R17/SER_hh_num_in!R17)</f>
        <v>0</v>
      </c>
      <c r="S17" s="132">
        <f>IF(SER_hh_fec_in!S17=0,0,11630*1000*SER_hh_fec_in!S17/SER_hh_num_in!S17)</f>
        <v>0</v>
      </c>
      <c r="T17" s="132">
        <f>IF(SER_hh_fec_in!T17=0,0,11630*1000*SER_hh_fec_in!T17/SER_hh_num_in!T17)</f>
        <v>0</v>
      </c>
      <c r="U17" s="132">
        <f>IF(SER_hh_fec_in!U17=0,0,11630*1000*SER_hh_fec_in!U17/SER_hh_num_in!U17)</f>
        <v>0</v>
      </c>
      <c r="V17" s="132">
        <f>IF(SER_hh_fec_in!V17=0,0,11630*1000*SER_hh_fec_in!V17/SER_hh_num_in!V17)</f>
        <v>0</v>
      </c>
      <c r="W17" s="132">
        <f>IF(SER_hh_fec_in!W17=0,0,11630*1000*SER_hh_fec_in!W17/SER_hh_num_in!W17)</f>
        <v>0</v>
      </c>
      <c r="X17" s="132">
        <f>IF(SER_hh_fec_in!X17=0,0,11630*1000*SER_hh_fec_in!X17/SER_hh_num_in!X17)</f>
        <v>0</v>
      </c>
      <c r="Y17" s="132">
        <f>IF(SER_hh_fec_in!Y17=0,0,11630*1000*SER_hh_fec_in!Y17/SER_hh_num_in!Y17)</f>
        <v>0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7336.0431825338501</v>
      </c>
      <c r="D18" s="132">
        <f>IF(SER_hh_fec_in!D18=0,0,11630*1000*SER_hh_fec_in!D18/SER_hh_num_in!D18)</f>
        <v>6944.8140555563705</v>
      </c>
      <c r="E18" s="132">
        <f>IF(SER_hh_fec_in!E18=0,0,11630*1000*SER_hh_fec_in!E18/SER_hh_num_in!E18)</f>
        <v>6920.5199719374832</v>
      </c>
      <c r="F18" s="132">
        <f>IF(SER_hh_fec_in!F18=0,0,11630*1000*SER_hh_fec_in!F18/SER_hh_num_in!F18)</f>
        <v>6273.803727678327</v>
      </c>
      <c r="G18" s="132">
        <f>IF(SER_hh_fec_in!G18=0,0,11630*1000*SER_hh_fec_in!G18/SER_hh_num_in!G18)</f>
        <v>6005.4746505821013</v>
      </c>
      <c r="H18" s="132">
        <f>IF(SER_hh_fec_in!H18=0,0,11630*1000*SER_hh_fec_in!H18/SER_hh_num_in!H18)</f>
        <v>5843.2648106356064</v>
      </c>
      <c r="I18" s="132">
        <f>IF(SER_hh_fec_in!I18=0,0,11630*1000*SER_hh_fec_in!I18/SER_hh_num_in!I18)</f>
        <v>5511.8287485484498</v>
      </c>
      <c r="J18" s="132">
        <f>IF(SER_hh_fec_in!J18=0,0,11630*1000*SER_hh_fec_in!J18/SER_hh_num_in!J18)</f>
        <v>5273.0158425222889</v>
      </c>
      <c r="K18" s="132">
        <f>IF(SER_hh_fec_in!K18=0,0,11630*1000*SER_hh_fec_in!K18/SER_hh_num_in!K18)</f>
        <v>5014.6518880109343</v>
      </c>
      <c r="L18" s="132">
        <f>IF(SER_hh_fec_in!L18=0,0,11630*1000*SER_hh_fec_in!L18/SER_hh_num_in!L18)</f>
        <v>5578.1652183222714</v>
      </c>
      <c r="M18" s="132">
        <f>IF(SER_hh_fec_in!M18=0,0,11630*1000*SER_hh_fec_in!M18/SER_hh_num_in!M18)</f>
        <v>4844.8477130777355</v>
      </c>
      <c r="N18" s="132">
        <f>IF(SER_hh_fec_in!N18=0,0,11630*1000*SER_hh_fec_in!N18/SER_hh_num_in!N18)</f>
        <v>4414.9139320257736</v>
      </c>
      <c r="O18" s="132">
        <f>IF(SER_hh_fec_in!O18=0,0,11630*1000*SER_hh_fec_in!O18/SER_hh_num_in!O18)</f>
        <v>4137.787728176394</v>
      </c>
      <c r="P18" s="132">
        <f>IF(SER_hh_fec_in!P18=0,0,11630*1000*SER_hh_fec_in!P18/SER_hh_num_in!P18)</f>
        <v>3994.5056318699121</v>
      </c>
      <c r="Q18" s="132">
        <f>IF(SER_hh_fec_in!Q18=0,0,11630*1000*SER_hh_fec_in!Q18/SER_hh_num_in!Q18)</f>
        <v>3754.5646443680562</v>
      </c>
      <c r="R18" s="132">
        <f>IF(SER_hh_fec_in!R18=0,0,11630*1000*SER_hh_fec_in!R18/SER_hh_num_in!R18)</f>
        <v>3662.1582206050462</v>
      </c>
      <c r="S18" s="132">
        <f>IF(SER_hh_fec_in!S18=0,0,11630*1000*SER_hh_fec_in!S18/SER_hh_num_in!S18)</f>
        <v>3570.3567469304808</v>
      </c>
      <c r="T18" s="132">
        <f>IF(SER_hh_fec_in!T18=0,0,11630*1000*SER_hh_fec_in!T18/SER_hh_num_in!T18)</f>
        <v>3731.1092305601378</v>
      </c>
      <c r="U18" s="132">
        <f>IF(SER_hh_fec_in!U18=0,0,11630*1000*SER_hh_fec_in!U18/SER_hh_num_in!U18)</f>
        <v>3396.7595445633488</v>
      </c>
      <c r="V18" s="132">
        <f>IF(SER_hh_fec_in!V18=0,0,11630*1000*SER_hh_fec_in!V18/SER_hh_num_in!V18)</f>
        <v>3194.5726193064634</v>
      </c>
      <c r="W18" s="132">
        <f>IF(SER_hh_fec_in!W18=0,0,11630*1000*SER_hh_fec_in!W18/SER_hh_num_in!W18)</f>
        <v>3332.2524647912783</v>
      </c>
      <c r="X18" s="132">
        <f>IF(SER_hh_fec_in!X18=0,0,11630*1000*SER_hh_fec_in!X18/SER_hh_num_in!X18)</f>
        <v>3353.0464923447803</v>
      </c>
      <c r="Y18" s="132">
        <f>IF(SER_hh_fec_in!Y18=0,0,11630*1000*SER_hh_fec_in!Y18/SER_hh_num_in!Y18)</f>
        <v>3352.1682064566949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27193.345936310008</v>
      </c>
      <c r="D19" s="130">
        <f>IF(SER_hh_fec_in!D19=0,0,11630*1000*SER_hh_fec_in!D19/SER_hh_num_in!D19)</f>
        <v>24945.474213129986</v>
      </c>
      <c r="E19" s="130">
        <f>IF(SER_hh_fec_in!E19=0,0,11630*1000*SER_hh_fec_in!E19/SER_hh_num_in!E19)</f>
        <v>25186.926254772661</v>
      </c>
      <c r="F19" s="130">
        <f>IF(SER_hh_fec_in!F19=0,0,11630*1000*SER_hh_fec_in!F19/SER_hh_num_in!F19)</f>
        <v>23857.258275778368</v>
      </c>
      <c r="G19" s="130">
        <f>IF(SER_hh_fec_in!G19=0,0,11630*1000*SER_hh_fec_in!G19/SER_hh_num_in!G19)</f>
        <v>23741.293189533117</v>
      </c>
      <c r="H19" s="130">
        <f>IF(SER_hh_fec_in!H19=0,0,11630*1000*SER_hh_fec_in!H19/SER_hh_num_in!H19)</f>
        <v>23019.743459697529</v>
      </c>
      <c r="I19" s="130">
        <f>IF(SER_hh_fec_in!I19=0,0,11630*1000*SER_hh_fec_in!I19/SER_hh_num_in!I19)</f>
        <v>22037.988545321263</v>
      </c>
      <c r="J19" s="130">
        <f>IF(SER_hh_fec_in!J19=0,0,11630*1000*SER_hh_fec_in!J19/SER_hh_num_in!J19)</f>
        <v>22115.584974367812</v>
      </c>
      <c r="K19" s="130">
        <f>IF(SER_hh_fec_in!K19=0,0,11630*1000*SER_hh_fec_in!K19/SER_hh_num_in!K19)</f>
        <v>22234.354789377481</v>
      </c>
      <c r="L19" s="130">
        <f>IF(SER_hh_fec_in!L19=0,0,11630*1000*SER_hh_fec_in!L19/SER_hh_num_in!L19)</f>
        <v>22294.523945757137</v>
      </c>
      <c r="M19" s="130">
        <f>IF(SER_hh_fec_in!M19=0,0,11630*1000*SER_hh_fec_in!M19/SER_hh_num_in!M19)</f>
        <v>22722.704699428738</v>
      </c>
      <c r="N19" s="130">
        <f>IF(SER_hh_fec_in!N19=0,0,11630*1000*SER_hh_fec_in!N19/SER_hh_num_in!N19)</f>
        <v>21934.741462179885</v>
      </c>
      <c r="O19" s="130">
        <f>IF(SER_hh_fec_in!O19=0,0,11630*1000*SER_hh_fec_in!O19/SER_hh_num_in!O19)</f>
        <v>21520.341409780758</v>
      </c>
      <c r="P19" s="130">
        <f>IF(SER_hh_fec_in!P19=0,0,11630*1000*SER_hh_fec_in!P19/SER_hh_num_in!P19)</f>
        <v>21728.145377307304</v>
      </c>
      <c r="Q19" s="130">
        <f>IF(SER_hh_fec_in!Q19=0,0,11630*1000*SER_hh_fec_in!Q19/SER_hh_num_in!Q19)</f>
        <v>20167.883432576764</v>
      </c>
      <c r="R19" s="130">
        <f>IF(SER_hh_fec_in!R19=0,0,11630*1000*SER_hh_fec_in!R19/SER_hh_num_in!R19)</f>
        <v>19246.880214392892</v>
      </c>
      <c r="S19" s="130">
        <f>IF(SER_hh_fec_in!S19=0,0,11630*1000*SER_hh_fec_in!S19/SER_hh_num_in!S19)</f>
        <v>18801.37870851671</v>
      </c>
      <c r="T19" s="130">
        <f>IF(SER_hh_fec_in!T19=0,0,11630*1000*SER_hh_fec_in!T19/SER_hh_num_in!T19)</f>
        <v>18383.780560796171</v>
      </c>
      <c r="U19" s="130">
        <f>IF(SER_hh_fec_in!U19=0,0,11630*1000*SER_hh_fec_in!U19/SER_hh_num_in!U19)</f>
        <v>18461.470902654899</v>
      </c>
      <c r="V19" s="130">
        <f>IF(SER_hh_fec_in!V19=0,0,11630*1000*SER_hh_fec_in!V19/SER_hh_num_in!V19)</f>
        <v>16945.706171518817</v>
      </c>
      <c r="W19" s="130">
        <f>IF(SER_hh_fec_in!W19=0,0,11630*1000*SER_hh_fec_in!W19/SER_hh_num_in!W19)</f>
        <v>17862.86988410298</v>
      </c>
      <c r="X19" s="130">
        <f>IF(SER_hh_fec_in!X19=0,0,11630*1000*SER_hh_fec_in!X19/SER_hh_num_in!X19)</f>
        <v>18494.961282221426</v>
      </c>
      <c r="Y19" s="130">
        <f>IF(SER_hh_fec_in!Y19=0,0,11630*1000*SER_hh_fec_in!Y19/SER_hh_num_in!Y19)</f>
        <v>20449.611882498841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0</v>
      </c>
      <c r="D21" s="132">
        <f>IF(SER_hh_fec_in!D21=0,0,11630*1000*SER_hh_fec_in!D21/SER_hh_num_in!D21)</f>
        <v>0</v>
      </c>
      <c r="E21" s="132">
        <f>IF(SER_hh_fec_in!E21=0,0,11630*1000*SER_hh_fec_in!E21/SER_hh_num_in!E21)</f>
        <v>0</v>
      </c>
      <c r="F21" s="132">
        <f>IF(SER_hh_fec_in!F21=0,0,11630*1000*SER_hh_fec_in!F21/SER_hh_num_in!F21)</f>
        <v>0</v>
      </c>
      <c r="G21" s="132">
        <f>IF(SER_hh_fec_in!G21=0,0,11630*1000*SER_hh_fec_in!G21/SER_hh_num_in!G21)</f>
        <v>0</v>
      </c>
      <c r="H21" s="132">
        <f>IF(SER_hh_fec_in!H21=0,0,11630*1000*SER_hh_fec_in!H21/SER_hh_num_in!H21)</f>
        <v>0</v>
      </c>
      <c r="I21" s="132">
        <f>IF(SER_hh_fec_in!I21=0,0,11630*1000*SER_hh_fec_in!I21/SER_hh_num_in!I21)</f>
        <v>0</v>
      </c>
      <c r="J21" s="132">
        <f>IF(SER_hh_fec_in!J21=0,0,11630*1000*SER_hh_fec_in!J21/SER_hh_num_in!J21)</f>
        <v>0</v>
      </c>
      <c r="K21" s="132">
        <f>IF(SER_hh_fec_in!K21=0,0,11630*1000*SER_hh_fec_in!K21/SER_hh_num_in!K21)</f>
        <v>0</v>
      </c>
      <c r="L21" s="132">
        <f>IF(SER_hh_fec_in!L21=0,0,11630*1000*SER_hh_fec_in!L21/SER_hh_num_in!L21)</f>
        <v>0</v>
      </c>
      <c r="M21" s="132">
        <f>IF(SER_hh_fec_in!M21=0,0,11630*1000*SER_hh_fec_in!M21/SER_hh_num_in!M21)</f>
        <v>0</v>
      </c>
      <c r="N21" s="132">
        <f>IF(SER_hh_fec_in!N21=0,0,11630*1000*SER_hh_fec_in!N21/SER_hh_num_in!N21)</f>
        <v>0</v>
      </c>
      <c r="O21" s="132">
        <f>IF(SER_hh_fec_in!O21=0,0,11630*1000*SER_hh_fec_in!O21/SER_hh_num_in!O21)</f>
        <v>0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0</v>
      </c>
      <c r="R21" s="132">
        <f>IF(SER_hh_fec_in!R21=0,0,11630*1000*SER_hh_fec_in!R21/SER_hh_num_in!R21)</f>
        <v>0</v>
      </c>
      <c r="S21" s="132">
        <f>IF(SER_hh_fec_in!S21=0,0,11630*1000*SER_hh_fec_in!S21/SER_hh_num_in!S21)</f>
        <v>0</v>
      </c>
      <c r="T21" s="132">
        <f>IF(SER_hh_fec_in!T21=0,0,11630*1000*SER_hh_fec_in!T21/SER_hh_num_in!T21)</f>
        <v>0</v>
      </c>
      <c r="U21" s="132">
        <f>IF(SER_hh_fec_in!U21=0,0,11630*1000*SER_hh_fec_in!U21/SER_hh_num_in!U21)</f>
        <v>0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0</v>
      </c>
      <c r="X21" s="132">
        <f>IF(SER_hh_fec_in!X21=0,0,11630*1000*SER_hh_fec_in!X21/SER_hh_num_in!X21)</f>
        <v>0</v>
      </c>
      <c r="Y21" s="132">
        <f>IF(SER_hh_fec_in!Y21=0,0,11630*1000*SER_hh_fec_in!Y21/SER_hh_num_in!Y21)</f>
        <v>0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34950.216396730633</v>
      </c>
      <c r="D22" s="132">
        <f>IF(SER_hh_fec_in!D22=0,0,11630*1000*SER_hh_fec_in!D22/SER_hh_num_in!D22)</f>
        <v>0</v>
      </c>
      <c r="E22" s="132">
        <f>IF(SER_hh_fec_in!E22=0,0,11630*1000*SER_hh_fec_in!E22/SER_hh_num_in!E22)</f>
        <v>0</v>
      </c>
      <c r="F22" s="132">
        <f>IF(SER_hh_fec_in!F22=0,0,11630*1000*SER_hh_fec_in!F22/SER_hh_num_in!F22)</f>
        <v>0</v>
      </c>
      <c r="G22" s="132">
        <f>IF(SER_hh_fec_in!G22=0,0,11630*1000*SER_hh_fec_in!G22/SER_hh_num_in!G22)</f>
        <v>0</v>
      </c>
      <c r="H22" s="132">
        <f>IF(SER_hh_fec_in!H22=0,0,11630*1000*SER_hh_fec_in!H22/SER_hh_num_in!H22)</f>
        <v>0</v>
      </c>
      <c r="I22" s="132">
        <f>IF(SER_hh_fec_in!I22=0,0,11630*1000*SER_hh_fec_in!I22/SER_hh_num_in!I22)</f>
        <v>28787.583315464166</v>
      </c>
      <c r="J22" s="132">
        <f>IF(SER_hh_fec_in!J22=0,0,11630*1000*SER_hh_fec_in!J22/SER_hh_num_in!J22)</f>
        <v>29262.408133264697</v>
      </c>
      <c r="K22" s="132">
        <f>IF(SER_hh_fec_in!K22=0,0,11630*1000*SER_hh_fec_in!K22/SER_hh_num_in!K22)</f>
        <v>28588.142912641186</v>
      </c>
      <c r="L22" s="132">
        <f>IF(SER_hh_fec_in!L22=0,0,11630*1000*SER_hh_fec_in!L22/SER_hh_num_in!L22)</f>
        <v>28220.257009147197</v>
      </c>
      <c r="M22" s="132">
        <f>IF(SER_hh_fec_in!M22=0,0,11630*1000*SER_hh_fec_in!M22/SER_hh_num_in!M22)</f>
        <v>27941.180101703183</v>
      </c>
      <c r="N22" s="132">
        <f>IF(SER_hh_fec_in!N22=0,0,11630*1000*SER_hh_fec_in!N22/SER_hh_num_in!N22)</f>
        <v>26963.373755263532</v>
      </c>
      <c r="O22" s="132">
        <f>IF(SER_hh_fec_in!O22=0,0,11630*1000*SER_hh_fec_in!O22/SER_hh_num_in!O22)</f>
        <v>25742.863226952541</v>
      </c>
      <c r="P22" s="132">
        <f>IF(SER_hh_fec_in!P22=0,0,11630*1000*SER_hh_fec_in!P22/SER_hh_num_in!P22)</f>
        <v>0</v>
      </c>
      <c r="Q22" s="132">
        <f>IF(SER_hh_fec_in!Q22=0,0,11630*1000*SER_hh_fec_in!Q22/SER_hh_num_in!Q22)</f>
        <v>0</v>
      </c>
      <c r="R22" s="132">
        <f>IF(SER_hh_fec_in!R22=0,0,11630*1000*SER_hh_fec_in!R22/SER_hh_num_in!R22)</f>
        <v>0</v>
      </c>
      <c r="S22" s="132">
        <f>IF(SER_hh_fec_in!S22=0,0,11630*1000*SER_hh_fec_in!S22/SER_hh_num_in!S22)</f>
        <v>0</v>
      </c>
      <c r="T22" s="132">
        <f>IF(SER_hh_fec_in!T22=0,0,11630*1000*SER_hh_fec_in!T22/SER_hh_num_in!T22)</f>
        <v>0</v>
      </c>
      <c r="U22" s="132">
        <f>IF(SER_hh_fec_in!U22=0,0,11630*1000*SER_hh_fec_in!U22/SER_hh_num_in!U22)</f>
        <v>0</v>
      </c>
      <c r="V22" s="132">
        <f>IF(SER_hh_fec_in!V22=0,0,11630*1000*SER_hh_fec_in!V22/SER_hh_num_in!V22)</f>
        <v>0</v>
      </c>
      <c r="W22" s="132">
        <f>IF(SER_hh_fec_in!W22=0,0,11630*1000*SER_hh_fec_in!W22/SER_hh_num_in!W22)</f>
        <v>18839.162895548237</v>
      </c>
      <c r="X22" s="132">
        <f>IF(SER_hh_fec_in!X22=0,0,11630*1000*SER_hh_fec_in!X22/SER_hh_num_in!X22)</f>
        <v>20803.597506466442</v>
      </c>
      <c r="Y22" s="132">
        <f>IF(SER_hh_fec_in!Y22=0,0,11630*1000*SER_hh_fec_in!Y22/SER_hh_num_in!Y22)</f>
        <v>23919.58832117416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35598.358006511</v>
      </c>
      <c r="D23" s="132">
        <f>IF(SER_hh_fec_in!D23=0,0,11630*1000*SER_hh_fec_in!D23/SER_hh_num_in!D23)</f>
        <v>31952.204872878548</v>
      </c>
      <c r="E23" s="132">
        <f>IF(SER_hh_fec_in!E23=0,0,11630*1000*SER_hh_fec_in!E23/SER_hh_num_in!E23)</f>
        <v>29825.221293478251</v>
      </c>
      <c r="F23" s="132">
        <f>IF(SER_hh_fec_in!F23=0,0,11630*1000*SER_hh_fec_in!F23/SER_hh_num_in!F23)</f>
        <v>28342.449991144895</v>
      </c>
      <c r="G23" s="132">
        <f>IF(SER_hh_fec_in!G23=0,0,11630*1000*SER_hh_fec_in!G23/SER_hh_num_in!G23)</f>
        <v>27716.973224737412</v>
      </c>
      <c r="H23" s="132">
        <f>IF(SER_hh_fec_in!H23=0,0,11630*1000*SER_hh_fec_in!H23/SER_hh_num_in!H23)</f>
        <v>27136.862159537042</v>
      </c>
      <c r="I23" s="132">
        <f>IF(SER_hh_fec_in!I23=0,0,11630*1000*SER_hh_fec_in!I23/SER_hh_num_in!I23)</f>
        <v>26179.583037560056</v>
      </c>
      <c r="J23" s="132">
        <f>IF(SER_hh_fec_in!J23=0,0,11630*1000*SER_hh_fec_in!J23/SER_hh_num_in!J23)</f>
        <v>25490.779696342357</v>
      </c>
      <c r="K23" s="132">
        <f>IF(SER_hh_fec_in!K23=0,0,11630*1000*SER_hh_fec_in!K23/SER_hh_num_in!K23)</f>
        <v>24797.114870166646</v>
      </c>
      <c r="L23" s="132">
        <f>IF(SER_hh_fec_in!L23=0,0,11630*1000*SER_hh_fec_in!L23/SER_hh_num_in!L23)</f>
        <v>23126.807892241748</v>
      </c>
      <c r="M23" s="132">
        <f>IF(SER_hh_fec_in!M23=0,0,11630*1000*SER_hh_fec_in!M23/SER_hh_num_in!M23)</f>
        <v>24261.191289672042</v>
      </c>
      <c r="N23" s="132">
        <f>IF(SER_hh_fec_in!N23=0,0,11630*1000*SER_hh_fec_in!N23/SER_hh_num_in!N23)</f>
        <v>20801.1514365894</v>
      </c>
      <c r="O23" s="132">
        <f>IF(SER_hh_fec_in!O23=0,0,11630*1000*SER_hh_fec_in!O23/SER_hh_num_in!O23)</f>
        <v>22148.478508085464</v>
      </c>
      <c r="P23" s="132">
        <f>IF(SER_hh_fec_in!P23=0,0,11630*1000*SER_hh_fec_in!P23/SER_hh_num_in!P23)</f>
        <v>23715.640789911966</v>
      </c>
      <c r="Q23" s="132">
        <f>IF(SER_hh_fec_in!Q23=0,0,11630*1000*SER_hh_fec_in!Q23/SER_hh_num_in!Q23)</f>
        <v>21235.291260485574</v>
      </c>
      <c r="R23" s="132">
        <f>IF(SER_hh_fec_in!R23=0,0,11630*1000*SER_hh_fec_in!R23/SER_hh_num_in!R23)</f>
        <v>20029.811429229361</v>
      </c>
      <c r="S23" s="132">
        <f>IF(SER_hh_fec_in!S23=0,0,11630*1000*SER_hh_fec_in!S23/SER_hh_num_in!S23)</f>
        <v>19715.257486530201</v>
      </c>
      <c r="T23" s="132">
        <f>IF(SER_hh_fec_in!T23=0,0,11630*1000*SER_hh_fec_in!T23/SER_hh_num_in!T23)</f>
        <v>19779.553020842701</v>
      </c>
      <c r="U23" s="132">
        <f>IF(SER_hh_fec_in!U23=0,0,11630*1000*SER_hh_fec_in!U23/SER_hh_num_in!U23)</f>
        <v>20051.670312695769</v>
      </c>
      <c r="V23" s="132">
        <f>IF(SER_hh_fec_in!V23=0,0,11630*1000*SER_hh_fec_in!V23/SER_hh_num_in!V23)</f>
        <v>19800.040790135692</v>
      </c>
      <c r="W23" s="132">
        <f>IF(SER_hh_fec_in!W23=0,0,11630*1000*SER_hh_fec_in!W23/SER_hh_num_in!W23)</f>
        <v>0</v>
      </c>
      <c r="X23" s="132">
        <f>IF(SER_hh_fec_in!X23=0,0,11630*1000*SER_hh_fec_in!X23/SER_hh_num_in!X23)</f>
        <v>0</v>
      </c>
      <c r="Y23" s="132">
        <f>IF(SER_hh_fec_in!Y23=0,0,11630*1000*SER_hh_fec_in!Y23/SER_hh_num_in!Y23)</f>
        <v>0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0</v>
      </c>
      <c r="O24" s="132">
        <f>IF(SER_hh_fec_in!O24=0,0,11630*1000*SER_hh_fec_in!O24/SER_hh_num_in!O24)</f>
        <v>0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0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22698.99842366387</v>
      </c>
      <c r="D25" s="132">
        <f>IF(SER_hh_fec_in!D25=0,0,11630*1000*SER_hh_fec_in!D25/SER_hh_num_in!D25)</f>
        <v>21844.889949485794</v>
      </c>
      <c r="E25" s="132">
        <f>IF(SER_hh_fec_in!E25=0,0,11630*1000*SER_hh_fec_in!E25/SER_hh_num_in!E25)</f>
        <v>21150.799915717264</v>
      </c>
      <c r="F25" s="132">
        <f>IF(SER_hh_fec_in!F25=0,0,11630*1000*SER_hh_fec_in!F25/SER_hh_num_in!F25)</f>
        <v>20652.524317056559</v>
      </c>
      <c r="G25" s="132">
        <f>IF(SER_hh_fec_in!G25=0,0,11630*1000*SER_hh_fec_in!G25/SER_hh_num_in!G25)</f>
        <v>20725.800988688421</v>
      </c>
      <c r="H25" s="132">
        <f>IF(SER_hh_fec_in!H25=0,0,11630*1000*SER_hh_fec_in!H25/SER_hh_num_in!H25)</f>
        <v>20187.179948849756</v>
      </c>
      <c r="I25" s="132">
        <f>IF(SER_hh_fec_in!I25=0,0,11630*1000*SER_hh_fec_in!I25/SER_hh_num_in!I25)</f>
        <v>19826.905548053968</v>
      </c>
      <c r="J25" s="132">
        <f>IF(SER_hh_fec_in!J25=0,0,11630*1000*SER_hh_fec_in!J25/SER_hh_num_in!J25)</f>
        <v>19396.953214081397</v>
      </c>
      <c r="K25" s="132">
        <f>IF(SER_hh_fec_in!K25=0,0,11630*1000*SER_hh_fec_in!K25/SER_hh_num_in!K25)</f>
        <v>19664.371354865965</v>
      </c>
      <c r="L25" s="132">
        <f>IF(SER_hh_fec_in!L25=0,0,11630*1000*SER_hh_fec_in!L25/SER_hh_num_in!L25)</f>
        <v>19464.710074775736</v>
      </c>
      <c r="M25" s="132">
        <f>IF(SER_hh_fec_in!M25=0,0,11630*1000*SER_hh_fec_in!M25/SER_hh_num_in!M25)</f>
        <v>19559.996611645256</v>
      </c>
      <c r="N25" s="132">
        <f>IF(SER_hh_fec_in!N25=0,0,11630*1000*SER_hh_fec_in!N25/SER_hh_num_in!N25)</f>
        <v>19402.204056200164</v>
      </c>
      <c r="O25" s="132">
        <f>IF(SER_hh_fec_in!O25=0,0,11630*1000*SER_hh_fec_in!O25/SER_hh_num_in!O25)</f>
        <v>19314.170498595562</v>
      </c>
      <c r="P25" s="132">
        <f>IF(SER_hh_fec_in!P25=0,0,11630*1000*SER_hh_fec_in!P25/SER_hh_num_in!P25)</f>
        <v>18920.527710278144</v>
      </c>
      <c r="Q25" s="132">
        <f>IF(SER_hh_fec_in!Q25=0,0,11630*1000*SER_hh_fec_in!Q25/SER_hh_num_in!Q25)</f>
        <v>18700.601619831927</v>
      </c>
      <c r="R25" s="132">
        <f>IF(SER_hh_fec_in!R25=0,0,11630*1000*SER_hh_fec_in!R25/SER_hh_num_in!R25)</f>
        <v>18501.312046598661</v>
      </c>
      <c r="S25" s="132">
        <f>IF(SER_hh_fec_in!S25=0,0,11630*1000*SER_hh_fec_in!S25/SER_hh_num_in!S25)</f>
        <v>18384.521491375766</v>
      </c>
      <c r="T25" s="132">
        <f>IF(SER_hh_fec_in!T25=0,0,11630*1000*SER_hh_fec_in!T25/SER_hh_num_in!T25)</f>
        <v>18407.048260840835</v>
      </c>
      <c r="U25" s="132">
        <f>IF(SER_hh_fec_in!U25=0,0,11630*1000*SER_hh_fec_in!U25/SER_hh_num_in!U25)</f>
        <v>18366.205657943494</v>
      </c>
      <c r="V25" s="132">
        <f>IF(SER_hh_fec_in!V25=0,0,11630*1000*SER_hh_fec_in!V25/SER_hh_num_in!V25)</f>
        <v>15901.473147302162</v>
      </c>
      <c r="W25" s="132">
        <f>IF(SER_hh_fec_in!W25=0,0,11630*1000*SER_hh_fec_in!W25/SER_hh_num_in!W25)</f>
        <v>18001.656017989095</v>
      </c>
      <c r="X25" s="132">
        <f>IF(SER_hh_fec_in!X25=0,0,11630*1000*SER_hh_fec_in!X25/SER_hh_num_in!X25)</f>
        <v>19636.928704782815</v>
      </c>
      <c r="Y25" s="132">
        <f>IF(SER_hh_fec_in!Y25=0,0,11630*1000*SER_hh_fec_in!Y25/SER_hh_num_in!Y25)</f>
        <v>20429.065355433038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26145.899425833755</v>
      </c>
      <c r="D26" s="65">
        <f>IF(SER_hh_fec_in!D26=0,0,11630*1000*SER_hh_fec_in!D26/SER_hh_num_in!D26)</f>
        <v>25388.392861971992</v>
      </c>
      <c r="E26" s="65">
        <f>IF(SER_hh_fec_in!E26=0,0,11630*1000*SER_hh_fec_in!E26/SER_hh_num_in!E26)</f>
        <v>26458.343995523039</v>
      </c>
      <c r="F26" s="65">
        <f>IF(SER_hh_fec_in!F26=0,0,11630*1000*SER_hh_fec_in!F26/SER_hh_num_in!F26)</f>
        <v>25464.198740759552</v>
      </c>
      <c r="G26" s="65">
        <f>IF(SER_hh_fec_in!G26=0,0,11630*1000*SER_hh_fec_in!G26/SER_hh_num_in!G26)</f>
        <v>25211.044789983072</v>
      </c>
      <c r="H26" s="65">
        <f>IF(SER_hh_fec_in!H26=0,0,11630*1000*SER_hh_fec_in!H26/SER_hh_num_in!H26)</f>
        <v>24324.199970862846</v>
      </c>
      <c r="I26" s="65">
        <f>IF(SER_hh_fec_in!I26=0,0,11630*1000*SER_hh_fec_in!I26/SER_hh_num_in!I26)</f>
        <v>22662.303352996234</v>
      </c>
      <c r="J26" s="65">
        <f>IF(SER_hh_fec_in!J26=0,0,11630*1000*SER_hh_fec_in!J26/SER_hh_num_in!J26)</f>
        <v>23431.805788842918</v>
      </c>
      <c r="K26" s="65">
        <f>IF(SER_hh_fec_in!K26=0,0,11630*1000*SER_hh_fec_in!K26/SER_hh_num_in!K26)</f>
        <v>22973.66002004065</v>
      </c>
      <c r="L26" s="65">
        <f>IF(SER_hh_fec_in!L26=0,0,11630*1000*SER_hh_fec_in!L26/SER_hh_num_in!L26)</f>
        <v>22876.779744659223</v>
      </c>
      <c r="M26" s="65">
        <f>IF(SER_hh_fec_in!M26=0,0,11630*1000*SER_hh_fec_in!M26/SER_hh_num_in!M26)</f>
        <v>23046.661609885006</v>
      </c>
      <c r="N26" s="65">
        <f>IF(SER_hh_fec_in!N26=0,0,11630*1000*SER_hh_fec_in!N26/SER_hh_num_in!N26)</f>
        <v>22920.331535854526</v>
      </c>
      <c r="O26" s="65">
        <f>IF(SER_hh_fec_in!O26=0,0,11630*1000*SER_hh_fec_in!O26/SER_hh_num_in!O26)</f>
        <v>21629.501219388883</v>
      </c>
      <c r="P26" s="65">
        <f>IF(SER_hh_fec_in!P26=0,0,11630*1000*SER_hh_fec_in!P26/SER_hh_num_in!P26)</f>
        <v>19954.175616016979</v>
      </c>
      <c r="Q26" s="65">
        <f>IF(SER_hh_fec_in!Q26=0,0,11630*1000*SER_hh_fec_in!Q26/SER_hh_num_in!Q26)</f>
        <v>20117.200291972142</v>
      </c>
      <c r="R26" s="65">
        <f>IF(SER_hh_fec_in!R26=0,0,11630*1000*SER_hh_fec_in!R26/SER_hh_num_in!R26)</f>
        <v>19238.018343432999</v>
      </c>
      <c r="S26" s="65">
        <f>IF(SER_hh_fec_in!S26=0,0,11630*1000*SER_hh_fec_in!S26/SER_hh_num_in!S26)</f>
        <v>18647.177281359087</v>
      </c>
      <c r="T26" s="65">
        <f>IF(SER_hh_fec_in!T26=0,0,11630*1000*SER_hh_fec_in!T26/SER_hh_num_in!T26)</f>
        <v>17846.518384877148</v>
      </c>
      <c r="U26" s="65">
        <f>IF(SER_hh_fec_in!U26=0,0,11630*1000*SER_hh_fec_in!U26/SER_hh_num_in!U26)</f>
        <v>18095.510857475743</v>
      </c>
      <c r="V26" s="65">
        <f>IF(SER_hh_fec_in!V26=0,0,11630*1000*SER_hh_fec_in!V26/SER_hh_num_in!V26)</f>
        <v>17226.795258701139</v>
      </c>
      <c r="W26" s="65">
        <f>IF(SER_hh_fec_in!W26=0,0,11630*1000*SER_hh_fec_in!W26/SER_hh_num_in!W26)</f>
        <v>17783.34991133017</v>
      </c>
      <c r="X26" s="65">
        <f>IF(SER_hh_fec_in!X26=0,0,11630*1000*SER_hh_fec_in!X26/SER_hh_num_in!X26)</f>
        <v>17390.22820713004</v>
      </c>
      <c r="Y26" s="65">
        <f>IF(SER_hh_fec_in!Y26=0,0,11630*1000*SER_hh_fec_in!Y26/SER_hh_num_in!Y26)</f>
        <v>19669.91680541286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0</v>
      </c>
      <c r="D27" s="145">
        <f>IF(SER_hh_fec_in!D27=0,0,11630*1000*SER_hh_fec_in!D27/SER_hh_num_in!D19)</f>
        <v>0</v>
      </c>
      <c r="E27" s="145">
        <f>IF(SER_hh_fec_in!E27=0,0,11630*1000*SER_hh_fec_in!E27/SER_hh_num_in!E19)</f>
        <v>0</v>
      </c>
      <c r="F27" s="145">
        <f>IF(SER_hh_fec_in!F27=0,0,11630*1000*SER_hh_fec_in!F27/SER_hh_num_in!F19)</f>
        <v>0</v>
      </c>
      <c r="G27" s="145">
        <f>IF(SER_hh_fec_in!G27=0,0,11630*1000*SER_hh_fec_in!G27/SER_hh_num_in!G19)</f>
        <v>0</v>
      </c>
      <c r="H27" s="145">
        <f>IF(SER_hh_fec_in!H27=0,0,11630*1000*SER_hh_fec_in!H27/SER_hh_num_in!H19)</f>
        <v>0</v>
      </c>
      <c r="I27" s="145">
        <f>IF(SER_hh_fec_in!I27=0,0,11630*1000*SER_hh_fec_in!I27/SER_hh_num_in!I19)</f>
        <v>0</v>
      </c>
      <c r="J27" s="145">
        <f>IF(SER_hh_fec_in!J27=0,0,11630*1000*SER_hh_fec_in!J27/SER_hh_num_in!J19)</f>
        <v>0</v>
      </c>
      <c r="K27" s="145">
        <f>IF(SER_hh_fec_in!K27=0,0,11630*1000*SER_hh_fec_in!K27/SER_hh_num_in!K19)</f>
        <v>0</v>
      </c>
      <c r="L27" s="145">
        <f>IF(SER_hh_fec_in!L27=0,0,11630*1000*SER_hh_fec_in!L27/SER_hh_num_in!L19)</f>
        <v>0</v>
      </c>
      <c r="M27" s="145">
        <f>IF(SER_hh_fec_in!M27=0,0,11630*1000*SER_hh_fec_in!M27/SER_hh_num_in!M19)</f>
        <v>0</v>
      </c>
      <c r="N27" s="145">
        <f>IF(SER_hh_fec_in!N27=0,0,11630*1000*SER_hh_fec_in!N27/SER_hh_num_in!N19)</f>
        <v>0</v>
      </c>
      <c r="O27" s="145">
        <f>IF(SER_hh_fec_in!O27=0,0,11630*1000*SER_hh_fec_in!O27/SER_hh_num_in!O19)</f>
        <v>0</v>
      </c>
      <c r="P27" s="145">
        <f>IF(SER_hh_fec_in!P27=0,0,11630*1000*SER_hh_fec_in!P27/SER_hh_num_in!P19)</f>
        <v>0</v>
      </c>
      <c r="Q27" s="145">
        <f>IF(SER_hh_fec_in!Q27=0,0,11630*1000*SER_hh_fec_in!Q27/SER_hh_num_in!Q19)</f>
        <v>0</v>
      </c>
      <c r="R27" s="145">
        <f>IF(SER_hh_fec_in!R27=0,0,11630*1000*SER_hh_fec_in!R27/SER_hh_num_in!R19)</f>
        <v>0</v>
      </c>
      <c r="S27" s="145">
        <f>IF(SER_hh_fec_in!S27=0,0,11630*1000*SER_hh_fec_in!S27/SER_hh_num_in!S19)</f>
        <v>0</v>
      </c>
      <c r="T27" s="145">
        <f>IF(SER_hh_fec_in!T27=0,0,11630*1000*SER_hh_fec_in!T27/SER_hh_num_in!T19)</f>
        <v>0</v>
      </c>
      <c r="U27" s="145">
        <f>IF(SER_hh_fec_in!U27=0,0,11630*1000*SER_hh_fec_in!U27/SER_hh_num_in!U19)</f>
        <v>0</v>
      </c>
      <c r="V27" s="145">
        <f>IF(SER_hh_fec_in!V27=0,0,11630*1000*SER_hh_fec_in!V27/SER_hh_num_in!V19)</f>
        <v>0</v>
      </c>
      <c r="W27" s="145">
        <f>IF(SER_hh_fec_in!W27=0,0,11630*1000*SER_hh_fec_in!W27/SER_hh_num_in!W19)</f>
        <v>0</v>
      </c>
      <c r="X27" s="145">
        <f>IF(SER_hh_fec_in!X27=0,0,11630*1000*SER_hh_fec_in!X27/SER_hh_num_in!X19)</f>
        <v>0</v>
      </c>
      <c r="Y27" s="145">
        <f>IF(SER_hh_fec_in!Y27=0,0,11630*1000*SER_hh_fec_in!Y27/SER_hh_num_in!Y19)</f>
        <v>0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0</v>
      </c>
      <c r="D28" s="146">
        <f>IF(SER_hh_fec_in!D27=0,0,11630*1000*SER_hh_fec_in!D27/SER_hh_num_in!D27)</f>
        <v>0</v>
      </c>
      <c r="E28" s="146">
        <f>IF(SER_hh_fec_in!E27=0,0,11630*1000*SER_hh_fec_in!E27/SER_hh_num_in!E27)</f>
        <v>0</v>
      </c>
      <c r="F28" s="146">
        <f>IF(SER_hh_fec_in!F27=0,0,11630*1000*SER_hh_fec_in!F27/SER_hh_num_in!F27)</f>
        <v>0</v>
      </c>
      <c r="G28" s="146">
        <f>IF(SER_hh_fec_in!G27=0,0,11630*1000*SER_hh_fec_in!G27/SER_hh_num_in!G27)</f>
        <v>0</v>
      </c>
      <c r="H28" s="146">
        <f>IF(SER_hh_fec_in!H27=0,0,11630*1000*SER_hh_fec_in!H27/SER_hh_num_in!H27)</f>
        <v>0</v>
      </c>
      <c r="I28" s="146">
        <f>IF(SER_hh_fec_in!I27=0,0,11630*1000*SER_hh_fec_in!I27/SER_hh_num_in!I27)</f>
        <v>0</v>
      </c>
      <c r="J28" s="146">
        <f>IF(SER_hh_fec_in!J27=0,0,11630*1000*SER_hh_fec_in!J27/SER_hh_num_in!J27)</f>
        <v>0</v>
      </c>
      <c r="K28" s="146">
        <f>IF(SER_hh_fec_in!K27=0,0,11630*1000*SER_hh_fec_in!K27/SER_hh_num_in!K27)</f>
        <v>0</v>
      </c>
      <c r="L28" s="146">
        <f>IF(SER_hh_fec_in!L27=0,0,11630*1000*SER_hh_fec_in!L27/SER_hh_num_in!L27)</f>
        <v>0</v>
      </c>
      <c r="M28" s="146">
        <f>IF(SER_hh_fec_in!M27=0,0,11630*1000*SER_hh_fec_in!M27/SER_hh_num_in!M27)</f>
        <v>0</v>
      </c>
      <c r="N28" s="146">
        <f>IF(SER_hh_fec_in!N27=0,0,11630*1000*SER_hh_fec_in!N27/SER_hh_num_in!N27)</f>
        <v>0</v>
      </c>
      <c r="O28" s="146">
        <f>IF(SER_hh_fec_in!O27=0,0,11630*1000*SER_hh_fec_in!O27/SER_hh_num_in!O27)</f>
        <v>0</v>
      </c>
      <c r="P28" s="146">
        <f>IF(SER_hh_fec_in!P27=0,0,11630*1000*SER_hh_fec_in!P27/SER_hh_num_in!P27)</f>
        <v>0</v>
      </c>
      <c r="Q28" s="146">
        <f>IF(SER_hh_fec_in!Q27=0,0,11630*1000*SER_hh_fec_in!Q27/SER_hh_num_in!Q27)</f>
        <v>0</v>
      </c>
      <c r="R28" s="146">
        <f>IF(SER_hh_fec_in!R27=0,0,11630*1000*SER_hh_fec_in!R27/SER_hh_num_in!R27)</f>
        <v>0</v>
      </c>
      <c r="S28" s="146">
        <f>IF(SER_hh_fec_in!S27=0,0,11630*1000*SER_hh_fec_in!S27/SER_hh_num_in!S27)</f>
        <v>0</v>
      </c>
      <c r="T28" s="146">
        <f>IF(SER_hh_fec_in!T27=0,0,11630*1000*SER_hh_fec_in!T27/SER_hh_num_in!T27)</f>
        <v>0</v>
      </c>
      <c r="U28" s="146">
        <f>IF(SER_hh_fec_in!U27=0,0,11630*1000*SER_hh_fec_in!U27/SER_hh_num_in!U27)</f>
        <v>0</v>
      </c>
      <c r="V28" s="146">
        <f>IF(SER_hh_fec_in!V27=0,0,11630*1000*SER_hh_fec_in!V27/SER_hh_num_in!V27)</f>
        <v>0</v>
      </c>
      <c r="W28" s="146">
        <f>IF(SER_hh_fec_in!W27=0,0,11630*1000*SER_hh_fec_in!W27/SER_hh_num_in!W27)</f>
        <v>0</v>
      </c>
      <c r="X28" s="146">
        <f>IF(SER_hh_fec_in!X27=0,0,11630*1000*SER_hh_fec_in!X27/SER_hh_num_in!X27)</f>
        <v>0</v>
      </c>
      <c r="Y28" s="146">
        <f>IF(SER_hh_fec_in!Y27=0,0,11630*1000*SER_hh_fec_in!Y27/SER_hh_num_in!Y27)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27745.457422420899</v>
      </c>
      <c r="D29" s="130">
        <f>IF(SER_hh_fec_in!D29=0,0,11630*1000*SER_hh_fec_in!D29/SER_hh_num_in!D29)</f>
        <v>27061.96163951714</v>
      </c>
      <c r="E29" s="130">
        <f>IF(SER_hh_fec_in!E29=0,0,11630*1000*SER_hh_fec_in!E29/SER_hh_num_in!E29)</f>
        <v>25796.716647880763</v>
      </c>
      <c r="F29" s="130">
        <f>IF(SER_hh_fec_in!F29=0,0,11630*1000*SER_hh_fec_in!F29/SER_hh_num_in!F29)</f>
        <v>27890.20386421329</v>
      </c>
      <c r="G29" s="130">
        <f>IF(SER_hh_fec_in!G29=0,0,11630*1000*SER_hh_fec_in!G29/SER_hh_num_in!G29)</f>
        <v>25489.454647410759</v>
      </c>
      <c r="H29" s="130">
        <f>IF(SER_hh_fec_in!H29=0,0,11630*1000*SER_hh_fec_in!H29/SER_hh_num_in!H29)</f>
        <v>24698.578791325654</v>
      </c>
      <c r="I29" s="130">
        <f>IF(SER_hh_fec_in!I29=0,0,11630*1000*SER_hh_fec_in!I29/SER_hh_num_in!I29)</f>
        <v>24386.847073379842</v>
      </c>
      <c r="J29" s="130">
        <f>IF(SER_hh_fec_in!J29=0,0,11630*1000*SER_hh_fec_in!J29/SER_hh_num_in!J29)</f>
        <v>25442.723155432464</v>
      </c>
      <c r="K29" s="130">
        <f>IF(SER_hh_fec_in!K29=0,0,11630*1000*SER_hh_fec_in!K29/SER_hh_num_in!K29)</f>
        <v>26694.312209097603</v>
      </c>
      <c r="L29" s="130">
        <f>IF(SER_hh_fec_in!L29=0,0,11630*1000*SER_hh_fec_in!L29/SER_hh_num_in!L29)</f>
        <v>27470.419371892807</v>
      </c>
      <c r="M29" s="130">
        <f>IF(SER_hh_fec_in!M29=0,0,11630*1000*SER_hh_fec_in!M29/SER_hh_num_in!M29)</f>
        <v>27942.223973786171</v>
      </c>
      <c r="N29" s="130">
        <f>IF(SER_hh_fec_in!N29=0,0,11630*1000*SER_hh_fec_in!N29/SER_hh_num_in!N29)</f>
        <v>27923.212039453549</v>
      </c>
      <c r="O29" s="130">
        <f>IF(SER_hh_fec_in!O29=0,0,11630*1000*SER_hh_fec_in!O29/SER_hh_num_in!O29)</f>
        <v>28256.033869803923</v>
      </c>
      <c r="P29" s="130">
        <f>IF(SER_hh_fec_in!P29=0,0,11630*1000*SER_hh_fec_in!P29/SER_hh_num_in!P29)</f>
        <v>27507.043341730976</v>
      </c>
      <c r="Q29" s="130">
        <f>IF(SER_hh_fec_in!Q29=0,0,11630*1000*SER_hh_fec_in!Q29/SER_hh_num_in!Q29)</f>
        <v>26523.553678562854</v>
      </c>
      <c r="R29" s="130">
        <f>IF(SER_hh_fec_in!R29=0,0,11630*1000*SER_hh_fec_in!R29/SER_hh_num_in!R29)</f>
        <v>28231.707818261555</v>
      </c>
      <c r="S29" s="130">
        <f>IF(SER_hh_fec_in!S29=0,0,11630*1000*SER_hh_fec_in!S29/SER_hh_num_in!S29)</f>
        <v>25803.737679953454</v>
      </c>
      <c r="T29" s="130">
        <f>IF(SER_hh_fec_in!T29=0,0,11630*1000*SER_hh_fec_in!T29/SER_hh_num_in!T29)</f>
        <v>25764.084366349365</v>
      </c>
      <c r="U29" s="130">
        <f>IF(SER_hh_fec_in!U29=0,0,11630*1000*SER_hh_fec_in!U29/SER_hh_num_in!U29)</f>
        <v>24318.135634250462</v>
      </c>
      <c r="V29" s="130">
        <f>IF(SER_hh_fec_in!V29=0,0,11630*1000*SER_hh_fec_in!V29/SER_hh_num_in!V29)</f>
        <v>21767.422765304855</v>
      </c>
      <c r="W29" s="130">
        <f>IF(SER_hh_fec_in!W29=0,0,11630*1000*SER_hh_fec_in!W29/SER_hh_num_in!W29)</f>
        <v>24538.926419402487</v>
      </c>
      <c r="X29" s="130">
        <f>IF(SER_hh_fec_in!X29=0,0,11630*1000*SER_hh_fec_in!X29/SER_hh_num_in!X29)</f>
        <v>26321.192476365963</v>
      </c>
      <c r="Y29" s="130">
        <f>IF(SER_hh_fec_in!Y29=0,0,11630*1000*SER_hh_fec_in!Y29/SER_hh_num_in!Y29)</f>
        <v>31395.710770359459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0</v>
      </c>
      <c r="D30" s="132">
        <f>IF(SER_hh_fec_in!D30=0,0,11630*1000*SER_hh_fec_in!D30/SER_hh_num_in!D30)</f>
        <v>0</v>
      </c>
      <c r="E30" s="132">
        <f>IF(SER_hh_fec_in!E30=0,0,11630*1000*SER_hh_fec_in!E30/SER_hh_num_in!E30)</f>
        <v>0</v>
      </c>
      <c r="F30" s="132">
        <f>IF(SER_hh_fec_in!F30=0,0,11630*1000*SER_hh_fec_in!F30/SER_hh_num_in!F30)</f>
        <v>43814.681446326606</v>
      </c>
      <c r="G30" s="132">
        <f>IF(SER_hh_fec_in!G30=0,0,11630*1000*SER_hh_fec_in!G30/SER_hh_num_in!G30)</f>
        <v>34215.0431960192</v>
      </c>
      <c r="H30" s="132">
        <f>IF(SER_hh_fec_in!H30=0,0,11630*1000*SER_hh_fec_in!H30/SER_hh_num_in!H30)</f>
        <v>30717.686936197126</v>
      </c>
      <c r="I30" s="132">
        <f>IF(SER_hh_fec_in!I30=0,0,11630*1000*SER_hh_fec_in!I30/SER_hh_num_in!I30)</f>
        <v>0</v>
      </c>
      <c r="J30" s="132">
        <f>IF(SER_hh_fec_in!J30=0,0,11630*1000*SER_hh_fec_in!J30/SER_hh_num_in!J30)</f>
        <v>0</v>
      </c>
      <c r="K30" s="132">
        <f>IF(SER_hh_fec_in!K30=0,0,11630*1000*SER_hh_fec_in!K30/SER_hh_num_in!K30)</f>
        <v>0</v>
      </c>
      <c r="L30" s="132">
        <f>IF(SER_hh_fec_in!L30=0,0,11630*1000*SER_hh_fec_in!L30/SER_hh_num_in!L30)</f>
        <v>33143.159649633206</v>
      </c>
      <c r="M30" s="132">
        <f>IF(SER_hh_fec_in!M30=0,0,11630*1000*SER_hh_fec_in!M30/SER_hh_num_in!M30)</f>
        <v>33513.497154757089</v>
      </c>
      <c r="N30" s="132">
        <f>IF(SER_hh_fec_in!N30=0,0,11630*1000*SER_hh_fec_in!N30/SER_hh_num_in!N30)</f>
        <v>33802.21633938892</v>
      </c>
      <c r="O30" s="132">
        <f>IF(SER_hh_fec_in!O30=0,0,11630*1000*SER_hh_fec_in!O30/SER_hh_num_in!O30)</f>
        <v>33885.201565432559</v>
      </c>
      <c r="P30" s="132">
        <f>IF(SER_hh_fec_in!P30=0,0,11630*1000*SER_hh_fec_in!P30/SER_hh_num_in!P30)</f>
        <v>30594.065386721632</v>
      </c>
      <c r="Q30" s="132">
        <f>IF(SER_hh_fec_in!Q30=0,0,11630*1000*SER_hh_fec_in!Q30/SER_hh_num_in!Q30)</f>
        <v>23907.609570495468</v>
      </c>
      <c r="R30" s="132">
        <f>IF(SER_hh_fec_in!R30=0,0,11630*1000*SER_hh_fec_in!R30/SER_hh_num_in!R30)</f>
        <v>36973.94997436148</v>
      </c>
      <c r="S30" s="132">
        <f>IF(SER_hh_fec_in!S30=0,0,11630*1000*SER_hh_fec_in!S30/SER_hh_num_in!S30)</f>
        <v>54253.541858971759</v>
      </c>
      <c r="T30" s="132">
        <f>IF(SER_hh_fec_in!T30=0,0,11630*1000*SER_hh_fec_in!T30/SER_hh_num_in!T30)</f>
        <v>16890.849135162825</v>
      </c>
      <c r="U30" s="132">
        <f>IF(SER_hh_fec_in!U30=0,0,11630*1000*SER_hh_fec_in!U30/SER_hh_num_in!U30)</f>
        <v>0</v>
      </c>
      <c r="V30" s="132">
        <f>IF(SER_hh_fec_in!V30=0,0,11630*1000*SER_hh_fec_in!V30/SER_hh_num_in!V30)</f>
        <v>0</v>
      </c>
      <c r="W30" s="132">
        <f>IF(SER_hh_fec_in!W30=0,0,11630*1000*SER_hh_fec_in!W30/SER_hh_num_in!W30)</f>
        <v>24753.616705980177</v>
      </c>
      <c r="X30" s="132">
        <f>IF(SER_hh_fec_in!X30=0,0,11630*1000*SER_hh_fec_in!X30/SER_hh_num_in!X30)</f>
        <v>33673.150031361489</v>
      </c>
      <c r="Y30" s="132">
        <f>IF(SER_hh_fec_in!Y30=0,0,11630*1000*SER_hh_fec_in!Y30/SER_hh_num_in!Y30)</f>
        <v>48192.817265215592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34655.698868192878</v>
      </c>
      <c r="D31" s="132">
        <f>IF(SER_hh_fec_in!D31=0,0,11630*1000*SER_hh_fec_in!D31/SER_hh_num_in!D31)</f>
        <v>37317.550318371104</v>
      </c>
      <c r="E31" s="132">
        <f>IF(SER_hh_fec_in!E31=0,0,11630*1000*SER_hh_fec_in!E31/SER_hh_num_in!E31)</f>
        <v>33670.570522777431</v>
      </c>
      <c r="F31" s="132">
        <f>IF(SER_hh_fec_in!F31=0,0,11630*1000*SER_hh_fec_in!F31/SER_hh_num_in!F31)</f>
        <v>32465.77317849316</v>
      </c>
      <c r="G31" s="132">
        <f>IF(SER_hh_fec_in!G31=0,0,11630*1000*SER_hh_fec_in!G31/SER_hh_num_in!G31)</f>
        <v>32576.508143338917</v>
      </c>
      <c r="H31" s="132">
        <f>IF(SER_hh_fec_in!H31=0,0,11630*1000*SER_hh_fec_in!H31/SER_hh_num_in!H31)</f>
        <v>32309.937323073711</v>
      </c>
      <c r="I31" s="132">
        <f>IF(SER_hh_fec_in!I31=0,0,11630*1000*SER_hh_fec_in!I31/SER_hh_num_in!I31)</f>
        <v>32904.167334384234</v>
      </c>
      <c r="J31" s="132">
        <f>IF(SER_hh_fec_in!J31=0,0,11630*1000*SER_hh_fec_in!J31/SER_hh_num_in!J31)</f>
        <v>33655.856544299648</v>
      </c>
      <c r="K31" s="132">
        <f>IF(SER_hh_fec_in!K31=0,0,11630*1000*SER_hh_fec_in!K31/SER_hh_num_in!K31)</f>
        <v>32588.324556284449</v>
      </c>
      <c r="L31" s="132">
        <f>IF(SER_hh_fec_in!L31=0,0,11630*1000*SER_hh_fec_in!L31/SER_hh_num_in!L31)</f>
        <v>34688.492623628626</v>
      </c>
      <c r="M31" s="132">
        <f>IF(SER_hh_fec_in!M31=0,0,11630*1000*SER_hh_fec_in!M31/SER_hh_num_in!M31)</f>
        <v>35033.499466408874</v>
      </c>
      <c r="N31" s="132">
        <f>IF(SER_hh_fec_in!N31=0,0,11630*1000*SER_hh_fec_in!N31/SER_hh_num_in!N31)</f>
        <v>35950.863839576879</v>
      </c>
      <c r="O31" s="132">
        <f>IF(SER_hh_fec_in!O31=0,0,11630*1000*SER_hh_fec_in!O31/SER_hh_num_in!O31)</f>
        <v>35645.603562060554</v>
      </c>
      <c r="P31" s="132">
        <f>IF(SER_hh_fec_in!P31=0,0,11630*1000*SER_hh_fec_in!P31/SER_hh_num_in!P31)</f>
        <v>33798.845376510333</v>
      </c>
      <c r="Q31" s="132">
        <f>IF(SER_hh_fec_in!Q31=0,0,11630*1000*SER_hh_fec_in!Q31/SER_hh_num_in!Q31)</f>
        <v>31633.88056441773</v>
      </c>
      <c r="R31" s="132">
        <f>IF(SER_hh_fec_in!R31=0,0,11630*1000*SER_hh_fec_in!R31/SER_hh_num_in!R31)</f>
        <v>37687.623920476275</v>
      </c>
      <c r="S31" s="132">
        <f>IF(SER_hh_fec_in!S31=0,0,11630*1000*SER_hh_fec_in!S31/SER_hh_num_in!S31)</f>
        <v>33023.390754764681</v>
      </c>
      <c r="T31" s="132">
        <f>IF(SER_hh_fec_in!T31=0,0,11630*1000*SER_hh_fec_in!T31/SER_hh_num_in!T31)</f>
        <v>32585.243746624172</v>
      </c>
      <c r="U31" s="132">
        <f>IF(SER_hh_fec_in!U31=0,0,11630*1000*SER_hh_fec_in!U31/SER_hh_num_in!U31)</f>
        <v>37208.618525202575</v>
      </c>
      <c r="V31" s="132">
        <f>IF(SER_hh_fec_in!V31=0,0,11630*1000*SER_hh_fec_in!V31/SER_hh_num_in!V31)</f>
        <v>36224.794779024596</v>
      </c>
      <c r="W31" s="132">
        <f>IF(SER_hh_fec_in!W31=0,0,11630*1000*SER_hh_fec_in!W31/SER_hh_num_in!W31)</f>
        <v>36913.068121269134</v>
      </c>
      <c r="X31" s="132">
        <f>IF(SER_hh_fec_in!X31=0,0,11630*1000*SER_hh_fec_in!X31/SER_hh_num_in!X31)</f>
        <v>0</v>
      </c>
      <c r="Y31" s="132">
        <f>IF(SER_hh_fec_in!Y31=0,0,11630*1000*SER_hh_fec_in!Y31/SER_hh_num_in!Y31)</f>
        <v>0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24583.243473343904</v>
      </c>
      <c r="D33" s="68">
        <f>IF(SER_hh_fec_in!D33=0,0,11630*1000*SER_hh_fec_in!D33/SER_hh_num_in!D33)</f>
        <v>23792.217091218528</v>
      </c>
      <c r="E33" s="68">
        <f>IF(SER_hh_fec_in!E33=0,0,11630*1000*SER_hh_fec_in!E33/SER_hh_num_in!E33)</f>
        <v>24570.288605011483</v>
      </c>
      <c r="F33" s="68">
        <f>IF(SER_hh_fec_in!F33=0,0,11630*1000*SER_hh_fec_in!F33/SER_hh_num_in!F33)</f>
        <v>24107.530444022712</v>
      </c>
      <c r="G33" s="68">
        <f>IF(SER_hh_fec_in!G33=0,0,11630*1000*SER_hh_fec_in!G33/SER_hh_num_in!G33)</f>
        <v>24955.13204437801</v>
      </c>
      <c r="H33" s="68">
        <f>IF(SER_hh_fec_in!H33=0,0,11630*1000*SER_hh_fec_in!H33/SER_hh_num_in!H33)</f>
        <v>24352.696280264197</v>
      </c>
      <c r="I33" s="68">
        <f>IF(SER_hh_fec_in!I33=0,0,11630*1000*SER_hh_fec_in!I33/SER_hh_num_in!I33)</f>
        <v>24128.359626944613</v>
      </c>
      <c r="J33" s="68">
        <f>IF(SER_hh_fec_in!J33=0,0,11630*1000*SER_hh_fec_in!J33/SER_hh_num_in!J33)</f>
        <v>25063.06952075498</v>
      </c>
      <c r="K33" s="68">
        <f>IF(SER_hh_fec_in!K33=0,0,11630*1000*SER_hh_fec_in!K33/SER_hh_num_in!K33)</f>
        <v>26396.965793346208</v>
      </c>
      <c r="L33" s="68">
        <f>IF(SER_hh_fec_in!L33=0,0,11630*1000*SER_hh_fec_in!L33/SER_hh_num_in!L33)</f>
        <v>26623.204331706722</v>
      </c>
      <c r="M33" s="68">
        <f>IF(SER_hh_fec_in!M33=0,0,11630*1000*SER_hh_fec_in!M33/SER_hh_num_in!M33)</f>
        <v>26746.338931284008</v>
      </c>
      <c r="N33" s="68">
        <f>IF(SER_hh_fec_in!N33=0,0,11630*1000*SER_hh_fec_in!N33/SER_hh_num_in!N33)</f>
        <v>26144.624159052346</v>
      </c>
      <c r="O33" s="68">
        <f>IF(SER_hh_fec_in!O33=0,0,11630*1000*SER_hh_fec_in!O33/SER_hh_num_in!O33)</f>
        <v>26648.554431097076</v>
      </c>
      <c r="P33" s="68">
        <f>IF(SER_hh_fec_in!P33=0,0,11630*1000*SER_hh_fec_in!P33/SER_hh_num_in!P33)</f>
        <v>26248.912315840651</v>
      </c>
      <c r="Q33" s="68">
        <f>IF(SER_hh_fec_in!Q33=0,0,11630*1000*SER_hh_fec_in!Q33/SER_hh_num_in!Q33)</f>
        <v>26040.327042540961</v>
      </c>
      <c r="R33" s="68">
        <f>IF(SER_hh_fec_in!R33=0,0,11630*1000*SER_hh_fec_in!R33/SER_hh_num_in!R33)</f>
        <v>24366.990501476033</v>
      </c>
      <c r="S33" s="68">
        <f>IF(SER_hh_fec_in!S33=0,0,11630*1000*SER_hh_fec_in!S33/SER_hh_num_in!S33)</f>
        <v>24041.939092648645</v>
      </c>
      <c r="T33" s="68">
        <f>IF(SER_hh_fec_in!T33=0,0,11630*1000*SER_hh_fec_in!T33/SER_hh_num_in!T33)</f>
        <v>24631.289136023875</v>
      </c>
      <c r="U33" s="68">
        <f>IF(SER_hh_fec_in!U33=0,0,11630*1000*SER_hh_fec_in!U33/SER_hh_num_in!U33)</f>
        <v>22920.479978735537</v>
      </c>
      <c r="V33" s="68">
        <f>IF(SER_hh_fec_in!V33=0,0,11630*1000*SER_hh_fec_in!V33/SER_hh_num_in!V33)</f>
        <v>20565.729080171746</v>
      </c>
      <c r="W33" s="68">
        <f>IF(SER_hh_fec_in!W33=0,0,11630*1000*SER_hh_fec_in!W33/SER_hh_num_in!W33)</f>
        <v>23981.14182736315</v>
      </c>
      <c r="X33" s="68">
        <f>IF(SER_hh_fec_in!X33=0,0,11630*1000*SER_hh_fec_in!X33/SER_hh_num_in!X33)</f>
        <v>26192.410045761433</v>
      </c>
      <c r="Y33" s="68">
        <f>IF(SER_hh_fec_in!Y33=0,0,11630*1000*SER_hh_fec_in!Y33/SER_hh_num_in!Y33)</f>
        <v>28665.915775547353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133667.14139948442</v>
      </c>
      <c r="D3" s="125">
        <f>IF(SER_hh_tes_in!D3=0,0,11630*1000*SER_hh_tes_in!D3/SER_hh_num_in!D3)</f>
        <v>122889.80730336998</v>
      </c>
      <c r="E3" s="125">
        <f>IF(SER_hh_tes_in!E3=0,0,11630*1000*SER_hh_tes_in!E3/SER_hh_num_in!E3)</f>
        <v>153177.33580929809</v>
      </c>
      <c r="F3" s="125">
        <f>IF(SER_hh_tes_in!F3=0,0,11630*1000*SER_hh_tes_in!F3/SER_hh_num_in!F3)</f>
        <v>156970.54841685051</v>
      </c>
      <c r="G3" s="125">
        <f>IF(SER_hh_tes_in!G3=0,0,11630*1000*SER_hh_tes_in!G3/SER_hh_num_in!G3)</f>
        <v>152679.5637285499</v>
      </c>
      <c r="H3" s="125">
        <f>IF(SER_hh_tes_in!H3=0,0,11630*1000*SER_hh_tes_in!H3/SER_hh_num_in!H3)</f>
        <v>143652.5583921067</v>
      </c>
      <c r="I3" s="125">
        <f>IF(SER_hh_tes_in!I3=0,0,11630*1000*SER_hh_tes_in!I3/SER_hh_num_in!I3)</f>
        <v>142582.67941998981</v>
      </c>
      <c r="J3" s="125">
        <f>IF(SER_hh_tes_in!J3=0,0,11630*1000*SER_hh_tes_in!J3/SER_hh_num_in!J3)</f>
        <v>173229.80972835165</v>
      </c>
      <c r="K3" s="125">
        <f>IF(SER_hh_tes_in!K3=0,0,11630*1000*SER_hh_tes_in!K3/SER_hh_num_in!K3)</f>
        <v>167077.28328268818</v>
      </c>
      <c r="L3" s="125">
        <f>IF(SER_hh_tes_in!L3=0,0,11630*1000*SER_hh_tes_in!L3/SER_hh_num_in!L3)</f>
        <v>165422.59223950334</v>
      </c>
      <c r="M3" s="125">
        <f>IF(SER_hh_tes_in!M3=0,0,11630*1000*SER_hh_tes_in!M3/SER_hh_num_in!M3)</f>
        <v>139412.18909143249</v>
      </c>
      <c r="N3" s="125">
        <f>IF(SER_hh_tes_in!N3=0,0,11630*1000*SER_hh_tes_in!N3/SER_hh_num_in!N3)</f>
        <v>141636.74165952613</v>
      </c>
      <c r="O3" s="125">
        <f>IF(SER_hh_tes_in!O3=0,0,11630*1000*SER_hh_tes_in!O3/SER_hh_num_in!O3)</f>
        <v>143719.95308317474</v>
      </c>
      <c r="P3" s="125">
        <f>IF(SER_hh_tes_in!P3=0,0,11630*1000*SER_hh_tes_in!P3/SER_hh_num_in!P3)</f>
        <v>154758.01226747441</v>
      </c>
      <c r="Q3" s="125">
        <f>IF(SER_hh_tes_in!Q3=0,0,11630*1000*SER_hh_tes_in!Q3/SER_hh_num_in!Q3)</f>
        <v>138615.64265042238</v>
      </c>
      <c r="R3" s="125">
        <f>IF(SER_hh_tes_in!R3=0,0,11630*1000*SER_hh_tes_in!R3/SER_hh_num_in!R3)</f>
        <v>150963.79649134725</v>
      </c>
      <c r="S3" s="125">
        <f>IF(SER_hh_tes_in!S3=0,0,11630*1000*SER_hh_tes_in!S3/SER_hh_num_in!S3)</f>
        <v>129413.31167941325</v>
      </c>
      <c r="T3" s="125">
        <f>IF(SER_hh_tes_in!T3=0,0,11630*1000*SER_hh_tes_in!T3/SER_hh_num_in!T3)</f>
        <v>134046.80509696444</v>
      </c>
      <c r="U3" s="125">
        <f>IF(SER_hh_tes_in!U3=0,0,11630*1000*SER_hh_tes_in!U3/SER_hh_num_in!U3)</f>
        <v>122595.59405147626</v>
      </c>
      <c r="V3" s="125">
        <f>IF(SER_hh_tes_in!V3=0,0,11630*1000*SER_hh_tes_in!V3/SER_hh_num_in!V3)</f>
        <v>113704.72739578241</v>
      </c>
      <c r="W3" s="125">
        <f>IF(SER_hh_tes_in!W3=0,0,11630*1000*SER_hh_tes_in!W3/SER_hh_num_in!W3)</f>
        <v>112429.29621888812</v>
      </c>
      <c r="X3" s="125">
        <f>IF(SER_hh_tes_in!X3=0,0,11630*1000*SER_hh_tes_in!X3/SER_hh_num_in!X3)</f>
        <v>110226.07964986935</v>
      </c>
      <c r="Y3" s="125">
        <f>IF(SER_hh_tes_in!Y3=0,0,11630*1000*SER_hh_tes_in!Y3/SER_hh_num_in!Y3)</f>
        <v>111574.63330661018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94121.383114833297</v>
      </c>
      <c r="D4" s="130">
        <f>IF(SER_hh_tes_in!D4=0,0,11630*1000*SER_hh_tes_in!D4/SER_hh_num_in!D4)</f>
        <v>84153.789023894235</v>
      </c>
      <c r="E4" s="130">
        <f>IF(SER_hh_tes_in!E4=0,0,11630*1000*SER_hh_tes_in!E4/SER_hh_num_in!E4)</f>
        <v>114674.88150482503</v>
      </c>
      <c r="F4" s="130">
        <f>IF(SER_hh_tes_in!F4=0,0,11630*1000*SER_hh_tes_in!F4/SER_hh_num_in!F4)</f>
        <v>117304.99095467693</v>
      </c>
      <c r="G4" s="130">
        <f>IF(SER_hh_tes_in!G4=0,0,11630*1000*SER_hh_tes_in!G4/SER_hh_num_in!G4)</f>
        <v>114493.44926898043</v>
      </c>
      <c r="H4" s="130">
        <f>IF(SER_hh_tes_in!H4=0,0,11630*1000*SER_hh_tes_in!H4/SER_hh_num_in!H4)</f>
        <v>106132.30227781451</v>
      </c>
      <c r="I4" s="130">
        <f>IF(SER_hh_tes_in!I4=0,0,11630*1000*SER_hh_tes_in!I4/SER_hh_num_in!I4)</f>
        <v>104526.91261883956</v>
      </c>
      <c r="J4" s="130">
        <f>IF(SER_hh_tes_in!J4=0,0,11630*1000*SER_hh_tes_in!J4/SER_hh_num_in!J4)</f>
        <v>120001.18607882073</v>
      </c>
      <c r="K4" s="130">
        <f>IF(SER_hh_tes_in!K4=0,0,11630*1000*SER_hh_tes_in!K4/SER_hh_num_in!K4)</f>
        <v>113045.30909218697</v>
      </c>
      <c r="L4" s="130">
        <f>IF(SER_hh_tes_in!L4=0,0,11630*1000*SER_hh_tes_in!L4/SER_hh_num_in!L4)</f>
        <v>108300.35902750969</v>
      </c>
      <c r="M4" s="130">
        <f>IF(SER_hh_tes_in!M4=0,0,11630*1000*SER_hh_tes_in!M4/SER_hh_num_in!M4)</f>
        <v>96123.616988266716</v>
      </c>
      <c r="N4" s="130">
        <f>IF(SER_hh_tes_in!N4=0,0,11630*1000*SER_hh_tes_in!N4/SER_hh_num_in!N4)</f>
        <v>96471.679231724207</v>
      </c>
      <c r="O4" s="130">
        <f>IF(SER_hh_tes_in!O4=0,0,11630*1000*SER_hh_tes_in!O4/SER_hh_num_in!O4)</f>
        <v>89325.894164667407</v>
      </c>
      <c r="P4" s="130">
        <f>IF(SER_hh_tes_in!P4=0,0,11630*1000*SER_hh_tes_in!P4/SER_hh_num_in!P4)</f>
        <v>104657.50669589608</v>
      </c>
      <c r="Q4" s="130">
        <f>IF(SER_hh_tes_in!Q4=0,0,11630*1000*SER_hh_tes_in!Q4/SER_hh_num_in!Q4)</f>
        <v>94248.313271438892</v>
      </c>
      <c r="R4" s="130">
        <f>IF(SER_hh_tes_in!R4=0,0,11630*1000*SER_hh_tes_in!R4/SER_hh_num_in!R4)</f>
        <v>101885.25709582475</v>
      </c>
      <c r="S4" s="130">
        <f>IF(SER_hh_tes_in!S4=0,0,11630*1000*SER_hh_tes_in!S4/SER_hh_num_in!S4)</f>
        <v>84879.598380324198</v>
      </c>
      <c r="T4" s="130">
        <f>IF(SER_hh_tes_in!T4=0,0,11630*1000*SER_hh_tes_in!T4/SER_hh_num_in!T4)</f>
        <v>85388.911423479323</v>
      </c>
      <c r="U4" s="130">
        <f>IF(SER_hh_tes_in!U4=0,0,11630*1000*SER_hh_tes_in!U4/SER_hh_num_in!U4)</f>
        <v>74290.623496457556</v>
      </c>
      <c r="V4" s="130">
        <f>IF(SER_hh_tes_in!V4=0,0,11630*1000*SER_hh_tes_in!V4/SER_hh_num_in!V4)</f>
        <v>68767.523085105655</v>
      </c>
      <c r="W4" s="130">
        <f>IF(SER_hh_tes_in!W4=0,0,11630*1000*SER_hh_tes_in!W4/SER_hh_num_in!W4)</f>
        <v>60440.736265439489</v>
      </c>
      <c r="X4" s="130">
        <f>IF(SER_hh_tes_in!X4=0,0,11630*1000*SER_hh_tes_in!X4/SER_hh_num_in!X4)</f>
        <v>52987.973591593684</v>
      </c>
      <c r="Y4" s="130">
        <f>IF(SER_hh_tes_in!Y4=0,0,11630*1000*SER_hh_tes_in!Y4/SER_hh_num_in!Y4)</f>
        <v>49585.792348720919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105933.48738731733</v>
      </c>
      <c r="D5" s="132">
        <f>IF(SER_hh_tes_in!D5=0,0,11630*1000*SER_hh_tes_in!D5/SER_hh_num_in!D5)</f>
        <v>91734.35067065389</v>
      </c>
      <c r="E5" s="132">
        <f>IF(SER_hh_tes_in!E5=0,0,11630*1000*SER_hh_tes_in!E5/SER_hh_num_in!E5)</f>
        <v>100153.07756053726</v>
      </c>
      <c r="F5" s="132">
        <f>IF(SER_hh_tes_in!F5=0,0,11630*1000*SER_hh_tes_in!F5/SER_hh_num_in!F5)</f>
        <v>0</v>
      </c>
      <c r="G5" s="132">
        <f>IF(SER_hh_tes_in!G5=0,0,11630*1000*SER_hh_tes_in!G5/SER_hh_num_in!G5)</f>
        <v>128779.66777259097</v>
      </c>
      <c r="H5" s="132">
        <f>IF(SER_hh_tes_in!H5=0,0,11630*1000*SER_hh_tes_in!H5/SER_hh_num_in!H5)</f>
        <v>0</v>
      </c>
      <c r="I5" s="132">
        <f>IF(SER_hh_tes_in!I5=0,0,11630*1000*SER_hh_tes_in!I5/SER_hh_num_in!I5)</f>
        <v>0</v>
      </c>
      <c r="J5" s="132">
        <f>IF(SER_hh_tes_in!J5=0,0,11630*1000*SER_hh_tes_in!J5/SER_hh_num_in!J5)</f>
        <v>0</v>
      </c>
      <c r="K5" s="132">
        <f>IF(SER_hh_tes_in!K5=0,0,11630*1000*SER_hh_tes_in!K5/SER_hh_num_in!K5)</f>
        <v>0</v>
      </c>
      <c r="L5" s="132">
        <f>IF(SER_hh_tes_in!L5=0,0,11630*1000*SER_hh_tes_in!L5/SER_hh_num_in!L5)</f>
        <v>0</v>
      </c>
      <c r="M5" s="132">
        <f>IF(SER_hh_tes_in!M5=0,0,11630*1000*SER_hh_tes_in!M5/SER_hh_num_in!M5)</f>
        <v>74480.7690472213</v>
      </c>
      <c r="N5" s="132">
        <f>IF(SER_hh_tes_in!N5=0,0,11630*1000*SER_hh_tes_in!N5/SER_hh_num_in!N5)</f>
        <v>86071.721870734458</v>
      </c>
      <c r="O5" s="132">
        <f>IF(SER_hh_tes_in!O5=0,0,11630*1000*SER_hh_tes_in!O5/SER_hh_num_in!O5)</f>
        <v>135209.88398239878</v>
      </c>
      <c r="P5" s="132">
        <f>IF(SER_hh_tes_in!P5=0,0,11630*1000*SER_hh_tes_in!P5/SER_hh_num_in!P5)</f>
        <v>0</v>
      </c>
      <c r="Q5" s="132">
        <f>IF(SER_hh_tes_in!Q5=0,0,11630*1000*SER_hh_tes_in!Q5/SER_hh_num_in!Q5)</f>
        <v>0</v>
      </c>
      <c r="R5" s="132">
        <f>IF(SER_hh_tes_in!R5=0,0,11630*1000*SER_hh_tes_in!R5/SER_hh_num_in!R5)</f>
        <v>0</v>
      </c>
      <c r="S5" s="132">
        <f>IF(SER_hh_tes_in!S5=0,0,11630*1000*SER_hh_tes_in!S5/SER_hh_num_in!S5)</f>
        <v>0</v>
      </c>
      <c r="T5" s="132">
        <f>IF(SER_hh_tes_in!T5=0,0,11630*1000*SER_hh_tes_in!T5/SER_hh_num_in!T5)</f>
        <v>0</v>
      </c>
      <c r="U5" s="132">
        <f>IF(SER_hh_tes_in!U5=0,0,11630*1000*SER_hh_tes_in!U5/SER_hh_num_in!U5)</f>
        <v>0</v>
      </c>
      <c r="V5" s="132">
        <f>IF(SER_hh_tes_in!V5=0,0,11630*1000*SER_hh_tes_in!V5/SER_hh_num_in!V5)</f>
        <v>68753.674425499456</v>
      </c>
      <c r="W5" s="132">
        <f>IF(SER_hh_tes_in!W5=0,0,11630*1000*SER_hh_tes_in!W5/SER_hh_num_in!W5)</f>
        <v>0</v>
      </c>
      <c r="X5" s="132">
        <f>IF(SER_hh_tes_in!X5=0,0,11630*1000*SER_hh_tes_in!X5/SER_hh_num_in!X5)</f>
        <v>0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109833.63257736826</v>
      </c>
      <c r="D7" s="132">
        <f>IF(SER_hh_tes_in!D7=0,0,11630*1000*SER_hh_tes_in!D7/SER_hh_num_in!D7)</f>
        <v>0</v>
      </c>
      <c r="E7" s="132">
        <f>IF(SER_hh_tes_in!E7=0,0,11630*1000*SER_hh_tes_in!E7/SER_hh_num_in!E7)</f>
        <v>0</v>
      </c>
      <c r="F7" s="132">
        <f>IF(SER_hh_tes_in!F7=0,0,11630*1000*SER_hh_tes_in!F7/SER_hh_num_in!F7)</f>
        <v>0</v>
      </c>
      <c r="G7" s="132">
        <f>IF(SER_hh_tes_in!G7=0,0,11630*1000*SER_hh_tes_in!G7/SER_hh_num_in!G7)</f>
        <v>0</v>
      </c>
      <c r="H7" s="132">
        <f>IF(SER_hh_tes_in!H7=0,0,11630*1000*SER_hh_tes_in!H7/SER_hh_num_in!H7)</f>
        <v>96723.760188684333</v>
      </c>
      <c r="I7" s="132">
        <f>IF(SER_hh_tes_in!I7=0,0,11630*1000*SER_hh_tes_in!I7/SER_hh_num_in!I7)</f>
        <v>107102.10351109885</v>
      </c>
      <c r="J7" s="132">
        <f>IF(SER_hh_tes_in!J7=0,0,11630*1000*SER_hh_tes_in!J7/SER_hh_num_in!J7)</f>
        <v>112352.3048247375</v>
      </c>
      <c r="K7" s="132">
        <f>IF(SER_hh_tes_in!K7=0,0,11630*1000*SER_hh_tes_in!K7/SER_hh_num_in!K7)</f>
        <v>103139.64464274135</v>
      </c>
      <c r="L7" s="132">
        <f>IF(SER_hh_tes_in!L7=0,0,11630*1000*SER_hh_tes_in!L7/SER_hh_num_in!L7)</f>
        <v>82176.770787116518</v>
      </c>
      <c r="M7" s="132">
        <f>IF(SER_hh_tes_in!M7=0,0,11630*1000*SER_hh_tes_in!M7/SER_hh_num_in!M7)</f>
        <v>105473.60489900158</v>
      </c>
      <c r="N7" s="132">
        <f>IF(SER_hh_tes_in!N7=0,0,11630*1000*SER_hh_tes_in!N7/SER_hh_num_in!N7)</f>
        <v>104614.33493729515</v>
      </c>
      <c r="O7" s="132">
        <f>IF(SER_hh_tes_in!O7=0,0,11630*1000*SER_hh_tes_in!O7/SER_hh_num_in!O7)</f>
        <v>97521.944176295103</v>
      </c>
      <c r="P7" s="132">
        <f>IF(SER_hh_tes_in!P7=0,0,11630*1000*SER_hh_tes_in!P7/SER_hh_num_in!P7)</f>
        <v>0</v>
      </c>
      <c r="Q7" s="132">
        <f>IF(SER_hh_tes_in!Q7=0,0,11630*1000*SER_hh_tes_in!Q7/SER_hh_num_in!Q7)</f>
        <v>0</v>
      </c>
      <c r="R7" s="132">
        <f>IF(SER_hh_tes_in!R7=0,0,11630*1000*SER_hh_tes_in!R7/SER_hh_num_in!R7)</f>
        <v>0</v>
      </c>
      <c r="S7" s="132">
        <f>IF(SER_hh_tes_in!S7=0,0,11630*1000*SER_hh_tes_in!S7/SER_hh_num_in!S7)</f>
        <v>0</v>
      </c>
      <c r="T7" s="132">
        <f>IF(SER_hh_tes_in!T7=0,0,11630*1000*SER_hh_tes_in!T7/SER_hh_num_in!T7)</f>
        <v>0</v>
      </c>
      <c r="U7" s="132">
        <f>IF(SER_hh_tes_in!U7=0,0,11630*1000*SER_hh_tes_in!U7/SER_hh_num_in!U7)</f>
        <v>0</v>
      </c>
      <c r="V7" s="132">
        <f>IF(SER_hh_tes_in!V7=0,0,11630*1000*SER_hh_tes_in!V7/SER_hh_num_in!V7)</f>
        <v>0</v>
      </c>
      <c r="W7" s="132">
        <f>IF(SER_hh_tes_in!W7=0,0,11630*1000*SER_hh_tes_in!W7/SER_hh_num_in!W7)</f>
        <v>51772.526201347609</v>
      </c>
      <c r="X7" s="132">
        <f>IF(SER_hh_tes_in!X7=0,0,11630*1000*SER_hh_tes_in!X7/SER_hh_num_in!X7)</f>
        <v>48830.681231647046</v>
      </c>
      <c r="Y7" s="132">
        <f>IF(SER_hh_tes_in!Y7=0,0,11630*1000*SER_hh_tes_in!Y7/SER_hh_num_in!Y7)</f>
        <v>49817.186764227576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0</v>
      </c>
      <c r="D8" s="132">
        <f>IF(SER_hh_tes_in!D8=0,0,11630*1000*SER_hh_tes_in!D8/SER_hh_num_in!D8)</f>
        <v>0</v>
      </c>
      <c r="E8" s="132">
        <f>IF(SER_hh_tes_in!E8=0,0,11630*1000*SER_hh_tes_in!E8/SER_hh_num_in!E8)</f>
        <v>0</v>
      </c>
      <c r="F8" s="132">
        <f>IF(SER_hh_tes_in!F8=0,0,11630*1000*SER_hh_tes_in!F8/SER_hh_num_in!F8)</f>
        <v>0</v>
      </c>
      <c r="G8" s="132">
        <f>IF(SER_hh_tes_in!G8=0,0,11630*1000*SER_hh_tes_in!G8/SER_hh_num_in!G8)</f>
        <v>0</v>
      </c>
      <c r="H8" s="132">
        <f>IF(SER_hh_tes_in!H8=0,0,11630*1000*SER_hh_tes_in!H8/SER_hh_num_in!H8)</f>
        <v>0</v>
      </c>
      <c r="I8" s="132">
        <f>IF(SER_hh_tes_in!I8=0,0,11630*1000*SER_hh_tes_in!I8/SER_hh_num_in!I8)</f>
        <v>0</v>
      </c>
      <c r="J8" s="132">
        <f>IF(SER_hh_tes_in!J8=0,0,11630*1000*SER_hh_tes_in!J8/SER_hh_num_in!J8)</f>
        <v>0</v>
      </c>
      <c r="K8" s="132">
        <f>IF(SER_hh_tes_in!K8=0,0,11630*1000*SER_hh_tes_in!K8/SER_hh_num_in!K8)</f>
        <v>0</v>
      </c>
      <c r="L8" s="132">
        <f>IF(SER_hh_tes_in!L8=0,0,11630*1000*SER_hh_tes_in!L8/SER_hh_num_in!L8)</f>
        <v>0</v>
      </c>
      <c r="M8" s="132">
        <f>IF(SER_hh_tes_in!M8=0,0,11630*1000*SER_hh_tes_in!M8/SER_hh_num_in!M8)</f>
        <v>0</v>
      </c>
      <c r="N8" s="132">
        <f>IF(SER_hh_tes_in!N8=0,0,11630*1000*SER_hh_tes_in!N8/SER_hh_num_in!N8)</f>
        <v>0</v>
      </c>
      <c r="O8" s="132">
        <f>IF(SER_hh_tes_in!O8=0,0,11630*1000*SER_hh_tes_in!O8/SER_hh_num_in!O8)</f>
        <v>0</v>
      </c>
      <c r="P8" s="132">
        <f>IF(SER_hh_tes_in!P8=0,0,11630*1000*SER_hh_tes_in!P8/SER_hh_num_in!P8)</f>
        <v>0</v>
      </c>
      <c r="Q8" s="132">
        <f>IF(SER_hh_tes_in!Q8=0,0,11630*1000*SER_hh_tes_in!Q8/SER_hh_num_in!Q8)</f>
        <v>0</v>
      </c>
      <c r="R8" s="132">
        <f>IF(SER_hh_tes_in!R8=0,0,11630*1000*SER_hh_tes_in!R8/SER_hh_num_in!R8)</f>
        <v>0</v>
      </c>
      <c r="S8" s="132">
        <f>IF(SER_hh_tes_in!S8=0,0,11630*1000*SER_hh_tes_in!S8/SER_hh_num_in!S8)</f>
        <v>0</v>
      </c>
      <c r="T8" s="132">
        <f>IF(SER_hh_tes_in!T8=0,0,11630*1000*SER_hh_tes_in!T8/SER_hh_num_in!T8)</f>
        <v>0</v>
      </c>
      <c r="U8" s="132">
        <f>IF(SER_hh_tes_in!U8=0,0,11630*1000*SER_hh_tes_in!U8/SER_hh_num_in!U8)</f>
        <v>0</v>
      </c>
      <c r="V8" s="132">
        <f>IF(SER_hh_tes_in!V8=0,0,11630*1000*SER_hh_tes_in!V8/SER_hh_num_in!V8)</f>
        <v>0</v>
      </c>
      <c r="W8" s="132">
        <f>IF(SER_hh_tes_in!W8=0,0,11630*1000*SER_hh_tes_in!W8/SER_hh_num_in!W8)</f>
        <v>0</v>
      </c>
      <c r="X8" s="132">
        <f>IF(SER_hh_tes_in!X8=0,0,11630*1000*SER_hh_tes_in!X8/SER_hh_num_in!X8)</f>
        <v>0</v>
      </c>
      <c r="Y8" s="132">
        <f>IF(SER_hh_tes_in!Y8=0,0,11630*1000*SER_hh_tes_in!Y8/SER_hh_num_in!Y8)</f>
        <v>0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97360.349380762942</v>
      </c>
      <c r="D9" s="132">
        <f>IF(SER_hh_tes_in!D9=0,0,11630*1000*SER_hh_tes_in!D9/SER_hh_num_in!D9)</f>
        <v>69108.193208616562</v>
      </c>
      <c r="E9" s="132">
        <f>IF(SER_hh_tes_in!E9=0,0,11630*1000*SER_hh_tes_in!E9/SER_hh_num_in!E9)</f>
        <v>136731.7453739871</v>
      </c>
      <c r="F9" s="132">
        <f>IF(SER_hh_tes_in!F9=0,0,11630*1000*SER_hh_tes_in!F9/SER_hh_num_in!F9)</f>
        <v>119775.54186247596</v>
      </c>
      <c r="G9" s="132">
        <f>IF(SER_hh_tes_in!G9=0,0,11630*1000*SER_hh_tes_in!G9/SER_hh_num_in!G9)</f>
        <v>0</v>
      </c>
      <c r="H9" s="132">
        <f>IF(SER_hh_tes_in!H9=0,0,11630*1000*SER_hh_tes_in!H9/SER_hh_num_in!H9)</f>
        <v>0</v>
      </c>
      <c r="I9" s="132">
        <f>IF(SER_hh_tes_in!I9=0,0,11630*1000*SER_hh_tes_in!I9/SER_hh_num_in!I9)</f>
        <v>0</v>
      </c>
      <c r="J9" s="132">
        <f>IF(SER_hh_tes_in!J9=0,0,11630*1000*SER_hh_tes_in!J9/SER_hh_num_in!J9)</f>
        <v>0</v>
      </c>
      <c r="K9" s="132">
        <f>IF(SER_hh_tes_in!K9=0,0,11630*1000*SER_hh_tes_in!K9/SER_hh_num_in!K9)</f>
        <v>0</v>
      </c>
      <c r="L9" s="132">
        <f>IF(SER_hh_tes_in!L9=0,0,11630*1000*SER_hh_tes_in!L9/SER_hh_num_in!L9)</f>
        <v>0</v>
      </c>
      <c r="M9" s="132">
        <f>IF(SER_hh_tes_in!M9=0,0,11630*1000*SER_hh_tes_in!M9/SER_hh_num_in!M9)</f>
        <v>89795.16795169111</v>
      </c>
      <c r="N9" s="132">
        <f>IF(SER_hh_tes_in!N9=0,0,11630*1000*SER_hh_tes_in!N9/SER_hh_num_in!N9)</f>
        <v>82718.665852765131</v>
      </c>
      <c r="O9" s="132">
        <f>IF(SER_hh_tes_in!O9=0,0,11630*1000*SER_hh_tes_in!O9/SER_hh_num_in!O9)</f>
        <v>83853.783219461111</v>
      </c>
      <c r="P9" s="132">
        <f>IF(SER_hh_tes_in!P9=0,0,11630*1000*SER_hh_tes_in!P9/SER_hh_num_in!P9)</f>
        <v>105429.79382589378</v>
      </c>
      <c r="Q9" s="132">
        <f>IF(SER_hh_tes_in!Q9=0,0,11630*1000*SER_hh_tes_in!Q9/SER_hh_num_in!Q9)</f>
        <v>96365.296128176094</v>
      </c>
      <c r="R9" s="132">
        <f>IF(SER_hh_tes_in!R9=0,0,11630*1000*SER_hh_tes_in!R9/SER_hh_num_in!R9)</f>
        <v>104212.16063043168</v>
      </c>
      <c r="S9" s="132">
        <f>IF(SER_hh_tes_in!S9=0,0,11630*1000*SER_hh_tes_in!S9/SER_hh_num_in!S9)</f>
        <v>84046.013783958158</v>
      </c>
      <c r="T9" s="132">
        <f>IF(SER_hh_tes_in!T9=0,0,11630*1000*SER_hh_tes_in!T9/SER_hh_num_in!T9)</f>
        <v>84997.167360445907</v>
      </c>
      <c r="U9" s="132">
        <f>IF(SER_hh_tes_in!U9=0,0,11630*1000*SER_hh_tes_in!U9/SER_hh_num_in!U9)</f>
        <v>73864.32230283416</v>
      </c>
      <c r="V9" s="132">
        <f>IF(SER_hh_tes_in!V9=0,0,11630*1000*SER_hh_tes_in!V9/SER_hh_num_in!V9)</f>
        <v>0</v>
      </c>
      <c r="W9" s="132">
        <f>IF(SER_hh_tes_in!W9=0,0,11630*1000*SER_hh_tes_in!W9/SER_hh_num_in!W9)</f>
        <v>0</v>
      </c>
      <c r="X9" s="132">
        <f>IF(SER_hh_tes_in!X9=0,0,11630*1000*SER_hh_tes_in!X9/SER_hh_num_in!X9)</f>
        <v>0</v>
      </c>
      <c r="Y9" s="132">
        <f>IF(SER_hh_tes_in!Y9=0,0,11630*1000*SER_hh_tes_in!Y9/SER_hh_num_in!Y9)</f>
        <v>0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100623.41122740538</v>
      </c>
      <c r="D10" s="132">
        <f>IF(SER_hh_tes_in!D10=0,0,11630*1000*SER_hh_tes_in!D10/SER_hh_num_in!D10)</f>
        <v>89122.005959182847</v>
      </c>
      <c r="E10" s="132">
        <f>IF(SER_hh_tes_in!E10=0,0,11630*1000*SER_hh_tes_in!E10/SER_hh_num_in!E10)</f>
        <v>86204.718681942686</v>
      </c>
      <c r="F10" s="132">
        <f>IF(SER_hh_tes_in!F10=0,0,11630*1000*SER_hh_tes_in!F10/SER_hh_num_in!F10)</f>
        <v>151392.16798580193</v>
      </c>
      <c r="G10" s="132">
        <f>IF(SER_hh_tes_in!G10=0,0,11630*1000*SER_hh_tes_in!G10/SER_hh_num_in!G10)</f>
        <v>95103.223453109851</v>
      </c>
      <c r="H10" s="132">
        <f>IF(SER_hh_tes_in!H10=0,0,11630*1000*SER_hh_tes_in!H10/SER_hh_num_in!H10)</f>
        <v>108265.76314948259</v>
      </c>
      <c r="I10" s="132">
        <f>IF(SER_hh_tes_in!I10=0,0,11630*1000*SER_hh_tes_in!I10/SER_hh_num_in!I10)</f>
        <v>114842.72099715254</v>
      </c>
      <c r="J10" s="132">
        <f>IF(SER_hh_tes_in!J10=0,0,11630*1000*SER_hh_tes_in!J10/SER_hh_num_in!J10)</f>
        <v>0</v>
      </c>
      <c r="K10" s="132">
        <f>IF(SER_hh_tes_in!K10=0,0,11630*1000*SER_hh_tes_in!K10/SER_hh_num_in!K10)</f>
        <v>0</v>
      </c>
      <c r="L10" s="132">
        <f>IF(SER_hh_tes_in!L10=0,0,11630*1000*SER_hh_tes_in!L10/SER_hh_num_in!L10)</f>
        <v>107841.10795754992</v>
      </c>
      <c r="M10" s="132">
        <f>IF(SER_hh_tes_in!M10=0,0,11630*1000*SER_hh_tes_in!M10/SER_hh_num_in!M10)</f>
        <v>115204.69404452007</v>
      </c>
      <c r="N10" s="132">
        <f>IF(SER_hh_tes_in!N10=0,0,11630*1000*SER_hh_tes_in!N10/SER_hh_num_in!N10)</f>
        <v>0</v>
      </c>
      <c r="O10" s="132">
        <f>IF(SER_hh_tes_in!O10=0,0,11630*1000*SER_hh_tes_in!O10/SER_hh_num_in!O10)</f>
        <v>0</v>
      </c>
      <c r="P10" s="132">
        <f>IF(SER_hh_tes_in!P10=0,0,11630*1000*SER_hh_tes_in!P10/SER_hh_num_in!P10)</f>
        <v>0</v>
      </c>
      <c r="Q10" s="132">
        <f>IF(SER_hh_tes_in!Q10=0,0,11630*1000*SER_hh_tes_in!Q10/SER_hh_num_in!Q10)</f>
        <v>0</v>
      </c>
      <c r="R10" s="132">
        <f>IF(SER_hh_tes_in!R10=0,0,11630*1000*SER_hh_tes_in!R10/SER_hh_num_in!R10)</f>
        <v>87402.42679778632</v>
      </c>
      <c r="S10" s="132">
        <f>IF(SER_hh_tes_in!S10=0,0,11630*1000*SER_hh_tes_in!S10/SER_hh_num_in!S10)</f>
        <v>89749.174221062014</v>
      </c>
      <c r="T10" s="132">
        <f>IF(SER_hh_tes_in!T10=0,0,11630*1000*SER_hh_tes_in!T10/SER_hh_num_in!T10)</f>
        <v>74339.153691915621</v>
      </c>
      <c r="U10" s="132">
        <f>IF(SER_hh_tes_in!U10=0,0,11630*1000*SER_hh_tes_in!U10/SER_hh_num_in!U10)</f>
        <v>75264.053296076716</v>
      </c>
      <c r="V10" s="132">
        <f>IF(SER_hh_tes_in!V10=0,0,11630*1000*SER_hh_tes_in!V10/SER_hh_num_in!V10)</f>
        <v>85628.310645268371</v>
      </c>
      <c r="W10" s="132">
        <f>IF(SER_hh_tes_in!W10=0,0,11630*1000*SER_hh_tes_in!W10/SER_hh_num_in!W10)</f>
        <v>60544.693775151514</v>
      </c>
      <c r="X10" s="132">
        <f>IF(SER_hh_tes_in!X10=0,0,11630*1000*SER_hh_tes_in!X10/SER_hh_num_in!X10)</f>
        <v>61261.038372492396</v>
      </c>
      <c r="Y10" s="132">
        <f>IF(SER_hh_tes_in!Y10=0,0,11630*1000*SER_hh_tes_in!Y10/SER_hh_num_in!Y10)</f>
        <v>0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0</v>
      </c>
      <c r="J11" s="132">
        <f>IF(SER_hh_tes_in!J11=0,0,11630*1000*SER_hh_tes_in!J11/SER_hh_num_in!J11)</f>
        <v>0</v>
      </c>
      <c r="K11" s="132">
        <f>IF(SER_hh_tes_in!K11=0,0,11630*1000*SER_hh_tes_in!K11/SER_hh_num_in!K11)</f>
        <v>0</v>
      </c>
      <c r="L11" s="132">
        <f>IF(SER_hh_tes_in!L11=0,0,11630*1000*SER_hh_tes_in!L11/SER_hh_num_in!L11)</f>
        <v>0</v>
      </c>
      <c r="M11" s="132">
        <f>IF(SER_hh_tes_in!M11=0,0,11630*1000*SER_hh_tes_in!M11/SER_hh_num_in!M11)</f>
        <v>0</v>
      </c>
      <c r="N11" s="132">
        <f>IF(SER_hh_tes_in!N11=0,0,11630*1000*SER_hh_tes_in!N11/SER_hh_num_in!N11)</f>
        <v>0</v>
      </c>
      <c r="O11" s="132">
        <f>IF(SER_hh_tes_in!O11=0,0,11630*1000*SER_hh_tes_in!O11/SER_hh_num_in!O11)</f>
        <v>0</v>
      </c>
      <c r="P11" s="132">
        <f>IF(SER_hh_tes_in!P11=0,0,11630*1000*SER_hh_tes_in!P11/SER_hh_num_in!P11)</f>
        <v>0</v>
      </c>
      <c r="Q11" s="132">
        <f>IF(SER_hh_tes_in!Q11=0,0,11630*1000*SER_hh_tes_in!Q11/SER_hh_num_in!Q11)</f>
        <v>0</v>
      </c>
      <c r="R11" s="132">
        <f>IF(SER_hh_tes_in!R11=0,0,11630*1000*SER_hh_tes_in!R11/SER_hh_num_in!R11)</f>
        <v>0</v>
      </c>
      <c r="S11" s="132">
        <f>IF(SER_hh_tes_in!S11=0,0,11630*1000*SER_hh_tes_in!S11/SER_hh_num_in!S11)</f>
        <v>0</v>
      </c>
      <c r="T11" s="132">
        <f>IF(SER_hh_tes_in!T11=0,0,11630*1000*SER_hh_tes_in!T11/SER_hh_num_in!T11)</f>
        <v>0</v>
      </c>
      <c r="U11" s="132">
        <f>IF(SER_hh_tes_in!U11=0,0,11630*1000*SER_hh_tes_in!U11/SER_hh_num_in!U11)</f>
        <v>0</v>
      </c>
      <c r="V11" s="132">
        <f>IF(SER_hh_tes_in!V11=0,0,11630*1000*SER_hh_tes_in!V11/SER_hh_num_in!V11)</f>
        <v>0</v>
      </c>
      <c r="W11" s="132">
        <f>IF(SER_hh_tes_in!W11=0,0,11630*1000*SER_hh_tes_in!W11/SER_hh_num_in!W11)</f>
        <v>0</v>
      </c>
      <c r="X11" s="132">
        <f>IF(SER_hh_tes_in!X11=0,0,11630*1000*SER_hh_tes_in!X11/SER_hh_num_in!X11)</f>
        <v>0</v>
      </c>
      <c r="Y11" s="132">
        <f>IF(SER_hh_tes_in!Y11=0,0,11630*1000*SER_hh_tes_in!Y11/SER_hh_num_in!Y11)</f>
        <v>0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78557.038004911316</v>
      </c>
      <c r="D12" s="132">
        <f>IF(SER_hh_tes_in!D12=0,0,11630*1000*SER_hh_tes_in!D12/SER_hh_num_in!D12)</f>
        <v>94773.428525901269</v>
      </c>
      <c r="E12" s="132">
        <f>IF(SER_hh_tes_in!E12=0,0,11630*1000*SER_hh_tes_in!E12/SER_hh_num_in!E12)</f>
        <v>92696.741885948781</v>
      </c>
      <c r="F12" s="132">
        <f>IF(SER_hh_tes_in!F12=0,0,11630*1000*SER_hh_tes_in!F12/SER_hh_num_in!F12)</f>
        <v>112949.1443333827</v>
      </c>
      <c r="G12" s="132">
        <f>IF(SER_hh_tes_in!G12=0,0,11630*1000*SER_hh_tes_in!G12/SER_hh_num_in!G12)</f>
        <v>122329.14542546473</v>
      </c>
      <c r="H12" s="132">
        <f>IF(SER_hh_tes_in!H12=0,0,11630*1000*SER_hh_tes_in!H12/SER_hh_num_in!H12)</f>
        <v>103513.10518142571</v>
      </c>
      <c r="I12" s="132">
        <f>IF(SER_hh_tes_in!I12=0,0,11630*1000*SER_hh_tes_in!I12/SER_hh_num_in!I12)</f>
        <v>96180.187418038855</v>
      </c>
      <c r="J12" s="132">
        <f>IF(SER_hh_tes_in!J12=0,0,11630*1000*SER_hh_tes_in!J12/SER_hh_num_in!J12)</f>
        <v>117318.79975148368</v>
      </c>
      <c r="K12" s="132">
        <f>IF(SER_hh_tes_in!K12=0,0,11630*1000*SER_hh_tes_in!K12/SER_hh_num_in!K12)</f>
        <v>113325.63023827177</v>
      </c>
      <c r="L12" s="132">
        <f>IF(SER_hh_tes_in!L12=0,0,11630*1000*SER_hh_tes_in!L12/SER_hh_num_in!L12)</f>
        <v>117660.15458879882</v>
      </c>
      <c r="M12" s="132">
        <f>IF(SER_hh_tes_in!M12=0,0,11630*1000*SER_hh_tes_in!M12/SER_hh_num_in!M12)</f>
        <v>89235.425060403155</v>
      </c>
      <c r="N12" s="132">
        <f>IF(SER_hh_tes_in!N12=0,0,11630*1000*SER_hh_tes_in!N12/SER_hh_num_in!N12)</f>
        <v>98261.760392835349</v>
      </c>
      <c r="O12" s="132">
        <f>IF(SER_hh_tes_in!O12=0,0,11630*1000*SER_hh_tes_in!O12/SER_hh_num_in!O12)</f>
        <v>89927.282265793518</v>
      </c>
      <c r="P12" s="132">
        <f>IF(SER_hh_tes_in!P12=0,0,11630*1000*SER_hh_tes_in!P12/SER_hh_num_in!P12)</f>
        <v>95335.96208956388</v>
      </c>
      <c r="Q12" s="132">
        <f>IF(SER_hh_tes_in!Q12=0,0,11630*1000*SER_hh_tes_in!Q12/SER_hh_num_in!Q12)</f>
        <v>90743.873931353606</v>
      </c>
      <c r="R12" s="132">
        <f>IF(SER_hh_tes_in!R12=0,0,11630*1000*SER_hh_tes_in!R12/SER_hh_num_in!R12)</f>
        <v>97299.300747454079</v>
      </c>
      <c r="S12" s="132">
        <f>IF(SER_hh_tes_in!S12=0,0,11630*1000*SER_hh_tes_in!S12/SER_hh_num_in!S12)</f>
        <v>88237.85928809327</v>
      </c>
      <c r="T12" s="132">
        <f>IF(SER_hh_tes_in!T12=0,0,11630*1000*SER_hh_tes_in!T12/SER_hh_num_in!T12)</f>
        <v>86208.268341702103</v>
      </c>
      <c r="U12" s="132">
        <f>IF(SER_hh_tes_in!U12=0,0,11630*1000*SER_hh_tes_in!U12/SER_hh_num_in!U12)</f>
        <v>68800.762541454736</v>
      </c>
      <c r="V12" s="132">
        <f>IF(SER_hh_tes_in!V12=0,0,11630*1000*SER_hh_tes_in!V12/SER_hh_num_in!V12)</f>
        <v>67874.947130057801</v>
      </c>
      <c r="W12" s="132">
        <f>IF(SER_hh_tes_in!W12=0,0,11630*1000*SER_hh_tes_in!W12/SER_hh_num_in!W12)</f>
        <v>56990.772611314474</v>
      </c>
      <c r="X12" s="132">
        <f>IF(SER_hh_tes_in!X12=0,0,11630*1000*SER_hh_tes_in!X12/SER_hh_num_in!X12)</f>
        <v>53116.443564538044</v>
      </c>
      <c r="Y12" s="132">
        <f>IF(SER_hh_tes_in!Y12=0,0,11630*1000*SER_hh_tes_in!Y12/SER_hh_num_in!Y12)</f>
        <v>49181.369699862436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0</v>
      </c>
      <c r="D13" s="132">
        <f>IF(SER_hh_tes_in!D13=0,0,11630*1000*SER_hh_tes_in!D13/SER_hh_num_in!D13)</f>
        <v>0</v>
      </c>
      <c r="E13" s="132">
        <f>IF(SER_hh_tes_in!E13=0,0,11630*1000*SER_hh_tes_in!E13/SER_hh_num_in!E13)</f>
        <v>0</v>
      </c>
      <c r="F13" s="132">
        <f>IF(SER_hh_tes_in!F13=0,0,11630*1000*SER_hh_tes_in!F13/SER_hh_num_in!F13)</f>
        <v>0</v>
      </c>
      <c r="G13" s="132">
        <f>IF(SER_hh_tes_in!G13=0,0,11630*1000*SER_hh_tes_in!G13/SER_hh_num_in!G13)</f>
        <v>0</v>
      </c>
      <c r="H13" s="132">
        <f>IF(SER_hh_tes_in!H13=0,0,11630*1000*SER_hh_tes_in!H13/SER_hh_num_in!H13)</f>
        <v>0</v>
      </c>
      <c r="I13" s="132">
        <f>IF(SER_hh_tes_in!I13=0,0,11630*1000*SER_hh_tes_in!I13/SER_hh_num_in!I13)</f>
        <v>0</v>
      </c>
      <c r="J13" s="132">
        <f>IF(SER_hh_tes_in!J13=0,0,11630*1000*SER_hh_tes_in!J13/SER_hh_num_in!J13)</f>
        <v>0</v>
      </c>
      <c r="K13" s="132">
        <f>IF(SER_hh_tes_in!K13=0,0,11630*1000*SER_hh_tes_in!K13/SER_hh_num_in!K13)</f>
        <v>0</v>
      </c>
      <c r="L13" s="132">
        <f>IF(SER_hh_tes_in!L13=0,0,11630*1000*SER_hh_tes_in!L13/SER_hh_num_in!L13)</f>
        <v>0</v>
      </c>
      <c r="M13" s="132">
        <f>IF(SER_hh_tes_in!M13=0,0,11630*1000*SER_hh_tes_in!M13/SER_hh_num_in!M13)</f>
        <v>0</v>
      </c>
      <c r="N13" s="132">
        <f>IF(SER_hh_tes_in!N13=0,0,11630*1000*SER_hh_tes_in!N13/SER_hh_num_in!N13)</f>
        <v>0</v>
      </c>
      <c r="O13" s="132">
        <f>IF(SER_hh_tes_in!O13=0,0,11630*1000*SER_hh_tes_in!O13/SER_hh_num_in!O13)</f>
        <v>0</v>
      </c>
      <c r="P13" s="132">
        <f>IF(SER_hh_tes_in!P13=0,0,11630*1000*SER_hh_tes_in!P13/SER_hh_num_in!P13)</f>
        <v>0</v>
      </c>
      <c r="Q13" s="132">
        <f>IF(SER_hh_tes_in!Q13=0,0,11630*1000*SER_hh_tes_in!Q13/SER_hh_num_in!Q13)</f>
        <v>0</v>
      </c>
      <c r="R13" s="132">
        <f>IF(SER_hh_tes_in!R13=0,0,11630*1000*SER_hh_tes_in!R13/SER_hh_num_in!R13)</f>
        <v>0</v>
      </c>
      <c r="S13" s="132">
        <f>IF(SER_hh_tes_in!S13=0,0,11630*1000*SER_hh_tes_in!S13/SER_hh_num_in!S13)</f>
        <v>0</v>
      </c>
      <c r="T13" s="132">
        <f>IF(SER_hh_tes_in!T13=0,0,11630*1000*SER_hh_tes_in!T13/SER_hh_num_in!T13)</f>
        <v>0</v>
      </c>
      <c r="U13" s="132">
        <f>IF(SER_hh_tes_in!U13=0,0,11630*1000*SER_hh_tes_in!U13/SER_hh_num_in!U13)</f>
        <v>0</v>
      </c>
      <c r="V13" s="132">
        <f>IF(SER_hh_tes_in!V13=0,0,11630*1000*SER_hh_tes_in!V13/SER_hh_num_in!V13)</f>
        <v>0</v>
      </c>
      <c r="W13" s="132">
        <f>IF(SER_hh_tes_in!W13=0,0,11630*1000*SER_hh_tes_in!W13/SER_hh_num_in!W13)</f>
        <v>0</v>
      </c>
      <c r="X13" s="132">
        <f>IF(SER_hh_tes_in!X13=0,0,11630*1000*SER_hh_tes_in!X13/SER_hh_num_in!X13)</f>
        <v>0</v>
      </c>
      <c r="Y13" s="132">
        <f>IF(SER_hh_tes_in!Y13=0,0,11630*1000*SER_hh_tes_in!Y13/SER_hh_num_in!Y13)</f>
        <v>0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92573.946792884846</v>
      </c>
      <c r="D14" s="65">
        <f>IF(SER_hh_tes_in!D14=0,0,11630*1000*SER_hh_tes_in!D14/SER_hh_num_in!D14)</f>
        <v>99442.555654292941</v>
      </c>
      <c r="E14" s="65">
        <f>IF(SER_hh_tes_in!E14=0,0,11630*1000*SER_hh_tes_in!E14/SER_hh_num_in!E14)</f>
        <v>94877.604258307416</v>
      </c>
      <c r="F14" s="65">
        <f>IF(SER_hh_tes_in!F14=0,0,11630*1000*SER_hh_tes_in!F14/SER_hh_num_in!F14)</f>
        <v>113195.83354663175</v>
      </c>
      <c r="G14" s="65">
        <f>IF(SER_hh_tes_in!G14=0,0,11630*1000*SER_hh_tes_in!G14/SER_hh_num_in!G14)</f>
        <v>101963.3093521257</v>
      </c>
      <c r="H14" s="65">
        <f>IF(SER_hh_tes_in!H14=0,0,11630*1000*SER_hh_tes_in!H14/SER_hh_num_in!H14)</f>
        <v>108334.24556726211</v>
      </c>
      <c r="I14" s="65">
        <f>IF(SER_hh_tes_in!I14=0,0,11630*1000*SER_hh_tes_in!I14/SER_hh_num_in!I14)</f>
        <v>110755.72071899215</v>
      </c>
      <c r="J14" s="65">
        <f>IF(SER_hh_tes_in!J14=0,0,11630*1000*SER_hh_tes_in!J14/SER_hh_num_in!J14)</f>
        <v>122423.62694840448</v>
      </c>
      <c r="K14" s="65">
        <f>IF(SER_hh_tes_in!K14=0,0,11630*1000*SER_hh_tes_in!K14/SER_hh_num_in!K14)</f>
        <v>117829.29400639086</v>
      </c>
      <c r="L14" s="65">
        <f>IF(SER_hh_tes_in!L14=0,0,11630*1000*SER_hh_tes_in!L14/SER_hh_num_in!L14)</f>
        <v>107833.4582912554</v>
      </c>
      <c r="M14" s="65">
        <f>IF(SER_hh_tes_in!M14=0,0,11630*1000*SER_hh_tes_in!M14/SER_hh_num_in!M14)</f>
        <v>86830.313533175125</v>
      </c>
      <c r="N14" s="65">
        <f>IF(SER_hh_tes_in!N14=0,0,11630*1000*SER_hh_tes_in!N14/SER_hh_num_in!N14)</f>
        <v>97974.654321684124</v>
      </c>
      <c r="O14" s="65">
        <f>IF(SER_hh_tes_in!O14=0,0,11630*1000*SER_hh_tes_in!O14/SER_hh_num_in!O14)</f>
        <v>87625.226577472858</v>
      </c>
      <c r="P14" s="65">
        <f>IF(SER_hh_tes_in!P14=0,0,11630*1000*SER_hh_tes_in!P14/SER_hh_num_in!P14)</f>
        <v>102449.57132880017</v>
      </c>
      <c r="Q14" s="65">
        <f>IF(SER_hh_tes_in!Q14=0,0,11630*1000*SER_hh_tes_in!Q14/SER_hh_num_in!Q14)</f>
        <v>93415.940823339144</v>
      </c>
      <c r="R14" s="65">
        <f>IF(SER_hh_tes_in!R14=0,0,11630*1000*SER_hh_tes_in!R14/SER_hh_num_in!R14)</f>
        <v>103415.5489342278</v>
      </c>
      <c r="S14" s="65">
        <f>IF(SER_hh_tes_in!S14=0,0,11630*1000*SER_hh_tes_in!S14/SER_hh_num_in!S14)</f>
        <v>77013.354085734856</v>
      </c>
      <c r="T14" s="65">
        <f>IF(SER_hh_tes_in!T14=0,0,11630*1000*SER_hh_tes_in!T14/SER_hh_num_in!T14)</f>
        <v>85284.975659184551</v>
      </c>
      <c r="U14" s="65">
        <f>IF(SER_hh_tes_in!U14=0,0,11630*1000*SER_hh_tes_in!U14/SER_hh_num_in!U14)</f>
        <v>76709.864716994809</v>
      </c>
      <c r="V14" s="65">
        <f>IF(SER_hh_tes_in!V14=0,0,11630*1000*SER_hh_tes_in!V14/SER_hh_num_in!V14)</f>
        <v>68481.805178656185</v>
      </c>
      <c r="W14" s="65">
        <f>IF(SER_hh_tes_in!W14=0,0,11630*1000*SER_hh_tes_in!W14/SER_hh_num_in!W14)</f>
        <v>69282.588113549471</v>
      </c>
      <c r="X14" s="65">
        <f>IF(SER_hh_tes_in!X14=0,0,11630*1000*SER_hh_tes_in!X14/SER_hh_num_in!X14)</f>
        <v>55163.186533136897</v>
      </c>
      <c r="Y14" s="65">
        <f>IF(SER_hh_tes_in!Y14=0,0,11630*1000*SER_hh_tes_in!Y14/SER_hh_num_in!Y14)</f>
        <v>0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1271.0652307082848</v>
      </c>
      <c r="D15" s="134">
        <f>IF(SER_hh_tes_in!D15=0,0,11630*1000*SER_hh_tes_in!D15/SER_hh_num_in!D15)</f>
        <v>1028.5818085998367</v>
      </c>
      <c r="E15" s="134">
        <f>IF(SER_hh_tes_in!E15=0,0,11630*1000*SER_hh_tes_in!E15/SER_hh_num_in!E15)</f>
        <v>1659.8030944510451</v>
      </c>
      <c r="F15" s="134">
        <f>IF(SER_hh_tes_in!F15=0,0,11630*1000*SER_hh_tes_in!F15/SER_hh_num_in!F15)</f>
        <v>793.09390511050947</v>
      </c>
      <c r="G15" s="134">
        <f>IF(SER_hh_tes_in!G15=0,0,11630*1000*SER_hh_tes_in!G15/SER_hh_num_in!G15)</f>
        <v>587.95813083604423</v>
      </c>
      <c r="H15" s="134">
        <f>IF(SER_hh_tes_in!H15=0,0,11630*1000*SER_hh_tes_in!H15/SER_hh_num_in!H15)</f>
        <v>525.36422120474333</v>
      </c>
      <c r="I15" s="134">
        <f>IF(SER_hh_tes_in!I15=0,0,11630*1000*SER_hh_tes_in!I15/SER_hh_num_in!I15)</f>
        <v>698.11668388095779</v>
      </c>
      <c r="J15" s="134">
        <f>IF(SER_hh_tes_in!J15=0,0,11630*1000*SER_hh_tes_in!J15/SER_hh_num_in!J15)</f>
        <v>777.35851314606225</v>
      </c>
      <c r="K15" s="134">
        <f>IF(SER_hh_tes_in!K15=0,0,11630*1000*SER_hh_tes_in!K15/SER_hh_num_in!K15)</f>
        <v>844.7824824557058</v>
      </c>
      <c r="L15" s="134">
        <f>IF(SER_hh_tes_in!L15=0,0,11630*1000*SER_hh_tes_in!L15/SER_hh_num_in!L15)</f>
        <v>756.60607491670964</v>
      </c>
      <c r="M15" s="134">
        <f>IF(SER_hh_tes_in!M15=0,0,11630*1000*SER_hh_tes_in!M15/SER_hh_num_in!M15)</f>
        <v>1080.1608895153777</v>
      </c>
      <c r="N15" s="134">
        <f>IF(SER_hh_tes_in!N15=0,0,11630*1000*SER_hh_tes_in!N15/SER_hh_num_in!N15)</f>
        <v>1025.3146608715685</v>
      </c>
      <c r="O15" s="134">
        <f>IF(SER_hh_tes_in!O15=0,0,11630*1000*SER_hh_tes_in!O15/SER_hh_num_in!O15)</f>
        <v>1205.3382376650225</v>
      </c>
      <c r="P15" s="134">
        <f>IF(SER_hh_tes_in!P15=0,0,11630*1000*SER_hh_tes_in!P15/SER_hh_num_in!P15)</f>
        <v>1648.0568510365229</v>
      </c>
      <c r="Q15" s="134">
        <f>IF(SER_hh_tes_in!Q15=0,0,11630*1000*SER_hh_tes_in!Q15/SER_hh_num_in!Q15)</f>
        <v>969.68094861197278</v>
      </c>
      <c r="R15" s="134">
        <f>IF(SER_hh_tes_in!R15=0,0,11630*1000*SER_hh_tes_in!R15/SER_hh_num_in!R15)</f>
        <v>983.68039929806537</v>
      </c>
      <c r="S15" s="134">
        <f>IF(SER_hh_tes_in!S15=0,0,11630*1000*SER_hh_tes_in!S15/SER_hh_num_in!S15)</f>
        <v>663.06735656646219</v>
      </c>
      <c r="T15" s="134">
        <f>IF(SER_hh_tes_in!T15=0,0,11630*1000*SER_hh_tes_in!T15/SER_hh_num_in!T15)</f>
        <v>697.97655796985919</v>
      </c>
      <c r="U15" s="134">
        <f>IF(SER_hh_tes_in!U15=0,0,11630*1000*SER_hh_tes_in!U15/SER_hh_num_in!U15)</f>
        <v>559.60838308966731</v>
      </c>
      <c r="V15" s="134">
        <f>IF(SER_hh_tes_in!V15=0,0,11630*1000*SER_hh_tes_in!V15/SER_hh_num_in!V15)</f>
        <v>289.06095801939961</v>
      </c>
      <c r="W15" s="134">
        <f>IF(SER_hh_tes_in!W15=0,0,11630*1000*SER_hh_tes_in!W15/SER_hh_num_in!W15)</f>
        <v>286.79432929286457</v>
      </c>
      <c r="X15" s="134">
        <f>IF(SER_hh_tes_in!X15=0,0,11630*1000*SER_hh_tes_in!X15/SER_hh_num_in!X15)</f>
        <v>286.6014930332023</v>
      </c>
      <c r="Y15" s="134">
        <f>IF(SER_hh_tes_in!Y15=0,0,11630*1000*SER_hh_tes_in!Y15/SER_hh_num_in!Y15)</f>
        <v>296.52755279287419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20093.961475886575</v>
      </c>
      <c r="D16" s="130">
        <f>IF(SER_hh_tes_in!D16=0,0,11630*1000*SER_hh_tes_in!D16/SER_hh_num_in!D16)</f>
        <v>19922.590585993301</v>
      </c>
      <c r="E16" s="130">
        <f>IF(SER_hh_tes_in!E16=0,0,11630*1000*SER_hh_tes_in!E16/SER_hh_num_in!E16)</f>
        <v>20763.432451315246</v>
      </c>
      <c r="F16" s="130">
        <f>IF(SER_hh_tes_in!F16=0,0,11630*1000*SER_hh_tes_in!F16/SER_hh_num_in!F16)</f>
        <v>19655.184063109817</v>
      </c>
      <c r="G16" s="130">
        <f>IF(SER_hh_tes_in!G16=0,0,11630*1000*SER_hh_tes_in!G16/SER_hh_num_in!G16)</f>
        <v>19621.984616061825</v>
      </c>
      <c r="H16" s="130">
        <f>IF(SER_hh_tes_in!H16=0,0,11630*1000*SER_hh_tes_in!H16/SER_hh_num_in!H16)</f>
        <v>19887.585721315158</v>
      </c>
      <c r="I16" s="130">
        <f>IF(SER_hh_tes_in!I16=0,0,11630*1000*SER_hh_tes_in!I16/SER_hh_num_in!I16)</f>
        <v>19520.292997377866</v>
      </c>
      <c r="J16" s="130">
        <f>IF(SER_hh_tes_in!J16=0,0,11630*1000*SER_hh_tes_in!J16/SER_hh_num_in!J16)</f>
        <v>19415.963531716283</v>
      </c>
      <c r="K16" s="130">
        <f>IF(SER_hh_tes_in!K16=0,0,11630*1000*SER_hh_tes_in!K16/SER_hh_num_in!K16)</f>
        <v>19185.578274780553</v>
      </c>
      <c r="L16" s="130">
        <f>IF(SER_hh_tes_in!L16=0,0,11630*1000*SER_hh_tes_in!L16/SER_hh_num_in!L16)</f>
        <v>22161.531987435752</v>
      </c>
      <c r="M16" s="130">
        <f>IF(SER_hh_tes_in!M16=0,0,11630*1000*SER_hh_tes_in!M16/SER_hh_num_in!M16)</f>
        <v>20064.265205767722</v>
      </c>
      <c r="N16" s="130">
        <f>IF(SER_hh_tes_in!N16=0,0,11630*1000*SER_hh_tes_in!N16/SER_hh_num_in!N16)</f>
        <v>19146.046761390277</v>
      </c>
      <c r="O16" s="130">
        <f>IF(SER_hh_tes_in!O16=0,0,11630*1000*SER_hh_tes_in!O16/SER_hh_num_in!O16)</f>
        <v>18862.102987129889</v>
      </c>
      <c r="P16" s="130">
        <f>IF(SER_hh_tes_in!P16=0,0,11630*1000*SER_hh_tes_in!P16/SER_hh_num_in!P16)</f>
        <v>19114.695216160573</v>
      </c>
      <c r="Q16" s="130">
        <f>IF(SER_hh_tes_in!Q16=0,0,11630*1000*SER_hh_tes_in!Q16/SER_hh_num_in!Q16)</f>
        <v>18619.906932363378</v>
      </c>
      <c r="R16" s="130">
        <f>IF(SER_hh_tes_in!R16=0,0,11630*1000*SER_hh_tes_in!R16/SER_hh_num_in!R16)</f>
        <v>18723.361694459716</v>
      </c>
      <c r="S16" s="130">
        <f>IF(SER_hh_tes_in!S16=0,0,11630*1000*SER_hh_tes_in!S16/SER_hh_num_in!S16)</f>
        <v>18533.186787432627</v>
      </c>
      <c r="T16" s="130">
        <f>IF(SER_hh_tes_in!T16=0,0,11630*1000*SER_hh_tes_in!T16/SER_hh_num_in!T16)</f>
        <v>19555.608771285901</v>
      </c>
      <c r="U16" s="130">
        <f>IF(SER_hh_tes_in!U16=0,0,11630*1000*SER_hh_tes_in!U16/SER_hh_num_in!U16)</f>
        <v>17924.918641603788</v>
      </c>
      <c r="V16" s="130">
        <f>IF(SER_hh_tes_in!V16=0,0,11630*1000*SER_hh_tes_in!V16/SER_hh_num_in!V16)</f>
        <v>16972.160182297328</v>
      </c>
      <c r="W16" s="130">
        <f>IF(SER_hh_tes_in!W16=0,0,11630*1000*SER_hh_tes_in!W16/SER_hh_num_in!W16)</f>
        <v>17829.414600131804</v>
      </c>
      <c r="X16" s="130">
        <f>IF(SER_hh_tes_in!X16=0,0,11630*1000*SER_hh_tes_in!X16/SER_hh_num_in!X16)</f>
        <v>18029.729769809761</v>
      </c>
      <c r="Y16" s="130">
        <f>IF(SER_hh_tes_in!Y16=0,0,11630*1000*SER_hh_tes_in!Y16/SER_hh_num_in!Y16)</f>
        <v>18102.464150764172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0</v>
      </c>
      <c r="D17" s="132">
        <f>IF(SER_hh_tes_in!D17=0,0,11630*1000*SER_hh_tes_in!D17/SER_hh_num_in!D17)</f>
        <v>0</v>
      </c>
      <c r="E17" s="132">
        <f>IF(SER_hh_tes_in!E17=0,0,11630*1000*SER_hh_tes_in!E17/SER_hh_num_in!E17)</f>
        <v>0</v>
      </c>
      <c r="F17" s="132">
        <f>IF(SER_hh_tes_in!F17=0,0,11630*1000*SER_hh_tes_in!F17/SER_hh_num_in!F17)</f>
        <v>0</v>
      </c>
      <c r="G17" s="132">
        <f>IF(SER_hh_tes_in!G17=0,0,11630*1000*SER_hh_tes_in!G17/SER_hh_num_in!G17)</f>
        <v>0</v>
      </c>
      <c r="H17" s="132">
        <f>IF(SER_hh_tes_in!H17=0,0,11630*1000*SER_hh_tes_in!H17/SER_hh_num_in!H17)</f>
        <v>0</v>
      </c>
      <c r="I17" s="132">
        <f>IF(SER_hh_tes_in!I17=0,0,11630*1000*SER_hh_tes_in!I17/SER_hh_num_in!I17)</f>
        <v>0</v>
      </c>
      <c r="J17" s="132">
        <f>IF(SER_hh_tes_in!J17=0,0,11630*1000*SER_hh_tes_in!J17/SER_hh_num_in!J17)</f>
        <v>0</v>
      </c>
      <c r="K17" s="132">
        <f>IF(SER_hh_tes_in!K17=0,0,11630*1000*SER_hh_tes_in!K17/SER_hh_num_in!K17)</f>
        <v>0</v>
      </c>
      <c r="L17" s="132">
        <f>IF(SER_hh_tes_in!L17=0,0,11630*1000*SER_hh_tes_in!L17/SER_hh_num_in!L17)</f>
        <v>0</v>
      </c>
      <c r="M17" s="132">
        <f>IF(SER_hh_tes_in!M17=0,0,11630*1000*SER_hh_tes_in!M17/SER_hh_num_in!M17)</f>
        <v>0</v>
      </c>
      <c r="N17" s="132">
        <f>IF(SER_hh_tes_in!N17=0,0,11630*1000*SER_hh_tes_in!N17/SER_hh_num_in!N17)</f>
        <v>0</v>
      </c>
      <c r="O17" s="132">
        <f>IF(SER_hh_tes_in!O17=0,0,11630*1000*SER_hh_tes_in!O17/SER_hh_num_in!O17)</f>
        <v>0</v>
      </c>
      <c r="P17" s="132">
        <f>IF(SER_hh_tes_in!P17=0,0,11630*1000*SER_hh_tes_in!P17/SER_hh_num_in!P17)</f>
        <v>0</v>
      </c>
      <c r="Q17" s="132">
        <f>IF(SER_hh_tes_in!Q17=0,0,11630*1000*SER_hh_tes_in!Q17/SER_hh_num_in!Q17)</f>
        <v>0</v>
      </c>
      <c r="R17" s="132">
        <f>IF(SER_hh_tes_in!R17=0,0,11630*1000*SER_hh_tes_in!R17/SER_hh_num_in!R17)</f>
        <v>0</v>
      </c>
      <c r="S17" s="132">
        <f>IF(SER_hh_tes_in!S17=0,0,11630*1000*SER_hh_tes_in!S17/SER_hh_num_in!S17)</f>
        <v>0</v>
      </c>
      <c r="T17" s="132">
        <f>IF(SER_hh_tes_in!T17=0,0,11630*1000*SER_hh_tes_in!T17/SER_hh_num_in!T17)</f>
        <v>0</v>
      </c>
      <c r="U17" s="132">
        <f>IF(SER_hh_tes_in!U17=0,0,11630*1000*SER_hh_tes_in!U17/SER_hh_num_in!U17)</f>
        <v>0</v>
      </c>
      <c r="V17" s="132">
        <f>IF(SER_hh_tes_in!V17=0,0,11630*1000*SER_hh_tes_in!V17/SER_hh_num_in!V17)</f>
        <v>0</v>
      </c>
      <c r="W17" s="132">
        <f>IF(SER_hh_tes_in!W17=0,0,11630*1000*SER_hh_tes_in!W17/SER_hh_num_in!W17)</f>
        <v>0</v>
      </c>
      <c r="X17" s="132">
        <f>IF(SER_hh_tes_in!X17=0,0,11630*1000*SER_hh_tes_in!X17/SER_hh_num_in!X17)</f>
        <v>0</v>
      </c>
      <c r="Y17" s="132">
        <f>IF(SER_hh_tes_in!Y17=0,0,11630*1000*SER_hh_tes_in!Y17/SER_hh_num_in!Y17)</f>
        <v>0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20093.961475886575</v>
      </c>
      <c r="D18" s="132">
        <f>IF(SER_hh_tes_in!D18=0,0,11630*1000*SER_hh_tes_in!D18/SER_hh_num_in!D18)</f>
        <v>19922.590585993301</v>
      </c>
      <c r="E18" s="132">
        <f>IF(SER_hh_tes_in!E18=0,0,11630*1000*SER_hh_tes_in!E18/SER_hh_num_in!E18)</f>
        <v>20763.432451315246</v>
      </c>
      <c r="F18" s="132">
        <f>IF(SER_hh_tes_in!F18=0,0,11630*1000*SER_hh_tes_in!F18/SER_hh_num_in!F18)</f>
        <v>19655.184063109817</v>
      </c>
      <c r="G18" s="132">
        <f>IF(SER_hh_tes_in!G18=0,0,11630*1000*SER_hh_tes_in!G18/SER_hh_num_in!G18)</f>
        <v>19621.984616061825</v>
      </c>
      <c r="H18" s="132">
        <f>IF(SER_hh_tes_in!H18=0,0,11630*1000*SER_hh_tes_in!H18/SER_hh_num_in!H18)</f>
        <v>19887.585721315158</v>
      </c>
      <c r="I18" s="132">
        <f>IF(SER_hh_tes_in!I18=0,0,11630*1000*SER_hh_tes_in!I18/SER_hh_num_in!I18)</f>
        <v>19520.292997377866</v>
      </c>
      <c r="J18" s="132">
        <f>IF(SER_hh_tes_in!J18=0,0,11630*1000*SER_hh_tes_in!J18/SER_hh_num_in!J18)</f>
        <v>19415.963531716283</v>
      </c>
      <c r="K18" s="132">
        <f>IF(SER_hh_tes_in!K18=0,0,11630*1000*SER_hh_tes_in!K18/SER_hh_num_in!K18)</f>
        <v>19185.578274780553</v>
      </c>
      <c r="L18" s="132">
        <f>IF(SER_hh_tes_in!L18=0,0,11630*1000*SER_hh_tes_in!L18/SER_hh_num_in!L18)</f>
        <v>22161.531987435752</v>
      </c>
      <c r="M18" s="132">
        <f>IF(SER_hh_tes_in!M18=0,0,11630*1000*SER_hh_tes_in!M18/SER_hh_num_in!M18)</f>
        <v>20064.265205767722</v>
      </c>
      <c r="N18" s="132">
        <f>IF(SER_hh_tes_in!N18=0,0,11630*1000*SER_hh_tes_in!N18/SER_hh_num_in!N18)</f>
        <v>19146.046761390277</v>
      </c>
      <c r="O18" s="132">
        <f>IF(SER_hh_tes_in!O18=0,0,11630*1000*SER_hh_tes_in!O18/SER_hh_num_in!O18)</f>
        <v>18862.102987129889</v>
      </c>
      <c r="P18" s="132">
        <f>IF(SER_hh_tes_in!P18=0,0,11630*1000*SER_hh_tes_in!P18/SER_hh_num_in!P18)</f>
        <v>19114.695216160573</v>
      </c>
      <c r="Q18" s="132">
        <f>IF(SER_hh_tes_in!Q18=0,0,11630*1000*SER_hh_tes_in!Q18/SER_hh_num_in!Q18)</f>
        <v>18619.906932363378</v>
      </c>
      <c r="R18" s="132">
        <f>IF(SER_hh_tes_in!R18=0,0,11630*1000*SER_hh_tes_in!R18/SER_hh_num_in!R18)</f>
        <v>18723.361694459716</v>
      </c>
      <c r="S18" s="132">
        <f>IF(SER_hh_tes_in!S18=0,0,11630*1000*SER_hh_tes_in!S18/SER_hh_num_in!S18)</f>
        <v>18533.186787432627</v>
      </c>
      <c r="T18" s="132">
        <f>IF(SER_hh_tes_in!T18=0,0,11630*1000*SER_hh_tes_in!T18/SER_hh_num_in!T18)</f>
        <v>19555.608771285901</v>
      </c>
      <c r="U18" s="132">
        <f>IF(SER_hh_tes_in!U18=0,0,11630*1000*SER_hh_tes_in!U18/SER_hh_num_in!U18)</f>
        <v>17924.918641603788</v>
      </c>
      <c r="V18" s="132">
        <f>IF(SER_hh_tes_in!V18=0,0,11630*1000*SER_hh_tes_in!V18/SER_hh_num_in!V18)</f>
        <v>16972.160182297328</v>
      </c>
      <c r="W18" s="132">
        <f>IF(SER_hh_tes_in!W18=0,0,11630*1000*SER_hh_tes_in!W18/SER_hh_num_in!W18)</f>
        <v>17829.414600131804</v>
      </c>
      <c r="X18" s="132">
        <f>IF(SER_hh_tes_in!X18=0,0,11630*1000*SER_hh_tes_in!X18/SER_hh_num_in!X18)</f>
        <v>18029.729769809761</v>
      </c>
      <c r="Y18" s="132">
        <f>IF(SER_hh_tes_in!Y18=0,0,11630*1000*SER_hh_tes_in!Y18/SER_hh_num_in!Y18)</f>
        <v>18102.464150764172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17518.775349662883</v>
      </c>
      <c r="D19" s="130">
        <f>IF(SER_hh_tes_in!D19=0,0,11630*1000*SER_hh_tes_in!D19/SER_hh_num_in!D19)</f>
        <v>16623.04650744858</v>
      </c>
      <c r="E19" s="130">
        <f>IF(SER_hh_tes_in!E19=0,0,11630*1000*SER_hh_tes_in!E19/SER_hh_num_in!E19)</f>
        <v>16882.129722042853</v>
      </c>
      <c r="F19" s="130">
        <f>IF(SER_hh_tes_in!F19=0,0,11630*1000*SER_hh_tes_in!F19/SER_hh_num_in!F19)</f>
        <v>16341.96887869453</v>
      </c>
      <c r="G19" s="130">
        <f>IF(SER_hh_tes_in!G19=0,0,11630*1000*SER_hh_tes_in!G19/SER_hh_num_in!G19)</f>
        <v>16327.502546209658</v>
      </c>
      <c r="H19" s="130">
        <f>IF(SER_hh_tes_in!H19=0,0,11630*1000*SER_hh_tes_in!H19/SER_hh_num_in!H19)</f>
        <v>15890.390056677992</v>
      </c>
      <c r="I19" s="130">
        <f>IF(SER_hh_tes_in!I19=0,0,11630*1000*SER_hh_tes_in!I19/SER_hh_num_in!I19)</f>
        <v>15246.346005709864</v>
      </c>
      <c r="J19" s="130">
        <f>IF(SER_hh_tes_in!J19=0,0,11630*1000*SER_hh_tes_in!J19/SER_hh_num_in!J19)</f>
        <v>15373.807828011884</v>
      </c>
      <c r="K19" s="130">
        <f>IF(SER_hh_tes_in!K19=0,0,11630*1000*SER_hh_tes_in!K19/SER_hh_num_in!K19)</f>
        <v>15450.034721068401</v>
      </c>
      <c r="L19" s="130">
        <f>IF(SER_hh_tes_in!L19=0,0,11630*1000*SER_hh_tes_in!L19/SER_hh_num_in!L19)</f>
        <v>15312.439224471264</v>
      </c>
      <c r="M19" s="130">
        <f>IF(SER_hh_tes_in!M19=0,0,11630*1000*SER_hh_tes_in!M19/SER_hh_num_in!M19)</f>
        <v>15638.048710685078</v>
      </c>
      <c r="N19" s="130">
        <f>IF(SER_hh_tes_in!N19=0,0,11630*1000*SER_hh_tes_in!N19/SER_hh_num_in!N19)</f>
        <v>15393.140595590619</v>
      </c>
      <c r="O19" s="130">
        <f>IF(SER_hh_tes_in!O19=0,0,11630*1000*SER_hh_tes_in!O19/SER_hh_num_in!O19)</f>
        <v>15502.167985521099</v>
      </c>
      <c r="P19" s="130">
        <f>IF(SER_hh_tes_in!P19=0,0,11630*1000*SER_hh_tes_in!P19/SER_hh_num_in!P19)</f>
        <v>16207.298444480513</v>
      </c>
      <c r="Q19" s="130">
        <f>IF(SER_hh_tes_in!Q19=0,0,11630*1000*SER_hh_tes_in!Q19/SER_hh_num_in!Q19)</f>
        <v>15771.942386357738</v>
      </c>
      <c r="R19" s="130">
        <f>IF(SER_hh_tes_in!R19=0,0,11630*1000*SER_hh_tes_in!R19/SER_hh_num_in!R19)</f>
        <v>15460.625267375255</v>
      </c>
      <c r="S19" s="130">
        <f>IF(SER_hh_tes_in!S19=0,0,11630*1000*SER_hh_tes_in!S19/SER_hh_num_in!S19)</f>
        <v>15433.144703233846</v>
      </c>
      <c r="T19" s="130">
        <f>IF(SER_hh_tes_in!T19=0,0,11630*1000*SER_hh_tes_in!T19/SER_hh_num_in!T19)</f>
        <v>15353.191848284794</v>
      </c>
      <c r="U19" s="130">
        <f>IF(SER_hh_tes_in!U19=0,0,11630*1000*SER_hh_tes_in!U19/SER_hh_num_in!U19)</f>
        <v>15760.464154358373</v>
      </c>
      <c r="V19" s="130">
        <f>IF(SER_hh_tes_in!V19=0,0,11630*1000*SER_hh_tes_in!V19/SER_hh_num_in!V19)</f>
        <v>14765.772626971813</v>
      </c>
      <c r="W19" s="130">
        <f>IF(SER_hh_tes_in!W19=0,0,11630*1000*SER_hh_tes_in!W19/SER_hh_num_in!W19)</f>
        <v>15921.08461109384</v>
      </c>
      <c r="X19" s="130">
        <f>IF(SER_hh_tes_in!X19=0,0,11630*1000*SER_hh_tes_in!X19/SER_hh_num_in!X19)</f>
        <v>16428.40305236771</v>
      </c>
      <c r="Y19" s="130">
        <f>IF(SER_hh_tes_in!Y19=0,0,11630*1000*SER_hh_tes_in!Y19/SER_hh_num_in!Y19)</f>
        <v>18173.783676411771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0</v>
      </c>
      <c r="D21" s="132">
        <f>IF(SER_hh_tes_in!D21=0,0,11630*1000*SER_hh_tes_in!D21/SER_hh_num_in!D21)</f>
        <v>0</v>
      </c>
      <c r="E21" s="132">
        <f>IF(SER_hh_tes_in!E21=0,0,11630*1000*SER_hh_tes_in!E21/SER_hh_num_in!E21)</f>
        <v>0</v>
      </c>
      <c r="F21" s="132">
        <f>IF(SER_hh_tes_in!F21=0,0,11630*1000*SER_hh_tes_in!F21/SER_hh_num_in!F21)</f>
        <v>0</v>
      </c>
      <c r="G21" s="132">
        <f>IF(SER_hh_tes_in!G21=0,0,11630*1000*SER_hh_tes_in!G21/SER_hh_num_in!G21)</f>
        <v>0</v>
      </c>
      <c r="H21" s="132">
        <f>IF(SER_hh_tes_in!H21=0,0,11630*1000*SER_hh_tes_in!H21/SER_hh_num_in!H21)</f>
        <v>0</v>
      </c>
      <c r="I21" s="132">
        <f>IF(SER_hh_tes_in!I21=0,0,11630*1000*SER_hh_tes_in!I21/SER_hh_num_in!I21)</f>
        <v>0</v>
      </c>
      <c r="J21" s="132">
        <f>IF(SER_hh_tes_in!J21=0,0,11630*1000*SER_hh_tes_in!J21/SER_hh_num_in!J21)</f>
        <v>0</v>
      </c>
      <c r="K21" s="132">
        <f>IF(SER_hh_tes_in!K21=0,0,11630*1000*SER_hh_tes_in!K21/SER_hh_num_in!K21)</f>
        <v>0</v>
      </c>
      <c r="L21" s="132">
        <f>IF(SER_hh_tes_in!L21=0,0,11630*1000*SER_hh_tes_in!L21/SER_hh_num_in!L21)</f>
        <v>0</v>
      </c>
      <c r="M21" s="132">
        <f>IF(SER_hh_tes_in!M21=0,0,11630*1000*SER_hh_tes_in!M21/SER_hh_num_in!M21)</f>
        <v>0</v>
      </c>
      <c r="N21" s="132">
        <f>IF(SER_hh_tes_in!N21=0,0,11630*1000*SER_hh_tes_in!N21/SER_hh_num_in!N21)</f>
        <v>0</v>
      </c>
      <c r="O21" s="132">
        <f>IF(SER_hh_tes_in!O21=0,0,11630*1000*SER_hh_tes_in!O21/SER_hh_num_in!O21)</f>
        <v>0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0</v>
      </c>
      <c r="R21" s="132">
        <f>IF(SER_hh_tes_in!R21=0,0,11630*1000*SER_hh_tes_in!R21/SER_hh_num_in!R21)</f>
        <v>0</v>
      </c>
      <c r="S21" s="132">
        <f>IF(SER_hh_tes_in!S21=0,0,11630*1000*SER_hh_tes_in!S21/SER_hh_num_in!S21)</f>
        <v>0</v>
      </c>
      <c r="T21" s="132">
        <f>IF(SER_hh_tes_in!T21=0,0,11630*1000*SER_hh_tes_in!T21/SER_hh_num_in!T21)</f>
        <v>0</v>
      </c>
      <c r="U21" s="132">
        <f>IF(SER_hh_tes_in!U21=0,0,11630*1000*SER_hh_tes_in!U21/SER_hh_num_in!U21)</f>
        <v>0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0</v>
      </c>
      <c r="X21" s="132">
        <f>IF(SER_hh_tes_in!X21=0,0,11630*1000*SER_hh_tes_in!X21/SER_hh_num_in!X21)</f>
        <v>0</v>
      </c>
      <c r="Y21" s="132">
        <f>IF(SER_hh_tes_in!Y21=0,0,11630*1000*SER_hh_tes_in!Y21/SER_hh_num_in!Y21)</f>
        <v>0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17771.469641105075</v>
      </c>
      <c r="D22" s="132">
        <f>IF(SER_hh_tes_in!D22=0,0,11630*1000*SER_hh_tes_in!D22/SER_hh_num_in!D22)</f>
        <v>0</v>
      </c>
      <c r="E22" s="132">
        <f>IF(SER_hh_tes_in!E22=0,0,11630*1000*SER_hh_tes_in!E22/SER_hh_num_in!E22)</f>
        <v>0</v>
      </c>
      <c r="F22" s="132">
        <f>IF(SER_hh_tes_in!F22=0,0,11630*1000*SER_hh_tes_in!F22/SER_hh_num_in!F22)</f>
        <v>0</v>
      </c>
      <c r="G22" s="132">
        <f>IF(SER_hh_tes_in!G22=0,0,11630*1000*SER_hh_tes_in!G22/SER_hh_num_in!G22)</f>
        <v>0</v>
      </c>
      <c r="H22" s="132">
        <f>IF(SER_hh_tes_in!H22=0,0,11630*1000*SER_hh_tes_in!H22/SER_hh_num_in!H22)</f>
        <v>0</v>
      </c>
      <c r="I22" s="132">
        <f>IF(SER_hh_tes_in!I22=0,0,11630*1000*SER_hh_tes_in!I22/SER_hh_num_in!I22)</f>
        <v>15181.155824047821</v>
      </c>
      <c r="J22" s="132">
        <f>IF(SER_hh_tes_in!J22=0,0,11630*1000*SER_hh_tes_in!J22/SER_hh_num_in!J22)</f>
        <v>15563.179713423424</v>
      </c>
      <c r="K22" s="132">
        <f>IF(SER_hh_tes_in!K22=0,0,11630*1000*SER_hh_tes_in!K22/SER_hh_num_in!K22)</f>
        <v>15357.912440780801</v>
      </c>
      <c r="L22" s="132">
        <f>IF(SER_hh_tes_in!L22=0,0,11630*1000*SER_hh_tes_in!L22/SER_hh_num_in!L22)</f>
        <v>15337.848017596707</v>
      </c>
      <c r="M22" s="132">
        <f>IF(SER_hh_tes_in!M22=0,0,11630*1000*SER_hh_tes_in!M22/SER_hh_num_in!M22)</f>
        <v>15544.57333143102</v>
      </c>
      <c r="N22" s="132">
        <f>IF(SER_hh_tes_in!N22=0,0,11630*1000*SER_hh_tes_in!N22/SER_hh_num_in!N22)</f>
        <v>15570.703888889771</v>
      </c>
      <c r="O22" s="132">
        <f>IF(SER_hh_tes_in!O22=0,0,11630*1000*SER_hh_tes_in!O22/SER_hh_num_in!O22)</f>
        <v>15661.635820902129</v>
      </c>
      <c r="P22" s="132">
        <f>IF(SER_hh_tes_in!P22=0,0,11630*1000*SER_hh_tes_in!P22/SER_hh_num_in!P22)</f>
        <v>0</v>
      </c>
      <c r="Q22" s="132">
        <f>IF(SER_hh_tes_in!Q22=0,0,11630*1000*SER_hh_tes_in!Q22/SER_hh_num_in!Q22)</f>
        <v>0</v>
      </c>
      <c r="R22" s="132">
        <f>IF(SER_hh_tes_in!R22=0,0,11630*1000*SER_hh_tes_in!R22/SER_hh_num_in!R22)</f>
        <v>0</v>
      </c>
      <c r="S22" s="132">
        <f>IF(SER_hh_tes_in!S22=0,0,11630*1000*SER_hh_tes_in!S22/SER_hh_num_in!S22)</f>
        <v>0</v>
      </c>
      <c r="T22" s="132">
        <f>IF(SER_hh_tes_in!T22=0,0,11630*1000*SER_hh_tes_in!T22/SER_hh_num_in!T22)</f>
        <v>0</v>
      </c>
      <c r="U22" s="132">
        <f>IF(SER_hh_tes_in!U22=0,0,11630*1000*SER_hh_tes_in!U22/SER_hh_num_in!U22)</f>
        <v>0</v>
      </c>
      <c r="V22" s="132">
        <f>IF(SER_hh_tes_in!V22=0,0,11630*1000*SER_hh_tes_in!V22/SER_hh_num_in!V22)</f>
        <v>0</v>
      </c>
      <c r="W22" s="132">
        <f>IF(SER_hh_tes_in!W22=0,0,11630*1000*SER_hh_tes_in!W22/SER_hh_num_in!W22)</f>
        <v>14610.336553262363</v>
      </c>
      <c r="X22" s="132">
        <f>IF(SER_hh_tes_in!X22=0,0,11630*1000*SER_hh_tes_in!X22/SER_hh_num_in!X22)</f>
        <v>16203.999958455313</v>
      </c>
      <c r="Y22" s="132">
        <f>IF(SER_hh_tes_in!Y22=0,0,11630*1000*SER_hh_tes_in!Y22/SER_hh_num_in!Y22)</f>
        <v>18671.920273823085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19644.446405592302</v>
      </c>
      <c r="D23" s="132">
        <f>IF(SER_hh_tes_in!D23=0,0,11630*1000*SER_hh_tes_in!D23/SER_hh_num_in!D23)</f>
        <v>17839.083928257383</v>
      </c>
      <c r="E23" s="132">
        <f>IF(SER_hh_tes_in!E23=0,0,11630*1000*SER_hh_tes_in!E23/SER_hh_num_in!E23)</f>
        <v>16853.272132445476</v>
      </c>
      <c r="F23" s="132">
        <f>IF(SER_hh_tes_in!F23=0,0,11630*1000*SER_hh_tes_in!F23/SER_hh_num_in!F23)</f>
        <v>16208.549470241613</v>
      </c>
      <c r="G23" s="132">
        <f>IF(SER_hh_tes_in!G23=0,0,11630*1000*SER_hh_tes_in!G23/SER_hh_num_in!G23)</f>
        <v>16047.153293438045</v>
      </c>
      <c r="H23" s="132">
        <f>IF(SER_hh_tes_in!H23=0,0,11630*1000*SER_hh_tes_in!H23/SER_hh_num_in!H23)</f>
        <v>15909.973189626522</v>
      </c>
      <c r="I23" s="132">
        <f>IF(SER_hh_tes_in!I23=0,0,11630*1000*SER_hh_tes_in!I23/SER_hh_num_in!I23)</f>
        <v>15548.000199130385</v>
      </c>
      <c r="J23" s="132">
        <f>IF(SER_hh_tes_in!J23=0,0,11630*1000*SER_hh_tes_in!J23/SER_hh_num_in!J23)</f>
        <v>15345.779374857459</v>
      </c>
      <c r="K23" s="132">
        <f>IF(SER_hh_tes_in!K23=0,0,11630*1000*SER_hh_tes_in!K23/SER_hh_num_in!K23)</f>
        <v>15146.324891593365</v>
      </c>
      <c r="L23" s="132">
        <f>IF(SER_hh_tes_in!L23=0,0,11630*1000*SER_hh_tes_in!L23/SER_hh_num_in!L23)</f>
        <v>14346.285307217677</v>
      </c>
      <c r="M23" s="132">
        <f>IF(SER_hh_tes_in!M23=0,0,11630*1000*SER_hh_tes_in!M23/SER_hh_num_in!M23)</f>
        <v>15406.373400650873</v>
      </c>
      <c r="N23" s="132">
        <f>IF(SER_hh_tes_in!N23=0,0,11630*1000*SER_hh_tes_in!N23/SER_hh_num_in!N23)</f>
        <v>13650.793557374476</v>
      </c>
      <c r="O23" s="132">
        <f>IF(SER_hh_tes_in!O23=0,0,11630*1000*SER_hh_tes_in!O23/SER_hh_num_in!O23)</f>
        <v>15171.759230859903</v>
      </c>
      <c r="P23" s="132">
        <f>IF(SER_hh_tes_in!P23=0,0,11630*1000*SER_hh_tes_in!P23/SER_hh_num_in!P23)</f>
        <v>17038.063749097917</v>
      </c>
      <c r="Q23" s="132">
        <f>IF(SER_hh_tes_in!Q23=0,0,11630*1000*SER_hh_tes_in!Q23/SER_hh_num_in!Q23)</f>
        <v>15877.618684881647</v>
      </c>
      <c r="R23" s="132">
        <f>IF(SER_hh_tes_in!R23=0,0,11630*1000*SER_hh_tes_in!R23/SER_hh_num_in!R23)</f>
        <v>15334.631106848454</v>
      </c>
      <c r="S23" s="132">
        <f>IF(SER_hh_tes_in!S23=0,0,11630*1000*SER_hh_tes_in!S23/SER_hh_num_in!S23)</f>
        <v>15394.193938468859</v>
      </c>
      <c r="T23" s="132">
        <f>IF(SER_hh_tes_in!T23=0,0,11630*1000*SER_hh_tes_in!T23/SER_hh_num_in!T23)</f>
        <v>15697.979820182565</v>
      </c>
      <c r="U23" s="132">
        <f>IF(SER_hh_tes_in!U23=0,0,11630*1000*SER_hh_tes_in!U23/SER_hh_num_in!U23)</f>
        <v>16127.145217195099</v>
      </c>
      <c r="V23" s="132">
        <f>IF(SER_hh_tes_in!V23=0,0,11630*1000*SER_hh_tes_in!V23/SER_hh_num_in!V23)</f>
        <v>16095.924549668773</v>
      </c>
      <c r="W23" s="132">
        <f>IF(SER_hh_tes_in!W23=0,0,11630*1000*SER_hh_tes_in!W23/SER_hh_num_in!W23)</f>
        <v>0</v>
      </c>
      <c r="X23" s="132">
        <f>IF(SER_hh_tes_in!X23=0,0,11630*1000*SER_hh_tes_in!X23/SER_hh_num_in!X23)</f>
        <v>0</v>
      </c>
      <c r="Y23" s="132">
        <f>IF(SER_hh_tes_in!Y23=0,0,11630*1000*SER_hh_tes_in!Y23/SER_hh_num_in!Y23)</f>
        <v>0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0</v>
      </c>
      <c r="O24" s="132">
        <f>IF(SER_hh_tes_in!O24=0,0,11630*1000*SER_hh_tes_in!O24/SER_hh_num_in!O24)</f>
        <v>0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0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17501.074735582257</v>
      </c>
      <c r="D25" s="132">
        <f>IF(SER_hh_tes_in!D25=0,0,11630*1000*SER_hh_tes_in!D25/SER_hh_num_in!D25)</f>
        <v>16896.143986513009</v>
      </c>
      <c r="E25" s="132">
        <f>IF(SER_hh_tes_in!E25=0,0,11630*1000*SER_hh_tes_in!E25/SER_hh_num_in!E25)</f>
        <v>16412.583730437294</v>
      </c>
      <c r="F25" s="132">
        <f>IF(SER_hh_tes_in!F25=0,0,11630*1000*SER_hh_tes_in!F25/SER_hh_num_in!F25)</f>
        <v>16078.153735912132</v>
      </c>
      <c r="G25" s="132">
        <f>IF(SER_hh_tes_in!G25=0,0,11630*1000*SER_hh_tes_in!G25/SER_hh_num_in!G25)</f>
        <v>16188.871273871202</v>
      </c>
      <c r="H25" s="132">
        <f>IF(SER_hh_tes_in!H25=0,0,11630*1000*SER_hh_tes_in!H25/SER_hh_num_in!H25)</f>
        <v>15821.534961775164</v>
      </c>
      <c r="I25" s="132">
        <f>IF(SER_hh_tes_in!I25=0,0,11630*1000*SER_hh_tes_in!I25/SER_hh_num_in!I25)</f>
        <v>15592.936626537705</v>
      </c>
      <c r="J25" s="132">
        <f>IF(SER_hh_tes_in!J25=0,0,11630*1000*SER_hh_tes_in!J25/SER_hh_num_in!J25)</f>
        <v>15309.722628040976</v>
      </c>
      <c r="K25" s="132">
        <f>IF(SER_hh_tes_in!K25=0,0,11630*1000*SER_hh_tes_in!K25/SER_hh_num_in!K25)</f>
        <v>15579.707099259576</v>
      </c>
      <c r="L25" s="132">
        <f>IF(SER_hh_tes_in!L25=0,0,11630*1000*SER_hh_tes_in!L25/SER_hh_num_in!L25)</f>
        <v>15483.270550124491</v>
      </c>
      <c r="M25" s="132">
        <f>IF(SER_hh_tes_in!M25=0,0,11630*1000*SER_hh_tes_in!M25/SER_hh_num_in!M25)</f>
        <v>15644.987476872357</v>
      </c>
      <c r="N25" s="132">
        <f>IF(SER_hh_tes_in!N25=0,0,11630*1000*SER_hh_tes_in!N25/SER_hh_num_in!N25)</f>
        <v>15634.08339667763</v>
      </c>
      <c r="O25" s="132">
        <f>IF(SER_hh_tes_in!O25=0,0,11630*1000*SER_hh_tes_in!O25/SER_hh_num_in!O25)</f>
        <v>15713.458464925172</v>
      </c>
      <c r="P25" s="132">
        <f>IF(SER_hh_tes_in!P25=0,0,11630*1000*SER_hh_tes_in!P25/SER_hh_num_in!P25)</f>
        <v>15564.840692154799</v>
      </c>
      <c r="Q25" s="132">
        <f>IF(SER_hh_tes_in!Q25=0,0,11630*1000*SER_hh_tes_in!Q25/SER_hh_num_in!Q25)</f>
        <v>15543.974963312188</v>
      </c>
      <c r="R25" s="132">
        <f>IF(SER_hh_tes_in!R25=0,0,11630*1000*SER_hh_tes_in!R25/SER_hh_num_in!R25)</f>
        <v>15499.662850813438</v>
      </c>
      <c r="S25" s="132">
        <f>IF(SER_hh_tes_in!S25=0,0,11630*1000*SER_hh_tes_in!S25/SER_hh_num_in!S25)</f>
        <v>15519.116579069077</v>
      </c>
      <c r="T25" s="132">
        <f>IF(SER_hh_tes_in!T25=0,0,11630*1000*SER_hh_tes_in!T25/SER_hh_num_in!T25)</f>
        <v>15651.507974416125</v>
      </c>
      <c r="U25" s="132">
        <f>IF(SER_hh_tes_in!U25=0,0,11630*1000*SER_hh_tes_in!U25/SER_hh_num_in!U25)</f>
        <v>15725.065381001146</v>
      </c>
      <c r="V25" s="132">
        <f>IF(SER_hh_tes_in!V25=0,0,11630*1000*SER_hh_tes_in!V25/SER_hh_num_in!V25)</f>
        <v>13703.659296749849</v>
      </c>
      <c r="W25" s="132">
        <f>IF(SER_hh_tes_in!W25=0,0,11630*1000*SER_hh_tes_in!W25/SER_hh_num_in!W25)</f>
        <v>15606.263269521764</v>
      </c>
      <c r="X25" s="132">
        <f>IF(SER_hh_tes_in!X25=0,0,11630*1000*SER_hh_tes_in!X25/SER_hh_num_in!X25)</f>
        <v>17114.55241677774</v>
      </c>
      <c r="Y25" s="132">
        <f>IF(SER_hh_tes_in!Y25=0,0,11630*1000*SER_hh_tes_in!Y25/SER_hh_num_in!Y25)</f>
        <v>17895.526484180915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16750.386284872384</v>
      </c>
      <c r="D26" s="65">
        <f>IF(SER_hh_tes_in!D26=0,0,11630*1000*SER_hh_tes_in!D26/SER_hh_num_in!D26)</f>
        <v>16328.494401984961</v>
      </c>
      <c r="E26" s="65">
        <f>IF(SER_hh_tes_in!E26=0,0,11630*1000*SER_hh_tes_in!E26/SER_hh_num_in!E26)</f>
        <v>17088.969580232257</v>
      </c>
      <c r="F26" s="65">
        <f>IF(SER_hh_tes_in!F26=0,0,11630*1000*SER_hh_tes_in!F26/SER_hh_num_in!F26)</f>
        <v>16517.329199835676</v>
      </c>
      <c r="G26" s="65">
        <f>IF(SER_hh_tes_in!G26=0,0,11630*1000*SER_hh_tes_in!G26/SER_hh_num_in!G26)</f>
        <v>16428.421556311911</v>
      </c>
      <c r="H26" s="65">
        <f>IF(SER_hh_tes_in!H26=0,0,11630*1000*SER_hh_tes_in!H26/SER_hh_num_in!H26)</f>
        <v>15928.006209449371</v>
      </c>
      <c r="I26" s="65">
        <f>IF(SER_hh_tes_in!I26=0,0,11630*1000*SER_hh_tes_in!I26/SER_hh_num_in!I26)</f>
        <v>14917.551955151721</v>
      </c>
      <c r="J26" s="65">
        <f>IF(SER_hh_tes_in!J26=0,0,11630*1000*SER_hh_tes_in!J26/SER_hh_num_in!J26)</f>
        <v>15514.85475298746</v>
      </c>
      <c r="K26" s="65">
        <f>IF(SER_hh_tes_in!K26=0,0,11630*1000*SER_hh_tes_in!K26/SER_hh_num_in!K26)</f>
        <v>15314.585571792266</v>
      </c>
      <c r="L26" s="65">
        <f>IF(SER_hh_tes_in!L26=0,0,11630*1000*SER_hh_tes_in!L26/SER_hh_num_in!L26)</f>
        <v>15368.02335659554</v>
      </c>
      <c r="M26" s="65">
        <f>IF(SER_hh_tes_in!M26=0,0,11630*1000*SER_hh_tes_in!M26/SER_hh_num_in!M26)</f>
        <v>15708.181239803074</v>
      </c>
      <c r="N26" s="65">
        <f>IF(SER_hh_tes_in!N26=0,0,11630*1000*SER_hh_tes_in!N26/SER_hh_num_in!N26)</f>
        <v>15992.74644307416</v>
      </c>
      <c r="O26" s="65">
        <f>IF(SER_hh_tes_in!O26=0,0,11630*1000*SER_hh_tes_in!O26/SER_hh_num_in!O26)</f>
        <v>15625.455250461051</v>
      </c>
      <c r="P26" s="65">
        <f>IF(SER_hh_tes_in!P26=0,0,11630*1000*SER_hh_tes_in!P26/SER_hh_num_in!P26)</f>
        <v>15053.299264901418</v>
      </c>
      <c r="Q26" s="65">
        <f>IF(SER_hh_tes_in!Q26=0,0,11630*1000*SER_hh_tes_in!Q26/SER_hh_num_in!Q26)</f>
        <v>15796.966545880483</v>
      </c>
      <c r="R26" s="65">
        <f>IF(SER_hh_tes_in!R26=0,0,11630*1000*SER_hh_tes_in!R26/SER_hh_num_in!R26)</f>
        <v>15508.275038660093</v>
      </c>
      <c r="S26" s="65">
        <f>IF(SER_hh_tes_in!S26=0,0,11630*1000*SER_hh_tes_in!S26/SER_hh_num_in!S26)</f>
        <v>15409.192300991528</v>
      </c>
      <c r="T26" s="65">
        <f>IF(SER_hh_tes_in!T26=0,0,11630*1000*SER_hh_tes_in!T26/SER_hh_num_in!T26)</f>
        <v>15105.775480290768</v>
      </c>
      <c r="U26" s="65">
        <f>IF(SER_hh_tes_in!U26=0,0,11630*1000*SER_hh_tes_in!U26/SER_hh_num_in!U26)</f>
        <v>15680.549504416806</v>
      </c>
      <c r="V26" s="65">
        <f>IF(SER_hh_tes_in!V26=0,0,11630*1000*SER_hh_tes_in!V26/SER_hh_num_in!V26)</f>
        <v>15268.209309924705</v>
      </c>
      <c r="W26" s="65">
        <f>IF(SER_hh_tes_in!W26=0,0,11630*1000*SER_hh_tes_in!W26/SER_hh_num_in!W26)</f>
        <v>16082.466911971031</v>
      </c>
      <c r="X26" s="65">
        <f>IF(SER_hh_tes_in!X26=0,0,11630*1000*SER_hh_tes_in!X26/SER_hh_num_in!X26)</f>
        <v>15966.778443898544</v>
      </c>
      <c r="Y26" s="65">
        <f>IF(SER_hh_tes_in!Y26=0,0,11630*1000*SER_hh_tes_in!Y26/SER_hh_num_in!Y26)</f>
        <v>18312.947959326106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0</v>
      </c>
      <c r="D27" s="145">
        <f>IF(SER_hh_tes_in!D27=0,0,11630*1000*SER_hh_tes_in!D27/SER_hh_num_in!D19)</f>
        <v>0</v>
      </c>
      <c r="E27" s="145">
        <f>IF(SER_hh_tes_in!E27=0,0,11630*1000*SER_hh_tes_in!E27/SER_hh_num_in!E19)</f>
        <v>0</v>
      </c>
      <c r="F27" s="145">
        <f>IF(SER_hh_tes_in!F27=0,0,11630*1000*SER_hh_tes_in!F27/SER_hh_num_in!F19)</f>
        <v>0</v>
      </c>
      <c r="G27" s="145">
        <f>IF(SER_hh_tes_in!G27=0,0,11630*1000*SER_hh_tes_in!G27/SER_hh_num_in!G19)</f>
        <v>0</v>
      </c>
      <c r="H27" s="145">
        <f>IF(SER_hh_tes_in!H27=0,0,11630*1000*SER_hh_tes_in!H27/SER_hh_num_in!H19)</f>
        <v>0</v>
      </c>
      <c r="I27" s="145">
        <f>IF(SER_hh_tes_in!I27=0,0,11630*1000*SER_hh_tes_in!I27/SER_hh_num_in!I19)</f>
        <v>0</v>
      </c>
      <c r="J27" s="145">
        <f>IF(SER_hh_tes_in!J27=0,0,11630*1000*SER_hh_tes_in!J27/SER_hh_num_in!J19)</f>
        <v>0</v>
      </c>
      <c r="K27" s="145">
        <f>IF(SER_hh_tes_in!K27=0,0,11630*1000*SER_hh_tes_in!K27/SER_hh_num_in!K19)</f>
        <v>0</v>
      </c>
      <c r="L27" s="145">
        <f>IF(SER_hh_tes_in!L27=0,0,11630*1000*SER_hh_tes_in!L27/SER_hh_num_in!L19)</f>
        <v>0</v>
      </c>
      <c r="M27" s="145">
        <f>IF(SER_hh_tes_in!M27=0,0,11630*1000*SER_hh_tes_in!M27/SER_hh_num_in!M19)</f>
        <v>0</v>
      </c>
      <c r="N27" s="145">
        <f>IF(SER_hh_tes_in!N27=0,0,11630*1000*SER_hh_tes_in!N27/SER_hh_num_in!N19)</f>
        <v>0</v>
      </c>
      <c r="O27" s="145">
        <f>IF(SER_hh_tes_in!O27=0,0,11630*1000*SER_hh_tes_in!O27/SER_hh_num_in!O19)</f>
        <v>0</v>
      </c>
      <c r="P27" s="145">
        <f>IF(SER_hh_tes_in!P27=0,0,11630*1000*SER_hh_tes_in!P27/SER_hh_num_in!P19)</f>
        <v>0</v>
      </c>
      <c r="Q27" s="145">
        <f>IF(SER_hh_tes_in!Q27=0,0,11630*1000*SER_hh_tes_in!Q27/SER_hh_num_in!Q19)</f>
        <v>0</v>
      </c>
      <c r="R27" s="145">
        <f>IF(SER_hh_tes_in!R27=0,0,11630*1000*SER_hh_tes_in!R27/SER_hh_num_in!R19)</f>
        <v>0</v>
      </c>
      <c r="S27" s="145">
        <f>IF(SER_hh_tes_in!S27=0,0,11630*1000*SER_hh_tes_in!S27/SER_hh_num_in!S19)</f>
        <v>0</v>
      </c>
      <c r="T27" s="145">
        <f>IF(SER_hh_tes_in!T27=0,0,11630*1000*SER_hh_tes_in!T27/SER_hh_num_in!T19)</f>
        <v>0</v>
      </c>
      <c r="U27" s="145">
        <f>IF(SER_hh_tes_in!U27=0,0,11630*1000*SER_hh_tes_in!U27/SER_hh_num_in!U19)</f>
        <v>0</v>
      </c>
      <c r="V27" s="145">
        <f>IF(SER_hh_tes_in!V27=0,0,11630*1000*SER_hh_tes_in!V27/SER_hh_num_in!V19)</f>
        <v>0</v>
      </c>
      <c r="W27" s="145">
        <f>IF(SER_hh_tes_in!W27=0,0,11630*1000*SER_hh_tes_in!W27/SER_hh_num_in!W19)</f>
        <v>0</v>
      </c>
      <c r="X27" s="145">
        <f>IF(SER_hh_tes_in!X27=0,0,11630*1000*SER_hh_tes_in!X27/SER_hh_num_in!X19)</f>
        <v>0</v>
      </c>
      <c r="Y27" s="145">
        <f>IF(SER_hh_tes_in!Y27=0,0,11630*1000*SER_hh_tes_in!Y27/SER_hh_num_in!Y19)</f>
        <v>0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0</v>
      </c>
      <c r="D28" s="146">
        <f>IF(SER_hh_tes_in!D27=0,0,11630*1000*SER_hh_tes_in!D27/SER_hh_num_in!D27)</f>
        <v>0</v>
      </c>
      <c r="E28" s="146">
        <f>IF(SER_hh_tes_in!E27=0,0,11630*1000*SER_hh_tes_in!E27/SER_hh_num_in!E27)</f>
        <v>0</v>
      </c>
      <c r="F28" s="146">
        <f>IF(SER_hh_tes_in!F27=0,0,11630*1000*SER_hh_tes_in!F27/SER_hh_num_in!F27)</f>
        <v>0</v>
      </c>
      <c r="G28" s="146">
        <f>IF(SER_hh_tes_in!G27=0,0,11630*1000*SER_hh_tes_in!G27/SER_hh_num_in!G27)</f>
        <v>0</v>
      </c>
      <c r="H28" s="146">
        <f>IF(SER_hh_tes_in!H27=0,0,11630*1000*SER_hh_tes_in!H27/SER_hh_num_in!H27)</f>
        <v>0</v>
      </c>
      <c r="I28" s="146">
        <f>IF(SER_hh_tes_in!I27=0,0,11630*1000*SER_hh_tes_in!I27/SER_hh_num_in!I27)</f>
        <v>0</v>
      </c>
      <c r="J28" s="146">
        <f>IF(SER_hh_tes_in!J27=0,0,11630*1000*SER_hh_tes_in!J27/SER_hh_num_in!J27)</f>
        <v>0</v>
      </c>
      <c r="K28" s="146">
        <f>IF(SER_hh_tes_in!K27=0,0,11630*1000*SER_hh_tes_in!K27/SER_hh_num_in!K27)</f>
        <v>0</v>
      </c>
      <c r="L28" s="146">
        <f>IF(SER_hh_tes_in!L27=0,0,11630*1000*SER_hh_tes_in!L27/SER_hh_num_in!L27)</f>
        <v>0</v>
      </c>
      <c r="M28" s="146">
        <f>IF(SER_hh_tes_in!M27=0,0,11630*1000*SER_hh_tes_in!M27/SER_hh_num_in!M27)</f>
        <v>0</v>
      </c>
      <c r="N28" s="146">
        <f>IF(SER_hh_tes_in!N27=0,0,11630*1000*SER_hh_tes_in!N27/SER_hh_num_in!N27)</f>
        <v>0</v>
      </c>
      <c r="O28" s="146">
        <f>IF(SER_hh_tes_in!O27=0,0,11630*1000*SER_hh_tes_in!O27/SER_hh_num_in!O27)</f>
        <v>0</v>
      </c>
      <c r="P28" s="146">
        <f>IF(SER_hh_tes_in!P27=0,0,11630*1000*SER_hh_tes_in!P27/SER_hh_num_in!P27)</f>
        <v>0</v>
      </c>
      <c r="Q28" s="146">
        <f>IF(SER_hh_tes_in!Q27=0,0,11630*1000*SER_hh_tes_in!Q27/SER_hh_num_in!Q27)</f>
        <v>0</v>
      </c>
      <c r="R28" s="146">
        <f>IF(SER_hh_tes_in!R27=0,0,11630*1000*SER_hh_tes_in!R27/SER_hh_num_in!R27)</f>
        <v>0</v>
      </c>
      <c r="S28" s="146">
        <f>IF(SER_hh_tes_in!S27=0,0,11630*1000*SER_hh_tes_in!S27/SER_hh_num_in!S27)</f>
        <v>0</v>
      </c>
      <c r="T28" s="146">
        <f>IF(SER_hh_tes_in!T27=0,0,11630*1000*SER_hh_tes_in!T27/SER_hh_num_in!T27)</f>
        <v>0</v>
      </c>
      <c r="U28" s="146">
        <f>IF(SER_hh_tes_in!U27=0,0,11630*1000*SER_hh_tes_in!U27/SER_hh_num_in!U27)</f>
        <v>0</v>
      </c>
      <c r="V28" s="146">
        <f>IF(SER_hh_tes_in!V27=0,0,11630*1000*SER_hh_tes_in!V27/SER_hh_num_in!V27)</f>
        <v>0</v>
      </c>
      <c r="W28" s="146">
        <f>IF(SER_hh_tes_in!W27=0,0,11630*1000*SER_hh_tes_in!W27/SER_hh_num_in!W27)</f>
        <v>0</v>
      </c>
      <c r="X28" s="146">
        <f>IF(SER_hh_tes_in!X27=0,0,11630*1000*SER_hh_tes_in!X27/SER_hh_num_in!X27)</f>
        <v>0</v>
      </c>
      <c r="Y28" s="146">
        <f>IF(SER_hh_tes_in!Y27=0,0,11630*1000*SER_hh_tes_in!Y27/SER_hh_num_in!Y27)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18201.570715097681</v>
      </c>
      <c r="D29" s="130">
        <f>IF(SER_hh_tes_in!D29=0,0,11630*1000*SER_hh_tes_in!D29/SER_hh_num_in!D29)</f>
        <v>18061.766639137404</v>
      </c>
      <c r="E29" s="130">
        <f>IF(SER_hh_tes_in!E29=0,0,11630*1000*SER_hh_tes_in!E29/SER_hh_num_in!E29)</f>
        <v>17959.570155456411</v>
      </c>
      <c r="F29" s="130">
        <f>IF(SER_hh_tes_in!F29=0,0,11630*1000*SER_hh_tes_in!F29/SER_hh_num_in!F29)</f>
        <v>18908.870715271161</v>
      </c>
      <c r="G29" s="130">
        <f>IF(SER_hh_tes_in!G29=0,0,11630*1000*SER_hh_tes_in!G29/SER_hh_num_in!G29)</f>
        <v>18280.284012429336</v>
      </c>
      <c r="H29" s="130">
        <f>IF(SER_hh_tes_in!H29=0,0,11630*1000*SER_hh_tes_in!H29/SER_hh_num_in!H29)</f>
        <v>17823.15693832322</v>
      </c>
      <c r="I29" s="130">
        <f>IF(SER_hh_tes_in!I29=0,0,11630*1000*SER_hh_tes_in!I29/SER_hh_num_in!I29)</f>
        <v>17711.818894837368</v>
      </c>
      <c r="J29" s="130">
        <f>IF(SER_hh_tes_in!J29=0,0,11630*1000*SER_hh_tes_in!J29/SER_hh_num_in!J29)</f>
        <v>18438.852289802773</v>
      </c>
      <c r="K29" s="130">
        <f>IF(SER_hh_tes_in!K29=0,0,11630*1000*SER_hh_tes_in!K29/SER_hh_num_in!K29)</f>
        <v>19396.361194652214</v>
      </c>
      <c r="L29" s="130">
        <f>IF(SER_hh_tes_in!L29=0,0,11630*1000*SER_hh_tes_in!L29/SER_hh_num_in!L29)</f>
        <v>19648.262000086652</v>
      </c>
      <c r="M29" s="130">
        <f>IF(SER_hh_tes_in!M29=0,0,11630*1000*SER_hh_tes_in!M29/SER_hh_num_in!M29)</f>
        <v>19815.003838285586</v>
      </c>
      <c r="N29" s="130">
        <f>IF(SER_hh_tes_in!N29=0,0,11630*1000*SER_hh_tes_in!N29/SER_hh_num_in!N29)</f>
        <v>19620.670898321234</v>
      </c>
      <c r="O29" s="130">
        <f>IF(SER_hh_tes_in!O29=0,0,11630*1000*SER_hh_tes_in!O29/SER_hh_num_in!O29)</f>
        <v>20029.787945856337</v>
      </c>
      <c r="P29" s="130">
        <f>IF(SER_hh_tes_in!P29=0,0,11630*1000*SER_hh_tes_in!P29/SER_hh_num_in!P29)</f>
        <v>19717.323529955465</v>
      </c>
      <c r="Q29" s="130">
        <f>IF(SER_hh_tes_in!Q29=0,0,11630*1000*SER_hh_tes_in!Q29/SER_hh_num_in!Q29)</f>
        <v>19298.419810517182</v>
      </c>
      <c r="R29" s="130">
        <f>IF(SER_hh_tes_in!R29=0,0,11630*1000*SER_hh_tes_in!R29/SER_hh_num_in!R29)</f>
        <v>19833.13685866975</v>
      </c>
      <c r="S29" s="130">
        <f>IF(SER_hh_tes_in!S29=0,0,11630*1000*SER_hh_tes_in!S29/SER_hh_num_in!S29)</f>
        <v>19494.390053690197</v>
      </c>
      <c r="T29" s="130">
        <f>IF(SER_hh_tes_in!T29=0,0,11630*1000*SER_hh_tes_in!T29/SER_hh_num_in!T29)</f>
        <v>19685.492122919029</v>
      </c>
      <c r="U29" s="130">
        <f>IF(SER_hh_tes_in!U29=0,0,11630*1000*SER_hh_tes_in!U29/SER_hh_num_in!U29)</f>
        <v>19485.579099912524</v>
      </c>
      <c r="V29" s="130">
        <f>IF(SER_hh_tes_in!V29=0,0,11630*1000*SER_hh_tes_in!V29/SER_hh_num_in!V29)</f>
        <v>17855.782832232682</v>
      </c>
      <c r="W29" s="130">
        <f>IF(SER_hh_tes_in!W29=0,0,11630*1000*SER_hh_tes_in!W29/SER_hh_num_in!W29)</f>
        <v>20431.803019577517</v>
      </c>
      <c r="X29" s="130">
        <f>IF(SER_hh_tes_in!X29=0,0,11630*1000*SER_hh_tes_in!X29/SER_hh_num_in!X29)</f>
        <v>22779.973236098187</v>
      </c>
      <c r="Y29" s="130">
        <f>IF(SER_hh_tes_in!Y29=0,0,11630*1000*SER_hh_tes_in!Y29/SER_hh_num_in!Y29)</f>
        <v>25712.593130713336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0</v>
      </c>
      <c r="D30" s="132">
        <f>IF(SER_hh_tes_in!D30=0,0,11630*1000*SER_hh_tes_in!D30/SER_hh_num_in!D30)</f>
        <v>0</v>
      </c>
      <c r="E30" s="132">
        <f>IF(SER_hh_tes_in!E30=0,0,11630*1000*SER_hh_tes_in!E30/SER_hh_num_in!E30)</f>
        <v>0</v>
      </c>
      <c r="F30" s="132">
        <f>IF(SER_hh_tes_in!F30=0,0,11630*1000*SER_hh_tes_in!F30/SER_hh_num_in!F30)</f>
        <v>25580.66221148062</v>
      </c>
      <c r="G30" s="132">
        <f>IF(SER_hh_tes_in!G30=0,0,11630*1000*SER_hh_tes_in!G30/SER_hh_num_in!G30)</f>
        <v>19985.99778229334</v>
      </c>
      <c r="H30" s="132">
        <f>IF(SER_hh_tes_in!H30=0,0,11630*1000*SER_hh_tes_in!H30/SER_hh_num_in!H30)</f>
        <v>17952.038793937882</v>
      </c>
      <c r="I30" s="132">
        <f>IF(SER_hh_tes_in!I30=0,0,11630*1000*SER_hh_tes_in!I30/SER_hh_num_in!I30)</f>
        <v>0</v>
      </c>
      <c r="J30" s="132">
        <f>IF(SER_hh_tes_in!J30=0,0,11630*1000*SER_hh_tes_in!J30/SER_hh_num_in!J30)</f>
        <v>0</v>
      </c>
      <c r="K30" s="132">
        <f>IF(SER_hh_tes_in!K30=0,0,11630*1000*SER_hh_tes_in!K30/SER_hh_num_in!K30)</f>
        <v>0</v>
      </c>
      <c r="L30" s="132">
        <f>IF(SER_hh_tes_in!L30=0,0,11630*1000*SER_hh_tes_in!L30/SER_hh_num_in!L30)</f>
        <v>19408.167697099372</v>
      </c>
      <c r="M30" s="132">
        <f>IF(SER_hh_tes_in!M30=0,0,11630*1000*SER_hh_tes_in!M30/SER_hh_num_in!M30)</f>
        <v>19632.451535008906</v>
      </c>
      <c r="N30" s="132">
        <f>IF(SER_hh_tes_in!N30=0,0,11630*1000*SER_hh_tes_in!N30/SER_hh_num_in!N30)</f>
        <v>19805.768170911015</v>
      </c>
      <c r="O30" s="132">
        <f>IF(SER_hh_tes_in!O30=0,0,11630*1000*SER_hh_tes_in!O30/SER_hh_num_in!O30)</f>
        <v>19856.897895407485</v>
      </c>
      <c r="P30" s="132">
        <f>IF(SER_hh_tes_in!P30=0,0,11630*1000*SER_hh_tes_in!P30/SER_hh_num_in!P30)</f>
        <v>17934.589283210735</v>
      </c>
      <c r="Q30" s="132">
        <f>IF(SER_hh_tes_in!Q30=0,0,11630*1000*SER_hh_tes_in!Q30/SER_hh_num_in!Q30)</f>
        <v>14034.994506413703</v>
      </c>
      <c r="R30" s="132">
        <f>IF(SER_hh_tes_in!R30=0,0,11630*1000*SER_hh_tes_in!R30/SER_hh_num_in!R30)</f>
        <v>21787.186481797031</v>
      </c>
      <c r="S30" s="132">
        <f>IF(SER_hh_tes_in!S30=0,0,11630*1000*SER_hh_tes_in!S30/SER_hh_num_in!S30)</f>
        <v>32138.177188582737</v>
      </c>
      <c r="T30" s="132">
        <f>IF(SER_hh_tes_in!T30=0,0,11630*1000*SER_hh_tes_in!T30/SER_hh_num_in!T30)</f>
        <v>10063.314655687598</v>
      </c>
      <c r="U30" s="132">
        <f>IF(SER_hh_tes_in!U30=0,0,11630*1000*SER_hh_tes_in!U30/SER_hh_num_in!U30)</f>
        <v>0</v>
      </c>
      <c r="V30" s="132">
        <f>IF(SER_hh_tes_in!V30=0,0,11630*1000*SER_hh_tes_in!V30/SER_hh_num_in!V30)</f>
        <v>0</v>
      </c>
      <c r="W30" s="132">
        <f>IF(SER_hh_tes_in!W30=0,0,11630*1000*SER_hh_tes_in!W30/SER_hh_num_in!W30)</f>
        <v>14905.893840268758</v>
      </c>
      <c r="X30" s="132">
        <f>IF(SER_hh_tes_in!X30=0,0,11630*1000*SER_hh_tes_in!X30/SER_hh_num_in!X30)</f>
        <v>20290.378675496821</v>
      </c>
      <c r="Y30" s="132">
        <f>IF(SER_hh_tes_in!Y30=0,0,11630*1000*SER_hh_tes_in!Y30/SER_hh_num_in!Y30)</f>
        <v>29041.391139942181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19083.761719122245</v>
      </c>
      <c r="D31" s="132">
        <f>IF(SER_hh_tes_in!D31=0,0,11630*1000*SER_hh_tes_in!D31/SER_hh_num_in!D31)</f>
        <v>20578.350764676103</v>
      </c>
      <c r="E31" s="132">
        <f>IF(SER_hh_tes_in!E31=0,0,11630*1000*SER_hh_tes_in!E31/SER_hh_num_in!E31)</f>
        <v>18593.246743518666</v>
      </c>
      <c r="F31" s="132">
        <f>IF(SER_hh_tes_in!F31=0,0,11630*1000*SER_hh_tes_in!F31/SER_hh_num_in!F31)</f>
        <v>17952.998136322498</v>
      </c>
      <c r="G31" s="132">
        <f>IF(SER_hh_tes_in!G31=0,0,11630*1000*SER_hh_tes_in!G31/SER_hh_num_in!G31)</f>
        <v>18039.373435650323</v>
      </c>
      <c r="H31" s="132">
        <f>IF(SER_hh_tes_in!H31=0,0,11630*1000*SER_hh_tes_in!H31/SER_hh_num_in!H31)</f>
        <v>17916.695713701694</v>
      </c>
      <c r="I31" s="132">
        <f>IF(SER_hh_tes_in!I31=0,0,11630*1000*SER_hh_tes_in!I31/SER_hh_num_in!I31)</f>
        <v>18271.609528895759</v>
      </c>
      <c r="J31" s="132">
        <f>IF(SER_hh_tes_in!J31=0,0,11630*1000*SER_hh_tes_in!J31/SER_hh_num_in!J31)</f>
        <v>18715.003196211892</v>
      </c>
      <c r="K31" s="132">
        <f>IF(SER_hh_tes_in!K31=0,0,11630*1000*SER_hh_tes_in!K31/SER_hh_num_in!K31)</f>
        <v>18146.544810416421</v>
      </c>
      <c r="L31" s="132">
        <f>IF(SER_hh_tes_in!L31=0,0,11630*1000*SER_hh_tes_in!L31/SER_hh_num_in!L31)</f>
        <v>19342.798362671056</v>
      </c>
      <c r="M31" s="132">
        <f>IF(SER_hh_tes_in!M31=0,0,11630*1000*SER_hh_tes_in!M31/SER_hh_num_in!M31)</f>
        <v>19555.728432257303</v>
      </c>
      <c r="N31" s="132">
        <f>IF(SER_hh_tes_in!N31=0,0,11630*1000*SER_hh_tes_in!N31/SER_hh_num_in!N31)</f>
        <v>20079.588863340847</v>
      </c>
      <c r="O31" s="132">
        <f>IF(SER_hh_tes_in!O31=0,0,11630*1000*SER_hh_tes_in!O31/SER_hh_num_in!O31)</f>
        <v>19916.077130955342</v>
      </c>
      <c r="P31" s="132">
        <f>IF(SER_hh_tes_in!P31=0,0,11630*1000*SER_hh_tes_in!P31/SER_hh_num_in!P31)</f>
        <v>18902.728240362703</v>
      </c>
      <c r="Q31" s="132">
        <f>IF(SER_hh_tes_in!Q31=0,0,11630*1000*SER_hh_tes_in!Q31/SER_hh_num_in!Q31)</f>
        <v>17762.326765580623</v>
      </c>
      <c r="R31" s="132">
        <f>IF(SER_hh_tes_in!R31=0,0,11630*1000*SER_hh_tes_in!R31/SER_hh_num_in!R31)</f>
        <v>21381.801509734592</v>
      </c>
      <c r="S31" s="132">
        <f>IF(SER_hh_tes_in!S31=0,0,11630*1000*SER_hh_tes_in!S31/SER_hh_num_in!S31)</f>
        <v>19007.901570926515</v>
      </c>
      <c r="T31" s="132">
        <f>IF(SER_hh_tes_in!T31=0,0,11630*1000*SER_hh_tes_in!T31/SER_hh_num_in!T31)</f>
        <v>19050.532153475622</v>
      </c>
      <c r="U31" s="132">
        <f>IF(SER_hh_tes_in!U31=0,0,11630*1000*SER_hh_tes_in!U31/SER_hh_num_in!U31)</f>
        <v>22060.511826247402</v>
      </c>
      <c r="V31" s="132">
        <f>IF(SER_hh_tes_in!V31=0,0,11630*1000*SER_hh_tes_in!V31/SER_hh_num_in!V31)</f>
        <v>21689.278585652686</v>
      </c>
      <c r="W31" s="132">
        <f>IF(SER_hh_tes_in!W31=0,0,11630*1000*SER_hh_tes_in!W31/SER_hh_num_in!W31)</f>
        <v>22205.23188407411</v>
      </c>
      <c r="X31" s="132">
        <f>IF(SER_hh_tes_in!X31=0,0,11630*1000*SER_hh_tes_in!X31/SER_hh_num_in!X31)</f>
        <v>0</v>
      </c>
      <c r="Y31" s="132">
        <f>IF(SER_hh_tes_in!Y31=0,0,11630*1000*SER_hh_tes_in!Y31/SER_hh_num_in!Y31)</f>
        <v>0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17797.868945692277</v>
      </c>
      <c r="D33" s="68">
        <f>IF(SER_hh_tes_in!D33=0,0,11630*1000*SER_hh_tes_in!D33/SER_hh_num_in!D33)</f>
        <v>17259.415113302366</v>
      </c>
      <c r="E33" s="68">
        <f>IF(SER_hh_tes_in!E33=0,0,11630*1000*SER_hh_tes_in!E33/SER_hh_num_in!E33)</f>
        <v>17860.868966679336</v>
      </c>
      <c r="F33" s="68">
        <f>IF(SER_hh_tes_in!F33=0,0,11630*1000*SER_hh_tes_in!F33/SER_hh_num_in!F33)</f>
        <v>17561.025221062864</v>
      </c>
      <c r="G33" s="68">
        <f>IF(SER_hh_tes_in!G33=0,0,11630*1000*SER_hh_tes_in!G33/SER_hh_num_in!G33)</f>
        <v>18217.850067705887</v>
      </c>
      <c r="H33" s="68">
        <f>IF(SER_hh_tes_in!H33=0,0,11630*1000*SER_hh_tes_in!H33/SER_hh_num_in!H33)</f>
        <v>17817.862569164903</v>
      </c>
      <c r="I33" s="68">
        <f>IF(SER_hh_tes_in!I33=0,0,11630*1000*SER_hh_tes_in!I33/SER_hh_num_in!I33)</f>
        <v>17694.830118191436</v>
      </c>
      <c r="J33" s="68">
        <f>IF(SER_hh_tes_in!J33=0,0,11630*1000*SER_hh_tes_in!J33/SER_hh_num_in!J33)</f>
        <v>18426.087162247462</v>
      </c>
      <c r="K33" s="68">
        <f>IF(SER_hh_tes_in!K33=0,0,11630*1000*SER_hh_tes_in!K33/SER_hh_num_in!K33)</f>
        <v>19459.413051402607</v>
      </c>
      <c r="L33" s="68">
        <f>IF(SER_hh_tes_in!L33=0,0,11630*1000*SER_hh_tes_in!L33/SER_hh_num_in!L33)</f>
        <v>19684.115672405256</v>
      </c>
      <c r="M33" s="68">
        <f>IF(SER_hh_tes_in!M33=0,0,11630*1000*SER_hh_tes_in!M33/SER_hh_num_in!M33)</f>
        <v>19858.356888416787</v>
      </c>
      <c r="N33" s="68">
        <f>IF(SER_hh_tes_in!N33=0,0,11630*1000*SER_hh_tes_in!N33/SER_hh_num_in!N33)</f>
        <v>19522.991643557947</v>
      </c>
      <c r="O33" s="68">
        <f>IF(SER_hh_tes_in!O33=0,0,11630*1000*SER_hh_tes_in!O33/SER_hh_num_in!O33)</f>
        <v>20057.040100188704</v>
      </c>
      <c r="P33" s="68">
        <f>IF(SER_hh_tes_in!P33=0,0,11630*1000*SER_hh_tes_in!P33/SER_hh_num_in!P33)</f>
        <v>19961.736374664586</v>
      </c>
      <c r="Q33" s="68">
        <f>IF(SER_hh_tes_in!Q33=0,0,11630*1000*SER_hh_tes_in!Q33/SER_hh_num_in!Q33)</f>
        <v>20066.900939306168</v>
      </c>
      <c r="R33" s="68">
        <f>IF(SER_hh_tes_in!R33=0,0,11630*1000*SER_hh_tes_in!R33/SER_hh_num_in!R33)</f>
        <v>19113.301204356336</v>
      </c>
      <c r="S33" s="68">
        <f>IF(SER_hh_tes_in!S33=0,0,11630*1000*SER_hh_tes_in!S33/SER_hh_num_in!S33)</f>
        <v>19273.031651720066</v>
      </c>
      <c r="T33" s="68">
        <f>IF(SER_hh_tes_in!T33=0,0,11630*1000*SER_hh_tes_in!T33/SER_hh_num_in!T33)</f>
        <v>20202.869164385465</v>
      </c>
      <c r="U33" s="68">
        <f>IF(SER_hh_tes_in!U33=0,0,11630*1000*SER_hh_tes_in!U33/SER_hh_num_in!U33)</f>
        <v>19206.391010685977</v>
      </c>
      <c r="V33" s="68">
        <f>IF(SER_hh_tes_in!V33=0,0,11630*1000*SER_hh_tes_in!V33/SER_hh_num_in!V33)</f>
        <v>17537.14348100773</v>
      </c>
      <c r="W33" s="68">
        <f>IF(SER_hh_tes_in!W33=0,0,11630*1000*SER_hh_tes_in!W33/SER_hh_num_in!W33)</f>
        <v>20714.974808426465</v>
      </c>
      <c r="X33" s="68">
        <f>IF(SER_hh_tes_in!X33=0,0,11630*1000*SER_hh_tes_in!X33/SER_hh_num_in!X33)</f>
        <v>22823.58285113415</v>
      </c>
      <c r="Y33" s="68">
        <f>IF(SER_hh_tes_in!Y33=0,0,11630*1000*SER_hh_tes_in!Y33/SER_hh_num_in!Y33)</f>
        <v>25171.610899808493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19297.269977160169</v>
      </c>
      <c r="D3" s="125">
        <f>IF(SER_hh_emi_in!D3=0,0,1000000*SER_hh_emi_in!D3/SER_hh_num_in!D3)</f>
        <v>15918.806850752051</v>
      </c>
      <c r="E3" s="125">
        <f>IF(SER_hh_emi_in!E3=0,0,1000000*SER_hh_emi_in!E3/SER_hh_num_in!E3)</f>
        <v>26566.524787631661</v>
      </c>
      <c r="F3" s="125">
        <f>IF(SER_hh_emi_in!F3=0,0,1000000*SER_hh_emi_in!F3/SER_hh_num_in!F3)</f>
        <v>5528.6908242275758</v>
      </c>
      <c r="G3" s="125">
        <f>IF(SER_hh_emi_in!G3=0,0,1000000*SER_hh_emi_in!G3/SER_hh_num_in!G3)</f>
        <v>1312.5909041771522</v>
      </c>
      <c r="H3" s="125">
        <f>IF(SER_hh_emi_in!H3=0,0,1000000*SER_hh_emi_in!H3/SER_hh_num_in!H3)</f>
        <v>874.69515012533145</v>
      </c>
      <c r="I3" s="125">
        <f>IF(SER_hh_emi_in!I3=0,0,1000000*SER_hh_emi_in!I3/SER_hh_num_in!I3)</f>
        <v>6216.9813558481319</v>
      </c>
      <c r="J3" s="125">
        <f>IF(SER_hh_emi_in!J3=0,0,1000000*SER_hh_emi_in!J3/SER_hh_num_in!J3)</f>
        <v>7197.0438758415767</v>
      </c>
      <c r="K3" s="125">
        <f>IF(SER_hh_emi_in!K3=0,0,1000000*SER_hh_emi_in!K3/SER_hh_num_in!K3)</f>
        <v>12554.599111672302</v>
      </c>
      <c r="L3" s="125">
        <f>IF(SER_hh_emi_in!L3=0,0,1000000*SER_hh_emi_in!L3/SER_hh_num_in!L3)</f>
        <v>12512.951867283578</v>
      </c>
      <c r="M3" s="125">
        <f>IF(SER_hh_emi_in!M3=0,0,1000000*SER_hh_emi_in!M3/SER_hh_num_in!M3)</f>
        <v>23582.260953277564</v>
      </c>
      <c r="N3" s="125">
        <f>IF(SER_hh_emi_in!N3=0,0,1000000*SER_hh_emi_in!N3/SER_hh_num_in!N3)</f>
        <v>18397.841322651988</v>
      </c>
      <c r="O3" s="125">
        <f>IF(SER_hh_emi_in!O3=0,0,1000000*SER_hh_emi_in!O3/SER_hh_num_in!O3)</f>
        <v>19227.683628335588</v>
      </c>
      <c r="P3" s="125">
        <f>IF(SER_hh_emi_in!P3=0,0,1000000*SER_hh_emi_in!P3/SER_hh_num_in!P3)</f>
        <v>19743.393946343876</v>
      </c>
      <c r="Q3" s="125">
        <f>IF(SER_hh_emi_in!Q3=0,0,1000000*SER_hh_emi_in!Q3/SER_hh_num_in!Q3)</f>
        <v>12496.73927249647</v>
      </c>
      <c r="R3" s="125">
        <f>IF(SER_hh_emi_in!R3=0,0,1000000*SER_hh_emi_in!R3/SER_hh_num_in!R3)</f>
        <v>11713.791651063246</v>
      </c>
      <c r="S3" s="125">
        <f>IF(SER_hh_emi_in!S3=0,0,1000000*SER_hh_emi_in!S3/SER_hh_num_in!S3)</f>
        <v>6472.675524915564</v>
      </c>
      <c r="T3" s="125">
        <f>IF(SER_hh_emi_in!T3=0,0,1000000*SER_hh_emi_in!T3/SER_hh_num_in!T3)</f>
        <v>6119.6892671716869</v>
      </c>
      <c r="U3" s="125">
        <f>IF(SER_hh_emi_in!U3=0,0,1000000*SER_hh_emi_in!U3/SER_hh_num_in!U3)</f>
        <v>3773.7588252891542</v>
      </c>
      <c r="V3" s="125">
        <f>IF(SER_hh_emi_in!V3=0,0,1000000*SER_hh_emi_in!V3/SER_hh_num_in!V3)</f>
        <v>871.79191354385773</v>
      </c>
      <c r="W3" s="125">
        <f>IF(SER_hh_emi_in!W3=0,0,1000000*SER_hh_emi_in!W3/SER_hh_num_in!W3)</f>
        <v>1794.0665194397193</v>
      </c>
      <c r="X3" s="125">
        <f>IF(SER_hh_emi_in!X3=0,0,1000000*SER_hh_emi_in!X3/SER_hh_num_in!X3)</f>
        <v>2822.5041264223664</v>
      </c>
      <c r="Y3" s="125">
        <f>IF(SER_hh_emi_in!Y3=0,0,1000000*SER_hh_emi_in!Y3/SER_hh_num_in!Y3)</f>
        <v>5439.9060222162598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15180.209136270509</v>
      </c>
      <c r="D4" s="130">
        <f>IF(SER_hh_emi_in!D4=0,0,1000000*SER_hh_emi_in!D4/SER_hh_num_in!D4)</f>
        <v>13533.647917173832</v>
      </c>
      <c r="E4" s="130">
        <f>IF(SER_hh_emi_in!E4=0,0,1000000*SER_hh_emi_in!E4/SER_hh_num_in!E4)</f>
        <v>25244.040620875032</v>
      </c>
      <c r="F4" s="130">
        <f>IF(SER_hh_emi_in!F4=0,0,1000000*SER_hh_emi_in!F4/SER_hh_num_in!F4)</f>
        <v>3182.3139373800259</v>
      </c>
      <c r="G4" s="130">
        <f>IF(SER_hh_emi_in!G4=0,0,1000000*SER_hh_emi_in!G4/SER_hh_num_in!G4)</f>
        <v>620.56331839349969</v>
      </c>
      <c r="H4" s="130">
        <f>IF(SER_hh_emi_in!H4=0,0,1000000*SER_hh_emi_in!H4/SER_hh_num_in!H4)</f>
        <v>319.89006930240498</v>
      </c>
      <c r="I4" s="130">
        <f>IF(SER_hh_emi_in!I4=0,0,1000000*SER_hh_emi_in!I4/SER_hh_num_in!I4)</f>
        <v>5296.5288697288324</v>
      </c>
      <c r="J4" s="130">
        <f>IF(SER_hh_emi_in!J4=0,0,1000000*SER_hh_emi_in!J4/SER_hh_num_in!J4)</f>
        <v>4877.0394768677361</v>
      </c>
      <c r="K4" s="130">
        <f>IF(SER_hh_emi_in!K4=0,0,1000000*SER_hh_emi_in!K4/SER_hh_num_in!K4)</f>
        <v>10593.382143616705</v>
      </c>
      <c r="L4" s="130">
        <f>IF(SER_hh_emi_in!L4=0,0,1000000*SER_hh_emi_in!L4/SER_hh_num_in!L4)</f>
        <v>10475.786999441429</v>
      </c>
      <c r="M4" s="130">
        <f>IF(SER_hh_emi_in!M4=0,0,1000000*SER_hh_emi_in!M4/SER_hh_num_in!M4)</f>
        <v>21295.407303718908</v>
      </c>
      <c r="N4" s="130">
        <f>IF(SER_hh_emi_in!N4=0,0,1000000*SER_hh_emi_in!N4/SER_hh_num_in!N4)</f>
        <v>15568.866176591308</v>
      </c>
      <c r="O4" s="130">
        <f>IF(SER_hh_emi_in!O4=0,0,1000000*SER_hh_emi_in!O4/SER_hh_num_in!O4)</f>
        <v>15892.507315811736</v>
      </c>
      <c r="P4" s="130">
        <f>IF(SER_hh_emi_in!P4=0,0,1000000*SER_hh_emi_in!P4/SER_hh_num_in!P4)</f>
        <v>16018.133633968695</v>
      </c>
      <c r="Q4" s="130">
        <f>IF(SER_hh_emi_in!Q4=0,0,1000000*SER_hh_emi_in!Q4/SER_hh_num_in!Q4)</f>
        <v>10124.057411232174</v>
      </c>
      <c r="R4" s="130">
        <f>IF(SER_hh_emi_in!R4=0,0,1000000*SER_hh_emi_in!R4/SER_hh_num_in!R4)</f>
        <v>8485.8374259309003</v>
      </c>
      <c r="S4" s="130">
        <f>IF(SER_hh_emi_in!S4=0,0,1000000*SER_hh_emi_in!S4/SER_hh_num_in!S4)</f>
        <v>4622.2201985120346</v>
      </c>
      <c r="T4" s="130">
        <f>IF(SER_hh_emi_in!T4=0,0,1000000*SER_hh_emi_in!T4/SER_hh_num_in!T4)</f>
        <v>4081.2223658390212</v>
      </c>
      <c r="U4" s="130">
        <f>IF(SER_hh_emi_in!U4=0,0,1000000*SER_hh_emi_in!U4/SER_hh_num_in!U4)</f>
        <v>2454.2233330265822</v>
      </c>
      <c r="V4" s="130">
        <f>IF(SER_hh_emi_in!V4=0,0,1000000*SER_hh_emi_in!V4/SER_hh_num_in!V4)</f>
        <v>34.251645188522737</v>
      </c>
      <c r="W4" s="130">
        <f>IF(SER_hh_emi_in!W4=0,0,1000000*SER_hh_emi_in!W4/SER_hh_num_in!W4)</f>
        <v>1105.9806887697057</v>
      </c>
      <c r="X4" s="130">
        <f>IF(SER_hh_emi_in!X4=0,0,1000000*SER_hh_emi_in!X4/SER_hh_num_in!X4)</f>
        <v>2313.2948630334895</v>
      </c>
      <c r="Y4" s="130">
        <f>IF(SER_hh_emi_in!Y4=0,0,1000000*SER_hh_emi_in!Y4/SER_hh_num_in!Y4)</f>
        <v>3217.6042818549649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63505.81677280429</v>
      </c>
      <c r="D5" s="132">
        <f>IF(SER_hh_emi_in!D5=0,0,1000000*SER_hh_emi_in!D5/SER_hh_num_in!D5)</f>
        <v>54687.679288055115</v>
      </c>
      <c r="E5" s="132">
        <f>IF(SER_hh_emi_in!E5=0,0,1000000*SER_hh_emi_in!E5/SER_hh_num_in!E5)</f>
        <v>59285.84067993379</v>
      </c>
      <c r="F5" s="132">
        <f>IF(SER_hh_emi_in!F5=0,0,1000000*SER_hh_emi_in!F5/SER_hh_num_in!F5)</f>
        <v>0</v>
      </c>
      <c r="G5" s="132">
        <f>IF(SER_hh_emi_in!G5=0,0,1000000*SER_hh_emi_in!G5/SER_hh_num_in!G5)</f>
        <v>73856.981135109891</v>
      </c>
      <c r="H5" s="132">
        <f>IF(SER_hh_emi_in!H5=0,0,1000000*SER_hh_emi_in!H5/SER_hh_num_in!H5)</f>
        <v>0</v>
      </c>
      <c r="I5" s="132">
        <f>IF(SER_hh_emi_in!I5=0,0,1000000*SER_hh_emi_in!I5/SER_hh_num_in!I5)</f>
        <v>0</v>
      </c>
      <c r="J5" s="132">
        <f>IF(SER_hh_emi_in!J5=0,0,1000000*SER_hh_emi_in!J5/SER_hh_num_in!J5)</f>
        <v>0</v>
      </c>
      <c r="K5" s="132">
        <f>IF(SER_hh_emi_in!K5=0,0,1000000*SER_hh_emi_in!K5/SER_hh_num_in!K5)</f>
        <v>0</v>
      </c>
      <c r="L5" s="132">
        <f>IF(SER_hh_emi_in!L5=0,0,1000000*SER_hh_emi_in!L5/SER_hh_num_in!L5)</f>
        <v>0</v>
      </c>
      <c r="M5" s="132">
        <f>IF(SER_hh_emi_in!M5=0,0,1000000*SER_hh_emi_in!M5/SER_hh_num_in!M5)</f>
        <v>40408.117390314932</v>
      </c>
      <c r="N5" s="132">
        <f>IF(SER_hh_emi_in!N5=0,0,1000000*SER_hh_emi_in!N5/SER_hh_num_in!N5)</f>
        <v>46849.393680800953</v>
      </c>
      <c r="O5" s="132">
        <f>IF(SER_hh_emi_in!O5=0,0,1000000*SER_hh_emi_in!O5/SER_hh_num_in!O5)</f>
        <v>72163.19353250011</v>
      </c>
      <c r="P5" s="132">
        <f>IF(SER_hh_emi_in!P5=0,0,1000000*SER_hh_emi_in!P5/SER_hh_num_in!P5)</f>
        <v>0</v>
      </c>
      <c r="Q5" s="132">
        <f>IF(SER_hh_emi_in!Q5=0,0,1000000*SER_hh_emi_in!Q5/SER_hh_num_in!Q5)</f>
        <v>0</v>
      </c>
      <c r="R5" s="132">
        <f>IF(SER_hh_emi_in!R5=0,0,1000000*SER_hh_emi_in!R5/SER_hh_num_in!R5)</f>
        <v>0</v>
      </c>
      <c r="S5" s="132">
        <f>IF(SER_hh_emi_in!S5=0,0,1000000*SER_hh_emi_in!S5/SER_hh_num_in!S5)</f>
        <v>0</v>
      </c>
      <c r="T5" s="132">
        <f>IF(SER_hh_emi_in!T5=0,0,1000000*SER_hh_emi_in!T5/SER_hh_num_in!T5)</f>
        <v>0</v>
      </c>
      <c r="U5" s="132">
        <f>IF(SER_hh_emi_in!U5=0,0,1000000*SER_hh_emi_in!U5/SER_hh_num_in!U5)</f>
        <v>0</v>
      </c>
      <c r="V5" s="132">
        <f>IF(SER_hh_emi_in!V5=0,0,1000000*SER_hh_emi_in!V5/SER_hh_num_in!V5)</f>
        <v>32126.533179703209</v>
      </c>
      <c r="W5" s="132">
        <f>IF(SER_hh_emi_in!W5=0,0,1000000*SER_hh_emi_in!W5/SER_hh_num_in!W5)</f>
        <v>0</v>
      </c>
      <c r="X5" s="132">
        <f>IF(SER_hh_emi_in!X5=0,0,1000000*SER_hh_emi_in!X5/SER_hh_num_in!X5)</f>
        <v>0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61783.036005953974</v>
      </c>
      <c r="D7" s="132">
        <f>IF(SER_hh_emi_in!D7=0,0,1000000*SER_hh_emi_in!D7/SER_hh_num_in!D7)</f>
        <v>0</v>
      </c>
      <c r="E7" s="132">
        <f>IF(SER_hh_emi_in!E7=0,0,1000000*SER_hh_emi_in!E7/SER_hh_num_in!E7)</f>
        <v>0</v>
      </c>
      <c r="F7" s="132">
        <f>IF(SER_hh_emi_in!F7=0,0,1000000*SER_hh_emi_in!F7/SER_hh_num_in!F7)</f>
        <v>0</v>
      </c>
      <c r="G7" s="132">
        <f>IF(SER_hh_emi_in!G7=0,0,1000000*SER_hh_emi_in!G7/SER_hh_num_in!G7)</f>
        <v>0</v>
      </c>
      <c r="H7" s="132">
        <f>IF(SER_hh_emi_in!H7=0,0,1000000*SER_hh_emi_in!H7/SER_hh_num_in!H7)</f>
        <v>50489.195031314513</v>
      </c>
      <c r="I7" s="132">
        <f>IF(SER_hh_emi_in!I7=0,0,1000000*SER_hh_emi_in!I7/SER_hh_num_in!I7)</f>
        <v>55093.622153174649</v>
      </c>
      <c r="J7" s="132">
        <f>IF(SER_hh_emi_in!J7=0,0,1000000*SER_hh_emi_in!J7/SER_hh_num_in!J7)</f>
        <v>57022.457918919528</v>
      </c>
      <c r="K7" s="132">
        <f>IF(SER_hh_emi_in!K7=0,0,1000000*SER_hh_emi_in!K7/SER_hh_num_in!K7)</f>
        <v>51562.550165109504</v>
      </c>
      <c r="L7" s="132">
        <f>IF(SER_hh_emi_in!L7=0,0,1000000*SER_hh_emi_in!L7/SER_hh_num_in!L7)</f>
        <v>40544.299805394243</v>
      </c>
      <c r="M7" s="132">
        <f>IF(SER_hh_emi_in!M7=0,0,1000000*SER_hh_emi_in!M7/SER_hh_num_in!M7)</f>
        <v>50533.755692748331</v>
      </c>
      <c r="N7" s="132">
        <f>IF(SER_hh_emi_in!N7=0,0,1000000*SER_hh_emi_in!N7/SER_hh_num_in!N7)</f>
        <v>48049.863146834148</v>
      </c>
      <c r="O7" s="132">
        <f>IF(SER_hh_emi_in!O7=0,0,1000000*SER_hh_emi_in!O7/SER_hh_num_in!O7)</f>
        <v>42388.549558516264</v>
      </c>
      <c r="P7" s="132">
        <f>IF(SER_hh_emi_in!P7=0,0,1000000*SER_hh_emi_in!P7/SER_hh_num_in!P7)</f>
        <v>0</v>
      </c>
      <c r="Q7" s="132">
        <f>IF(SER_hh_emi_in!Q7=0,0,1000000*SER_hh_emi_in!Q7/SER_hh_num_in!Q7)</f>
        <v>0</v>
      </c>
      <c r="R7" s="132">
        <f>IF(SER_hh_emi_in!R7=0,0,1000000*SER_hh_emi_in!R7/SER_hh_num_in!R7)</f>
        <v>0</v>
      </c>
      <c r="S7" s="132">
        <f>IF(SER_hh_emi_in!S7=0,0,1000000*SER_hh_emi_in!S7/SER_hh_num_in!S7)</f>
        <v>0</v>
      </c>
      <c r="T7" s="132">
        <f>IF(SER_hh_emi_in!T7=0,0,1000000*SER_hh_emi_in!T7/SER_hh_num_in!T7)</f>
        <v>0</v>
      </c>
      <c r="U7" s="132">
        <f>IF(SER_hh_emi_in!U7=0,0,1000000*SER_hh_emi_in!U7/SER_hh_num_in!U7)</f>
        <v>0</v>
      </c>
      <c r="V7" s="132">
        <f>IF(SER_hh_emi_in!V7=0,0,1000000*SER_hh_emi_in!V7/SER_hh_num_in!V7)</f>
        <v>0</v>
      </c>
      <c r="W7" s="132">
        <f>IF(SER_hh_emi_in!W7=0,0,1000000*SER_hh_emi_in!W7/SER_hh_num_in!W7)</f>
        <v>19523.385703003154</v>
      </c>
      <c r="X7" s="132">
        <f>IF(SER_hh_emi_in!X7=0,0,1000000*SER_hh_emi_in!X7/SER_hh_num_in!X7)</f>
        <v>18383.15872920238</v>
      </c>
      <c r="Y7" s="132">
        <f>IF(SER_hh_emi_in!Y7=0,0,1000000*SER_hh_emi_in!Y7/SER_hh_num_in!Y7)</f>
        <v>18961.081489130313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0</v>
      </c>
      <c r="D8" s="132">
        <f>IF(SER_hh_emi_in!D8=0,0,1000000*SER_hh_emi_in!D8/SER_hh_num_in!D8)</f>
        <v>0</v>
      </c>
      <c r="E8" s="132">
        <f>IF(SER_hh_emi_in!E8=0,0,1000000*SER_hh_emi_in!E8/SER_hh_num_in!E8)</f>
        <v>0</v>
      </c>
      <c r="F8" s="132">
        <f>IF(SER_hh_emi_in!F8=0,0,1000000*SER_hh_emi_in!F8/SER_hh_num_in!F8)</f>
        <v>0</v>
      </c>
      <c r="G8" s="132">
        <f>IF(SER_hh_emi_in!G8=0,0,1000000*SER_hh_emi_in!G8/SER_hh_num_in!G8)</f>
        <v>0</v>
      </c>
      <c r="H8" s="132">
        <f>IF(SER_hh_emi_in!H8=0,0,1000000*SER_hh_emi_in!H8/SER_hh_num_in!H8)</f>
        <v>0</v>
      </c>
      <c r="I8" s="132">
        <f>IF(SER_hh_emi_in!I8=0,0,1000000*SER_hh_emi_in!I8/SER_hh_num_in!I8)</f>
        <v>0</v>
      </c>
      <c r="J8" s="132">
        <f>IF(SER_hh_emi_in!J8=0,0,1000000*SER_hh_emi_in!J8/SER_hh_num_in!J8)</f>
        <v>0</v>
      </c>
      <c r="K8" s="132">
        <f>IF(SER_hh_emi_in!K8=0,0,1000000*SER_hh_emi_in!K8/SER_hh_num_in!K8)</f>
        <v>0</v>
      </c>
      <c r="L8" s="132">
        <f>IF(SER_hh_emi_in!L8=0,0,1000000*SER_hh_emi_in!L8/SER_hh_num_in!L8)</f>
        <v>0</v>
      </c>
      <c r="M8" s="132">
        <f>IF(SER_hh_emi_in!M8=0,0,1000000*SER_hh_emi_in!M8/SER_hh_num_in!M8)</f>
        <v>0</v>
      </c>
      <c r="N8" s="132">
        <f>IF(SER_hh_emi_in!N8=0,0,1000000*SER_hh_emi_in!N8/SER_hh_num_in!N8)</f>
        <v>0</v>
      </c>
      <c r="O8" s="132">
        <f>IF(SER_hh_emi_in!O8=0,0,1000000*SER_hh_emi_in!O8/SER_hh_num_in!O8)</f>
        <v>0</v>
      </c>
      <c r="P8" s="132">
        <f>IF(SER_hh_emi_in!P8=0,0,1000000*SER_hh_emi_in!P8/SER_hh_num_in!P8)</f>
        <v>0</v>
      </c>
      <c r="Q8" s="132">
        <f>IF(SER_hh_emi_in!Q8=0,0,1000000*SER_hh_emi_in!Q8/SER_hh_num_in!Q8)</f>
        <v>0</v>
      </c>
      <c r="R8" s="132">
        <f>IF(SER_hh_emi_in!R8=0,0,1000000*SER_hh_emi_in!R8/SER_hh_num_in!R8)</f>
        <v>0</v>
      </c>
      <c r="S8" s="132">
        <f>IF(SER_hh_emi_in!S8=0,0,1000000*SER_hh_emi_in!S8/SER_hh_num_in!S8)</f>
        <v>0</v>
      </c>
      <c r="T8" s="132">
        <f>IF(SER_hh_emi_in!T8=0,0,1000000*SER_hh_emi_in!T8/SER_hh_num_in!T8)</f>
        <v>0</v>
      </c>
      <c r="U8" s="132">
        <f>IF(SER_hh_emi_in!U8=0,0,1000000*SER_hh_emi_in!U8/SER_hh_num_in!U8)</f>
        <v>0</v>
      </c>
      <c r="V8" s="132">
        <f>IF(SER_hh_emi_in!V8=0,0,1000000*SER_hh_emi_in!V8/SER_hh_num_in!V8)</f>
        <v>0</v>
      </c>
      <c r="W8" s="132">
        <f>IF(SER_hh_emi_in!W8=0,0,1000000*SER_hh_emi_in!W8/SER_hh_num_in!W8)</f>
        <v>0</v>
      </c>
      <c r="X8" s="132">
        <f>IF(SER_hh_emi_in!X8=0,0,1000000*SER_hh_emi_in!X8/SER_hh_num_in!X8)</f>
        <v>0</v>
      </c>
      <c r="Y8" s="132">
        <f>IF(SER_hh_emi_in!Y8=0,0,1000000*SER_hh_emi_in!Y8/SER_hh_num_in!Y8)</f>
        <v>0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38012.236005208571</v>
      </c>
      <c r="D9" s="132">
        <f>IF(SER_hh_emi_in!D9=0,0,1000000*SER_hh_emi_in!D9/SER_hh_num_in!D9)</f>
        <v>26764.798529777876</v>
      </c>
      <c r="E9" s="132">
        <f>IF(SER_hh_emi_in!E9=0,0,1000000*SER_hh_emi_in!E9/SER_hh_num_in!E9)</f>
        <v>52505.77910096987</v>
      </c>
      <c r="F9" s="132">
        <f>IF(SER_hh_emi_in!F9=0,0,1000000*SER_hh_emi_in!F9/SER_hh_num_in!F9)</f>
        <v>45609.340449464507</v>
      </c>
      <c r="G9" s="132">
        <f>IF(SER_hh_emi_in!G9=0,0,1000000*SER_hh_emi_in!G9/SER_hh_num_in!G9)</f>
        <v>0</v>
      </c>
      <c r="H9" s="132">
        <f>IF(SER_hh_emi_in!H9=0,0,1000000*SER_hh_emi_in!H9/SER_hh_num_in!H9)</f>
        <v>0</v>
      </c>
      <c r="I9" s="132">
        <f>IF(SER_hh_emi_in!I9=0,0,1000000*SER_hh_emi_in!I9/SER_hh_num_in!I9)</f>
        <v>0</v>
      </c>
      <c r="J9" s="132">
        <f>IF(SER_hh_emi_in!J9=0,0,1000000*SER_hh_emi_in!J9/SER_hh_num_in!J9)</f>
        <v>0</v>
      </c>
      <c r="K9" s="132">
        <f>IF(SER_hh_emi_in!K9=0,0,1000000*SER_hh_emi_in!K9/SER_hh_num_in!K9)</f>
        <v>0</v>
      </c>
      <c r="L9" s="132">
        <f>IF(SER_hh_emi_in!L9=0,0,1000000*SER_hh_emi_in!L9/SER_hh_num_in!L9)</f>
        <v>0</v>
      </c>
      <c r="M9" s="132">
        <f>IF(SER_hh_emi_in!M9=0,0,1000000*SER_hh_emi_in!M9/SER_hh_num_in!M9)</f>
        <v>30368.636317580451</v>
      </c>
      <c r="N9" s="132">
        <f>IF(SER_hh_emi_in!N9=0,0,1000000*SER_hh_emi_in!N9/SER_hh_num_in!N9)</f>
        <v>27346.081057520129</v>
      </c>
      <c r="O9" s="132">
        <f>IF(SER_hh_emi_in!O9=0,0,1000000*SER_hh_emi_in!O9/SER_hh_num_in!O9)</f>
        <v>25672.288538720433</v>
      </c>
      <c r="P9" s="132">
        <f>IF(SER_hh_emi_in!P9=0,0,1000000*SER_hh_emi_in!P9/SER_hh_num_in!P9)</f>
        <v>31279.110656677167</v>
      </c>
      <c r="Q9" s="132">
        <f>IF(SER_hh_emi_in!Q9=0,0,1000000*SER_hh_emi_in!Q9/SER_hh_num_in!Q9)</f>
        <v>27289.150477602729</v>
      </c>
      <c r="R9" s="132">
        <f>IF(SER_hh_emi_in!R9=0,0,1000000*SER_hh_emi_in!R9/SER_hh_num_in!R9)</f>
        <v>27548.020680791975</v>
      </c>
      <c r="S9" s="132">
        <f>IF(SER_hh_emi_in!S9=0,0,1000000*SER_hh_emi_in!S9/SER_hh_num_in!S9)</f>
        <v>22562.418646530463</v>
      </c>
      <c r="T9" s="132">
        <f>IF(SER_hh_emi_in!T9=0,0,1000000*SER_hh_emi_in!T9/SER_hh_num_in!T9)</f>
        <v>22670.862112150069</v>
      </c>
      <c r="U9" s="132">
        <f>IF(SER_hh_emi_in!U9=0,0,1000000*SER_hh_emi_in!U9/SER_hh_num_in!U9)</f>
        <v>19421.228925395535</v>
      </c>
      <c r="V9" s="132">
        <f>IF(SER_hh_emi_in!V9=0,0,1000000*SER_hh_emi_in!V9/SER_hh_num_in!V9)</f>
        <v>0</v>
      </c>
      <c r="W9" s="132">
        <f>IF(SER_hh_emi_in!W9=0,0,1000000*SER_hh_emi_in!W9/SER_hh_num_in!W9)</f>
        <v>0</v>
      </c>
      <c r="X9" s="132">
        <f>IF(SER_hh_emi_in!X9=0,0,1000000*SER_hh_emi_in!X9/SER_hh_num_in!X9)</f>
        <v>0</v>
      </c>
      <c r="Y9" s="132">
        <f>IF(SER_hh_emi_in!Y9=0,0,1000000*SER_hh_emi_in!Y9/SER_hh_num_in!Y9)</f>
        <v>0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0</v>
      </c>
      <c r="M10" s="132">
        <f>IF(SER_hh_emi_in!M10=0,0,1000000*SER_hh_emi_in!M10/SER_hh_num_in!M10)</f>
        <v>0</v>
      </c>
      <c r="N10" s="132">
        <f>IF(SER_hh_emi_in!N10=0,0,1000000*SER_hh_emi_in!N10/SER_hh_num_in!N10)</f>
        <v>0</v>
      </c>
      <c r="O10" s="132">
        <f>IF(SER_hh_emi_in!O10=0,0,1000000*SER_hh_emi_in!O10/SER_hh_num_in!O10)</f>
        <v>0</v>
      </c>
      <c r="P10" s="132">
        <f>IF(SER_hh_emi_in!P10=0,0,1000000*SER_hh_emi_in!P10/SER_hh_num_in!P10)</f>
        <v>0</v>
      </c>
      <c r="Q10" s="132">
        <f>IF(SER_hh_emi_in!Q10=0,0,1000000*SER_hh_emi_in!Q10/SER_hh_num_in!Q10)</f>
        <v>0</v>
      </c>
      <c r="R10" s="132">
        <f>IF(SER_hh_emi_in!R10=0,0,1000000*SER_hh_emi_in!R10/SER_hh_num_in!R10)</f>
        <v>0</v>
      </c>
      <c r="S10" s="132">
        <f>IF(SER_hh_emi_in!S10=0,0,1000000*SER_hh_emi_in!S10/SER_hh_num_in!S10)</f>
        <v>0</v>
      </c>
      <c r="T10" s="132">
        <f>IF(SER_hh_emi_in!T10=0,0,1000000*SER_hh_emi_in!T10/SER_hh_num_in!T10)</f>
        <v>0</v>
      </c>
      <c r="U10" s="132">
        <f>IF(SER_hh_emi_in!U10=0,0,1000000*SER_hh_emi_in!U10/SER_hh_num_in!U10)</f>
        <v>0</v>
      </c>
      <c r="V10" s="132">
        <f>IF(SER_hh_emi_in!V10=0,0,1000000*SER_hh_emi_in!V10/SER_hh_num_in!V10)</f>
        <v>0</v>
      </c>
      <c r="W10" s="132">
        <f>IF(SER_hh_emi_in!W10=0,0,1000000*SER_hh_emi_in!W10/SER_hh_num_in!W10)</f>
        <v>0</v>
      </c>
      <c r="X10" s="132">
        <f>IF(SER_hh_emi_in!X10=0,0,1000000*SER_hh_emi_in!X10/SER_hh_num_in!X10)</f>
        <v>0</v>
      </c>
      <c r="Y10" s="132">
        <f>IF(SER_hh_emi_in!Y10=0,0,1000000*SER_hh_emi_in!Y10/SER_hh_num_in!Y10)</f>
        <v>0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0</v>
      </c>
      <c r="D16" s="130">
        <f>IF(SER_hh_emi_in!D16=0,0,1000000*SER_hh_emi_in!D16/SER_hh_num_in!D16)</f>
        <v>0</v>
      </c>
      <c r="E16" s="130">
        <f>IF(SER_hh_emi_in!E16=0,0,1000000*SER_hh_emi_in!E16/SER_hh_num_in!E16)</f>
        <v>0</v>
      </c>
      <c r="F16" s="130">
        <f>IF(SER_hh_emi_in!F16=0,0,1000000*SER_hh_emi_in!F16/SER_hh_num_in!F16)</f>
        <v>0</v>
      </c>
      <c r="G16" s="130">
        <f>IF(SER_hh_emi_in!G16=0,0,1000000*SER_hh_emi_in!G16/SER_hh_num_in!G16)</f>
        <v>0</v>
      </c>
      <c r="H16" s="130">
        <f>IF(SER_hh_emi_in!H16=0,0,1000000*SER_hh_emi_in!H16/SER_hh_num_in!H16)</f>
        <v>0</v>
      </c>
      <c r="I16" s="130">
        <f>IF(SER_hh_emi_in!I16=0,0,1000000*SER_hh_emi_in!I16/SER_hh_num_in!I16)</f>
        <v>0</v>
      </c>
      <c r="J16" s="130">
        <f>IF(SER_hh_emi_in!J16=0,0,1000000*SER_hh_emi_in!J16/SER_hh_num_in!J16)</f>
        <v>0</v>
      </c>
      <c r="K16" s="130">
        <f>IF(SER_hh_emi_in!K16=0,0,1000000*SER_hh_emi_in!K16/SER_hh_num_in!K16)</f>
        <v>0</v>
      </c>
      <c r="L16" s="130">
        <f>IF(SER_hh_emi_in!L16=0,0,1000000*SER_hh_emi_in!L16/SER_hh_num_in!L16)</f>
        <v>0</v>
      </c>
      <c r="M16" s="130">
        <f>IF(SER_hh_emi_in!M16=0,0,1000000*SER_hh_emi_in!M16/SER_hh_num_in!M16)</f>
        <v>0</v>
      </c>
      <c r="N16" s="130">
        <f>IF(SER_hh_emi_in!N16=0,0,1000000*SER_hh_emi_in!N16/SER_hh_num_in!N16)</f>
        <v>0</v>
      </c>
      <c r="O16" s="130">
        <f>IF(SER_hh_emi_in!O16=0,0,1000000*SER_hh_emi_in!O16/SER_hh_num_in!O16)</f>
        <v>0</v>
      </c>
      <c r="P16" s="130">
        <f>IF(SER_hh_emi_in!P16=0,0,1000000*SER_hh_emi_in!P16/SER_hh_num_in!P16)</f>
        <v>0</v>
      </c>
      <c r="Q16" s="130">
        <f>IF(SER_hh_emi_in!Q16=0,0,1000000*SER_hh_emi_in!Q16/SER_hh_num_in!Q16)</f>
        <v>0</v>
      </c>
      <c r="R16" s="130">
        <f>IF(SER_hh_emi_in!R16=0,0,1000000*SER_hh_emi_in!R16/SER_hh_num_in!R16)</f>
        <v>0</v>
      </c>
      <c r="S16" s="130">
        <f>IF(SER_hh_emi_in!S16=0,0,1000000*SER_hh_emi_in!S16/SER_hh_num_in!S16)</f>
        <v>0</v>
      </c>
      <c r="T16" s="130">
        <f>IF(SER_hh_emi_in!T16=0,0,1000000*SER_hh_emi_in!T16/SER_hh_num_in!T16)</f>
        <v>0</v>
      </c>
      <c r="U16" s="130">
        <f>IF(SER_hh_emi_in!U16=0,0,1000000*SER_hh_emi_in!U16/SER_hh_num_in!U16)</f>
        <v>0</v>
      </c>
      <c r="V16" s="130">
        <f>IF(SER_hh_emi_in!V16=0,0,1000000*SER_hh_emi_in!V16/SER_hh_num_in!V16)</f>
        <v>0</v>
      </c>
      <c r="W16" s="130">
        <f>IF(SER_hh_emi_in!W16=0,0,1000000*SER_hh_emi_in!W16/SER_hh_num_in!W16)</f>
        <v>0</v>
      </c>
      <c r="X16" s="130">
        <f>IF(SER_hh_emi_in!X16=0,0,1000000*SER_hh_emi_in!X16/SER_hh_num_in!X16)</f>
        <v>0</v>
      </c>
      <c r="Y16" s="130">
        <f>IF(SER_hh_emi_in!Y16=0,0,1000000*SER_hh_emi_in!Y16/SER_hh_num_in!Y16)</f>
        <v>0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0</v>
      </c>
      <c r="D17" s="132">
        <f>IF(SER_hh_emi_in!D17=0,0,1000000*SER_hh_emi_in!D17/SER_hh_num_in!D17)</f>
        <v>0</v>
      </c>
      <c r="E17" s="132">
        <f>IF(SER_hh_emi_in!E17=0,0,1000000*SER_hh_emi_in!E17/SER_hh_num_in!E17)</f>
        <v>0</v>
      </c>
      <c r="F17" s="132">
        <f>IF(SER_hh_emi_in!F17=0,0,1000000*SER_hh_emi_in!F17/SER_hh_num_in!F17)</f>
        <v>0</v>
      </c>
      <c r="G17" s="132">
        <f>IF(SER_hh_emi_in!G17=0,0,1000000*SER_hh_emi_in!G17/SER_hh_num_in!G17)</f>
        <v>0</v>
      </c>
      <c r="H17" s="132">
        <f>IF(SER_hh_emi_in!H17=0,0,1000000*SER_hh_emi_in!H17/SER_hh_num_in!H17)</f>
        <v>0</v>
      </c>
      <c r="I17" s="132">
        <f>IF(SER_hh_emi_in!I17=0,0,1000000*SER_hh_emi_in!I17/SER_hh_num_in!I17)</f>
        <v>0</v>
      </c>
      <c r="J17" s="132">
        <f>IF(SER_hh_emi_in!J17=0,0,1000000*SER_hh_emi_in!J17/SER_hh_num_in!J17)</f>
        <v>0</v>
      </c>
      <c r="K17" s="132">
        <f>IF(SER_hh_emi_in!K17=0,0,1000000*SER_hh_emi_in!K17/SER_hh_num_in!K17)</f>
        <v>0</v>
      </c>
      <c r="L17" s="132">
        <f>IF(SER_hh_emi_in!L17=0,0,1000000*SER_hh_emi_in!L17/SER_hh_num_in!L17)</f>
        <v>0</v>
      </c>
      <c r="M17" s="132">
        <f>IF(SER_hh_emi_in!M17=0,0,1000000*SER_hh_emi_in!M17/SER_hh_num_in!M17)</f>
        <v>0</v>
      </c>
      <c r="N17" s="132">
        <f>IF(SER_hh_emi_in!N17=0,0,1000000*SER_hh_emi_in!N17/SER_hh_num_in!N17)</f>
        <v>0</v>
      </c>
      <c r="O17" s="132">
        <f>IF(SER_hh_emi_in!O17=0,0,1000000*SER_hh_emi_in!O17/SER_hh_num_in!O17)</f>
        <v>0</v>
      </c>
      <c r="P17" s="132">
        <f>IF(SER_hh_emi_in!P17=0,0,1000000*SER_hh_emi_in!P17/SER_hh_num_in!P17)</f>
        <v>0</v>
      </c>
      <c r="Q17" s="132">
        <f>IF(SER_hh_emi_in!Q17=0,0,1000000*SER_hh_emi_in!Q17/SER_hh_num_in!Q17)</f>
        <v>0</v>
      </c>
      <c r="R17" s="132">
        <f>IF(SER_hh_emi_in!R17=0,0,1000000*SER_hh_emi_in!R17/SER_hh_num_in!R17)</f>
        <v>0</v>
      </c>
      <c r="S17" s="132">
        <f>IF(SER_hh_emi_in!S17=0,0,1000000*SER_hh_emi_in!S17/SER_hh_num_in!S17)</f>
        <v>0</v>
      </c>
      <c r="T17" s="132">
        <f>IF(SER_hh_emi_in!T17=0,0,1000000*SER_hh_emi_in!T17/SER_hh_num_in!T17)</f>
        <v>0</v>
      </c>
      <c r="U17" s="132">
        <f>IF(SER_hh_emi_in!U17=0,0,1000000*SER_hh_emi_in!U17/SER_hh_num_in!U17)</f>
        <v>0</v>
      </c>
      <c r="V17" s="132">
        <f>IF(SER_hh_emi_in!V17=0,0,1000000*SER_hh_emi_in!V17/SER_hh_num_in!V17)</f>
        <v>0</v>
      </c>
      <c r="W17" s="132">
        <f>IF(SER_hh_emi_in!W17=0,0,1000000*SER_hh_emi_in!W17/SER_hh_num_in!W17)</f>
        <v>0</v>
      </c>
      <c r="X17" s="132">
        <f>IF(SER_hh_emi_in!X17=0,0,1000000*SER_hh_emi_in!X17/SER_hh_num_in!X17)</f>
        <v>0</v>
      </c>
      <c r="Y17" s="132">
        <f>IF(SER_hh_emi_in!Y17=0,0,1000000*SER_hh_emi_in!Y17/SER_hh_num_in!Y17)</f>
        <v>0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1919.7276260016815</v>
      </c>
      <c r="D19" s="130">
        <f>IF(SER_hh_emi_in!D19=0,0,1000000*SER_hh_emi_in!D19/SER_hh_num_in!D19)</f>
        <v>563.17585285460609</v>
      </c>
      <c r="E19" s="130">
        <f>IF(SER_hh_emi_in!E19=0,0,1000000*SER_hh_emi_in!E19/SER_hh_num_in!E19)</f>
        <v>406.04622124993648</v>
      </c>
      <c r="F19" s="130">
        <f>IF(SER_hh_emi_in!F19=0,0,1000000*SER_hh_emi_in!F19/SER_hh_num_in!F19)</f>
        <v>287.36298873031427</v>
      </c>
      <c r="G19" s="130">
        <f>IF(SER_hh_emi_in!G19=0,0,1000000*SER_hh_emi_in!G19/SER_hh_num_in!G19)</f>
        <v>240.92180730039524</v>
      </c>
      <c r="H19" s="130">
        <f>IF(SER_hh_emi_in!H19=0,0,1000000*SER_hh_emi_in!H19/SER_hh_num_in!H19)</f>
        <v>241.85355709993885</v>
      </c>
      <c r="I19" s="130">
        <f>IF(SER_hh_emi_in!I19=0,0,1000000*SER_hh_emi_in!I19/SER_hh_num_in!I19)</f>
        <v>729.8006042195924</v>
      </c>
      <c r="J19" s="130">
        <f>IF(SER_hh_emi_in!J19=0,0,1000000*SER_hh_emi_in!J19/SER_hh_num_in!J19)</f>
        <v>2027.308514886</v>
      </c>
      <c r="K19" s="130">
        <f>IF(SER_hh_emi_in!K19=0,0,1000000*SER_hh_emi_in!K19/SER_hh_num_in!K19)</f>
        <v>1655.3181241033835</v>
      </c>
      <c r="L19" s="130">
        <f>IF(SER_hh_emi_in!L19=0,0,1000000*SER_hh_emi_in!L19/SER_hh_num_in!L19)</f>
        <v>1314.7397249317723</v>
      </c>
      <c r="M19" s="130">
        <f>IF(SER_hh_emi_in!M19=0,0,1000000*SER_hh_emi_in!M19/SER_hh_num_in!M19)</f>
        <v>1268.9714145461774</v>
      </c>
      <c r="N19" s="130">
        <f>IF(SER_hh_emi_in!N19=0,0,1000000*SER_hh_emi_in!N19/SER_hh_num_in!N19)</f>
        <v>1492.8617339565819</v>
      </c>
      <c r="O19" s="130">
        <f>IF(SER_hh_emi_in!O19=0,0,1000000*SER_hh_emi_in!O19/SER_hh_num_in!O19)</f>
        <v>2057.8206273882993</v>
      </c>
      <c r="P19" s="130">
        <f>IF(SER_hh_emi_in!P19=0,0,1000000*SER_hh_emi_in!P19/SER_hh_num_in!P19)</f>
        <v>2466.7913584589014</v>
      </c>
      <c r="Q19" s="130">
        <f>IF(SER_hh_emi_in!Q19=0,0,1000000*SER_hh_emi_in!Q19/SER_hh_num_in!Q19)</f>
        <v>1193.5564578323658</v>
      </c>
      <c r="R19" s="130">
        <f>IF(SER_hh_emi_in!R19=0,0,1000000*SER_hh_emi_in!R19/SER_hh_num_in!R19)</f>
        <v>979.20945740747959</v>
      </c>
      <c r="S19" s="130">
        <f>IF(SER_hh_emi_in!S19=0,0,1000000*SER_hh_emi_in!S19/SER_hh_num_in!S19)</f>
        <v>780.34086410096631</v>
      </c>
      <c r="T19" s="130">
        <f>IF(SER_hh_emi_in!T19=0,0,1000000*SER_hh_emi_in!T19/SER_hh_num_in!T19)</f>
        <v>822.12455564651009</v>
      </c>
      <c r="U19" s="130">
        <f>IF(SER_hh_emi_in!U19=0,0,1000000*SER_hh_emi_in!U19/SER_hh_num_in!U19)</f>
        <v>614.02582310122273</v>
      </c>
      <c r="V19" s="130">
        <f>IF(SER_hh_emi_in!V19=0,0,1000000*SER_hh_emi_in!V19/SER_hh_num_in!V19)</f>
        <v>297.13759027879416</v>
      </c>
      <c r="W19" s="130">
        <f>IF(SER_hh_emi_in!W19=0,0,1000000*SER_hh_emi_in!W19/SER_hh_num_in!W19)</f>
        <v>72.870558772746847</v>
      </c>
      <c r="X19" s="130">
        <f>IF(SER_hh_emi_in!X19=0,0,1000000*SER_hh_emi_in!X19/SER_hh_num_in!X19)</f>
        <v>377.52688466212686</v>
      </c>
      <c r="Y19" s="130">
        <f>IF(SER_hh_emi_in!Y19=0,0,1000000*SER_hh_emi_in!Y19/SER_hh_num_in!Y19)</f>
        <v>691.88089322638598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0</v>
      </c>
      <c r="D21" s="132">
        <f>IF(SER_hh_emi_in!D21=0,0,1000000*SER_hh_emi_in!D21/SER_hh_num_in!D21)</f>
        <v>0</v>
      </c>
      <c r="E21" s="132">
        <f>IF(SER_hh_emi_in!E21=0,0,1000000*SER_hh_emi_in!E21/SER_hh_num_in!E21)</f>
        <v>0</v>
      </c>
      <c r="F21" s="132">
        <f>IF(SER_hh_emi_in!F21=0,0,1000000*SER_hh_emi_in!F21/SER_hh_num_in!F21)</f>
        <v>0</v>
      </c>
      <c r="G21" s="132">
        <f>IF(SER_hh_emi_in!G21=0,0,1000000*SER_hh_emi_in!G21/SER_hh_num_in!G21)</f>
        <v>0</v>
      </c>
      <c r="H21" s="132">
        <f>IF(SER_hh_emi_in!H21=0,0,1000000*SER_hh_emi_in!H21/SER_hh_num_in!H21)</f>
        <v>0</v>
      </c>
      <c r="I21" s="132">
        <f>IF(SER_hh_emi_in!I21=0,0,1000000*SER_hh_emi_in!I21/SER_hh_num_in!I21)</f>
        <v>0</v>
      </c>
      <c r="J21" s="132">
        <f>IF(SER_hh_emi_in!J21=0,0,1000000*SER_hh_emi_in!J21/SER_hh_num_in!J21)</f>
        <v>0</v>
      </c>
      <c r="K21" s="132">
        <f>IF(SER_hh_emi_in!K21=0,0,1000000*SER_hh_emi_in!K21/SER_hh_num_in!K21)</f>
        <v>0</v>
      </c>
      <c r="L21" s="132">
        <f>IF(SER_hh_emi_in!L21=0,0,1000000*SER_hh_emi_in!L21/SER_hh_num_in!L21)</f>
        <v>0</v>
      </c>
      <c r="M21" s="132">
        <f>IF(SER_hh_emi_in!M21=0,0,1000000*SER_hh_emi_in!M21/SER_hh_num_in!M21)</f>
        <v>0</v>
      </c>
      <c r="N21" s="132">
        <f>IF(SER_hh_emi_in!N21=0,0,1000000*SER_hh_emi_in!N21/SER_hh_num_in!N21)</f>
        <v>0</v>
      </c>
      <c r="O21" s="132">
        <f>IF(SER_hh_emi_in!O21=0,0,1000000*SER_hh_emi_in!O21/SER_hh_num_in!O21)</f>
        <v>0</v>
      </c>
      <c r="P21" s="132">
        <f>IF(SER_hh_emi_in!P21=0,0,1000000*SER_hh_emi_in!P21/SER_hh_num_in!P21)</f>
        <v>0</v>
      </c>
      <c r="Q21" s="132">
        <f>IF(SER_hh_emi_in!Q21=0,0,1000000*SER_hh_emi_in!Q21/SER_hh_num_in!Q21)</f>
        <v>0</v>
      </c>
      <c r="R21" s="132">
        <f>IF(SER_hh_emi_in!R21=0,0,1000000*SER_hh_emi_in!R21/SER_hh_num_in!R21)</f>
        <v>0</v>
      </c>
      <c r="S21" s="132">
        <f>IF(SER_hh_emi_in!S21=0,0,1000000*SER_hh_emi_in!S21/SER_hh_num_in!S21)</f>
        <v>0</v>
      </c>
      <c r="T21" s="132">
        <f>IF(SER_hh_emi_in!T21=0,0,1000000*SER_hh_emi_in!T21/SER_hh_num_in!T21)</f>
        <v>0</v>
      </c>
      <c r="U21" s="132">
        <f>IF(SER_hh_emi_in!U21=0,0,1000000*SER_hh_emi_in!U21/SER_hh_num_in!U21)</f>
        <v>0</v>
      </c>
      <c r="V21" s="132">
        <f>IF(SER_hh_emi_in!V21=0,0,1000000*SER_hh_emi_in!V21/SER_hh_num_in!V21)</f>
        <v>0</v>
      </c>
      <c r="W21" s="132">
        <f>IF(SER_hh_emi_in!W21=0,0,1000000*SER_hh_emi_in!W21/SER_hh_num_in!W21)</f>
        <v>0</v>
      </c>
      <c r="X21" s="132">
        <f>IF(SER_hh_emi_in!X21=0,0,1000000*SER_hh_emi_in!X21/SER_hh_num_in!X21)</f>
        <v>0</v>
      </c>
      <c r="Y21" s="132">
        <f>IF(SER_hh_emi_in!Y21=0,0,1000000*SER_hh_emi_in!Y21/SER_hh_num_in!Y21)</f>
        <v>0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9530.8359076354463</v>
      </c>
      <c r="D22" s="132">
        <f>IF(SER_hh_emi_in!D22=0,0,1000000*SER_hh_emi_in!D22/SER_hh_num_in!D22)</f>
        <v>0</v>
      </c>
      <c r="E22" s="132">
        <f>IF(SER_hh_emi_in!E22=0,0,1000000*SER_hh_emi_in!E22/SER_hh_num_in!E22)</f>
        <v>0</v>
      </c>
      <c r="F22" s="132">
        <f>IF(SER_hh_emi_in!F22=0,0,1000000*SER_hh_emi_in!F22/SER_hh_num_in!F22)</f>
        <v>0</v>
      </c>
      <c r="G22" s="132">
        <f>IF(SER_hh_emi_in!G22=0,0,1000000*SER_hh_emi_in!G22/SER_hh_num_in!G22)</f>
        <v>0</v>
      </c>
      <c r="H22" s="132">
        <f>IF(SER_hh_emi_in!H22=0,0,1000000*SER_hh_emi_in!H22/SER_hh_num_in!H22)</f>
        <v>0</v>
      </c>
      <c r="I22" s="132">
        <f>IF(SER_hh_emi_in!I22=0,0,1000000*SER_hh_emi_in!I22/SER_hh_num_in!I22)</f>
        <v>7686.0073147422227</v>
      </c>
      <c r="J22" s="132">
        <f>IF(SER_hh_emi_in!J22=0,0,1000000*SER_hh_emi_in!J22/SER_hh_num_in!J22)</f>
        <v>7809.1226931392011</v>
      </c>
      <c r="K22" s="132">
        <f>IF(SER_hh_emi_in!K22=0,0,1000000*SER_hh_emi_in!K22/SER_hh_num_in!K22)</f>
        <v>7622.813931502812</v>
      </c>
      <c r="L22" s="132">
        <f>IF(SER_hh_emi_in!L22=0,0,1000000*SER_hh_emi_in!L22/SER_hh_num_in!L22)</f>
        <v>7542.7148498205061</v>
      </c>
      <c r="M22" s="132">
        <f>IF(SER_hh_emi_in!M22=0,0,1000000*SER_hh_emi_in!M22/SER_hh_num_in!M22)</f>
        <v>7455.0072594398343</v>
      </c>
      <c r="N22" s="132">
        <f>IF(SER_hh_emi_in!N22=0,0,1000000*SER_hh_emi_in!N22/SER_hh_num_in!N22)</f>
        <v>7190.334045507052</v>
      </c>
      <c r="O22" s="132">
        <f>IF(SER_hh_emi_in!O22=0,0,1000000*SER_hh_emi_in!O22/SER_hh_num_in!O22)</f>
        <v>6867.6949401731263</v>
      </c>
      <c r="P22" s="132">
        <f>IF(SER_hh_emi_in!P22=0,0,1000000*SER_hh_emi_in!P22/SER_hh_num_in!P22)</f>
        <v>0</v>
      </c>
      <c r="Q22" s="132">
        <f>IF(SER_hh_emi_in!Q22=0,0,1000000*SER_hh_emi_in!Q22/SER_hh_num_in!Q22)</f>
        <v>0</v>
      </c>
      <c r="R22" s="132">
        <f>IF(SER_hh_emi_in!R22=0,0,1000000*SER_hh_emi_in!R22/SER_hh_num_in!R22)</f>
        <v>0</v>
      </c>
      <c r="S22" s="132">
        <f>IF(SER_hh_emi_in!S22=0,0,1000000*SER_hh_emi_in!S22/SER_hh_num_in!S22)</f>
        <v>0</v>
      </c>
      <c r="T22" s="132">
        <f>IF(SER_hh_emi_in!T22=0,0,1000000*SER_hh_emi_in!T22/SER_hh_num_in!T22)</f>
        <v>0</v>
      </c>
      <c r="U22" s="132">
        <f>IF(SER_hh_emi_in!U22=0,0,1000000*SER_hh_emi_in!U22/SER_hh_num_in!U22)</f>
        <v>0</v>
      </c>
      <c r="V22" s="132">
        <f>IF(SER_hh_emi_in!V22=0,0,1000000*SER_hh_emi_in!V22/SER_hh_num_in!V22)</f>
        <v>0</v>
      </c>
      <c r="W22" s="132">
        <f>IF(SER_hh_emi_in!W22=0,0,1000000*SER_hh_emi_in!W22/SER_hh_num_in!W22)</f>
        <v>5013.056987840474</v>
      </c>
      <c r="X22" s="132">
        <f>IF(SER_hh_emi_in!X22=0,0,1000000*SER_hh_emi_in!X22/SER_hh_num_in!X22)</f>
        <v>5535.404016185219</v>
      </c>
      <c r="Y22" s="132">
        <f>IF(SER_hh_emi_in!Y22=0,0,1000000*SER_hh_emi_in!Y22/SER_hh_num_in!Y22)</f>
        <v>6441.2185842643721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7189.4443829949632</v>
      </c>
      <c r="D23" s="132">
        <f>IF(SER_hh_emi_in!D23=0,0,1000000*SER_hh_emi_in!D23/SER_hh_num_in!D23)</f>
        <v>6453.0672961265527</v>
      </c>
      <c r="E23" s="132">
        <f>IF(SER_hh_emi_in!E23=0,0,1000000*SER_hh_emi_in!E23/SER_hh_num_in!E23)</f>
        <v>6023.5016924308684</v>
      </c>
      <c r="F23" s="132">
        <f>IF(SER_hh_emi_in!F23=0,0,1000000*SER_hh_emi_in!F23/SER_hh_num_in!F23)</f>
        <v>5724.0412002116227</v>
      </c>
      <c r="G23" s="132">
        <f>IF(SER_hh_emi_in!G23=0,0,1000000*SER_hh_emi_in!G23/SER_hh_num_in!G23)</f>
        <v>5534.8221014738137</v>
      </c>
      <c r="H23" s="132">
        <f>IF(SER_hh_emi_in!H23=0,0,1000000*SER_hh_emi_in!H23/SER_hh_num_in!H23)</f>
        <v>5407.1313191898462</v>
      </c>
      <c r="I23" s="132">
        <f>IF(SER_hh_emi_in!I23=0,0,1000000*SER_hh_emi_in!I23/SER_hh_num_in!I23)</f>
        <v>5149.9209047904051</v>
      </c>
      <c r="J23" s="132">
        <f>IF(SER_hh_emi_in!J23=0,0,1000000*SER_hh_emi_in!J23/SER_hh_num_in!J23)</f>
        <v>5017.4791080742234</v>
      </c>
      <c r="K23" s="132">
        <f>IF(SER_hh_emi_in!K23=0,0,1000000*SER_hh_emi_in!K23/SER_hh_num_in!K23)</f>
        <v>4846.6339379516712</v>
      </c>
      <c r="L23" s="132">
        <f>IF(SER_hh_emi_in!L23=0,0,1000000*SER_hh_emi_in!L23/SER_hh_num_in!L23)</f>
        <v>4525.2664473082041</v>
      </c>
      <c r="M23" s="132">
        <f>IF(SER_hh_emi_in!M23=0,0,1000000*SER_hh_emi_in!M23/SER_hh_num_in!M23)</f>
        <v>4739.1202143335004</v>
      </c>
      <c r="N23" s="132">
        <f>IF(SER_hh_emi_in!N23=0,0,1000000*SER_hh_emi_in!N23/SER_hh_num_in!N23)</f>
        <v>4116.4086011656227</v>
      </c>
      <c r="O23" s="132">
        <f>IF(SER_hh_emi_in!O23=0,0,1000000*SER_hh_emi_in!O23/SER_hh_num_in!O23)</f>
        <v>4261.6123119519043</v>
      </c>
      <c r="P23" s="132">
        <f>IF(SER_hh_emi_in!P23=0,0,1000000*SER_hh_emi_in!P23/SER_hh_num_in!P23)</f>
        <v>4669.4575166228606</v>
      </c>
      <c r="Q23" s="132">
        <f>IF(SER_hh_emi_in!Q23=0,0,1000000*SER_hh_emi_in!Q23/SER_hh_num_in!Q23)</f>
        <v>4169.1717038450424</v>
      </c>
      <c r="R23" s="132">
        <f>IF(SER_hh_emi_in!R23=0,0,1000000*SER_hh_emi_in!R23/SER_hh_num_in!R23)</f>
        <v>3750.4684530030213</v>
      </c>
      <c r="S23" s="132">
        <f>IF(SER_hh_emi_in!S23=0,0,1000000*SER_hh_emi_in!S23/SER_hh_num_in!S23)</f>
        <v>3809.707127999256</v>
      </c>
      <c r="T23" s="132">
        <f>IF(SER_hh_emi_in!T23=0,0,1000000*SER_hh_emi_in!T23/SER_hh_num_in!T23)</f>
        <v>3846.6451936832827</v>
      </c>
      <c r="U23" s="132">
        <f>IF(SER_hh_emi_in!U23=0,0,1000000*SER_hh_emi_in!U23/SER_hh_num_in!U23)</f>
        <v>3886.7396096735874</v>
      </c>
      <c r="V23" s="132">
        <f>IF(SER_hh_emi_in!V23=0,0,1000000*SER_hh_emi_in!V23/SER_hh_num_in!V23)</f>
        <v>3849.015952158416</v>
      </c>
      <c r="W23" s="132">
        <f>IF(SER_hh_emi_in!W23=0,0,1000000*SER_hh_emi_in!W23/SER_hh_num_in!W23)</f>
        <v>0</v>
      </c>
      <c r="X23" s="132">
        <f>IF(SER_hh_emi_in!X23=0,0,1000000*SER_hh_emi_in!X23/SER_hh_num_in!X23)</f>
        <v>0</v>
      </c>
      <c r="Y23" s="132">
        <f>IF(SER_hh_emi_in!Y23=0,0,1000000*SER_hh_emi_in!Y23/SER_hh_num_in!Y23)</f>
        <v>0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2197.3332148879795</v>
      </c>
      <c r="D29" s="130">
        <f>IF(SER_hh_emi_in!D29=0,0,1000000*SER_hh_emi_in!D29/SER_hh_num_in!D29)</f>
        <v>1821.983080723616</v>
      </c>
      <c r="E29" s="130">
        <f>IF(SER_hh_emi_in!E29=0,0,1000000*SER_hh_emi_in!E29/SER_hh_num_in!E29)</f>
        <v>916.43794550669088</v>
      </c>
      <c r="F29" s="130">
        <f>IF(SER_hh_emi_in!F29=0,0,1000000*SER_hh_emi_in!F29/SER_hh_num_in!F29)</f>
        <v>2059.0138981172354</v>
      </c>
      <c r="G29" s="130">
        <f>IF(SER_hh_emi_in!G29=0,0,1000000*SER_hh_emi_in!G29/SER_hh_num_in!G29)</f>
        <v>451.10577848325721</v>
      </c>
      <c r="H29" s="130">
        <f>IF(SER_hh_emi_in!H29=0,0,1000000*SER_hh_emi_in!H29/SER_hh_num_in!H29)</f>
        <v>312.95152372298759</v>
      </c>
      <c r="I29" s="130">
        <f>IF(SER_hh_emi_in!I29=0,0,1000000*SER_hh_emi_in!I29/SER_hh_num_in!I29)</f>
        <v>190.65188189970655</v>
      </c>
      <c r="J29" s="130">
        <f>IF(SER_hh_emi_in!J29=0,0,1000000*SER_hh_emi_in!J29/SER_hh_num_in!J29)</f>
        <v>292.69588408784273</v>
      </c>
      <c r="K29" s="130">
        <f>IF(SER_hh_emi_in!K29=0,0,1000000*SER_hh_emi_in!K29/SER_hh_num_in!K29)</f>
        <v>305.89884395221583</v>
      </c>
      <c r="L29" s="130">
        <f>IF(SER_hh_emi_in!L29=0,0,1000000*SER_hh_emi_in!L29/SER_hh_num_in!L29)</f>
        <v>722.42514291037958</v>
      </c>
      <c r="M29" s="130">
        <f>IF(SER_hh_emi_in!M29=0,0,1000000*SER_hh_emi_in!M29/SER_hh_num_in!M29)</f>
        <v>1017.8822350124791</v>
      </c>
      <c r="N29" s="130">
        <f>IF(SER_hh_emi_in!N29=0,0,1000000*SER_hh_emi_in!N29/SER_hh_num_in!N29)</f>
        <v>1336.113412104098</v>
      </c>
      <c r="O29" s="130">
        <f>IF(SER_hh_emi_in!O29=0,0,1000000*SER_hh_emi_in!O29/SER_hh_num_in!O29)</f>
        <v>1277.3556851355513</v>
      </c>
      <c r="P29" s="130">
        <f>IF(SER_hh_emi_in!P29=0,0,1000000*SER_hh_emi_in!P29/SER_hh_num_in!P29)</f>
        <v>1258.4689539162821</v>
      </c>
      <c r="Q29" s="130">
        <f>IF(SER_hh_emi_in!Q29=0,0,1000000*SER_hh_emi_in!Q29/SER_hh_num_in!Q29)</f>
        <v>1179.1254034319288</v>
      </c>
      <c r="R29" s="130">
        <f>IF(SER_hh_emi_in!R29=0,0,1000000*SER_hh_emi_in!R29/SER_hh_num_in!R29)</f>
        <v>2248.7447677248674</v>
      </c>
      <c r="S29" s="130">
        <f>IF(SER_hh_emi_in!S29=0,0,1000000*SER_hh_emi_in!S29/SER_hh_num_in!S29)</f>
        <v>1070.114462302563</v>
      </c>
      <c r="T29" s="130">
        <f>IF(SER_hh_emi_in!T29=0,0,1000000*SER_hh_emi_in!T29/SER_hh_num_in!T29)</f>
        <v>1216.3423456861565</v>
      </c>
      <c r="U29" s="130">
        <f>IF(SER_hh_emi_in!U29=0,0,1000000*SER_hh_emi_in!U29/SER_hh_num_in!U29)</f>
        <v>705.50966916134939</v>
      </c>
      <c r="V29" s="130">
        <f>IF(SER_hh_emi_in!V29=0,0,1000000*SER_hh_emi_in!V29/SER_hh_num_in!V29)</f>
        <v>540.40267807654095</v>
      </c>
      <c r="W29" s="130">
        <f>IF(SER_hh_emi_in!W29=0,0,1000000*SER_hh_emi_in!W29/SER_hh_num_in!W29)</f>
        <v>615.21527189726692</v>
      </c>
      <c r="X29" s="130">
        <f>IF(SER_hh_emi_in!X29=0,0,1000000*SER_hh_emi_in!X29/SER_hh_num_in!X29)</f>
        <v>131.68237872675013</v>
      </c>
      <c r="Y29" s="130">
        <f>IF(SER_hh_emi_in!Y29=0,0,1000000*SER_hh_emi_in!Y29/SER_hh_num_in!Y29)</f>
        <v>1530.4208471349086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0</v>
      </c>
      <c r="D30" s="132">
        <f>IF(SER_hh_emi_in!D30=0,0,1000000*SER_hh_emi_in!D30/SER_hh_num_in!D30)</f>
        <v>0</v>
      </c>
      <c r="E30" s="132">
        <f>IF(SER_hh_emi_in!E30=0,0,1000000*SER_hh_emi_in!E30/SER_hh_num_in!E30)</f>
        <v>0</v>
      </c>
      <c r="F30" s="132">
        <f>IF(SER_hh_emi_in!F30=0,0,1000000*SER_hh_emi_in!F30/SER_hh_num_in!F30)</f>
        <v>9952.9430373475516</v>
      </c>
      <c r="G30" s="132">
        <f>IF(SER_hh_emi_in!G30=0,0,1000000*SER_hh_emi_in!G30/SER_hh_num_in!G30)</f>
        <v>7772.2892124077225</v>
      </c>
      <c r="H30" s="132">
        <f>IF(SER_hh_emi_in!H30=0,0,1000000*SER_hh_emi_in!H30/SER_hh_num_in!H30)</f>
        <v>6977.8297644265404</v>
      </c>
      <c r="I30" s="132">
        <f>IF(SER_hh_emi_in!I30=0,0,1000000*SER_hh_emi_in!I30/SER_hh_num_in!I30)</f>
        <v>0</v>
      </c>
      <c r="J30" s="132">
        <f>IF(SER_hh_emi_in!J30=0,0,1000000*SER_hh_emi_in!J30/SER_hh_num_in!J30)</f>
        <v>0</v>
      </c>
      <c r="K30" s="132">
        <f>IF(SER_hh_emi_in!K30=0,0,1000000*SER_hh_emi_in!K30/SER_hh_num_in!K30)</f>
        <v>0</v>
      </c>
      <c r="L30" s="132">
        <f>IF(SER_hh_emi_in!L30=0,0,1000000*SER_hh_emi_in!L30/SER_hh_num_in!L30)</f>
        <v>7528.8001460106807</v>
      </c>
      <c r="M30" s="132">
        <f>IF(SER_hh_emi_in!M30=0,0,1000000*SER_hh_emi_in!M30/SER_hh_num_in!M30)</f>
        <v>7612.9260136746216</v>
      </c>
      <c r="N30" s="132">
        <f>IF(SER_hh_emi_in!N30=0,0,1000000*SER_hh_emi_in!N30/SER_hh_num_in!N30)</f>
        <v>7678.5114636555882</v>
      </c>
      <c r="O30" s="132">
        <f>IF(SER_hh_emi_in!O30=0,0,1000000*SER_hh_emi_in!O30/SER_hh_num_in!O30)</f>
        <v>7697.3623876036609</v>
      </c>
      <c r="P30" s="132">
        <f>IF(SER_hh_emi_in!P30=0,0,1000000*SER_hh_emi_in!P30/SER_hh_num_in!P30)</f>
        <v>6949.747893247687</v>
      </c>
      <c r="Q30" s="132">
        <f>IF(SER_hh_emi_in!Q30=0,0,1000000*SER_hh_emi_in!Q30/SER_hh_num_in!Q30)</f>
        <v>5430.8525900337509</v>
      </c>
      <c r="R30" s="132">
        <f>IF(SER_hh_emi_in!R30=0,0,1000000*SER_hh_emi_in!R30/SER_hh_num_in!R30)</f>
        <v>8399.0024761759541</v>
      </c>
      <c r="S30" s="132">
        <f>IF(SER_hh_emi_in!S30=0,0,1000000*SER_hh_emi_in!S30/SER_hh_num_in!S30)</f>
        <v>12324.234568684029</v>
      </c>
      <c r="T30" s="132">
        <f>IF(SER_hh_emi_in!T30=0,0,1000000*SER_hh_emi_in!T30/SER_hh_num_in!T30)</f>
        <v>3836.925289543588</v>
      </c>
      <c r="U30" s="132">
        <f>IF(SER_hh_emi_in!U30=0,0,1000000*SER_hh_emi_in!U30/SER_hh_num_in!U30)</f>
        <v>0</v>
      </c>
      <c r="V30" s="132">
        <f>IF(SER_hh_emi_in!V30=0,0,1000000*SER_hh_emi_in!V30/SER_hh_num_in!V30)</f>
        <v>0</v>
      </c>
      <c r="W30" s="132">
        <f>IF(SER_hh_emi_in!W30=0,0,1000000*SER_hh_emi_in!W30/SER_hh_num_in!W30)</f>
        <v>5623.0315709304577</v>
      </c>
      <c r="X30" s="132">
        <f>IF(SER_hh_emi_in!X30=0,0,1000000*SER_hh_emi_in!X30/SER_hh_num_in!X30)</f>
        <v>7649.1927611240781</v>
      </c>
      <c r="Y30" s="132">
        <f>IF(SER_hh_emi_in!Y30=0,0,1000000*SER_hh_emi_in!Y30/SER_hh_num_in!Y30)</f>
        <v>10947.480369966377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6999.0649434202342</v>
      </c>
      <c r="D31" s="132">
        <f>IF(SER_hh_emi_in!D31=0,0,1000000*SER_hh_emi_in!D31/SER_hh_num_in!D31)</f>
        <v>7536.6524622982288</v>
      </c>
      <c r="E31" s="132">
        <f>IF(SER_hh_emi_in!E31=0,0,1000000*SER_hh_emi_in!E31/SER_hh_num_in!E31)</f>
        <v>6800.1084227801311</v>
      </c>
      <c r="F31" s="132">
        <f>IF(SER_hh_emi_in!F31=0,0,1000000*SER_hh_emi_in!F31/SER_hh_num_in!F31)</f>
        <v>6556.7875511284792</v>
      </c>
      <c r="G31" s="132">
        <f>IF(SER_hh_emi_in!G31=0,0,1000000*SER_hh_emi_in!G31/SER_hh_num_in!G31)</f>
        <v>6505.2260865075796</v>
      </c>
      <c r="H31" s="132">
        <f>IF(SER_hh_emi_in!H31=0,0,1000000*SER_hh_emi_in!H31/SER_hh_num_in!H31)</f>
        <v>6437.887807130066</v>
      </c>
      <c r="I31" s="132">
        <f>IF(SER_hh_emi_in!I31=0,0,1000000*SER_hh_emi_in!I31/SER_hh_num_in!I31)</f>
        <v>6472.7485906460061</v>
      </c>
      <c r="J31" s="132">
        <f>IF(SER_hh_emi_in!J31=0,0,1000000*SER_hh_emi_in!J31/SER_hh_num_in!J31)</f>
        <v>6624.6524856043243</v>
      </c>
      <c r="K31" s="132">
        <f>IF(SER_hh_emi_in!K31=0,0,1000000*SER_hh_emi_in!K31/SER_hh_num_in!K31)</f>
        <v>6369.4377592892351</v>
      </c>
      <c r="L31" s="132">
        <f>IF(SER_hh_emi_in!L31=0,0,1000000*SER_hh_emi_in!L31/SER_hh_num_in!L31)</f>
        <v>6787.5632689483427</v>
      </c>
      <c r="M31" s="132">
        <f>IF(SER_hh_emi_in!M31=0,0,1000000*SER_hh_emi_in!M31/SER_hh_num_in!M31)</f>
        <v>6843.355856592997</v>
      </c>
      <c r="N31" s="132">
        <f>IF(SER_hh_emi_in!N31=0,0,1000000*SER_hh_emi_in!N31/SER_hh_num_in!N31)</f>
        <v>7114.4352551683996</v>
      </c>
      <c r="O31" s="132">
        <f>IF(SER_hh_emi_in!O31=0,0,1000000*SER_hh_emi_in!O31/SER_hh_num_in!O31)</f>
        <v>6858.6085022309262</v>
      </c>
      <c r="P31" s="132">
        <f>IF(SER_hh_emi_in!P31=0,0,1000000*SER_hh_emi_in!P31/SER_hh_num_in!P31)</f>
        <v>6654.7758078564593</v>
      </c>
      <c r="Q31" s="132">
        <f>IF(SER_hh_emi_in!Q31=0,0,1000000*SER_hh_emi_in!Q31/SER_hh_num_in!Q31)</f>
        <v>6210.7497426888713</v>
      </c>
      <c r="R31" s="132">
        <f>IF(SER_hh_emi_in!R31=0,0,1000000*SER_hh_emi_in!R31/SER_hh_num_in!R31)</f>
        <v>7056.7935740085286</v>
      </c>
      <c r="S31" s="132">
        <f>IF(SER_hh_emi_in!S31=0,0,1000000*SER_hh_emi_in!S31/SER_hh_num_in!S31)</f>
        <v>6381.3240702073963</v>
      </c>
      <c r="T31" s="132">
        <f>IF(SER_hh_emi_in!T31=0,0,1000000*SER_hh_emi_in!T31/SER_hh_num_in!T31)</f>
        <v>6337.0426576813452</v>
      </c>
      <c r="U31" s="132">
        <f>IF(SER_hh_emi_in!U31=0,0,1000000*SER_hh_emi_in!U31/SER_hh_num_in!U31)</f>
        <v>7212.3772826831582</v>
      </c>
      <c r="V31" s="132">
        <f>IF(SER_hh_emi_in!V31=0,0,1000000*SER_hh_emi_in!V31/SER_hh_num_in!V31)</f>
        <v>7041.8952388014259</v>
      </c>
      <c r="W31" s="132">
        <f>IF(SER_hh_emi_in!W31=0,0,1000000*SER_hh_emi_in!W31/SER_hh_num_in!W31)</f>
        <v>7168.4914699090486</v>
      </c>
      <c r="X31" s="132">
        <f>IF(SER_hh_emi_in!X31=0,0,1000000*SER_hh_emi_in!X31/SER_hh_num_in!X31)</f>
        <v>0</v>
      </c>
      <c r="Y31" s="132">
        <f>IF(SER_hh_emi_in!Y31=0,0,1000000*SER_hh_emi_in!Y31/SER_hh_num_in!Y31)</f>
        <v>0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235.03815119073772</v>
      </c>
      <c r="D3" s="125">
        <f>IF(SER_hh_fech_in!D3=0,0,SER_hh_fech_in!D3/SER_summary!D$27)</f>
        <v>211.03785957258421</v>
      </c>
      <c r="E3" s="125">
        <f>IF(SER_hh_fech_in!E3=0,0,SER_hh_fech_in!E3/SER_summary!E$27)</f>
        <v>272.26971683052983</v>
      </c>
      <c r="F3" s="125">
        <f>IF(SER_hh_fech_in!F3=0,0,SER_hh_fech_in!F3/SER_summary!F$27)</f>
        <v>245.59520102016589</v>
      </c>
      <c r="G3" s="125">
        <f>IF(SER_hh_fech_in!G3=0,0,SER_hh_fech_in!G3/SER_summary!G$27)</f>
        <v>227.45160132694912</v>
      </c>
      <c r="H3" s="125">
        <f>IF(SER_hh_fech_in!H3=0,0,SER_hh_fech_in!H3/SER_summary!H$27)</f>
        <v>215.41305519306755</v>
      </c>
      <c r="I3" s="125">
        <f>IF(SER_hh_fech_in!I3=0,0,SER_hh_fech_in!I3/SER_summary!I$27)</f>
        <v>215.70526698674107</v>
      </c>
      <c r="J3" s="125">
        <f>IF(SER_hh_fech_in!J3=0,0,SER_hh_fech_in!J3/SER_summary!J$27)</f>
        <v>242.22200140573173</v>
      </c>
      <c r="K3" s="125">
        <f>IF(SER_hh_fech_in!K3=0,0,SER_hh_fech_in!K3/SER_summary!K$27)</f>
        <v>236.70133115577951</v>
      </c>
      <c r="L3" s="125">
        <f>IF(SER_hh_fech_in!L3=0,0,SER_hh_fech_in!L3/SER_summary!L$27)</f>
        <v>229.59183757750009</v>
      </c>
      <c r="M3" s="125">
        <f>IF(SER_hh_fech_in!M3=0,0,SER_hh_fech_in!M3/SER_summary!M$27)</f>
        <v>223.6514111102405</v>
      </c>
      <c r="N3" s="125">
        <f>IF(SER_hh_fech_in!N3=0,0,SER_hh_fech_in!N3/SER_summary!N$27)</f>
        <v>213.25859941689387</v>
      </c>
      <c r="O3" s="125">
        <f>IF(SER_hh_fech_in!O3=0,0,SER_hh_fech_in!O3/SER_summary!O$27)</f>
        <v>204.17524669368945</v>
      </c>
      <c r="P3" s="125">
        <f>IF(SER_hh_fech_in!P3=0,0,SER_hh_fech_in!P3/SER_summary!P$27)</f>
        <v>222.86830118916518</v>
      </c>
      <c r="Q3" s="125">
        <f>IF(SER_hh_fech_in!Q3=0,0,SER_hh_fech_in!Q3/SER_summary!Q$27)</f>
        <v>193.05290313423296</v>
      </c>
      <c r="R3" s="125">
        <f>IF(SER_hh_fech_in!R3=0,0,SER_hh_fech_in!R3/SER_summary!R$27)</f>
        <v>203.78315210485809</v>
      </c>
      <c r="S3" s="125">
        <f>IF(SER_hh_fech_in!S3=0,0,SER_hh_fech_in!S3/SER_summary!S$27)</f>
        <v>173.50733946284925</v>
      </c>
      <c r="T3" s="125">
        <f>IF(SER_hh_fech_in!T3=0,0,SER_hh_fech_in!T3/SER_summary!T$27)</f>
        <v>171.28306881482823</v>
      </c>
      <c r="U3" s="125">
        <f>IF(SER_hh_fech_in!U3=0,0,SER_hh_fech_in!U3/SER_summary!U$27)</f>
        <v>152.80426565299365</v>
      </c>
      <c r="V3" s="125">
        <f>IF(SER_hh_fech_in!V3=0,0,SER_hh_fech_in!V3/SER_summary!V$27)</f>
        <v>135.85025962141574</v>
      </c>
      <c r="W3" s="125">
        <f>IF(SER_hh_fech_in!W3=0,0,SER_hh_fech_in!W3/SER_summary!W$27)</f>
        <v>130.39577680040466</v>
      </c>
      <c r="X3" s="125">
        <f>IF(SER_hh_fech_in!X3=0,0,SER_hh_fech_in!X3/SER_summary!X$27)</f>
        <v>124.0661102485346</v>
      </c>
      <c r="Y3" s="125">
        <f>IF(SER_hh_fech_in!Y3=0,0,SER_hh_fech_in!Y3/SER_summary!Y$27)</f>
        <v>127.64767669203206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172.44324957668275</v>
      </c>
      <c r="D4" s="130">
        <f>IF(SER_hh_fech_in!D4=0,0,SER_hh_fech_in!D4/SER_summary!D$27)</f>
        <v>151.68269836753569</v>
      </c>
      <c r="E4" s="130">
        <f>IF(SER_hh_fech_in!E4=0,0,SER_hh_fech_in!E4/SER_summary!E$27)</f>
        <v>214.26551201853741</v>
      </c>
      <c r="F4" s="130">
        <f>IF(SER_hh_fech_in!F4=0,0,SER_hh_fech_in!F4/SER_summary!F$27)</f>
        <v>186.53230029332289</v>
      </c>
      <c r="G4" s="130">
        <f>IF(SER_hh_fech_in!G4=0,0,SER_hh_fech_in!G4/SER_summary!G$27)</f>
        <v>171.53390642637461</v>
      </c>
      <c r="H4" s="130">
        <f>IF(SER_hh_fech_in!H4=0,0,SER_hh_fech_in!H4/SER_summary!H$27)</f>
        <v>161.14995596368925</v>
      </c>
      <c r="I4" s="130">
        <f>IF(SER_hh_fech_in!I4=0,0,SER_hh_fech_in!I4/SER_summary!I$27)</f>
        <v>162.52280579326208</v>
      </c>
      <c r="J4" s="130">
        <f>IF(SER_hh_fech_in!J4=0,0,SER_hh_fech_in!J4/SER_summary!J$27)</f>
        <v>183.52053032537336</v>
      </c>
      <c r="K4" s="130">
        <f>IF(SER_hh_fech_in!K4=0,0,SER_hh_fech_in!K4/SER_summary!K$27)</f>
        <v>176.76431017079503</v>
      </c>
      <c r="L4" s="130">
        <f>IF(SER_hh_fech_in!L4=0,0,SER_hh_fech_in!L4/SER_summary!L$27)</f>
        <v>168.09949475975321</v>
      </c>
      <c r="M4" s="130">
        <f>IF(SER_hh_fech_in!M4=0,0,SER_hh_fech_in!M4/SER_summary!M$27)</f>
        <v>165.2548065714922</v>
      </c>
      <c r="N4" s="130">
        <f>IF(SER_hh_fech_in!N4=0,0,SER_hh_fech_in!N4/SER_summary!N$27)</f>
        <v>155.25999411151298</v>
      </c>
      <c r="O4" s="130">
        <f>IF(SER_hh_fech_in!O4=0,0,SER_hh_fech_in!O4/SER_summary!O$27)</f>
        <v>144.27062112951043</v>
      </c>
      <c r="P4" s="130">
        <f>IF(SER_hh_fech_in!P4=0,0,SER_hh_fech_in!P4/SER_summary!P$27)</f>
        <v>164.87096447710397</v>
      </c>
      <c r="Q4" s="130">
        <f>IF(SER_hh_fech_in!Q4=0,0,SER_hh_fech_in!Q4/SER_summary!Q$27)</f>
        <v>139.09056886034958</v>
      </c>
      <c r="R4" s="130">
        <f>IF(SER_hh_fech_in!R4=0,0,SER_hh_fech_in!R4/SER_summary!R$27)</f>
        <v>148.0333812389988</v>
      </c>
      <c r="S4" s="130">
        <f>IF(SER_hh_fech_in!S4=0,0,SER_hh_fech_in!S4/SER_summary!S$27)</f>
        <v>121.8898786734318</v>
      </c>
      <c r="T4" s="130">
        <f>IF(SER_hh_fech_in!T4=0,0,SER_hh_fech_in!T4/SER_summary!T$27)</f>
        <v>119.34269120145706</v>
      </c>
      <c r="U4" s="130">
        <f>IF(SER_hh_fech_in!U4=0,0,SER_hh_fech_in!U4/SER_summary!U$27)</f>
        <v>102.52174995742413</v>
      </c>
      <c r="V4" s="130">
        <f>IF(SER_hh_fech_in!V4=0,0,SER_hh_fech_in!V4/SER_summary!V$27)</f>
        <v>90.260000658520468</v>
      </c>
      <c r="W4" s="130">
        <f>IF(SER_hh_fech_in!W4=0,0,SER_hh_fech_in!W4/SER_summary!W$27)</f>
        <v>80.03572530090085</v>
      </c>
      <c r="X4" s="130">
        <f>IF(SER_hh_fech_in!X4=0,0,SER_hh_fech_in!X4/SER_summary!X$27)</f>
        <v>70.544776636387738</v>
      </c>
      <c r="Y4" s="130">
        <f>IF(SER_hh_fech_in!Y4=0,0,SER_hh_fech_in!Y4/SER_summary!Y$27)</f>
        <v>66.317131292793178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203.42987633831541</v>
      </c>
      <c r="D5" s="132">
        <f>IF(SER_hh_fech_in!D5=0,0,SER_hh_fech_in!D5/SER_summary!D$27)</f>
        <v>173.98148925551178</v>
      </c>
      <c r="E5" s="132">
        <f>IF(SER_hh_fech_in!E5=0,0,SER_hh_fech_in!E5/SER_summary!E$27)</f>
        <v>187.6320302151201</v>
      </c>
      <c r="F5" s="132">
        <f>IF(SER_hh_fech_in!F5=0,0,SER_hh_fech_in!F5/SER_summary!F$27)</f>
        <v>0</v>
      </c>
      <c r="G5" s="132">
        <f>IF(SER_hh_fech_in!G5=0,0,SER_hh_fech_in!G5/SER_summary!G$27)</f>
        <v>235.52849218901559</v>
      </c>
      <c r="H5" s="132">
        <f>IF(SER_hh_fech_in!H5=0,0,SER_hh_fech_in!H5/SER_summary!H$27)</f>
        <v>0</v>
      </c>
      <c r="I5" s="132">
        <f>IF(SER_hh_fech_in!I5=0,0,SER_hh_fech_in!I5/SER_summary!I$27)</f>
        <v>0</v>
      </c>
      <c r="J5" s="132">
        <f>IF(SER_hh_fech_in!J5=0,0,SER_hh_fech_in!J5/SER_summary!J$27)</f>
        <v>0</v>
      </c>
      <c r="K5" s="132">
        <f>IF(SER_hh_fech_in!K5=0,0,SER_hh_fech_in!K5/SER_summary!K$27)</f>
        <v>0</v>
      </c>
      <c r="L5" s="132">
        <f>IF(SER_hh_fech_in!L5=0,0,SER_hh_fech_in!L5/SER_summary!L$27)</f>
        <v>0</v>
      </c>
      <c r="M5" s="132">
        <f>IF(SER_hh_fech_in!M5=0,0,SER_hh_fech_in!M5/SER_summary!M$27)</f>
        <v>127.39346407031415</v>
      </c>
      <c r="N5" s="132">
        <f>IF(SER_hh_fech_in!N5=0,0,SER_hh_fech_in!N5/SER_summary!N$27)</f>
        <v>145.91642024211004</v>
      </c>
      <c r="O5" s="132">
        <f>IF(SER_hh_fech_in!O5=0,0,SER_hh_fech_in!O5/SER_summary!O$27)</f>
        <v>227.44661046256959</v>
      </c>
      <c r="P5" s="132">
        <f>IF(SER_hh_fech_in!P5=0,0,SER_hh_fech_in!P5/SER_summary!P$27)</f>
        <v>0</v>
      </c>
      <c r="Q5" s="132">
        <f>IF(SER_hh_fech_in!Q5=0,0,SER_hh_fech_in!Q5/SER_summary!Q$27)</f>
        <v>0</v>
      </c>
      <c r="R5" s="132">
        <f>IF(SER_hh_fech_in!R5=0,0,SER_hh_fech_in!R5/SER_summary!R$27)</f>
        <v>0</v>
      </c>
      <c r="S5" s="132">
        <f>IF(SER_hh_fech_in!S5=0,0,SER_hh_fech_in!S5/SER_summary!S$27)</f>
        <v>0</v>
      </c>
      <c r="T5" s="132">
        <f>IF(SER_hh_fech_in!T5=0,0,SER_hh_fech_in!T5/SER_summary!T$27)</f>
        <v>0</v>
      </c>
      <c r="U5" s="132">
        <f>IF(SER_hh_fech_in!U5=0,0,SER_hh_fech_in!U5/SER_summary!U$27)</f>
        <v>0</v>
      </c>
      <c r="V5" s="132">
        <f>IF(SER_hh_fech_in!V5=0,0,SER_hh_fech_in!V5/SER_summary!V$27)</f>
        <v>104.95917939012034</v>
      </c>
      <c r="W5" s="132">
        <f>IF(SER_hh_fech_in!W5=0,0,SER_hh_fech_in!W5/SER_summary!W$27)</f>
        <v>0</v>
      </c>
      <c r="X5" s="132">
        <f>IF(SER_hh_fech_in!X5=0,0,SER_hh_fech_in!X5/SER_summary!X$27)</f>
        <v>0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251.73616563954911</v>
      </c>
      <c r="D7" s="132">
        <f>IF(SER_hh_fech_in!D7=0,0,SER_hh_fech_in!D7/SER_summary!D$27)</f>
        <v>0</v>
      </c>
      <c r="E7" s="132">
        <f>IF(SER_hh_fech_in!E7=0,0,SER_hh_fech_in!E7/SER_summary!E$27)</f>
        <v>0</v>
      </c>
      <c r="F7" s="132">
        <f>IF(SER_hh_fech_in!F7=0,0,SER_hh_fech_in!F7/SER_summary!F$27)</f>
        <v>0</v>
      </c>
      <c r="G7" s="132">
        <f>IF(SER_hh_fech_in!G7=0,0,SER_hh_fech_in!G7/SER_summary!G$27)</f>
        <v>0</v>
      </c>
      <c r="H7" s="132">
        <f>IF(SER_hh_fech_in!H7=0,0,SER_hh_fech_in!H7/SER_summary!H$27)</f>
        <v>209.57837791913855</v>
      </c>
      <c r="I7" s="132">
        <f>IF(SER_hh_fech_in!I7=0,0,SER_hh_fech_in!I7/SER_summary!I$27)</f>
        <v>229.27844688521046</v>
      </c>
      <c r="J7" s="132">
        <f>IF(SER_hh_fech_in!J7=0,0,SER_hh_fech_in!J7/SER_summary!J$27)</f>
        <v>237.4166872876792</v>
      </c>
      <c r="K7" s="132">
        <f>IF(SER_hh_fech_in!K7=0,0,SER_hh_fech_in!K7/SER_summary!K$27)</f>
        <v>214.86343003547094</v>
      </c>
      <c r="L7" s="132">
        <f>IF(SER_hh_fech_in!L7=0,0,SER_hh_fech_in!L7/SER_summary!L$27)</f>
        <v>168.54682277980089</v>
      </c>
      <c r="M7" s="132">
        <f>IF(SER_hh_fech_in!M7=0,0,SER_hh_fech_in!M7/SER_summary!M$27)</f>
        <v>210.44360892676107</v>
      </c>
      <c r="N7" s="132">
        <f>IF(SER_hh_fech_in!N7=0,0,SER_hh_fech_in!N7/SER_summary!N$27)</f>
        <v>200.20494963835995</v>
      </c>
      <c r="O7" s="132">
        <f>IF(SER_hh_fech_in!O7=0,0,SER_hh_fech_in!O7/SER_summary!O$27)</f>
        <v>176.54356830213027</v>
      </c>
      <c r="P7" s="132">
        <f>IF(SER_hh_fech_in!P7=0,0,SER_hh_fech_in!P7/SER_summary!P$27)</f>
        <v>0</v>
      </c>
      <c r="Q7" s="132">
        <f>IF(SER_hh_fech_in!Q7=0,0,SER_hh_fech_in!Q7/SER_summary!Q$27)</f>
        <v>0</v>
      </c>
      <c r="R7" s="132">
        <f>IF(SER_hh_fech_in!R7=0,0,SER_hh_fech_in!R7/SER_summary!R$27)</f>
        <v>0</v>
      </c>
      <c r="S7" s="132">
        <f>IF(SER_hh_fech_in!S7=0,0,SER_hh_fech_in!S7/SER_summary!S$27)</f>
        <v>0</v>
      </c>
      <c r="T7" s="132">
        <f>IF(SER_hh_fech_in!T7=0,0,SER_hh_fech_in!T7/SER_summary!T$27)</f>
        <v>0</v>
      </c>
      <c r="U7" s="132">
        <f>IF(SER_hh_fech_in!U7=0,0,SER_hh_fech_in!U7/SER_summary!U$27)</f>
        <v>0</v>
      </c>
      <c r="V7" s="132">
        <f>IF(SER_hh_fech_in!V7=0,0,SER_hh_fech_in!V7/SER_summary!V$27)</f>
        <v>0</v>
      </c>
      <c r="W7" s="132">
        <f>IF(SER_hh_fech_in!W7=0,0,SER_hh_fech_in!W7/SER_summary!W$27)</f>
        <v>81.521391576621085</v>
      </c>
      <c r="X7" s="132">
        <f>IF(SER_hh_fech_in!X7=0,0,SER_hh_fech_in!X7/SER_summary!X$27)</f>
        <v>76.765617184217945</v>
      </c>
      <c r="Y7" s="132">
        <f>IF(SER_hh_fech_in!Y7=0,0,SER_hh_fech_in!Y7/SER_summary!Y$27)</f>
        <v>78.235931672966245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0</v>
      </c>
      <c r="D8" s="132">
        <f>IF(SER_hh_fech_in!D8=0,0,SER_hh_fech_in!D8/SER_summary!D$27)</f>
        <v>0</v>
      </c>
      <c r="E8" s="132">
        <f>IF(SER_hh_fech_in!E8=0,0,SER_hh_fech_in!E8/SER_summary!E$27)</f>
        <v>0</v>
      </c>
      <c r="F8" s="132">
        <f>IF(SER_hh_fech_in!F8=0,0,SER_hh_fech_in!F8/SER_summary!F$27)</f>
        <v>0</v>
      </c>
      <c r="G8" s="132">
        <f>IF(SER_hh_fech_in!G8=0,0,SER_hh_fech_in!G8/SER_summary!G$27)</f>
        <v>0</v>
      </c>
      <c r="H8" s="132">
        <f>IF(SER_hh_fech_in!H8=0,0,SER_hh_fech_in!H8/SER_summary!H$27)</f>
        <v>0</v>
      </c>
      <c r="I8" s="132">
        <f>IF(SER_hh_fech_in!I8=0,0,SER_hh_fech_in!I8/SER_summary!I$27)</f>
        <v>0</v>
      </c>
      <c r="J8" s="132">
        <f>IF(SER_hh_fech_in!J8=0,0,SER_hh_fech_in!J8/SER_summary!J$27)</f>
        <v>0</v>
      </c>
      <c r="K8" s="132">
        <f>IF(SER_hh_fech_in!K8=0,0,SER_hh_fech_in!K8/SER_summary!K$27)</f>
        <v>0</v>
      </c>
      <c r="L8" s="132">
        <f>IF(SER_hh_fech_in!L8=0,0,SER_hh_fech_in!L8/SER_summary!L$27)</f>
        <v>0</v>
      </c>
      <c r="M8" s="132">
        <f>IF(SER_hh_fech_in!M8=0,0,SER_hh_fech_in!M8/SER_summary!M$27)</f>
        <v>0</v>
      </c>
      <c r="N8" s="132">
        <f>IF(SER_hh_fech_in!N8=0,0,SER_hh_fech_in!N8/SER_summary!N$27)</f>
        <v>0</v>
      </c>
      <c r="O8" s="132">
        <f>IF(SER_hh_fech_in!O8=0,0,SER_hh_fech_in!O8/SER_summary!O$27)</f>
        <v>0</v>
      </c>
      <c r="P8" s="132">
        <f>IF(SER_hh_fech_in!P8=0,0,SER_hh_fech_in!P8/SER_summary!P$27)</f>
        <v>0</v>
      </c>
      <c r="Q8" s="132">
        <f>IF(SER_hh_fech_in!Q8=0,0,SER_hh_fech_in!Q8/SER_summary!Q$27)</f>
        <v>0</v>
      </c>
      <c r="R8" s="132">
        <f>IF(SER_hh_fech_in!R8=0,0,SER_hh_fech_in!R8/SER_summary!R$27)</f>
        <v>0</v>
      </c>
      <c r="S8" s="132">
        <f>IF(SER_hh_fech_in!S8=0,0,SER_hh_fech_in!S8/SER_summary!S$27)</f>
        <v>0</v>
      </c>
      <c r="T8" s="132">
        <f>IF(SER_hh_fech_in!T8=0,0,SER_hh_fech_in!T8/SER_summary!T$27)</f>
        <v>0</v>
      </c>
      <c r="U8" s="132">
        <f>IF(SER_hh_fech_in!U8=0,0,SER_hh_fech_in!U8/SER_summary!U$27)</f>
        <v>0</v>
      </c>
      <c r="V8" s="132">
        <f>IF(SER_hh_fech_in!V8=0,0,SER_hh_fech_in!V8/SER_summary!V$27)</f>
        <v>0</v>
      </c>
      <c r="W8" s="132">
        <f>IF(SER_hh_fech_in!W8=0,0,SER_hh_fech_in!W8/SER_summary!W$27)</f>
        <v>0</v>
      </c>
      <c r="X8" s="132">
        <f>IF(SER_hh_fech_in!X8=0,0,SER_hh_fech_in!X8/SER_summary!X$27)</f>
        <v>0</v>
      </c>
      <c r="Y8" s="132">
        <f>IF(SER_hh_fech_in!Y8=0,0,SER_hh_fech_in!Y8/SER_summary!Y$27)</f>
        <v>0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209.12961865500628</v>
      </c>
      <c r="D9" s="132">
        <f>IF(SER_hh_fech_in!D9=0,0,SER_hh_fech_in!D9/SER_summary!D$27)</f>
        <v>147.25027249498183</v>
      </c>
      <c r="E9" s="132">
        <f>IF(SER_hh_fech_in!E9=0,0,SER_hh_fech_in!E9/SER_summary!E$27)</f>
        <v>288.86786767990287</v>
      </c>
      <c r="F9" s="132">
        <f>IF(SER_hh_fech_in!F9=0,0,SER_hh_fech_in!F9/SER_summary!F$27)</f>
        <v>250.92614846429714</v>
      </c>
      <c r="G9" s="132">
        <f>IF(SER_hh_fech_in!G9=0,0,SER_hh_fech_in!G9/SER_summary!G$27)</f>
        <v>0</v>
      </c>
      <c r="H9" s="132">
        <f>IF(SER_hh_fech_in!H9=0,0,SER_hh_fech_in!H9/SER_summary!H$27)</f>
        <v>0</v>
      </c>
      <c r="I9" s="132">
        <f>IF(SER_hh_fech_in!I9=0,0,SER_hh_fech_in!I9/SER_summary!I$27)</f>
        <v>0</v>
      </c>
      <c r="J9" s="132">
        <f>IF(SER_hh_fech_in!J9=0,0,SER_hh_fech_in!J9/SER_summary!J$27)</f>
        <v>0</v>
      </c>
      <c r="K9" s="132">
        <f>IF(SER_hh_fech_in!K9=0,0,SER_hh_fech_in!K9/SER_summary!K$27)</f>
        <v>0</v>
      </c>
      <c r="L9" s="132">
        <f>IF(SER_hh_fech_in!L9=0,0,SER_hh_fech_in!L9/SER_summary!L$27)</f>
        <v>0</v>
      </c>
      <c r="M9" s="132">
        <f>IF(SER_hh_fech_in!M9=0,0,SER_hh_fech_in!M9/SER_summary!M$27)</f>
        <v>172.74169550122801</v>
      </c>
      <c r="N9" s="132">
        <f>IF(SER_hh_fech_in!N9=0,0,SER_hh_fech_in!N9/SER_summary!N$27)</f>
        <v>153.53998226988779</v>
      </c>
      <c r="O9" s="132">
        <f>IF(SER_hh_fech_in!O9=0,0,SER_hh_fech_in!O9/SER_summary!O$27)</f>
        <v>148.24908960670049</v>
      </c>
      <c r="P9" s="132">
        <f>IF(SER_hh_fech_in!P9=0,0,SER_hh_fech_in!P9/SER_summary!P$27)</f>
        <v>176.5144737360711</v>
      </c>
      <c r="Q9" s="132">
        <f>IF(SER_hh_fech_in!Q9=0,0,SER_hh_fech_in!Q9/SER_summary!Q$27)</f>
        <v>154.43863242099206</v>
      </c>
      <c r="R9" s="132">
        <f>IF(SER_hh_fech_in!R9=0,0,SER_hh_fech_in!R9/SER_summary!R$27)</f>
        <v>163.47044121113845</v>
      </c>
      <c r="S9" s="132">
        <f>IF(SER_hh_fech_in!S9=0,0,SER_hh_fech_in!S9/SER_summary!S$27)</f>
        <v>129.73405921883278</v>
      </c>
      <c r="T9" s="132">
        <f>IF(SER_hh_fech_in!T9=0,0,SER_hh_fech_in!T9/SER_summary!T$27)</f>
        <v>129.52686954678569</v>
      </c>
      <c r="U9" s="132">
        <f>IF(SER_hh_fech_in!U9=0,0,SER_hh_fech_in!U9/SER_summary!U$27)</f>
        <v>111.32669268898749</v>
      </c>
      <c r="V9" s="132">
        <f>IF(SER_hh_fech_in!V9=0,0,SER_hh_fech_in!V9/SER_summary!V$27)</f>
        <v>0</v>
      </c>
      <c r="W9" s="132">
        <f>IF(SER_hh_fech_in!W9=0,0,SER_hh_fech_in!W9/SER_summary!W$27)</f>
        <v>0</v>
      </c>
      <c r="X9" s="132">
        <f>IF(SER_hh_fech_in!X9=0,0,SER_hh_fech_in!X9/SER_summary!X$27)</f>
        <v>0</v>
      </c>
      <c r="Y9" s="132">
        <f>IF(SER_hh_fech_in!Y9=0,0,SER_hh_fech_in!Y9/SER_summary!Y$27)</f>
        <v>0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214.40713352044605</v>
      </c>
      <c r="D10" s="132">
        <f>IF(SER_hh_fech_in!D10=0,0,SER_hh_fech_in!D10/SER_summary!D$27)</f>
        <v>189.80421101960681</v>
      </c>
      <c r="E10" s="132">
        <f>IF(SER_hh_fech_in!E10=0,0,SER_hh_fech_in!E10/SER_summary!E$27)</f>
        <v>183.49771051651314</v>
      </c>
      <c r="F10" s="132">
        <f>IF(SER_hh_fech_in!F10=0,0,SER_hh_fech_in!F10/SER_summary!F$27)</f>
        <v>322.0920338420201</v>
      </c>
      <c r="G10" s="132">
        <f>IF(SER_hh_fech_in!G10=0,0,SER_hh_fech_in!G10/SER_summary!G$27)</f>
        <v>202.23077383603558</v>
      </c>
      <c r="H10" s="132">
        <f>IF(SER_hh_fech_in!H10=0,0,SER_hh_fech_in!H10/SER_summary!H$27)</f>
        <v>230.10036449777175</v>
      </c>
      <c r="I10" s="132">
        <f>IF(SER_hh_fech_in!I10=0,0,SER_hh_fech_in!I10/SER_summary!I$27)</f>
        <v>243.95114937317808</v>
      </c>
      <c r="J10" s="132">
        <f>IF(SER_hh_fech_in!J10=0,0,SER_hh_fech_in!J10/SER_summary!J$27)</f>
        <v>0</v>
      </c>
      <c r="K10" s="132">
        <f>IF(SER_hh_fech_in!K10=0,0,SER_hh_fech_in!K10/SER_summary!K$27)</f>
        <v>0</v>
      </c>
      <c r="L10" s="132">
        <f>IF(SER_hh_fech_in!L10=0,0,SER_hh_fech_in!L10/SER_summary!L$27)</f>
        <v>228.72101272265132</v>
      </c>
      <c r="M10" s="132">
        <f>IF(SER_hh_fech_in!M10=0,0,SER_hh_fech_in!M10/SER_summary!M$27)</f>
        <v>244.22254366053164</v>
      </c>
      <c r="N10" s="132">
        <f>IF(SER_hh_fech_in!N10=0,0,SER_hh_fech_in!N10/SER_summary!N$27)</f>
        <v>0</v>
      </c>
      <c r="O10" s="132">
        <f>IF(SER_hh_fech_in!O10=0,0,SER_hh_fech_in!O10/SER_summary!O$27)</f>
        <v>0</v>
      </c>
      <c r="P10" s="132">
        <f>IF(SER_hh_fech_in!P10=0,0,SER_hh_fech_in!P10/SER_summary!P$27)</f>
        <v>0</v>
      </c>
      <c r="Q10" s="132">
        <f>IF(SER_hh_fech_in!Q10=0,0,SER_hh_fech_in!Q10/SER_summary!Q$27)</f>
        <v>0</v>
      </c>
      <c r="R10" s="132">
        <f>IF(SER_hh_fech_in!R10=0,0,SER_hh_fech_in!R10/SER_summary!R$27)</f>
        <v>184.93289237198243</v>
      </c>
      <c r="S10" s="132">
        <f>IF(SER_hh_fech_in!S10=0,0,SER_hh_fech_in!S10/SER_summary!S$27)</f>
        <v>189.78787967961316</v>
      </c>
      <c r="T10" s="132">
        <f>IF(SER_hh_fech_in!T10=0,0,SER_hh_fech_in!T10/SER_summary!T$27)</f>
        <v>157.10894867877914</v>
      </c>
      <c r="U10" s="132">
        <f>IF(SER_hh_fech_in!U10=0,0,SER_hh_fech_in!U10/SER_summary!U$27)</f>
        <v>158.97753707364228</v>
      </c>
      <c r="V10" s="132">
        <f>IF(SER_hh_fech_in!V10=0,0,SER_hh_fech_in!V10/SER_summary!V$27)</f>
        <v>180.78749506769606</v>
      </c>
      <c r="W10" s="132">
        <f>IF(SER_hh_fech_in!W10=0,0,SER_hh_fech_in!W10/SER_summary!W$27)</f>
        <v>127.7817370473595</v>
      </c>
      <c r="X10" s="132">
        <f>IF(SER_hh_fech_in!X10=0,0,SER_hh_fech_in!X10/SER_summary!X$27)</f>
        <v>128.0621118080384</v>
      </c>
      <c r="Y10" s="132">
        <f>IF(SER_hh_fech_in!Y10=0,0,SER_hh_fech_in!Y10/SER_summary!Y$27)</f>
        <v>0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0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0</v>
      </c>
      <c r="J11" s="132">
        <f>IF(SER_hh_fech_in!J11=0,0,SER_hh_fech_in!J11/SER_summary!J$27)</f>
        <v>0</v>
      </c>
      <c r="K11" s="132">
        <f>IF(SER_hh_fech_in!K11=0,0,SER_hh_fech_in!K11/SER_summary!K$27)</f>
        <v>0</v>
      </c>
      <c r="L11" s="132">
        <f>IF(SER_hh_fech_in!L11=0,0,SER_hh_fech_in!L11/SER_summary!L$27)</f>
        <v>0</v>
      </c>
      <c r="M11" s="132">
        <f>IF(SER_hh_fech_in!M11=0,0,SER_hh_fech_in!M11/SER_summary!M$27)</f>
        <v>0</v>
      </c>
      <c r="N11" s="132">
        <f>IF(SER_hh_fech_in!N11=0,0,SER_hh_fech_in!N11/SER_summary!N$27)</f>
        <v>0</v>
      </c>
      <c r="O11" s="132">
        <f>IF(SER_hh_fech_in!O11=0,0,SER_hh_fech_in!O11/SER_summary!O$27)</f>
        <v>0</v>
      </c>
      <c r="P11" s="132">
        <f>IF(SER_hh_fech_in!P11=0,0,SER_hh_fech_in!P11/SER_summary!P$27)</f>
        <v>0</v>
      </c>
      <c r="Q11" s="132">
        <f>IF(SER_hh_fech_in!Q11=0,0,SER_hh_fech_in!Q11/SER_summary!Q$27)</f>
        <v>0</v>
      </c>
      <c r="R11" s="132">
        <f>IF(SER_hh_fech_in!R11=0,0,SER_hh_fech_in!R11/SER_summary!R$27)</f>
        <v>0</v>
      </c>
      <c r="S11" s="132">
        <f>IF(SER_hh_fech_in!S11=0,0,SER_hh_fech_in!S11/SER_summary!S$27)</f>
        <v>0</v>
      </c>
      <c r="T11" s="132">
        <f>IF(SER_hh_fech_in!T11=0,0,SER_hh_fech_in!T11/SER_summary!T$27)</f>
        <v>0</v>
      </c>
      <c r="U11" s="132">
        <f>IF(SER_hh_fech_in!U11=0,0,SER_hh_fech_in!U11/SER_summary!U$27)</f>
        <v>0</v>
      </c>
      <c r="V11" s="132">
        <f>IF(SER_hh_fech_in!V11=0,0,SER_hh_fech_in!V11/SER_summary!V$27)</f>
        <v>0</v>
      </c>
      <c r="W11" s="132">
        <f>IF(SER_hh_fech_in!W11=0,0,SER_hh_fech_in!W11/SER_summary!W$27)</f>
        <v>0</v>
      </c>
      <c r="X11" s="132">
        <f>IF(SER_hh_fech_in!X11=0,0,SER_hh_fech_in!X11/SER_summary!X$27)</f>
        <v>0</v>
      </c>
      <c r="Y11" s="132">
        <f>IF(SER_hh_fech_in!Y11=0,0,SER_hh_fech_in!Y11/SER_summary!Y$27)</f>
        <v>0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113.52371270335595</v>
      </c>
      <c r="D12" s="132">
        <f>IF(SER_hh_fech_in!D12=0,0,SER_hh_fech_in!D12/SER_summary!D$27)</f>
        <v>136.58109541943418</v>
      </c>
      <c r="E12" s="132">
        <f>IF(SER_hh_fech_in!E12=0,0,SER_hh_fech_in!E12/SER_summary!E$27)</f>
        <v>133.21161121730904</v>
      </c>
      <c r="F12" s="132">
        <f>IF(SER_hh_fech_in!F12=0,0,SER_hh_fech_in!F12/SER_summary!F$27)</f>
        <v>161.85765505132977</v>
      </c>
      <c r="G12" s="132">
        <f>IF(SER_hh_fech_in!G12=0,0,SER_hh_fech_in!G12/SER_summary!G$27)</f>
        <v>174.79415521588925</v>
      </c>
      <c r="H12" s="132">
        <f>IF(SER_hh_fech_in!H12=0,0,SER_hh_fech_in!H12/SER_summary!H$27)</f>
        <v>147.47426650426232</v>
      </c>
      <c r="I12" s="132">
        <f>IF(SER_hh_fech_in!I12=0,0,SER_hh_fech_in!I12/SER_summary!I$27)</f>
        <v>136.61607592136292</v>
      </c>
      <c r="J12" s="132">
        <f>IF(SER_hh_fech_in!J12=0,0,SER_hh_fech_in!J12/SER_summary!J$27)</f>
        <v>166.12139187607062</v>
      </c>
      <c r="K12" s="132">
        <f>IF(SER_hh_fech_in!K12=0,0,SER_hh_fech_in!K12/SER_summary!K$27)</f>
        <v>159.93869954869535</v>
      </c>
      <c r="L12" s="132">
        <f>IF(SER_hh_fech_in!L12=0,0,SER_hh_fech_in!L12/SER_summary!L$27)</f>
        <v>165.47907156491823</v>
      </c>
      <c r="M12" s="132">
        <f>IF(SER_hh_fech_in!M12=0,0,SER_hh_fech_in!M12/SER_summary!M$27)</f>
        <v>124.90113696616119</v>
      </c>
      <c r="N12" s="132">
        <f>IF(SER_hh_fech_in!N12=0,0,SER_hh_fech_in!N12/SER_summary!N$27)</f>
        <v>136.64987329112043</v>
      </c>
      <c r="O12" s="132">
        <f>IF(SER_hh_fech_in!O12=0,0,SER_hh_fech_in!O12/SER_summary!O$27)</f>
        <v>124.0140457866429</v>
      </c>
      <c r="P12" s="132">
        <f>IF(SER_hh_fech_in!P12=0,0,SER_hh_fech_in!P12/SER_summary!P$27)</f>
        <v>130.20429757416554</v>
      </c>
      <c r="Q12" s="132">
        <f>IF(SER_hh_fech_in!Q12=0,0,SER_hh_fech_in!Q12/SER_summary!Q$27)</f>
        <v>122.81463833331851</v>
      </c>
      <c r="R12" s="132">
        <f>IF(SER_hh_fech_in!R12=0,0,SER_hh_fech_in!R12/SER_summary!R$27)</f>
        <v>130.78280828659703</v>
      </c>
      <c r="S12" s="132">
        <f>IF(SER_hh_fech_in!S12=0,0,SER_hh_fech_in!S12/SER_summary!S$27)</f>
        <v>117.81618379566238</v>
      </c>
      <c r="T12" s="132">
        <f>IF(SER_hh_fech_in!T12=0,0,SER_hh_fech_in!T12/SER_summary!T$27)</f>
        <v>114.37369325248406</v>
      </c>
      <c r="U12" s="132">
        <f>IF(SER_hh_fech_in!U12=0,0,SER_hh_fech_in!U12/SER_summary!U$27)</f>
        <v>90.726212434517123</v>
      </c>
      <c r="V12" s="132">
        <f>IF(SER_hh_fech_in!V12=0,0,SER_hh_fech_in!V12/SER_summary!V$27)</f>
        <v>88.994459626527714</v>
      </c>
      <c r="W12" s="132">
        <f>IF(SER_hh_fech_in!W12=0,0,SER_hh_fech_in!W12/SER_summary!W$27)</f>
        <v>74.332782957833302</v>
      </c>
      <c r="X12" s="132">
        <f>IF(SER_hh_fech_in!X12=0,0,SER_hh_fech_in!X12/SER_summary!X$27)</f>
        <v>68.912709326680087</v>
      </c>
      <c r="Y12" s="132">
        <f>IF(SER_hh_fech_in!Y12=0,0,SER_hh_fech_in!Y12/SER_summary!Y$27)</f>
        <v>63.484390724332563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0</v>
      </c>
      <c r="D13" s="132">
        <f>IF(SER_hh_fech_in!D13=0,0,SER_hh_fech_in!D13/SER_summary!D$27)</f>
        <v>0</v>
      </c>
      <c r="E13" s="132">
        <f>IF(SER_hh_fech_in!E13=0,0,SER_hh_fech_in!E13/SER_summary!E$27)</f>
        <v>0</v>
      </c>
      <c r="F13" s="132">
        <f>IF(SER_hh_fech_in!F13=0,0,SER_hh_fech_in!F13/SER_summary!F$27)</f>
        <v>0</v>
      </c>
      <c r="G13" s="132">
        <f>IF(SER_hh_fech_in!G13=0,0,SER_hh_fech_in!G13/SER_summary!G$27)</f>
        <v>0</v>
      </c>
      <c r="H13" s="132">
        <f>IF(SER_hh_fech_in!H13=0,0,SER_hh_fech_in!H13/SER_summary!H$27)</f>
        <v>0</v>
      </c>
      <c r="I13" s="132">
        <f>IF(SER_hh_fech_in!I13=0,0,SER_hh_fech_in!I13/SER_summary!I$27)</f>
        <v>0</v>
      </c>
      <c r="J13" s="132">
        <f>IF(SER_hh_fech_in!J13=0,0,SER_hh_fech_in!J13/SER_summary!J$27)</f>
        <v>0</v>
      </c>
      <c r="K13" s="132">
        <f>IF(SER_hh_fech_in!K13=0,0,SER_hh_fech_in!K13/SER_summary!K$27)</f>
        <v>0</v>
      </c>
      <c r="L13" s="132">
        <f>IF(SER_hh_fech_in!L13=0,0,SER_hh_fech_in!L13/SER_summary!L$27)</f>
        <v>0</v>
      </c>
      <c r="M13" s="132">
        <f>IF(SER_hh_fech_in!M13=0,0,SER_hh_fech_in!M13/SER_summary!M$27)</f>
        <v>0</v>
      </c>
      <c r="N13" s="132">
        <f>IF(SER_hh_fech_in!N13=0,0,SER_hh_fech_in!N13/SER_summary!N$27)</f>
        <v>0</v>
      </c>
      <c r="O13" s="132">
        <f>IF(SER_hh_fech_in!O13=0,0,SER_hh_fech_in!O13/SER_summary!O$27)</f>
        <v>0</v>
      </c>
      <c r="P13" s="132">
        <f>IF(SER_hh_fech_in!P13=0,0,SER_hh_fech_in!P13/SER_summary!P$27)</f>
        <v>0</v>
      </c>
      <c r="Q13" s="132">
        <f>IF(SER_hh_fech_in!Q13=0,0,SER_hh_fech_in!Q13/SER_summary!Q$27)</f>
        <v>0</v>
      </c>
      <c r="R13" s="132">
        <f>IF(SER_hh_fech_in!R13=0,0,SER_hh_fech_in!R13/SER_summary!R$27)</f>
        <v>0</v>
      </c>
      <c r="S13" s="132">
        <f>IF(SER_hh_fech_in!S13=0,0,SER_hh_fech_in!S13/SER_summary!S$27)</f>
        <v>0</v>
      </c>
      <c r="T13" s="132">
        <f>IF(SER_hh_fech_in!T13=0,0,SER_hh_fech_in!T13/SER_summary!T$27)</f>
        <v>0</v>
      </c>
      <c r="U13" s="132">
        <f>IF(SER_hh_fech_in!U13=0,0,SER_hh_fech_in!U13/SER_summary!U$27)</f>
        <v>0</v>
      </c>
      <c r="V13" s="132">
        <f>IF(SER_hh_fech_in!V13=0,0,SER_hh_fech_in!V13/SER_summary!V$27)</f>
        <v>0</v>
      </c>
      <c r="W13" s="132">
        <f>IF(SER_hh_fech_in!W13=0,0,SER_hh_fech_in!W13/SER_summary!W$27)</f>
        <v>0</v>
      </c>
      <c r="X13" s="132">
        <f>IF(SER_hh_fech_in!X13=0,0,SER_hh_fech_in!X13/SER_summary!X$27)</f>
        <v>0</v>
      </c>
      <c r="Y13" s="132">
        <f>IF(SER_hh_fech_in!Y13=0,0,SER_hh_fech_in!Y13/SER_summary!Y$27)</f>
        <v>0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147.37079102577076</v>
      </c>
      <c r="D14" s="65">
        <f>IF(SER_hh_fech_in!D14=0,0,SER_hh_fech_in!D14/SER_summary!D$27)</f>
        <v>157.27148361093543</v>
      </c>
      <c r="E14" s="65">
        <f>IF(SER_hh_fech_in!E14=0,0,SER_hh_fech_in!E14/SER_summary!E$27)</f>
        <v>149.08118985181406</v>
      </c>
      <c r="F14" s="65">
        <f>IF(SER_hh_fech_in!F14=0,0,SER_hh_fech_in!F14/SER_summary!F$27)</f>
        <v>176.72196247076096</v>
      </c>
      <c r="G14" s="65">
        <f>IF(SER_hh_fech_in!G14=0,0,SER_hh_fech_in!G14/SER_summary!G$27)</f>
        <v>158.17214484303864</v>
      </c>
      <c r="H14" s="65">
        <f>IF(SER_hh_fech_in!H14=0,0,SER_hh_fech_in!H14/SER_summary!H$27)</f>
        <v>166.99436041745668</v>
      </c>
      <c r="I14" s="65">
        <f>IF(SER_hh_fech_in!I14=0,0,SER_hh_fech_in!I14/SER_summary!I$27)</f>
        <v>169.6591079362021</v>
      </c>
      <c r="J14" s="65">
        <f>IF(SER_hh_fech_in!J14=0,0,SER_hh_fech_in!J14/SER_summary!J$27)</f>
        <v>186.37239071415445</v>
      </c>
      <c r="K14" s="65">
        <f>IF(SER_hh_fech_in!K14=0,0,SER_hh_fech_in!K14/SER_summary!K$27)</f>
        <v>178.28286735470294</v>
      </c>
      <c r="L14" s="65">
        <f>IF(SER_hh_fech_in!L14=0,0,SER_hh_fech_in!L14/SER_summary!L$27)</f>
        <v>162.17548906782878</v>
      </c>
      <c r="M14" s="65">
        <f>IF(SER_hh_fech_in!M14=0,0,SER_hh_fech_in!M14/SER_summary!M$27)</f>
        <v>129.95471226372791</v>
      </c>
      <c r="N14" s="65">
        <f>IF(SER_hh_fech_in!N14=0,0,SER_hh_fech_in!N14/SER_summary!N$27)</f>
        <v>146.15110963494172</v>
      </c>
      <c r="O14" s="65">
        <f>IF(SER_hh_fech_in!O14=0,0,SER_hh_fech_in!O14/SER_summary!O$27)</f>
        <v>130.41561989124452</v>
      </c>
      <c r="P14" s="65">
        <f>IF(SER_hh_fech_in!P14=0,0,SER_hh_fech_in!P14/SER_summary!P$27)</f>
        <v>151.93853172591997</v>
      </c>
      <c r="Q14" s="65">
        <f>IF(SER_hh_fech_in!Q14=0,0,SER_hh_fech_in!Q14/SER_summary!Q$27)</f>
        <v>137.0269198428021</v>
      </c>
      <c r="R14" s="65">
        <f>IF(SER_hh_fech_in!R14=0,0,SER_hh_fech_in!R14/SER_summary!R$27)</f>
        <v>147.90854253507851</v>
      </c>
      <c r="S14" s="65">
        <f>IF(SER_hh_fech_in!S14=0,0,SER_hh_fech_in!S14/SER_summary!S$27)</f>
        <v>106.56391290451882</v>
      </c>
      <c r="T14" s="65">
        <f>IF(SER_hh_fech_in!T14=0,0,SER_hh_fech_in!T14/SER_summary!T$27)</f>
        <v>113.85973771359927</v>
      </c>
      <c r="U14" s="65">
        <f>IF(SER_hh_fech_in!U14=0,0,SER_hh_fech_in!U14/SER_summary!U$27)</f>
        <v>98.980228862473354</v>
      </c>
      <c r="V14" s="65">
        <f>IF(SER_hh_fech_in!V14=0,0,SER_hh_fech_in!V14/SER_summary!V$27)</f>
        <v>85.882266342967924</v>
      </c>
      <c r="W14" s="65">
        <f>IF(SER_hh_fech_in!W14=0,0,SER_hh_fech_in!W14/SER_summary!W$27)</f>
        <v>84.949786266325546</v>
      </c>
      <c r="X14" s="65">
        <f>IF(SER_hh_fech_in!X14=0,0,SER_hh_fech_in!X14/SER_summary!X$27)</f>
        <v>66.600366312618306</v>
      </c>
      <c r="Y14" s="65">
        <f>IF(SER_hh_fech_in!Y14=0,0,SER_hh_fech_in!Y14/SER_summary!Y$27)</f>
        <v>0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1.412294700786983</v>
      </c>
      <c r="D15" s="134">
        <f>IF(SER_hh_fech_in!D15=0,0,SER_hh_fech_in!D15/SER_summary!D$27)</f>
        <v>1.1428686762220408</v>
      </c>
      <c r="E15" s="134">
        <f>IF(SER_hh_fech_in!E15=0,0,SER_hh_fech_in!E15/SER_summary!E$27)</f>
        <v>1.8442256605011611</v>
      </c>
      <c r="F15" s="134">
        <f>IF(SER_hh_fech_in!F15=0,0,SER_hh_fech_in!F15/SER_summary!F$27)</f>
        <v>0.88121545012278835</v>
      </c>
      <c r="G15" s="134">
        <f>IF(SER_hh_fech_in!G15=0,0,SER_hh_fech_in!G15/SER_summary!G$27)</f>
        <v>0.65328681204004913</v>
      </c>
      <c r="H15" s="134">
        <f>IF(SER_hh_fech_in!H15=0,0,SER_hh_fech_in!H15/SER_summary!H$27)</f>
        <v>0.58373802356082582</v>
      </c>
      <c r="I15" s="134">
        <f>IF(SER_hh_fech_in!I15=0,0,SER_hh_fech_in!I15/SER_summary!I$27)</f>
        <v>0.77568520431217514</v>
      </c>
      <c r="J15" s="134">
        <f>IF(SER_hh_fech_in!J15=0,0,SER_hh_fech_in!J15/SER_summary!J$27)</f>
        <v>0.86373168127340227</v>
      </c>
      <c r="K15" s="134">
        <f>IF(SER_hh_fech_in!K15=0,0,SER_hh_fech_in!K15/SER_summary!K$27)</f>
        <v>0.93864720272856206</v>
      </c>
      <c r="L15" s="134">
        <f>IF(SER_hh_fech_in!L15=0,0,SER_hh_fech_in!L15/SER_summary!L$27)</f>
        <v>0.84067341657412198</v>
      </c>
      <c r="M15" s="134">
        <f>IF(SER_hh_fech_in!M15=0,0,SER_hh_fech_in!M15/SER_summary!M$27)</f>
        <v>1.2001787661281971</v>
      </c>
      <c r="N15" s="134">
        <f>IF(SER_hh_fech_in!N15=0,0,SER_hh_fech_in!N15/SER_summary!N$27)</f>
        <v>1.1392385120795205</v>
      </c>
      <c r="O15" s="134">
        <f>IF(SER_hh_fech_in!O15=0,0,SER_hh_fech_in!O15/SER_summary!O$27)</f>
        <v>1.3392647085166918</v>
      </c>
      <c r="P15" s="134">
        <f>IF(SER_hh_fech_in!P15=0,0,SER_hh_fech_in!P15/SER_summary!P$27)</f>
        <v>1.8311742789294698</v>
      </c>
      <c r="Q15" s="134">
        <f>IF(SER_hh_fech_in!Q15=0,0,SER_hh_fech_in!Q15/SER_summary!Q$27)</f>
        <v>1.0774232762355254</v>
      </c>
      <c r="R15" s="134">
        <f>IF(SER_hh_fech_in!R15=0,0,SER_hh_fech_in!R15/SER_summary!R$27)</f>
        <v>1.092978221442295</v>
      </c>
      <c r="S15" s="134">
        <f>IF(SER_hh_fech_in!S15=0,0,SER_hh_fech_in!S15/SER_summary!S$27)</f>
        <v>0.73674150729606924</v>
      </c>
      <c r="T15" s="134">
        <f>IF(SER_hh_fech_in!T15=0,0,SER_hh_fech_in!T15/SER_summary!T$27)</f>
        <v>0.77552950885539906</v>
      </c>
      <c r="U15" s="134">
        <f>IF(SER_hh_fech_in!U15=0,0,SER_hh_fech_in!U15/SER_summary!U$27)</f>
        <v>0.62178709232185247</v>
      </c>
      <c r="V15" s="134">
        <f>IF(SER_hh_fech_in!V15=0,0,SER_hh_fech_in!V15/SER_summary!V$27)</f>
        <v>0.32117884224377735</v>
      </c>
      <c r="W15" s="134">
        <f>IF(SER_hh_fech_in!W15=0,0,SER_hh_fech_in!W15/SER_summary!W$27)</f>
        <v>0.31866036588096064</v>
      </c>
      <c r="X15" s="134">
        <f>IF(SER_hh_fech_in!X15=0,0,SER_hh_fech_in!X15/SER_summary!X$27)</f>
        <v>0.31844610337022472</v>
      </c>
      <c r="Y15" s="134">
        <f>IF(SER_hh_fech_in!Y15=0,0,SER_hh_fech_in!Y15/SER_summary!Y$27)</f>
        <v>0.32947505865874915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8.151159091704276</v>
      </c>
      <c r="D16" s="130">
        <f>IF(SER_hh_fech_in!D16=0,0,SER_hh_fech_in!D16/SER_summary!D$27)</f>
        <v>7.7164600617293004</v>
      </c>
      <c r="E16" s="130">
        <f>IF(SER_hh_fech_in!E16=0,0,SER_hh_fech_in!E16/SER_summary!E$27)</f>
        <v>7.6894666354860917</v>
      </c>
      <c r="F16" s="130">
        <f>IF(SER_hh_fech_in!F16=0,0,SER_hh_fech_in!F16/SER_summary!F$27)</f>
        <v>6.9708930307536967</v>
      </c>
      <c r="G16" s="130">
        <f>IF(SER_hh_fech_in!G16=0,0,SER_hh_fech_in!G16/SER_summary!G$27)</f>
        <v>6.6727496117578902</v>
      </c>
      <c r="H16" s="130">
        <f>IF(SER_hh_fech_in!H16=0,0,SER_hh_fech_in!H16/SER_summary!H$27)</f>
        <v>6.4925164562617841</v>
      </c>
      <c r="I16" s="130">
        <f>IF(SER_hh_fech_in!I16=0,0,SER_hh_fech_in!I16/SER_summary!I$27)</f>
        <v>6.1242541650538316</v>
      </c>
      <c r="J16" s="130">
        <f>IF(SER_hh_fech_in!J16=0,0,SER_hh_fech_in!J16/SER_summary!J$27)</f>
        <v>5.8589064916914309</v>
      </c>
      <c r="K16" s="130">
        <f>IF(SER_hh_fech_in!K16=0,0,SER_hh_fech_in!K16/SER_summary!K$27)</f>
        <v>5.5718354311232607</v>
      </c>
      <c r="L16" s="130">
        <f>IF(SER_hh_fech_in!L16=0,0,SER_hh_fech_in!L16/SER_summary!L$27)</f>
        <v>6.1979613536914133</v>
      </c>
      <c r="M16" s="130">
        <f>IF(SER_hh_fech_in!M16=0,0,SER_hh_fech_in!M16/SER_summary!M$27)</f>
        <v>5.3831641256419269</v>
      </c>
      <c r="N16" s="130">
        <f>IF(SER_hh_fech_in!N16=0,0,SER_hh_fech_in!N16/SER_summary!N$27)</f>
        <v>4.9054599244730817</v>
      </c>
      <c r="O16" s="130">
        <f>IF(SER_hh_fech_in!O16=0,0,SER_hh_fech_in!O16/SER_summary!O$27)</f>
        <v>4.5975419201959937</v>
      </c>
      <c r="P16" s="130">
        <f>IF(SER_hh_fech_in!P16=0,0,SER_hh_fech_in!P16/SER_summary!P$27)</f>
        <v>4.438339590966569</v>
      </c>
      <c r="Q16" s="130">
        <f>IF(SER_hh_fech_in!Q16=0,0,SER_hh_fech_in!Q16/SER_summary!Q$27)</f>
        <v>4.1717384937422848</v>
      </c>
      <c r="R16" s="130">
        <f>IF(SER_hh_fech_in!R16=0,0,SER_hh_fech_in!R16/SER_summary!R$27)</f>
        <v>4.069064689561162</v>
      </c>
      <c r="S16" s="130">
        <f>IF(SER_hh_fech_in!S16=0,0,SER_hh_fech_in!S16/SER_summary!S$27)</f>
        <v>3.967063052144979</v>
      </c>
      <c r="T16" s="130">
        <f>IF(SER_hh_fech_in!T16=0,0,SER_hh_fech_in!T16/SER_summary!T$27)</f>
        <v>4.145676922844598</v>
      </c>
      <c r="U16" s="130">
        <f>IF(SER_hh_fech_in!U16=0,0,SER_hh_fech_in!U16/SER_summary!U$27)</f>
        <v>3.7741772717370536</v>
      </c>
      <c r="V16" s="130">
        <f>IF(SER_hh_fech_in!V16=0,0,SER_hh_fech_in!V16/SER_summary!V$27)</f>
        <v>3.5495251325627373</v>
      </c>
      <c r="W16" s="130">
        <f>IF(SER_hh_fech_in!W16=0,0,SER_hh_fech_in!W16/SER_summary!W$27)</f>
        <v>3.702502738656976</v>
      </c>
      <c r="X16" s="130">
        <f>IF(SER_hh_fech_in!X16=0,0,SER_hh_fech_in!X16/SER_summary!X$27)</f>
        <v>3.725607213716422</v>
      </c>
      <c r="Y16" s="130">
        <f>IF(SER_hh_fech_in!Y16=0,0,SER_hh_fech_in!Y16/SER_summary!Y$27)</f>
        <v>3.7246313405074392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0</v>
      </c>
      <c r="D17" s="132">
        <f>IF(SER_hh_fech_in!D17=0,0,SER_hh_fech_in!D17/SER_summary!D$27)</f>
        <v>0</v>
      </c>
      <c r="E17" s="132">
        <f>IF(SER_hh_fech_in!E17=0,0,SER_hh_fech_in!E17/SER_summary!E$27)</f>
        <v>0</v>
      </c>
      <c r="F17" s="132">
        <f>IF(SER_hh_fech_in!F17=0,0,SER_hh_fech_in!F17/SER_summary!F$27)</f>
        <v>0</v>
      </c>
      <c r="G17" s="132">
        <f>IF(SER_hh_fech_in!G17=0,0,SER_hh_fech_in!G17/SER_summary!G$27)</f>
        <v>0</v>
      </c>
      <c r="H17" s="132">
        <f>IF(SER_hh_fech_in!H17=0,0,SER_hh_fech_in!H17/SER_summary!H$27)</f>
        <v>0</v>
      </c>
      <c r="I17" s="132">
        <f>IF(SER_hh_fech_in!I17=0,0,SER_hh_fech_in!I17/SER_summary!I$27)</f>
        <v>0</v>
      </c>
      <c r="J17" s="132">
        <f>IF(SER_hh_fech_in!J17=0,0,SER_hh_fech_in!J17/SER_summary!J$27)</f>
        <v>0</v>
      </c>
      <c r="K17" s="132">
        <f>IF(SER_hh_fech_in!K17=0,0,SER_hh_fech_in!K17/SER_summary!K$27)</f>
        <v>0</v>
      </c>
      <c r="L17" s="132">
        <f>IF(SER_hh_fech_in!L17=0,0,SER_hh_fech_in!L17/SER_summary!L$27)</f>
        <v>0</v>
      </c>
      <c r="M17" s="132">
        <f>IF(SER_hh_fech_in!M17=0,0,SER_hh_fech_in!M17/SER_summary!M$27)</f>
        <v>0</v>
      </c>
      <c r="N17" s="132">
        <f>IF(SER_hh_fech_in!N17=0,0,SER_hh_fech_in!N17/SER_summary!N$27)</f>
        <v>0</v>
      </c>
      <c r="O17" s="132">
        <f>IF(SER_hh_fech_in!O17=0,0,SER_hh_fech_in!O17/SER_summary!O$27)</f>
        <v>0</v>
      </c>
      <c r="P17" s="132">
        <f>IF(SER_hh_fech_in!P17=0,0,SER_hh_fech_in!P17/SER_summary!P$27)</f>
        <v>0</v>
      </c>
      <c r="Q17" s="132">
        <f>IF(SER_hh_fech_in!Q17=0,0,SER_hh_fech_in!Q17/SER_summary!Q$27)</f>
        <v>0</v>
      </c>
      <c r="R17" s="132">
        <f>IF(SER_hh_fech_in!R17=0,0,SER_hh_fech_in!R17/SER_summary!R$27)</f>
        <v>0</v>
      </c>
      <c r="S17" s="132">
        <f>IF(SER_hh_fech_in!S17=0,0,SER_hh_fech_in!S17/SER_summary!S$27)</f>
        <v>0</v>
      </c>
      <c r="T17" s="132">
        <f>IF(SER_hh_fech_in!T17=0,0,SER_hh_fech_in!T17/SER_summary!T$27)</f>
        <v>0</v>
      </c>
      <c r="U17" s="132">
        <f>IF(SER_hh_fech_in!U17=0,0,SER_hh_fech_in!U17/SER_summary!U$27)</f>
        <v>0</v>
      </c>
      <c r="V17" s="132">
        <f>IF(SER_hh_fech_in!V17=0,0,SER_hh_fech_in!V17/SER_summary!V$27)</f>
        <v>0</v>
      </c>
      <c r="W17" s="132">
        <f>IF(SER_hh_fech_in!W17=0,0,SER_hh_fech_in!W17/SER_summary!W$27)</f>
        <v>0</v>
      </c>
      <c r="X17" s="132">
        <f>IF(SER_hh_fech_in!X17=0,0,SER_hh_fech_in!X17/SER_summary!X$27)</f>
        <v>0</v>
      </c>
      <c r="Y17" s="132">
        <f>IF(SER_hh_fech_in!Y17=0,0,SER_hh_fech_in!Y17/SER_summary!Y$27)</f>
        <v>0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8.151159091704276</v>
      </c>
      <c r="D18" s="132">
        <f>IF(SER_hh_fech_in!D18=0,0,SER_hh_fech_in!D18/SER_summary!D$27)</f>
        <v>7.7164600617293004</v>
      </c>
      <c r="E18" s="132">
        <f>IF(SER_hh_fech_in!E18=0,0,SER_hh_fech_in!E18/SER_summary!E$27)</f>
        <v>7.6894666354860917</v>
      </c>
      <c r="F18" s="132">
        <f>IF(SER_hh_fech_in!F18=0,0,SER_hh_fech_in!F18/SER_summary!F$27)</f>
        <v>6.9708930307536967</v>
      </c>
      <c r="G18" s="132">
        <f>IF(SER_hh_fech_in!G18=0,0,SER_hh_fech_in!G18/SER_summary!G$27)</f>
        <v>6.6727496117578902</v>
      </c>
      <c r="H18" s="132">
        <f>IF(SER_hh_fech_in!H18=0,0,SER_hh_fech_in!H18/SER_summary!H$27)</f>
        <v>6.4925164562617841</v>
      </c>
      <c r="I18" s="132">
        <f>IF(SER_hh_fech_in!I18=0,0,SER_hh_fech_in!I18/SER_summary!I$27)</f>
        <v>6.1242541650538316</v>
      </c>
      <c r="J18" s="132">
        <f>IF(SER_hh_fech_in!J18=0,0,SER_hh_fech_in!J18/SER_summary!J$27)</f>
        <v>5.8589064916914309</v>
      </c>
      <c r="K18" s="132">
        <f>IF(SER_hh_fech_in!K18=0,0,SER_hh_fech_in!K18/SER_summary!K$27)</f>
        <v>5.5718354311232607</v>
      </c>
      <c r="L18" s="132">
        <f>IF(SER_hh_fech_in!L18=0,0,SER_hh_fech_in!L18/SER_summary!L$27)</f>
        <v>6.1979613536914133</v>
      </c>
      <c r="M18" s="132">
        <f>IF(SER_hh_fech_in!M18=0,0,SER_hh_fech_in!M18/SER_summary!M$27)</f>
        <v>5.3831641256419269</v>
      </c>
      <c r="N18" s="132">
        <f>IF(SER_hh_fech_in!N18=0,0,SER_hh_fech_in!N18/SER_summary!N$27)</f>
        <v>4.9054599244730817</v>
      </c>
      <c r="O18" s="132">
        <f>IF(SER_hh_fech_in!O18=0,0,SER_hh_fech_in!O18/SER_summary!O$27)</f>
        <v>4.5975419201959937</v>
      </c>
      <c r="P18" s="132">
        <f>IF(SER_hh_fech_in!P18=0,0,SER_hh_fech_in!P18/SER_summary!P$27)</f>
        <v>4.438339590966569</v>
      </c>
      <c r="Q18" s="132">
        <f>IF(SER_hh_fech_in!Q18=0,0,SER_hh_fech_in!Q18/SER_summary!Q$27)</f>
        <v>4.1717384937422848</v>
      </c>
      <c r="R18" s="132">
        <f>IF(SER_hh_fech_in!R18=0,0,SER_hh_fech_in!R18/SER_summary!R$27)</f>
        <v>4.069064689561162</v>
      </c>
      <c r="S18" s="132">
        <f>IF(SER_hh_fech_in!S18=0,0,SER_hh_fech_in!S18/SER_summary!S$27)</f>
        <v>3.967063052144979</v>
      </c>
      <c r="T18" s="132">
        <f>IF(SER_hh_fech_in!T18=0,0,SER_hh_fech_in!T18/SER_summary!T$27)</f>
        <v>4.145676922844598</v>
      </c>
      <c r="U18" s="132">
        <f>IF(SER_hh_fech_in!U18=0,0,SER_hh_fech_in!U18/SER_summary!U$27)</f>
        <v>3.7741772717370536</v>
      </c>
      <c r="V18" s="132">
        <f>IF(SER_hh_fech_in!V18=0,0,SER_hh_fech_in!V18/SER_summary!V$27)</f>
        <v>3.5495251325627373</v>
      </c>
      <c r="W18" s="132">
        <f>IF(SER_hh_fech_in!W18=0,0,SER_hh_fech_in!W18/SER_summary!W$27)</f>
        <v>3.702502738656976</v>
      </c>
      <c r="X18" s="132">
        <f>IF(SER_hh_fech_in!X18=0,0,SER_hh_fech_in!X18/SER_summary!X$27)</f>
        <v>3.725607213716422</v>
      </c>
      <c r="Y18" s="132">
        <f>IF(SER_hh_fech_in!Y18=0,0,SER_hh_fech_in!Y18/SER_summary!Y$27)</f>
        <v>3.7246313405074392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30.214828818122228</v>
      </c>
      <c r="D19" s="130">
        <f>IF(SER_hh_fech_in!D19=0,0,SER_hh_fech_in!D19/SER_summary!D$27)</f>
        <v>27.717193570144428</v>
      </c>
      <c r="E19" s="130">
        <f>IF(SER_hh_fech_in!E19=0,0,SER_hh_fech_in!E19/SER_summary!E$27)</f>
        <v>27.985473616414065</v>
      </c>
      <c r="F19" s="130">
        <f>IF(SER_hh_fech_in!F19=0,0,SER_hh_fech_in!F19/SER_summary!F$27)</f>
        <v>26.508064750864854</v>
      </c>
      <c r="G19" s="130">
        <f>IF(SER_hh_fech_in!G19=0,0,SER_hh_fech_in!G19/SER_summary!G$27)</f>
        <v>26.379214655036797</v>
      </c>
      <c r="H19" s="130">
        <f>IF(SER_hh_fech_in!H19=0,0,SER_hh_fech_in!H19/SER_summary!H$27)</f>
        <v>25.57749273299725</v>
      </c>
      <c r="I19" s="130">
        <f>IF(SER_hh_fech_in!I19=0,0,SER_hh_fech_in!I19/SER_summary!I$27)</f>
        <v>24.486653939245841</v>
      </c>
      <c r="J19" s="130">
        <f>IF(SER_hh_fech_in!J19=0,0,SER_hh_fech_in!J19/SER_summary!J$27)</f>
        <v>24.572872193742008</v>
      </c>
      <c r="K19" s="130">
        <f>IF(SER_hh_fech_in!K19=0,0,SER_hh_fech_in!K19/SER_summary!K$27)</f>
        <v>24.704838654863867</v>
      </c>
      <c r="L19" s="130">
        <f>IF(SER_hh_fech_in!L19=0,0,SER_hh_fech_in!L19/SER_summary!L$27)</f>
        <v>24.771693273063487</v>
      </c>
      <c r="M19" s="130">
        <f>IF(SER_hh_fech_in!M19=0,0,SER_hh_fech_in!M19/SER_summary!M$27)</f>
        <v>25.247449666031923</v>
      </c>
      <c r="N19" s="130">
        <f>IF(SER_hh_fech_in!N19=0,0,SER_hh_fech_in!N19/SER_summary!N$27)</f>
        <v>24.371934957977651</v>
      </c>
      <c r="O19" s="130">
        <f>IF(SER_hh_fech_in!O19=0,0,SER_hh_fech_in!O19/SER_summary!O$27)</f>
        <v>23.911490455311956</v>
      </c>
      <c r="P19" s="130">
        <f>IF(SER_hh_fech_in!P19=0,0,SER_hh_fech_in!P19/SER_summary!P$27)</f>
        <v>24.142383752563671</v>
      </c>
      <c r="Q19" s="130">
        <f>IF(SER_hh_fech_in!Q19=0,0,SER_hh_fech_in!Q19/SER_summary!Q$27)</f>
        <v>22.40875936952974</v>
      </c>
      <c r="R19" s="130">
        <f>IF(SER_hh_fech_in!R19=0,0,SER_hh_fech_in!R19/SER_summary!R$27)</f>
        <v>21.385422460436548</v>
      </c>
      <c r="S19" s="130">
        <f>IF(SER_hh_fech_in!S19=0,0,SER_hh_fech_in!S19/SER_summary!S$27)</f>
        <v>20.890420787240792</v>
      </c>
      <c r="T19" s="130">
        <f>IF(SER_hh_fech_in!T19=0,0,SER_hh_fech_in!T19/SER_summary!T$27)</f>
        <v>20.426422845329078</v>
      </c>
      <c r="U19" s="130">
        <f>IF(SER_hh_fech_in!U19=0,0,SER_hh_fech_in!U19/SER_summary!U$27)</f>
        <v>20.51274544739433</v>
      </c>
      <c r="V19" s="130">
        <f>IF(SER_hh_fech_in!V19=0,0,SER_hh_fech_in!V19/SER_summary!V$27)</f>
        <v>18.828562412798686</v>
      </c>
      <c r="W19" s="130">
        <f>IF(SER_hh_fech_in!W19=0,0,SER_hh_fech_in!W19/SER_summary!W$27)</f>
        <v>19.847633204558868</v>
      </c>
      <c r="X19" s="130">
        <f>IF(SER_hh_fech_in!X19=0,0,SER_hh_fech_in!X19/SER_summary!X$27)</f>
        <v>20.549956980246026</v>
      </c>
      <c r="Y19" s="130">
        <f>IF(SER_hh_fech_in!Y19=0,0,SER_hh_fech_in!Y19/SER_summary!Y$27)</f>
        <v>22.721790980554271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0</v>
      </c>
      <c r="D21" s="132">
        <f>IF(SER_hh_fech_in!D21=0,0,SER_hh_fech_in!D21/SER_summary!D$27)</f>
        <v>0</v>
      </c>
      <c r="E21" s="132">
        <f>IF(SER_hh_fech_in!E21=0,0,SER_hh_fech_in!E21/SER_summary!E$27)</f>
        <v>0</v>
      </c>
      <c r="F21" s="132">
        <f>IF(SER_hh_fech_in!F21=0,0,SER_hh_fech_in!F21/SER_summary!F$27)</f>
        <v>0</v>
      </c>
      <c r="G21" s="132">
        <f>IF(SER_hh_fech_in!G21=0,0,SER_hh_fech_in!G21/SER_summary!G$27)</f>
        <v>0</v>
      </c>
      <c r="H21" s="132">
        <f>IF(SER_hh_fech_in!H21=0,0,SER_hh_fech_in!H21/SER_summary!H$27)</f>
        <v>0</v>
      </c>
      <c r="I21" s="132">
        <f>IF(SER_hh_fech_in!I21=0,0,SER_hh_fech_in!I21/SER_summary!I$27)</f>
        <v>0</v>
      </c>
      <c r="J21" s="132">
        <f>IF(SER_hh_fech_in!J21=0,0,SER_hh_fech_in!J21/SER_summary!J$27)</f>
        <v>0</v>
      </c>
      <c r="K21" s="132">
        <f>IF(SER_hh_fech_in!K21=0,0,SER_hh_fech_in!K21/SER_summary!K$27)</f>
        <v>0</v>
      </c>
      <c r="L21" s="132">
        <f>IF(SER_hh_fech_in!L21=0,0,SER_hh_fech_in!L21/SER_summary!L$27)</f>
        <v>0</v>
      </c>
      <c r="M21" s="132">
        <f>IF(SER_hh_fech_in!M21=0,0,SER_hh_fech_in!M21/SER_summary!M$27)</f>
        <v>0</v>
      </c>
      <c r="N21" s="132">
        <f>IF(SER_hh_fech_in!N21=0,0,SER_hh_fech_in!N21/SER_summary!N$27)</f>
        <v>0</v>
      </c>
      <c r="O21" s="132">
        <f>IF(SER_hh_fech_in!O21=0,0,SER_hh_fech_in!O21/SER_summary!O$27)</f>
        <v>0</v>
      </c>
      <c r="P21" s="132">
        <f>IF(SER_hh_fech_in!P21=0,0,SER_hh_fech_in!P21/SER_summary!P$27)</f>
        <v>0</v>
      </c>
      <c r="Q21" s="132">
        <f>IF(SER_hh_fech_in!Q21=0,0,SER_hh_fech_in!Q21/SER_summary!Q$27)</f>
        <v>0</v>
      </c>
      <c r="R21" s="132">
        <f>IF(SER_hh_fech_in!R21=0,0,SER_hh_fech_in!R21/SER_summary!R$27)</f>
        <v>0</v>
      </c>
      <c r="S21" s="132">
        <f>IF(SER_hh_fech_in!S21=0,0,SER_hh_fech_in!S21/SER_summary!S$27)</f>
        <v>0</v>
      </c>
      <c r="T21" s="132">
        <f>IF(SER_hh_fech_in!T21=0,0,SER_hh_fech_in!T21/SER_summary!T$27)</f>
        <v>0</v>
      </c>
      <c r="U21" s="132">
        <f>IF(SER_hh_fech_in!U21=0,0,SER_hh_fech_in!U21/SER_summary!U$27)</f>
        <v>0</v>
      </c>
      <c r="V21" s="132">
        <f>IF(SER_hh_fech_in!V21=0,0,SER_hh_fech_in!V21/SER_summary!V$27)</f>
        <v>0</v>
      </c>
      <c r="W21" s="132">
        <f>IF(SER_hh_fech_in!W21=0,0,SER_hh_fech_in!W21/SER_summary!W$27)</f>
        <v>0</v>
      </c>
      <c r="X21" s="132">
        <f>IF(SER_hh_fech_in!X21=0,0,SER_hh_fech_in!X21/SER_summary!X$27)</f>
        <v>0</v>
      </c>
      <c r="Y21" s="132">
        <f>IF(SER_hh_fech_in!Y21=0,0,SER_hh_fech_in!Y21/SER_summary!Y$27)</f>
        <v>0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38.833573774145144</v>
      </c>
      <c r="D22" s="132">
        <f>IF(SER_hh_fech_in!D22=0,0,SER_hh_fech_in!D22/SER_summary!D$27)</f>
        <v>0</v>
      </c>
      <c r="E22" s="132">
        <f>IF(SER_hh_fech_in!E22=0,0,SER_hh_fech_in!E22/SER_summary!E$27)</f>
        <v>0</v>
      </c>
      <c r="F22" s="132">
        <f>IF(SER_hh_fech_in!F22=0,0,SER_hh_fech_in!F22/SER_summary!F$27)</f>
        <v>0</v>
      </c>
      <c r="G22" s="132">
        <f>IF(SER_hh_fech_in!G22=0,0,SER_hh_fech_in!G22/SER_summary!G$27)</f>
        <v>0</v>
      </c>
      <c r="H22" s="132">
        <f>IF(SER_hh_fech_in!H22=0,0,SER_hh_fech_in!H22/SER_summary!H$27)</f>
        <v>0</v>
      </c>
      <c r="I22" s="132">
        <f>IF(SER_hh_fech_in!I22=0,0,SER_hh_fech_in!I22/SER_summary!I$27)</f>
        <v>31.986203683849066</v>
      </c>
      <c r="J22" s="132">
        <f>IF(SER_hh_fech_in!J22=0,0,SER_hh_fech_in!J22/SER_summary!J$27)</f>
        <v>32.513786814738545</v>
      </c>
      <c r="K22" s="132">
        <f>IF(SER_hh_fech_in!K22=0,0,SER_hh_fech_in!K22/SER_summary!K$27)</f>
        <v>31.764603236267984</v>
      </c>
      <c r="L22" s="132">
        <f>IF(SER_hh_fech_in!L22=0,0,SER_hh_fech_in!L22/SER_summary!L$27)</f>
        <v>31.355841121274668</v>
      </c>
      <c r="M22" s="132">
        <f>IF(SER_hh_fech_in!M22=0,0,SER_hh_fech_in!M22/SER_summary!M$27)</f>
        <v>31.045755668559085</v>
      </c>
      <c r="N22" s="132">
        <f>IF(SER_hh_fech_in!N22=0,0,SER_hh_fech_in!N22/SER_summary!N$27)</f>
        <v>29.959304172515036</v>
      </c>
      <c r="O22" s="132">
        <f>IF(SER_hh_fech_in!O22=0,0,SER_hh_fech_in!O22/SER_summary!O$27)</f>
        <v>28.603181363280605</v>
      </c>
      <c r="P22" s="132">
        <f>IF(SER_hh_fech_in!P22=0,0,SER_hh_fech_in!P22/SER_summary!P$27)</f>
        <v>0</v>
      </c>
      <c r="Q22" s="132">
        <f>IF(SER_hh_fech_in!Q22=0,0,SER_hh_fech_in!Q22/SER_summary!Q$27)</f>
        <v>0</v>
      </c>
      <c r="R22" s="132">
        <f>IF(SER_hh_fech_in!R22=0,0,SER_hh_fech_in!R22/SER_summary!R$27)</f>
        <v>0</v>
      </c>
      <c r="S22" s="132">
        <f>IF(SER_hh_fech_in!S22=0,0,SER_hh_fech_in!S22/SER_summary!S$27)</f>
        <v>0</v>
      </c>
      <c r="T22" s="132">
        <f>IF(SER_hh_fech_in!T22=0,0,SER_hh_fech_in!T22/SER_summary!T$27)</f>
        <v>0</v>
      </c>
      <c r="U22" s="132">
        <f>IF(SER_hh_fech_in!U22=0,0,SER_hh_fech_in!U22/SER_summary!U$27)</f>
        <v>0</v>
      </c>
      <c r="V22" s="132">
        <f>IF(SER_hh_fech_in!V22=0,0,SER_hh_fech_in!V22/SER_summary!V$27)</f>
        <v>0</v>
      </c>
      <c r="W22" s="132">
        <f>IF(SER_hh_fech_in!W22=0,0,SER_hh_fech_in!W22/SER_summary!W$27)</f>
        <v>20.932403217275819</v>
      </c>
      <c r="X22" s="132">
        <f>IF(SER_hh_fech_in!X22=0,0,SER_hh_fech_in!X22/SER_summary!X$27)</f>
        <v>23.115108340518265</v>
      </c>
      <c r="Y22" s="132">
        <f>IF(SER_hh_fech_in!Y22=0,0,SER_hh_fech_in!Y22/SER_summary!Y$27)</f>
        <v>26.577320356860181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39.553731118345553</v>
      </c>
      <c r="D23" s="132">
        <f>IF(SER_hh_fech_in!D23=0,0,SER_hh_fech_in!D23/SER_summary!D$27)</f>
        <v>35.502449858753941</v>
      </c>
      <c r="E23" s="132">
        <f>IF(SER_hh_fech_in!E23=0,0,SER_hh_fech_in!E23/SER_summary!E$27)</f>
        <v>33.139134770531385</v>
      </c>
      <c r="F23" s="132">
        <f>IF(SER_hh_fech_in!F23=0,0,SER_hh_fech_in!F23/SER_summary!F$27)</f>
        <v>31.491611101272106</v>
      </c>
      <c r="G23" s="132">
        <f>IF(SER_hh_fech_in!G23=0,0,SER_hh_fech_in!G23/SER_summary!G$27)</f>
        <v>30.796636916374901</v>
      </c>
      <c r="H23" s="132">
        <f>IF(SER_hh_fech_in!H23=0,0,SER_hh_fech_in!H23/SER_summary!H$27)</f>
        <v>30.152069066152265</v>
      </c>
      <c r="I23" s="132">
        <f>IF(SER_hh_fech_in!I23=0,0,SER_hh_fech_in!I23/SER_summary!I$27)</f>
        <v>29.088425597288943</v>
      </c>
      <c r="J23" s="132">
        <f>IF(SER_hh_fech_in!J23=0,0,SER_hh_fech_in!J23/SER_summary!J$27)</f>
        <v>28.323088551491502</v>
      </c>
      <c r="K23" s="132">
        <f>IF(SER_hh_fech_in!K23=0,0,SER_hh_fech_in!K23/SER_summary!K$27)</f>
        <v>27.552349855740719</v>
      </c>
      <c r="L23" s="132">
        <f>IF(SER_hh_fech_in!L23=0,0,SER_hh_fech_in!L23/SER_summary!L$27)</f>
        <v>25.696453213601945</v>
      </c>
      <c r="M23" s="132">
        <f>IF(SER_hh_fech_in!M23=0,0,SER_hh_fech_in!M23/SER_summary!M$27)</f>
        <v>26.956879210746706</v>
      </c>
      <c r="N23" s="132">
        <f>IF(SER_hh_fech_in!N23=0,0,SER_hh_fech_in!N23/SER_summary!N$27)</f>
        <v>23.112390485099333</v>
      </c>
      <c r="O23" s="132">
        <f>IF(SER_hh_fech_in!O23=0,0,SER_hh_fech_in!O23/SER_summary!O$27)</f>
        <v>24.609420564539406</v>
      </c>
      <c r="P23" s="132">
        <f>IF(SER_hh_fech_in!P23=0,0,SER_hh_fech_in!P23/SER_summary!P$27)</f>
        <v>26.350711988791073</v>
      </c>
      <c r="Q23" s="132">
        <f>IF(SER_hh_fech_in!Q23=0,0,SER_hh_fech_in!Q23/SER_summary!Q$27)</f>
        <v>23.594768067206196</v>
      </c>
      <c r="R23" s="132">
        <f>IF(SER_hh_fech_in!R23=0,0,SER_hh_fech_in!R23/SER_summary!R$27)</f>
        <v>22.255346032477068</v>
      </c>
      <c r="S23" s="132">
        <f>IF(SER_hh_fech_in!S23=0,0,SER_hh_fech_in!S23/SER_summary!S$27)</f>
        <v>21.905841651700225</v>
      </c>
      <c r="T23" s="132">
        <f>IF(SER_hh_fech_in!T23=0,0,SER_hh_fech_in!T23/SER_summary!T$27)</f>
        <v>21.977281134269667</v>
      </c>
      <c r="U23" s="132">
        <f>IF(SER_hh_fech_in!U23=0,0,SER_hh_fech_in!U23/SER_summary!U$27)</f>
        <v>22.279633680773074</v>
      </c>
      <c r="V23" s="132">
        <f>IF(SER_hh_fech_in!V23=0,0,SER_hh_fech_in!V23/SER_summary!V$27)</f>
        <v>22.000045322372991</v>
      </c>
      <c r="W23" s="132">
        <f>IF(SER_hh_fech_in!W23=0,0,SER_hh_fech_in!W23/SER_summary!W$27)</f>
        <v>0</v>
      </c>
      <c r="X23" s="132">
        <f>IF(SER_hh_fech_in!X23=0,0,SER_hh_fech_in!X23/SER_summary!X$27)</f>
        <v>0</v>
      </c>
      <c r="Y23" s="132">
        <f>IF(SER_hh_fech_in!Y23=0,0,SER_hh_fech_in!Y23/SER_summary!Y$27)</f>
        <v>0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0</v>
      </c>
      <c r="O24" s="132">
        <f>IF(SER_hh_fech_in!O24=0,0,SER_hh_fech_in!O24/SER_summary!O$27)</f>
        <v>0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0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25.221109359626521</v>
      </c>
      <c r="D25" s="132">
        <f>IF(SER_hh_fech_in!D25=0,0,SER_hh_fech_in!D25/SER_summary!D$27)</f>
        <v>24.272099943873105</v>
      </c>
      <c r="E25" s="132">
        <f>IF(SER_hh_fech_in!E25=0,0,SER_hh_fech_in!E25/SER_summary!E$27)</f>
        <v>23.500888795241401</v>
      </c>
      <c r="F25" s="132">
        <f>IF(SER_hh_fech_in!F25=0,0,SER_hh_fech_in!F25/SER_summary!F$27)</f>
        <v>22.947249241173953</v>
      </c>
      <c r="G25" s="132">
        <f>IF(SER_hh_fech_in!G25=0,0,SER_hh_fech_in!G25/SER_summary!G$27)</f>
        <v>23.028667765209356</v>
      </c>
      <c r="H25" s="132">
        <f>IF(SER_hh_fech_in!H25=0,0,SER_hh_fech_in!H25/SER_summary!H$27)</f>
        <v>22.430199943166393</v>
      </c>
      <c r="I25" s="132">
        <f>IF(SER_hh_fech_in!I25=0,0,SER_hh_fech_in!I25/SER_summary!I$27)</f>
        <v>22.029895053393293</v>
      </c>
      <c r="J25" s="132">
        <f>IF(SER_hh_fech_in!J25=0,0,SER_hh_fech_in!J25/SER_summary!J$27)</f>
        <v>21.552170237868214</v>
      </c>
      <c r="K25" s="132">
        <f>IF(SER_hh_fech_in!K25=0,0,SER_hh_fech_in!K25/SER_summary!K$27)</f>
        <v>21.849301505406629</v>
      </c>
      <c r="L25" s="132">
        <f>IF(SER_hh_fech_in!L25=0,0,SER_hh_fech_in!L25/SER_summary!L$27)</f>
        <v>21.627455638639709</v>
      </c>
      <c r="M25" s="132">
        <f>IF(SER_hh_fech_in!M25=0,0,SER_hh_fech_in!M25/SER_summary!M$27)</f>
        <v>21.733329568494725</v>
      </c>
      <c r="N25" s="132">
        <f>IF(SER_hh_fech_in!N25=0,0,SER_hh_fech_in!N25/SER_summary!N$27)</f>
        <v>21.55800450688907</v>
      </c>
      <c r="O25" s="132">
        <f>IF(SER_hh_fech_in!O25=0,0,SER_hh_fech_in!O25/SER_summary!O$27)</f>
        <v>21.460189442883962</v>
      </c>
      <c r="P25" s="132">
        <f>IF(SER_hh_fech_in!P25=0,0,SER_hh_fech_in!P25/SER_summary!P$27)</f>
        <v>21.022808566975716</v>
      </c>
      <c r="Q25" s="132">
        <f>IF(SER_hh_fech_in!Q25=0,0,SER_hh_fech_in!Q25/SER_summary!Q$27)</f>
        <v>20.778446244257697</v>
      </c>
      <c r="R25" s="132">
        <f>IF(SER_hh_fech_in!R25=0,0,SER_hh_fech_in!R25/SER_summary!R$27)</f>
        <v>20.557013385109624</v>
      </c>
      <c r="S25" s="132">
        <f>IF(SER_hh_fech_in!S25=0,0,SER_hh_fech_in!S25/SER_summary!S$27)</f>
        <v>20.427246101528631</v>
      </c>
      <c r="T25" s="132">
        <f>IF(SER_hh_fech_in!T25=0,0,SER_hh_fech_in!T25/SER_summary!T$27)</f>
        <v>20.452275845378704</v>
      </c>
      <c r="U25" s="132">
        <f>IF(SER_hh_fech_in!U25=0,0,SER_hh_fech_in!U25/SER_summary!U$27)</f>
        <v>20.406895175492767</v>
      </c>
      <c r="V25" s="132">
        <f>IF(SER_hh_fech_in!V25=0,0,SER_hh_fech_in!V25/SER_summary!V$27)</f>
        <v>17.668303497002402</v>
      </c>
      <c r="W25" s="132">
        <f>IF(SER_hh_fech_in!W25=0,0,SER_hh_fech_in!W25/SER_summary!W$27)</f>
        <v>20.001840019987885</v>
      </c>
      <c r="X25" s="132">
        <f>IF(SER_hh_fech_in!X25=0,0,SER_hh_fech_in!X25/SER_summary!X$27)</f>
        <v>21.818809671980901</v>
      </c>
      <c r="Y25" s="132">
        <f>IF(SER_hh_fech_in!Y25=0,0,SER_hh_fech_in!Y25/SER_summary!Y$27)</f>
        <v>22.698961506036714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29.050999362037501</v>
      </c>
      <c r="D26" s="65">
        <f>IF(SER_hh_fech_in!D26=0,0,SER_hh_fech_in!D26/SER_summary!D$27)</f>
        <v>28.209325402191102</v>
      </c>
      <c r="E26" s="65">
        <f>IF(SER_hh_fech_in!E26=0,0,SER_hh_fech_in!E26/SER_summary!E$27)</f>
        <v>29.398159995025594</v>
      </c>
      <c r="F26" s="65">
        <f>IF(SER_hh_fech_in!F26=0,0,SER_hh_fech_in!F26/SER_summary!F$27)</f>
        <v>28.293554156399502</v>
      </c>
      <c r="G26" s="65">
        <f>IF(SER_hh_fech_in!G26=0,0,SER_hh_fech_in!G26/SER_summary!G$27)</f>
        <v>28.012271988870079</v>
      </c>
      <c r="H26" s="65">
        <f>IF(SER_hh_fech_in!H26=0,0,SER_hh_fech_in!H26/SER_summary!H$27)</f>
        <v>27.026888856514269</v>
      </c>
      <c r="I26" s="65">
        <f>IF(SER_hh_fech_in!I26=0,0,SER_hh_fech_in!I26/SER_summary!I$27)</f>
        <v>25.1803370588847</v>
      </c>
      <c r="J26" s="65">
        <f>IF(SER_hh_fech_in!J26=0,0,SER_hh_fech_in!J26/SER_summary!J$27)</f>
        <v>26.035339765381014</v>
      </c>
      <c r="K26" s="65">
        <f>IF(SER_hh_fech_in!K26=0,0,SER_hh_fech_in!K26/SER_summary!K$27)</f>
        <v>25.526288911156279</v>
      </c>
      <c r="L26" s="65">
        <f>IF(SER_hh_fech_in!L26=0,0,SER_hh_fech_in!L26/SER_summary!L$27)</f>
        <v>25.418644160732473</v>
      </c>
      <c r="M26" s="65">
        <f>IF(SER_hh_fech_in!M26=0,0,SER_hh_fech_in!M26/SER_summary!M$27)</f>
        <v>25.607401788761113</v>
      </c>
      <c r="N26" s="65">
        <f>IF(SER_hh_fech_in!N26=0,0,SER_hh_fech_in!N26/SER_summary!N$27)</f>
        <v>25.467035039838361</v>
      </c>
      <c r="O26" s="65">
        <f>IF(SER_hh_fech_in!O26=0,0,SER_hh_fech_in!O26/SER_summary!O$27)</f>
        <v>24.032779132654319</v>
      </c>
      <c r="P26" s="65">
        <f>IF(SER_hh_fech_in!P26=0,0,SER_hh_fech_in!P26/SER_summary!P$27)</f>
        <v>22.171306240018865</v>
      </c>
      <c r="Q26" s="65">
        <f>IF(SER_hh_fech_in!Q26=0,0,SER_hh_fech_in!Q26/SER_summary!Q$27)</f>
        <v>22.352444768857939</v>
      </c>
      <c r="R26" s="65">
        <f>IF(SER_hh_fech_in!R26=0,0,SER_hh_fech_in!R26/SER_summary!R$27)</f>
        <v>21.375575937147776</v>
      </c>
      <c r="S26" s="65">
        <f>IF(SER_hh_fech_in!S26=0,0,SER_hh_fech_in!S26/SER_summary!S$27)</f>
        <v>20.719085868176766</v>
      </c>
      <c r="T26" s="65">
        <f>IF(SER_hh_fech_in!T26=0,0,SER_hh_fech_in!T26/SER_summary!T$27)</f>
        <v>19.829464872085719</v>
      </c>
      <c r="U26" s="65">
        <f>IF(SER_hh_fech_in!U26=0,0,SER_hh_fech_in!U26/SER_summary!U$27)</f>
        <v>20.106123174973046</v>
      </c>
      <c r="V26" s="65">
        <f>IF(SER_hh_fech_in!V26=0,0,SER_hh_fech_in!V26/SER_summary!V$27)</f>
        <v>19.140883620779043</v>
      </c>
      <c r="W26" s="65">
        <f>IF(SER_hh_fech_in!W26=0,0,SER_hh_fech_in!W26/SER_summary!W$27)</f>
        <v>19.759277679255742</v>
      </c>
      <c r="X26" s="65">
        <f>IF(SER_hh_fech_in!X26=0,0,SER_hh_fech_in!X26/SER_summary!X$27)</f>
        <v>19.322475785700043</v>
      </c>
      <c r="Y26" s="65">
        <f>IF(SER_hh_fech_in!Y26=0,0,SER_hh_fech_in!Y26/SER_summary!Y$27)</f>
        <v>21.855463117125403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</v>
      </c>
      <c r="D27" s="145">
        <f>IF(SER_hh_fech_in!D27=0,0,SER_hh_fech_in!D27/SER_summary!D$27)</f>
        <v>0</v>
      </c>
      <c r="E27" s="145">
        <f>IF(SER_hh_fech_in!E27=0,0,SER_hh_fech_in!E27/SER_summary!E$27)</f>
        <v>0</v>
      </c>
      <c r="F27" s="145">
        <f>IF(SER_hh_fech_in!F27=0,0,SER_hh_fech_in!F27/SER_summary!F$27)</f>
        <v>0</v>
      </c>
      <c r="G27" s="145">
        <f>IF(SER_hh_fech_in!G27=0,0,SER_hh_fech_in!G27/SER_summary!G$27)</f>
        <v>0</v>
      </c>
      <c r="H27" s="145">
        <f>IF(SER_hh_fech_in!H27=0,0,SER_hh_fech_in!H27/SER_summary!H$27)</f>
        <v>0</v>
      </c>
      <c r="I27" s="145">
        <f>IF(SER_hh_fech_in!I27=0,0,SER_hh_fech_in!I27/SER_summary!I$27)</f>
        <v>0</v>
      </c>
      <c r="J27" s="145">
        <f>IF(SER_hh_fech_in!J27=0,0,SER_hh_fech_in!J27/SER_summary!J$27)</f>
        <v>0</v>
      </c>
      <c r="K27" s="145">
        <f>IF(SER_hh_fech_in!K27=0,0,SER_hh_fech_in!K27/SER_summary!K$27)</f>
        <v>0</v>
      </c>
      <c r="L27" s="145">
        <f>IF(SER_hh_fech_in!L27=0,0,SER_hh_fech_in!L27/SER_summary!L$27)</f>
        <v>0</v>
      </c>
      <c r="M27" s="145">
        <f>IF(SER_hh_fech_in!M27=0,0,SER_hh_fech_in!M27/SER_summary!M$27)</f>
        <v>0</v>
      </c>
      <c r="N27" s="145">
        <f>IF(SER_hh_fech_in!N27=0,0,SER_hh_fech_in!N27/SER_summary!N$27)</f>
        <v>0</v>
      </c>
      <c r="O27" s="145">
        <f>IF(SER_hh_fech_in!O27=0,0,SER_hh_fech_in!O27/SER_summary!O$27)</f>
        <v>0</v>
      </c>
      <c r="P27" s="145">
        <f>IF(SER_hh_fech_in!P27=0,0,SER_hh_fech_in!P27/SER_summary!P$27)</f>
        <v>0</v>
      </c>
      <c r="Q27" s="145">
        <f>IF(SER_hh_fech_in!Q27=0,0,SER_hh_fech_in!Q27/SER_summary!Q$27)</f>
        <v>0</v>
      </c>
      <c r="R27" s="145">
        <f>IF(SER_hh_fech_in!R27=0,0,SER_hh_fech_in!R27/SER_summary!R$27)</f>
        <v>0</v>
      </c>
      <c r="S27" s="145">
        <f>IF(SER_hh_fech_in!S27=0,0,SER_hh_fech_in!S27/SER_summary!S$27)</f>
        <v>0</v>
      </c>
      <c r="T27" s="145">
        <f>IF(SER_hh_fech_in!T27=0,0,SER_hh_fech_in!T27/SER_summary!T$27)</f>
        <v>0</v>
      </c>
      <c r="U27" s="145">
        <f>IF(SER_hh_fech_in!U27=0,0,SER_hh_fech_in!U27/SER_summary!U$27)</f>
        <v>0</v>
      </c>
      <c r="V27" s="145">
        <f>IF(SER_hh_fech_in!V27=0,0,SER_hh_fech_in!V27/SER_summary!V$27)</f>
        <v>0</v>
      </c>
      <c r="W27" s="145">
        <f>IF(SER_hh_fech_in!W27=0,0,SER_hh_fech_in!W27/SER_summary!W$27)</f>
        <v>0</v>
      </c>
      <c r="X27" s="145">
        <f>IF(SER_hh_fech_in!X27=0,0,SER_hh_fech_in!X27/SER_summary!X$27)</f>
        <v>0</v>
      </c>
      <c r="Y27" s="145">
        <f>IF(SER_hh_fech_in!Y27=0,0,SER_hh_fech_in!Y27/SER_summary!Y$27)</f>
        <v>0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0</v>
      </c>
      <c r="D28" s="146">
        <f>IF(SER_hh_fech_in!D28=0,0,SER_hh_fech_in!D28/SER_summary!D$27)</f>
        <v>0</v>
      </c>
      <c r="E28" s="146">
        <f>IF(SER_hh_fech_in!E28=0,0,SER_hh_fech_in!E28/SER_summary!E$27)</f>
        <v>0</v>
      </c>
      <c r="F28" s="146">
        <f>IF(SER_hh_fech_in!F28=0,0,SER_hh_fech_in!F28/SER_summary!F$27)</f>
        <v>0</v>
      </c>
      <c r="G28" s="146">
        <f>IF(SER_hh_fech_in!G28=0,0,SER_hh_fech_in!G28/SER_summary!G$27)</f>
        <v>0</v>
      </c>
      <c r="H28" s="146">
        <f>IF(SER_hh_fech_in!H28=0,0,SER_hh_fech_in!H28/SER_summary!H$27)</f>
        <v>0</v>
      </c>
      <c r="I28" s="146">
        <f>IF(SER_hh_fech_in!I28=0,0,SER_hh_fech_in!I28/SER_summary!I$27)</f>
        <v>0</v>
      </c>
      <c r="J28" s="146">
        <f>IF(SER_hh_fech_in!J28=0,0,SER_hh_fech_in!J28/SER_summary!J$27)</f>
        <v>0</v>
      </c>
      <c r="K28" s="146">
        <f>IF(SER_hh_fech_in!K28=0,0,SER_hh_fech_in!K28/SER_summary!K$27)</f>
        <v>0</v>
      </c>
      <c r="L28" s="146">
        <f>IF(SER_hh_fech_in!L28=0,0,SER_hh_fech_in!L28/SER_summary!L$27)</f>
        <v>0</v>
      </c>
      <c r="M28" s="146">
        <f>IF(SER_hh_fech_in!M28=0,0,SER_hh_fech_in!M28/SER_summary!M$27)</f>
        <v>0</v>
      </c>
      <c r="N28" s="146">
        <f>IF(SER_hh_fech_in!N28=0,0,SER_hh_fech_in!N28/SER_summary!N$27)</f>
        <v>0</v>
      </c>
      <c r="O28" s="146">
        <f>IF(SER_hh_fech_in!O28=0,0,SER_hh_fech_in!O28/SER_summary!O$27)</f>
        <v>0</v>
      </c>
      <c r="P28" s="146">
        <f>IF(SER_hh_fech_in!P28=0,0,SER_hh_fech_in!P28/SER_summary!P$27)</f>
        <v>0</v>
      </c>
      <c r="Q28" s="146">
        <f>IF(SER_hh_fech_in!Q28=0,0,SER_hh_fech_in!Q28/SER_summary!Q$27)</f>
        <v>0</v>
      </c>
      <c r="R28" s="146">
        <f>IF(SER_hh_fech_in!R28=0,0,SER_hh_fech_in!R28/SER_summary!R$27)</f>
        <v>0</v>
      </c>
      <c r="S28" s="146">
        <f>IF(SER_hh_fech_in!S28=0,0,SER_hh_fech_in!S28/SER_summary!S$27)</f>
        <v>0</v>
      </c>
      <c r="T28" s="146">
        <f>IF(SER_hh_fech_in!T28=0,0,SER_hh_fech_in!T28/SER_summary!T$27)</f>
        <v>0</v>
      </c>
      <c r="U28" s="146">
        <f>IF(SER_hh_fech_in!U28=0,0,SER_hh_fech_in!U28/SER_summary!U$27)</f>
        <v>0</v>
      </c>
      <c r="V28" s="146">
        <f>IF(SER_hh_fech_in!V28=0,0,SER_hh_fech_in!V28/SER_summary!V$27)</f>
        <v>0</v>
      </c>
      <c r="W28" s="146">
        <f>IF(SER_hh_fech_in!W28=0,0,SER_hh_fech_in!W28/SER_summary!W$27)</f>
        <v>0</v>
      </c>
      <c r="X28" s="146">
        <f>IF(SER_hh_fech_in!X28=0,0,SER_hh_fech_in!X28/SER_summary!X$27)</f>
        <v>0</v>
      </c>
      <c r="Y28" s="146">
        <f>IF(SER_hh_fech_in!Y28=0,0,SER_hh_fech_in!Y28/SER_summary!Y$27)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30.828286024912106</v>
      </c>
      <c r="D29" s="130">
        <f>IF(SER_hh_fech_in!D29=0,0,SER_hh_fech_in!D29/SER_summary!D$27)</f>
        <v>30.068846266130155</v>
      </c>
      <c r="E29" s="130">
        <f>IF(SER_hh_fech_in!E29=0,0,SER_hh_fech_in!E29/SER_summary!E$27)</f>
        <v>28.66301849764529</v>
      </c>
      <c r="F29" s="130">
        <f>IF(SER_hh_fech_in!F29=0,0,SER_hh_fech_in!F29/SER_summary!F$27)</f>
        <v>30.989115404681435</v>
      </c>
      <c r="G29" s="130">
        <f>IF(SER_hh_fech_in!G29=0,0,SER_hh_fech_in!G29/SER_summary!G$27)</f>
        <v>28.321616274900844</v>
      </c>
      <c r="H29" s="130">
        <f>IF(SER_hh_fech_in!H29=0,0,SER_hh_fech_in!H29/SER_summary!H$27)</f>
        <v>27.442865323695166</v>
      </c>
      <c r="I29" s="130">
        <f>IF(SER_hh_fech_in!I29=0,0,SER_hh_fech_in!I29/SER_summary!I$27)</f>
        <v>27.096496748199819</v>
      </c>
      <c r="J29" s="130">
        <f>IF(SER_hh_fech_in!J29=0,0,SER_hh_fech_in!J29/SER_summary!J$27)</f>
        <v>28.269692394924952</v>
      </c>
      <c r="K29" s="130">
        <f>IF(SER_hh_fech_in!K29=0,0,SER_hh_fech_in!K29/SER_summary!K$27)</f>
        <v>29.660346898997336</v>
      </c>
      <c r="L29" s="130">
        <f>IF(SER_hh_fech_in!L29=0,0,SER_hh_fech_in!L29/SER_summary!L$27)</f>
        <v>30.52268819099201</v>
      </c>
      <c r="M29" s="130">
        <f>IF(SER_hh_fech_in!M29=0,0,SER_hh_fech_in!M29/SER_summary!M$27)</f>
        <v>31.046915526429071</v>
      </c>
      <c r="N29" s="130">
        <f>IF(SER_hh_fech_in!N29=0,0,SER_hh_fech_in!N29/SER_summary!N$27)</f>
        <v>31.025791154948386</v>
      </c>
      <c r="O29" s="130">
        <f>IF(SER_hh_fech_in!O29=0,0,SER_hh_fech_in!O29/SER_summary!O$27)</f>
        <v>31.395593188671029</v>
      </c>
      <c r="P29" s="130">
        <f>IF(SER_hh_fech_in!P29=0,0,SER_hh_fech_in!P29/SER_summary!P$27)</f>
        <v>30.563381490812194</v>
      </c>
      <c r="Q29" s="130">
        <f>IF(SER_hh_fech_in!Q29=0,0,SER_hh_fech_in!Q29/SER_summary!Q$27)</f>
        <v>29.470615198403173</v>
      </c>
      <c r="R29" s="130">
        <f>IF(SER_hh_fech_in!R29=0,0,SER_hh_fech_in!R29/SER_summary!R$27)</f>
        <v>31.368564242512839</v>
      </c>
      <c r="S29" s="130">
        <f>IF(SER_hh_fech_in!S29=0,0,SER_hh_fech_in!S29/SER_summary!S$27)</f>
        <v>28.670819644392729</v>
      </c>
      <c r="T29" s="130">
        <f>IF(SER_hh_fech_in!T29=0,0,SER_hh_fech_in!T29/SER_summary!T$27)</f>
        <v>28.626760407054849</v>
      </c>
      <c r="U29" s="130">
        <f>IF(SER_hh_fech_in!U29=0,0,SER_hh_fech_in!U29/SER_summary!U$27)</f>
        <v>27.020150704722731</v>
      </c>
      <c r="V29" s="130">
        <f>IF(SER_hh_fech_in!V29=0,0,SER_hh_fech_in!V29/SER_summary!V$27)</f>
        <v>24.186025294783171</v>
      </c>
      <c r="W29" s="130">
        <f>IF(SER_hh_fech_in!W29=0,0,SER_hh_fech_in!W29/SER_summary!W$27)</f>
        <v>27.265473799336096</v>
      </c>
      <c r="X29" s="130">
        <f>IF(SER_hh_fech_in!X29=0,0,SER_hh_fech_in!X29/SER_summary!X$27)</f>
        <v>29.245769418184398</v>
      </c>
      <c r="Y29" s="130">
        <f>IF(SER_hh_fech_in!Y29=0,0,SER_hh_fech_in!Y29/SER_summary!Y$27)</f>
        <v>34.884123078177183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0</v>
      </c>
      <c r="D30" s="132">
        <f>IF(SER_hh_fech_in!D30=0,0,SER_hh_fech_in!D30/SER_summary!D$27)</f>
        <v>0</v>
      </c>
      <c r="E30" s="132">
        <f>IF(SER_hh_fech_in!E30=0,0,SER_hh_fech_in!E30/SER_summary!E$27)</f>
        <v>0</v>
      </c>
      <c r="F30" s="132">
        <f>IF(SER_hh_fech_in!F30=0,0,SER_hh_fech_in!F30/SER_summary!F$27)</f>
        <v>48.682979384807339</v>
      </c>
      <c r="G30" s="132">
        <f>IF(SER_hh_fech_in!G30=0,0,SER_hh_fech_in!G30/SER_summary!G$27)</f>
        <v>38.016714662243558</v>
      </c>
      <c r="H30" s="132">
        <f>IF(SER_hh_fech_in!H30=0,0,SER_hh_fech_in!H30/SER_summary!H$27)</f>
        <v>34.130763262441249</v>
      </c>
      <c r="I30" s="132">
        <f>IF(SER_hh_fech_in!I30=0,0,SER_hh_fech_in!I30/SER_summary!I$27)</f>
        <v>0</v>
      </c>
      <c r="J30" s="132">
        <f>IF(SER_hh_fech_in!J30=0,0,SER_hh_fech_in!J30/SER_summary!J$27)</f>
        <v>0</v>
      </c>
      <c r="K30" s="132">
        <f>IF(SER_hh_fech_in!K30=0,0,SER_hh_fech_in!K30/SER_summary!K$27)</f>
        <v>0</v>
      </c>
      <c r="L30" s="132">
        <f>IF(SER_hh_fech_in!L30=0,0,SER_hh_fech_in!L30/SER_summary!L$27)</f>
        <v>36.825732944036901</v>
      </c>
      <c r="M30" s="132">
        <f>IF(SER_hh_fech_in!M30=0,0,SER_hh_fech_in!M30/SER_summary!M$27)</f>
        <v>37.237219060841198</v>
      </c>
      <c r="N30" s="132">
        <f>IF(SER_hh_fech_in!N30=0,0,SER_hh_fech_in!N30/SER_summary!N$27)</f>
        <v>37.558018154876578</v>
      </c>
      <c r="O30" s="132">
        <f>IF(SER_hh_fech_in!O30=0,0,SER_hh_fech_in!O30/SER_summary!O$27)</f>
        <v>37.650223961591735</v>
      </c>
      <c r="P30" s="132">
        <f>IF(SER_hh_fech_in!P30=0,0,SER_hh_fech_in!P30/SER_summary!P$27)</f>
        <v>33.993405985246255</v>
      </c>
      <c r="Q30" s="132">
        <f>IF(SER_hh_fech_in!Q30=0,0,SER_hh_fech_in!Q30/SER_summary!Q$27)</f>
        <v>26.564010633883857</v>
      </c>
      <c r="R30" s="132">
        <f>IF(SER_hh_fech_in!R30=0,0,SER_hh_fech_in!R30/SER_summary!R$27)</f>
        <v>41.082166638179423</v>
      </c>
      <c r="S30" s="132">
        <f>IF(SER_hh_fech_in!S30=0,0,SER_hh_fech_in!S30/SER_summary!S$27)</f>
        <v>60.281713176635293</v>
      </c>
      <c r="T30" s="132">
        <f>IF(SER_hh_fech_in!T30=0,0,SER_hh_fech_in!T30/SER_summary!T$27)</f>
        <v>18.767610150180918</v>
      </c>
      <c r="U30" s="132">
        <f>IF(SER_hh_fech_in!U30=0,0,SER_hh_fech_in!U30/SER_summary!U$27)</f>
        <v>0</v>
      </c>
      <c r="V30" s="132">
        <f>IF(SER_hh_fech_in!V30=0,0,SER_hh_fech_in!V30/SER_summary!V$27)</f>
        <v>0</v>
      </c>
      <c r="W30" s="132">
        <f>IF(SER_hh_fech_in!W30=0,0,SER_hh_fech_in!W30/SER_summary!W$27)</f>
        <v>27.504018562200198</v>
      </c>
      <c r="X30" s="132">
        <f>IF(SER_hh_fech_in!X30=0,0,SER_hh_fech_in!X30/SER_summary!X$27)</f>
        <v>37.414611145957203</v>
      </c>
      <c r="Y30" s="132">
        <f>IF(SER_hh_fech_in!Y30=0,0,SER_hh_fech_in!Y30/SER_summary!Y$27)</f>
        <v>53.547574739128443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38.506332075769862</v>
      </c>
      <c r="D31" s="132">
        <f>IF(SER_hh_fech_in!D31=0,0,SER_hh_fech_in!D31/SER_summary!D$27)</f>
        <v>41.463944798190113</v>
      </c>
      <c r="E31" s="132">
        <f>IF(SER_hh_fech_in!E31=0,0,SER_hh_fech_in!E31/SER_summary!E$27)</f>
        <v>37.41174502530825</v>
      </c>
      <c r="F31" s="132">
        <f>IF(SER_hh_fech_in!F31=0,0,SER_hh_fech_in!F31/SER_summary!F$27)</f>
        <v>36.073081309436844</v>
      </c>
      <c r="G31" s="132">
        <f>IF(SER_hh_fech_in!G31=0,0,SER_hh_fech_in!G31/SER_summary!G$27)</f>
        <v>36.196120159265462</v>
      </c>
      <c r="H31" s="132">
        <f>IF(SER_hh_fech_in!H31=0,0,SER_hh_fech_in!H31/SER_summary!H$27)</f>
        <v>35.899930358970785</v>
      </c>
      <c r="I31" s="132">
        <f>IF(SER_hh_fech_in!I31=0,0,SER_hh_fech_in!I31/SER_summary!I$27)</f>
        <v>36.560185927093585</v>
      </c>
      <c r="J31" s="132">
        <f>IF(SER_hh_fech_in!J31=0,0,SER_hh_fech_in!J31/SER_summary!J$27)</f>
        <v>37.395396160332929</v>
      </c>
      <c r="K31" s="132">
        <f>IF(SER_hh_fech_in!K31=0,0,SER_hh_fech_in!K31/SER_summary!K$27)</f>
        <v>36.209249506982722</v>
      </c>
      <c r="L31" s="132">
        <f>IF(SER_hh_fech_in!L31=0,0,SER_hh_fech_in!L31/SER_summary!L$27)</f>
        <v>38.542769581809587</v>
      </c>
      <c r="M31" s="132">
        <f>IF(SER_hh_fech_in!M31=0,0,SER_hh_fech_in!M31/SER_summary!M$27)</f>
        <v>38.926110518232072</v>
      </c>
      <c r="N31" s="132">
        <f>IF(SER_hh_fech_in!N31=0,0,SER_hh_fech_in!N31/SER_summary!N$27)</f>
        <v>39.945404266196533</v>
      </c>
      <c r="O31" s="132">
        <f>IF(SER_hh_fech_in!O31=0,0,SER_hh_fech_in!O31/SER_summary!O$27)</f>
        <v>39.606226180067289</v>
      </c>
      <c r="P31" s="132">
        <f>IF(SER_hh_fech_in!P31=0,0,SER_hh_fech_in!P31/SER_summary!P$27)</f>
        <v>37.554272640567035</v>
      </c>
      <c r="Q31" s="132">
        <f>IF(SER_hh_fech_in!Q31=0,0,SER_hh_fech_in!Q31/SER_summary!Q$27)</f>
        <v>35.14875618268637</v>
      </c>
      <c r="R31" s="132">
        <f>IF(SER_hh_fech_in!R31=0,0,SER_hh_fech_in!R31/SER_summary!R$27)</f>
        <v>41.875137689418082</v>
      </c>
      <c r="S31" s="132">
        <f>IF(SER_hh_fech_in!S31=0,0,SER_hh_fech_in!S31/SER_summary!S$27)</f>
        <v>36.692656394182983</v>
      </c>
      <c r="T31" s="132">
        <f>IF(SER_hh_fech_in!T31=0,0,SER_hh_fech_in!T31/SER_summary!T$27)</f>
        <v>36.205826385137968</v>
      </c>
      <c r="U31" s="132">
        <f>IF(SER_hh_fech_in!U31=0,0,SER_hh_fech_in!U31/SER_summary!U$27)</f>
        <v>41.342909472447303</v>
      </c>
      <c r="V31" s="132">
        <f>IF(SER_hh_fech_in!V31=0,0,SER_hh_fech_in!V31/SER_summary!V$27)</f>
        <v>40.249771976693992</v>
      </c>
      <c r="W31" s="132">
        <f>IF(SER_hh_fech_in!W31=0,0,SER_hh_fech_in!W31/SER_summary!W$27)</f>
        <v>41.014520134743485</v>
      </c>
      <c r="X31" s="132">
        <f>IF(SER_hh_fech_in!X31=0,0,SER_hh_fech_in!X31/SER_summary!X$27)</f>
        <v>0</v>
      </c>
      <c r="Y31" s="132">
        <f>IF(SER_hh_fech_in!Y31=0,0,SER_hh_fech_in!Y31/SER_summary!Y$27)</f>
        <v>0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27.314714970382113</v>
      </c>
      <c r="D33" s="68">
        <f>IF(SER_hh_fech_in!D33=0,0,SER_hh_fech_in!D33/SER_summary!D$27)</f>
        <v>26.435796768020587</v>
      </c>
      <c r="E33" s="68">
        <f>IF(SER_hh_fech_in!E33=0,0,SER_hh_fech_in!E33/SER_summary!E$27)</f>
        <v>27.300320672234978</v>
      </c>
      <c r="F33" s="68">
        <f>IF(SER_hh_fech_in!F33=0,0,SER_hh_fech_in!F33/SER_summary!F$27)</f>
        <v>26.786144937803012</v>
      </c>
      <c r="G33" s="68">
        <f>IF(SER_hh_fech_in!G33=0,0,SER_hh_fech_in!G33/SER_summary!G$27)</f>
        <v>27.727924493753346</v>
      </c>
      <c r="H33" s="68">
        <f>IF(SER_hh_fech_in!H33=0,0,SER_hh_fech_in!H33/SER_summary!H$27)</f>
        <v>27.058551422515773</v>
      </c>
      <c r="I33" s="68">
        <f>IF(SER_hh_fech_in!I33=0,0,SER_hh_fech_in!I33/SER_summary!I$27)</f>
        <v>26.809288474382896</v>
      </c>
      <c r="J33" s="68">
        <f>IF(SER_hh_fech_in!J33=0,0,SER_hh_fech_in!J33/SER_summary!J$27)</f>
        <v>27.847855023061083</v>
      </c>
      <c r="K33" s="68">
        <f>IF(SER_hh_fech_in!K33=0,0,SER_hh_fech_in!K33/SER_summary!K$27)</f>
        <v>29.329961992606897</v>
      </c>
      <c r="L33" s="68">
        <f>IF(SER_hh_fech_in!L33=0,0,SER_hh_fech_in!L33/SER_summary!L$27)</f>
        <v>29.581338146340805</v>
      </c>
      <c r="M33" s="68">
        <f>IF(SER_hh_fech_in!M33=0,0,SER_hh_fech_in!M33/SER_summary!M$27)</f>
        <v>29.718154368093334</v>
      </c>
      <c r="N33" s="68">
        <f>IF(SER_hh_fech_in!N33=0,0,SER_hh_fech_in!N33/SER_summary!N$27)</f>
        <v>29.049582398947052</v>
      </c>
      <c r="O33" s="68">
        <f>IF(SER_hh_fech_in!O33=0,0,SER_hh_fech_in!O33/SER_summary!O$27)</f>
        <v>29.6095049234412</v>
      </c>
      <c r="P33" s="68">
        <f>IF(SER_hh_fech_in!P33=0,0,SER_hh_fech_in!P33/SER_summary!P$27)</f>
        <v>29.165458128711833</v>
      </c>
      <c r="Q33" s="68">
        <f>IF(SER_hh_fech_in!Q33=0,0,SER_hh_fech_in!Q33/SER_summary!Q$27)</f>
        <v>28.933696713934406</v>
      </c>
      <c r="R33" s="68">
        <f>IF(SER_hh_fech_in!R33=0,0,SER_hh_fech_in!R33/SER_summary!R$27)</f>
        <v>27.074433890528926</v>
      </c>
      <c r="S33" s="68">
        <f>IF(SER_hh_fech_in!S33=0,0,SER_hh_fech_in!S33/SER_summary!S$27)</f>
        <v>26.713265658498496</v>
      </c>
      <c r="T33" s="68">
        <f>IF(SER_hh_fech_in!T33=0,0,SER_hh_fech_in!T33/SER_summary!T$27)</f>
        <v>27.368099040026529</v>
      </c>
      <c r="U33" s="68">
        <f>IF(SER_hh_fech_in!U33=0,0,SER_hh_fech_in!U33/SER_summary!U$27)</f>
        <v>25.467199976372815</v>
      </c>
      <c r="V33" s="68">
        <f>IF(SER_hh_fech_in!V33=0,0,SER_hh_fech_in!V33/SER_summary!V$27)</f>
        <v>22.850810089079719</v>
      </c>
      <c r="W33" s="68">
        <f>IF(SER_hh_fech_in!W33=0,0,SER_hh_fech_in!W33/SER_summary!W$27)</f>
        <v>26.645713141514612</v>
      </c>
      <c r="X33" s="68">
        <f>IF(SER_hh_fech_in!X33=0,0,SER_hh_fech_in!X33/SER_summary!X$27)</f>
        <v>29.102677828623811</v>
      </c>
      <c r="Y33" s="68">
        <f>IF(SER_hh_fech_in!Y33=0,0,SER_hh_fech_in!Y33/SER_summary!Y$27)</f>
        <v>31.851017528385952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148.51904599942711</v>
      </c>
      <c r="D3" s="125">
        <f>IF(SER_hh_tesh_in!D3=0,0,SER_hh_tesh_in!D3/SER_summary!D$27)</f>
        <v>136.54423033707775</v>
      </c>
      <c r="E3" s="125">
        <f>IF(SER_hh_tesh_in!E3=0,0,SER_hh_tesh_in!E3/SER_summary!E$27)</f>
        <v>170.19703978810898</v>
      </c>
      <c r="F3" s="125">
        <f>IF(SER_hh_tesh_in!F3=0,0,SER_hh_tesh_in!F3/SER_summary!F$27)</f>
        <v>174.41172046316723</v>
      </c>
      <c r="G3" s="125">
        <f>IF(SER_hh_tesh_in!G3=0,0,SER_hh_tesh_in!G3/SER_summary!G$27)</f>
        <v>169.64395969838878</v>
      </c>
      <c r="H3" s="125">
        <f>IF(SER_hh_tesh_in!H3=0,0,SER_hh_tesh_in!H3/SER_summary!H$27)</f>
        <v>159.61395376900742</v>
      </c>
      <c r="I3" s="125">
        <f>IF(SER_hh_tesh_in!I3=0,0,SER_hh_tesh_in!I3/SER_summary!I$27)</f>
        <v>158.42519935554421</v>
      </c>
      <c r="J3" s="125">
        <f>IF(SER_hh_tesh_in!J3=0,0,SER_hh_tesh_in!J3/SER_summary!J$27)</f>
        <v>192.47756636483513</v>
      </c>
      <c r="K3" s="125">
        <f>IF(SER_hh_tesh_in!K3=0,0,SER_hh_tesh_in!K3/SER_summary!K$27)</f>
        <v>185.64142586965355</v>
      </c>
      <c r="L3" s="125">
        <f>IF(SER_hh_tesh_in!L3=0,0,SER_hh_tesh_in!L3/SER_summary!L$27)</f>
        <v>183.80288026611484</v>
      </c>
      <c r="M3" s="125">
        <f>IF(SER_hh_tesh_in!M3=0,0,SER_hh_tesh_in!M3/SER_summary!M$27)</f>
        <v>154.90243232381383</v>
      </c>
      <c r="N3" s="125">
        <f>IF(SER_hh_tesh_in!N3=0,0,SER_hh_tesh_in!N3/SER_summary!N$27)</f>
        <v>157.37415739947349</v>
      </c>
      <c r="O3" s="125">
        <f>IF(SER_hh_tesh_in!O3=0,0,SER_hh_tesh_in!O3/SER_summary!O$27)</f>
        <v>159.68883675908307</v>
      </c>
      <c r="P3" s="125">
        <f>IF(SER_hh_tesh_in!P3=0,0,SER_hh_tesh_in!P3/SER_summary!P$27)</f>
        <v>171.95334696386044</v>
      </c>
      <c r="Q3" s="125">
        <f>IF(SER_hh_tesh_in!Q3=0,0,SER_hh_tesh_in!Q3/SER_summary!Q$27)</f>
        <v>154.01738072269154</v>
      </c>
      <c r="R3" s="125">
        <f>IF(SER_hh_tesh_in!R3=0,0,SER_hh_tesh_in!R3/SER_summary!R$27)</f>
        <v>167.73755165705251</v>
      </c>
      <c r="S3" s="125">
        <f>IF(SER_hh_tesh_in!S3=0,0,SER_hh_tesh_in!S3/SER_summary!S$27)</f>
        <v>143.7925685326814</v>
      </c>
      <c r="T3" s="125">
        <f>IF(SER_hh_tesh_in!T3=0,0,SER_hh_tesh_in!T3/SER_summary!T$27)</f>
        <v>148.9408945521827</v>
      </c>
      <c r="U3" s="125">
        <f>IF(SER_hh_tesh_in!U3=0,0,SER_hh_tesh_in!U3/SER_summary!U$27)</f>
        <v>136.2173267238625</v>
      </c>
      <c r="V3" s="125">
        <f>IF(SER_hh_tesh_in!V3=0,0,SER_hh_tesh_in!V3/SER_summary!V$27)</f>
        <v>126.33858599531379</v>
      </c>
      <c r="W3" s="125">
        <f>IF(SER_hh_tesh_in!W3=0,0,SER_hh_tesh_in!W3/SER_summary!W$27)</f>
        <v>124.92144024320902</v>
      </c>
      <c r="X3" s="125">
        <f>IF(SER_hh_tesh_in!X3=0,0,SER_hh_tesh_in!X3/SER_summary!X$27)</f>
        <v>122.47342183318816</v>
      </c>
      <c r="Y3" s="125">
        <f>IF(SER_hh_tesh_in!Y3=0,0,SER_hh_tesh_in!Y3/SER_summary!Y$27)</f>
        <v>123.97181478512243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104.57931457203698</v>
      </c>
      <c r="D4" s="130">
        <f>IF(SER_hh_tesh_in!D4=0,0,SER_hh_tesh_in!D4/SER_summary!D$27)</f>
        <v>93.504210026549146</v>
      </c>
      <c r="E4" s="130">
        <f>IF(SER_hh_tesh_in!E4=0,0,SER_hh_tesh_in!E4/SER_summary!E$27)</f>
        <v>127.41653500536113</v>
      </c>
      <c r="F4" s="130">
        <f>IF(SER_hh_tesh_in!F4=0,0,SER_hh_tesh_in!F4/SER_summary!F$27)</f>
        <v>130.33887883852992</v>
      </c>
      <c r="G4" s="130">
        <f>IF(SER_hh_tesh_in!G4=0,0,SER_hh_tesh_in!G4/SER_summary!G$27)</f>
        <v>127.21494363220047</v>
      </c>
      <c r="H4" s="130">
        <f>IF(SER_hh_tesh_in!H4=0,0,SER_hh_tesh_in!H4/SER_summary!H$27)</f>
        <v>117.92478030868277</v>
      </c>
      <c r="I4" s="130">
        <f>IF(SER_hh_tesh_in!I4=0,0,SER_hh_tesh_in!I4/SER_summary!I$27)</f>
        <v>116.14101402093281</v>
      </c>
      <c r="J4" s="130">
        <f>IF(SER_hh_tesh_in!J4=0,0,SER_hh_tesh_in!J4/SER_summary!J$27)</f>
        <v>133.33465119868967</v>
      </c>
      <c r="K4" s="130">
        <f>IF(SER_hh_tesh_in!K4=0,0,SER_hh_tesh_in!K4/SER_summary!K$27)</f>
        <v>125.60589899131885</v>
      </c>
      <c r="L4" s="130">
        <f>IF(SER_hh_tesh_in!L4=0,0,SER_hh_tesh_in!L4/SER_summary!L$27)</f>
        <v>120.33373225278856</v>
      </c>
      <c r="M4" s="130">
        <f>IF(SER_hh_tesh_in!M4=0,0,SER_hh_tesh_in!M4/SER_summary!M$27)</f>
        <v>106.80401887585188</v>
      </c>
      <c r="N4" s="130">
        <f>IF(SER_hh_tesh_in!N4=0,0,SER_hh_tesh_in!N4/SER_summary!N$27)</f>
        <v>107.19075470191578</v>
      </c>
      <c r="O4" s="130">
        <f>IF(SER_hh_tesh_in!O4=0,0,SER_hh_tesh_in!O4/SER_summary!O$27)</f>
        <v>99.250993516297129</v>
      </c>
      <c r="P4" s="130">
        <f>IF(SER_hh_tesh_in!P4=0,0,SER_hh_tesh_in!P4/SER_summary!P$27)</f>
        <v>116.28611855099565</v>
      </c>
      <c r="Q4" s="130">
        <f>IF(SER_hh_tesh_in!Q4=0,0,SER_hh_tesh_in!Q4/SER_summary!Q$27)</f>
        <v>104.72034807937656</v>
      </c>
      <c r="R4" s="130">
        <f>IF(SER_hh_tesh_in!R4=0,0,SER_hh_tesh_in!R4/SER_summary!R$27)</f>
        <v>113.20584121758306</v>
      </c>
      <c r="S4" s="130">
        <f>IF(SER_hh_tesh_in!S4=0,0,SER_hh_tesh_in!S4/SER_summary!S$27)</f>
        <v>94.310664867026901</v>
      </c>
      <c r="T4" s="130">
        <f>IF(SER_hh_tesh_in!T4=0,0,SER_hh_tesh_in!T4/SER_summary!T$27)</f>
        <v>94.876568248310363</v>
      </c>
      <c r="U4" s="130">
        <f>IF(SER_hh_tesh_in!U4=0,0,SER_hh_tesh_in!U4/SER_summary!U$27)</f>
        <v>82.545137218286158</v>
      </c>
      <c r="V4" s="130">
        <f>IF(SER_hh_tesh_in!V4=0,0,SER_hh_tesh_in!V4/SER_summary!V$27)</f>
        <v>76.408358983450725</v>
      </c>
      <c r="W4" s="130">
        <f>IF(SER_hh_tesh_in!W4=0,0,SER_hh_tesh_in!W4/SER_summary!W$27)</f>
        <v>67.156373628266095</v>
      </c>
      <c r="X4" s="130">
        <f>IF(SER_hh_tesh_in!X4=0,0,SER_hh_tesh_in!X4/SER_summary!X$27)</f>
        <v>58.875526212881866</v>
      </c>
      <c r="Y4" s="130">
        <f>IF(SER_hh_tesh_in!Y4=0,0,SER_hh_tesh_in!Y4/SER_summary!Y$27)</f>
        <v>55.095324831912137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117.70387487479702</v>
      </c>
      <c r="D5" s="132">
        <f>IF(SER_hh_tesh_in!D5=0,0,SER_hh_tesh_in!D5/SER_summary!D$27)</f>
        <v>101.92705630072655</v>
      </c>
      <c r="E5" s="132">
        <f>IF(SER_hh_tesh_in!E5=0,0,SER_hh_tesh_in!E5/SER_summary!E$27)</f>
        <v>111.28119728948583</v>
      </c>
      <c r="F5" s="132">
        <f>IF(SER_hh_tesh_in!F5=0,0,SER_hh_tesh_in!F5/SER_summary!F$27)</f>
        <v>0</v>
      </c>
      <c r="G5" s="132">
        <f>IF(SER_hh_tesh_in!G5=0,0,SER_hh_tesh_in!G5/SER_summary!G$27)</f>
        <v>143.08851974732329</v>
      </c>
      <c r="H5" s="132">
        <f>IF(SER_hh_tesh_in!H5=0,0,SER_hh_tesh_in!H5/SER_summary!H$27)</f>
        <v>0</v>
      </c>
      <c r="I5" s="132">
        <f>IF(SER_hh_tesh_in!I5=0,0,SER_hh_tesh_in!I5/SER_summary!I$27)</f>
        <v>0</v>
      </c>
      <c r="J5" s="132">
        <f>IF(SER_hh_tesh_in!J5=0,0,SER_hh_tesh_in!J5/SER_summary!J$27)</f>
        <v>0</v>
      </c>
      <c r="K5" s="132">
        <f>IF(SER_hh_tesh_in!K5=0,0,SER_hh_tesh_in!K5/SER_summary!K$27)</f>
        <v>0</v>
      </c>
      <c r="L5" s="132">
        <f>IF(SER_hh_tesh_in!L5=0,0,SER_hh_tesh_in!L5/SER_summary!L$27)</f>
        <v>0</v>
      </c>
      <c r="M5" s="132">
        <f>IF(SER_hh_tesh_in!M5=0,0,SER_hh_tesh_in!M5/SER_summary!M$27)</f>
        <v>82.756410052468084</v>
      </c>
      <c r="N5" s="132">
        <f>IF(SER_hh_tesh_in!N5=0,0,SER_hh_tesh_in!N5/SER_summary!N$27)</f>
        <v>95.63524652303829</v>
      </c>
      <c r="O5" s="132">
        <f>IF(SER_hh_tesh_in!O5=0,0,SER_hh_tesh_in!O5/SER_summary!O$27)</f>
        <v>150.23320442488756</v>
      </c>
      <c r="P5" s="132">
        <f>IF(SER_hh_tesh_in!P5=0,0,SER_hh_tesh_in!P5/SER_summary!P$27)</f>
        <v>0</v>
      </c>
      <c r="Q5" s="132">
        <f>IF(SER_hh_tesh_in!Q5=0,0,SER_hh_tesh_in!Q5/SER_summary!Q$27)</f>
        <v>0</v>
      </c>
      <c r="R5" s="132">
        <f>IF(SER_hh_tesh_in!R5=0,0,SER_hh_tesh_in!R5/SER_summary!R$27)</f>
        <v>0</v>
      </c>
      <c r="S5" s="132">
        <f>IF(SER_hh_tesh_in!S5=0,0,SER_hh_tesh_in!S5/SER_summary!S$27)</f>
        <v>0</v>
      </c>
      <c r="T5" s="132">
        <f>IF(SER_hh_tesh_in!T5=0,0,SER_hh_tesh_in!T5/SER_summary!T$27)</f>
        <v>0</v>
      </c>
      <c r="U5" s="132">
        <f>IF(SER_hh_tesh_in!U5=0,0,SER_hh_tesh_in!U5/SER_summary!U$27)</f>
        <v>0</v>
      </c>
      <c r="V5" s="132">
        <f>IF(SER_hh_tesh_in!V5=0,0,SER_hh_tesh_in!V5/SER_summary!V$27)</f>
        <v>76.392971583888283</v>
      </c>
      <c r="W5" s="132">
        <f>IF(SER_hh_tesh_in!W5=0,0,SER_hh_tesh_in!W5/SER_summary!W$27)</f>
        <v>0</v>
      </c>
      <c r="X5" s="132">
        <f>IF(SER_hh_tesh_in!X5=0,0,SER_hh_tesh_in!X5/SER_summary!X$27)</f>
        <v>0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122.03736953040917</v>
      </c>
      <c r="D7" s="132">
        <f>IF(SER_hh_tesh_in!D7=0,0,SER_hh_tesh_in!D7/SER_summary!D$27)</f>
        <v>0</v>
      </c>
      <c r="E7" s="132">
        <f>IF(SER_hh_tesh_in!E7=0,0,SER_hh_tesh_in!E7/SER_summary!E$27)</f>
        <v>0</v>
      </c>
      <c r="F7" s="132">
        <f>IF(SER_hh_tesh_in!F7=0,0,SER_hh_tesh_in!F7/SER_summary!F$27)</f>
        <v>0</v>
      </c>
      <c r="G7" s="132">
        <f>IF(SER_hh_tesh_in!G7=0,0,SER_hh_tesh_in!G7/SER_summary!G$27)</f>
        <v>0</v>
      </c>
      <c r="H7" s="132">
        <f>IF(SER_hh_tesh_in!H7=0,0,SER_hh_tesh_in!H7/SER_summary!H$27)</f>
        <v>107.4708446540937</v>
      </c>
      <c r="I7" s="132">
        <f>IF(SER_hh_tesh_in!I7=0,0,SER_hh_tesh_in!I7/SER_summary!I$27)</f>
        <v>119.00233723455425</v>
      </c>
      <c r="J7" s="132">
        <f>IF(SER_hh_tesh_in!J7=0,0,SER_hh_tesh_in!J7/SER_summary!J$27)</f>
        <v>124.8358942497083</v>
      </c>
      <c r="K7" s="132">
        <f>IF(SER_hh_tesh_in!K7=0,0,SER_hh_tesh_in!K7/SER_summary!K$27)</f>
        <v>114.59960515860149</v>
      </c>
      <c r="L7" s="132">
        <f>IF(SER_hh_tesh_in!L7=0,0,SER_hh_tesh_in!L7/SER_summary!L$27)</f>
        <v>91.307523096796146</v>
      </c>
      <c r="M7" s="132">
        <f>IF(SER_hh_tesh_in!M7=0,0,SER_hh_tesh_in!M7/SER_summary!M$27)</f>
        <v>117.19289433222396</v>
      </c>
      <c r="N7" s="132">
        <f>IF(SER_hh_tesh_in!N7=0,0,SER_hh_tesh_in!N7/SER_summary!N$27)</f>
        <v>116.23814993032795</v>
      </c>
      <c r="O7" s="132">
        <f>IF(SER_hh_tesh_in!O7=0,0,SER_hh_tesh_in!O7/SER_summary!O$27)</f>
        <v>108.35771575143902</v>
      </c>
      <c r="P7" s="132">
        <f>IF(SER_hh_tesh_in!P7=0,0,SER_hh_tesh_in!P7/SER_summary!P$27)</f>
        <v>0</v>
      </c>
      <c r="Q7" s="132">
        <f>IF(SER_hh_tesh_in!Q7=0,0,SER_hh_tesh_in!Q7/SER_summary!Q$27)</f>
        <v>0</v>
      </c>
      <c r="R7" s="132">
        <f>IF(SER_hh_tesh_in!R7=0,0,SER_hh_tesh_in!R7/SER_summary!R$27)</f>
        <v>0</v>
      </c>
      <c r="S7" s="132">
        <f>IF(SER_hh_tesh_in!S7=0,0,SER_hh_tesh_in!S7/SER_summary!S$27)</f>
        <v>0</v>
      </c>
      <c r="T7" s="132">
        <f>IF(SER_hh_tesh_in!T7=0,0,SER_hh_tesh_in!T7/SER_summary!T$27)</f>
        <v>0</v>
      </c>
      <c r="U7" s="132">
        <f>IF(SER_hh_tesh_in!U7=0,0,SER_hh_tesh_in!U7/SER_summary!U$27)</f>
        <v>0</v>
      </c>
      <c r="V7" s="132">
        <f>IF(SER_hh_tesh_in!V7=0,0,SER_hh_tesh_in!V7/SER_summary!V$27)</f>
        <v>0</v>
      </c>
      <c r="W7" s="132">
        <f>IF(SER_hh_tesh_in!W7=0,0,SER_hh_tesh_in!W7/SER_summary!W$27)</f>
        <v>57.525029112608458</v>
      </c>
      <c r="X7" s="132">
        <f>IF(SER_hh_tesh_in!X7=0,0,SER_hh_tesh_in!X7/SER_summary!X$27)</f>
        <v>54.256312479607821</v>
      </c>
      <c r="Y7" s="132">
        <f>IF(SER_hh_tesh_in!Y7=0,0,SER_hh_tesh_in!Y7/SER_summary!Y$27)</f>
        <v>55.352429738030644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0</v>
      </c>
      <c r="D8" s="132">
        <f>IF(SER_hh_tesh_in!D8=0,0,SER_hh_tesh_in!D8/SER_summary!D$27)</f>
        <v>0</v>
      </c>
      <c r="E8" s="132">
        <f>IF(SER_hh_tesh_in!E8=0,0,SER_hh_tesh_in!E8/SER_summary!E$27)</f>
        <v>0</v>
      </c>
      <c r="F8" s="132">
        <f>IF(SER_hh_tesh_in!F8=0,0,SER_hh_tesh_in!F8/SER_summary!F$27)</f>
        <v>0</v>
      </c>
      <c r="G8" s="132">
        <f>IF(SER_hh_tesh_in!G8=0,0,SER_hh_tesh_in!G8/SER_summary!G$27)</f>
        <v>0</v>
      </c>
      <c r="H8" s="132">
        <f>IF(SER_hh_tesh_in!H8=0,0,SER_hh_tesh_in!H8/SER_summary!H$27)</f>
        <v>0</v>
      </c>
      <c r="I8" s="132">
        <f>IF(SER_hh_tesh_in!I8=0,0,SER_hh_tesh_in!I8/SER_summary!I$27)</f>
        <v>0</v>
      </c>
      <c r="J8" s="132">
        <f>IF(SER_hh_tesh_in!J8=0,0,SER_hh_tesh_in!J8/SER_summary!J$27)</f>
        <v>0</v>
      </c>
      <c r="K8" s="132">
        <f>IF(SER_hh_tesh_in!K8=0,0,SER_hh_tesh_in!K8/SER_summary!K$27)</f>
        <v>0</v>
      </c>
      <c r="L8" s="132">
        <f>IF(SER_hh_tesh_in!L8=0,0,SER_hh_tesh_in!L8/SER_summary!L$27)</f>
        <v>0</v>
      </c>
      <c r="M8" s="132">
        <f>IF(SER_hh_tesh_in!M8=0,0,SER_hh_tesh_in!M8/SER_summary!M$27)</f>
        <v>0</v>
      </c>
      <c r="N8" s="132">
        <f>IF(SER_hh_tesh_in!N8=0,0,SER_hh_tesh_in!N8/SER_summary!N$27)</f>
        <v>0</v>
      </c>
      <c r="O8" s="132">
        <f>IF(SER_hh_tesh_in!O8=0,0,SER_hh_tesh_in!O8/SER_summary!O$27)</f>
        <v>0</v>
      </c>
      <c r="P8" s="132">
        <f>IF(SER_hh_tesh_in!P8=0,0,SER_hh_tesh_in!P8/SER_summary!P$27)</f>
        <v>0</v>
      </c>
      <c r="Q8" s="132">
        <f>IF(SER_hh_tesh_in!Q8=0,0,SER_hh_tesh_in!Q8/SER_summary!Q$27)</f>
        <v>0</v>
      </c>
      <c r="R8" s="132">
        <f>IF(SER_hh_tesh_in!R8=0,0,SER_hh_tesh_in!R8/SER_summary!R$27)</f>
        <v>0</v>
      </c>
      <c r="S8" s="132">
        <f>IF(SER_hh_tesh_in!S8=0,0,SER_hh_tesh_in!S8/SER_summary!S$27)</f>
        <v>0</v>
      </c>
      <c r="T8" s="132">
        <f>IF(SER_hh_tesh_in!T8=0,0,SER_hh_tesh_in!T8/SER_summary!T$27)</f>
        <v>0</v>
      </c>
      <c r="U8" s="132">
        <f>IF(SER_hh_tesh_in!U8=0,0,SER_hh_tesh_in!U8/SER_summary!U$27)</f>
        <v>0</v>
      </c>
      <c r="V8" s="132">
        <f>IF(SER_hh_tesh_in!V8=0,0,SER_hh_tesh_in!V8/SER_summary!V$27)</f>
        <v>0</v>
      </c>
      <c r="W8" s="132">
        <f>IF(SER_hh_tesh_in!W8=0,0,SER_hh_tesh_in!W8/SER_summary!W$27)</f>
        <v>0</v>
      </c>
      <c r="X8" s="132">
        <f>IF(SER_hh_tesh_in!X8=0,0,SER_hh_tesh_in!X8/SER_summary!X$27)</f>
        <v>0</v>
      </c>
      <c r="Y8" s="132">
        <f>IF(SER_hh_tesh_in!Y8=0,0,SER_hh_tesh_in!Y8/SER_summary!Y$27)</f>
        <v>0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108.17816597862547</v>
      </c>
      <c r="D9" s="132">
        <f>IF(SER_hh_tesh_in!D9=0,0,SER_hh_tesh_in!D9/SER_summary!D$27)</f>
        <v>76.786881342907293</v>
      </c>
      <c r="E9" s="132">
        <f>IF(SER_hh_tesh_in!E9=0,0,SER_hh_tesh_in!E9/SER_summary!E$27)</f>
        <v>151.92416152665231</v>
      </c>
      <c r="F9" s="132">
        <f>IF(SER_hh_tesh_in!F9=0,0,SER_hh_tesh_in!F9/SER_summary!F$27)</f>
        <v>133.08393540275108</v>
      </c>
      <c r="G9" s="132">
        <f>IF(SER_hh_tesh_in!G9=0,0,SER_hh_tesh_in!G9/SER_summary!G$27)</f>
        <v>0</v>
      </c>
      <c r="H9" s="132">
        <f>IF(SER_hh_tesh_in!H9=0,0,SER_hh_tesh_in!H9/SER_summary!H$27)</f>
        <v>0</v>
      </c>
      <c r="I9" s="132">
        <f>IF(SER_hh_tesh_in!I9=0,0,SER_hh_tesh_in!I9/SER_summary!I$27)</f>
        <v>0</v>
      </c>
      <c r="J9" s="132">
        <f>IF(SER_hh_tesh_in!J9=0,0,SER_hh_tesh_in!J9/SER_summary!J$27)</f>
        <v>0</v>
      </c>
      <c r="K9" s="132">
        <f>IF(SER_hh_tesh_in!K9=0,0,SER_hh_tesh_in!K9/SER_summary!K$27)</f>
        <v>0</v>
      </c>
      <c r="L9" s="132">
        <f>IF(SER_hh_tesh_in!L9=0,0,SER_hh_tesh_in!L9/SER_summary!L$27)</f>
        <v>0</v>
      </c>
      <c r="M9" s="132">
        <f>IF(SER_hh_tesh_in!M9=0,0,SER_hh_tesh_in!M9/SER_summary!M$27)</f>
        <v>99.772408835212318</v>
      </c>
      <c r="N9" s="132">
        <f>IF(SER_hh_tesh_in!N9=0,0,SER_hh_tesh_in!N9/SER_summary!N$27)</f>
        <v>91.909628725294596</v>
      </c>
      <c r="O9" s="132">
        <f>IF(SER_hh_tesh_in!O9=0,0,SER_hh_tesh_in!O9/SER_summary!O$27)</f>
        <v>93.170870243845684</v>
      </c>
      <c r="P9" s="132">
        <f>IF(SER_hh_tesh_in!P9=0,0,SER_hh_tesh_in!P9/SER_summary!P$27)</f>
        <v>117.14421536210421</v>
      </c>
      <c r="Q9" s="132">
        <f>IF(SER_hh_tesh_in!Q9=0,0,SER_hh_tesh_in!Q9/SER_summary!Q$27)</f>
        <v>107.07255125352901</v>
      </c>
      <c r="R9" s="132">
        <f>IF(SER_hh_tesh_in!R9=0,0,SER_hh_tesh_in!R9/SER_summary!R$27)</f>
        <v>115.79128958936853</v>
      </c>
      <c r="S9" s="132">
        <f>IF(SER_hh_tesh_in!S9=0,0,SER_hh_tesh_in!S9/SER_summary!S$27)</f>
        <v>93.384459759953515</v>
      </c>
      <c r="T9" s="132">
        <f>IF(SER_hh_tesh_in!T9=0,0,SER_hh_tesh_in!T9/SER_summary!T$27)</f>
        <v>94.441297067162125</v>
      </c>
      <c r="U9" s="132">
        <f>IF(SER_hh_tesh_in!U9=0,0,SER_hh_tesh_in!U9/SER_summary!U$27)</f>
        <v>82.071469225371274</v>
      </c>
      <c r="V9" s="132">
        <f>IF(SER_hh_tesh_in!V9=0,0,SER_hh_tesh_in!V9/SER_summary!V$27)</f>
        <v>0</v>
      </c>
      <c r="W9" s="132">
        <f>IF(SER_hh_tesh_in!W9=0,0,SER_hh_tesh_in!W9/SER_summary!W$27)</f>
        <v>0</v>
      </c>
      <c r="X9" s="132">
        <f>IF(SER_hh_tesh_in!X9=0,0,SER_hh_tesh_in!X9/SER_summary!X$27)</f>
        <v>0</v>
      </c>
      <c r="Y9" s="132">
        <f>IF(SER_hh_tesh_in!Y9=0,0,SER_hh_tesh_in!Y9/SER_summary!Y$27)</f>
        <v>0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111.80379025267263</v>
      </c>
      <c r="D10" s="132">
        <f>IF(SER_hh_tesh_in!D10=0,0,SER_hh_tesh_in!D10/SER_summary!D$27)</f>
        <v>99.024451065758726</v>
      </c>
      <c r="E10" s="132">
        <f>IF(SER_hh_tesh_in!E10=0,0,SER_hh_tesh_in!E10/SER_summary!E$27)</f>
        <v>95.783020757714084</v>
      </c>
      <c r="F10" s="132">
        <f>IF(SER_hh_tesh_in!F10=0,0,SER_hh_tesh_in!F10/SER_summary!F$27)</f>
        <v>168.21351998422438</v>
      </c>
      <c r="G10" s="132">
        <f>IF(SER_hh_tesh_in!G10=0,0,SER_hh_tesh_in!G10/SER_summary!G$27)</f>
        <v>105.67024828123317</v>
      </c>
      <c r="H10" s="132">
        <f>IF(SER_hh_tesh_in!H10=0,0,SER_hh_tesh_in!H10/SER_summary!H$27)</f>
        <v>120.29529238831398</v>
      </c>
      <c r="I10" s="132">
        <f>IF(SER_hh_tesh_in!I10=0,0,SER_hh_tesh_in!I10/SER_summary!I$27)</f>
        <v>127.60302333016946</v>
      </c>
      <c r="J10" s="132">
        <f>IF(SER_hh_tesh_in!J10=0,0,SER_hh_tesh_in!J10/SER_summary!J$27)</f>
        <v>0</v>
      </c>
      <c r="K10" s="132">
        <f>IF(SER_hh_tesh_in!K10=0,0,SER_hh_tesh_in!K10/SER_summary!K$27)</f>
        <v>0</v>
      </c>
      <c r="L10" s="132">
        <f>IF(SER_hh_tesh_in!L10=0,0,SER_hh_tesh_in!L10/SER_summary!L$27)</f>
        <v>119.82345328616658</v>
      </c>
      <c r="M10" s="132">
        <f>IF(SER_hh_tesh_in!M10=0,0,SER_hh_tesh_in!M10/SER_summary!M$27)</f>
        <v>128.00521560502227</v>
      </c>
      <c r="N10" s="132">
        <f>IF(SER_hh_tesh_in!N10=0,0,SER_hh_tesh_in!N10/SER_summary!N$27)</f>
        <v>0</v>
      </c>
      <c r="O10" s="132">
        <f>IF(SER_hh_tesh_in!O10=0,0,SER_hh_tesh_in!O10/SER_summary!O$27)</f>
        <v>0</v>
      </c>
      <c r="P10" s="132">
        <f>IF(SER_hh_tesh_in!P10=0,0,SER_hh_tesh_in!P10/SER_summary!P$27)</f>
        <v>0</v>
      </c>
      <c r="Q10" s="132">
        <f>IF(SER_hh_tesh_in!Q10=0,0,SER_hh_tesh_in!Q10/SER_summary!Q$27)</f>
        <v>0</v>
      </c>
      <c r="R10" s="132">
        <f>IF(SER_hh_tesh_in!R10=0,0,SER_hh_tesh_in!R10/SER_summary!R$27)</f>
        <v>97.11380755309591</v>
      </c>
      <c r="S10" s="132">
        <f>IF(SER_hh_tesh_in!S10=0,0,SER_hh_tesh_in!S10/SER_summary!S$27)</f>
        <v>99.721304690068919</v>
      </c>
      <c r="T10" s="132">
        <f>IF(SER_hh_tesh_in!T10=0,0,SER_hh_tesh_in!T10/SER_summary!T$27)</f>
        <v>82.599059657684023</v>
      </c>
      <c r="U10" s="132">
        <f>IF(SER_hh_tesh_in!U10=0,0,SER_hh_tesh_in!U10/SER_summary!U$27)</f>
        <v>83.626725884529677</v>
      </c>
      <c r="V10" s="132">
        <f>IF(SER_hh_tesh_in!V10=0,0,SER_hh_tesh_in!V10/SER_summary!V$27)</f>
        <v>95.14256738363153</v>
      </c>
      <c r="W10" s="132">
        <f>IF(SER_hh_tesh_in!W10=0,0,SER_hh_tesh_in!W10/SER_summary!W$27)</f>
        <v>67.271881972390574</v>
      </c>
      <c r="X10" s="132">
        <f>IF(SER_hh_tesh_in!X10=0,0,SER_hh_tesh_in!X10/SER_summary!X$27)</f>
        <v>68.067820413880426</v>
      </c>
      <c r="Y10" s="132">
        <f>IF(SER_hh_tesh_in!Y10=0,0,SER_hh_tesh_in!Y10/SER_summary!Y$27)</f>
        <v>0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0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0</v>
      </c>
      <c r="J11" s="132">
        <f>IF(SER_hh_tesh_in!J11=0,0,SER_hh_tesh_in!J11/SER_summary!J$27)</f>
        <v>0</v>
      </c>
      <c r="K11" s="132">
        <f>IF(SER_hh_tesh_in!K11=0,0,SER_hh_tesh_in!K11/SER_summary!K$27)</f>
        <v>0</v>
      </c>
      <c r="L11" s="132">
        <f>IF(SER_hh_tesh_in!L11=0,0,SER_hh_tesh_in!L11/SER_summary!L$27)</f>
        <v>0</v>
      </c>
      <c r="M11" s="132">
        <f>IF(SER_hh_tesh_in!M11=0,0,SER_hh_tesh_in!M11/SER_summary!M$27)</f>
        <v>0</v>
      </c>
      <c r="N11" s="132">
        <f>IF(SER_hh_tesh_in!N11=0,0,SER_hh_tesh_in!N11/SER_summary!N$27)</f>
        <v>0</v>
      </c>
      <c r="O11" s="132">
        <f>IF(SER_hh_tesh_in!O11=0,0,SER_hh_tesh_in!O11/SER_summary!O$27)</f>
        <v>0</v>
      </c>
      <c r="P11" s="132">
        <f>IF(SER_hh_tesh_in!P11=0,0,SER_hh_tesh_in!P11/SER_summary!P$27)</f>
        <v>0</v>
      </c>
      <c r="Q11" s="132">
        <f>IF(SER_hh_tesh_in!Q11=0,0,SER_hh_tesh_in!Q11/SER_summary!Q$27)</f>
        <v>0</v>
      </c>
      <c r="R11" s="132">
        <f>IF(SER_hh_tesh_in!R11=0,0,SER_hh_tesh_in!R11/SER_summary!R$27)</f>
        <v>0</v>
      </c>
      <c r="S11" s="132">
        <f>IF(SER_hh_tesh_in!S11=0,0,SER_hh_tesh_in!S11/SER_summary!S$27)</f>
        <v>0</v>
      </c>
      <c r="T11" s="132">
        <f>IF(SER_hh_tesh_in!T11=0,0,SER_hh_tesh_in!T11/SER_summary!T$27)</f>
        <v>0</v>
      </c>
      <c r="U11" s="132">
        <f>IF(SER_hh_tesh_in!U11=0,0,SER_hh_tesh_in!U11/SER_summary!U$27)</f>
        <v>0</v>
      </c>
      <c r="V11" s="132">
        <f>IF(SER_hh_tesh_in!V11=0,0,SER_hh_tesh_in!V11/SER_summary!V$27)</f>
        <v>0</v>
      </c>
      <c r="W11" s="132">
        <f>IF(SER_hh_tesh_in!W11=0,0,SER_hh_tesh_in!W11/SER_summary!W$27)</f>
        <v>0</v>
      </c>
      <c r="X11" s="132">
        <f>IF(SER_hh_tesh_in!X11=0,0,SER_hh_tesh_in!X11/SER_summary!X$27)</f>
        <v>0</v>
      </c>
      <c r="Y11" s="132">
        <f>IF(SER_hh_tesh_in!Y11=0,0,SER_hh_tesh_in!Y11/SER_summary!Y$27)</f>
        <v>0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87.285597783234778</v>
      </c>
      <c r="D12" s="132">
        <f>IF(SER_hh_tesh_in!D12=0,0,SER_hh_tesh_in!D12/SER_summary!D$27)</f>
        <v>105.30380947322364</v>
      </c>
      <c r="E12" s="132">
        <f>IF(SER_hh_tesh_in!E12=0,0,SER_hh_tesh_in!E12/SER_summary!E$27)</f>
        <v>102.99637987327641</v>
      </c>
      <c r="F12" s="132">
        <f>IF(SER_hh_tesh_in!F12=0,0,SER_hh_tesh_in!F12/SER_summary!F$27)</f>
        <v>125.49904925931412</v>
      </c>
      <c r="G12" s="132">
        <f>IF(SER_hh_tesh_in!G12=0,0,SER_hh_tesh_in!G12/SER_summary!G$27)</f>
        <v>135.92127269496081</v>
      </c>
      <c r="H12" s="132">
        <f>IF(SER_hh_tesh_in!H12=0,0,SER_hh_tesh_in!H12/SER_summary!H$27)</f>
        <v>115.01456131269522</v>
      </c>
      <c r="I12" s="132">
        <f>IF(SER_hh_tesh_in!I12=0,0,SER_hh_tesh_in!I12/SER_summary!I$27)</f>
        <v>106.86687490893203</v>
      </c>
      <c r="J12" s="132">
        <f>IF(SER_hh_tesh_in!J12=0,0,SER_hh_tesh_in!J12/SER_summary!J$27)</f>
        <v>130.35422194609293</v>
      </c>
      <c r="K12" s="132">
        <f>IF(SER_hh_tesh_in!K12=0,0,SER_hh_tesh_in!K12/SER_summary!K$27)</f>
        <v>125.91736693141307</v>
      </c>
      <c r="L12" s="132">
        <f>IF(SER_hh_tesh_in!L12=0,0,SER_hh_tesh_in!L12/SER_summary!L$27)</f>
        <v>130.73350509866538</v>
      </c>
      <c r="M12" s="132">
        <f>IF(SER_hh_tesh_in!M12=0,0,SER_hh_tesh_in!M12/SER_summary!M$27)</f>
        <v>99.150472289336818</v>
      </c>
      <c r="N12" s="132">
        <f>IF(SER_hh_tesh_in!N12=0,0,SER_hh_tesh_in!N12/SER_summary!N$27)</f>
        <v>109.17973376981705</v>
      </c>
      <c r="O12" s="132">
        <f>IF(SER_hh_tesh_in!O12=0,0,SER_hh_tesh_in!O12/SER_summary!O$27)</f>
        <v>99.919202517548371</v>
      </c>
      <c r="P12" s="132">
        <f>IF(SER_hh_tesh_in!P12=0,0,SER_hh_tesh_in!P12/SER_summary!P$27)</f>
        <v>105.92884676618209</v>
      </c>
      <c r="Q12" s="132">
        <f>IF(SER_hh_tesh_in!Q12=0,0,SER_hh_tesh_in!Q12/SER_summary!Q$27)</f>
        <v>100.8265265903929</v>
      </c>
      <c r="R12" s="132">
        <f>IF(SER_hh_tesh_in!R12=0,0,SER_hh_tesh_in!R12/SER_summary!R$27)</f>
        <v>108.11033416383786</v>
      </c>
      <c r="S12" s="132">
        <f>IF(SER_hh_tesh_in!S12=0,0,SER_hh_tesh_in!S12/SER_summary!S$27)</f>
        <v>98.042065875659205</v>
      </c>
      <c r="T12" s="132">
        <f>IF(SER_hh_tesh_in!T12=0,0,SER_hh_tesh_in!T12/SER_summary!T$27)</f>
        <v>95.786964824113454</v>
      </c>
      <c r="U12" s="132">
        <f>IF(SER_hh_tesh_in!U12=0,0,SER_hh_tesh_in!U12/SER_summary!U$27)</f>
        <v>76.445291712727482</v>
      </c>
      <c r="V12" s="132">
        <f>IF(SER_hh_tesh_in!V12=0,0,SER_hh_tesh_in!V12/SER_summary!V$27)</f>
        <v>75.416607922286445</v>
      </c>
      <c r="W12" s="132">
        <f>IF(SER_hh_tesh_in!W12=0,0,SER_hh_tesh_in!W12/SER_summary!W$27)</f>
        <v>63.323080679238302</v>
      </c>
      <c r="X12" s="132">
        <f>IF(SER_hh_tesh_in!X12=0,0,SER_hh_tesh_in!X12/SER_summary!X$27)</f>
        <v>59.018270627264485</v>
      </c>
      <c r="Y12" s="132">
        <f>IF(SER_hh_tesh_in!Y12=0,0,SER_hh_tesh_in!Y12/SER_summary!Y$27)</f>
        <v>54.645966333180489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0</v>
      </c>
      <c r="D13" s="132">
        <f>IF(SER_hh_tesh_in!D13=0,0,SER_hh_tesh_in!D13/SER_summary!D$27)</f>
        <v>0</v>
      </c>
      <c r="E13" s="132">
        <f>IF(SER_hh_tesh_in!E13=0,0,SER_hh_tesh_in!E13/SER_summary!E$27)</f>
        <v>0</v>
      </c>
      <c r="F13" s="132">
        <f>IF(SER_hh_tesh_in!F13=0,0,SER_hh_tesh_in!F13/SER_summary!F$27)</f>
        <v>0</v>
      </c>
      <c r="G13" s="132">
        <f>IF(SER_hh_tesh_in!G13=0,0,SER_hh_tesh_in!G13/SER_summary!G$27)</f>
        <v>0</v>
      </c>
      <c r="H13" s="132">
        <f>IF(SER_hh_tesh_in!H13=0,0,SER_hh_tesh_in!H13/SER_summary!H$27)</f>
        <v>0</v>
      </c>
      <c r="I13" s="132">
        <f>IF(SER_hh_tesh_in!I13=0,0,SER_hh_tesh_in!I13/SER_summary!I$27)</f>
        <v>0</v>
      </c>
      <c r="J13" s="132">
        <f>IF(SER_hh_tesh_in!J13=0,0,SER_hh_tesh_in!J13/SER_summary!J$27)</f>
        <v>0</v>
      </c>
      <c r="K13" s="132">
        <f>IF(SER_hh_tesh_in!K13=0,0,SER_hh_tesh_in!K13/SER_summary!K$27)</f>
        <v>0</v>
      </c>
      <c r="L13" s="132">
        <f>IF(SER_hh_tesh_in!L13=0,0,SER_hh_tesh_in!L13/SER_summary!L$27)</f>
        <v>0</v>
      </c>
      <c r="M13" s="132">
        <f>IF(SER_hh_tesh_in!M13=0,0,SER_hh_tesh_in!M13/SER_summary!M$27)</f>
        <v>0</v>
      </c>
      <c r="N13" s="132">
        <f>IF(SER_hh_tesh_in!N13=0,0,SER_hh_tesh_in!N13/SER_summary!N$27)</f>
        <v>0</v>
      </c>
      <c r="O13" s="132">
        <f>IF(SER_hh_tesh_in!O13=0,0,SER_hh_tesh_in!O13/SER_summary!O$27)</f>
        <v>0</v>
      </c>
      <c r="P13" s="132">
        <f>IF(SER_hh_tesh_in!P13=0,0,SER_hh_tesh_in!P13/SER_summary!P$27)</f>
        <v>0</v>
      </c>
      <c r="Q13" s="132">
        <f>IF(SER_hh_tesh_in!Q13=0,0,SER_hh_tesh_in!Q13/SER_summary!Q$27)</f>
        <v>0</v>
      </c>
      <c r="R13" s="132">
        <f>IF(SER_hh_tesh_in!R13=0,0,SER_hh_tesh_in!R13/SER_summary!R$27)</f>
        <v>0</v>
      </c>
      <c r="S13" s="132">
        <f>IF(SER_hh_tesh_in!S13=0,0,SER_hh_tesh_in!S13/SER_summary!S$27)</f>
        <v>0</v>
      </c>
      <c r="T13" s="132">
        <f>IF(SER_hh_tesh_in!T13=0,0,SER_hh_tesh_in!T13/SER_summary!T$27)</f>
        <v>0</v>
      </c>
      <c r="U13" s="132">
        <f>IF(SER_hh_tesh_in!U13=0,0,SER_hh_tesh_in!U13/SER_summary!U$27)</f>
        <v>0</v>
      </c>
      <c r="V13" s="132">
        <f>IF(SER_hh_tesh_in!V13=0,0,SER_hh_tesh_in!V13/SER_summary!V$27)</f>
        <v>0</v>
      </c>
      <c r="W13" s="132">
        <f>IF(SER_hh_tesh_in!W13=0,0,SER_hh_tesh_in!W13/SER_summary!W$27)</f>
        <v>0</v>
      </c>
      <c r="X13" s="132">
        <f>IF(SER_hh_tesh_in!X13=0,0,SER_hh_tesh_in!X13/SER_summary!X$27)</f>
        <v>0</v>
      </c>
      <c r="Y13" s="132">
        <f>IF(SER_hh_tesh_in!Y13=0,0,SER_hh_tesh_in!Y13/SER_summary!Y$27)</f>
        <v>0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102.85994088098315</v>
      </c>
      <c r="D14" s="65">
        <f>IF(SER_hh_tesh_in!D14=0,0,SER_hh_tesh_in!D14/SER_summary!D$27)</f>
        <v>110.49172850476994</v>
      </c>
      <c r="E14" s="65">
        <f>IF(SER_hh_tesh_in!E14=0,0,SER_hh_tesh_in!E14/SER_summary!E$27)</f>
        <v>105.41956028700822</v>
      </c>
      <c r="F14" s="65">
        <f>IF(SER_hh_tesh_in!F14=0,0,SER_hh_tesh_in!F14/SER_summary!F$27)</f>
        <v>125.77314838514638</v>
      </c>
      <c r="G14" s="65">
        <f>IF(SER_hh_tesh_in!G14=0,0,SER_hh_tesh_in!G14/SER_summary!G$27)</f>
        <v>113.29256594680633</v>
      </c>
      <c r="H14" s="65">
        <f>IF(SER_hh_tesh_in!H14=0,0,SER_hh_tesh_in!H14/SER_summary!H$27)</f>
        <v>120.37138396362455</v>
      </c>
      <c r="I14" s="65">
        <f>IF(SER_hh_tesh_in!I14=0,0,SER_hh_tesh_in!I14/SER_summary!I$27)</f>
        <v>123.06191190999124</v>
      </c>
      <c r="J14" s="65">
        <f>IF(SER_hh_tesh_in!J14=0,0,SER_hh_tesh_in!J14/SER_summary!J$27)</f>
        <v>136.02625216489383</v>
      </c>
      <c r="K14" s="65">
        <f>IF(SER_hh_tesh_in!K14=0,0,SER_hh_tesh_in!K14/SER_summary!K$27)</f>
        <v>130.92143778487875</v>
      </c>
      <c r="L14" s="65">
        <f>IF(SER_hh_tesh_in!L14=0,0,SER_hh_tesh_in!L14/SER_summary!L$27)</f>
        <v>119.81495365695046</v>
      </c>
      <c r="M14" s="65">
        <f>IF(SER_hh_tesh_in!M14=0,0,SER_hh_tesh_in!M14/SER_summary!M$27)</f>
        <v>96.478126147972333</v>
      </c>
      <c r="N14" s="65">
        <f>IF(SER_hh_tesh_in!N14=0,0,SER_hh_tesh_in!N14/SER_summary!N$27)</f>
        <v>108.86072702409346</v>
      </c>
      <c r="O14" s="65">
        <f>IF(SER_hh_tesh_in!O14=0,0,SER_hh_tesh_in!O14/SER_summary!O$27)</f>
        <v>97.361362863858744</v>
      </c>
      <c r="P14" s="65">
        <f>IF(SER_hh_tesh_in!P14=0,0,SER_hh_tesh_in!P14/SER_summary!P$27)</f>
        <v>113.83285703200019</v>
      </c>
      <c r="Q14" s="65">
        <f>IF(SER_hh_tesh_in!Q14=0,0,SER_hh_tesh_in!Q14/SER_summary!Q$27)</f>
        <v>103.79548980371017</v>
      </c>
      <c r="R14" s="65">
        <f>IF(SER_hh_tesh_in!R14=0,0,SER_hh_tesh_in!R14/SER_summary!R$27)</f>
        <v>114.90616548247533</v>
      </c>
      <c r="S14" s="65">
        <f>IF(SER_hh_tesh_in!S14=0,0,SER_hh_tesh_in!S14/SER_summary!S$27)</f>
        <v>85.570393428594301</v>
      </c>
      <c r="T14" s="65">
        <f>IF(SER_hh_tesh_in!T14=0,0,SER_hh_tesh_in!T14/SER_summary!T$27)</f>
        <v>94.761084065760613</v>
      </c>
      <c r="U14" s="65">
        <f>IF(SER_hh_tesh_in!U14=0,0,SER_hh_tesh_in!U14/SER_summary!U$27)</f>
        <v>85.233183018883111</v>
      </c>
      <c r="V14" s="65">
        <f>IF(SER_hh_tesh_in!V14=0,0,SER_hh_tesh_in!V14/SER_summary!V$27)</f>
        <v>76.090894642951312</v>
      </c>
      <c r="W14" s="65">
        <f>IF(SER_hh_tesh_in!W14=0,0,SER_hh_tesh_in!W14/SER_summary!W$27)</f>
        <v>76.980653459499408</v>
      </c>
      <c r="X14" s="65">
        <f>IF(SER_hh_tesh_in!X14=0,0,SER_hh_tesh_in!X14/SER_summary!X$27)</f>
        <v>61.292429481263213</v>
      </c>
      <c r="Y14" s="65">
        <f>IF(SER_hh_tesh_in!Y14=0,0,SER_hh_tesh_in!Y14/SER_summary!Y$27)</f>
        <v>0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1.412294700786983</v>
      </c>
      <c r="D15" s="134">
        <f>IF(SER_hh_tesh_in!D15=0,0,SER_hh_tesh_in!D15/SER_summary!D$27)</f>
        <v>1.1428686762220408</v>
      </c>
      <c r="E15" s="134">
        <f>IF(SER_hh_tesh_in!E15=0,0,SER_hh_tesh_in!E15/SER_summary!E$27)</f>
        <v>1.8442256605011611</v>
      </c>
      <c r="F15" s="134">
        <f>IF(SER_hh_tesh_in!F15=0,0,SER_hh_tesh_in!F15/SER_summary!F$27)</f>
        <v>0.88121545012278835</v>
      </c>
      <c r="G15" s="134">
        <f>IF(SER_hh_tesh_in!G15=0,0,SER_hh_tesh_in!G15/SER_summary!G$27)</f>
        <v>0.65328681204004913</v>
      </c>
      <c r="H15" s="134">
        <f>IF(SER_hh_tesh_in!H15=0,0,SER_hh_tesh_in!H15/SER_summary!H$27)</f>
        <v>0.58373802356082582</v>
      </c>
      <c r="I15" s="134">
        <f>IF(SER_hh_tesh_in!I15=0,0,SER_hh_tesh_in!I15/SER_summary!I$27)</f>
        <v>0.77568520431217514</v>
      </c>
      <c r="J15" s="134">
        <f>IF(SER_hh_tesh_in!J15=0,0,SER_hh_tesh_in!J15/SER_summary!J$27)</f>
        <v>0.86373168127340227</v>
      </c>
      <c r="K15" s="134">
        <f>IF(SER_hh_tesh_in!K15=0,0,SER_hh_tesh_in!K15/SER_summary!K$27)</f>
        <v>0.93864720272856206</v>
      </c>
      <c r="L15" s="134">
        <f>IF(SER_hh_tesh_in!L15=0,0,SER_hh_tesh_in!L15/SER_summary!L$27)</f>
        <v>0.84067341657412198</v>
      </c>
      <c r="M15" s="134">
        <f>IF(SER_hh_tesh_in!M15=0,0,SER_hh_tesh_in!M15/SER_summary!M$27)</f>
        <v>1.2001787661281971</v>
      </c>
      <c r="N15" s="134">
        <f>IF(SER_hh_tesh_in!N15=0,0,SER_hh_tesh_in!N15/SER_summary!N$27)</f>
        <v>1.1392385120795205</v>
      </c>
      <c r="O15" s="134">
        <f>IF(SER_hh_tesh_in!O15=0,0,SER_hh_tesh_in!O15/SER_summary!O$27)</f>
        <v>1.3392647085166918</v>
      </c>
      <c r="P15" s="134">
        <f>IF(SER_hh_tesh_in!P15=0,0,SER_hh_tesh_in!P15/SER_summary!P$27)</f>
        <v>1.8311742789294698</v>
      </c>
      <c r="Q15" s="134">
        <f>IF(SER_hh_tesh_in!Q15=0,0,SER_hh_tesh_in!Q15/SER_summary!Q$27)</f>
        <v>1.0774232762355254</v>
      </c>
      <c r="R15" s="134">
        <f>IF(SER_hh_tesh_in!R15=0,0,SER_hh_tesh_in!R15/SER_summary!R$27)</f>
        <v>1.092978221442295</v>
      </c>
      <c r="S15" s="134">
        <f>IF(SER_hh_tesh_in!S15=0,0,SER_hh_tesh_in!S15/SER_summary!S$27)</f>
        <v>0.73674150729606924</v>
      </c>
      <c r="T15" s="134">
        <f>IF(SER_hh_tesh_in!T15=0,0,SER_hh_tesh_in!T15/SER_summary!T$27)</f>
        <v>0.77552950885539906</v>
      </c>
      <c r="U15" s="134">
        <f>IF(SER_hh_tesh_in!U15=0,0,SER_hh_tesh_in!U15/SER_summary!U$27)</f>
        <v>0.62178709232185247</v>
      </c>
      <c r="V15" s="134">
        <f>IF(SER_hh_tesh_in!V15=0,0,SER_hh_tesh_in!V15/SER_summary!V$27)</f>
        <v>0.32117884224377735</v>
      </c>
      <c r="W15" s="134">
        <f>IF(SER_hh_tesh_in!W15=0,0,SER_hh_tesh_in!W15/SER_summary!W$27)</f>
        <v>0.31866036588096064</v>
      </c>
      <c r="X15" s="134">
        <f>IF(SER_hh_tesh_in!X15=0,0,SER_hh_tesh_in!X15/SER_summary!X$27)</f>
        <v>0.31844610337022472</v>
      </c>
      <c r="Y15" s="134">
        <f>IF(SER_hh_tesh_in!Y15=0,0,SER_hh_tesh_in!Y15/SER_summary!Y$27)</f>
        <v>0.32947505865874915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22.326623862096191</v>
      </c>
      <c r="D16" s="130">
        <f>IF(SER_hh_tesh_in!D16=0,0,SER_hh_tesh_in!D16/SER_summary!D$27)</f>
        <v>22.136211762214778</v>
      </c>
      <c r="E16" s="130">
        <f>IF(SER_hh_tesh_in!E16=0,0,SER_hh_tesh_in!E16/SER_summary!E$27)</f>
        <v>23.070480501461383</v>
      </c>
      <c r="F16" s="130">
        <f>IF(SER_hh_tesh_in!F16=0,0,SER_hh_tesh_in!F16/SER_summary!F$27)</f>
        <v>21.839093403455351</v>
      </c>
      <c r="G16" s="130">
        <f>IF(SER_hh_tesh_in!G16=0,0,SER_hh_tesh_in!G16/SER_summary!G$27)</f>
        <v>21.802205128957585</v>
      </c>
      <c r="H16" s="130">
        <f>IF(SER_hh_tesh_in!H16=0,0,SER_hh_tesh_in!H16/SER_summary!H$27)</f>
        <v>22.097317468127951</v>
      </c>
      <c r="I16" s="130">
        <f>IF(SER_hh_tesh_in!I16=0,0,SER_hh_tesh_in!I16/SER_summary!I$27)</f>
        <v>21.689214441530957</v>
      </c>
      <c r="J16" s="130">
        <f>IF(SER_hh_tesh_in!J16=0,0,SER_hh_tesh_in!J16/SER_summary!J$27)</f>
        <v>21.573292813018085</v>
      </c>
      <c r="K16" s="130">
        <f>IF(SER_hh_tesh_in!K16=0,0,SER_hh_tesh_in!K16/SER_summary!K$27)</f>
        <v>21.317309194200615</v>
      </c>
      <c r="L16" s="130">
        <f>IF(SER_hh_tesh_in!L16=0,0,SER_hh_tesh_in!L16/SER_summary!L$27)</f>
        <v>24.623924430484173</v>
      </c>
      <c r="M16" s="130">
        <f>IF(SER_hh_tesh_in!M16=0,0,SER_hh_tesh_in!M16/SER_summary!M$27)</f>
        <v>22.293628006408575</v>
      </c>
      <c r="N16" s="130">
        <f>IF(SER_hh_tesh_in!N16=0,0,SER_hh_tesh_in!N16/SER_summary!N$27)</f>
        <v>21.273385290433641</v>
      </c>
      <c r="O16" s="130">
        <f>IF(SER_hh_tesh_in!O16=0,0,SER_hh_tesh_in!O16/SER_summary!O$27)</f>
        <v>20.9578922079221</v>
      </c>
      <c r="P16" s="130">
        <f>IF(SER_hh_tesh_in!P16=0,0,SER_hh_tesh_in!P16/SER_summary!P$27)</f>
        <v>21.238550240178416</v>
      </c>
      <c r="Q16" s="130">
        <f>IF(SER_hh_tesh_in!Q16=0,0,SER_hh_tesh_in!Q16/SER_summary!Q$27)</f>
        <v>20.688785480403755</v>
      </c>
      <c r="R16" s="130">
        <f>IF(SER_hh_tesh_in!R16=0,0,SER_hh_tesh_in!R16/SER_summary!R$27)</f>
        <v>20.80373521606635</v>
      </c>
      <c r="S16" s="130">
        <f>IF(SER_hh_tesh_in!S16=0,0,SER_hh_tesh_in!S16/SER_summary!S$27)</f>
        <v>20.592429763814032</v>
      </c>
      <c r="T16" s="130">
        <f>IF(SER_hh_tesh_in!T16=0,0,SER_hh_tesh_in!T16/SER_summary!T$27)</f>
        <v>21.728454190317667</v>
      </c>
      <c r="U16" s="130">
        <f>IF(SER_hh_tesh_in!U16=0,0,SER_hh_tesh_in!U16/SER_summary!U$27)</f>
        <v>19.916576268448651</v>
      </c>
      <c r="V16" s="130">
        <f>IF(SER_hh_tesh_in!V16=0,0,SER_hh_tesh_in!V16/SER_summary!V$27)</f>
        <v>18.857955758108144</v>
      </c>
      <c r="W16" s="130">
        <f>IF(SER_hh_tesh_in!W16=0,0,SER_hh_tesh_in!W16/SER_summary!W$27)</f>
        <v>19.810460666813114</v>
      </c>
      <c r="X16" s="130">
        <f>IF(SER_hh_tesh_in!X16=0,0,SER_hh_tesh_in!X16/SER_summary!X$27)</f>
        <v>20.033033077566397</v>
      </c>
      <c r="Y16" s="130">
        <f>IF(SER_hh_tesh_in!Y16=0,0,SER_hh_tesh_in!Y16/SER_summary!Y$27)</f>
        <v>20.113849056404639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0</v>
      </c>
      <c r="D17" s="132">
        <f>IF(SER_hh_tesh_in!D17=0,0,SER_hh_tesh_in!D17/SER_summary!D$27)</f>
        <v>0</v>
      </c>
      <c r="E17" s="132">
        <f>IF(SER_hh_tesh_in!E17=0,0,SER_hh_tesh_in!E17/SER_summary!E$27)</f>
        <v>0</v>
      </c>
      <c r="F17" s="132">
        <f>IF(SER_hh_tesh_in!F17=0,0,SER_hh_tesh_in!F17/SER_summary!F$27)</f>
        <v>0</v>
      </c>
      <c r="G17" s="132">
        <f>IF(SER_hh_tesh_in!G17=0,0,SER_hh_tesh_in!G17/SER_summary!G$27)</f>
        <v>0</v>
      </c>
      <c r="H17" s="132">
        <f>IF(SER_hh_tesh_in!H17=0,0,SER_hh_tesh_in!H17/SER_summary!H$27)</f>
        <v>0</v>
      </c>
      <c r="I17" s="132">
        <f>IF(SER_hh_tesh_in!I17=0,0,SER_hh_tesh_in!I17/SER_summary!I$27)</f>
        <v>0</v>
      </c>
      <c r="J17" s="132">
        <f>IF(SER_hh_tesh_in!J17=0,0,SER_hh_tesh_in!J17/SER_summary!J$27)</f>
        <v>0</v>
      </c>
      <c r="K17" s="132">
        <f>IF(SER_hh_tesh_in!K17=0,0,SER_hh_tesh_in!K17/SER_summary!K$27)</f>
        <v>0</v>
      </c>
      <c r="L17" s="132">
        <f>IF(SER_hh_tesh_in!L17=0,0,SER_hh_tesh_in!L17/SER_summary!L$27)</f>
        <v>0</v>
      </c>
      <c r="M17" s="132">
        <f>IF(SER_hh_tesh_in!M17=0,0,SER_hh_tesh_in!M17/SER_summary!M$27)</f>
        <v>0</v>
      </c>
      <c r="N17" s="132">
        <f>IF(SER_hh_tesh_in!N17=0,0,SER_hh_tesh_in!N17/SER_summary!N$27)</f>
        <v>0</v>
      </c>
      <c r="O17" s="132">
        <f>IF(SER_hh_tesh_in!O17=0,0,SER_hh_tesh_in!O17/SER_summary!O$27)</f>
        <v>0</v>
      </c>
      <c r="P17" s="132">
        <f>IF(SER_hh_tesh_in!P17=0,0,SER_hh_tesh_in!P17/SER_summary!P$27)</f>
        <v>0</v>
      </c>
      <c r="Q17" s="132">
        <f>IF(SER_hh_tesh_in!Q17=0,0,SER_hh_tesh_in!Q17/SER_summary!Q$27)</f>
        <v>0</v>
      </c>
      <c r="R17" s="132">
        <f>IF(SER_hh_tesh_in!R17=0,0,SER_hh_tesh_in!R17/SER_summary!R$27)</f>
        <v>0</v>
      </c>
      <c r="S17" s="132">
        <f>IF(SER_hh_tesh_in!S17=0,0,SER_hh_tesh_in!S17/SER_summary!S$27)</f>
        <v>0</v>
      </c>
      <c r="T17" s="132">
        <f>IF(SER_hh_tesh_in!T17=0,0,SER_hh_tesh_in!T17/SER_summary!T$27)</f>
        <v>0</v>
      </c>
      <c r="U17" s="132">
        <f>IF(SER_hh_tesh_in!U17=0,0,SER_hh_tesh_in!U17/SER_summary!U$27)</f>
        <v>0</v>
      </c>
      <c r="V17" s="132">
        <f>IF(SER_hh_tesh_in!V17=0,0,SER_hh_tesh_in!V17/SER_summary!V$27)</f>
        <v>0</v>
      </c>
      <c r="W17" s="132">
        <f>IF(SER_hh_tesh_in!W17=0,0,SER_hh_tesh_in!W17/SER_summary!W$27)</f>
        <v>0</v>
      </c>
      <c r="X17" s="132">
        <f>IF(SER_hh_tesh_in!X17=0,0,SER_hh_tesh_in!X17/SER_summary!X$27)</f>
        <v>0</v>
      </c>
      <c r="Y17" s="132">
        <f>IF(SER_hh_tesh_in!Y17=0,0,SER_hh_tesh_in!Y17/SER_summary!Y$27)</f>
        <v>0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22.326623862096191</v>
      </c>
      <c r="D18" s="132">
        <f>IF(SER_hh_tesh_in!D18=0,0,SER_hh_tesh_in!D18/SER_summary!D$27)</f>
        <v>22.136211762214778</v>
      </c>
      <c r="E18" s="132">
        <f>IF(SER_hh_tesh_in!E18=0,0,SER_hh_tesh_in!E18/SER_summary!E$27)</f>
        <v>23.070480501461383</v>
      </c>
      <c r="F18" s="132">
        <f>IF(SER_hh_tesh_in!F18=0,0,SER_hh_tesh_in!F18/SER_summary!F$27)</f>
        <v>21.839093403455351</v>
      </c>
      <c r="G18" s="132">
        <f>IF(SER_hh_tesh_in!G18=0,0,SER_hh_tesh_in!G18/SER_summary!G$27)</f>
        <v>21.802205128957585</v>
      </c>
      <c r="H18" s="132">
        <f>IF(SER_hh_tesh_in!H18=0,0,SER_hh_tesh_in!H18/SER_summary!H$27)</f>
        <v>22.097317468127951</v>
      </c>
      <c r="I18" s="132">
        <f>IF(SER_hh_tesh_in!I18=0,0,SER_hh_tesh_in!I18/SER_summary!I$27)</f>
        <v>21.689214441530957</v>
      </c>
      <c r="J18" s="132">
        <f>IF(SER_hh_tesh_in!J18=0,0,SER_hh_tesh_in!J18/SER_summary!J$27)</f>
        <v>21.573292813018085</v>
      </c>
      <c r="K18" s="132">
        <f>IF(SER_hh_tesh_in!K18=0,0,SER_hh_tesh_in!K18/SER_summary!K$27)</f>
        <v>21.317309194200615</v>
      </c>
      <c r="L18" s="132">
        <f>IF(SER_hh_tesh_in!L18=0,0,SER_hh_tesh_in!L18/SER_summary!L$27)</f>
        <v>24.623924430484173</v>
      </c>
      <c r="M18" s="132">
        <f>IF(SER_hh_tesh_in!M18=0,0,SER_hh_tesh_in!M18/SER_summary!M$27)</f>
        <v>22.293628006408575</v>
      </c>
      <c r="N18" s="132">
        <f>IF(SER_hh_tesh_in!N18=0,0,SER_hh_tesh_in!N18/SER_summary!N$27)</f>
        <v>21.273385290433641</v>
      </c>
      <c r="O18" s="132">
        <f>IF(SER_hh_tesh_in!O18=0,0,SER_hh_tesh_in!O18/SER_summary!O$27)</f>
        <v>20.9578922079221</v>
      </c>
      <c r="P18" s="132">
        <f>IF(SER_hh_tesh_in!P18=0,0,SER_hh_tesh_in!P18/SER_summary!P$27)</f>
        <v>21.238550240178416</v>
      </c>
      <c r="Q18" s="132">
        <f>IF(SER_hh_tesh_in!Q18=0,0,SER_hh_tesh_in!Q18/SER_summary!Q$27)</f>
        <v>20.688785480403755</v>
      </c>
      <c r="R18" s="132">
        <f>IF(SER_hh_tesh_in!R18=0,0,SER_hh_tesh_in!R18/SER_summary!R$27)</f>
        <v>20.80373521606635</v>
      </c>
      <c r="S18" s="132">
        <f>IF(SER_hh_tesh_in!S18=0,0,SER_hh_tesh_in!S18/SER_summary!S$27)</f>
        <v>20.592429763814032</v>
      </c>
      <c r="T18" s="132">
        <f>IF(SER_hh_tesh_in!T18=0,0,SER_hh_tesh_in!T18/SER_summary!T$27)</f>
        <v>21.728454190317667</v>
      </c>
      <c r="U18" s="132">
        <f>IF(SER_hh_tesh_in!U18=0,0,SER_hh_tesh_in!U18/SER_summary!U$27)</f>
        <v>19.916576268448651</v>
      </c>
      <c r="V18" s="132">
        <f>IF(SER_hh_tesh_in!V18=0,0,SER_hh_tesh_in!V18/SER_summary!V$27)</f>
        <v>18.857955758108144</v>
      </c>
      <c r="W18" s="132">
        <f>IF(SER_hh_tesh_in!W18=0,0,SER_hh_tesh_in!W18/SER_summary!W$27)</f>
        <v>19.810460666813114</v>
      </c>
      <c r="X18" s="132">
        <f>IF(SER_hh_tesh_in!X18=0,0,SER_hh_tesh_in!X18/SER_summary!X$27)</f>
        <v>20.033033077566397</v>
      </c>
      <c r="Y18" s="132">
        <f>IF(SER_hh_tesh_in!Y18=0,0,SER_hh_tesh_in!Y18/SER_summary!Y$27)</f>
        <v>20.113849056404639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19.465305944069868</v>
      </c>
      <c r="D19" s="130">
        <f>IF(SER_hh_tesh_in!D19=0,0,SER_hh_tesh_in!D19/SER_summary!D$27)</f>
        <v>18.470051674942866</v>
      </c>
      <c r="E19" s="130">
        <f>IF(SER_hh_tesh_in!E19=0,0,SER_hh_tesh_in!E19/SER_summary!E$27)</f>
        <v>18.757921913380947</v>
      </c>
      <c r="F19" s="130">
        <f>IF(SER_hh_tesh_in!F19=0,0,SER_hh_tesh_in!F19/SER_summary!F$27)</f>
        <v>18.157743198549479</v>
      </c>
      <c r="G19" s="130">
        <f>IF(SER_hh_tesh_in!G19=0,0,SER_hh_tesh_in!G19/SER_summary!G$27)</f>
        <v>18.141669495788509</v>
      </c>
      <c r="H19" s="130">
        <f>IF(SER_hh_tesh_in!H19=0,0,SER_hh_tesh_in!H19/SER_summary!H$27)</f>
        <v>17.655988951864433</v>
      </c>
      <c r="I19" s="130">
        <f>IF(SER_hh_tesh_in!I19=0,0,SER_hh_tesh_in!I19/SER_summary!I$27)</f>
        <v>16.940384450788734</v>
      </c>
      <c r="J19" s="130">
        <f>IF(SER_hh_tesh_in!J19=0,0,SER_hh_tesh_in!J19/SER_summary!J$27)</f>
        <v>17.082008697790979</v>
      </c>
      <c r="K19" s="130">
        <f>IF(SER_hh_tesh_in!K19=0,0,SER_hh_tesh_in!K19/SER_summary!K$27)</f>
        <v>17.166705245631558</v>
      </c>
      <c r="L19" s="130">
        <f>IF(SER_hh_tesh_in!L19=0,0,SER_hh_tesh_in!L19/SER_summary!L$27)</f>
        <v>17.013821360523629</v>
      </c>
      <c r="M19" s="130">
        <f>IF(SER_hh_tesh_in!M19=0,0,SER_hh_tesh_in!M19/SER_summary!M$27)</f>
        <v>17.375609678538972</v>
      </c>
      <c r="N19" s="130">
        <f>IF(SER_hh_tesh_in!N19=0,0,SER_hh_tesh_in!N19/SER_summary!N$27)</f>
        <v>17.103489550656242</v>
      </c>
      <c r="O19" s="130">
        <f>IF(SER_hh_tesh_in!O19=0,0,SER_hh_tesh_in!O19/SER_summary!O$27)</f>
        <v>17.224631095023444</v>
      </c>
      <c r="P19" s="130">
        <f>IF(SER_hh_tesh_in!P19=0,0,SER_hh_tesh_in!P19/SER_summary!P$27)</f>
        <v>18.008109382756125</v>
      </c>
      <c r="Q19" s="130">
        <f>IF(SER_hh_tesh_in!Q19=0,0,SER_hh_tesh_in!Q19/SER_summary!Q$27)</f>
        <v>17.524380429286378</v>
      </c>
      <c r="R19" s="130">
        <f>IF(SER_hh_tesh_in!R19=0,0,SER_hh_tesh_in!R19/SER_summary!R$27)</f>
        <v>17.178472519305839</v>
      </c>
      <c r="S19" s="130">
        <f>IF(SER_hh_tesh_in!S19=0,0,SER_hh_tesh_in!S19/SER_summary!S$27)</f>
        <v>17.14793855914872</v>
      </c>
      <c r="T19" s="130">
        <f>IF(SER_hh_tesh_in!T19=0,0,SER_hh_tesh_in!T19/SER_summary!T$27)</f>
        <v>17.05910205364977</v>
      </c>
      <c r="U19" s="130">
        <f>IF(SER_hh_tesh_in!U19=0,0,SER_hh_tesh_in!U19/SER_summary!U$27)</f>
        <v>17.511626838175967</v>
      </c>
      <c r="V19" s="130">
        <f>IF(SER_hh_tesh_in!V19=0,0,SER_hh_tesh_in!V19/SER_summary!V$27)</f>
        <v>16.40641402996868</v>
      </c>
      <c r="W19" s="130">
        <f>IF(SER_hh_tesh_in!W19=0,0,SER_hh_tesh_in!W19/SER_summary!W$27)</f>
        <v>17.69009401232649</v>
      </c>
      <c r="X19" s="130">
        <f>IF(SER_hh_tesh_in!X19=0,0,SER_hh_tesh_in!X19/SER_summary!X$27)</f>
        <v>18.253781169297454</v>
      </c>
      <c r="Y19" s="130">
        <f>IF(SER_hh_tesh_in!Y19=0,0,SER_hh_tesh_in!Y19/SER_summary!Y$27)</f>
        <v>20.193092973790858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0</v>
      </c>
      <c r="D21" s="132">
        <f>IF(SER_hh_tesh_in!D21=0,0,SER_hh_tesh_in!D21/SER_summary!D$27)</f>
        <v>0</v>
      </c>
      <c r="E21" s="132">
        <f>IF(SER_hh_tesh_in!E21=0,0,SER_hh_tesh_in!E21/SER_summary!E$27)</f>
        <v>0</v>
      </c>
      <c r="F21" s="132">
        <f>IF(SER_hh_tesh_in!F21=0,0,SER_hh_tesh_in!F21/SER_summary!F$27)</f>
        <v>0</v>
      </c>
      <c r="G21" s="132">
        <f>IF(SER_hh_tesh_in!G21=0,0,SER_hh_tesh_in!G21/SER_summary!G$27)</f>
        <v>0</v>
      </c>
      <c r="H21" s="132">
        <f>IF(SER_hh_tesh_in!H21=0,0,SER_hh_tesh_in!H21/SER_summary!H$27)</f>
        <v>0</v>
      </c>
      <c r="I21" s="132">
        <f>IF(SER_hh_tesh_in!I21=0,0,SER_hh_tesh_in!I21/SER_summary!I$27)</f>
        <v>0</v>
      </c>
      <c r="J21" s="132">
        <f>IF(SER_hh_tesh_in!J21=0,0,SER_hh_tesh_in!J21/SER_summary!J$27)</f>
        <v>0</v>
      </c>
      <c r="K21" s="132">
        <f>IF(SER_hh_tesh_in!K21=0,0,SER_hh_tesh_in!K21/SER_summary!K$27)</f>
        <v>0</v>
      </c>
      <c r="L21" s="132">
        <f>IF(SER_hh_tesh_in!L21=0,0,SER_hh_tesh_in!L21/SER_summary!L$27)</f>
        <v>0</v>
      </c>
      <c r="M21" s="132">
        <f>IF(SER_hh_tesh_in!M21=0,0,SER_hh_tesh_in!M21/SER_summary!M$27)</f>
        <v>0</v>
      </c>
      <c r="N21" s="132">
        <f>IF(SER_hh_tesh_in!N21=0,0,SER_hh_tesh_in!N21/SER_summary!N$27)</f>
        <v>0</v>
      </c>
      <c r="O21" s="132">
        <f>IF(SER_hh_tesh_in!O21=0,0,SER_hh_tesh_in!O21/SER_summary!O$27)</f>
        <v>0</v>
      </c>
      <c r="P21" s="132">
        <f>IF(SER_hh_tesh_in!P21=0,0,SER_hh_tesh_in!P21/SER_summary!P$27)</f>
        <v>0</v>
      </c>
      <c r="Q21" s="132">
        <f>IF(SER_hh_tesh_in!Q21=0,0,SER_hh_tesh_in!Q21/SER_summary!Q$27)</f>
        <v>0</v>
      </c>
      <c r="R21" s="132">
        <f>IF(SER_hh_tesh_in!R21=0,0,SER_hh_tesh_in!R21/SER_summary!R$27)</f>
        <v>0</v>
      </c>
      <c r="S21" s="132">
        <f>IF(SER_hh_tesh_in!S21=0,0,SER_hh_tesh_in!S21/SER_summary!S$27)</f>
        <v>0</v>
      </c>
      <c r="T21" s="132">
        <f>IF(SER_hh_tesh_in!T21=0,0,SER_hh_tesh_in!T21/SER_summary!T$27)</f>
        <v>0</v>
      </c>
      <c r="U21" s="132">
        <f>IF(SER_hh_tesh_in!U21=0,0,SER_hh_tesh_in!U21/SER_summary!U$27)</f>
        <v>0</v>
      </c>
      <c r="V21" s="132">
        <f>IF(SER_hh_tesh_in!V21=0,0,SER_hh_tesh_in!V21/SER_summary!V$27)</f>
        <v>0</v>
      </c>
      <c r="W21" s="132">
        <f>IF(SER_hh_tesh_in!W21=0,0,SER_hh_tesh_in!W21/SER_summary!W$27)</f>
        <v>0</v>
      </c>
      <c r="X21" s="132">
        <f>IF(SER_hh_tesh_in!X21=0,0,SER_hh_tesh_in!X21/SER_summary!X$27)</f>
        <v>0</v>
      </c>
      <c r="Y21" s="132">
        <f>IF(SER_hh_tesh_in!Y21=0,0,SER_hh_tesh_in!Y21/SER_summary!Y$27)</f>
        <v>0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19.746077379005637</v>
      </c>
      <c r="D22" s="132">
        <f>IF(SER_hh_tesh_in!D22=0,0,SER_hh_tesh_in!D22/SER_summary!D$27)</f>
        <v>0</v>
      </c>
      <c r="E22" s="132">
        <f>IF(SER_hh_tesh_in!E22=0,0,SER_hh_tesh_in!E22/SER_summary!E$27)</f>
        <v>0</v>
      </c>
      <c r="F22" s="132">
        <f>IF(SER_hh_tesh_in!F22=0,0,SER_hh_tesh_in!F22/SER_summary!F$27)</f>
        <v>0</v>
      </c>
      <c r="G22" s="132">
        <f>IF(SER_hh_tesh_in!G22=0,0,SER_hh_tesh_in!G22/SER_summary!G$27)</f>
        <v>0</v>
      </c>
      <c r="H22" s="132">
        <f>IF(SER_hh_tesh_in!H22=0,0,SER_hh_tesh_in!H22/SER_summary!H$27)</f>
        <v>0</v>
      </c>
      <c r="I22" s="132">
        <f>IF(SER_hh_tesh_in!I22=0,0,SER_hh_tesh_in!I22/SER_summary!I$27)</f>
        <v>16.867950915608684</v>
      </c>
      <c r="J22" s="132">
        <f>IF(SER_hh_tesh_in!J22=0,0,SER_hh_tesh_in!J22/SER_summary!J$27)</f>
        <v>17.292421903803799</v>
      </c>
      <c r="K22" s="132">
        <f>IF(SER_hh_tesh_in!K22=0,0,SER_hh_tesh_in!K22/SER_summary!K$27)</f>
        <v>17.064347156423114</v>
      </c>
      <c r="L22" s="132">
        <f>IF(SER_hh_tesh_in!L22=0,0,SER_hh_tesh_in!L22/SER_summary!L$27)</f>
        <v>17.042053352885233</v>
      </c>
      <c r="M22" s="132">
        <f>IF(SER_hh_tesh_in!M22=0,0,SER_hh_tesh_in!M22/SER_summary!M$27)</f>
        <v>17.271748146034462</v>
      </c>
      <c r="N22" s="132">
        <f>IF(SER_hh_tesh_in!N22=0,0,SER_hh_tesh_in!N22/SER_summary!N$27)</f>
        <v>17.300782098766412</v>
      </c>
      <c r="O22" s="132">
        <f>IF(SER_hh_tesh_in!O22=0,0,SER_hh_tesh_in!O22/SER_summary!O$27)</f>
        <v>17.401817578780147</v>
      </c>
      <c r="P22" s="132">
        <f>IF(SER_hh_tesh_in!P22=0,0,SER_hh_tesh_in!P22/SER_summary!P$27)</f>
        <v>0</v>
      </c>
      <c r="Q22" s="132">
        <f>IF(SER_hh_tesh_in!Q22=0,0,SER_hh_tesh_in!Q22/SER_summary!Q$27)</f>
        <v>0</v>
      </c>
      <c r="R22" s="132">
        <f>IF(SER_hh_tesh_in!R22=0,0,SER_hh_tesh_in!R22/SER_summary!R$27)</f>
        <v>0</v>
      </c>
      <c r="S22" s="132">
        <f>IF(SER_hh_tesh_in!S22=0,0,SER_hh_tesh_in!S22/SER_summary!S$27)</f>
        <v>0</v>
      </c>
      <c r="T22" s="132">
        <f>IF(SER_hh_tesh_in!T22=0,0,SER_hh_tesh_in!T22/SER_summary!T$27)</f>
        <v>0</v>
      </c>
      <c r="U22" s="132">
        <f>IF(SER_hh_tesh_in!U22=0,0,SER_hh_tesh_in!U22/SER_summary!U$27)</f>
        <v>0</v>
      </c>
      <c r="V22" s="132">
        <f>IF(SER_hh_tesh_in!V22=0,0,SER_hh_tesh_in!V22/SER_summary!V$27)</f>
        <v>0</v>
      </c>
      <c r="W22" s="132">
        <f>IF(SER_hh_tesh_in!W22=0,0,SER_hh_tesh_in!W22/SER_summary!W$27)</f>
        <v>16.233707281402626</v>
      </c>
      <c r="X22" s="132">
        <f>IF(SER_hh_tesh_in!X22=0,0,SER_hh_tesh_in!X22/SER_summary!X$27)</f>
        <v>18.004444398283681</v>
      </c>
      <c r="Y22" s="132">
        <f>IF(SER_hh_tesh_in!Y22=0,0,SER_hh_tesh_in!Y22/SER_summary!Y$27)</f>
        <v>20.746578082025653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21.827162672880334</v>
      </c>
      <c r="D23" s="132">
        <f>IF(SER_hh_tesh_in!D23=0,0,SER_hh_tesh_in!D23/SER_summary!D$27)</f>
        <v>19.821204364730427</v>
      </c>
      <c r="E23" s="132">
        <f>IF(SER_hh_tesh_in!E23=0,0,SER_hh_tesh_in!E23/SER_summary!E$27)</f>
        <v>18.725857924939415</v>
      </c>
      <c r="F23" s="132">
        <f>IF(SER_hh_tesh_in!F23=0,0,SER_hh_tesh_in!F23/SER_summary!F$27)</f>
        <v>18.009499411379569</v>
      </c>
      <c r="G23" s="132">
        <f>IF(SER_hh_tesh_in!G23=0,0,SER_hh_tesh_in!G23/SER_summary!G$27)</f>
        <v>17.830170326042271</v>
      </c>
      <c r="H23" s="132">
        <f>IF(SER_hh_tesh_in!H23=0,0,SER_hh_tesh_in!H23/SER_summary!H$27)</f>
        <v>17.677747988473911</v>
      </c>
      <c r="I23" s="132">
        <f>IF(SER_hh_tesh_in!I23=0,0,SER_hh_tesh_in!I23/SER_summary!I$27)</f>
        <v>17.275555776811533</v>
      </c>
      <c r="J23" s="132">
        <f>IF(SER_hh_tesh_in!J23=0,0,SER_hh_tesh_in!J23/SER_summary!J$27)</f>
        <v>17.050865972063839</v>
      </c>
      <c r="K23" s="132">
        <f>IF(SER_hh_tesh_in!K23=0,0,SER_hh_tesh_in!K23/SER_summary!K$27)</f>
        <v>16.829249879548183</v>
      </c>
      <c r="L23" s="132">
        <f>IF(SER_hh_tesh_in!L23=0,0,SER_hh_tesh_in!L23/SER_summary!L$27)</f>
        <v>15.940317008019642</v>
      </c>
      <c r="M23" s="132">
        <f>IF(SER_hh_tesh_in!M23=0,0,SER_hh_tesh_in!M23/SER_summary!M$27)</f>
        <v>17.118192667389856</v>
      </c>
      <c r="N23" s="132">
        <f>IF(SER_hh_tesh_in!N23=0,0,SER_hh_tesh_in!N23/SER_summary!N$27)</f>
        <v>15.167548397082751</v>
      </c>
      <c r="O23" s="132">
        <f>IF(SER_hh_tesh_in!O23=0,0,SER_hh_tesh_in!O23/SER_summary!O$27)</f>
        <v>16.857510256511006</v>
      </c>
      <c r="P23" s="132">
        <f>IF(SER_hh_tesh_in!P23=0,0,SER_hh_tesh_in!P23/SER_summary!P$27)</f>
        <v>18.93118194344213</v>
      </c>
      <c r="Q23" s="132">
        <f>IF(SER_hh_tesh_in!Q23=0,0,SER_hh_tesh_in!Q23/SER_summary!Q$27)</f>
        <v>17.641798538757389</v>
      </c>
      <c r="R23" s="132">
        <f>IF(SER_hh_tesh_in!R23=0,0,SER_hh_tesh_in!R23/SER_summary!R$27)</f>
        <v>17.038479007609393</v>
      </c>
      <c r="S23" s="132">
        <f>IF(SER_hh_tesh_in!S23=0,0,SER_hh_tesh_in!S23/SER_summary!S$27)</f>
        <v>17.104659931632067</v>
      </c>
      <c r="T23" s="132">
        <f>IF(SER_hh_tesh_in!T23=0,0,SER_hh_tesh_in!T23/SER_summary!T$27)</f>
        <v>17.44219980020285</v>
      </c>
      <c r="U23" s="132">
        <f>IF(SER_hh_tesh_in!U23=0,0,SER_hh_tesh_in!U23/SER_summary!U$27)</f>
        <v>17.919050241327884</v>
      </c>
      <c r="V23" s="132">
        <f>IF(SER_hh_tesh_in!V23=0,0,SER_hh_tesh_in!V23/SER_summary!V$27)</f>
        <v>17.88436061074308</v>
      </c>
      <c r="W23" s="132">
        <f>IF(SER_hh_tesh_in!W23=0,0,SER_hh_tesh_in!W23/SER_summary!W$27)</f>
        <v>0</v>
      </c>
      <c r="X23" s="132">
        <f>IF(SER_hh_tesh_in!X23=0,0,SER_hh_tesh_in!X23/SER_summary!X$27)</f>
        <v>0</v>
      </c>
      <c r="Y23" s="132">
        <f>IF(SER_hh_tesh_in!Y23=0,0,SER_hh_tesh_in!Y23/SER_summary!Y$27)</f>
        <v>0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0</v>
      </c>
      <c r="O24" s="132">
        <f>IF(SER_hh_tesh_in!O24=0,0,SER_hh_tesh_in!O24/SER_summary!O$27)</f>
        <v>0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0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19.445638595091395</v>
      </c>
      <c r="D25" s="132">
        <f>IF(SER_hh_tesh_in!D25=0,0,SER_hh_tesh_in!D25/SER_summary!D$27)</f>
        <v>18.773493318347789</v>
      </c>
      <c r="E25" s="132">
        <f>IF(SER_hh_tesh_in!E25=0,0,SER_hh_tesh_in!E25/SER_summary!E$27)</f>
        <v>18.236204144930326</v>
      </c>
      <c r="F25" s="132">
        <f>IF(SER_hh_tesh_in!F25=0,0,SER_hh_tesh_in!F25/SER_summary!F$27)</f>
        <v>17.864615262124591</v>
      </c>
      <c r="G25" s="132">
        <f>IF(SER_hh_tesh_in!G25=0,0,SER_hh_tesh_in!G25/SER_summary!G$27)</f>
        <v>17.98763474874578</v>
      </c>
      <c r="H25" s="132">
        <f>IF(SER_hh_tesh_in!H25=0,0,SER_hh_tesh_in!H25/SER_summary!H$27)</f>
        <v>17.57948329086129</v>
      </c>
      <c r="I25" s="132">
        <f>IF(SER_hh_tesh_in!I25=0,0,SER_hh_tesh_in!I25/SER_summary!I$27)</f>
        <v>17.325485140597447</v>
      </c>
      <c r="J25" s="132">
        <f>IF(SER_hh_tesh_in!J25=0,0,SER_hh_tesh_in!J25/SER_summary!J$27)</f>
        <v>17.010802920045524</v>
      </c>
      <c r="K25" s="132">
        <f>IF(SER_hh_tesh_in!K25=0,0,SER_hh_tesh_in!K25/SER_summary!K$27)</f>
        <v>17.310785665843973</v>
      </c>
      <c r="L25" s="132">
        <f>IF(SER_hh_tesh_in!L25=0,0,SER_hh_tesh_in!L25/SER_summary!L$27)</f>
        <v>17.203633944582769</v>
      </c>
      <c r="M25" s="132">
        <f>IF(SER_hh_tesh_in!M25=0,0,SER_hh_tesh_in!M25/SER_summary!M$27)</f>
        <v>17.383319418747057</v>
      </c>
      <c r="N25" s="132">
        <f>IF(SER_hh_tesh_in!N25=0,0,SER_hh_tesh_in!N25/SER_summary!N$27)</f>
        <v>17.371203774086254</v>
      </c>
      <c r="O25" s="132">
        <f>IF(SER_hh_tesh_in!O25=0,0,SER_hh_tesh_in!O25/SER_summary!O$27)</f>
        <v>17.459398294361304</v>
      </c>
      <c r="P25" s="132">
        <f>IF(SER_hh_tesh_in!P25=0,0,SER_hh_tesh_in!P25/SER_summary!P$27)</f>
        <v>17.294267435727555</v>
      </c>
      <c r="Q25" s="132">
        <f>IF(SER_hh_tesh_in!Q25=0,0,SER_hh_tesh_in!Q25/SER_summary!Q$27)</f>
        <v>17.271083292569099</v>
      </c>
      <c r="R25" s="132">
        <f>IF(SER_hh_tesh_in!R25=0,0,SER_hh_tesh_in!R25/SER_summary!R$27)</f>
        <v>17.22184761201493</v>
      </c>
      <c r="S25" s="132">
        <f>IF(SER_hh_tesh_in!S25=0,0,SER_hh_tesh_in!S25/SER_summary!S$27)</f>
        <v>17.24346286563231</v>
      </c>
      <c r="T25" s="132">
        <f>IF(SER_hh_tesh_in!T25=0,0,SER_hh_tesh_in!T25/SER_summary!T$27)</f>
        <v>17.390564416017916</v>
      </c>
      <c r="U25" s="132">
        <f>IF(SER_hh_tesh_in!U25=0,0,SER_hh_tesh_in!U25/SER_summary!U$27)</f>
        <v>17.472294867779048</v>
      </c>
      <c r="V25" s="132">
        <f>IF(SER_hh_tesh_in!V25=0,0,SER_hh_tesh_in!V25/SER_summary!V$27)</f>
        <v>15.226288107499832</v>
      </c>
      <c r="W25" s="132">
        <f>IF(SER_hh_tesh_in!W25=0,0,SER_hh_tesh_in!W25/SER_summary!W$27)</f>
        <v>17.340292521690849</v>
      </c>
      <c r="X25" s="132">
        <f>IF(SER_hh_tesh_in!X25=0,0,SER_hh_tesh_in!X25/SER_summary!X$27)</f>
        <v>19.016169351975265</v>
      </c>
      <c r="Y25" s="132">
        <f>IF(SER_hh_tesh_in!Y25=0,0,SER_hh_tesh_in!Y25/SER_summary!Y$27)</f>
        <v>19.883918315756574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18.61154031652487</v>
      </c>
      <c r="D26" s="65">
        <f>IF(SER_hh_tesh_in!D26=0,0,SER_hh_tesh_in!D26/SER_summary!D$27)</f>
        <v>18.142771557761069</v>
      </c>
      <c r="E26" s="65">
        <f>IF(SER_hh_tesh_in!E26=0,0,SER_hh_tesh_in!E26/SER_summary!E$27)</f>
        <v>18.987743978035837</v>
      </c>
      <c r="F26" s="65">
        <f>IF(SER_hh_tesh_in!F26=0,0,SER_hh_tesh_in!F26/SER_summary!F$27)</f>
        <v>18.35258799981742</v>
      </c>
      <c r="G26" s="65">
        <f>IF(SER_hh_tesh_in!G26=0,0,SER_hh_tesh_in!G26/SER_summary!G$27)</f>
        <v>18.253801729235455</v>
      </c>
      <c r="H26" s="65">
        <f>IF(SER_hh_tesh_in!H26=0,0,SER_hh_tesh_in!H26/SER_summary!H$27)</f>
        <v>17.697784677165966</v>
      </c>
      <c r="I26" s="65">
        <f>IF(SER_hh_tesh_in!I26=0,0,SER_hh_tesh_in!I26/SER_summary!I$27)</f>
        <v>16.575057727946351</v>
      </c>
      <c r="J26" s="65">
        <f>IF(SER_hh_tesh_in!J26=0,0,SER_hh_tesh_in!J26/SER_summary!J$27)</f>
        <v>17.238727503319396</v>
      </c>
      <c r="K26" s="65">
        <f>IF(SER_hh_tesh_in!K26=0,0,SER_hh_tesh_in!K26/SER_summary!K$27)</f>
        <v>17.016206190880297</v>
      </c>
      <c r="L26" s="65">
        <f>IF(SER_hh_tesh_in!L26=0,0,SER_hh_tesh_in!L26/SER_summary!L$27)</f>
        <v>17.07558150732838</v>
      </c>
      <c r="M26" s="65">
        <f>IF(SER_hh_tesh_in!M26=0,0,SER_hh_tesh_in!M26/SER_summary!M$27)</f>
        <v>17.453534710892299</v>
      </c>
      <c r="N26" s="65">
        <f>IF(SER_hh_tesh_in!N26=0,0,SER_hh_tesh_in!N26/SER_summary!N$27)</f>
        <v>17.7697182700824</v>
      </c>
      <c r="O26" s="65">
        <f>IF(SER_hh_tesh_in!O26=0,0,SER_hh_tesh_in!O26/SER_summary!O$27)</f>
        <v>17.361616944956726</v>
      </c>
      <c r="P26" s="65">
        <f>IF(SER_hh_tesh_in!P26=0,0,SER_hh_tesh_in!P26/SER_summary!P$27)</f>
        <v>16.725888072112685</v>
      </c>
      <c r="Q26" s="65">
        <f>IF(SER_hh_tesh_in!Q26=0,0,SER_hh_tesh_in!Q26/SER_summary!Q$27)</f>
        <v>17.552185050978316</v>
      </c>
      <c r="R26" s="65">
        <f>IF(SER_hh_tesh_in!R26=0,0,SER_hh_tesh_in!R26/SER_summary!R$27)</f>
        <v>17.231416709622327</v>
      </c>
      <c r="S26" s="65">
        <f>IF(SER_hh_tesh_in!S26=0,0,SER_hh_tesh_in!S26/SER_summary!S$27)</f>
        <v>17.12132477887948</v>
      </c>
      <c r="T26" s="65">
        <f>IF(SER_hh_tesh_in!T26=0,0,SER_hh_tesh_in!T26/SER_summary!T$27)</f>
        <v>16.784194978100853</v>
      </c>
      <c r="U26" s="65">
        <f>IF(SER_hh_tesh_in!U26=0,0,SER_hh_tesh_in!U26/SER_summary!U$27)</f>
        <v>17.422832782685337</v>
      </c>
      <c r="V26" s="65">
        <f>IF(SER_hh_tesh_in!V26=0,0,SER_hh_tesh_in!V26/SER_summary!V$27)</f>
        <v>16.964677011027451</v>
      </c>
      <c r="W26" s="65">
        <f>IF(SER_hh_tesh_in!W26=0,0,SER_hh_tesh_in!W26/SER_summary!W$27)</f>
        <v>17.869407679967811</v>
      </c>
      <c r="X26" s="65">
        <f>IF(SER_hh_tesh_in!X26=0,0,SER_hh_tesh_in!X26/SER_summary!X$27)</f>
        <v>17.740864937665044</v>
      </c>
      <c r="Y26" s="65">
        <f>IF(SER_hh_tesh_in!Y26=0,0,SER_hh_tesh_in!Y26/SER_summary!Y$27)</f>
        <v>20.347719954806788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</v>
      </c>
      <c r="D27" s="145">
        <f>IF(SER_hh_tesh_in!D27=0,0,SER_hh_tesh_in!D27/SER_summary!D$27)</f>
        <v>0</v>
      </c>
      <c r="E27" s="145">
        <f>IF(SER_hh_tesh_in!E27=0,0,SER_hh_tesh_in!E27/SER_summary!E$27)</f>
        <v>0</v>
      </c>
      <c r="F27" s="145">
        <f>IF(SER_hh_tesh_in!F27=0,0,SER_hh_tesh_in!F27/SER_summary!F$27)</f>
        <v>0</v>
      </c>
      <c r="G27" s="145">
        <f>IF(SER_hh_tesh_in!G27=0,0,SER_hh_tesh_in!G27/SER_summary!G$27)</f>
        <v>0</v>
      </c>
      <c r="H27" s="145">
        <f>IF(SER_hh_tesh_in!H27=0,0,SER_hh_tesh_in!H27/SER_summary!H$27)</f>
        <v>0</v>
      </c>
      <c r="I27" s="145">
        <f>IF(SER_hh_tesh_in!I27=0,0,SER_hh_tesh_in!I27/SER_summary!I$27)</f>
        <v>0</v>
      </c>
      <c r="J27" s="145">
        <f>IF(SER_hh_tesh_in!J27=0,0,SER_hh_tesh_in!J27/SER_summary!J$27)</f>
        <v>0</v>
      </c>
      <c r="K27" s="145">
        <f>IF(SER_hh_tesh_in!K27=0,0,SER_hh_tesh_in!K27/SER_summary!K$27)</f>
        <v>0</v>
      </c>
      <c r="L27" s="145">
        <f>IF(SER_hh_tesh_in!L27=0,0,SER_hh_tesh_in!L27/SER_summary!L$27)</f>
        <v>0</v>
      </c>
      <c r="M27" s="145">
        <f>IF(SER_hh_tesh_in!M27=0,0,SER_hh_tesh_in!M27/SER_summary!M$27)</f>
        <v>0</v>
      </c>
      <c r="N27" s="145">
        <f>IF(SER_hh_tesh_in!N27=0,0,SER_hh_tesh_in!N27/SER_summary!N$27)</f>
        <v>0</v>
      </c>
      <c r="O27" s="145">
        <f>IF(SER_hh_tesh_in!O27=0,0,SER_hh_tesh_in!O27/SER_summary!O$27)</f>
        <v>0</v>
      </c>
      <c r="P27" s="145">
        <f>IF(SER_hh_tesh_in!P27=0,0,SER_hh_tesh_in!P27/SER_summary!P$27)</f>
        <v>0</v>
      </c>
      <c r="Q27" s="145">
        <f>IF(SER_hh_tesh_in!Q27=0,0,SER_hh_tesh_in!Q27/SER_summary!Q$27)</f>
        <v>0</v>
      </c>
      <c r="R27" s="145">
        <f>IF(SER_hh_tesh_in!R27=0,0,SER_hh_tesh_in!R27/SER_summary!R$27)</f>
        <v>0</v>
      </c>
      <c r="S27" s="145">
        <f>IF(SER_hh_tesh_in!S27=0,0,SER_hh_tesh_in!S27/SER_summary!S$27)</f>
        <v>0</v>
      </c>
      <c r="T27" s="145">
        <f>IF(SER_hh_tesh_in!T27=0,0,SER_hh_tesh_in!T27/SER_summary!T$27)</f>
        <v>0</v>
      </c>
      <c r="U27" s="145">
        <f>IF(SER_hh_tesh_in!U27=0,0,SER_hh_tesh_in!U27/SER_summary!U$27)</f>
        <v>0</v>
      </c>
      <c r="V27" s="145">
        <f>IF(SER_hh_tesh_in!V27=0,0,SER_hh_tesh_in!V27/SER_summary!V$27)</f>
        <v>0</v>
      </c>
      <c r="W27" s="145">
        <f>IF(SER_hh_tesh_in!W27=0,0,SER_hh_tesh_in!W27/SER_summary!W$27)</f>
        <v>0</v>
      </c>
      <c r="X27" s="145">
        <f>IF(SER_hh_tesh_in!X27=0,0,SER_hh_tesh_in!X27/SER_summary!X$27)</f>
        <v>0</v>
      </c>
      <c r="Y27" s="145">
        <f>IF(SER_hh_tesh_in!Y27=0,0,SER_hh_tesh_in!Y27/SER_summary!Y$27)</f>
        <v>0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0</v>
      </c>
      <c r="D28" s="146">
        <f>IF(SER_hh_tesh_in!D28=0,0,SER_hh_tesh_in!D28/SER_summary!D$27)</f>
        <v>0</v>
      </c>
      <c r="E28" s="146">
        <f>IF(SER_hh_tesh_in!E28=0,0,SER_hh_tesh_in!E28/SER_summary!E$27)</f>
        <v>0</v>
      </c>
      <c r="F28" s="146">
        <f>IF(SER_hh_tesh_in!F28=0,0,SER_hh_tesh_in!F28/SER_summary!F$27)</f>
        <v>0</v>
      </c>
      <c r="G28" s="146">
        <f>IF(SER_hh_tesh_in!G28=0,0,SER_hh_tesh_in!G28/SER_summary!G$27)</f>
        <v>0</v>
      </c>
      <c r="H28" s="146">
        <f>IF(SER_hh_tesh_in!H28=0,0,SER_hh_tesh_in!H28/SER_summary!H$27)</f>
        <v>0</v>
      </c>
      <c r="I28" s="146">
        <f>IF(SER_hh_tesh_in!I28=0,0,SER_hh_tesh_in!I28/SER_summary!I$27)</f>
        <v>0</v>
      </c>
      <c r="J28" s="146">
        <f>IF(SER_hh_tesh_in!J28=0,0,SER_hh_tesh_in!J28/SER_summary!J$27)</f>
        <v>0</v>
      </c>
      <c r="K28" s="146">
        <f>IF(SER_hh_tesh_in!K28=0,0,SER_hh_tesh_in!K28/SER_summary!K$27)</f>
        <v>0</v>
      </c>
      <c r="L28" s="146">
        <f>IF(SER_hh_tesh_in!L28=0,0,SER_hh_tesh_in!L28/SER_summary!L$27)</f>
        <v>0</v>
      </c>
      <c r="M28" s="146">
        <f>IF(SER_hh_tesh_in!M28=0,0,SER_hh_tesh_in!M28/SER_summary!M$27)</f>
        <v>0</v>
      </c>
      <c r="N28" s="146">
        <f>IF(SER_hh_tesh_in!N28=0,0,SER_hh_tesh_in!N28/SER_summary!N$27)</f>
        <v>0</v>
      </c>
      <c r="O28" s="146">
        <f>IF(SER_hh_tesh_in!O28=0,0,SER_hh_tesh_in!O28/SER_summary!O$27)</f>
        <v>0</v>
      </c>
      <c r="P28" s="146">
        <f>IF(SER_hh_tesh_in!P28=0,0,SER_hh_tesh_in!P28/SER_summary!P$27)</f>
        <v>0</v>
      </c>
      <c r="Q28" s="146">
        <f>IF(SER_hh_tesh_in!Q28=0,0,SER_hh_tesh_in!Q28/SER_summary!Q$27)</f>
        <v>0</v>
      </c>
      <c r="R28" s="146">
        <f>IF(SER_hh_tesh_in!R28=0,0,SER_hh_tesh_in!R28/SER_summary!R$27)</f>
        <v>0</v>
      </c>
      <c r="S28" s="146">
        <f>IF(SER_hh_tesh_in!S28=0,0,SER_hh_tesh_in!S28/SER_summary!S$27)</f>
        <v>0</v>
      </c>
      <c r="T28" s="146">
        <f>IF(SER_hh_tesh_in!T28=0,0,SER_hh_tesh_in!T28/SER_summary!T$27)</f>
        <v>0</v>
      </c>
      <c r="U28" s="146">
        <f>IF(SER_hh_tesh_in!U28=0,0,SER_hh_tesh_in!U28/SER_summary!U$27)</f>
        <v>0</v>
      </c>
      <c r="V28" s="146">
        <f>IF(SER_hh_tesh_in!V28=0,0,SER_hh_tesh_in!V28/SER_summary!V$27)</f>
        <v>0</v>
      </c>
      <c r="W28" s="146">
        <f>IF(SER_hh_tesh_in!W28=0,0,SER_hh_tesh_in!W28/SER_summary!W$27)</f>
        <v>0</v>
      </c>
      <c r="X28" s="146">
        <f>IF(SER_hh_tesh_in!X28=0,0,SER_hh_tesh_in!X28/SER_summary!X$27)</f>
        <v>0</v>
      </c>
      <c r="Y28" s="146">
        <f>IF(SER_hh_tesh_in!Y28=0,0,SER_hh_tesh_in!Y28/SER_summary!Y$27)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20.223967461219644</v>
      </c>
      <c r="D29" s="130">
        <f>IF(SER_hh_tesh_in!D29=0,0,SER_hh_tesh_in!D29/SER_summary!D$27)</f>
        <v>20.068629599041561</v>
      </c>
      <c r="E29" s="130">
        <f>IF(SER_hh_tesh_in!E29=0,0,SER_hh_tesh_in!E29/SER_summary!E$27)</f>
        <v>19.955077950507121</v>
      </c>
      <c r="F29" s="130">
        <f>IF(SER_hh_tesh_in!F29=0,0,SER_hh_tesh_in!F29/SER_summary!F$27)</f>
        <v>21.009856350301291</v>
      </c>
      <c r="G29" s="130">
        <f>IF(SER_hh_tesh_in!G29=0,0,SER_hh_tesh_in!G29/SER_summary!G$27)</f>
        <v>20.311426680477041</v>
      </c>
      <c r="H29" s="130">
        <f>IF(SER_hh_tesh_in!H29=0,0,SER_hh_tesh_in!H29/SER_summary!H$27)</f>
        <v>19.80350770924802</v>
      </c>
      <c r="I29" s="130">
        <f>IF(SER_hh_tesh_in!I29=0,0,SER_hh_tesh_in!I29/SER_summary!I$27)</f>
        <v>19.679798772041515</v>
      </c>
      <c r="J29" s="130">
        <f>IF(SER_hh_tesh_in!J29=0,0,SER_hh_tesh_in!J29/SER_summary!J$27)</f>
        <v>20.487613655336411</v>
      </c>
      <c r="K29" s="130">
        <f>IF(SER_hh_tesh_in!K29=0,0,SER_hh_tesh_in!K29/SER_summary!K$27)</f>
        <v>21.55151243850246</v>
      </c>
      <c r="L29" s="130">
        <f>IF(SER_hh_tesh_in!L29=0,0,SER_hh_tesh_in!L29/SER_summary!L$27)</f>
        <v>21.831402222318506</v>
      </c>
      <c r="M29" s="130">
        <f>IF(SER_hh_tesh_in!M29=0,0,SER_hh_tesh_in!M29/SER_summary!M$27)</f>
        <v>22.016670931428422</v>
      </c>
      <c r="N29" s="130">
        <f>IF(SER_hh_tesh_in!N29=0,0,SER_hh_tesh_in!N29/SER_summary!N$27)</f>
        <v>21.800745442579149</v>
      </c>
      <c r="O29" s="130">
        <f>IF(SER_hh_tesh_in!O29=0,0,SER_hh_tesh_in!O29/SER_summary!O$27)</f>
        <v>22.255319939840376</v>
      </c>
      <c r="P29" s="130">
        <f>IF(SER_hh_tesh_in!P29=0,0,SER_hh_tesh_in!P29/SER_summary!P$27)</f>
        <v>21.908137255506073</v>
      </c>
      <c r="Q29" s="130">
        <f>IF(SER_hh_tesh_in!Q29=0,0,SER_hh_tesh_in!Q29/SER_summary!Q$27)</f>
        <v>21.442688678352425</v>
      </c>
      <c r="R29" s="130">
        <f>IF(SER_hh_tesh_in!R29=0,0,SER_hh_tesh_in!R29/SER_summary!R$27)</f>
        <v>22.036818731855277</v>
      </c>
      <c r="S29" s="130">
        <f>IF(SER_hh_tesh_in!S29=0,0,SER_hh_tesh_in!S29/SER_summary!S$27)</f>
        <v>21.660433392989109</v>
      </c>
      <c r="T29" s="130">
        <f>IF(SER_hh_tesh_in!T29=0,0,SER_hh_tesh_in!T29/SER_summary!T$27)</f>
        <v>21.872769025465587</v>
      </c>
      <c r="U29" s="130">
        <f>IF(SER_hh_tesh_in!U29=0,0,SER_hh_tesh_in!U29/SER_summary!U$27)</f>
        <v>21.650643444347246</v>
      </c>
      <c r="V29" s="130">
        <f>IF(SER_hh_tesh_in!V29=0,0,SER_hh_tesh_in!V29/SER_summary!V$27)</f>
        <v>19.839758702480758</v>
      </c>
      <c r="W29" s="130">
        <f>IF(SER_hh_tesh_in!W29=0,0,SER_hh_tesh_in!W29/SER_summary!W$27)</f>
        <v>22.702003355086131</v>
      </c>
      <c r="X29" s="130">
        <f>IF(SER_hh_tesh_in!X29=0,0,SER_hh_tesh_in!X29/SER_summary!X$27)</f>
        <v>25.311081373442427</v>
      </c>
      <c r="Y29" s="130">
        <f>IF(SER_hh_tesh_in!Y29=0,0,SER_hh_tesh_in!Y29/SER_summary!Y$27)</f>
        <v>28.56954792301482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0</v>
      </c>
      <c r="D30" s="132">
        <f>IF(SER_hh_tesh_in!D30=0,0,SER_hh_tesh_in!D30/SER_summary!D$27)</f>
        <v>0</v>
      </c>
      <c r="E30" s="132">
        <f>IF(SER_hh_tesh_in!E30=0,0,SER_hh_tesh_in!E30/SER_summary!E$27)</f>
        <v>0</v>
      </c>
      <c r="F30" s="132">
        <f>IF(SER_hh_tesh_in!F30=0,0,SER_hh_tesh_in!F30/SER_summary!F$27)</f>
        <v>28.422958012756244</v>
      </c>
      <c r="G30" s="132">
        <f>IF(SER_hh_tesh_in!G30=0,0,SER_hh_tesh_in!G30/SER_summary!G$27)</f>
        <v>22.206664202548154</v>
      </c>
      <c r="H30" s="132">
        <f>IF(SER_hh_tesh_in!H30=0,0,SER_hh_tesh_in!H30/SER_summary!H$27)</f>
        <v>19.946709771042087</v>
      </c>
      <c r="I30" s="132">
        <f>IF(SER_hh_tesh_in!I30=0,0,SER_hh_tesh_in!I30/SER_summary!I$27)</f>
        <v>0</v>
      </c>
      <c r="J30" s="132">
        <f>IF(SER_hh_tesh_in!J30=0,0,SER_hh_tesh_in!J30/SER_summary!J$27)</f>
        <v>0</v>
      </c>
      <c r="K30" s="132">
        <f>IF(SER_hh_tesh_in!K30=0,0,SER_hh_tesh_in!K30/SER_summary!K$27)</f>
        <v>0</v>
      </c>
      <c r="L30" s="132">
        <f>IF(SER_hh_tesh_in!L30=0,0,SER_hh_tesh_in!L30/SER_summary!L$27)</f>
        <v>21.56463077455486</v>
      </c>
      <c r="M30" s="132">
        <f>IF(SER_hh_tesh_in!M30=0,0,SER_hh_tesh_in!M30/SER_summary!M$27)</f>
        <v>21.81383503889878</v>
      </c>
      <c r="N30" s="132">
        <f>IF(SER_hh_tesh_in!N30=0,0,SER_hh_tesh_in!N30/SER_summary!N$27)</f>
        <v>22.006409078790018</v>
      </c>
      <c r="O30" s="132">
        <f>IF(SER_hh_tesh_in!O30=0,0,SER_hh_tesh_in!O30/SER_summary!O$27)</f>
        <v>22.063219883786097</v>
      </c>
      <c r="P30" s="132">
        <f>IF(SER_hh_tesh_in!P30=0,0,SER_hh_tesh_in!P30/SER_summary!P$27)</f>
        <v>19.927321425789707</v>
      </c>
      <c r="Q30" s="132">
        <f>IF(SER_hh_tesh_in!Q30=0,0,SER_hh_tesh_in!Q30/SER_summary!Q$27)</f>
        <v>15.594438340459671</v>
      </c>
      <c r="R30" s="132">
        <f>IF(SER_hh_tesh_in!R30=0,0,SER_hh_tesh_in!R30/SER_summary!R$27)</f>
        <v>24.20798497977448</v>
      </c>
      <c r="S30" s="132">
        <f>IF(SER_hh_tesh_in!S30=0,0,SER_hh_tesh_in!S30/SER_summary!S$27)</f>
        <v>35.709085765091935</v>
      </c>
      <c r="T30" s="132">
        <f>IF(SER_hh_tesh_in!T30=0,0,SER_hh_tesh_in!T30/SER_summary!T$27)</f>
        <v>11.181460728541776</v>
      </c>
      <c r="U30" s="132">
        <f>IF(SER_hh_tesh_in!U30=0,0,SER_hh_tesh_in!U30/SER_summary!U$27)</f>
        <v>0</v>
      </c>
      <c r="V30" s="132">
        <f>IF(SER_hh_tesh_in!V30=0,0,SER_hh_tesh_in!V30/SER_summary!V$27)</f>
        <v>0</v>
      </c>
      <c r="W30" s="132">
        <f>IF(SER_hh_tesh_in!W30=0,0,SER_hh_tesh_in!W30/SER_summary!W$27)</f>
        <v>16.562104266965285</v>
      </c>
      <c r="X30" s="132">
        <f>IF(SER_hh_tesh_in!X30=0,0,SER_hh_tesh_in!X30/SER_summary!X$27)</f>
        <v>22.544865194996465</v>
      </c>
      <c r="Y30" s="132">
        <f>IF(SER_hh_tesh_in!Y30=0,0,SER_hh_tesh_in!Y30/SER_summary!Y$27)</f>
        <v>32.268212377713539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21.204179687913602</v>
      </c>
      <c r="D31" s="132">
        <f>IF(SER_hh_tesh_in!D31=0,0,SER_hh_tesh_in!D31/SER_summary!D$27)</f>
        <v>22.864834182973446</v>
      </c>
      <c r="E31" s="132">
        <f>IF(SER_hh_tesh_in!E31=0,0,SER_hh_tesh_in!E31/SER_summary!E$27)</f>
        <v>20.65916304835407</v>
      </c>
      <c r="F31" s="132">
        <f>IF(SER_hh_tesh_in!F31=0,0,SER_hh_tesh_in!F31/SER_summary!F$27)</f>
        <v>19.947775707024999</v>
      </c>
      <c r="G31" s="132">
        <f>IF(SER_hh_tesh_in!G31=0,0,SER_hh_tesh_in!G31/SER_summary!G$27)</f>
        <v>20.043748261833692</v>
      </c>
      <c r="H31" s="132">
        <f>IF(SER_hh_tesh_in!H31=0,0,SER_hh_tesh_in!H31/SER_summary!H$27)</f>
        <v>19.907439681890768</v>
      </c>
      <c r="I31" s="132">
        <f>IF(SER_hh_tesh_in!I31=0,0,SER_hh_tesh_in!I31/SER_summary!I$27)</f>
        <v>20.301788365439727</v>
      </c>
      <c r="J31" s="132">
        <f>IF(SER_hh_tesh_in!J31=0,0,SER_hh_tesh_in!J31/SER_summary!J$27)</f>
        <v>20.794447995790986</v>
      </c>
      <c r="K31" s="132">
        <f>IF(SER_hh_tesh_in!K31=0,0,SER_hh_tesh_in!K31/SER_summary!K$27)</f>
        <v>20.162827567129355</v>
      </c>
      <c r="L31" s="132">
        <f>IF(SER_hh_tesh_in!L31=0,0,SER_hh_tesh_in!L31/SER_summary!L$27)</f>
        <v>21.491998180745622</v>
      </c>
      <c r="M31" s="132">
        <f>IF(SER_hh_tesh_in!M31=0,0,SER_hh_tesh_in!M31/SER_summary!M$27)</f>
        <v>21.728587146952552</v>
      </c>
      <c r="N31" s="132">
        <f>IF(SER_hh_tesh_in!N31=0,0,SER_hh_tesh_in!N31/SER_summary!N$27)</f>
        <v>22.31065429260094</v>
      </c>
      <c r="O31" s="132">
        <f>IF(SER_hh_tesh_in!O31=0,0,SER_hh_tesh_in!O31/SER_summary!O$27)</f>
        <v>22.128974589950381</v>
      </c>
      <c r="P31" s="132">
        <f>IF(SER_hh_tesh_in!P31=0,0,SER_hh_tesh_in!P31/SER_summary!P$27)</f>
        <v>21.003031378180783</v>
      </c>
      <c r="Q31" s="132">
        <f>IF(SER_hh_tesh_in!Q31=0,0,SER_hh_tesh_in!Q31/SER_summary!Q$27)</f>
        <v>19.735918628422915</v>
      </c>
      <c r="R31" s="132">
        <f>IF(SER_hh_tesh_in!R31=0,0,SER_hh_tesh_in!R31/SER_summary!R$27)</f>
        <v>23.757557233038437</v>
      </c>
      <c r="S31" s="132">
        <f>IF(SER_hh_tesh_in!S31=0,0,SER_hh_tesh_in!S31/SER_summary!S$27)</f>
        <v>21.119890634362797</v>
      </c>
      <c r="T31" s="132">
        <f>IF(SER_hh_tesh_in!T31=0,0,SER_hh_tesh_in!T31/SER_summary!T$27)</f>
        <v>21.167257948306247</v>
      </c>
      <c r="U31" s="132">
        <f>IF(SER_hh_tesh_in!U31=0,0,SER_hh_tesh_in!U31/SER_summary!U$27)</f>
        <v>24.511679806941554</v>
      </c>
      <c r="V31" s="132">
        <f>IF(SER_hh_tesh_in!V31=0,0,SER_hh_tesh_in!V31/SER_summary!V$27)</f>
        <v>24.099198428502984</v>
      </c>
      <c r="W31" s="132">
        <f>IF(SER_hh_tesh_in!W31=0,0,SER_hh_tesh_in!W31/SER_summary!W$27)</f>
        <v>24.672479871193456</v>
      </c>
      <c r="X31" s="132">
        <f>IF(SER_hh_tesh_in!X31=0,0,SER_hh_tesh_in!X31/SER_summary!X$27)</f>
        <v>0</v>
      </c>
      <c r="Y31" s="132">
        <f>IF(SER_hh_tesh_in!Y31=0,0,SER_hh_tesh_in!Y31/SER_summary!Y$27)</f>
        <v>0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19.775409939658083</v>
      </c>
      <c r="D33" s="68">
        <f>IF(SER_hh_tesh_in!D33=0,0,SER_hh_tesh_in!D33/SER_summary!D$27)</f>
        <v>19.177127903669295</v>
      </c>
      <c r="E33" s="68">
        <f>IF(SER_hh_tesh_in!E33=0,0,SER_hh_tesh_in!E33/SER_summary!E$27)</f>
        <v>19.845409962977037</v>
      </c>
      <c r="F33" s="68">
        <f>IF(SER_hh_tesh_in!F33=0,0,SER_hh_tesh_in!F33/SER_summary!F$27)</f>
        <v>19.512250245625406</v>
      </c>
      <c r="G33" s="68">
        <f>IF(SER_hh_tesh_in!G33=0,0,SER_hh_tesh_in!G33/SER_summary!G$27)</f>
        <v>20.242055630784318</v>
      </c>
      <c r="H33" s="68">
        <f>IF(SER_hh_tesh_in!H33=0,0,SER_hh_tesh_in!H33/SER_summary!H$27)</f>
        <v>19.79762507684989</v>
      </c>
      <c r="I33" s="68">
        <f>IF(SER_hh_tesh_in!I33=0,0,SER_hh_tesh_in!I33/SER_summary!I$27)</f>
        <v>19.660922353546034</v>
      </c>
      <c r="J33" s="68">
        <f>IF(SER_hh_tesh_in!J33=0,0,SER_hh_tesh_in!J33/SER_summary!J$27)</f>
        <v>20.473430180274953</v>
      </c>
      <c r="K33" s="68">
        <f>IF(SER_hh_tesh_in!K33=0,0,SER_hh_tesh_in!K33/SER_summary!K$27)</f>
        <v>21.62157005711401</v>
      </c>
      <c r="L33" s="68">
        <f>IF(SER_hh_tesh_in!L33=0,0,SER_hh_tesh_in!L33/SER_summary!L$27)</f>
        <v>21.871239636005843</v>
      </c>
      <c r="M33" s="68">
        <f>IF(SER_hh_tesh_in!M33=0,0,SER_hh_tesh_in!M33/SER_summary!M$27)</f>
        <v>22.064840987129759</v>
      </c>
      <c r="N33" s="68">
        <f>IF(SER_hh_tesh_in!N33=0,0,SER_hh_tesh_in!N33/SER_summary!N$27)</f>
        <v>21.692212937286609</v>
      </c>
      <c r="O33" s="68">
        <f>IF(SER_hh_tesh_in!O33=0,0,SER_hh_tesh_in!O33/SER_summary!O$27)</f>
        <v>22.285600111320786</v>
      </c>
      <c r="P33" s="68">
        <f>IF(SER_hh_tesh_in!P33=0,0,SER_hh_tesh_in!P33/SER_summary!P$27)</f>
        <v>22.17970708296065</v>
      </c>
      <c r="Q33" s="68">
        <f>IF(SER_hh_tesh_in!Q33=0,0,SER_hh_tesh_in!Q33/SER_summary!Q$27)</f>
        <v>22.296556599229078</v>
      </c>
      <c r="R33" s="68">
        <f>IF(SER_hh_tesh_in!R33=0,0,SER_hh_tesh_in!R33/SER_summary!R$27)</f>
        <v>21.237001338173705</v>
      </c>
      <c r="S33" s="68">
        <f>IF(SER_hh_tesh_in!S33=0,0,SER_hh_tesh_in!S33/SER_summary!S$27)</f>
        <v>21.414479613022298</v>
      </c>
      <c r="T33" s="68">
        <f>IF(SER_hh_tesh_in!T33=0,0,SER_hh_tesh_in!T33/SER_summary!T$27)</f>
        <v>22.447632404872738</v>
      </c>
      <c r="U33" s="68">
        <f>IF(SER_hh_tesh_in!U33=0,0,SER_hh_tesh_in!U33/SER_summary!U$27)</f>
        <v>21.340434456317748</v>
      </c>
      <c r="V33" s="68">
        <f>IF(SER_hh_tesh_in!V33=0,0,SER_hh_tesh_in!V33/SER_summary!V$27)</f>
        <v>19.485714978897477</v>
      </c>
      <c r="W33" s="68">
        <f>IF(SER_hh_tesh_in!W33=0,0,SER_hh_tesh_in!W33/SER_summary!W$27)</f>
        <v>23.016638676029405</v>
      </c>
      <c r="X33" s="68">
        <f>IF(SER_hh_tesh_in!X33=0,0,SER_hh_tesh_in!X33/SER_summary!X$27)</f>
        <v>25.359536501260163</v>
      </c>
      <c r="Y33" s="68">
        <f>IF(SER_hh_tesh_in!Y33=0,0,SER_hh_tesh_in!Y33/SER_summary!Y$27)</f>
        <v>27.968456555342772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21.44141108573352</v>
      </c>
      <c r="D3" s="125">
        <f>IF(SER_hh_emih_in!D3=0,0,SER_hh_emih_in!D3/SER_summary!D$27)</f>
        <v>17.68756316750228</v>
      </c>
      <c r="E3" s="125">
        <f>IF(SER_hh_emih_in!E3=0,0,SER_hh_emih_in!E3/SER_summary!E$27)</f>
        <v>29.518360875146286</v>
      </c>
      <c r="F3" s="125">
        <f>IF(SER_hh_emih_in!F3=0,0,SER_hh_emih_in!F3/SER_summary!F$27)</f>
        <v>6.1429898046973062</v>
      </c>
      <c r="G3" s="125">
        <f>IF(SER_hh_emih_in!G3=0,0,SER_hh_emih_in!G3/SER_summary!G$27)</f>
        <v>1.4584343379746136</v>
      </c>
      <c r="H3" s="125">
        <f>IF(SER_hh_emih_in!H3=0,0,SER_hh_emih_in!H3/SER_summary!H$27)</f>
        <v>0.97188350013925706</v>
      </c>
      <c r="I3" s="125">
        <f>IF(SER_hh_emih_in!I3=0,0,SER_hh_emih_in!I3/SER_summary!I$27)</f>
        <v>6.9077570620534781</v>
      </c>
      <c r="J3" s="125">
        <f>IF(SER_hh_emih_in!J3=0,0,SER_hh_emih_in!J3/SER_summary!J$27)</f>
        <v>7.9967154176017496</v>
      </c>
      <c r="K3" s="125">
        <f>IF(SER_hh_emih_in!K3=0,0,SER_hh_emih_in!K3/SER_summary!K$27)</f>
        <v>13.94955456852478</v>
      </c>
      <c r="L3" s="125">
        <f>IF(SER_hh_emih_in!L3=0,0,SER_hh_emih_in!L3/SER_summary!L$27)</f>
        <v>13.903279852537311</v>
      </c>
      <c r="M3" s="125">
        <f>IF(SER_hh_emih_in!M3=0,0,SER_hh_emih_in!M3/SER_summary!M$27)</f>
        <v>26.202512170308399</v>
      </c>
      <c r="N3" s="125">
        <f>IF(SER_hh_emih_in!N3=0,0,SER_hh_emih_in!N3/SER_summary!N$27)</f>
        <v>20.442045914057765</v>
      </c>
      <c r="O3" s="125">
        <f>IF(SER_hh_emih_in!O3=0,0,SER_hh_emih_in!O3/SER_summary!O$27)</f>
        <v>21.36409292037288</v>
      </c>
      <c r="P3" s="125">
        <f>IF(SER_hh_emih_in!P3=0,0,SER_hh_emih_in!P3/SER_summary!P$27)</f>
        <v>21.937104384826529</v>
      </c>
      <c r="Q3" s="125">
        <f>IF(SER_hh_emih_in!Q3=0,0,SER_hh_emih_in!Q3/SER_summary!Q$27)</f>
        <v>13.885265858329413</v>
      </c>
      <c r="R3" s="125">
        <f>IF(SER_hh_emih_in!R3=0,0,SER_hh_emih_in!R3/SER_summary!R$27)</f>
        <v>13.01532405673694</v>
      </c>
      <c r="S3" s="125">
        <f>IF(SER_hh_emih_in!S3=0,0,SER_hh_emih_in!S3/SER_summary!S$27)</f>
        <v>7.1918616943506279</v>
      </c>
      <c r="T3" s="125">
        <f>IF(SER_hh_emih_in!T3=0,0,SER_hh_emih_in!T3/SER_summary!T$27)</f>
        <v>6.7996547413018744</v>
      </c>
      <c r="U3" s="125">
        <f>IF(SER_hh_emih_in!U3=0,0,SER_hh_emih_in!U3/SER_summary!U$27)</f>
        <v>4.1930653614323932</v>
      </c>
      <c r="V3" s="125">
        <f>IF(SER_hh_emih_in!V3=0,0,SER_hh_emih_in!V3/SER_summary!V$27)</f>
        <v>0.96865768171539746</v>
      </c>
      <c r="W3" s="125">
        <f>IF(SER_hh_emih_in!W3=0,0,SER_hh_emih_in!W3/SER_summary!W$27)</f>
        <v>1.9934072438219104</v>
      </c>
      <c r="X3" s="125">
        <f>IF(SER_hh_emih_in!X3=0,0,SER_hh_emih_in!X3/SER_summary!X$27)</f>
        <v>3.1361156960248513</v>
      </c>
      <c r="Y3" s="125">
        <f>IF(SER_hh_emih_in!Y3=0,0,SER_hh_emih_in!Y3/SER_summary!Y$27)</f>
        <v>6.0443400246847334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16.866899040300563</v>
      </c>
      <c r="D4" s="130">
        <f>IF(SER_hh_emih_in!D4=0,0,SER_hh_emih_in!D4/SER_summary!D$27)</f>
        <v>15.037386574637591</v>
      </c>
      <c r="E4" s="130">
        <f>IF(SER_hh_emih_in!E4=0,0,SER_hh_emih_in!E4/SER_summary!E$27)</f>
        <v>28.048934023194477</v>
      </c>
      <c r="F4" s="130">
        <f>IF(SER_hh_emih_in!F4=0,0,SER_hh_emih_in!F4/SER_summary!F$27)</f>
        <v>3.5359043748666954</v>
      </c>
      <c r="G4" s="130">
        <f>IF(SER_hh_emih_in!G4=0,0,SER_hh_emih_in!G4/SER_summary!G$27)</f>
        <v>0.68951479821499961</v>
      </c>
      <c r="H4" s="130">
        <f>IF(SER_hh_emih_in!H4=0,0,SER_hh_emih_in!H4/SER_summary!H$27)</f>
        <v>0.35543341033600551</v>
      </c>
      <c r="I4" s="130">
        <f>IF(SER_hh_emih_in!I4=0,0,SER_hh_emih_in!I4/SER_summary!I$27)</f>
        <v>5.8850320774764793</v>
      </c>
      <c r="J4" s="130">
        <f>IF(SER_hh_emih_in!J4=0,0,SER_hh_emih_in!J4/SER_summary!J$27)</f>
        <v>5.4189327520752606</v>
      </c>
      <c r="K4" s="130">
        <f>IF(SER_hh_emih_in!K4=0,0,SER_hh_emih_in!K4/SER_summary!K$27)</f>
        <v>11.770424604018562</v>
      </c>
      <c r="L4" s="130">
        <f>IF(SER_hh_emih_in!L4=0,0,SER_hh_emih_in!L4/SER_summary!L$27)</f>
        <v>11.6397633327127</v>
      </c>
      <c r="M4" s="130">
        <f>IF(SER_hh_emih_in!M4=0,0,SER_hh_emih_in!M4/SER_summary!M$27)</f>
        <v>23.661563670798781</v>
      </c>
      <c r="N4" s="130">
        <f>IF(SER_hh_emih_in!N4=0,0,SER_hh_emih_in!N4/SER_summary!N$27)</f>
        <v>17.298740196212563</v>
      </c>
      <c r="O4" s="130">
        <f>IF(SER_hh_emih_in!O4=0,0,SER_hh_emih_in!O4/SER_summary!O$27)</f>
        <v>17.658341462013041</v>
      </c>
      <c r="P4" s="130">
        <f>IF(SER_hh_emih_in!P4=0,0,SER_hh_emih_in!P4/SER_summary!P$27)</f>
        <v>17.797926259965216</v>
      </c>
      <c r="Q4" s="130">
        <f>IF(SER_hh_emih_in!Q4=0,0,SER_hh_emih_in!Q4/SER_summary!Q$27)</f>
        <v>11.248952679146861</v>
      </c>
      <c r="R4" s="130">
        <f>IF(SER_hh_emih_in!R4=0,0,SER_hh_emih_in!R4/SER_summary!R$27)</f>
        <v>9.4287082510343332</v>
      </c>
      <c r="S4" s="130">
        <f>IF(SER_hh_emih_in!S4=0,0,SER_hh_emih_in!S4/SER_summary!S$27)</f>
        <v>5.1358002205689282</v>
      </c>
      <c r="T4" s="130">
        <f>IF(SER_hh_emih_in!T4=0,0,SER_hh_emih_in!T4/SER_summary!T$27)</f>
        <v>4.5346915175989126</v>
      </c>
      <c r="U4" s="130">
        <f>IF(SER_hh_emih_in!U4=0,0,SER_hh_emih_in!U4/SER_summary!U$27)</f>
        <v>2.7269148144739797</v>
      </c>
      <c r="V4" s="130">
        <f>IF(SER_hh_emih_in!V4=0,0,SER_hh_emih_in!V4/SER_summary!V$27)</f>
        <v>3.8057383542803039E-2</v>
      </c>
      <c r="W4" s="130">
        <f>IF(SER_hh_emih_in!W4=0,0,SER_hh_emih_in!W4/SER_summary!W$27)</f>
        <v>1.2288674319663397</v>
      </c>
      <c r="X4" s="130">
        <f>IF(SER_hh_emih_in!X4=0,0,SER_hh_emih_in!X4/SER_summary!X$27)</f>
        <v>2.5703276255927658</v>
      </c>
      <c r="Y4" s="130">
        <f>IF(SER_hh_emih_in!Y4=0,0,SER_hh_emih_in!Y4/SER_summary!Y$27)</f>
        <v>3.5751158687277393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70.562018636449196</v>
      </c>
      <c r="D5" s="132">
        <f>IF(SER_hh_emih_in!D5=0,0,SER_hh_emih_in!D5/SER_summary!D$27)</f>
        <v>60.764088097839014</v>
      </c>
      <c r="E5" s="132">
        <f>IF(SER_hh_emih_in!E5=0,0,SER_hh_emih_in!E5/SER_summary!E$27)</f>
        <v>65.873156311037533</v>
      </c>
      <c r="F5" s="132">
        <f>IF(SER_hh_emih_in!F5=0,0,SER_hh_emih_in!F5/SER_summary!F$27)</f>
        <v>0</v>
      </c>
      <c r="G5" s="132">
        <f>IF(SER_hh_emih_in!G5=0,0,SER_hh_emih_in!G5/SER_summary!G$27)</f>
        <v>82.063312372344328</v>
      </c>
      <c r="H5" s="132">
        <f>IF(SER_hh_emih_in!H5=0,0,SER_hh_emih_in!H5/SER_summary!H$27)</f>
        <v>0</v>
      </c>
      <c r="I5" s="132">
        <f>IF(SER_hh_emih_in!I5=0,0,SER_hh_emih_in!I5/SER_summary!I$27)</f>
        <v>0</v>
      </c>
      <c r="J5" s="132">
        <f>IF(SER_hh_emih_in!J5=0,0,SER_hh_emih_in!J5/SER_summary!J$27)</f>
        <v>0</v>
      </c>
      <c r="K5" s="132">
        <f>IF(SER_hh_emih_in!K5=0,0,SER_hh_emih_in!K5/SER_summary!K$27)</f>
        <v>0</v>
      </c>
      <c r="L5" s="132">
        <f>IF(SER_hh_emih_in!L5=0,0,SER_hh_emih_in!L5/SER_summary!L$27)</f>
        <v>0</v>
      </c>
      <c r="M5" s="132">
        <f>IF(SER_hh_emih_in!M5=0,0,SER_hh_emih_in!M5/SER_summary!M$27)</f>
        <v>44.897908211461022</v>
      </c>
      <c r="N5" s="132">
        <f>IF(SER_hh_emih_in!N5=0,0,SER_hh_emih_in!N5/SER_summary!N$27)</f>
        <v>52.054881867556617</v>
      </c>
      <c r="O5" s="132">
        <f>IF(SER_hh_emih_in!O5=0,0,SER_hh_emih_in!O5/SER_summary!O$27)</f>
        <v>80.18132614722235</v>
      </c>
      <c r="P5" s="132">
        <f>IF(SER_hh_emih_in!P5=0,0,SER_hh_emih_in!P5/SER_summary!P$27)</f>
        <v>0</v>
      </c>
      <c r="Q5" s="132">
        <f>IF(SER_hh_emih_in!Q5=0,0,SER_hh_emih_in!Q5/SER_summary!Q$27)</f>
        <v>0</v>
      </c>
      <c r="R5" s="132">
        <f>IF(SER_hh_emih_in!R5=0,0,SER_hh_emih_in!R5/SER_summary!R$27)</f>
        <v>0</v>
      </c>
      <c r="S5" s="132">
        <f>IF(SER_hh_emih_in!S5=0,0,SER_hh_emih_in!S5/SER_summary!S$27)</f>
        <v>0</v>
      </c>
      <c r="T5" s="132">
        <f>IF(SER_hh_emih_in!T5=0,0,SER_hh_emih_in!T5/SER_summary!T$27)</f>
        <v>0</v>
      </c>
      <c r="U5" s="132">
        <f>IF(SER_hh_emih_in!U5=0,0,SER_hh_emih_in!U5/SER_summary!U$27)</f>
        <v>0</v>
      </c>
      <c r="V5" s="132">
        <f>IF(SER_hh_emih_in!V5=0,0,SER_hh_emih_in!V5/SER_summary!V$27)</f>
        <v>35.696147977448007</v>
      </c>
      <c r="W5" s="132">
        <f>IF(SER_hh_emih_in!W5=0,0,SER_hh_emih_in!W5/SER_summary!W$27)</f>
        <v>0</v>
      </c>
      <c r="X5" s="132">
        <f>IF(SER_hh_emih_in!X5=0,0,SER_hh_emih_in!X5/SER_summary!X$27)</f>
        <v>0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68.647817784393297</v>
      </c>
      <c r="D7" s="132">
        <f>IF(SER_hh_emih_in!D7=0,0,SER_hh_emih_in!D7/SER_summary!D$27)</f>
        <v>0</v>
      </c>
      <c r="E7" s="132">
        <f>IF(SER_hh_emih_in!E7=0,0,SER_hh_emih_in!E7/SER_summary!E$27)</f>
        <v>0</v>
      </c>
      <c r="F7" s="132">
        <f>IF(SER_hh_emih_in!F7=0,0,SER_hh_emih_in!F7/SER_summary!F$27)</f>
        <v>0</v>
      </c>
      <c r="G7" s="132">
        <f>IF(SER_hh_emih_in!G7=0,0,SER_hh_emih_in!G7/SER_summary!G$27)</f>
        <v>0</v>
      </c>
      <c r="H7" s="132">
        <f>IF(SER_hh_emih_in!H7=0,0,SER_hh_emih_in!H7/SER_summary!H$27)</f>
        <v>56.099105590349453</v>
      </c>
      <c r="I7" s="132">
        <f>IF(SER_hh_emih_in!I7=0,0,SER_hh_emih_in!I7/SER_summary!I$27)</f>
        <v>61.215135725749597</v>
      </c>
      <c r="J7" s="132">
        <f>IF(SER_hh_emih_in!J7=0,0,SER_hh_emih_in!J7/SER_summary!J$27)</f>
        <v>63.358286576577235</v>
      </c>
      <c r="K7" s="132">
        <f>IF(SER_hh_emih_in!K7=0,0,SER_hh_emih_in!K7/SER_summary!K$27)</f>
        <v>57.291722405677227</v>
      </c>
      <c r="L7" s="132">
        <f>IF(SER_hh_emih_in!L7=0,0,SER_hh_emih_in!L7/SER_summary!L$27)</f>
        <v>45.049222005993606</v>
      </c>
      <c r="M7" s="132">
        <f>IF(SER_hh_emih_in!M7=0,0,SER_hh_emih_in!M7/SER_summary!M$27)</f>
        <v>56.148617436387021</v>
      </c>
      <c r="N7" s="132">
        <f>IF(SER_hh_emih_in!N7=0,0,SER_hh_emih_in!N7/SER_summary!N$27)</f>
        <v>53.38873682981572</v>
      </c>
      <c r="O7" s="132">
        <f>IF(SER_hh_emih_in!O7=0,0,SER_hh_emih_in!O7/SER_summary!O$27)</f>
        <v>47.09838839835141</v>
      </c>
      <c r="P7" s="132">
        <f>IF(SER_hh_emih_in!P7=0,0,SER_hh_emih_in!P7/SER_summary!P$27)</f>
        <v>0</v>
      </c>
      <c r="Q7" s="132">
        <f>IF(SER_hh_emih_in!Q7=0,0,SER_hh_emih_in!Q7/SER_summary!Q$27)</f>
        <v>0</v>
      </c>
      <c r="R7" s="132">
        <f>IF(SER_hh_emih_in!R7=0,0,SER_hh_emih_in!R7/SER_summary!R$27)</f>
        <v>0</v>
      </c>
      <c r="S7" s="132">
        <f>IF(SER_hh_emih_in!S7=0,0,SER_hh_emih_in!S7/SER_summary!S$27)</f>
        <v>0</v>
      </c>
      <c r="T7" s="132">
        <f>IF(SER_hh_emih_in!T7=0,0,SER_hh_emih_in!T7/SER_summary!T$27)</f>
        <v>0</v>
      </c>
      <c r="U7" s="132">
        <f>IF(SER_hh_emih_in!U7=0,0,SER_hh_emih_in!U7/SER_summary!U$27)</f>
        <v>0</v>
      </c>
      <c r="V7" s="132">
        <f>IF(SER_hh_emih_in!V7=0,0,SER_hh_emih_in!V7/SER_summary!V$27)</f>
        <v>0</v>
      </c>
      <c r="W7" s="132">
        <f>IF(SER_hh_emih_in!W7=0,0,SER_hh_emih_in!W7/SER_summary!W$27)</f>
        <v>21.692650781114615</v>
      </c>
      <c r="X7" s="132">
        <f>IF(SER_hh_emih_in!X7=0,0,SER_hh_emih_in!X7/SER_summary!X$27)</f>
        <v>20.425731921335974</v>
      </c>
      <c r="Y7" s="132">
        <f>IF(SER_hh_emih_in!Y7=0,0,SER_hh_emih_in!Y7/SER_summary!Y$27)</f>
        <v>21.067868321255904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0</v>
      </c>
      <c r="D8" s="132">
        <f>IF(SER_hh_emih_in!D8=0,0,SER_hh_emih_in!D8/SER_summary!D$27)</f>
        <v>0</v>
      </c>
      <c r="E8" s="132">
        <f>IF(SER_hh_emih_in!E8=0,0,SER_hh_emih_in!E8/SER_summary!E$27)</f>
        <v>0</v>
      </c>
      <c r="F8" s="132">
        <f>IF(SER_hh_emih_in!F8=0,0,SER_hh_emih_in!F8/SER_summary!F$27)</f>
        <v>0</v>
      </c>
      <c r="G8" s="132">
        <f>IF(SER_hh_emih_in!G8=0,0,SER_hh_emih_in!G8/SER_summary!G$27)</f>
        <v>0</v>
      </c>
      <c r="H8" s="132">
        <f>IF(SER_hh_emih_in!H8=0,0,SER_hh_emih_in!H8/SER_summary!H$27)</f>
        <v>0</v>
      </c>
      <c r="I8" s="132">
        <f>IF(SER_hh_emih_in!I8=0,0,SER_hh_emih_in!I8/SER_summary!I$27)</f>
        <v>0</v>
      </c>
      <c r="J8" s="132">
        <f>IF(SER_hh_emih_in!J8=0,0,SER_hh_emih_in!J8/SER_summary!J$27)</f>
        <v>0</v>
      </c>
      <c r="K8" s="132">
        <f>IF(SER_hh_emih_in!K8=0,0,SER_hh_emih_in!K8/SER_summary!K$27)</f>
        <v>0</v>
      </c>
      <c r="L8" s="132">
        <f>IF(SER_hh_emih_in!L8=0,0,SER_hh_emih_in!L8/SER_summary!L$27)</f>
        <v>0</v>
      </c>
      <c r="M8" s="132">
        <f>IF(SER_hh_emih_in!M8=0,0,SER_hh_emih_in!M8/SER_summary!M$27)</f>
        <v>0</v>
      </c>
      <c r="N8" s="132">
        <f>IF(SER_hh_emih_in!N8=0,0,SER_hh_emih_in!N8/SER_summary!N$27)</f>
        <v>0</v>
      </c>
      <c r="O8" s="132">
        <f>IF(SER_hh_emih_in!O8=0,0,SER_hh_emih_in!O8/SER_summary!O$27)</f>
        <v>0</v>
      </c>
      <c r="P8" s="132">
        <f>IF(SER_hh_emih_in!P8=0,0,SER_hh_emih_in!P8/SER_summary!P$27)</f>
        <v>0</v>
      </c>
      <c r="Q8" s="132">
        <f>IF(SER_hh_emih_in!Q8=0,0,SER_hh_emih_in!Q8/SER_summary!Q$27)</f>
        <v>0</v>
      </c>
      <c r="R8" s="132">
        <f>IF(SER_hh_emih_in!R8=0,0,SER_hh_emih_in!R8/SER_summary!R$27)</f>
        <v>0</v>
      </c>
      <c r="S8" s="132">
        <f>IF(SER_hh_emih_in!S8=0,0,SER_hh_emih_in!S8/SER_summary!S$27)</f>
        <v>0</v>
      </c>
      <c r="T8" s="132">
        <f>IF(SER_hh_emih_in!T8=0,0,SER_hh_emih_in!T8/SER_summary!T$27)</f>
        <v>0</v>
      </c>
      <c r="U8" s="132">
        <f>IF(SER_hh_emih_in!U8=0,0,SER_hh_emih_in!U8/SER_summary!U$27)</f>
        <v>0</v>
      </c>
      <c r="V8" s="132">
        <f>IF(SER_hh_emih_in!V8=0,0,SER_hh_emih_in!V8/SER_summary!V$27)</f>
        <v>0</v>
      </c>
      <c r="W8" s="132">
        <f>IF(SER_hh_emih_in!W8=0,0,SER_hh_emih_in!W8/SER_summary!W$27)</f>
        <v>0</v>
      </c>
      <c r="X8" s="132">
        <f>IF(SER_hh_emih_in!X8=0,0,SER_hh_emih_in!X8/SER_summary!X$27)</f>
        <v>0</v>
      </c>
      <c r="Y8" s="132">
        <f>IF(SER_hh_emih_in!Y8=0,0,SER_hh_emih_in!Y8/SER_summary!Y$27)</f>
        <v>0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42.235817783565075</v>
      </c>
      <c r="D9" s="132">
        <f>IF(SER_hh_emih_in!D9=0,0,SER_hh_emih_in!D9/SER_summary!D$27)</f>
        <v>29.73866503308653</v>
      </c>
      <c r="E9" s="132">
        <f>IF(SER_hh_emih_in!E9=0,0,SER_hh_emih_in!E9/SER_summary!E$27)</f>
        <v>58.339754556633181</v>
      </c>
      <c r="F9" s="132">
        <f>IF(SER_hh_emih_in!F9=0,0,SER_hh_emih_in!F9/SER_summary!F$27)</f>
        <v>50.677044943849452</v>
      </c>
      <c r="G9" s="132">
        <f>IF(SER_hh_emih_in!G9=0,0,SER_hh_emih_in!G9/SER_summary!G$27)</f>
        <v>0</v>
      </c>
      <c r="H9" s="132">
        <f>IF(SER_hh_emih_in!H9=0,0,SER_hh_emih_in!H9/SER_summary!H$27)</f>
        <v>0</v>
      </c>
      <c r="I9" s="132">
        <f>IF(SER_hh_emih_in!I9=0,0,SER_hh_emih_in!I9/SER_summary!I$27)</f>
        <v>0</v>
      </c>
      <c r="J9" s="132">
        <f>IF(SER_hh_emih_in!J9=0,0,SER_hh_emih_in!J9/SER_summary!J$27)</f>
        <v>0</v>
      </c>
      <c r="K9" s="132">
        <f>IF(SER_hh_emih_in!K9=0,0,SER_hh_emih_in!K9/SER_summary!K$27)</f>
        <v>0</v>
      </c>
      <c r="L9" s="132">
        <f>IF(SER_hh_emih_in!L9=0,0,SER_hh_emih_in!L9/SER_summary!L$27)</f>
        <v>0</v>
      </c>
      <c r="M9" s="132">
        <f>IF(SER_hh_emih_in!M9=0,0,SER_hh_emih_in!M9/SER_summary!M$27)</f>
        <v>33.742929241756045</v>
      </c>
      <c r="N9" s="132">
        <f>IF(SER_hh_emih_in!N9=0,0,SER_hh_emih_in!N9/SER_summary!N$27)</f>
        <v>30.384534508355699</v>
      </c>
      <c r="O9" s="132">
        <f>IF(SER_hh_emih_in!O9=0,0,SER_hh_emih_in!O9/SER_summary!O$27)</f>
        <v>28.524765043022708</v>
      </c>
      <c r="P9" s="132">
        <f>IF(SER_hh_emih_in!P9=0,0,SER_hh_emih_in!P9/SER_summary!P$27)</f>
        <v>34.754567396307962</v>
      </c>
      <c r="Q9" s="132">
        <f>IF(SER_hh_emih_in!Q9=0,0,SER_hh_emih_in!Q9/SER_summary!Q$27)</f>
        <v>30.321278308447479</v>
      </c>
      <c r="R9" s="132">
        <f>IF(SER_hh_emih_in!R9=0,0,SER_hh_emih_in!R9/SER_summary!R$27)</f>
        <v>30.608911867546638</v>
      </c>
      <c r="S9" s="132">
        <f>IF(SER_hh_emih_in!S9=0,0,SER_hh_emih_in!S9/SER_summary!S$27)</f>
        <v>25.069354051700518</v>
      </c>
      <c r="T9" s="132">
        <f>IF(SER_hh_emih_in!T9=0,0,SER_hh_emih_in!T9/SER_summary!T$27)</f>
        <v>25.189846791277855</v>
      </c>
      <c r="U9" s="132">
        <f>IF(SER_hh_emih_in!U9=0,0,SER_hh_emih_in!U9/SER_summary!U$27)</f>
        <v>21.579143250439479</v>
      </c>
      <c r="V9" s="132">
        <f>IF(SER_hh_emih_in!V9=0,0,SER_hh_emih_in!V9/SER_summary!V$27)</f>
        <v>0</v>
      </c>
      <c r="W9" s="132">
        <f>IF(SER_hh_emih_in!W9=0,0,SER_hh_emih_in!W9/SER_summary!W$27)</f>
        <v>0</v>
      </c>
      <c r="X9" s="132">
        <f>IF(SER_hh_emih_in!X9=0,0,SER_hh_emih_in!X9/SER_summary!X$27)</f>
        <v>0</v>
      </c>
      <c r="Y9" s="132">
        <f>IF(SER_hh_emih_in!Y9=0,0,SER_hh_emih_in!Y9/SER_summary!Y$27)</f>
        <v>0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0</v>
      </c>
      <c r="M10" s="132">
        <f>IF(SER_hh_emih_in!M10=0,0,SER_hh_emih_in!M10/SER_summary!M$27)</f>
        <v>0</v>
      </c>
      <c r="N10" s="132">
        <f>IF(SER_hh_emih_in!N10=0,0,SER_hh_emih_in!N10/SER_summary!N$27)</f>
        <v>0</v>
      </c>
      <c r="O10" s="132">
        <f>IF(SER_hh_emih_in!O10=0,0,SER_hh_emih_in!O10/SER_summary!O$27)</f>
        <v>0</v>
      </c>
      <c r="P10" s="132">
        <f>IF(SER_hh_emih_in!P10=0,0,SER_hh_emih_in!P10/SER_summary!P$27)</f>
        <v>0</v>
      </c>
      <c r="Q10" s="132">
        <f>IF(SER_hh_emih_in!Q10=0,0,SER_hh_emih_in!Q10/SER_summary!Q$27)</f>
        <v>0</v>
      </c>
      <c r="R10" s="132">
        <f>IF(SER_hh_emih_in!R10=0,0,SER_hh_emih_in!R10/SER_summary!R$27)</f>
        <v>0</v>
      </c>
      <c r="S10" s="132">
        <f>IF(SER_hh_emih_in!S10=0,0,SER_hh_emih_in!S10/SER_summary!S$27)</f>
        <v>0</v>
      </c>
      <c r="T10" s="132">
        <f>IF(SER_hh_emih_in!T10=0,0,SER_hh_emih_in!T10/SER_summary!T$27)</f>
        <v>0</v>
      </c>
      <c r="U10" s="132">
        <f>IF(SER_hh_emih_in!U10=0,0,SER_hh_emih_in!U10/SER_summary!U$27)</f>
        <v>0</v>
      </c>
      <c r="V10" s="132">
        <f>IF(SER_hh_emih_in!V10=0,0,SER_hh_emih_in!V10/SER_summary!V$27)</f>
        <v>0</v>
      </c>
      <c r="W10" s="132">
        <f>IF(SER_hh_emih_in!W10=0,0,SER_hh_emih_in!W10/SER_summary!W$27)</f>
        <v>0</v>
      </c>
      <c r="X10" s="132">
        <f>IF(SER_hh_emih_in!X10=0,0,SER_hh_emih_in!X10/SER_summary!X$27)</f>
        <v>0</v>
      </c>
      <c r="Y10" s="132">
        <f>IF(SER_hh_emih_in!Y10=0,0,SER_hh_emih_in!Y10/SER_summary!Y$27)</f>
        <v>0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0</v>
      </c>
      <c r="D16" s="130">
        <f>IF(SER_hh_emih_in!D16=0,0,SER_hh_emih_in!D16/SER_summary!D$27)</f>
        <v>0</v>
      </c>
      <c r="E16" s="130">
        <f>IF(SER_hh_emih_in!E16=0,0,SER_hh_emih_in!E16/SER_summary!E$27)</f>
        <v>0</v>
      </c>
      <c r="F16" s="130">
        <f>IF(SER_hh_emih_in!F16=0,0,SER_hh_emih_in!F16/SER_summary!F$27)</f>
        <v>0</v>
      </c>
      <c r="G16" s="130">
        <f>IF(SER_hh_emih_in!G16=0,0,SER_hh_emih_in!G16/SER_summary!G$27)</f>
        <v>0</v>
      </c>
      <c r="H16" s="130">
        <f>IF(SER_hh_emih_in!H16=0,0,SER_hh_emih_in!H16/SER_summary!H$27)</f>
        <v>0</v>
      </c>
      <c r="I16" s="130">
        <f>IF(SER_hh_emih_in!I16=0,0,SER_hh_emih_in!I16/SER_summary!I$27)</f>
        <v>0</v>
      </c>
      <c r="J16" s="130">
        <f>IF(SER_hh_emih_in!J16=0,0,SER_hh_emih_in!J16/SER_summary!J$27)</f>
        <v>0</v>
      </c>
      <c r="K16" s="130">
        <f>IF(SER_hh_emih_in!K16=0,0,SER_hh_emih_in!K16/SER_summary!K$27)</f>
        <v>0</v>
      </c>
      <c r="L16" s="130">
        <f>IF(SER_hh_emih_in!L16=0,0,SER_hh_emih_in!L16/SER_summary!L$27)</f>
        <v>0</v>
      </c>
      <c r="M16" s="130">
        <f>IF(SER_hh_emih_in!M16=0,0,SER_hh_emih_in!M16/SER_summary!M$27)</f>
        <v>0</v>
      </c>
      <c r="N16" s="130">
        <f>IF(SER_hh_emih_in!N16=0,0,SER_hh_emih_in!N16/SER_summary!N$27)</f>
        <v>0</v>
      </c>
      <c r="O16" s="130">
        <f>IF(SER_hh_emih_in!O16=0,0,SER_hh_emih_in!O16/SER_summary!O$27)</f>
        <v>0</v>
      </c>
      <c r="P16" s="130">
        <f>IF(SER_hh_emih_in!P16=0,0,SER_hh_emih_in!P16/SER_summary!P$27)</f>
        <v>0</v>
      </c>
      <c r="Q16" s="130">
        <f>IF(SER_hh_emih_in!Q16=0,0,SER_hh_emih_in!Q16/SER_summary!Q$27)</f>
        <v>0</v>
      </c>
      <c r="R16" s="130">
        <f>IF(SER_hh_emih_in!R16=0,0,SER_hh_emih_in!R16/SER_summary!R$27)</f>
        <v>0</v>
      </c>
      <c r="S16" s="130">
        <f>IF(SER_hh_emih_in!S16=0,0,SER_hh_emih_in!S16/SER_summary!S$27)</f>
        <v>0</v>
      </c>
      <c r="T16" s="130">
        <f>IF(SER_hh_emih_in!T16=0,0,SER_hh_emih_in!T16/SER_summary!T$27)</f>
        <v>0</v>
      </c>
      <c r="U16" s="130">
        <f>IF(SER_hh_emih_in!U16=0,0,SER_hh_emih_in!U16/SER_summary!U$27)</f>
        <v>0</v>
      </c>
      <c r="V16" s="130">
        <f>IF(SER_hh_emih_in!V16=0,0,SER_hh_emih_in!V16/SER_summary!V$27)</f>
        <v>0</v>
      </c>
      <c r="W16" s="130">
        <f>IF(SER_hh_emih_in!W16=0,0,SER_hh_emih_in!W16/SER_summary!W$27)</f>
        <v>0</v>
      </c>
      <c r="X16" s="130">
        <f>IF(SER_hh_emih_in!X16=0,0,SER_hh_emih_in!X16/SER_summary!X$27)</f>
        <v>0</v>
      </c>
      <c r="Y16" s="130">
        <f>IF(SER_hh_emih_in!Y16=0,0,SER_hh_emih_in!Y16/SER_summary!Y$27)</f>
        <v>0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0</v>
      </c>
      <c r="D17" s="132">
        <f>IF(SER_hh_emih_in!D17=0,0,SER_hh_emih_in!D17/SER_summary!D$27)</f>
        <v>0</v>
      </c>
      <c r="E17" s="132">
        <f>IF(SER_hh_emih_in!E17=0,0,SER_hh_emih_in!E17/SER_summary!E$27)</f>
        <v>0</v>
      </c>
      <c r="F17" s="132">
        <f>IF(SER_hh_emih_in!F17=0,0,SER_hh_emih_in!F17/SER_summary!F$27)</f>
        <v>0</v>
      </c>
      <c r="G17" s="132">
        <f>IF(SER_hh_emih_in!G17=0,0,SER_hh_emih_in!G17/SER_summary!G$27)</f>
        <v>0</v>
      </c>
      <c r="H17" s="132">
        <f>IF(SER_hh_emih_in!H17=0,0,SER_hh_emih_in!H17/SER_summary!H$27)</f>
        <v>0</v>
      </c>
      <c r="I17" s="132">
        <f>IF(SER_hh_emih_in!I17=0,0,SER_hh_emih_in!I17/SER_summary!I$27)</f>
        <v>0</v>
      </c>
      <c r="J17" s="132">
        <f>IF(SER_hh_emih_in!J17=0,0,SER_hh_emih_in!J17/SER_summary!J$27)</f>
        <v>0</v>
      </c>
      <c r="K17" s="132">
        <f>IF(SER_hh_emih_in!K17=0,0,SER_hh_emih_in!K17/SER_summary!K$27)</f>
        <v>0</v>
      </c>
      <c r="L17" s="132">
        <f>IF(SER_hh_emih_in!L17=0,0,SER_hh_emih_in!L17/SER_summary!L$27)</f>
        <v>0</v>
      </c>
      <c r="M17" s="132">
        <f>IF(SER_hh_emih_in!M17=0,0,SER_hh_emih_in!M17/SER_summary!M$27)</f>
        <v>0</v>
      </c>
      <c r="N17" s="132">
        <f>IF(SER_hh_emih_in!N17=0,0,SER_hh_emih_in!N17/SER_summary!N$27)</f>
        <v>0</v>
      </c>
      <c r="O17" s="132">
        <f>IF(SER_hh_emih_in!O17=0,0,SER_hh_emih_in!O17/SER_summary!O$27)</f>
        <v>0</v>
      </c>
      <c r="P17" s="132">
        <f>IF(SER_hh_emih_in!P17=0,0,SER_hh_emih_in!P17/SER_summary!P$27)</f>
        <v>0</v>
      </c>
      <c r="Q17" s="132">
        <f>IF(SER_hh_emih_in!Q17=0,0,SER_hh_emih_in!Q17/SER_summary!Q$27)</f>
        <v>0</v>
      </c>
      <c r="R17" s="132">
        <f>IF(SER_hh_emih_in!R17=0,0,SER_hh_emih_in!R17/SER_summary!R$27)</f>
        <v>0</v>
      </c>
      <c r="S17" s="132">
        <f>IF(SER_hh_emih_in!S17=0,0,SER_hh_emih_in!S17/SER_summary!S$27)</f>
        <v>0</v>
      </c>
      <c r="T17" s="132">
        <f>IF(SER_hh_emih_in!T17=0,0,SER_hh_emih_in!T17/SER_summary!T$27)</f>
        <v>0</v>
      </c>
      <c r="U17" s="132">
        <f>IF(SER_hh_emih_in!U17=0,0,SER_hh_emih_in!U17/SER_summary!U$27)</f>
        <v>0</v>
      </c>
      <c r="V17" s="132">
        <f>IF(SER_hh_emih_in!V17=0,0,SER_hh_emih_in!V17/SER_summary!V$27)</f>
        <v>0</v>
      </c>
      <c r="W17" s="132">
        <f>IF(SER_hh_emih_in!W17=0,0,SER_hh_emih_in!W17/SER_summary!W$27)</f>
        <v>0</v>
      </c>
      <c r="X17" s="132">
        <f>IF(SER_hh_emih_in!X17=0,0,SER_hh_emih_in!X17/SER_summary!X$27)</f>
        <v>0</v>
      </c>
      <c r="Y17" s="132">
        <f>IF(SER_hh_emih_in!Y17=0,0,SER_hh_emih_in!Y17/SER_summary!Y$27)</f>
        <v>0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2.1330306955574239</v>
      </c>
      <c r="D19" s="130">
        <f>IF(SER_hh_emih_in!D19=0,0,SER_hh_emih_in!D19/SER_summary!D$27)</f>
        <v>0.62575094761622896</v>
      </c>
      <c r="E19" s="130">
        <f>IF(SER_hh_emih_in!E19=0,0,SER_hh_emih_in!E19/SER_summary!E$27)</f>
        <v>0.45116246805548493</v>
      </c>
      <c r="F19" s="130">
        <f>IF(SER_hh_emih_in!F19=0,0,SER_hh_emih_in!F19/SER_summary!F$27)</f>
        <v>0.31929220970034922</v>
      </c>
      <c r="G19" s="130">
        <f>IF(SER_hh_emih_in!G19=0,0,SER_hh_emih_in!G19/SER_summary!G$27)</f>
        <v>0.26769089700043919</v>
      </c>
      <c r="H19" s="130">
        <f>IF(SER_hh_emih_in!H19=0,0,SER_hh_emih_in!H19/SER_summary!H$27)</f>
        <v>0.26872617455548758</v>
      </c>
      <c r="I19" s="130">
        <f>IF(SER_hh_emih_in!I19=0,0,SER_hh_emih_in!I19/SER_summary!I$27)</f>
        <v>0.81088956024399139</v>
      </c>
      <c r="J19" s="130">
        <f>IF(SER_hh_emih_in!J19=0,0,SER_hh_emih_in!J19/SER_summary!J$27)</f>
        <v>2.2525650165399993</v>
      </c>
      <c r="K19" s="130">
        <f>IF(SER_hh_emih_in!K19=0,0,SER_hh_emih_in!K19/SER_summary!K$27)</f>
        <v>1.8392423601148706</v>
      </c>
      <c r="L19" s="130">
        <f>IF(SER_hh_emih_in!L19=0,0,SER_hh_emih_in!L19/SER_summary!L$27)</f>
        <v>1.4608219165908582</v>
      </c>
      <c r="M19" s="130">
        <f>IF(SER_hh_emih_in!M19=0,0,SER_hh_emih_in!M19/SER_summary!M$27)</f>
        <v>1.4099682383846412</v>
      </c>
      <c r="N19" s="130">
        <f>IF(SER_hh_emih_in!N19=0,0,SER_hh_emih_in!N19/SER_summary!N$27)</f>
        <v>1.6587352599517577</v>
      </c>
      <c r="O19" s="130">
        <f>IF(SER_hh_emih_in!O19=0,0,SER_hh_emih_in!O19/SER_summary!O$27)</f>
        <v>2.2864673637647774</v>
      </c>
      <c r="P19" s="130">
        <f>IF(SER_hh_emih_in!P19=0,0,SER_hh_emih_in!P19/SER_summary!P$27)</f>
        <v>2.7408792871765573</v>
      </c>
      <c r="Q19" s="130">
        <f>IF(SER_hh_emih_in!Q19=0,0,SER_hh_emih_in!Q19/SER_summary!Q$27)</f>
        <v>1.3261738420359621</v>
      </c>
      <c r="R19" s="130">
        <f>IF(SER_hh_emih_in!R19=0,0,SER_hh_emih_in!R19/SER_summary!R$27)</f>
        <v>1.0880105082305329</v>
      </c>
      <c r="S19" s="130">
        <f>IF(SER_hh_emih_in!S19=0,0,SER_hh_emih_in!S19/SER_summary!S$27)</f>
        <v>0.86704540455662937</v>
      </c>
      <c r="T19" s="130">
        <f>IF(SER_hh_emih_in!T19=0,0,SER_hh_emih_in!T19/SER_summary!T$27)</f>
        <v>0.91347172849612235</v>
      </c>
      <c r="U19" s="130">
        <f>IF(SER_hh_emih_in!U19=0,0,SER_hh_emih_in!U19/SER_summary!U$27)</f>
        <v>0.682250914556914</v>
      </c>
      <c r="V19" s="130">
        <f>IF(SER_hh_emih_in!V19=0,0,SER_hh_emih_in!V19/SER_summary!V$27)</f>
        <v>0.33015287808754906</v>
      </c>
      <c r="W19" s="130">
        <f>IF(SER_hh_emih_in!W19=0,0,SER_hh_emih_in!W19/SER_summary!W$27)</f>
        <v>8.0967287525274267E-2</v>
      </c>
      <c r="X19" s="130">
        <f>IF(SER_hh_emih_in!X19=0,0,SER_hh_emih_in!X19/SER_summary!X$27)</f>
        <v>0.41947431629125204</v>
      </c>
      <c r="Y19" s="130">
        <f>IF(SER_hh_emih_in!Y19=0,0,SER_hh_emih_in!Y19/SER_summary!Y$27)</f>
        <v>0.76875654802931781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0</v>
      </c>
      <c r="D21" s="132">
        <f>IF(SER_hh_emih_in!D21=0,0,SER_hh_emih_in!D21/SER_summary!D$27)</f>
        <v>0</v>
      </c>
      <c r="E21" s="132">
        <f>IF(SER_hh_emih_in!E21=0,0,SER_hh_emih_in!E21/SER_summary!E$27)</f>
        <v>0</v>
      </c>
      <c r="F21" s="132">
        <f>IF(SER_hh_emih_in!F21=0,0,SER_hh_emih_in!F21/SER_summary!F$27)</f>
        <v>0</v>
      </c>
      <c r="G21" s="132">
        <f>IF(SER_hh_emih_in!G21=0,0,SER_hh_emih_in!G21/SER_summary!G$27)</f>
        <v>0</v>
      </c>
      <c r="H21" s="132">
        <f>IF(SER_hh_emih_in!H21=0,0,SER_hh_emih_in!H21/SER_summary!H$27)</f>
        <v>0</v>
      </c>
      <c r="I21" s="132">
        <f>IF(SER_hh_emih_in!I21=0,0,SER_hh_emih_in!I21/SER_summary!I$27)</f>
        <v>0</v>
      </c>
      <c r="J21" s="132">
        <f>IF(SER_hh_emih_in!J21=0,0,SER_hh_emih_in!J21/SER_summary!J$27)</f>
        <v>0</v>
      </c>
      <c r="K21" s="132">
        <f>IF(SER_hh_emih_in!K21=0,0,SER_hh_emih_in!K21/SER_summary!K$27)</f>
        <v>0</v>
      </c>
      <c r="L21" s="132">
        <f>IF(SER_hh_emih_in!L21=0,0,SER_hh_emih_in!L21/SER_summary!L$27)</f>
        <v>0</v>
      </c>
      <c r="M21" s="132">
        <f>IF(SER_hh_emih_in!M21=0,0,SER_hh_emih_in!M21/SER_summary!M$27)</f>
        <v>0</v>
      </c>
      <c r="N21" s="132">
        <f>IF(SER_hh_emih_in!N21=0,0,SER_hh_emih_in!N21/SER_summary!N$27)</f>
        <v>0</v>
      </c>
      <c r="O21" s="132">
        <f>IF(SER_hh_emih_in!O21=0,0,SER_hh_emih_in!O21/SER_summary!O$27)</f>
        <v>0</v>
      </c>
      <c r="P21" s="132">
        <f>IF(SER_hh_emih_in!P21=0,0,SER_hh_emih_in!P21/SER_summary!P$27)</f>
        <v>0</v>
      </c>
      <c r="Q21" s="132">
        <f>IF(SER_hh_emih_in!Q21=0,0,SER_hh_emih_in!Q21/SER_summary!Q$27)</f>
        <v>0</v>
      </c>
      <c r="R21" s="132">
        <f>IF(SER_hh_emih_in!R21=0,0,SER_hh_emih_in!R21/SER_summary!R$27)</f>
        <v>0</v>
      </c>
      <c r="S21" s="132">
        <f>IF(SER_hh_emih_in!S21=0,0,SER_hh_emih_in!S21/SER_summary!S$27)</f>
        <v>0</v>
      </c>
      <c r="T21" s="132">
        <f>IF(SER_hh_emih_in!T21=0,0,SER_hh_emih_in!T21/SER_summary!T$27)</f>
        <v>0</v>
      </c>
      <c r="U21" s="132">
        <f>IF(SER_hh_emih_in!U21=0,0,SER_hh_emih_in!U21/SER_summary!U$27)</f>
        <v>0</v>
      </c>
      <c r="V21" s="132">
        <f>IF(SER_hh_emih_in!V21=0,0,SER_hh_emih_in!V21/SER_summary!V$27)</f>
        <v>0</v>
      </c>
      <c r="W21" s="132">
        <f>IF(SER_hh_emih_in!W21=0,0,SER_hh_emih_in!W21/SER_summary!W$27)</f>
        <v>0</v>
      </c>
      <c r="X21" s="132">
        <f>IF(SER_hh_emih_in!X21=0,0,SER_hh_emih_in!X21/SER_summary!X$27)</f>
        <v>0</v>
      </c>
      <c r="Y21" s="132">
        <f>IF(SER_hh_emih_in!Y21=0,0,SER_hh_emih_in!Y21/SER_summary!Y$27)</f>
        <v>0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10.589817675150494</v>
      </c>
      <c r="D22" s="132">
        <f>IF(SER_hh_emih_in!D22=0,0,SER_hh_emih_in!D22/SER_summary!D$27)</f>
        <v>0</v>
      </c>
      <c r="E22" s="132">
        <f>IF(SER_hh_emih_in!E22=0,0,SER_hh_emih_in!E22/SER_summary!E$27)</f>
        <v>0</v>
      </c>
      <c r="F22" s="132">
        <f>IF(SER_hh_emih_in!F22=0,0,SER_hh_emih_in!F22/SER_summary!F$27)</f>
        <v>0</v>
      </c>
      <c r="G22" s="132">
        <f>IF(SER_hh_emih_in!G22=0,0,SER_hh_emih_in!G22/SER_summary!G$27)</f>
        <v>0</v>
      </c>
      <c r="H22" s="132">
        <f>IF(SER_hh_emih_in!H22=0,0,SER_hh_emih_in!H22/SER_summary!H$27)</f>
        <v>0</v>
      </c>
      <c r="I22" s="132">
        <f>IF(SER_hh_emih_in!I22=0,0,SER_hh_emih_in!I22/SER_summary!I$27)</f>
        <v>8.5400081274913564</v>
      </c>
      <c r="J22" s="132">
        <f>IF(SER_hh_emih_in!J22=0,0,SER_hh_emih_in!J22/SER_summary!J$27)</f>
        <v>8.6768029923768886</v>
      </c>
      <c r="K22" s="132">
        <f>IF(SER_hh_emih_in!K22=0,0,SER_hh_emih_in!K22/SER_summary!K$27)</f>
        <v>8.469793257225346</v>
      </c>
      <c r="L22" s="132">
        <f>IF(SER_hh_emih_in!L22=0,0,SER_hh_emih_in!L22/SER_summary!L$27)</f>
        <v>8.3807942775783406</v>
      </c>
      <c r="M22" s="132">
        <f>IF(SER_hh_emih_in!M22=0,0,SER_hh_emih_in!M22/SER_summary!M$27)</f>
        <v>8.2833413993775924</v>
      </c>
      <c r="N22" s="132">
        <f>IF(SER_hh_emih_in!N22=0,0,SER_hh_emih_in!N22/SER_summary!N$27)</f>
        <v>7.9892600505633915</v>
      </c>
      <c r="O22" s="132">
        <f>IF(SER_hh_emih_in!O22=0,0,SER_hh_emih_in!O22/SER_summary!O$27)</f>
        <v>7.6307721557479189</v>
      </c>
      <c r="P22" s="132">
        <f>IF(SER_hh_emih_in!P22=0,0,SER_hh_emih_in!P22/SER_summary!P$27)</f>
        <v>0</v>
      </c>
      <c r="Q22" s="132">
        <f>IF(SER_hh_emih_in!Q22=0,0,SER_hh_emih_in!Q22/SER_summary!Q$27)</f>
        <v>0</v>
      </c>
      <c r="R22" s="132">
        <f>IF(SER_hh_emih_in!R22=0,0,SER_hh_emih_in!R22/SER_summary!R$27)</f>
        <v>0</v>
      </c>
      <c r="S22" s="132">
        <f>IF(SER_hh_emih_in!S22=0,0,SER_hh_emih_in!S22/SER_summary!S$27)</f>
        <v>0</v>
      </c>
      <c r="T22" s="132">
        <f>IF(SER_hh_emih_in!T22=0,0,SER_hh_emih_in!T22/SER_summary!T$27)</f>
        <v>0</v>
      </c>
      <c r="U22" s="132">
        <f>IF(SER_hh_emih_in!U22=0,0,SER_hh_emih_in!U22/SER_summary!U$27)</f>
        <v>0</v>
      </c>
      <c r="V22" s="132">
        <f>IF(SER_hh_emih_in!V22=0,0,SER_hh_emih_in!V22/SER_summary!V$27)</f>
        <v>0</v>
      </c>
      <c r="W22" s="132">
        <f>IF(SER_hh_emih_in!W22=0,0,SER_hh_emih_in!W22/SER_summary!W$27)</f>
        <v>5.5700633198227489</v>
      </c>
      <c r="X22" s="132">
        <f>IF(SER_hh_emih_in!X22=0,0,SER_hh_emih_in!X22/SER_summary!X$27)</f>
        <v>6.150448906872465</v>
      </c>
      <c r="Y22" s="132">
        <f>IF(SER_hh_emih_in!Y22=0,0,SER_hh_emih_in!Y22/SER_summary!Y$27)</f>
        <v>7.1569095380715257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7.9882715366610695</v>
      </c>
      <c r="D23" s="132">
        <f>IF(SER_hh_emih_in!D23=0,0,SER_hh_emih_in!D23/SER_summary!D$27)</f>
        <v>7.1700747734739476</v>
      </c>
      <c r="E23" s="132">
        <f>IF(SER_hh_emih_in!E23=0,0,SER_hh_emih_in!E23/SER_summary!E$27)</f>
        <v>6.6927796582565193</v>
      </c>
      <c r="F23" s="132">
        <f>IF(SER_hh_emih_in!F23=0,0,SER_hh_emih_in!F23/SER_summary!F$27)</f>
        <v>6.360045778012914</v>
      </c>
      <c r="G23" s="132">
        <f>IF(SER_hh_emih_in!G23=0,0,SER_hh_emih_in!G23/SER_summary!G$27)</f>
        <v>6.1498023349709046</v>
      </c>
      <c r="H23" s="132">
        <f>IF(SER_hh_emih_in!H23=0,0,SER_hh_emih_in!H23/SER_summary!H$27)</f>
        <v>6.0079236879887175</v>
      </c>
      <c r="I23" s="132">
        <f>IF(SER_hh_emih_in!I23=0,0,SER_hh_emih_in!I23/SER_summary!I$27)</f>
        <v>5.7221343386560042</v>
      </c>
      <c r="J23" s="132">
        <f>IF(SER_hh_emih_in!J23=0,0,SER_hh_emih_in!J23/SER_summary!J$27)</f>
        <v>5.5749767867491355</v>
      </c>
      <c r="K23" s="132">
        <f>IF(SER_hh_emih_in!K23=0,0,SER_hh_emih_in!K23/SER_summary!K$27)</f>
        <v>5.3851488199463011</v>
      </c>
      <c r="L23" s="132">
        <f>IF(SER_hh_emih_in!L23=0,0,SER_hh_emih_in!L23/SER_summary!L$27)</f>
        <v>5.0280738303424499</v>
      </c>
      <c r="M23" s="132">
        <f>IF(SER_hh_emih_in!M23=0,0,SER_hh_emih_in!M23/SER_summary!M$27)</f>
        <v>5.2656891270372217</v>
      </c>
      <c r="N23" s="132">
        <f>IF(SER_hh_emih_in!N23=0,0,SER_hh_emih_in!N23/SER_summary!N$27)</f>
        <v>4.5737873346284701</v>
      </c>
      <c r="O23" s="132">
        <f>IF(SER_hh_emih_in!O23=0,0,SER_hh_emih_in!O23/SER_summary!O$27)</f>
        <v>4.7351247910576717</v>
      </c>
      <c r="P23" s="132">
        <f>IF(SER_hh_emih_in!P23=0,0,SER_hh_emih_in!P23/SER_summary!P$27)</f>
        <v>5.1882861295809564</v>
      </c>
      <c r="Q23" s="132">
        <f>IF(SER_hh_emih_in!Q23=0,0,SER_hh_emih_in!Q23/SER_summary!Q$27)</f>
        <v>4.6324130042722702</v>
      </c>
      <c r="R23" s="132">
        <f>IF(SER_hh_emih_in!R23=0,0,SER_hh_emih_in!R23/SER_summary!R$27)</f>
        <v>4.1671871700033574</v>
      </c>
      <c r="S23" s="132">
        <f>IF(SER_hh_emih_in!S23=0,0,SER_hh_emih_in!S23/SER_summary!S$27)</f>
        <v>4.2330079199991735</v>
      </c>
      <c r="T23" s="132">
        <f>IF(SER_hh_emih_in!T23=0,0,SER_hh_emih_in!T23/SER_summary!T$27)</f>
        <v>4.2740502152036477</v>
      </c>
      <c r="U23" s="132">
        <f>IF(SER_hh_emih_in!U23=0,0,SER_hh_emih_in!U23/SER_summary!U$27)</f>
        <v>4.3185995663039858</v>
      </c>
      <c r="V23" s="132">
        <f>IF(SER_hh_emih_in!V23=0,0,SER_hh_emih_in!V23/SER_summary!V$27)</f>
        <v>4.2766843912871293</v>
      </c>
      <c r="W23" s="132">
        <f>IF(SER_hh_emih_in!W23=0,0,SER_hh_emih_in!W23/SER_summary!W$27)</f>
        <v>0</v>
      </c>
      <c r="X23" s="132">
        <f>IF(SER_hh_emih_in!X23=0,0,SER_hh_emih_in!X23/SER_summary!X$27)</f>
        <v>0</v>
      </c>
      <c r="Y23" s="132">
        <f>IF(SER_hh_emih_in!Y23=0,0,SER_hh_emih_in!Y23/SER_summary!Y$27)</f>
        <v>0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2.4414813498755326</v>
      </c>
      <c r="D29" s="130">
        <f>IF(SER_hh_emih_in!D29=0,0,SER_hh_emih_in!D29/SER_summary!D$27)</f>
        <v>2.0244256452484621</v>
      </c>
      <c r="E29" s="130">
        <f>IF(SER_hh_emih_in!E29=0,0,SER_hh_emih_in!E29/SER_summary!E$27)</f>
        <v>1.018264383896323</v>
      </c>
      <c r="F29" s="130">
        <f>IF(SER_hh_emih_in!F29=0,0,SER_hh_emih_in!F29/SER_summary!F$27)</f>
        <v>2.2877932201302613</v>
      </c>
      <c r="G29" s="130">
        <f>IF(SER_hh_emih_in!G29=0,0,SER_hh_emih_in!G29/SER_summary!G$27)</f>
        <v>0.50122864275917467</v>
      </c>
      <c r="H29" s="130">
        <f>IF(SER_hh_emih_in!H29=0,0,SER_hh_emih_in!H29/SER_summary!H$27)</f>
        <v>0.34772391524776392</v>
      </c>
      <c r="I29" s="130">
        <f>IF(SER_hh_emih_in!I29=0,0,SER_hh_emih_in!I29/SER_summary!I$27)</f>
        <v>0.21183542433300723</v>
      </c>
      <c r="J29" s="130">
        <f>IF(SER_hh_emih_in!J29=0,0,SER_hh_emih_in!J29/SER_summary!J$27)</f>
        <v>0.32521764898649186</v>
      </c>
      <c r="K29" s="130">
        <f>IF(SER_hh_emih_in!K29=0,0,SER_hh_emih_in!K29/SER_summary!K$27)</f>
        <v>0.33988760439135091</v>
      </c>
      <c r="L29" s="130">
        <f>IF(SER_hh_emih_in!L29=0,0,SER_hh_emih_in!L29/SER_summary!L$27)</f>
        <v>0.80269460323375519</v>
      </c>
      <c r="M29" s="130">
        <f>IF(SER_hh_emih_in!M29=0,0,SER_hh_emih_in!M29/SER_summary!M$27)</f>
        <v>1.1309802611249764</v>
      </c>
      <c r="N29" s="130">
        <f>IF(SER_hh_emih_in!N29=0,0,SER_hh_emih_in!N29/SER_summary!N$27)</f>
        <v>1.4845704578934422</v>
      </c>
      <c r="O29" s="130">
        <f>IF(SER_hh_emih_in!O29=0,0,SER_hh_emih_in!O29/SER_summary!O$27)</f>
        <v>1.4192840945950571</v>
      </c>
      <c r="P29" s="130">
        <f>IF(SER_hh_emih_in!P29=0,0,SER_hh_emih_in!P29/SER_summary!P$27)</f>
        <v>1.3982988376847578</v>
      </c>
      <c r="Q29" s="130">
        <f>IF(SER_hh_emih_in!Q29=0,0,SER_hh_emih_in!Q29/SER_summary!Q$27)</f>
        <v>1.3101393371465877</v>
      </c>
      <c r="R29" s="130">
        <f>IF(SER_hh_emih_in!R29=0,0,SER_hh_emih_in!R29/SER_summary!R$27)</f>
        <v>2.4986052974720749</v>
      </c>
      <c r="S29" s="130">
        <f>IF(SER_hh_emih_in!S29=0,0,SER_hh_emih_in!S29/SER_summary!S$27)</f>
        <v>1.1890160692250702</v>
      </c>
      <c r="T29" s="130">
        <f>IF(SER_hh_emih_in!T29=0,0,SER_hh_emih_in!T29/SER_summary!T$27)</f>
        <v>1.3514914952068404</v>
      </c>
      <c r="U29" s="130">
        <f>IF(SER_hh_emih_in!U29=0,0,SER_hh_emih_in!U29/SER_summary!U$27)</f>
        <v>0.78389963240149918</v>
      </c>
      <c r="V29" s="130">
        <f>IF(SER_hh_emih_in!V29=0,0,SER_hh_emih_in!V29/SER_summary!V$27)</f>
        <v>0.60044742008504548</v>
      </c>
      <c r="W29" s="130">
        <f>IF(SER_hh_emih_in!W29=0,0,SER_hh_emih_in!W29/SER_summary!W$27)</f>
        <v>0.68357252433029658</v>
      </c>
      <c r="X29" s="130">
        <f>IF(SER_hh_emih_in!X29=0,0,SER_hh_emih_in!X29/SER_summary!X$27)</f>
        <v>0.14631375414083345</v>
      </c>
      <c r="Y29" s="130">
        <f>IF(SER_hh_emih_in!Y29=0,0,SER_hh_emih_in!Y29/SER_summary!Y$27)</f>
        <v>1.7004676079276764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0</v>
      </c>
      <c r="D30" s="132">
        <f>IF(SER_hh_emih_in!D30=0,0,SER_hh_emih_in!D30/SER_summary!D$27)</f>
        <v>0</v>
      </c>
      <c r="E30" s="132">
        <f>IF(SER_hh_emih_in!E30=0,0,SER_hh_emih_in!E30/SER_summary!E$27)</f>
        <v>0</v>
      </c>
      <c r="F30" s="132">
        <f>IF(SER_hh_emih_in!F30=0,0,SER_hh_emih_in!F30/SER_summary!F$27)</f>
        <v>11.058825597052834</v>
      </c>
      <c r="G30" s="132">
        <f>IF(SER_hh_emih_in!G30=0,0,SER_hh_emih_in!G30/SER_summary!G$27)</f>
        <v>8.635876902675248</v>
      </c>
      <c r="H30" s="132">
        <f>IF(SER_hh_emih_in!H30=0,0,SER_hh_emih_in!H30/SER_summary!H$27)</f>
        <v>7.7531441826961549</v>
      </c>
      <c r="I30" s="132">
        <f>IF(SER_hh_emih_in!I30=0,0,SER_hh_emih_in!I30/SER_summary!I$27)</f>
        <v>0</v>
      </c>
      <c r="J30" s="132">
        <f>IF(SER_hh_emih_in!J30=0,0,SER_hh_emih_in!J30/SER_summary!J$27)</f>
        <v>0</v>
      </c>
      <c r="K30" s="132">
        <f>IF(SER_hh_emih_in!K30=0,0,SER_hh_emih_in!K30/SER_summary!K$27)</f>
        <v>0</v>
      </c>
      <c r="L30" s="132">
        <f>IF(SER_hh_emih_in!L30=0,0,SER_hh_emih_in!L30/SER_summary!L$27)</f>
        <v>8.3653334955674232</v>
      </c>
      <c r="M30" s="132">
        <f>IF(SER_hh_emih_in!M30=0,0,SER_hh_emih_in!M30/SER_summary!M$27)</f>
        <v>8.458806681860688</v>
      </c>
      <c r="N30" s="132">
        <f>IF(SER_hh_emih_in!N30=0,0,SER_hh_emih_in!N30/SER_summary!N$27)</f>
        <v>8.5316794040617641</v>
      </c>
      <c r="O30" s="132">
        <f>IF(SER_hh_emih_in!O30=0,0,SER_hh_emih_in!O30/SER_summary!O$27)</f>
        <v>8.5526248751151801</v>
      </c>
      <c r="P30" s="132">
        <f>IF(SER_hh_emih_in!P30=0,0,SER_hh_emih_in!P30/SER_summary!P$27)</f>
        <v>7.7219421036085407</v>
      </c>
      <c r="Q30" s="132">
        <f>IF(SER_hh_emih_in!Q30=0,0,SER_hh_emih_in!Q30/SER_summary!Q$27)</f>
        <v>6.034280655593057</v>
      </c>
      <c r="R30" s="132">
        <f>IF(SER_hh_emih_in!R30=0,0,SER_hh_emih_in!R30/SER_summary!R$27)</f>
        <v>9.3322249735288381</v>
      </c>
      <c r="S30" s="132">
        <f>IF(SER_hh_emih_in!S30=0,0,SER_hh_emih_in!S30/SER_summary!S$27)</f>
        <v>13.693593965204478</v>
      </c>
      <c r="T30" s="132">
        <f>IF(SER_hh_emih_in!T30=0,0,SER_hh_emih_in!T30/SER_summary!T$27)</f>
        <v>4.2632503217150974</v>
      </c>
      <c r="U30" s="132">
        <f>IF(SER_hh_emih_in!U30=0,0,SER_hh_emih_in!U30/SER_summary!U$27)</f>
        <v>0</v>
      </c>
      <c r="V30" s="132">
        <f>IF(SER_hh_emih_in!V30=0,0,SER_hh_emih_in!V30/SER_summary!V$27)</f>
        <v>0</v>
      </c>
      <c r="W30" s="132">
        <f>IF(SER_hh_emih_in!W30=0,0,SER_hh_emih_in!W30/SER_summary!W$27)</f>
        <v>6.2478128565893973</v>
      </c>
      <c r="X30" s="132">
        <f>IF(SER_hh_emih_in!X30=0,0,SER_hh_emih_in!X30/SER_summary!X$27)</f>
        <v>8.499103067915641</v>
      </c>
      <c r="Y30" s="132">
        <f>IF(SER_hh_emih_in!Y30=0,0,SER_hh_emih_in!Y30/SER_summary!Y$27)</f>
        <v>12.16386707774042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7.7767388260224815</v>
      </c>
      <c r="D31" s="132">
        <f>IF(SER_hh_emih_in!D31=0,0,SER_hh_emih_in!D31/SER_summary!D$27)</f>
        <v>8.374058291442477</v>
      </c>
      <c r="E31" s="132">
        <f>IF(SER_hh_emih_in!E31=0,0,SER_hh_emih_in!E31/SER_summary!E$27)</f>
        <v>7.5556760253112563</v>
      </c>
      <c r="F31" s="132">
        <f>IF(SER_hh_emih_in!F31=0,0,SER_hh_emih_in!F31/SER_summary!F$27)</f>
        <v>7.2853195012538654</v>
      </c>
      <c r="G31" s="132">
        <f>IF(SER_hh_emih_in!G31=0,0,SER_hh_emih_in!G31/SER_summary!G$27)</f>
        <v>7.2280289850084216</v>
      </c>
      <c r="H31" s="132">
        <f>IF(SER_hh_emih_in!H31=0,0,SER_hh_emih_in!H31/SER_summary!H$27)</f>
        <v>7.1532086745889609</v>
      </c>
      <c r="I31" s="132">
        <f>IF(SER_hh_emih_in!I31=0,0,SER_hh_emih_in!I31/SER_summary!I$27)</f>
        <v>7.1919428784955608</v>
      </c>
      <c r="J31" s="132">
        <f>IF(SER_hh_emih_in!J31=0,0,SER_hh_emih_in!J31/SER_summary!J$27)</f>
        <v>7.3607249840048032</v>
      </c>
      <c r="K31" s="132">
        <f>IF(SER_hh_emih_in!K31=0,0,SER_hh_emih_in!K31/SER_summary!K$27)</f>
        <v>7.0771530658769279</v>
      </c>
      <c r="L31" s="132">
        <f>IF(SER_hh_emih_in!L31=0,0,SER_hh_emih_in!L31/SER_summary!L$27)</f>
        <v>7.5417369654981599</v>
      </c>
      <c r="M31" s="132">
        <f>IF(SER_hh_emih_in!M31=0,0,SER_hh_emih_in!M31/SER_summary!M$27)</f>
        <v>7.6037287295477727</v>
      </c>
      <c r="N31" s="132">
        <f>IF(SER_hh_emih_in!N31=0,0,SER_hh_emih_in!N31/SER_summary!N$27)</f>
        <v>7.9049280612982216</v>
      </c>
      <c r="O31" s="132">
        <f>IF(SER_hh_emih_in!O31=0,0,SER_hh_emih_in!O31/SER_summary!O$27)</f>
        <v>7.6206761135899193</v>
      </c>
      <c r="P31" s="132">
        <f>IF(SER_hh_emih_in!P31=0,0,SER_hh_emih_in!P31/SER_summary!P$27)</f>
        <v>7.3941953420627327</v>
      </c>
      <c r="Q31" s="132">
        <f>IF(SER_hh_emih_in!Q31=0,0,SER_hh_emih_in!Q31/SER_summary!Q$27)</f>
        <v>6.90083304743208</v>
      </c>
      <c r="R31" s="132">
        <f>IF(SER_hh_emih_in!R31=0,0,SER_hh_emih_in!R31/SER_summary!R$27)</f>
        <v>7.8408817488983651</v>
      </c>
      <c r="S31" s="132">
        <f>IF(SER_hh_emih_in!S31=0,0,SER_hh_emih_in!S31/SER_summary!S$27)</f>
        <v>7.090360078008219</v>
      </c>
      <c r="T31" s="132">
        <f>IF(SER_hh_emih_in!T31=0,0,SER_hh_emih_in!T31/SER_summary!T$27)</f>
        <v>7.0411585085348278</v>
      </c>
      <c r="U31" s="132">
        <f>IF(SER_hh_emih_in!U31=0,0,SER_hh_emih_in!U31/SER_summary!U$27)</f>
        <v>8.0137525363146196</v>
      </c>
      <c r="V31" s="132">
        <f>IF(SER_hh_emih_in!V31=0,0,SER_hh_emih_in!V31/SER_summary!V$27)</f>
        <v>7.8243280431126951</v>
      </c>
      <c r="W31" s="132">
        <f>IF(SER_hh_emih_in!W31=0,0,SER_hh_emih_in!W31/SER_summary!W$27)</f>
        <v>7.9649905221211652</v>
      </c>
      <c r="X31" s="132">
        <f>IF(SER_hh_emih_in!X31=0,0,SER_hh_emih_in!X31/SER_summary!X$27)</f>
        <v>0</v>
      </c>
      <c r="Y31" s="132">
        <f>IF(SER_hh_emih_in!Y31=0,0,SER_hh_emih_in!Y31/SER_summary!Y$27)</f>
        <v>0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54.836336008285407</v>
      </c>
      <c r="C3" s="179">
        <f t="shared" ref="C3:W3" si="1">SUM(C4:C9)</f>
        <v>58.9458613692738</v>
      </c>
      <c r="D3" s="179">
        <f t="shared" si="1"/>
        <v>62.824974467132662</v>
      </c>
      <c r="E3" s="179">
        <f t="shared" si="1"/>
        <v>67.4675561678809</v>
      </c>
      <c r="F3" s="179">
        <f t="shared" si="1"/>
        <v>71.62546600938569</v>
      </c>
      <c r="G3" s="179">
        <f t="shared" si="1"/>
        <v>76.571345733384163</v>
      </c>
      <c r="H3" s="179">
        <f t="shared" si="1"/>
        <v>81.347172260798914</v>
      </c>
      <c r="I3" s="179">
        <f t="shared" si="1"/>
        <v>85.219401619706829</v>
      </c>
      <c r="J3" s="179">
        <f t="shared" si="1"/>
        <v>86.734534840035721</v>
      </c>
      <c r="K3" s="179">
        <f t="shared" si="1"/>
        <v>88.266138617548307</v>
      </c>
      <c r="L3" s="179">
        <f t="shared" si="1"/>
        <v>89.862176935621974</v>
      </c>
      <c r="M3" s="179">
        <f t="shared" si="1"/>
        <v>91.023397833085866</v>
      </c>
      <c r="N3" s="179">
        <f t="shared" si="1"/>
        <v>92.627193282012186</v>
      </c>
      <c r="O3" s="179">
        <f t="shared" si="1"/>
        <v>94.551728901230774</v>
      </c>
      <c r="P3" s="179">
        <f t="shared" si="1"/>
        <v>97.412391869378396</v>
      </c>
      <c r="Q3" s="179">
        <f t="shared" si="1"/>
        <v>101.3777360287087</v>
      </c>
      <c r="R3" s="179">
        <f t="shared" si="1"/>
        <v>102.74693386261856</v>
      </c>
      <c r="S3" s="179">
        <f t="shared" si="1"/>
        <v>102.78602720878395</v>
      </c>
      <c r="T3" s="179">
        <f t="shared" si="1"/>
        <v>102.22810557232343</v>
      </c>
      <c r="U3" s="179">
        <f t="shared" si="1"/>
        <v>101.71128055457761</v>
      </c>
      <c r="V3" s="179">
        <f t="shared" si="1"/>
        <v>101.04951670143433</v>
      </c>
      <c r="W3" s="179">
        <f t="shared" si="1"/>
        <v>106.7034929411054</v>
      </c>
      <c r="X3" s="179">
        <f t="shared" ref="X3:Y3" si="2">SUM(X4:X9)</f>
        <v>104.34879980556227</v>
      </c>
      <c r="Y3" s="179">
        <f t="shared" si="2"/>
        <v>105.68916232818188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3.210657481135986</v>
      </c>
      <c r="C4" s="180">
        <f t="shared" ref="C4:R9" si="4">C12*C44/11630</f>
        <v>3.370322533274507</v>
      </c>
      <c r="D4" s="180">
        <f t="shared" si="4"/>
        <v>3.5173763128945095</v>
      </c>
      <c r="E4" s="180">
        <f t="shared" si="4"/>
        <v>3.700157118537406</v>
      </c>
      <c r="F4" s="180">
        <f t="shared" si="4"/>
        <v>3.8205793629749039</v>
      </c>
      <c r="G4" s="180">
        <f t="shared" si="4"/>
        <v>4.0427799336750487</v>
      </c>
      <c r="H4" s="180">
        <f t="shared" si="4"/>
        <v>4.2927178278160012</v>
      </c>
      <c r="I4" s="180">
        <f t="shared" si="4"/>
        <v>4.4632024885761741</v>
      </c>
      <c r="J4" s="180">
        <f t="shared" si="4"/>
        <v>4.4246349207001616</v>
      </c>
      <c r="K4" s="180">
        <f t="shared" si="4"/>
        <v>4.4108482112757361</v>
      </c>
      <c r="L4" s="180">
        <f t="shared" si="4"/>
        <v>4.4429149003305568</v>
      </c>
      <c r="M4" s="180">
        <f t="shared" si="4"/>
        <v>4.5686923748896717</v>
      </c>
      <c r="N4" s="180">
        <f t="shared" si="4"/>
        <v>4.6732897231875228</v>
      </c>
      <c r="O4" s="180">
        <f t="shared" si="4"/>
        <v>4.7314215110218028</v>
      </c>
      <c r="P4" s="180">
        <f t="shared" si="4"/>
        <v>4.8070234960919489</v>
      </c>
      <c r="Q4" s="180">
        <f t="shared" si="4"/>
        <v>4.9296850518096491</v>
      </c>
      <c r="R4" s="180">
        <f t="shared" si="4"/>
        <v>4.9722846308872208</v>
      </c>
      <c r="S4" s="180">
        <f t="shared" ref="D4:W9" si="5">S12*S44/11630</f>
        <v>5.0425656211681202</v>
      </c>
      <c r="T4" s="180">
        <f t="shared" si="5"/>
        <v>5.0934220190041968</v>
      </c>
      <c r="U4" s="180">
        <f t="shared" si="5"/>
        <v>5.1296046312998147</v>
      </c>
      <c r="V4" s="180">
        <f t="shared" si="5"/>
        <v>5.1637377769034094</v>
      </c>
      <c r="W4" s="180">
        <f t="shared" si="5"/>
        <v>5.1823747292278739</v>
      </c>
      <c r="X4" s="180">
        <f t="shared" ref="X4:Y4" si="6">X12*X44/11630</f>
        <v>5.1846362764376197</v>
      </c>
      <c r="Y4" s="180">
        <f t="shared" si="6"/>
        <v>5.1462097888347449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11.393250114635018</v>
      </c>
      <c r="C5" s="180">
        <f t="shared" si="4"/>
        <v>11.641424930754928</v>
      </c>
      <c r="D5" s="180">
        <f t="shared" si="5"/>
        <v>11.917125788836268</v>
      </c>
      <c r="E5" s="180">
        <f t="shared" si="5"/>
        <v>12.218837190194803</v>
      </c>
      <c r="F5" s="180">
        <f t="shared" si="5"/>
        <v>12.537266993258489</v>
      </c>
      <c r="G5" s="180">
        <f t="shared" si="5"/>
        <v>12.820363456109538</v>
      </c>
      <c r="H5" s="180">
        <f t="shared" si="5"/>
        <v>13.080596355569352</v>
      </c>
      <c r="I5" s="180">
        <f t="shared" si="5"/>
        <v>13.20353065259817</v>
      </c>
      <c r="J5" s="180">
        <f t="shared" si="5"/>
        <v>13.46469686894647</v>
      </c>
      <c r="K5" s="180">
        <f t="shared" si="5"/>
        <v>13.656015031402337</v>
      </c>
      <c r="L5" s="180">
        <f t="shared" si="5"/>
        <v>13.780002870369543</v>
      </c>
      <c r="M5" s="180">
        <f t="shared" si="5"/>
        <v>13.894102834982066</v>
      </c>
      <c r="N5" s="180">
        <f t="shared" si="5"/>
        <v>14.046973192796342</v>
      </c>
      <c r="O5" s="180">
        <f t="shared" si="5"/>
        <v>14.247005578739287</v>
      </c>
      <c r="P5" s="180">
        <f t="shared" si="5"/>
        <v>14.541007825411551</v>
      </c>
      <c r="Q5" s="180">
        <f t="shared" si="5"/>
        <v>14.726570880406998</v>
      </c>
      <c r="R5" s="180">
        <f t="shared" si="5"/>
        <v>14.739336481805001</v>
      </c>
      <c r="S5" s="180">
        <f t="shared" si="5"/>
        <v>14.081676965981719</v>
      </c>
      <c r="T5" s="180">
        <f t="shared" si="5"/>
        <v>13.577772547885466</v>
      </c>
      <c r="U5" s="180">
        <f t="shared" si="5"/>
        <v>12.9287715852471</v>
      </c>
      <c r="V5" s="180">
        <f t="shared" si="5"/>
        <v>12.246879653946234</v>
      </c>
      <c r="W5" s="180">
        <f t="shared" si="5"/>
        <v>11.580457553939388</v>
      </c>
      <c r="X5" s="180">
        <f t="shared" ref="X5:Y5" si="7">X13*X45/11630</f>
        <v>11.107150053354502</v>
      </c>
      <c r="Y5" s="180">
        <f t="shared" si="7"/>
        <v>10.945217015781251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18.641878473690834</v>
      </c>
      <c r="C6" s="180">
        <f t="shared" si="4"/>
        <v>19.37955420764429</v>
      </c>
      <c r="D6" s="180">
        <f t="shared" si="5"/>
        <v>20.096490691807112</v>
      </c>
      <c r="E6" s="180">
        <f t="shared" si="5"/>
        <v>20.926361113001303</v>
      </c>
      <c r="F6" s="180">
        <f t="shared" si="5"/>
        <v>21.512071283389592</v>
      </c>
      <c r="G6" s="180">
        <f t="shared" si="5"/>
        <v>22.498278983777713</v>
      </c>
      <c r="H6" s="180">
        <f t="shared" si="5"/>
        <v>23.563121208212493</v>
      </c>
      <c r="I6" s="180">
        <f t="shared" si="5"/>
        <v>24.37126010299307</v>
      </c>
      <c r="J6" s="180">
        <f t="shared" si="5"/>
        <v>23.877259729142203</v>
      </c>
      <c r="K6" s="180">
        <f t="shared" si="5"/>
        <v>23.669166347008677</v>
      </c>
      <c r="L6" s="180">
        <f t="shared" si="5"/>
        <v>23.797915180464056</v>
      </c>
      <c r="M6" s="180">
        <f t="shared" si="5"/>
        <v>24.357018200037697</v>
      </c>
      <c r="N6" s="180">
        <f t="shared" si="5"/>
        <v>24.436765663674564</v>
      </c>
      <c r="O6" s="180">
        <f t="shared" si="5"/>
        <v>24.44707722536641</v>
      </c>
      <c r="P6" s="180">
        <f t="shared" si="5"/>
        <v>25.025512670554019</v>
      </c>
      <c r="Q6" s="180">
        <f t="shared" si="5"/>
        <v>25.844030357369654</v>
      </c>
      <c r="R6" s="180">
        <f t="shared" si="5"/>
        <v>25.700765152667174</v>
      </c>
      <c r="S6" s="180">
        <f t="shared" si="5"/>
        <v>24.560948734755929</v>
      </c>
      <c r="T6" s="180">
        <f t="shared" si="5"/>
        <v>23.36537710813564</v>
      </c>
      <c r="U6" s="180">
        <f t="shared" si="5"/>
        <v>21.958896525462023</v>
      </c>
      <c r="V6" s="180">
        <f t="shared" si="5"/>
        <v>20.529800553529711</v>
      </c>
      <c r="W6" s="180">
        <f t="shared" si="5"/>
        <v>21.623743507941633</v>
      </c>
      <c r="X6" s="180">
        <f t="shared" ref="X6:Y6" si="8">X14*X46/11630</f>
        <v>19.719349605347986</v>
      </c>
      <c r="Y6" s="180">
        <f t="shared" si="8"/>
        <v>18.022374214131798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11.138277828288846</v>
      </c>
      <c r="C7" s="180">
        <f t="shared" si="4"/>
        <v>11.859087526257028</v>
      </c>
      <c r="D7" s="180">
        <f t="shared" si="5"/>
        <v>12.436521517849238</v>
      </c>
      <c r="E7" s="180">
        <f t="shared" si="5"/>
        <v>13.002787824742533</v>
      </c>
      <c r="F7" s="180">
        <f t="shared" si="5"/>
        <v>13.60343317279694</v>
      </c>
      <c r="G7" s="180">
        <f t="shared" si="5"/>
        <v>14.074379445122045</v>
      </c>
      <c r="H7" s="180">
        <f t="shared" si="5"/>
        <v>14.429571049016172</v>
      </c>
      <c r="I7" s="180">
        <f t="shared" si="5"/>
        <v>14.82392039591476</v>
      </c>
      <c r="J7" s="180">
        <f t="shared" si="5"/>
        <v>15.073018041726213</v>
      </c>
      <c r="K7" s="180">
        <f t="shared" si="5"/>
        <v>15.314783193897807</v>
      </c>
      <c r="L7" s="180">
        <f t="shared" si="5"/>
        <v>15.394996189437443</v>
      </c>
      <c r="M7" s="180">
        <f t="shared" si="5"/>
        <v>15.336549358063426</v>
      </c>
      <c r="N7" s="180">
        <f t="shared" si="5"/>
        <v>15.308135189653431</v>
      </c>
      <c r="O7" s="180">
        <f t="shared" si="5"/>
        <v>15.31265680283008</v>
      </c>
      <c r="P7" s="180">
        <f t="shared" si="5"/>
        <v>15.371121010355715</v>
      </c>
      <c r="Q7" s="180">
        <f t="shared" si="5"/>
        <v>15.523707148403052</v>
      </c>
      <c r="R7" s="180">
        <f t="shared" si="5"/>
        <v>15.571343255994575</v>
      </c>
      <c r="S7" s="180">
        <f t="shared" si="5"/>
        <v>15.586219398229025</v>
      </c>
      <c r="T7" s="180">
        <f t="shared" si="5"/>
        <v>15.628561073411209</v>
      </c>
      <c r="U7" s="180">
        <f t="shared" si="5"/>
        <v>15.661212467569211</v>
      </c>
      <c r="V7" s="180">
        <f t="shared" si="5"/>
        <v>15.695159878938989</v>
      </c>
      <c r="W7" s="180">
        <f t="shared" si="5"/>
        <v>15.637625734967843</v>
      </c>
      <c r="X7" s="180">
        <f t="shared" ref="X7:Y7" si="9">X15*X47/11630</f>
        <v>15.534245180217086</v>
      </c>
      <c r="Y7" s="180">
        <f t="shared" si="9"/>
        <v>15.618849183563478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3.2509643371005725</v>
      </c>
      <c r="C8" s="55">
        <f t="shared" si="4"/>
        <v>3.6293461970076524</v>
      </c>
      <c r="D8" s="55">
        <f t="shared" si="5"/>
        <v>4.1054704628621765</v>
      </c>
      <c r="E8" s="55">
        <f t="shared" si="5"/>
        <v>4.7372046713090636</v>
      </c>
      <c r="F8" s="55">
        <f t="shared" si="5"/>
        <v>5.378657222815904</v>
      </c>
      <c r="G8" s="55">
        <f t="shared" si="5"/>
        <v>6.2089025199323427</v>
      </c>
      <c r="H8" s="55">
        <f t="shared" si="5"/>
        <v>7.2900198961446465</v>
      </c>
      <c r="I8" s="55">
        <f t="shared" si="5"/>
        <v>8.1368380580637822</v>
      </c>
      <c r="J8" s="55">
        <f t="shared" si="5"/>
        <v>8.5557012069178331</v>
      </c>
      <c r="K8" s="55">
        <f t="shared" si="5"/>
        <v>8.782867521167578</v>
      </c>
      <c r="L8" s="55">
        <f t="shared" si="5"/>
        <v>9.1540072335029166</v>
      </c>
      <c r="M8" s="55">
        <f t="shared" si="5"/>
        <v>9.6015605141809033</v>
      </c>
      <c r="N8" s="55">
        <f t="shared" si="5"/>
        <v>9.9515213263843822</v>
      </c>
      <c r="O8" s="55">
        <f t="shared" si="5"/>
        <v>10.12434716502173</v>
      </c>
      <c r="P8" s="55">
        <f t="shared" si="5"/>
        <v>10.319235752872714</v>
      </c>
      <c r="Q8" s="55">
        <f t="shared" si="5"/>
        <v>10.555308238607674</v>
      </c>
      <c r="R8" s="55">
        <f t="shared" si="5"/>
        <v>10.941860934182525</v>
      </c>
      <c r="S8" s="55">
        <f t="shared" si="5"/>
        <v>10.935910080705336</v>
      </c>
      <c r="T8" s="55">
        <f t="shared" si="5"/>
        <v>10.989101842772991</v>
      </c>
      <c r="U8" s="55">
        <f t="shared" si="5"/>
        <v>10.871923788546093</v>
      </c>
      <c r="V8" s="55">
        <f t="shared" si="5"/>
        <v>10.768157102894282</v>
      </c>
      <c r="W8" s="55">
        <f t="shared" si="5"/>
        <v>12.149024327071736</v>
      </c>
      <c r="X8" s="55">
        <f t="shared" ref="X8:Y8" si="10">X16*X48/11630</f>
        <v>11.705888933439425</v>
      </c>
      <c r="Y8" s="55">
        <f t="shared" si="10"/>
        <v>11.561569364881217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7.201307773434162</v>
      </c>
      <c r="C9" s="63">
        <f t="shared" si="4"/>
        <v>9.066125974335403</v>
      </c>
      <c r="D9" s="63">
        <f t="shared" si="5"/>
        <v>10.751989692883352</v>
      </c>
      <c r="E9" s="63">
        <f t="shared" si="5"/>
        <v>12.882208250095781</v>
      </c>
      <c r="F9" s="63">
        <f t="shared" si="5"/>
        <v>14.773457974149858</v>
      </c>
      <c r="G9" s="63">
        <f t="shared" si="5"/>
        <v>16.926641394767472</v>
      </c>
      <c r="H9" s="63">
        <f t="shared" si="5"/>
        <v>18.691145924040249</v>
      </c>
      <c r="I9" s="63">
        <f t="shared" si="5"/>
        <v>20.220649921560881</v>
      </c>
      <c r="J9" s="63">
        <f t="shared" si="5"/>
        <v>21.339224072602832</v>
      </c>
      <c r="K9" s="63">
        <f t="shared" si="5"/>
        <v>22.432458312796168</v>
      </c>
      <c r="L9" s="63">
        <f t="shared" si="5"/>
        <v>23.292340561517467</v>
      </c>
      <c r="M9" s="63">
        <f t="shared" si="5"/>
        <v>23.265474550932112</v>
      </c>
      <c r="N9" s="63">
        <f t="shared" si="5"/>
        <v>24.210508186315945</v>
      </c>
      <c r="O9" s="63">
        <f t="shared" si="5"/>
        <v>25.689220618251465</v>
      </c>
      <c r="P9" s="63">
        <f t="shared" si="5"/>
        <v>27.348491114092454</v>
      </c>
      <c r="Q9" s="63">
        <f t="shared" si="5"/>
        <v>29.79843435211167</v>
      </c>
      <c r="R9" s="63">
        <f t="shared" si="5"/>
        <v>30.821343407082061</v>
      </c>
      <c r="S9" s="63">
        <f t="shared" si="5"/>
        <v>32.578706407943812</v>
      </c>
      <c r="T9" s="63">
        <f t="shared" si="5"/>
        <v>33.573870981113927</v>
      </c>
      <c r="U9" s="63">
        <f t="shared" si="5"/>
        <v>35.160871556453358</v>
      </c>
      <c r="V9" s="63">
        <f t="shared" si="5"/>
        <v>36.645781735221711</v>
      </c>
      <c r="W9" s="63">
        <f t="shared" si="5"/>
        <v>40.530267087956922</v>
      </c>
      <c r="X9" s="63">
        <f t="shared" ref="X9:Y9" si="11">X17*X49/11630</f>
        <v>41.097529756765653</v>
      </c>
      <c r="Y9" s="63">
        <f t="shared" si="11"/>
        <v>44.394942760989402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218.91175693929716</v>
      </c>
      <c r="C11" s="179">
        <f t="shared" ref="C11:W11" si="13">SUM(C12:C17)</f>
        <v>236.46671359436488</v>
      </c>
      <c r="D11" s="179">
        <f t="shared" si="13"/>
        <v>253.34269176487709</v>
      </c>
      <c r="E11" s="179">
        <f t="shared" si="13"/>
        <v>275.6023737797334</v>
      </c>
      <c r="F11" s="179">
        <f t="shared" si="13"/>
        <v>295.44072715922829</v>
      </c>
      <c r="G11" s="179">
        <f t="shared" si="13"/>
        <v>321.18917564159722</v>
      </c>
      <c r="H11" s="179">
        <f t="shared" si="13"/>
        <v>348.2103567479146</v>
      </c>
      <c r="I11" s="179">
        <f t="shared" si="13"/>
        <v>369.38936845935632</v>
      </c>
      <c r="J11" s="179">
        <f t="shared" si="13"/>
        <v>376.61231524263661</v>
      </c>
      <c r="K11" s="179">
        <f t="shared" si="13"/>
        <v>382.45206896795065</v>
      </c>
      <c r="L11" s="179">
        <f t="shared" si="13"/>
        <v>389.80894162418542</v>
      </c>
      <c r="M11" s="179">
        <f t="shared" si="13"/>
        <v>396.60228792930269</v>
      </c>
      <c r="N11" s="179">
        <f t="shared" si="13"/>
        <v>402.81191132485617</v>
      </c>
      <c r="O11" s="179">
        <f t="shared" si="13"/>
        <v>409.14995211008795</v>
      </c>
      <c r="P11" s="179">
        <f t="shared" si="13"/>
        <v>420.57803132583047</v>
      </c>
      <c r="Q11" s="179">
        <f t="shared" si="13"/>
        <v>438.05753409794437</v>
      </c>
      <c r="R11" s="179">
        <f t="shared" si="13"/>
        <v>438.36653140458151</v>
      </c>
      <c r="S11" s="179">
        <f t="shared" si="13"/>
        <v>441.66765868516313</v>
      </c>
      <c r="T11" s="179">
        <f t="shared" si="13"/>
        <v>440.90530971817486</v>
      </c>
      <c r="U11" s="179">
        <f t="shared" si="13"/>
        <v>439.21379177719786</v>
      </c>
      <c r="V11" s="179">
        <f t="shared" si="13"/>
        <v>437.53502024995953</v>
      </c>
      <c r="W11" s="179">
        <f t="shared" si="13"/>
        <v>432.55522738145396</v>
      </c>
      <c r="X11" s="179">
        <f t="shared" ref="X11:Y11" si="14">SUM(X12:X17)</f>
        <v>429.78498614666034</v>
      </c>
      <c r="Y11" s="179">
        <f t="shared" si="14"/>
        <v>432.91718194108876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4.2625509709602198</v>
      </c>
      <c r="C12" s="180">
        <f t="shared" ref="C12:W12" si="15">C20*C52</f>
        <v>4.4745263769386447</v>
      </c>
      <c r="D12" s="180">
        <f t="shared" si="15"/>
        <v>4.669758735041456</v>
      </c>
      <c r="E12" s="180">
        <f t="shared" si="15"/>
        <v>4.9124232064600521</v>
      </c>
      <c r="F12" s="180">
        <f t="shared" si="15"/>
        <v>5.0722988574655403</v>
      </c>
      <c r="G12" s="180">
        <f t="shared" si="15"/>
        <v>5.3672980169681317</v>
      </c>
      <c r="H12" s="180">
        <f t="shared" si="15"/>
        <v>5.6991219563356283</v>
      </c>
      <c r="I12" s="180">
        <f t="shared" si="15"/>
        <v>5.9254617513859476</v>
      </c>
      <c r="J12" s="180">
        <f t="shared" si="15"/>
        <v>5.8742584620711069</v>
      </c>
      <c r="K12" s="180">
        <f t="shared" si="15"/>
        <v>5.8559548741023759</v>
      </c>
      <c r="L12" s="180">
        <f t="shared" si="15"/>
        <v>5.8985274304616881</v>
      </c>
      <c r="M12" s="180">
        <f t="shared" si="15"/>
        <v>6.0655128219140275</v>
      </c>
      <c r="N12" s="180">
        <f t="shared" si="15"/>
        <v>6.204378936149646</v>
      </c>
      <c r="O12" s="180">
        <f t="shared" si="15"/>
        <v>6.2815561841533754</v>
      </c>
      <c r="P12" s="180">
        <f t="shared" si="15"/>
        <v>6.3819273127339438</v>
      </c>
      <c r="Q12" s="180">
        <f t="shared" si="15"/>
        <v>6.5447759306559634</v>
      </c>
      <c r="R12" s="180">
        <f t="shared" si="15"/>
        <v>6.6013322211436529</v>
      </c>
      <c r="S12" s="180">
        <f t="shared" si="15"/>
        <v>6.6946390609800526</v>
      </c>
      <c r="T12" s="180">
        <f t="shared" si="15"/>
        <v>6.7621573151847967</v>
      </c>
      <c r="U12" s="180">
        <f t="shared" si="15"/>
        <v>6.8101942764859427</v>
      </c>
      <c r="V12" s="180">
        <f t="shared" si="15"/>
        <v>6.8555103134003037</v>
      </c>
      <c r="W12" s="180">
        <f t="shared" si="15"/>
        <v>6.8802532078676011</v>
      </c>
      <c r="X12" s="180">
        <f t="shared" ref="X12:Y12" si="16">X20*X52</f>
        <v>6.8832556957727782</v>
      </c>
      <c r="Y12" s="180">
        <f t="shared" si="16"/>
        <v>6.8322397082360844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34.229627072186425</v>
      </c>
      <c r="C13" s="180">
        <f t="shared" ref="C13:W13" si="17">C21*C53/1000</f>
        <v>34.950920084165794</v>
      </c>
      <c r="D13" s="180">
        <f t="shared" si="17"/>
        <v>35.745347705108557</v>
      </c>
      <c r="E13" s="180">
        <f t="shared" si="17"/>
        <v>36.606258734732769</v>
      </c>
      <c r="F13" s="180">
        <f t="shared" si="17"/>
        <v>37.541347944690983</v>
      </c>
      <c r="G13" s="180">
        <f t="shared" si="17"/>
        <v>38.351299649925629</v>
      </c>
      <c r="H13" s="180">
        <f t="shared" si="17"/>
        <v>39.096213047231963</v>
      </c>
      <c r="I13" s="180">
        <f t="shared" si="17"/>
        <v>39.413314301133497</v>
      </c>
      <c r="J13" s="180">
        <f t="shared" si="17"/>
        <v>40.215810929973777</v>
      </c>
      <c r="K13" s="180">
        <f t="shared" si="17"/>
        <v>40.81222811328297</v>
      </c>
      <c r="L13" s="180">
        <f t="shared" si="17"/>
        <v>41.188845592916849</v>
      </c>
      <c r="M13" s="180">
        <f t="shared" si="17"/>
        <v>41.530825728735813</v>
      </c>
      <c r="N13" s="180">
        <f t="shared" si="17"/>
        <v>42.035624713500042</v>
      </c>
      <c r="O13" s="180">
        <f t="shared" si="17"/>
        <v>42.81855998131406</v>
      </c>
      <c r="P13" s="180">
        <f t="shared" si="17"/>
        <v>43.875737497076273</v>
      </c>
      <c r="Q13" s="180">
        <f t="shared" si="17"/>
        <v>44.607186686973812</v>
      </c>
      <c r="R13" s="180">
        <f t="shared" si="17"/>
        <v>43.871296593961702</v>
      </c>
      <c r="S13" s="180">
        <f t="shared" si="17"/>
        <v>42.910812376636436</v>
      </c>
      <c r="T13" s="180">
        <f t="shared" si="17"/>
        <v>41.737142449997371</v>
      </c>
      <c r="U13" s="180">
        <f t="shared" si="17"/>
        <v>40.323085281456606</v>
      </c>
      <c r="V13" s="180">
        <f t="shared" si="17"/>
        <v>38.631540004864959</v>
      </c>
      <c r="W13" s="180">
        <f t="shared" si="17"/>
        <v>36.9618209646232</v>
      </c>
      <c r="X13" s="180">
        <f t="shared" ref="X13:Y13" si="18">X21*X53/1000</f>
        <v>35.493791202262443</v>
      </c>
      <c r="Y13" s="180">
        <f t="shared" si="18"/>
        <v>35.018445835538309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95.281199584547494</v>
      </c>
      <c r="C14" s="180">
        <f t="shared" ref="C14:W14" si="19">C22*C54</f>
        <v>98.100558401955794</v>
      </c>
      <c r="D14" s="180">
        <f t="shared" si="19"/>
        <v>100.82115515427924</v>
      </c>
      <c r="E14" s="180">
        <f t="shared" si="19"/>
        <v>103.89719543663576</v>
      </c>
      <c r="F14" s="180">
        <f t="shared" si="19"/>
        <v>106.12652205734737</v>
      </c>
      <c r="G14" s="180">
        <f t="shared" si="19"/>
        <v>110.15819684978129</v>
      </c>
      <c r="H14" s="180">
        <f t="shared" si="19"/>
        <v>114.94509922161079</v>
      </c>
      <c r="I14" s="180">
        <f t="shared" si="19"/>
        <v>118.49042378651085</v>
      </c>
      <c r="J14" s="180">
        <f t="shared" si="19"/>
        <v>115.7271198503615</v>
      </c>
      <c r="K14" s="180">
        <f t="shared" si="19"/>
        <v>114.23970418324075</v>
      </c>
      <c r="L14" s="180">
        <f t="shared" si="19"/>
        <v>114.45894052590664</v>
      </c>
      <c r="M14" s="180">
        <f t="shared" si="19"/>
        <v>116.4979534861329</v>
      </c>
      <c r="N14" s="180">
        <f t="shared" si="19"/>
        <v>116.17846045988107</v>
      </c>
      <c r="O14" s="180">
        <f t="shared" si="19"/>
        <v>115.63286113854225</v>
      </c>
      <c r="P14" s="180">
        <f t="shared" si="19"/>
        <v>117.86719460872985</v>
      </c>
      <c r="Q14" s="180">
        <f t="shared" si="19"/>
        <v>121.16744806303332</v>
      </c>
      <c r="R14" s="180">
        <f t="shared" si="19"/>
        <v>118.5733285038575</v>
      </c>
      <c r="S14" s="180">
        <f t="shared" si="19"/>
        <v>115.06347995354608</v>
      </c>
      <c r="T14" s="180">
        <f t="shared" si="19"/>
        <v>110.60096083635109</v>
      </c>
      <c r="U14" s="180">
        <f t="shared" si="19"/>
        <v>105.28200387486974</v>
      </c>
      <c r="V14" s="180">
        <f t="shared" si="19"/>
        <v>100.47514711002823</v>
      </c>
      <c r="W14" s="180">
        <f t="shared" si="19"/>
        <v>93.868006444615091</v>
      </c>
      <c r="X14" s="180">
        <f t="shared" ref="X14:Y14" si="20">X22*X54</f>
        <v>89.329564779803391</v>
      </c>
      <c r="Y14" s="180">
        <f t="shared" si="20"/>
        <v>83.459791105459274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14.787462459246495</v>
      </c>
      <c r="C15" s="180">
        <f t="shared" ref="C15:W15" si="21">C23*C55/1000</f>
        <v>15.74442784593256</v>
      </c>
      <c r="D15" s="180">
        <f t="shared" si="21"/>
        <v>16.511043978605784</v>
      </c>
      <c r="E15" s="180">
        <f t="shared" si="21"/>
        <v>17.262833607506355</v>
      </c>
      <c r="F15" s="180">
        <f t="shared" si="21"/>
        <v>18.060265730551187</v>
      </c>
      <c r="G15" s="180">
        <f t="shared" si="21"/>
        <v>18.685506044151769</v>
      </c>
      <c r="H15" s="180">
        <f t="shared" si="21"/>
        <v>19.157067500006633</v>
      </c>
      <c r="I15" s="180">
        <f t="shared" si="21"/>
        <v>19.680615776768114</v>
      </c>
      <c r="J15" s="180">
        <f t="shared" si="21"/>
        <v>20.011324180967559</v>
      </c>
      <c r="K15" s="180">
        <f t="shared" si="21"/>
        <v>20.332297779113194</v>
      </c>
      <c r="L15" s="180">
        <f t="shared" si="21"/>
        <v>20.438790603100163</v>
      </c>
      <c r="M15" s="180">
        <f t="shared" si="21"/>
        <v>20.361195095237171</v>
      </c>
      <c r="N15" s="180">
        <f t="shared" si="21"/>
        <v>20.323471718683727</v>
      </c>
      <c r="O15" s="180">
        <f t="shared" si="21"/>
        <v>20.3294747279582</v>
      </c>
      <c r="P15" s="180">
        <f t="shared" si="21"/>
        <v>20.407093304844416</v>
      </c>
      <c r="Q15" s="180">
        <f t="shared" si="21"/>
        <v>20.609670563462046</v>
      </c>
      <c r="R15" s="180">
        <f t="shared" si="21"/>
        <v>20.672913477992797</v>
      </c>
      <c r="S15" s="180">
        <f t="shared" si="21"/>
        <v>20.692663424817763</v>
      </c>
      <c r="T15" s="180">
        <f t="shared" si="21"/>
        <v>20.748877315499129</v>
      </c>
      <c r="U15" s="180">
        <f t="shared" si="21"/>
        <v>20.792226141304788</v>
      </c>
      <c r="V15" s="180">
        <f t="shared" si="21"/>
        <v>20.837295592700958</v>
      </c>
      <c r="W15" s="180">
        <f t="shared" si="21"/>
        <v>20.760911791972152</v>
      </c>
      <c r="X15" s="180">
        <f t="shared" ref="X15:Y15" si="22">X23*X55/1000</f>
        <v>20.623661123964013</v>
      </c>
      <c r="Y15" s="180">
        <f t="shared" si="22"/>
        <v>20.735983562196722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41.632966922322971</v>
      </c>
      <c r="C16" s="55">
        <f t="shared" ref="C16:W16" si="23">C24*C56</f>
        <v>46.257687581773432</v>
      </c>
      <c r="D16" s="55">
        <f t="shared" si="23"/>
        <v>52.098956608731996</v>
      </c>
      <c r="E16" s="55">
        <f t="shared" si="23"/>
        <v>59.875635701256435</v>
      </c>
      <c r="F16" s="55">
        <f t="shared" si="23"/>
        <v>67.731800775622204</v>
      </c>
      <c r="G16" s="55">
        <f t="shared" si="23"/>
        <v>77.91757624266458</v>
      </c>
      <c r="H16" s="55">
        <f t="shared" si="23"/>
        <v>91.190137508198987</v>
      </c>
      <c r="I16" s="55">
        <f t="shared" si="23"/>
        <v>101.47484173965259</v>
      </c>
      <c r="J16" s="55">
        <f t="shared" si="23"/>
        <v>106.39400075063055</v>
      </c>
      <c r="K16" s="55">
        <f t="shared" si="23"/>
        <v>108.92405682689358</v>
      </c>
      <c r="L16" s="55">
        <f t="shared" si="23"/>
        <v>113.23610112824143</v>
      </c>
      <c r="M16" s="55">
        <f t="shared" si="23"/>
        <v>118.57937849937993</v>
      </c>
      <c r="N16" s="55">
        <f t="shared" si="23"/>
        <v>122.71096691930184</v>
      </c>
      <c r="O16" s="55">
        <f t="shared" si="23"/>
        <v>124.65721607990208</v>
      </c>
      <c r="P16" s="55">
        <f t="shared" si="23"/>
        <v>126.87668293053119</v>
      </c>
      <c r="Q16" s="55">
        <f t="shared" si="23"/>
        <v>129.60275775177612</v>
      </c>
      <c r="R16" s="55">
        <f t="shared" si="23"/>
        <v>130.94748197050365</v>
      </c>
      <c r="S16" s="55">
        <f t="shared" si="23"/>
        <v>133.9288504051716</v>
      </c>
      <c r="T16" s="55">
        <f t="shared" si="23"/>
        <v>135.73120636178598</v>
      </c>
      <c r="U16" s="55">
        <f t="shared" si="23"/>
        <v>136.87828969047126</v>
      </c>
      <c r="V16" s="55">
        <f t="shared" si="23"/>
        <v>138.38844966113817</v>
      </c>
      <c r="W16" s="55">
        <f t="shared" si="23"/>
        <v>138.48816324772912</v>
      </c>
      <c r="X16" s="55">
        <f t="shared" ref="X16:Y16" si="24">X24*X56</f>
        <v>138.72593916065634</v>
      </c>
      <c r="Y16" s="55">
        <f t="shared" si="24"/>
        <v>139.786012941775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28.717949930033576</v>
      </c>
      <c r="C17" s="63">
        <f t="shared" ref="C17:W17" si="25">C25*C57/1000</f>
        <v>36.938593303598665</v>
      </c>
      <c r="D17" s="63">
        <f t="shared" si="25"/>
        <v>43.496429583110043</v>
      </c>
      <c r="E17" s="63">
        <f t="shared" si="25"/>
        <v>53.048027093142053</v>
      </c>
      <c r="F17" s="63">
        <f t="shared" si="25"/>
        <v>60.908491793550972</v>
      </c>
      <c r="G17" s="63">
        <f t="shared" si="25"/>
        <v>70.709298838105852</v>
      </c>
      <c r="H17" s="63">
        <f t="shared" si="25"/>
        <v>78.122717514530621</v>
      </c>
      <c r="I17" s="63">
        <f t="shared" si="25"/>
        <v>84.404711103905342</v>
      </c>
      <c r="J17" s="63">
        <f t="shared" si="25"/>
        <v>88.389801068632096</v>
      </c>
      <c r="K17" s="63">
        <f t="shared" si="25"/>
        <v>92.287827191317845</v>
      </c>
      <c r="L17" s="63">
        <f t="shared" si="25"/>
        <v>94.587736343558646</v>
      </c>
      <c r="M17" s="63">
        <f t="shared" si="25"/>
        <v>93.567422297902851</v>
      </c>
      <c r="N17" s="63">
        <f t="shared" si="25"/>
        <v>95.359008577339878</v>
      </c>
      <c r="O17" s="63">
        <f t="shared" si="25"/>
        <v>99.430283998217973</v>
      </c>
      <c r="P17" s="63">
        <f t="shared" si="25"/>
        <v>105.16939567191483</v>
      </c>
      <c r="Q17" s="63">
        <f t="shared" si="25"/>
        <v>115.52569510204313</v>
      </c>
      <c r="R17" s="63">
        <f t="shared" si="25"/>
        <v>117.70017863712218</v>
      </c>
      <c r="S17" s="63">
        <f t="shared" si="25"/>
        <v>122.37721346401119</v>
      </c>
      <c r="T17" s="63">
        <f t="shared" si="25"/>
        <v>125.3249654393565</v>
      </c>
      <c r="U17" s="63">
        <f t="shared" si="25"/>
        <v>129.12799251260952</v>
      </c>
      <c r="V17" s="63">
        <f t="shared" si="25"/>
        <v>132.34707756782689</v>
      </c>
      <c r="W17" s="63">
        <f t="shared" si="25"/>
        <v>135.59607172464678</v>
      </c>
      <c r="X17" s="63">
        <f t="shared" ref="X17:Y17" si="26">X25*X57/1000</f>
        <v>138.7287741842014</v>
      </c>
      <c r="Y17" s="63">
        <f t="shared" si="26"/>
        <v>147.08470878788341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5.4250593181100228</v>
      </c>
      <c r="C20" s="181">
        <v>5.7562311901401113</v>
      </c>
      <c r="D20" s="181">
        <v>6.0724218171684141</v>
      </c>
      <c r="E20" s="181">
        <v>6.4679219142546511</v>
      </c>
      <c r="F20" s="181">
        <v>6.7512423229233667</v>
      </c>
      <c r="G20" s="181">
        <v>7.2493133885687495</v>
      </c>
      <c r="H20" s="181">
        <v>7.8168965648673474</v>
      </c>
      <c r="I20" s="181">
        <v>8.2341305687185358</v>
      </c>
      <c r="J20" s="181">
        <v>8.2225344154884752</v>
      </c>
      <c r="K20" s="181">
        <v>8.2697017006841929</v>
      </c>
      <c r="L20" s="181">
        <v>8.4235566298615385</v>
      </c>
      <c r="M20" s="181">
        <v>8.7944376411372271</v>
      </c>
      <c r="N20" s="181">
        <v>9.1355981671286273</v>
      </c>
      <c r="O20" s="181">
        <v>9.390294274178455</v>
      </c>
      <c r="P20" s="181">
        <v>9.7092495393545288</v>
      </c>
      <c r="Q20" s="181">
        <v>10.171093143322571</v>
      </c>
      <c r="R20" s="181">
        <v>10.444098201457004</v>
      </c>
      <c r="S20" s="181">
        <v>10.797220636741841</v>
      </c>
      <c r="T20" s="181">
        <v>11.112817663627274</v>
      </c>
      <c r="U20" s="181">
        <v>11.399781369404533</v>
      </c>
      <c r="V20" s="181">
        <v>11.674555592945822</v>
      </c>
      <c r="W20" s="181">
        <v>11.930927751935256</v>
      </c>
      <c r="X20" s="181">
        <v>12.104113999016795</v>
      </c>
      <c r="Y20" s="181">
        <v>12.230601806629052</v>
      </c>
      <c r="DA20" s="190" t="s">
        <v>922</v>
      </c>
    </row>
    <row r="21" spans="1:105" ht="12" customHeight="1" x14ac:dyDescent="0.25">
      <c r="A21" s="131" t="s">
        <v>156</v>
      </c>
      <c r="B21" s="181">
        <v>166.97856141597526</v>
      </c>
      <c r="C21" s="181">
        <v>172.28380052859902</v>
      </c>
      <c r="D21" s="181">
        <v>178.37875013156267</v>
      </c>
      <c r="E21" s="181">
        <v>185.27968425221087</v>
      </c>
      <c r="F21" s="181">
        <v>193.21578019626421</v>
      </c>
      <c r="G21" s="181">
        <v>201.06914309431025</v>
      </c>
      <c r="H21" s="181">
        <v>209.3750407792617</v>
      </c>
      <c r="I21" s="181">
        <v>216.01927400743455</v>
      </c>
      <c r="J21" s="181">
        <v>223.73699263079592</v>
      </c>
      <c r="K21" s="181">
        <v>230.58304562385288</v>
      </c>
      <c r="L21" s="181">
        <v>236.43057932780923</v>
      </c>
      <c r="M21" s="181">
        <v>242.44541070065821</v>
      </c>
      <c r="N21" s="181">
        <v>250.27078378997106</v>
      </c>
      <c r="O21" s="181">
        <v>261.28950391772742</v>
      </c>
      <c r="P21" s="181">
        <v>275.94198456476443</v>
      </c>
      <c r="Q21" s="181">
        <v>291.01969108107124</v>
      </c>
      <c r="R21" s="181">
        <v>297.04773003079424</v>
      </c>
      <c r="S21" s="181">
        <v>302.7831534992747</v>
      </c>
      <c r="T21" s="181">
        <v>308.69721855013381</v>
      </c>
      <c r="U21" s="181">
        <v>314.29751140854063</v>
      </c>
      <c r="V21" s="181">
        <v>319.34879020544963</v>
      </c>
      <c r="W21" s="181">
        <v>323.54864437275683</v>
      </c>
      <c r="X21" s="181">
        <v>326.75765260003772</v>
      </c>
      <c r="Y21" s="181">
        <v>335.12118189568821</v>
      </c>
      <c r="DA21" s="190" t="s">
        <v>923</v>
      </c>
    </row>
    <row r="22" spans="1:105" ht="12" customHeight="1" x14ac:dyDescent="0.25">
      <c r="A22" s="131" t="s">
        <v>160</v>
      </c>
      <c r="B22" s="181">
        <v>2.0250325496466735</v>
      </c>
      <c r="C22" s="181">
        <v>2.1077390136321394</v>
      </c>
      <c r="D22" s="181">
        <v>2.2006116023342615</v>
      </c>
      <c r="E22" s="181">
        <v>2.3101763374127242</v>
      </c>
      <c r="F22" s="181">
        <v>2.409370364802351</v>
      </c>
      <c r="G22" s="181">
        <v>2.5632183348050943</v>
      </c>
      <c r="H22" s="181">
        <v>2.7528706074209683</v>
      </c>
      <c r="I22" s="181">
        <v>2.9031557040625047</v>
      </c>
      <c r="J22" s="181">
        <v>2.8907985027829328</v>
      </c>
      <c r="K22" s="181">
        <v>2.920786247424902</v>
      </c>
      <c r="L22" s="181">
        <v>3.0056976880102133</v>
      </c>
      <c r="M22" s="181">
        <v>3.1774509275940086</v>
      </c>
      <c r="N22" s="181">
        <v>3.3043119811680377</v>
      </c>
      <c r="O22" s="181">
        <v>3.4414394268229636</v>
      </c>
      <c r="P22" s="181">
        <v>3.6520100076794244</v>
      </c>
      <c r="Q22" s="181">
        <v>3.9547561206048218</v>
      </c>
      <c r="R22" s="181">
        <v>4.1127379648307141</v>
      </c>
      <c r="S22" s="181">
        <v>4.30524818751576</v>
      </c>
      <c r="T22" s="181">
        <v>4.4792262323816168</v>
      </c>
      <c r="U22" s="181">
        <v>4.633409578910797</v>
      </c>
      <c r="V22" s="181">
        <v>4.7661201674719527</v>
      </c>
      <c r="W22" s="181">
        <v>4.8591063398708645</v>
      </c>
      <c r="X22" s="181">
        <v>4.9237270746071635</v>
      </c>
      <c r="Y22" s="181">
        <v>4.9721953462266599</v>
      </c>
      <c r="DA22" s="190" t="s">
        <v>924</v>
      </c>
    </row>
    <row r="23" spans="1:105" ht="12" customHeight="1" x14ac:dyDescent="0.25">
      <c r="A23" s="131" t="s">
        <v>172</v>
      </c>
      <c r="B23" s="181">
        <v>21.163107021838549</v>
      </c>
      <c r="C23" s="181">
        <v>22.864016479518014</v>
      </c>
      <c r="D23" s="181">
        <v>24.340550218257206</v>
      </c>
      <c r="E23" s="181">
        <v>25.843323341888741</v>
      </c>
      <c r="F23" s="181">
        <v>27.470264736892496</v>
      </c>
      <c r="G23" s="181">
        <v>28.868288905410711</v>
      </c>
      <c r="H23" s="181">
        <v>30.073214188601824</v>
      </c>
      <c r="I23" s="181">
        <v>31.434145542552145</v>
      </c>
      <c r="J23" s="181">
        <v>32.532560777199691</v>
      </c>
      <c r="K23" s="181">
        <v>33.715038201687143</v>
      </c>
      <c r="L23" s="181">
        <v>34.588506362269818</v>
      </c>
      <c r="M23" s="181">
        <v>35.181373051150281</v>
      </c>
      <c r="N23" s="181">
        <v>35.79634792000541</v>
      </c>
      <c r="O23" s="181">
        <v>36.545720222761432</v>
      </c>
      <c r="P23" s="181">
        <v>37.522197769395959</v>
      </c>
      <c r="Q23" s="181">
        <v>38.719192534789876</v>
      </c>
      <c r="R23" s="181">
        <v>39.589308906295543</v>
      </c>
      <c r="S23" s="181">
        <v>40.419781159456775</v>
      </c>
      <c r="T23" s="181">
        <v>41.277085053416968</v>
      </c>
      <c r="U23" s="181">
        <v>42.097750231370462</v>
      </c>
      <c r="V23" s="181">
        <v>42.854449143620478</v>
      </c>
      <c r="W23" s="181">
        <v>43.518974970232129</v>
      </c>
      <c r="X23" s="181">
        <v>44.02209862870393</v>
      </c>
      <c r="Y23" s="181">
        <v>45.148866765907563</v>
      </c>
      <c r="DA23" s="190" t="s">
        <v>925</v>
      </c>
    </row>
    <row r="24" spans="1:105" ht="12" customHeight="1" x14ac:dyDescent="0.25">
      <c r="A24" s="60" t="s">
        <v>159</v>
      </c>
      <c r="B24" s="36">
        <v>0.76055266592419346</v>
      </c>
      <c r="C24" s="36">
        <v>0.85200848096074755</v>
      </c>
      <c r="D24" s="36">
        <v>0.96862774212132596</v>
      </c>
      <c r="E24" s="36">
        <v>1.1254762282743014</v>
      </c>
      <c r="F24" s="36">
        <v>1.2864879100297966</v>
      </c>
      <c r="G24" s="36">
        <v>1.4975868730478343</v>
      </c>
      <c r="H24" s="36">
        <v>1.776076348956233</v>
      </c>
      <c r="I24" s="36">
        <v>1.9973250174920398</v>
      </c>
      <c r="J24" s="36">
        <v>2.109847861971188</v>
      </c>
      <c r="K24" s="36">
        <v>2.1742292107203389</v>
      </c>
      <c r="L24" s="36">
        <v>2.2818887646564181</v>
      </c>
      <c r="M24" s="36">
        <v>2.4195505669535815</v>
      </c>
      <c r="N24" s="36">
        <v>2.5366224740563492</v>
      </c>
      <c r="O24" s="36">
        <v>2.6087057519510406</v>
      </c>
      <c r="P24" s="36">
        <v>2.6954553458157822</v>
      </c>
      <c r="Q24" s="36">
        <v>2.80545027495568</v>
      </c>
      <c r="R24" s="36">
        <v>2.8791557831260821</v>
      </c>
      <c r="S24" s="36">
        <v>3.0072665954826125</v>
      </c>
      <c r="T24" s="36">
        <v>3.1206857391339744</v>
      </c>
      <c r="U24" s="36">
        <v>3.2199313743384814</v>
      </c>
      <c r="V24" s="36">
        <v>3.3494435880718951</v>
      </c>
      <c r="W24" s="36">
        <v>3.4641596321859338</v>
      </c>
      <c r="X24" s="36">
        <v>3.5623280150390233</v>
      </c>
      <c r="Y24" s="36">
        <v>3.6459655948659617</v>
      </c>
      <c r="DA24" s="89" t="s">
        <v>926</v>
      </c>
    </row>
    <row r="25" spans="1:105" ht="12" customHeight="1" x14ac:dyDescent="0.25">
      <c r="A25" s="62" t="s">
        <v>157</v>
      </c>
      <c r="B25" s="38">
        <v>69.652737477777492</v>
      </c>
      <c r="C25" s="38">
        <v>92.851735262204528</v>
      </c>
      <c r="D25" s="38">
        <v>113.03317532441348</v>
      </c>
      <c r="E25" s="38">
        <v>143.6752143705333</v>
      </c>
      <c r="F25" s="38">
        <v>171.29435947690069</v>
      </c>
      <c r="G25" s="38">
        <v>207.51750725444023</v>
      </c>
      <c r="H25" s="38">
        <v>243.1559505312172</v>
      </c>
      <c r="I25" s="38">
        <v>276.13482062378904</v>
      </c>
      <c r="J25" s="38">
        <v>304.89882826825738</v>
      </c>
      <c r="K25" s="38">
        <v>336.21102736595782</v>
      </c>
      <c r="L25" s="38">
        <v>367.23533283746872</v>
      </c>
      <c r="M25" s="38">
        <v>392.84933456320266</v>
      </c>
      <c r="N25" s="38">
        <v>427.65663585989631</v>
      </c>
      <c r="O25" s="38">
        <v>475.34332109238153</v>
      </c>
      <c r="P25" s="38">
        <v>525.83025695903893</v>
      </c>
      <c r="Q25" s="38">
        <v>596.16572700559527</v>
      </c>
      <c r="R25" s="38">
        <v>621.54606112406839</v>
      </c>
      <c r="S25" s="38">
        <v>660.89470308846012</v>
      </c>
      <c r="T25" s="38">
        <v>692.08082577429855</v>
      </c>
      <c r="U25" s="38">
        <v>729.32866420424011</v>
      </c>
      <c r="V25" s="38">
        <v>769.34394621486297</v>
      </c>
      <c r="W25" s="38">
        <v>805.61745739989988</v>
      </c>
      <c r="X25" s="38">
        <v>842.59586327875718</v>
      </c>
      <c r="Y25" s="38">
        <v>913.69732076011428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0.56647474462226199</v>
      </c>
      <c r="D28" s="182">
        <v>0.55814918121174628</v>
      </c>
      <c r="E28" s="182">
        <v>0.64430259277021751</v>
      </c>
      <c r="F28" s="182">
        <v>0.53916043080591525</v>
      </c>
      <c r="G28" s="182">
        <v>0.76114767485391877</v>
      </c>
      <c r="H28" s="182">
        <v>0.83810106374447102</v>
      </c>
      <c r="I28" s="182">
        <v>0.69540365051167718</v>
      </c>
      <c r="J28" s="182">
        <v>0.27444168720185402</v>
      </c>
      <c r="K28" s="182">
        <v>0.34129587593593413</v>
      </c>
      <c r="L28" s="182">
        <v>0.45630312190665023</v>
      </c>
      <c r="M28" s="182">
        <v>0.68188413088066469</v>
      </c>
      <c r="N28" s="182">
        <v>0.66096055366289974</v>
      </c>
      <c r="O28" s="182">
        <v>0.58354186856049672</v>
      </c>
      <c r="P28" s="182">
        <v>0.65710262448341439</v>
      </c>
      <c r="Q28" s="182">
        <v>0.80955566229365239</v>
      </c>
      <c r="R28" s="182">
        <v>0.63055235867432735</v>
      </c>
      <c r="S28" s="182">
        <v>0.72078317371010669</v>
      </c>
      <c r="T28" s="182">
        <v>0.69365726779706272</v>
      </c>
      <c r="U28" s="182">
        <v>0.85343845039952093</v>
      </c>
      <c r="V28" s="182">
        <v>0.83292340475303561</v>
      </c>
      <c r="W28" s="182">
        <v>0.9006747517596505</v>
      </c>
      <c r="X28" s="182">
        <v>0.71234667788745476</v>
      </c>
      <c r="Y28" s="182">
        <v>0.88763548246617496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26.25176949787334</v>
      </c>
      <c r="D29" s="182">
        <v>27.943120906705161</v>
      </c>
      <c r="E29" s="182">
        <v>29.689557369383266</v>
      </c>
      <c r="F29" s="182">
        <v>31.705652780320662</v>
      </c>
      <c r="G29" s="182">
        <v>32.646077491890736</v>
      </c>
      <c r="H29" s="182">
        <v>34.165811740815116</v>
      </c>
      <c r="I29" s="182">
        <v>33.617284220446294</v>
      </c>
      <c r="J29" s="182">
        <v>33.969488121234718</v>
      </c>
      <c r="K29" s="182">
        <v>34.789173899762119</v>
      </c>
      <c r="L29" s="182">
        <v>35.53709107333961</v>
      </c>
      <c r="M29" s="182">
        <v>37.72048415316965</v>
      </c>
      <c r="N29" s="182">
        <v>40.471450581203584</v>
      </c>
      <c r="O29" s="182">
        <v>45.184531868571469</v>
      </c>
      <c r="P29" s="182">
        <v>48.269764867483303</v>
      </c>
      <c r="Q29" s="182">
        <v>49.047194637541537</v>
      </c>
      <c r="R29" s="182">
        <v>40.817212849485145</v>
      </c>
      <c r="S29" s="182">
        <v>41.272514541820101</v>
      </c>
      <c r="T29" s="182">
        <v>43.634549204028758</v>
      </c>
      <c r="U29" s="182">
        <v>46.07174343961043</v>
      </c>
      <c r="V29" s="182">
        <v>50.235810665480471</v>
      </c>
      <c r="W29" s="182">
        <v>52.469619034790526</v>
      </c>
      <c r="X29" s="182">
        <v>52.256202864822455</v>
      </c>
      <c r="Y29" s="182">
        <v>49.180742145135639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0.3989478940499398</v>
      </c>
      <c r="D30" s="182">
        <v>0.41732944998072341</v>
      </c>
      <c r="E30" s="182">
        <v>0.44245045093580382</v>
      </c>
      <c r="F30" s="182">
        <v>0.44072756557762838</v>
      </c>
      <c r="G30" s="182">
        <v>0.50425398669468136</v>
      </c>
      <c r="H30" s="182">
        <v>0.54916126018219158</v>
      </c>
      <c r="I30" s="182">
        <v>0.54923299069147591</v>
      </c>
      <c r="J30" s="182">
        <v>0.40497224870115156</v>
      </c>
      <c r="K30" s="182">
        <v>0.472438195577773</v>
      </c>
      <c r="L30" s="182">
        <v>0.5256390061629399</v>
      </c>
      <c r="M30" s="182">
        <v>0.67600722627847665</v>
      </c>
      <c r="N30" s="182">
        <v>0.67602231375622068</v>
      </c>
      <c r="O30" s="182">
        <v>0.68636043634640176</v>
      </c>
      <c r="P30" s="182">
        <v>0.61554282955761241</v>
      </c>
      <c r="Q30" s="182">
        <v>0.77518430850317044</v>
      </c>
      <c r="R30" s="182">
        <v>0.68362085038883214</v>
      </c>
      <c r="S30" s="182">
        <v>0.86851744896352256</v>
      </c>
      <c r="T30" s="182">
        <v>0.85000035862207746</v>
      </c>
      <c r="U30" s="182">
        <v>0.84054378287558196</v>
      </c>
      <c r="V30" s="182">
        <v>0.74825341811876811</v>
      </c>
      <c r="W30" s="182">
        <v>0.86817048090208226</v>
      </c>
      <c r="X30" s="182">
        <v>0.74824158512513161</v>
      </c>
      <c r="Y30" s="182">
        <v>0.91698572058301853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3.6242782798399382</v>
      </c>
      <c r="D31" s="182">
        <v>3.4404167579655365</v>
      </c>
      <c r="E31" s="182">
        <v>3.5080237384737174</v>
      </c>
      <c r="F31" s="182">
        <v>3.6744309801568527</v>
      </c>
      <c r="G31" s="182">
        <v>3.4886424534752507</v>
      </c>
      <c r="H31" s="182">
        <v>3.3395807388719199</v>
      </c>
      <c r="I31" s="182">
        <v>3.5405515874744324</v>
      </c>
      <c r="J31" s="182">
        <v>3.323947392422653</v>
      </c>
      <c r="K31" s="182">
        <v>3.4548886037885751</v>
      </c>
      <c r="L31" s="182">
        <v>3.1937458298009425</v>
      </c>
      <c r="M31" s="182">
        <v>4.217144968720401</v>
      </c>
      <c r="N31" s="182">
        <v>4.0553916268206649</v>
      </c>
      <c r="O31" s="182">
        <v>4.2573960412297396</v>
      </c>
      <c r="P31" s="182">
        <v>4.6509085267913832</v>
      </c>
      <c r="Q31" s="182">
        <v>4.685637218869168</v>
      </c>
      <c r="R31" s="182">
        <v>4.20969711037759</v>
      </c>
      <c r="S31" s="182">
        <v>4.3710238406356652</v>
      </c>
      <c r="T31" s="182">
        <v>4.1812512863828459</v>
      </c>
      <c r="U31" s="182">
        <v>4.2755537817420688</v>
      </c>
      <c r="V31" s="182">
        <v>3.950444742050955</v>
      </c>
      <c r="W31" s="182">
        <v>4.8816707953320488</v>
      </c>
      <c r="X31" s="182">
        <v>4.5585152852924651</v>
      </c>
      <c r="Y31" s="182">
        <v>5.3841641784333731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0.11311822177282482</v>
      </c>
      <c r="D32" s="41">
        <v>0.14071937050268413</v>
      </c>
      <c r="E32" s="41">
        <v>0.183660616373435</v>
      </c>
      <c r="F32" s="41">
        <v>0.1908410205669544</v>
      </c>
      <c r="G32" s="41">
        <v>0.24428504135693263</v>
      </c>
      <c r="H32" s="41">
        <v>0.3154100326286231</v>
      </c>
      <c r="I32" s="41">
        <v>0.26232395000206221</v>
      </c>
      <c r="J32" s="41">
        <v>0.15822038799987981</v>
      </c>
      <c r="K32" s="41">
        <v>0.11522130429625399</v>
      </c>
      <c r="L32" s="41">
        <v>0.16422060472557742</v>
      </c>
      <c r="M32" s="41">
        <v>0.20058775162157216</v>
      </c>
      <c r="N32" s="41">
        <v>0.18707900638942521</v>
      </c>
      <c r="O32" s="41">
        <v>0.1499683794013098</v>
      </c>
      <c r="P32" s="41">
        <v>0.17339922080982451</v>
      </c>
      <c r="Q32" s="41">
        <v>0.20639536650832069</v>
      </c>
      <c r="R32" s="41">
        <v>0.18682372994322716</v>
      </c>
      <c r="S32" s="41">
        <v>0.26883018285921478</v>
      </c>
      <c r="T32" s="41">
        <v>0.29707976002479697</v>
      </c>
      <c r="U32" s="41">
        <v>0.2900866557714612</v>
      </c>
      <c r="V32" s="41">
        <v>0.37379725509034634</v>
      </c>
      <c r="W32" s="41">
        <v>0.43012607674266201</v>
      </c>
      <c r="X32" s="41">
        <v>0.3604923328551517</v>
      </c>
      <c r="Y32" s="41">
        <v>0.24185796782681823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37.129545279982537</v>
      </c>
      <c r="D33" s="42">
        <v>34.111987557764451</v>
      </c>
      <c r="E33" s="42">
        <v>44.572586541675321</v>
      </c>
      <c r="F33" s="42">
        <v>41.549692601922885</v>
      </c>
      <c r="G33" s="42">
        <v>50.153695273095025</v>
      </c>
      <c r="H33" s="42">
        <v>72.767988556759491</v>
      </c>
      <c r="I33" s="42">
        <v>67.090857650336289</v>
      </c>
      <c r="J33" s="42">
        <v>73.336594186143657</v>
      </c>
      <c r="K33" s="42">
        <v>72.8618916996233</v>
      </c>
      <c r="L33" s="42">
        <v>81.178000744605924</v>
      </c>
      <c r="M33" s="42">
        <v>98.381990282493462</v>
      </c>
      <c r="N33" s="42">
        <v>101.89815894702991</v>
      </c>
      <c r="O33" s="42">
        <v>121.02327941862887</v>
      </c>
      <c r="P33" s="42">
        <v>123.3488275662807</v>
      </c>
      <c r="Q33" s="42">
        <v>151.51347079116226</v>
      </c>
      <c r="R33" s="42">
        <v>123.76232440096658</v>
      </c>
      <c r="S33" s="42">
        <v>141.24680091142159</v>
      </c>
      <c r="T33" s="42">
        <v>152.20940210446724</v>
      </c>
      <c r="U33" s="42">
        <v>160.59666599622233</v>
      </c>
      <c r="V33" s="42">
        <v>191.52875280178512</v>
      </c>
      <c r="W33" s="42">
        <v>160.03583558600349</v>
      </c>
      <c r="X33" s="42">
        <v>178.22520679027889</v>
      </c>
      <c r="Y33" s="42">
        <v>223.31085958582435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0.23530287259217353</v>
      </c>
      <c r="D36" s="182">
        <v>0.24195855418344347</v>
      </c>
      <c r="E36" s="182">
        <v>0.2488024956839805</v>
      </c>
      <c r="F36" s="182">
        <v>0.2558400221371997</v>
      </c>
      <c r="G36" s="182">
        <v>0.26307660920853593</v>
      </c>
      <c r="H36" s="182">
        <v>0.27051788744587313</v>
      </c>
      <c r="I36" s="182">
        <v>0.27816964666048882</v>
      </c>
      <c r="J36" s="182">
        <v>0.2860378404319146</v>
      </c>
      <c r="K36" s="182">
        <v>0.29412859074021647</v>
      </c>
      <c r="L36" s="182">
        <v>0.30244819272930457</v>
      </c>
      <c r="M36" s="182">
        <v>0.31100311960497606</v>
      </c>
      <c r="N36" s="182">
        <v>0.31980002767149962</v>
      </c>
      <c r="O36" s="182">
        <v>0.32884576151066902</v>
      </c>
      <c r="P36" s="182">
        <v>0.33814735930734052</v>
      </c>
      <c r="Q36" s="182">
        <v>0.34771205832561058</v>
      </c>
      <c r="R36" s="182">
        <v>0.3575473005398937</v>
      </c>
      <c r="S36" s="182">
        <v>0.36766073842527014</v>
      </c>
      <c r="T36" s="182">
        <v>0.37806024091162982</v>
      </c>
      <c r="U36" s="182">
        <v>0.56647474462226199</v>
      </c>
      <c r="V36" s="182">
        <v>0.55814918121174628</v>
      </c>
      <c r="W36" s="182">
        <v>0.64430259277021662</v>
      </c>
      <c r="X36" s="182">
        <v>0.53916043080591614</v>
      </c>
      <c r="Y36" s="182">
        <v>0.76114767485391788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20.946530385249588</v>
      </c>
      <c r="D37" s="182">
        <v>21.848171303741509</v>
      </c>
      <c r="E37" s="182">
        <v>22.788623248735064</v>
      </c>
      <c r="F37" s="182">
        <v>23.769556836267327</v>
      </c>
      <c r="G37" s="182">
        <v>24.792714593844693</v>
      </c>
      <c r="H37" s="182">
        <v>25.859914055863669</v>
      </c>
      <c r="I37" s="182">
        <v>26.973050992273443</v>
      </c>
      <c r="J37" s="182">
        <v>26.25176949787334</v>
      </c>
      <c r="K37" s="182">
        <v>27.943120906705161</v>
      </c>
      <c r="L37" s="182">
        <v>29.689557369383266</v>
      </c>
      <c r="M37" s="182">
        <v>31.70565278032069</v>
      </c>
      <c r="N37" s="182">
        <v>32.646077491890708</v>
      </c>
      <c r="O37" s="182">
        <v>34.165811740815116</v>
      </c>
      <c r="P37" s="182">
        <v>33.617284220446322</v>
      </c>
      <c r="Q37" s="182">
        <v>33.969488121234747</v>
      </c>
      <c r="R37" s="182">
        <v>34.789173899762147</v>
      </c>
      <c r="S37" s="182">
        <v>35.537091073339639</v>
      </c>
      <c r="T37" s="182">
        <v>37.72048415316965</v>
      </c>
      <c r="U37" s="182">
        <v>40.471450581203612</v>
      </c>
      <c r="V37" s="182">
        <v>45.184531868571469</v>
      </c>
      <c r="W37" s="182">
        <v>48.269764867483332</v>
      </c>
      <c r="X37" s="182">
        <v>49.047194637541565</v>
      </c>
      <c r="Y37" s="182">
        <v>40.817212849485145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0.31624143006447358</v>
      </c>
      <c r="D38" s="182">
        <v>0.32445686127860141</v>
      </c>
      <c r="E38" s="182">
        <v>0.33288571585734106</v>
      </c>
      <c r="F38" s="182">
        <v>0.34153353818800181</v>
      </c>
      <c r="G38" s="182">
        <v>0.35040601669193805</v>
      </c>
      <c r="H38" s="182">
        <v>0.35950898756631755</v>
      </c>
      <c r="I38" s="182">
        <v>0.39894789404993958</v>
      </c>
      <c r="J38" s="182">
        <v>0.41732944998072341</v>
      </c>
      <c r="K38" s="182">
        <v>0.44245045093580382</v>
      </c>
      <c r="L38" s="182">
        <v>0.4407275655776286</v>
      </c>
      <c r="M38" s="182">
        <v>0.50425398669468136</v>
      </c>
      <c r="N38" s="182">
        <v>0.54916126018219158</v>
      </c>
      <c r="O38" s="182">
        <v>0.54923299069147591</v>
      </c>
      <c r="P38" s="182">
        <v>0.40497224870115156</v>
      </c>
      <c r="Q38" s="182">
        <v>0.472438195577773</v>
      </c>
      <c r="R38" s="182">
        <v>0.52563900616294035</v>
      </c>
      <c r="S38" s="182">
        <v>0.67600722627847709</v>
      </c>
      <c r="T38" s="182">
        <v>0.67602231375622068</v>
      </c>
      <c r="U38" s="182">
        <v>0.68636043634640131</v>
      </c>
      <c r="V38" s="182">
        <v>0.61554282955761241</v>
      </c>
      <c r="W38" s="182">
        <v>0.77518430850317088</v>
      </c>
      <c r="X38" s="182">
        <v>0.68362085038883258</v>
      </c>
      <c r="Y38" s="182">
        <v>0.86851744896352212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1.923368822160473</v>
      </c>
      <c r="D39" s="182">
        <v>1.9638830192263441</v>
      </c>
      <c r="E39" s="182">
        <v>2.0052506148421827</v>
      </c>
      <c r="F39" s="182">
        <v>2.0474895851530981</v>
      </c>
      <c r="G39" s="182">
        <v>2.0906182849570349</v>
      </c>
      <c r="H39" s="182">
        <v>2.1346554556808073</v>
      </c>
      <c r="I39" s="182">
        <v>2.1796202335241119</v>
      </c>
      <c r="J39" s="182">
        <v>2.2255321577751062</v>
      </c>
      <c r="K39" s="182">
        <v>2.2724111793011232</v>
      </c>
      <c r="L39" s="182">
        <v>2.3202776692182638</v>
      </c>
      <c r="M39" s="182">
        <v>3.6242782798399347</v>
      </c>
      <c r="N39" s="182">
        <v>3.4404167579655365</v>
      </c>
      <c r="O39" s="182">
        <v>3.5080237384737174</v>
      </c>
      <c r="P39" s="182">
        <v>3.6744309801568562</v>
      </c>
      <c r="Q39" s="182">
        <v>3.4886424534752507</v>
      </c>
      <c r="R39" s="182">
        <v>3.3395807388719234</v>
      </c>
      <c r="S39" s="182">
        <v>3.5405515874744324</v>
      </c>
      <c r="T39" s="182">
        <v>3.323947392422653</v>
      </c>
      <c r="U39" s="182">
        <v>3.4548886037885751</v>
      </c>
      <c r="V39" s="182">
        <v>3.1937458298009389</v>
      </c>
      <c r="W39" s="182">
        <v>4.2171449687203975</v>
      </c>
      <c r="X39" s="182">
        <v>4.0553916268206649</v>
      </c>
      <c r="Y39" s="182">
        <v>4.2573960412297396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2.1662406736270734E-2</v>
      </c>
      <c r="D40" s="41">
        <v>2.4100109342105713E-2</v>
      </c>
      <c r="E40" s="41">
        <v>2.6812130220459585E-2</v>
      </c>
      <c r="F40" s="41">
        <v>2.9829338811459216E-2</v>
      </c>
      <c r="G40" s="41">
        <v>3.3186078338894864E-2</v>
      </c>
      <c r="H40" s="41">
        <v>3.6920556720224429E-2</v>
      </c>
      <c r="I40" s="41">
        <v>4.1075281466255387E-2</v>
      </c>
      <c r="J40" s="41">
        <v>4.5697543520731632E-2</v>
      </c>
      <c r="K40" s="41">
        <v>5.0839955547103077E-2</v>
      </c>
      <c r="L40" s="41">
        <v>5.6561050789498246E-2</v>
      </c>
      <c r="M40" s="41">
        <v>6.2925949324408759E-2</v>
      </c>
      <c r="N40" s="41">
        <v>7.0007099286657493E-2</v>
      </c>
      <c r="O40" s="41">
        <v>7.7885101506618426E-2</v>
      </c>
      <c r="P40" s="41">
        <v>8.6649626945082936E-2</v>
      </c>
      <c r="Q40" s="41">
        <v>9.6400437368422853E-2</v>
      </c>
      <c r="R40" s="41">
        <v>0.11311822177282504</v>
      </c>
      <c r="S40" s="41">
        <v>0.14071937050268435</v>
      </c>
      <c r="T40" s="41">
        <v>0.18366061637343511</v>
      </c>
      <c r="U40" s="41">
        <v>0.19084102056695418</v>
      </c>
      <c r="V40" s="41">
        <v>0.24428504135693263</v>
      </c>
      <c r="W40" s="41">
        <v>0.31541003262862333</v>
      </c>
      <c r="X40" s="41">
        <v>0.26232395000206221</v>
      </c>
      <c r="Y40" s="41">
        <v>0.15822038799987981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13.930547495555501</v>
      </c>
      <c r="D41" s="42">
        <v>13.930547495555501</v>
      </c>
      <c r="E41" s="42">
        <v>13.930547495555516</v>
      </c>
      <c r="F41" s="42">
        <v>13.930547495555487</v>
      </c>
      <c r="G41" s="42">
        <v>13.930547495555487</v>
      </c>
      <c r="H41" s="42">
        <v>37.129545279982523</v>
      </c>
      <c r="I41" s="42">
        <v>34.111987557764451</v>
      </c>
      <c r="J41" s="42">
        <v>44.572586541675321</v>
      </c>
      <c r="K41" s="42">
        <v>41.549692601922857</v>
      </c>
      <c r="L41" s="42">
        <v>50.153695273095025</v>
      </c>
      <c r="M41" s="42">
        <v>72.767988556759519</v>
      </c>
      <c r="N41" s="42">
        <v>67.090857650336261</v>
      </c>
      <c r="O41" s="42">
        <v>73.336594186143657</v>
      </c>
      <c r="P41" s="42">
        <v>72.861891699623357</v>
      </c>
      <c r="Q41" s="42">
        <v>81.178000744605924</v>
      </c>
      <c r="R41" s="42">
        <v>98.381990282493462</v>
      </c>
      <c r="S41" s="42">
        <v>101.89815894702986</v>
      </c>
      <c r="T41" s="42">
        <v>121.02327941862882</v>
      </c>
      <c r="U41" s="42">
        <v>123.34882756628076</v>
      </c>
      <c r="V41" s="42">
        <v>151.51347079116226</v>
      </c>
      <c r="W41" s="42">
        <v>123.76232440096658</v>
      </c>
      <c r="X41" s="42">
        <v>141.24680091142159</v>
      </c>
      <c r="Y41" s="42">
        <v>152.20940210446724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8759.9999999999982</v>
      </c>
      <c r="C44" s="184">
        <v>8759.9999999999982</v>
      </c>
      <c r="D44" s="184">
        <v>8759.9999999999982</v>
      </c>
      <c r="E44" s="184">
        <v>8759.9999999999945</v>
      </c>
      <c r="F44" s="184">
        <v>8760</v>
      </c>
      <c r="G44" s="184">
        <v>8759.9999999999964</v>
      </c>
      <c r="H44" s="184">
        <v>8759.9999999999982</v>
      </c>
      <c r="I44" s="184">
        <v>8760</v>
      </c>
      <c r="J44" s="184">
        <v>8759.9999999999982</v>
      </c>
      <c r="K44" s="184">
        <v>8760</v>
      </c>
      <c r="L44" s="184">
        <v>8759.9999999999982</v>
      </c>
      <c r="M44" s="184">
        <v>8760</v>
      </c>
      <c r="N44" s="184">
        <v>8759.9999999999982</v>
      </c>
      <c r="O44" s="184">
        <v>8760</v>
      </c>
      <c r="P44" s="184">
        <v>8760.0000000000018</v>
      </c>
      <c r="Q44" s="184">
        <v>8759.9999999999964</v>
      </c>
      <c r="R44" s="184">
        <v>8759.9999999999964</v>
      </c>
      <c r="S44" s="184">
        <v>8759.9999999999964</v>
      </c>
      <c r="T44" s="184">
        <v>8759.9999999999982</v>
      </c>
      <c r="U44" s="184">
        <v>8759.9999999999982</v>
      </c>
      <c r="V44" s="184">
        <v>8759.9999999999982</v>
      </c>
      <c r="W44" s="184">
        <v>8759.9999999999982</v>
      </c>
      <c r="X44" s="184">
        <v>8759.9999999999982</v>
      </c>
      <c r="Y44" s="184">
        <v>8759.9999999999982</v>
      </c>
      <c r="DA44" s="193" t="s">
        <v>940</v>
      </c>
    </row>
    <row r="45" spans="1:105" ht="12" customHeight="1" x14ac:dyDescent="0.25">
      <c r="A45" s="131" t="s">
        <v>6</v>
      </c>
      <c r="B45" s="184">
        <v>3871.0178920082976</v>
      </c>
      <c r="C45" s="184">
        <v>3873.7112390359348</v>
      </c>
      <c r="D45" s="184">
        <v>3877.3205975657152</v>
      </c>
      <c r="E45" s="184">
        <v>3881.9885296590919</v>
      </c>
      <c r="F45" s="184">
        <v>3883.9419230873982</v>
      </c>
      <c r="G45" s="184">
        <v>3887.7646482794767</v>
      </c>
      <c r="H45" s="184">
        <v>3891.1015609488109</v>
      </c>
      <c r="I45" s="184">
        <v>3896.0707621916627</v>
      </c>
      <c r="J45" s="184">
        <v>3893.8522179378456</v>
      </c>
      <c r="K45" s="184">
        <v>3891.4673899786158</v>
      </c>
      <c r="L45" s="184">
        <v>3890.8940290853297</v>
      </c>
      <c r="M45" s="184">
        <v>3890.8067233307124</v>
      </c>
      <c r="N45" s="184">
        <v>3886.3773131877638</v>
      </c>
      <c r="O45" s="184">
        <v>3869.6461289927984</v>
      </c>
      <c r="P45" s="184">
        <v>3854.3379702917896</v>
      </c>
      <c r="Q45" s="184">
        <v>3839.5162766260628</v>
      </c>
      <c r="R45" s="184">
        <v>3907.3037861157177</v>
      </c>
      <c r="S45" s="184">
        <v>3816.5183561878885</v>
      </c>
      <c r="T45" s="184">
        <v>3783.4285114533018</v>
      </c>
      <c r="U45" s="184">
        <v>3728.9213483267522</v>
      </c>
      <c r="V45" s="184">
        <v>3686.9151568241391</v>
      </c>
      <c r="W45" s="184">
        <v>3643.7793874176359</v>
      </c>
      <c r="X45" s="184">
        <v>3639.4014486758724</v>
      </c>
      <c r="Y45" s="184">
        <v>3635.0235099341089</v>
      </c>
      <c r="DA45" s="193" t="s">
        <v>941</v>
      </c>
    </row>
    <row r="46" spans="1:105" ht="12" customHeight="1" x14ac:dyDescent="0.25">
      <c r="A46" s="131" t="s">
        <v>5</v>
      </c>
      <c r="B46" s="184">
        <v>2275.4231432260995</v>
      </c>
      <c r="C46" s="184">
        <v>2297.4814731575443</v>
      </c>
      <c r="D46" s="184">
        <v>2318.1859639285899</v>
      </c>
      <c r="E46" s="184">
        <v>2342.4460951174806</v>
      </c>
      <c r="F46" s="184">
        <v>2357.4256856417924</v>
      </c>
      <c r="G46" s="184">
        <v>2375.2656821184551</v>
      </c>
      <c r="H46" s="184">
        <v>2384.0868510902924</v>
      </c>
      <c r="I46" s="184">
        <v>2392.0730970503664</v>
      </c>
      <c r="J46" s="184">
        <v>2399.5458541523221</v>
      </c>
      <c r="K46" s="184">
        <v>2409.6036188449275</v>
      </c>
      <c r="L46" s="184">
        <v>2418.0702029663894</v>
      </c>
      <c r="M46" s="184">
        <v>2431.5630720513655</v>
      </c>
      <c r="N46" s="184">
        <v>2446.2330069064346</v>
      </c>
      <c r="O46" s="184">
        <v>2458.8123594932235</v>
      </c>
      <c r="P46" s="184">
        <v>2469.2766577222569</v>
      </c>
      <c r="Q46" s="184">
        <v>2480.5843307011764</v>
      </c>
      <c r="R46" s="184">
        <v>2520.8021272321394</v>
      </c>
      <c r="S46" s="184">
        <v>2482.4890912436576</v>
      </c>
      <c r="T46" s="184">
        <v>2456.934675004245</v>
      </c>
      <c r="U46" s="184">
        <v>2425.6943940262677</v>
      </c>
      <c r="V46" s="184">
        <v>2376.3247659253261</v>
      </c>
      <c r="W46" s="184">
        <v>2679.125151611101</v>
      </c>
      <c r="X46" s="184">
        <v>2567.302734268419</v>
      </c>
      <c r="Y46" s="184">
        <v>2511.3915255970778</v>
      </c>
      <c r="DA46" s="193" t="s">
        <v>942</v>
      </c>
    </row>
    <row r="47" spans="1:105" ht="12" customHeight="1" x14ac:dyDescent="0.25">
      <c r="A47" s="131" t="s">
        <v>171</v>
      </c>
      <c r="B47" s="184">
        <v>8760</v>
      </c>
      <c r="C47" s="184">
        <v>8760</v>
      </c>
      <c r="D47" s="184">
        <v>8759.9999999999982</v>
      </c>
      <c r="E47" s="184">
        <v>8760</v>
      </c>
      <c r="F47" s="184">
        <v>8760</v>
      </c>
      <c r="G47" s="184">
        <v>8759.9999999999945</v>
      </c>
      <c r="H47" s="184">
        <v>8759.9999999999982</v>
      </c>
      <c r="I47" s="184">
        <v>8759.9999999999982</v>
      </c>
      <c r="J47" s="184">
        <v>8760.0000000000018</v>
      </c>
      <c r="K47" s="184">
        <v>8759.9999999999964</v>
      </c>
      <c r="L47" s="184">
        <v>8760.0000000000018</v>
      </c>
      <c r="M47" s="184">
        <v>8760</v>
      </c>
      <c r="N47" s="184">
        <v>8759.9999999999982</v>
      </c>
      <c r="O47" s="184">
        <v>8760</v>
      </c>
      <c r="P47" s="184">
        <v>8759.9999999999945</v>
      </c>
      <c r="Q47" s="184">
        <v>8759.9999999999982</v>
      </c>
      <c r="R47" s="184">
        <v>8760</v>
      </c>
      <c r="S47" s="184">
        <v>8759.9999999999982</v>
      </c>
      <c r="T47" s="184">
        <v>8760</v>
      </c>
      <c r="U47" s="184">
        <v>8759.9999999999982</v>
      </c>
      <c r="V47" s="184">
        <v>8760.0000000000018</v>
      </c>
      <c r="W47" s="184">
        <v>8759.9999999999982</v>
      </c>
      <c r="X47" s="184">
        <v>8759.9999999999982</v>
      </c>
      <c r="Y47" s="184">
        <v>8759.9999999999982</v>
      </c>
      <c r="DA47" s="193" t="s">
        <v>943</v>
      </c>
    </row>
    <row r="48" spans="1:105" ht="12" customHeight="1" x14ac:dyDescent="0.25">
      <c r="A48" s="60" t="s">
        <v>4</v>
      </c>
      <c r="B48" s="44">
        <v>908.14366679707348</v>
      </c>
      <c r="C48" s="44">
        <v>912.48176201160572</v>
      </c>
      <c r="D48" s="44">
        <v>916.46022475399423</v>
      </c>
      <c r="E48" s="44">
        <v>920.13537196012294</v>
      </c>
      <c r="F48" s="44">
        <v>923.55116481508196</v>
      </c>
      <c r="G48" s="44">
        <v>926.74258862885495</v>
      </c>
      <c r="H48" s="44">
        <v>929.7379487396795</v>
      </c>
      <c r="I48" s="44">
        <v>932.56047501972455</v>
      </c>
      <c r="J48" s="44">
        <v>935.2294709705676</v>
      </c>
      <c r="K48" s="44">
        <v>937.76115439320643</v>
      </c>
      <c r="L48" s="44">
        <v>940.1692840437014</v>
      </c>
      <c r="M48" s="44">
        <v>941.69956187203172</v>
      </c>
      <c r="N48" s="44">
        <v>943.16095725952289</v>
      </c>
      <c r="O48" s="44">
        <v>944.55949869545009</v>
      </c>
      <c r="P48" s="44">
        <v>945.90045258056</v>
      </c>
      <c r="Q48" s="44">
        <v>947.18844679310018</v>
      </c>
      <c r="R48" s="44">
        <v>971.79297188171302</v>
      </c>
      <c r="S48" s="44">
        <v>949.64329085058637</v>
      </c>
      <c r="T48" s="44">
        <v>941.59079446178009</v>
      </c>
      <c r="U48" s="44">
        <v>923.74381610638409</v>
      </c>
      <c r="V48" s="44">
        <v>904.94306001195298</v>
      </c>
      <c r="W48" s="44">
        <v>1020.2543640577973</v>
      </c>
      <c r="X48" s="44">
        <v>981.3556795477125</v>
      </c>
      <c r="Y48" s="44">
        <v>961.90633729267006</v>
      </c>
      <c r="DA48" s="95" t="s">
        <v>944</v>
      </c>
    </row>
    <row r="49" spans="1:105" ht="12" customHeight="1" x14ac:dyDescent="0.25">
      <c r="A49" s="62" t="s">
        <v>3</v>
      </c>
      <c r="B49" s="185">
        <v>2916.3366329798941</v>
      </c>
      <c r="C49" s="185">
        <v>2854.4412672923463</v>
      </c>
      <c r="D49" s="185">
        <v>2874.8483801251923</v>
      </c>
      <c r="E49" s="185">
        <v>2824.2347577895571</v>
      </c>
      <c r="F49" s="185">
        <v>2820.8762223456461</v>
      </c>
      <c r="G49" s="185">
        <v>2784.0304267740503</v>
      </c>
      <c r="H49" s="185">
        <v>2782.5200404243024</v>
      </c>
      <c r="I49" s="185">
        <v>2786.1733724584965</v>
      </c>
      <c r="J49" s="185">
        <v>2807.7354283405411</v>
      </c>
      <c r="K49" s="185">
        <v>2826.911176887726</v>
      </c>
      <c r="L49" s="185">
        <v>2863.9010848777493</v>
      </c>
      <c r="M49" s="185">
        <v>2891.7914203713717</v>
      </c>
      <c r="N49" s="185">
        <v>2952.7174664205072</v>
      </c>
      <c r="O49" s="185">
        <v>3004.7750421352425</v>
      </c>
      <c r="P49" s="185">
        <v>3024.2919018867483</v>
      </c>
      <c r="Q49" s="185">
        <v>2999.8156791781093</v>
      </c>
      <c r="R49" s="185">
        <v>3045.4688172521596</v>
      </c>
      <c r="S49" s="185">
        <v>3096.0858218577673</v>
      </c>
      <c r="T49" s="185">
        <v>3115.6132231235015</v>
      </c>
      <c r="U49" s="185">
        <v>3166.7876828614126</v>
      </c>
      <c r="V49" s="185">
        <v>3220.2482246894278</v>
      </c>
      <c r="W49" s="185">
        <v>3476.258568833307</v>
      </c>
      <c r="X49" s="185">
        <v>3445.3145995260707</v>
      </c>
      <c r="Y49" s="185">
        <v>3510.311769083366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0.7857150901061859</v>
      </c>
      <c r="C52" s="180">
        <v>0.77733611266397573</v>
      </c>
      <c r="D52" s="180">
        <v>0.76901092770577273</v>
      </c>
      <c r="E52" s="180">
        <v>0.75950564518003283</v>
      </c>
      <c r="F52" s="180">
        <v>0.75131340497776355</v>
      </c>
      <c r="G52" s="180">
        <v>0.74038708623518501</v>
      </c>
      <c r="H52" s="180">
        <v>0.729077314640448</v>
      </c>
      <c r="I52" s="180">
        <v>0.71962202954332277</v>
      </c>
      <c r="J52" s="180">
        <v>0.71440971423676736</v>
      </c>
      <c r="K52" s="180">
        <v>0.70812165735287458</v>
      </c>
      <c r="L52" s="180">
        <v>0.7002419155765377</v>
      </c>
      <c r="M52" s="180">
        <v>0.6896987697703072</v>
      </c>
      <c r="N52" s="180">
        <v>0.67914315216643539</v>
      </c>
      <c r="O52" s="180">
        <v>0.66894135590899151</v>
      </c>
      <c r="P52" s="180">
        <v>0.65730387161912562</v>
      </c>
      <c r="Q52" s="180">
        <v>0.64346829179837739</v>
      </c>
      <c r="R52" s="180">
        <v>0.63206340019119445</v>
      </c>
      <c r="S52" s="180">
        <v>0.62003355180118103</v>
      </c>
      <c r="T52" s="180">
        <v>0.60850069891073855</v>
      </c>
      <c r="U52" s="180">
        <v>0.59739691980089904</v>
      </c>
      <c r="V52" s="180">
        <v>0.58721809655372614</v>
      </c>
      <c r="W52" s="180">
        <v>0.57667378018876947</v>
      </c>
      <c r="X52" s="180">
        <v>0.56867075907678155</v>
      </c>
      <c r="Y52" s="180">
        <v>0.55861844055236709</v>
      </c>
      <c r="DA52" s="189" t="s">
        <v>946</v>
      </c>
    </row>
    <row r="53" spans="1:105" ht="12" customHeight="1" x14ac:dyDescent="0.25">
      <c r="A53" s="131" t="s">
        <v>100</v>
      </c>
      <c r="B53" s="180">
        <v>204.99414285235056</v>
      </c>
      <c r="C53" s="180">
        <v>202.86829044245493</v>
      </c>
      <c r="D53" s="180">
        <v>200.3901679922339</v>
      </c>
      <c r="E53" s="180">
        <v>197.57297667294554</v>
      </c>
      <c r="F53" s="180">
        <v>194.29752531888096</v>
      </c>
      <c r="G53" s="180">
        <v>190.73687319559116</v>
      </c>
      <c r="H53" s="180">
        <v>186.72814534971252</v>
      </c>
      <c r="I53" s="180">
        <v>182.45276715343948</v>
      </c>
      <c r="J53" s="180">
        <v>179.74591710158856</v>
      </c>
      <c r="K53" s="180">
        <v>176.99578910003393</v>
      </c>
      <c r="L53" s="180">
        <v>174.21116045995396</v>
      </c>
      <c r="M53" s="180">
        <v>171.29969838865281</v>
      </c>
      <c r="N53" s="180">
        <v>167.96057484990587</v>
      </c>
      <c r="O53" s="180">
        <v>163.87401460563987</v>
      </c>
      <c r="P53" s="180">
        <v>159.00348606349357</v>
      </c>
      <c r="Q53" s="180">
        <v>153.27892941288053</v>
      </c>
      <c r="R53" s="180">
        <v>147.69106833239783</v>
      </c>
      <c r="S53" s="180">
        <v>141.72126778096731</v>
      </c>
      <c r="T53" s="180">
        <v>135.20414160524442</v>
      </c>
      <c r="U53" s="180">
        <v>128.29591014178447</v>
      </c>
      <c r="V53" s="180">
        <v>120.9697396380045</v>
      </c>
      <c r="W53" s="180">
        <v>114.23883736641434</v>
      </c>
      <c r="X53" s="180">
        <v>108.62420794076407</v>
      </c>
      <c r="Y53" s="180">
        <v>104.49487447331323</v>
      </c>
      <c r="DA53" s="189" t="s">
        <v>947</v>
      </c>
    </row>
    <row r="54" spans="1:105" ht="12" customHeight="1" x14ac:dyDescent="0.25">
      <c r="A54" s="131" t="s">
        <v>140</v>
      </c>
      <c r="B54" s="180">
        <v>47.051687935175217</v>
      </c>
      <c r="C54" s="180">
        <v>46.543029173666532</v>
      </c>
      <c r="D54" s="180">
        <v>45.815061161785621</v>
      </c>
      <c r="E54" s="180">
        <v>44.97370774431667</v>
      </c>
      <c r="F54" s="180">
        <v>44.047409069071577</v>
      </c>
      <c r="G54" s="180">
        <v>42.976517198702723</v>
      </c>
      <c r="H54" s="180">
        <v>41.754632023659589</v>
      </c>
      <c r="I54" s="180">
        <v>40.814353711963278</v>
      </c>
      <c r="J54" s="180">
        <v>40.032925068610822</v>
      </c>
      <c r="K54" s="180">
        <v>39.112654780526874</v>
      </c>
      <c r="L54" s="180">
        <v>38.080656275741099</v>
      </c>
      <c r="M54" s="180">
        <v>36.663966223499187</v>
      </c>
      <c r="N54" s="180">
        <v>35.159652333679844</v>
      </c>
      <c r="O54" s="180">
        <v>33.600144241181994</v>
      </c>
      <c r="P54" s="180">
        <v>32.274608875901059</v>
      </c>
      <c r="Q54" s="180">
        <v>30.638412172051343</v>
      </c>
      <c r="R54" s="180">
        <v>28.83075204834698</v>
      </c>
      <c r="S54" s="180">
        <v>26.726329108552669</v>
      </c>
      <c r="T54" s="180">
        <v>24.69197917193485</v>
      </c>
      <c r="U54" s="180">
        <v>22.722360732810287</v>
      </c>
      <c r="V54" s="180">
        <v>21.081119145034545</v>
      </c>
      <c r="W54" s="180">
        <v>19.317956817366078</v>
      </c>
      <c r="X54" s="180">
        <v>18.142671887826051</v>
      </c>
      <c r="Y54" s="180">
        <v>16.785300112714985</v>
      </c>
      <c r="DA54" s="189" t="s">
        <v>948</v>
      </c>
    </row>
    <row r="55" spans="1:105" ht="12" customHeight="1" x14ac:dyDescent="0.25">
      <c r="A55" s="131" t="s">
        <v>173</v>
      </c>
      <c r="B55" s="180">
        <v>698.73778193282658</v>
      </c>
      <c r="C55" s="180">
        <v>688.61163829359089</v>
      </c>
      <c r="D55" s="180">
        <v>678.33487043449338</v>
      </c>
      <c r="E55" s="180">
        <v>667.98040558218372</v>
      </c>
      <c r="F55" s="180">
        <v>657.44782234647687</v>
      </c>
      <c r="G55" s="180">
        <v>647.26752961965781</v>
      </c>
      <c r="H55" s="180">
        <v>637.01430049560292</v>
      </c>
      <c r="I55" s="180">
        <v>626.09036883559077</v>
      </c>
      <c r="J55" s="180">
        <v>615.11678462743123</v>
      </c>
      <c r="K55" s="180">
        <v>603.06316894802569</v>
      </c>
      <c r="L55" s="180">
        <v>590.91278440966187</v>
      </c>
      <c r="M55" s="180">
        <v>578.7493019568617</v>
      </c>
      <c r="N55" s="180">
        <v>567.75265912882696</v>
      </c>
      <c r="O55" s="180">
        <v>556.27511522666839</v>
      </c>
      <c r="P55" s="180">
        <v>543.86721775367198</v>
      </c>
      <c r="Q55" s="180">
        <v>532.28564993817713</v>
      </c>
      <c r="R55" s="180">
        <v>522.18424744225229</v>
      </c>
      <c r="S55" s="180">
        <v>511.943974738132</v>
      </c>
      <c r="T55" s="180">
        <v>502.67302762895832</v>
      </c>
      <c r="U55" s="180">
        <v>493.90349904757636</v>
      </c>
      <c r="V55" s="180">
        <v>486.23412525658136</v>
      </c>
      <c r="W55" s="180">
        <v>477.05424601965098</v>
      </c>
      <c r="X55" s="180">
        <v>468.48427872351982</v>
      </c>
      <c r="Y55" s="180">
        <v>459.28026653937428</v>
      </c>
      <c r="DA55" s="189" t="s">
        <v>949</v>
      </c>
    </row>
    <row r="56" spans="1:105" ht="12" customHeight="1" x14ac:dyDescent="0.25">
      <c r="A56" s="60" t="s">
        <v>99</v>
      </c>
      <c r="B56" s="55">
        <v>54.74041284403657</v>
      </c>
      <c r="C56" s="55">
        <v>54.292520104508846</v>
      </c>
      <c r="D56" s="55">
        <v>53.78635604079809</v>
      </c>
      <c r="E56" s="55">
        <v>53.200266871086264</v>
      </c>
      <c r="F56" s="55">
        <v>52.648610412556039</v>
      </c>
      <c r="G56" s="55">
        <v>52.028752151178757</v>
      </c>
      <c r="H56" s="55">
        <v>51.343590922647969</v>
      </c>
      <c r="I56" s="55">
        <v>50.805372611349171</v>
      </c>
      <c r="J56" s="55">
        <v>50.427333016907106</v>
      </c>
      <c r="K56" s="55">
        <v>50.097780072969492</v>
      </c>
      <c r="L56" s="55">
        <v>49.623847964075182</v>
      </c>
      <c r="M56" s="55">
        <v>49.008844914814645</v>
      </c>
      <c r="N56" s="55">
        <v>48.375731183628986</v>
      </c>
      <c r="O56" s="55">
        <v>47.785081160139065</v>
      </c>
      <c r="P56" s="55">
        <v>47.07059351863677</v>
      </c>
      <c r="Q56" s="55">
        <v>46.19677593602102</v>
      </c>
      <c r="R56" s="55">
        <v>45.481207629663466</v>
      </c>
      <c r="S56" s="55">
        <v>44.535077337790341</v>
      </c>
      <c r="T56" s="55">
        <v>43.494032308249317</v>
      </c>
      <c r="U56" s="55">
        <v>42.509691598191971</v>
      </c>
      <c r="V56" s="55">
        <v>41.316847417275469</v>
      </c>
      <c r="W56" s="55">
        <v>39.977419620336931</v>
      </c>
      <c r="X56" s="55">
        <v>38.942494507804803</v>
      </c>
      <c r="Y56" s="55">
        <v>38.339915532558393</v>
      </c>
      <c r="DA56" s="101" t="s">
        <v>950</v>
      </c>
    </row>
    <row r="57" spans="1:105" ht="12" customHeight="1" x14ac:dyDescent="0.25">
      <c r="A57" s="62" t="s">
        <v>98</v>
      </c>
      <c r="B57" s="63">
        <v>412.30181282101017</v>
      </c>
      <c r="C57" s="63">
        <v>397.82340307682529</v>
      </c>
      <c r="D57" s="63">
        <v>384.81118006525173</v>
      </c>
      <c r="E57" s="63">
        <v>369.22184056279229</v>
      </c>
      <c r="F57" s="63">
        <v>355.57791849978912</v>
      </c>
      <c r="G57" s="63">
        <v>340.73895631084349</v>
      </c>
      <c r="H57" s="63">
        <v>321.28647209273606</v>
      </c>
      <c r="I57" s="63">
        <v>305.66485933659129</v>
      </c>
      <c r="J57" s="63">
        <v>289.89878895455973</v>
      </c>
      <c r="K57" s="63">
        <v>274.4937544563781</v>
      </c>
      <c r="L57" s="63">
        <v>257.56709086982477</v>
      </c>
      <c r="M57" s="63">
        <v>238.17635430625751</v>
      </c>
      <c r="N57" s="63">
        <v>222.98030845610506</v>
      </c>
      <c r="O57" s="63">
        <v>209.17572538879534</v>
      </c>
      <c r="P57" s="63">
        <v>200.00635999937771</v>
      </c>
      <c r="Q57" s="63">
        <v>193.78117504725137</v>
      </c>
      <c r="R57" s="63">
        <v>189.36678389411875</v>
      </c>
      <c r="S57" s="63">
        <v>185.16900331039741</v>
      </c>
      <c r="T57" s="63">
        <v>181.0842906955892</v>
      </c>
      <c r="U57" s="63">
        <v>177.0504833421009</v>
      </c>
      <c r="V57" s="63">
        <v>172.02589065523745</v>
      </c>
      <c r="W57" s="63">
        <v>168.31322419734798</v>
      </c>
      <c r="X57" s="63">
        <v>164.64449949276047</v>
      </c>
      <c r="Y57" s="63">
        <v>160.97749817797663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0.70057213933528939</v>
      </c>
      <c r="D60" s="180">
        <v>0.69039399908898236</v>
      </c>
      <c r="E60" s="180">
        <v>0.68004125957295314</v>
      </c>
      <c r="F60" s="180">
        <v>0.66936109631105267</v>
      </c>
      <c r="G60" s="180">
        <v>0.65913939933928489</v>
      </c>
      <c r="H60" s="180">
        <v>0.64953255547154354</v>
      </c>
      <c r="I60" s="180">
        <v>0.63977501946331838</v>
      </c>
      <c r="J60" s="180">
        <v>0.63234182832529606</v>
      </c>
      <c r="K60" s="180">
        <v>0.62349913729244533</v>
      </c>
      <c r="L60" s="180">
        <v>0.61408886310314492</v>
      </c>
      <c r="M60" s="180">
        <v>0.60324799620253444</v>
      </c>
      <c r="N60" s="180">
        <v>0.59025885831073011</v>
      </c>
      <c r="O60" s="180">
        <v>0.57503384627376142</v>
      </c>
      <c r="P60" s="180">
        <v>0.55707981954216768</v>
      </c>
      <c r="Q60" s="180">
        <v>0.53863032459670968</v>
      </c>
      <c r="R60" s="180">
        <v>0.53522375312043602</v>
      </c>
      <c r="S60" s="180">
        <v>0.53023356259760523</v>
      </c>
      <c r="T60" s="180">
        <v>0.52557063463919396</v>
      </c>
      <c r="U60" s="180">
        <v>0.52129522030827857</v>
      </c>
      <c r="V60" s="180">
        <v>0.51704500049085711</v>
      </c>
      <c r="W60" s="180">
        <v>0.51394273048791195</v>
      </c>
      <c r="X60" s="180">
        <v>0.51084046048496679</v>
      </c>
      <c r="Y60" s="180">
        <v>0.50773819048202162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191.04270492854221</v>
      </c>
      <c r="D61" s="180">
        <v>188.71101720707372</v>
      </c>
      <c r="E61" s="180">
        <v>186.34313911964969</v>
      </c>
      <c r="F61" s="180">
        <v>183.17582608467313</v>
      </c>
      <c r="G61" s="180">
        <v>180.49068785817983</v>
      </c>
      <c r="H61" s="180">
        <v>176.9618225168887</v>
      </c>
      <c r="I61" s="180">
        <v>173.91109537097995</v>
      </c>
      <c r="J61" s="180">
        <v>171.262683208873</v>
      </c>
      <c r="K61" s="180">
        <v>168.71892303237195</v>
      </c>
      <c r="L61" s="180">
        <v>166.27874202541989</v>
      </c>
      <c r="M61" s="180">
        <v>163.03314799556347</v>
      </c>
      <c r="N61" s="180">
        <v>158.06480556736165</v>
      </c>
      <c r="O61" s="180">
        <v>151.13533987916668</v>
      </c>
      <c r="P61" s="180">
        <v>143.021128379023</v>
      </c>
      <c r="Q61" s="180">
        <v>133.52761398833019</v>
      </c>
      <c r="R61" s="180">
        <v>125.77296444694416</v>
      </c>
      <c r="S61" s="180">
        <v>119.90009904965193</v>
      </c>
      <c r="T61" s="180">
        <v>114.03851854872649</v>
      </c>
      <c r="U61" s="180">
        <v>108.15858976854032</v>
      </c>
      <c r="V61" s="180">
        <v>102.26637604907066</v>
      </c>
      <c r="W61" s="180">
        <v>99.750623198263526</v>
      </c>
      <c r="X61" s="180">
        <v>97.234870347456393</v>
      </c>
      <c r="Y61" s="180">
        <v>94.719117496649261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44.364319654134853</v>
      </c>
      <c r="D62" s="180">
        <v>43.09985729131138</v>
      </c>
      <c r="E62" s="180">
        <v>42.352482777042916</v>
      </c>
      <c r="F62" s="180">
        <v>41.520107903726256</v>
      </c>
      <c r="G62" s="180">
        <v>40.691536173921541</v>
      </c>
      <c r="H62" s="180">
        <v>39.519187965827371</v>
      </c>
      <c r="I62" s="180">
        <v>38.680080807107352</v>
      </c>
      <c r="J62" s="180">
        <v>37.591553125694503</v>
      </c>
      <c r="K62" s="180">
        <v>36.51580163778862</v>
      </c>
      <c r="L62" s="180">
        <v>35.230057519466598</v>
      </c>
      <c r="M62" s="180">
        <v>33.369291663998368</v>
      </c>
      <c r="N62" s="180">
        <v>31.630485567299942</v>
      </c>
      <c r="O62" s="180">
        <v>30.157299349477885</v>
      </c>
      <c r="P62" s="180">
        <v>28.361745817453183</v>
      </c>
      <c r="Q62" s="180">
        <v>26.512034189417751</v>
      </c>
      <c r="R62" s="180">
        <v>23.293866553898123</v>
      </c>
      <c r="S62" s="180">
        <v>21.931665014994557</v>
      </c>
      <c r="T62" s="180">
        <v>19.906338567519267</v>
      </c>
      <c r="U62" s="180">
        <v>18.297464679876029</v>
      </c>
      <c r="V62" s="180">
        <v>16.907390197607285</v>
      </c>
      <c r="W62" s="180">
        <v>16.062020687726921</v>
      </c>
      <c r="X62" s="180">
        <v>15.216651177846554</v>
      </c>
      <c r="Y62" s="180">
        <v>14.371281667966191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634.85628686957261</v>
      </c>
      <c r="D63" s="180">
        <v>621.68497248216443</v>
      </c>
      <c r="E63" s="180">
        <v>613.71705445515181</v>
      </c>
      <c r="F63" s="180">
        <v>606.37700540238552</v>
      </c>
      <c r="G63" s="180">
        <v>597.9501553166167</v>
      </c>
      <c r="H63" s="180">
        <v>587.83602722873809</v>
      </c>
      <c r="I63" s="180">
        <v>578.02611644754404</v>
      </c>
      <c r="J63" s="180">
        <v>567.32901731304389</v>
      </c>
      <c r="K63" s="180">
        <v>552.49050377969024</v>
      </c>
      <c r="L63" s="180">
        <v>540.98184017120093</v>
      </c>
      <c r="M63" s="180">
        <v>527.20510201783316</v>
      </c>
      <c r="N63" s="180">
        <v>518.10828997464057</v>
      </c>
      <c r="O63" s="180">
        <v>507.10269472269158</v>
      </c>
      <c r="P63" s="180">
        <v>495.75454299080025</v>
      </c>
      <c r="Q63" s="180">
        <v>488.43123114632135</v>
      </c>
      <c r="R63" s="180">
        <v>481.35738404634952</v>
      </c>
      <c r="S63" s="180">
        <v>472.72248021289914</v>
      </c>
      <c r="T63" s="180">
        <v>464.45084626921766</v>
      </c>
      <c r="U63" s="180">
        <v>456.58225125170077</v>
      </c>
      <c r="V63" s="180">
        <v>448.76667393164985</v>
      </c>
      <c r="W63" s="180">
        <v>439.79134045301686</v>
      </c>
      <c r="X63" s="180">
        <v>430.81600697438381</v>
      </c>
      <c r="Y63" s="180">
        <v>421.84067349575082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51.366876674021938</v>
      </c>
      <c r="D64" s="55">
        <v>50.885098024193269</v>
      </c>
      <c r="E64" s="55">
        <v>50.334069179120966</v>
      </c>
      <c r="F64" s="55">
        <v>49.722200015381731</v>
      </c>
      <c r="G64" s="55">
        <v>49.132746849001471</v>
      </c>
      <c r="H64" s="55">
        <v>48.48801940564298</v>
      </c>
      <c r="I64" s="55">
        <v>47.777498381306344</v>
      </c>
      <c r="J64" s="55">
        <v>46.900791377573732</v>
      </c>
      <c r="K64" s="55">
        <v>46.111752200123661</v>
      </c>
      <c r="L64" s="55">
        <v>45.111388944384295</v>
      </c>
      <c r="M64" s="55">
        <v>43.810600321891577</v>
      </c>
      <c r="N64" s="55">
        <v>42.569212284084315</v>
      </c>
      <c r="O64" s="55">
        <v>41.406807196704293</v>
      </c>
      <c r="P64" s="55">
        <v>40.154178143747494</v>
      </c>
      <c r="Q64" s="55">
        <v>38.775456525645573</v>
      </c>
      <c r="R64" s="55">
        <v>38.299492084283258</v>
      </c>
      <c r="S64" s="55">
        <v>37.725999695172113</v>
      </c>
      <c r="T64" s="55">
        <v>37.184431971106996</v>
      </c>
      <c r="U64" s="55">
        <v>36.665315390565318</v>
      </c>
      <c r="V64" s="55">
        <v>36.149422936208943</v>
      </c>
      <c r="W64" s="55">
        <v>35.787928706846856</v>
      </c>
      <c r="X64" s="55">
        <v>35.426434477484761</v>
      </c>
      <c r="Y64" s="55">
        <v>35.064940248122674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376.09491994237447</v>
      </c>
      <c r="D65" s="63">
        <v>360.61886586605777</v>
      </c>
      <c r="E65" s="63">
        <v>343.15234279118494</v>
      </c>
      <c r="F65" s="63">
        <v>327.41649419052641</v>
      </c>
      <c r="G65" s="63">
        <v>309.93522901791806</v>
      </c>
      <c r="H65" s="63">
        <v>293.77824590165585</v>
      </c>
      <c r="I65" s="63">
        <v>276.98885519910544</v>
      </c>
      <c r="J65" s="63">
        <v>262.90118425499941</v>
      </c>
      <c r="K65" s="63">
        <v>240.20898168900956</v>
      </c>
      <c r="L65" s="63">
        <v>219.81701962508689</v>
      </c>
      <c r="M65" s="63">
        <v>206.92138806997946</v>
      </c>
      <c r="N65" s="63">
        <v>199.95460511628517</v>
      </c>
      <c r="O65" s="63">
        <v>192.95091815243862</v>
      </c>
      <c r="P65" s="63">
        <v>188.41843040875079</v>
      </c>
      <c r="Q65" s="63">
        <v>186.12606170048602</v>
      </c>
      <c r="R65" s="63">
        <v>182.05719417826216</v>
      </c>
      <c r="S65" s="63">
        <v>177.3635990306741</v>
      </c>
      <c r="T65" s="63">
        <v>172.78370779578154</v>
      </c>
      <c r="U65" s="63">
        <v>168.39838727839728</v>
      </c>
      <c r="V65" s="63">
        <v>164.04686089437749</v>
      </c>
      <c r="W65" s="63">
        <v>161.09401739827868</v>
      </c>
      <c r="X65" s="63">
        <v>158.1411739021799</v>
      </c>
      <c r="Y65" s="63">
        <v>155.18833040608109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420.58290684300152</v>
      </c>
      <c r="C68" s="187">
        <f>1000000*C20/SER_summary!C$8</f>
        <v>431.3880809792912</v>
      </c>
      <c r="D68" s="187">
        <f>1000000*D20/SER_summary!D$8</f>
        <v>439.37976787593061</v>
      </c>
      <c r="E68" s="187">
        <f>1000000*E20/SER_summary!E$8</f>
        <v>450.84460694678972</v>
      </c>
      <c r="F68" s="187">
        <f>1000000*F20/SER_summary!F$8</f>
        <v>458.54498702104877</v>
      </c>
      <c r="G68" s="187">
        <f>1000000*G20/SER_summary!G$8</f>
        <v>469.00496859129777</v>
      </c>
      <c r="H68" s="187">
        <f>1000000*H20/SER_summary!H$8</f>
        <v>477.77155646722315</v>
      </c>
      <c r="I68" s="187">
        <f>1000000*I20/SER_summary!I$8</f>
        <v>487.03447956000167</v>
      </c>
      <c r="J68" s="187">
        <f>1000000*J20/SER_summary!J$8</f>
        <v>495.72320358683066</v>
      </c>
      <c r="K68" s="187">
        <f>1000000*K20/SER_summary!K$8</f>
        <v>504.32636036872543</v>
      </c>
      <c r="L68" s="187">
        <f>1000000*L20/SER_summary!L$8</f>
        <v>512.21872405716545</v>
      </c>
      <c r="M68" s="187">
        <f>1000000*M20/SER_summary!M$8</f>
        <v>521.08528576457138</v>
      </c>
      <c r="N68" s="187">
        <f>1000000*N20/SER_summary!N$8</f>
        <v>532.82846839048511</v>
      </c>
      <c r="O68" s="187">
        <f>1000000*O20/SER_summary!O$8</f>
        <v>545.13047958163372</v>
      </c>
      <c r="P68" s="187">
        <f>1000000*P20/SER_summary!P$8</f>
        <v>557.42001821411395</v>
      </c>
      <c r="Q68" s="187">
        <f>1000000*Q20/SER_summary!Q$8</f>
        <v>571.19841320148987</v>
      </c>
      <c r="R68" s="187">
        <f>1000000*R20/SER_summary!R$8</f>
        <v>580.8022014885463</v>
      </c>
      <c r="S68" s="187">
        <f>1000000*S20/SER_summary!S$8</f>
        <v>590.43686635561278</v>
      </c>
      <c r="T68" s="187">
        <f>1000000*T20/SER_summary!T$8</f>
        <v>599.93911001757579</v>
      </c>
      <c r="U68" s="187">
        <f>1000000*U20/SER_summary!U$8</f>
        <v>609.20989010753965</v>
      </c>
      <c r="V68" s="187">
        <f>1000000*V20/SER_summary!V$8</f>
        <v>618.06485328886197</v>
      </c>
      <c r="W68" s="187">
        <f>1000000*W20/SER_summary!W$8</f>
        <v>626.29814754547965</v>
      </c>
      <c r="X68" s="187">
        <f>1000000*X20/SER_summary!X$8</f>
        <v>630.45583246765909</v>
      </c>
      <c r="Y68" s="187">
        <f>1000000*Y20/SER_summary!Y$8</f>
        <v>632.54501381377997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0.11916400457875131</v>
      </c>
      <c r="C69" s="187">
        <f>1000*C21/SER_summary!C$3</f>
        <v>0.12370311371172885</v>
      </c>
      <c r="D69" s="187">
        <f>1000*D21/SER_summary!D$3</f>
        <v>0.12893202805296866</v>
      </c>
      <c r="E69" s="187">
        <f>1000*E21/SER_summary!E$3</f>
        <v>0.1347302440042546</v>
      </c>
      <c r="F69" s="187">
        <f>1000*F21/SER_summary!F$3</f>
        <v>0.14142051615463072</v>
      </c>
      <c r="G69" s="187">
        <f>1000*G21/SER_summary!G$3</f>
        <v>0.14797007991633385</v>
      </c>
      <c r="H69" s="187">
        <f>1000*H21/SER_summary!H$3</f>
        <v>0.15501224607926387</v>
      </c>
      <c r="I69" s="187">
        <f>1000*I21/SER_summary!I$3</f>
        <v>0.16085788729591827</v>
      </c>
      <c r="J69" s="187">
        <f>1000*J21/SER_summary!J$3</f>
        <v>0.16716251205193802</v>
      </c>
      <c r="K69" s="187">
        <f>1000*K21/SER_summary!K$3</f>
        <v>0.1726256948387058</v>
      </c>
      <c r="L69" s="187">
        <f>1000*L21/SER_summary!L$3</f>
        <v>0.17732869767853146</v>
      </c>
      <c r="M69" s="187">
        <f>1000*M21/SER_summary!M$3</f>
        <v>0.18233639479314878</v>
      </c>
      <c r="N69" s="187">
        <f>1000*N21/SER_summary!N$3</f>
        <v>0.18885268132688537</v>
      </c>
      <c r="O69" s="187">
        <f>1000*O21/SER_summary!O$3</f>
        <v>0.19792050435603747</v>
      </c>
      <c r="P69" s="187">
        <f>1000*P21/SER_summary!P$3</f>
        <v>0.20971120234984023</v>
      </c>
      <c r="Q69" s="187">
        <f>1000*Q21/SER_summary!Q$3</f>
        <v>0.22132963036731484</v>
      </c>
      <c r="R69" s="187">
        <f>1000*R21/SER_summary!R$3</f>
        <v>0.22572976511978793</v>
      </c>
      <c r="S69" s="187">
        <f>1000*S21/SER_summary!S$3</f>
        <v>0.2301422153555315</v>
      </c>
      <c r="T69" s="187">
        <f>1000*T21/SER_summary!T$3</f>
        <v>0.23401523466559765</v>
      </c>
      <c r="U69" s="187">
        <f>1000*U21/SER_summary!U$3</f>
        <v>0.23723789753214825</v>
      </c>
      <c r="V69" s="187">
        <f>1000*V21/SER_summary!V$3</f>
        <v>0.24029688286729756</v>
      </c>
      <c r="W69" s="187">
        <f>1000*W21/SER_summary!W$3</f>
        <v>0.24325722021186649</v>
      </c>
      <c r="X69" s="187">
        <f>1000*X21/SER_summary!X$3</f>
        <v>0.24535112930211361</v>
      </c>
      <c r="Y69" s="187">
        <f>1000*Y21/SER_summary!Y$3</f>
        <v>0.24535112930211367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156.99258316659387</v>
      </c>
      <c r="C70" s="187">
        <f>1000000*C22/SER_summary!C$8</f>
        <v>157.95986267080784</v>
      </c>
      <c r="D70" s="187">
        <f>1000000*D22/SER_summary!D$8</f>
        <v>159.22876310815599</v>
      </c>
      <c r="E70" s="187">
        <f>1000000*E22/SER_summary!E$8</f>
        <v>161.03016650884192</v>
      </c>
      <c r="F70" s="187">
        <f>1000000*F22/SER_summary!F$8</f>
        <v>163.64465231916017</v>
      </c>
      <c r="G70" s="187">
        <f>1000000*G22/SER_summary!G$8</f>
        <v>165.83117188774861</v>
      </c>
      <c r="H70" s="187">
        <f>1000000*H22/SER_summary!H$8</f>
        <v>168.25645113070595</v>
      </c>
      <c r="I70" s="187">
        <f>1000000*I22/SER_summary!I$8</f>
        <v>171.71660269528383</v>
      </c>
      <c r="J70" s="187">
        <f>1000000*J22/SER_summary!J$8</f>
        <v>174.28153198413059</v>
      </c>
      <c r="K70" s="187">
        <f>1000000*K22/SER_summary!K$8</f>
        <v>178.12365559170743</v>
      </c>
      <c r="L70" s="187">
        <f>1000000*L22/SER_summary!L$8</f>
        <v>182.77014120097039</v>
      </c>
      <c r="M70" s="187">
        <f>1000000*M22/SER_summary!M$8</f>
        <v>188.26933479672965</v>
      </c>
      <c r="N70" s="187">
        <f>1000000*N22/SER_summary!N$8</f>
        <v>192.72208122563165</v>
      </c>
      <c r="O70" s="187">
        <f>1000000*O22/SER_summary!O$8</f>
        <v>199.78431670175499</v>
      </c>
      <c r="P70" s="187">
        <f>1000000*P22/SER_summary!P$8</f>
        <v>209.66640899973459</v>
      </c>
      <c r="Q70" s="187">
        <f>1000000*Q22/SER_summary!Q$8</f>
        <v>222.09514639745274</v>
      </c>
      <c r="R70" s="187">
        <f>1000000*R22/SER_summary!R$8</f>
        <v>228.7116817597491</v>
      </c>
      <c r="S70" s="187">
        <f>1000000*S22/SER_summary!S$8</f>
        <v>235.42885102022436</v>
      </c>
      <c r="T70" s="187">
        <f>1000000*T22/SER_summary!T$8</f>
        <v>241.81652941341173</v>
      </c>
      <c r="U70" s="187">
        <f>1000000*U22/SER_summary!U$8</f>
        <v>247.61167332272385</v>
      </c>
      <c r="V70" s="187">
        <f>1000000*V22/SER_summary!V$8</f>
        <v>252.32406823653122</v>
      </c>
      <c r="W70" s="187">
        <f>1000000*W22/SER_summary!W$8</f>
        <v>255.07230977020944</v>
      </c>
      <c r="X70" s="187">
        <f>1000000*X22/SER_summary!X$8</f>
        <v>256.45763514100753</v>
      </c>
      <c r="Y70" s="187">
        <f>1000000*Y22/SER_summary!Y$8</f>
        <v>257.15311672227557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1.5103020176155968E-2</v>
      </c>
      <c r="C71" s="187">
        <f>1000*C23/SER_summary!C$3</f>
        <v>1.6416807742775298E-2</v>
      </c>
      <c r="D71" s="187">
        <f>1000*D23/SER_summary!D$3</f>
        <v>1.7593331611811411E-2</v>
      </c>
      <c r="E71" s="187">
        <f>1000*E23/SER_summary!E$3</f>
        <v>1.8792547460270027E-2</v>
      </c>
      <c r="F71" s="187">
        <f>1000*F23/SER_summary!F$3</f>
        <v>2.0106323686655075E-2</v>
      </c>
      <c r="G71" s="187">
        <f>1000*G23/SER_summary!G$3</f>
        <v>2.124464724245554E-2</v>
      </c>
      <c r="H71" s="187">
        <f>1000*H23/SER_summary!H$3</f>
        <v>2.2264910186275137E-2</v>
      </c>
      <c r="I71" s="187">
        <f>1000*I23/SER_summary!I$3</f>
        <v>2.3407310593745081E-2</v>
      </c>
      <c r="J71" s="187">
        <f>1000*J23/SER_summary!J$3</f>
        <v>2.4306327349152515E-2</v>
      </c>
      <c r="K71" s="187">
        <f>1000*K23/SER_summary!K$3</f>
        <v>2.5240719153193845E-2</v>
      </c>
      <c r="L71" s="187">
        <f>1000*L23/SER_summary!L$3</f>
        <v>2.5942222893946421E-2</v>
      </c>
      <c r="M71" s="187">
        <f>1000*M23/SER_summary!M$3</f>
        <v>2.6458924124325225E-2</v>
      </c>
      <c r="N71" s="187">
        <f>1000*N23/SER_summary!N$3</f>
        <v>2.7011687836788544E-2</v>
      </c>
      <c r="O71" s="187">
        <f>1000*O23/SER_summary!O$3</f>
        <v>2.768250262674574E-2</v>
      </c>
      <c r="P71" s="187">
        <f>1000*P23/SER_summary!P$3</f>
        <v>2.8516230400530737E-2</v>
      </c>
      <c r="Q71" s="187">
        <f>1000*Q23/SER_summary!Q$3</f>
        <v>2.9447164004646757E-2</v>
      </c>
      <c r="R71" s="187">
        <f>1000*R23/SER_summary!R$3</f>
        <v>3.0084341663699627E-2</v>
      </c>
      <c r="S71" s="187">
        <f>1000*S23/SER_summary!S$3</f>
        <v>3.0722640519184101E-2</v>
      </c>
      <c r="T71" s="187">
        <f>1000*T23/SER_summary!T$3</f>
        <v>3.1291071524567247E-2</v>
      </c>
      <c r="U71" s="187">
        <f>1000*U23/SER_summary!U$3</f>
        <v>3.1776203734371809E-2</v>
      </c>
      <c r="V71" s="187">
        <f>1000*V23/SER_summary!V$3</f>
        <v>3.2246217496493902E-2</v>
      </c>
      <c r="W71" s="187">
        <f>1000*W23/SER_summary!W$3</f>
        <v>3.271936094262258E-2</v>
      </c>
      <c r="X71" s="187">
        <f>1000*X23/SER_summary!X$3</f>
        <v>3.305468602451421E-2</v>
      </c>
      <c r="Y71" s="187">
        <f>1000*Y23/SER_summary!Y$3</f>
        <v>3.305468602451421E-2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58.962572072489237</v>
      </c>
      <c r="C72" s="187">
        <f>1000000*C24/SER_summary!C$8</f>
        <v>63.851900912060394</v>
      </c>
      <c r="D72" s="187">
        <f>1000000*D24/SER_summary!D$8</f>
        <v>70.08660552667456</v>
      </c>
      <c r="E72" s="187">
        <f>1000000*E24/SER_summary!E$8</f>
        <v>78.450991599943606</v>
      </c>
      <c r="F72" s="187">
        <f>1000000*F24/SER_summary!F$8</f>
        <v>87.378374792494512</v>
      </c>
      <c r="G72" s="187">
        <f>1000000*G24/SER_summary!G$8</f>
        <v>96.888580574278521</v>
      </c>
      <c r="H72" s="187">
        <f>1000000*H24/SER_summary!H$8</f>
        <v>108.55443136592693</v>
      </c>
      <c r="I72" s="187">
        <f>1000000*I24/SER_summary!I$8</f>
        <v>118.13829551136166</v>
      </c>
      <c r="J72" s="187">
        <f>1000000*J24/SER_summary!J$8</f>
        <v>127.19929019051104</v>
      </c>
      <c r="K72" s="187">
        <f>1000000*K24/SER_summary!K$8</f>
        <v>132.59500090060499</v>
      </c>
      <c r="L72" s="187">
        <f>1000000*L24/SER_summary!L$8</f>
        <v>138.75684616747264</v>
      </c>
      <c r="M72" s="187">
        <f>1000000*M24/SER_summary!M$8</f>
        <v>143.36245818667285</v>
      </c>
      <c r="N72" s="187">
        <f>1000000*N24/SER_summary!N$8</f>
        <v>147.94703565219731</v>
      </c>
      <c r="O72" s="187">
        <f>1000000*O24/SER_summary!O$8</f>
        <v>151.44200768647943</v>
      </c>
      <c r="P72" s="187">
        <f>1000000*P24/SER_summary!P$8</f>
        <v>154.7494234101074</v>
      </c>
      <c r="Q72" s="187">
        <f>1000000*Q24/SER_summary!Q$8</f>
        <v>157.55128016130749</v>
      </c>
      <c r="R72" s="187">
        <f>1000000*R24/SER_summary!R$8</f>
        <v>160.11147970964359</v>
      </c>
      <c r="S72" s="187">
        <f>1000000*S24/SER_summary!S$8</f>
        <v>164.44982692031655</v>
      </c>
      <c r="T72" s="187">
        <f>1000000*T24/SER_summary!T$8</f>
        <v>168.47405236463456</v>
      </c>
      <c r="U72" s="187">
        <f>1000000*U24/SER_summary!U$8</f>
        <v>172.07470697458038</v>
      </c>
      <c r="V72" s="187">
        <f>1000000*V24/SER_summary!V$8</f>
        <v>177.32352579757699</v>
      </c>
      <c r="W72" s="187">
        <f>1000000*W24/SER_summary!W$8</f>
        <v>181.84644191546303</v>
      </c>
      <c r="X72" s="187">
        <f>1000000*X24/SER_summary!X$8</f>
        <v>185.54769679356312</v>
      </c>
      <c r="Y72" s="187">
        <f>1000000*Y24/SER_summary!Y$8</f>
        <v>188.56286828985498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4.9707573579145403E-2</v>
      </c>
      <c r="C73" s="52">
        <f>1000*C25/SER_summary!C$3</f>
        <v>6.6669348657450556E-2</v>
      </c>
      <c r="D73" s="52">
        <f>1000*D25/SER_summary!D$3</f>
        <v>8.1700295136582654E-2</v>
      </c>
      <c r="E73" s="52">
        <f>1000*E25/SER_summary!E$3</f>
        <v>0.10447662822630567</v>
      </c>
      <c r="F73" s="52">
        <f>1000*F25/SER_summary!F$3</f>
        <v>0.12537556045884771</v>
      </c>
      <c r="G73" s="52">
        <f>1000*G25/SER_summary!G$3</f>
        <v>0.15271553685428135</v>
      </c>
      <c r="H73" s="52">
        <f>1000*H25/SER_summary!H$3</f>
        <v>0.18002217408100779</v>
      </c>
      <c r="I73" s="52">
        <f>1000*I25/SER_summary!I$3</f>
        <v>0.20562268833868663</v>
      </c>
      <c r="J73" s="52">
        <f>1000*J25/SER_summary!J$3</f>
        <v>0.22780164091648292</v>
      </c>
      <c r="K73" s="52">
        <f>1000*K25/SER_summary!K$3</f>
        <v>0.25170394490391679</v>
      </c>
      <c r="L73" s="52">
        <f>1000*L25/SER_summary!L$3</f>
        <v>0.27543545128026814</v>
      </c>
      <c r="M73" s="52">
        <f>1000*M25/SER_summary!M$3</f>
        <v>0.29545096834017914</v>
      </c>
      <c r="N73" s="52">
        <f>1000*N25/SER_summary!N$3</f>
        <v>0.32270687431559986</v>
      </c>
      <c r="O73" s="52">
        <f>1000*O25/SER_summary!O$3</f>
        <v>0.36006111398374879</v>
      </c>
      <c r="P73" s="52">
        <f>1000*P25/SER_summary!P$3</f>
        <v>0.39962202777056638</v>
      </c>
      <c r="Q73" s="52">
        <f>1000*Q25/SER_summary!Q$3</f>
        <v>0.4534027903941798</v>
      </c>
      <c r="R73" s="52">
        <f>1000*R25/SER_summary!R$3</f>
        <v>0.47231953724783754</v>
      </c>
      <c r="S73" s="52">
        <f>1000*S25/SER_summary!S$3</f>
        <v>0.50233894893983522</v>
      </c>
      <c r="T73" s="52">
        <f>1000*T25/SER_summary!T$3</f>
        <v>0.52464825440217056</v>
      </c>
      <c r="U73" s="52">
        <f>1000*U25/SER_summary!U$3</f>
        <v>0.55051151417116295</v>
      </c>
      <c r="V73" s="52">
        <f>1000*V25/SER_summary!V$3</f>
        <v>0.57889980422134257</v>
      </c>
      <c r="W73" s="52">
        <f>1000*W25/SER_summary!W$3</f>
        <v>0.60569644364040021</v>
      </c>
      <c r="X73" s="52">
        <f>1000*X25/SER_summary!X$3</f>
        <v>0.63267637331750293</v>
      </c>
      <c r="Y73" s="52">
        <f>1000*Y25/SER_summary!Y$3</f>
        <v>0.66894210691399436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3.210657481135986</v>
      </c>
      <c r="C3" s="198">
        <f>'SER_se-appl'!C4</f>
        <v>3.370322533274507</v>
      </c>
      <c r="D3" s="198">
        <f>'SER_se-appl'!D4</f>
        <v>3.5173763128945095</v>
      </c>
      <c r="E3" s="198">
        <f>'SER_se-appl'!E4</f>
        <v>3.700157118537406</v>
      </c>
      <c r="F3" s="198">
        <f>'SER_se-appl'!F4</f>
        <v>3.8205793629749039</v>
      </c>
      <c r="G3" s="198">
        <f>'SER_se-appl'!G4</f>
        <v>4.0427799336750487</v>
      </c>
      <c r="H3" s="198">
        <f>'SER_se-appl'!H4</f>
        <v>4.2927178278160012</v>
      </c>
      <c r="I3" s="198">
        <f>'SER_se-appl'!I4</f>
        <v>4.4632024885761741</v>
      </c>
      <c r="J3" s="198">
        <f>'SER_se-appl'!J4</f>
        <v>4.4246349207001616</v>
      </c>
      <c r="K3" s="198">
        <f>'SER_se-appl'!K4</f>
        <v>4.4108482112757361</v>
      </c>
      <c r="L3" s="198">
        <f>'SER_se-appl'!L4</f>
        <v>4.4429149003305568</v>
      </c>
      <c r="M3" s="198">
        <f>'SER_se-appl'!M4</f>
        <v>4.5686923748896717</v>
      </c>
      <c r="N3" s="198">
        <f>'SER_se-appl'!N4</f>
        <v>4.6732897231875228</v>
      </c>
      <c r="O3" s="198">
        <f>'SER_se-appl'!O4</f>
        <v>4.7314215110218028</v>
      </c>
      <c r="P3" s="198">
        <f>'SER_se-appl'!P4</f>
        <v>4.8070234960919489</v>
      </c>
      <c r="Q3" s="198">
        <f>'SER_se-appl'!Q4</f>
        <v>4.9296850518096491</v>
      </c>
      <c r="R3" s="198">
        <f>'SER_se-appl'!R4</f>
        <v>4.9722846308872208</v>
      </c>
      <c r="S3" s="198">
        <f>'SER_se-appl'!S4</f>
        <v>5.0425656211681202</v>
      </c>
      <c r="T3" s="198">
        <f>'SER_se-appl'!T4</f>
        <v>5.0934220190041968</v>
      </c>
      <c r="U3" s="198">
        <f>'SER_se-appl'!U4</f>
        <v>5.1296046312998147</v>
      </c>
      <c r="V3" s="198">
        <f>'SER_se-appl'!V4</f>
        <v>5.1637377769034094</v>
      </c>
      <c r="W3" s="198">
        <f>'SER_se-appl'!W4</f>
        <v>5.1823747292278739</v>
      </c>
      <c r="X3" s="198">
        <f>'SER_se-appl'!X4</f>
        <v>5.1846362764376197</v>
      </c>
      <c r="Y3" s="198">
        <f>'SER_se-appl'!Y4</f>
        <v>5.1462097888347449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4.2625509709602198</v>
      </c>
      <c r="C5" s="59">
        <f>'SER_se-appl'!C12</f>
        <v>4.4745263769386447</v>
      </c>
      <c r="D5" s="59">
        <f>'SER_se-appl'!D12</f>
        <v>4.669758735041456</v>
      </c>
      <c r="E5" s="59">
        <f>'SER_se-appl'!E12</f>
        <v>4.9124232064600521</v>
      </c>
      <c r="F5" s="59">
        <f>'SER_se-appl'!F12</f>
        <v>5.0722988574655403</v>
      </c>
      <c r="G5" s="59">
        <f>'SER_se-appl'!G12</f>
        <v>5.3672980169681317</v>
      </c>
      <c r="H5" s="59">
        <f>'SER_se-appl'!H12</f>
        <v>5.6991219563356283</v>
      </c>
      <c r="I5" s="59">
        <f>'SER_se-appl'!I12</f>
        <v>5.9254617513859476</v>
      </c>
      <c r="J5" s="59">
        <f>'SER_se-appl'!J12</f>
        <v>5.8742584620711069</v>
      </c>
      <c r="K5" s="59">
        <f>'SER_se-appl'!K12</f>
        <v>5.8559548741023759</v>
      </c>
      <c r="L5" s="59">
        <f>'SER_se-appl'!L12</f>
        <v>5.8985274304616881</v>
      </c>
      <c r="M5" s="59">
        <f>'SER_se-appl'!M12</f>
        <v>6.0655128219140275</v>
      </c>
      <c r="N5" s="59">
        <f>'SER_se-appl'!N12</f>
        <v>6.204378936149646</v>
      </c>
      <c r="O5" s="59">
        <f>'SER_se-appl'!O12</f>
        <v>6.2815561841533754</v>
      </c>
      <c r="P5" s="59">
        <f>'SER_se-appl'!P12</f>
        <v>6.3819273127339438</v>
      </c>
      <c r="Q5" s="59">
        <f>'SER_se-appl'!Q12</f>
        <v>6.5447759306559634</v>
      </c>
      <c r="R5" s="59">
        <f>'SER_se-appl'!R12</f>
        <v>6.6013322211436529</v>
      </c>
      <c r="S5" s="59">
        <f>'SER_se-appl'!S12</f>
        <v>6.6946390609800526</v>
      </c>
      <c r="T5" s="59">
        <f>'SER_se-appl'!T12</f>
        <v>6.7621573151847967</v>
      </c>
      <c r="U5" s="59">
        <f>'SER_se-appl'!U12</f>
        <v>6.8101942764859427</v>
      </c>
      <c r="V5" s="59">
        <f>'SER_se-appl'!V12</f>
        <v>6.8555103134003037</v>
      </c>
      <c r="W5" s="59">
        <f>'SER_se-appl'!W12</f>
        <v>6.8802532078676011</v>
      </c>
      <c r="X5" s="59">
        <f>'SER_se-appl'!X12</f>
        <v>6.8832556957727782</v>
      </c>
      <c r="Y5" s="59">
        <f>'SER_se-appl'!Y12</f>
        <v>6.8322397082360844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420.58290684300152</v>
      </c>
      <c r="C6" s="201">
        <f>'SER_se-appl'!C68</f>
        <v>431.3880809792912</v>
      </c>
      <c r="D6" s="201">
        <f>'SER_se-appl'!D68</f>
        <v>439.37976787593061</v>
      </c>
      <c r="E6" s="201">
        <f>'SER_se-appl'!E68</f>
        <v>450.84460694678972</v>
      </c>
      <c r="F6" s="201">
        <f>'SER_se-appl'!F68</f>
        <v>458.54498702104877</v>
      </c>
      <c r="G6" s="201">
        <f>'SER_se-appl'!G68</f>
        <v>469.00496859129777</v>
      </c>
      <c r="H6" s="201">
        <f>'SER_se-appl'!H68</f>
        <v>477.77155646722315</v>
      </c>
      <c r="I6" s="201">
        <f>'SER_se-appl'!I68</f>
        <v>487.03447956000167</v>
      </c>
      <c r="J6" s="201">
        <f>'SER_se-appl'!J68</f>
        <v>495.72320358683066</v>
      </c>
      <c r="K6" s="201">
        <f>'SER_se-appl'!K68</f>
        <v>504.32636036872543</v>
      </c>
      <c r="L6" s="201">
        <f>'SER_se-appl'!L68</f>
        <v>512.21872405716545</v>
      </c>
      <c r="M6" s="201">
        <f>'SER_se-appl'!M68</f>
        <v>521.08528576457138</v>
      </c>
      <c r="N6" s="201">
        <f>'SER_se-appl'!N68</f>
        <v>532.82846839048511</v>
      </c>
      <c r="O6" s="201">
        <f>'SER_se-appl'!O68</f>
        <v>545.13047958163372</v>
      </c>
      <c r="P6" s="201">
        <f>'SER_se-appl'!P68</f>
        <v>557.42001821411395</v>
      </c>
      <c r="Q6" s="201">
        <f>'SER_se-appl'!Q68</f>
        <v>571.19841320148987</v>
      </c>
      <c r="R6" s="201">
        <f>'SER_se-appl'!R68</f>
        <v>580.8022014885463</v>
      </c>
      <c r="S6" s="201">
        <f>'SER_se-appl'!S68</f>
        <v>590.43686635561278</v>
      </c>
      <c r="T6" s="201">
        <f>'SER_se-appl'!T68</f>
        <v>599.93911001757579</v>
      </c>
      <c r="U6" s="201">
        <f>'SER_se-appl'!U68</f>
        <v>609.20989010753965</v>
      </c>
      <c r="V6" s="201">
        <f>'SER_se-appl'!V68</f>
        <v>618.06485328886197</v>
      </c>
      <c r="W6" s="201">
        <f>'SER_se-appl'!W68</f>
        <v>626.29814754547965</v>
      </c>
      <c r="X6" s="201">
        <f>'SER_se-appl'!X68</f>
        <v>630.45583246765909</v>
      </c>
      <c r="Y6" s="201">
        <f>'SER_se-appl'!Y68</f>
        <v>632.54501381377997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5.4250593181100228</v>
      </c>
      <c r="C8" s="34">
        <f>'SER_se-appl'!C20</f>
        <v>5.7562311901401113</v>
      </c>
      <c r="D8" s="34">
        <f>'SER_se-appl'!D20</f>
        <v>6.0724218171684141</v>
      </c>
      <c r="E8" s="34">
        <f>'SER_se-appl'!E20</f>
        <v>6.4679219142546511</v>
      </c>
      <c r="F8" s="34">
        <f>'SER_se-appl'!F20</f>
        <v>6.7512423229233667</v>
      </c>
      <c r="G8" s="34">
        <f>'SER_se-appl'!G20</f>
        <v>7.2493133885687495</v>
      </c>
      <c r="H8" s="34">
        <f>'SER_se-appl'!H20</f>
        <v>7.8168965648673474</v>
      </c>
      <c r="I8" s="34">
        <f>'SER_se-appl'!I20</f>
        <v>8.2341305687185358</v>
      </c>
      <c r="J8" s="34">
        <f>'SER_se-appl'!J20</f>
        <v>8.2225344154884752</v>
      </c>
      <c r="K8" s="34">
        <f>'SER_se-appl'!K20</f>
        <v>8.2697017006841929</v>
      </c>
      <c r="L8" s="34">
        <f>'SER_se-appl'!L20</f>
        <v>8.4235566298615385</v>
      </c>
      <c r="M8" s="34">
        <f>'SER_se-appl'!M20</f>
        <v>8.7944376411372271</v>
      </c>
      <c r="N8" s="34">
        <f>'SER_se-appl'!N20</f>
        <v>9.1355981671286273</v>
      </c>
      <c r="O8" s="34">
        <f>'SER_se-appl'!O20</f>
        <v>9.390294274178455</v>
      </c>
      <c r="P8" s="34">
        <f>'SER_se-appl'!P20</f>
        <v>9.7092495393545288</v>
      </c>
      <c r="Q8" s="34">
        <f>'SER_se-appl'!Q20</f>
        <v>10.171093143322571</v>
      </c>
      <c r="R8" s="34">
        <f>'SER_se-appl'!R20</f>
        <v>10.444098201457004</v>
      </c>
      <c r="S8" s="34">
        <f>'SER_se-appl'!S20</f>
        <v>10.797220636741841</v>
      </c>
      <c r="T8" s="34">
        <f>'SER_se-appl'!T20</f>
        <v>11.112817663627274</v>
      </c>
      <c r="U8" s="34">
        <f>'SER_se-appl'!U20</f>
        <v>11.399781369404533</v>
      </c>
      <c r="V8" s="34">
        <f>'SER_se-appl'!V20</f>
        <v>11.674555592945822</v>
      </c>
      <c r="W8" s="34">
        <f>'SER_se-appl'!W20</f>
        <v>11.930927751935256</v>
      </c>
      <c r="X8" s="34">
        <f>'SER_se-appl'!X20</f>
        <v>12.104113999016795</v>
      </c>
      <c r="Y8" s="34">
        <f>'SER_se-appl'!Y20</f>
        <v>12.230601806629052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0.56647474462226199</v>
      </c>
      <c r="D9" s="36">
        <f>'SER_se-appl'!D28</f>
        <v>0.55814918121174628</v>
      </c>
      <c r="E9" s="36">
        <f>'SER_se-appl'!E28</f>
        <v>0.64430259277021751</v>
      </c>
      <c r="F9" s="36">
        <f>'SER_se-appl'!F28</f>
        <v>0.53916043080591525</v>
      </c>
      <c r="G9" s="36">
        <f>'SER_se-appl'!G28</f>
        <v>0.76114767485391877</v>
      </c>
      <c r="H9" s="36">
        <f>'SER_se-appl'!H28</f>
        <v>0.83810106374447102</v>
      </c>
      <c r="I9" s="36">
        <f>'SER_se-appl'!I28</f>
        <v>0.69540365051167718</v>
      </c>
      <c r="J9" s="36">
        <f>'SER_se-appl'!J28</f>
        <v>0.27444168720185402</v>
      </c>
      <c r="K9" s="36">
        <f>'SER_se-appl'!K28</f>
        <v>0.34129587593593413</v>
      </c>
      <c r="L9" s="36">
        <f>'SER_se-appl'!L28</f>
        <v>0.45630312190665023</v>
      </c>
      <c r="M9" s="36">
        <f>'SER_se-appl'!M28</f>
        <v>0.68188413088066469</v>
      </c>
      <c r="N9" s="36">
        <f>'SER_se-appl'!N28</f>
        <v>0.66096055366289974</v>
      </c>
      <c r="O9" s="36">
        <f>'SER_se-appl'!O28</f>
        <v>0.58354186856049672</v>
      </c>
      <c r="P9" s="36">
        <f>'SER_se-appl'!P28</f>
        <v>0.65710262448341439</v>
      </c>
      <c r="Q9" s="36">
        <f>'SER_se-appl'!Q28</f>
        <v>0.80955566229365239</v>
      </c>
      <c r="R9" s="36">
        <f>'SER_se-appl'!R28</f>
        <v>0.63055235867432735</v>
      </c>
      <c r="S9" s="36">
        <f>'SER_se-appl'!S28</f>
        <v>0.72078317371010669</v>
      </c>
      <c r="T9" s="36">
        <f>'SER_se-appl'!T28</f>
        <v>0.69365726779706272</v>
      </c>
      <c r="U9" s="36">
        <f>'SER_se-appl'!U28</f>
        <v>0.85343845039952093</v>
      </c>
      <c r="V9" s="36">
        <f>'SER_se-appl'!V28</f>
        <v>0.83292340475303561</v>
      </c>
      <c r="W9" s="36">
        <f>'SER_se-appl'!W28</f>
        <v>0.9006747517596505</v>
      </c>
      <c r="X9" s="36">
        <f>'SER_se-appl'!X28</f>
        <v>0.71234667788745476</v>
      </c>
      <c r="Y9" s="36">
        <f>'SER_se-appl'!Y28</f>
        <v>0.88763548246617496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0.23530287259217353</v>
      </c>
      <c r="D10" s="38">
        <f>'SER_se-appl'!D36</f>
        <v>0.24195855418344347</v>
      </c>
      <c r="E10" s="38">
        <f>'SER_se-appl'!E36</f>
        <v>0.2488024956839805</v>
      </c>
      <c r="F10" s="38">
        <f>'SER_se-appl'!F36</f>
        <v>0.2558400221371997</v>
      </c>
      <c r="G10" s="38">
        <f>'SER_se-appl'!G36</f>
        <v>0.26307660920853593</v>
      </c>
      <c r="H10" s="38">
        <f>'SER_se-appl'!H36</f>
        <v>0.27051788744587313</v>
      </c>
      <c r="I10" s="38">
        <f>'SER_se-appl'!I36</f>
        <v>0.27816964666048882</v>
      </c>
      <c r="J10" s="38">
        <f>'SER_se-appl'!J36</f>
        <v>0.2860378404319146</v>
      </c>
      <c r="K10" s="38">
        <f>'SER_se-appl'!K36</f>
        <v>0.29412859074021647</v>
      </c>
      <c r="L10" s="38">
        <f>'SER_se-appl'!L36</f>
        <v>0.30244819272930457</v>
      </c>
      <c r="M10" s="38">
        <f>'SER_se-appl'!M36</f>
        <v>0.31100311960497606</v>
      </c>
      <c r="N10" s="38">
        <f>'SER_se-appl'!N36</f>
        <v>0.31980002767149962</v>
      </c>
      <c r="O10" s="38">
        <f>'SER_se-appl'!O36</f>
        <v>0.32884576151066902</v>
      </c>
      <c r="P10" s="38">
        <f>'SER_se-appl'!P36</f>
        <v>0.33814735930734052</v>
      </c>
      <c r="Q10" s="38">
        <f>'SER_se-appl'!Q36</f>
        <v>0.34771205832561058</v>
      </c>
      <c r="R10" s="38">
        <f>'SER_se-appl'!R36</f>
        <v>0.3575473005398937</v>
      </c>
      <c r="S10" s="38">
        <f>'SER_se-appl'!S36</f>
        <v>0.36766073842527014</v>
      </c>
      <c r="T10" s="38">
        <f>'SER_se-appl'!T36</f>
        <v>0.37806024091162982</v>
      </c>
      <c r="U10" s="38">
        <f>'SER_se-appl'!U36</f>
        <v>0.56647474462226199</v>
      </c>
      <c r="V10" s="38">
        <f>'SER_se-appl'!V36</f>
        <v>0.55814918121174628</v>
      </c>
      <c r="W10" s="38">
        <f>'SER_se-appl'!W36</f>
        <v>0.64430259277021662</v>
      </c>
      <c r="X10" s="38">
        <f>'SER_se-appl'!X36</f>
        <v>0.53916043080591614</v>
      </c>
      <c r="Y10" s="38">
        <f>'SER_se-appl'!Y36</f>
        <v>0.76114767485391788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8759.9999999999982</v>
      </c>
      <c r="C12" s="204">
        <f>'SER_se-appl'!C44</f>
        <v>8759.9999999999982</v>
      </c>
      <c r="D12" s="204">
        <f>'SER_se-appl'!D44</f>
        <v>8759.9999999999982</v>
      </c>
      <c r="E12" s="204">
        <f>'SER_se-appl'!E44</f>
        <v>8759.9999999999945</v>
      </c>
      <c r="F12" s="204">
        <f>'SER_se-appl'!F44</f>
        <v>8760</v>
      </c>
      <c r="G12" s="204">
        <f>'SER_se-appl'!G44</f>
        <v>8759.9999999999964</v>
      </c>
      <c r="H12" s="204">
        <f>'SER_se-appl'!H44</f>
        <v>8759.9999999999982</v>
      </c>
      <c r="I12" s="204">
        <f>'SER_se-appl'!I44</f>
        <v>8760</v>
      </c>
      <c r="J12" s="204">
        <f>'SER_se-appl'!J44</f>
        <v>8759.9999999999982</v>
      </c>
      <c r="K12" s="204">
        <f>'SER_se-appl'!K44</f>
        <v>8760</v>
      </c>
      <c r="L12" s="204">
        <f>'SER_se-appl'!L44</f>
        <v>8759.9999999999982</v>
      </c>
      <c r="M12" s="204">
        <f>'SER_se-appl'!M44</f>
        <v>8760</v>
      </c>
      <c r="N12" s="204">
        <f>'SER_se-appl'!N44</f>
        <v>8759.9999999999982</v>
      </c>
      <c r="O12" s="204">
        <f>'SER_se-appl'!O44</f>
        <v>8760</v>
      </c>
      <c r="P12" s="204">
        <f>'SER_se-appl'!P44</f>
        <v>8760.0000000000018</v>
      </c>
      <c r="Q12" s="204">
        <f>'SER_se-appl'!Q44</f>
        <v>8759.9999999999964</v>
      </c>
      <c r="R12" s="204">
        <f>'SER_se-appl'!R44</f>
        <v>8759.9999999999964</v>
      </c>
      <c r="S12" s="204">
        <f>'SER_se-appl'!S44</f>
        <v>8759.9999999999964</v>
      </c>
      <c r="T12" s="204">
        <f>'SER_se-appl'!T44</f>
        <v>8759.9999999999982</v>
      </c>
      <c r="U12" s="204">
        <f>'SER_se-appl'!U44</f>
        <v>8759.9999999999982</v>
      </c>
      <c r="V12" s="204">
        <f>'SER_se-appl'!V44</f>
        <v>8759.9999999999982</v>
      </c>
      <c r="W12" s="204">
        <f>'SER_se-appl'!W44</f>
        <v>8759.9999999999982</v>
      </c>
      <c r="X12" s="204">
        <f>'SER_se-appl'!X44</f>
        <v>8759.9999999999982</v>
      </c>
      <c r="Y12" s="204">
        <f>'SER_se-appl'!Y44</f>
        <v>8759.9999999999982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0.7857150901061859</v>
      </c>
      <c r="C14" s="59">
        <f>'SER_se-appl'!C52</f>
        <v>0.77733611266397573</v>
      </c>
      <c r="D14" s="59">
        <f>'SER_se-appl'!D52</f>
        <v>0.76901092770577273</v>
      </c>
      <c r="E14" s="59">
        <f>'SER_se-appl'!E52</f>
        <v>0.75950564518003283</v>
      </c>
      <c r="F14" s="59">
        <f>'SER_se-appl'!F52</f>
        <v>0.75131340497776355</v>
      </c>
      <c r="G14" s="59">
        <f>'SER_se-appl'!G52</f>
        <v>0.74038708623518501</v>
      </c>
      <c r="H14" s="59">
        <f>'SER_se-appl'!H52</f>
        <v>0.729077314640448</v>
      </c>
      <c r="I14" s="59">
        <f>'SER_se-appl'!I52</f>
        <v>0.71962202954332277</v>
      </c>
      <c r="J14" s="59">
        <f>'SER_se-appl'!J52</f>
        <v>0.71440971423676736</v>
      </c>
      <c r="K14" s="59">
        <f>'SER_se-appl'!K52</f>
        <v>0.70812165735287458</v>
      </c>
      <c r="L14" s="59">
        <f>'SER_se-appl'!L52</f>
        <v>0.7002419155765377</v>
      </c>
      <c r="M14" s="59">
        <f>'SER_se-appl'!M52</f>
        <v>0.6896987697703072</v>
      </c>
      <c r="N14" s="59">
        <f>'SER_se-appl'!N52</f>
        <v>0.67914315216643539</v>
      </c>
      <c r="O14" s="59">
        <f>'SER_se-appl'!O52</f>
        <v>0.66894135590899151</v>
      </c>
      <c r="P14" s="59">
        <f>'SER_se-appl'!P52</f>
        <v>0.65730387161912562</v>
      </c>
      <c r="Q14" s="59">
        <f>'SER_se-appl'!Q52</f>
        <v>0.64346829179837739</v>
      </c>
      <c r="R14" s="59">
        <f>'SER_se-appl'!R52</f>
        <v>0.63206340019119445</v>
      </c>
      <c r="S14" s="59">
        <f>'SER_se-appl'!S52</f>
        <v>0.62003355180118103</v>
      </c>
      <c r="T14" s="59">
        <f>'SER_se-appl'!T52</f>
        <v>0.60850069891073855</v>
      </c>
      <c r="U14" s="59">
        <f>'SER_se-appl'!U52</f>
        <v>0.59739691980089904</v>
      </c>
      <c r="V14" s="59">
        <f>'SER_se-appl'!V52</f>
        <v>0.58721809655372614</v>
      </c>
      <c r="W14" s="59">
        <f>'SER_se-appl'!W52</f>
        <v>0.57667378018876947</v>
      </c>
      <c r="X14" s="59">
        <f>'SER_se-appl'!X52</f>
        <v>0.56867075907678155</v>
      </c>
      <c r="Y14" s="59">
        <f>'SER_se-appl'!Y52</f>
        <v>0.55861844055236709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0.70057213933528939</v>
      </c>
      <c r="D15" s="63">
        <f>'SER_se-appl'!D60</f>
        <v>0.69039399908898236</v>
      </c>
      <c r="E15" s="63">
        <f>'SER_se-appl'!E60</f>
        <v>0.68004125957295314</v>
      </c>
      <c r="F15" s="63">
        <f>'SER_se-appl'!F60</f>
        <v>0.66936109631105267</v>
      </c>
      <c r="G15" s="63">
        <f>'SER_se-appl'!G60</f>
        <v>0.65913939933928489</v>
      </c>
      <c r="H15" s="63">
        <f>'SER_se-appl'!H60</f>
        <v>0.64953255547154354</v>
      </c>
      <c r="I15" s="63">
        <f>'SER_se-appl'!I60</f>
        <v>0.63977501946331838</v>
      </c>
      <c r="J15" s="63">
        <f>'SER_se-appl'!J60</f>
        <v>0.63234182832529606</v>
      </c>
      <c r="K15" s="63">
        <f>'SER_se-appl'!K60</f>
        <v>0.62349913729244533</v>
      </c>
      <c r="L15" s="63">
        <f>'SER_se-appl'!L60</f>
        <v>0.61408886310314492</v>
      </c>
      <c r="M15" s="63">
        <f>'SER_se-appl'!M60</f>
        <v>0.60324799620253444</v>
      </c>
      <c r="N15" s="63">
        <f>'SER_se-appl'!N60</f>
        <v>0.59025885831073011</v>
      </c>
      <c r="O15" s="63">
        <f>'SER_se-appl'!O60</f>
        <v>0.57503384627376142</v>
      </c>
      <c r="P15" s="63">
        <f>'SER_se-appl'!P60</f>
        <v>0.55707981954216768</v>
      </c>
      <c r="Q15" s="63">
        <f>'SER_se-appl'!Q60</f>
        <v>0.53863032459670968</v>
      </c>
      <c r="R15" s="63">
        <f>'SER_se-appl'!R60</f>
        <v>0.53522375312043602</v>
      </c>
      <c r="S15" s="63">
        <f>'SER_se-appl'!S60</f>
        <v>0.53023356259760523</v>
      </c>
      <c r="T15" s="63">
        <f>'SER_se-appl'!T60</f>
        <v>0.52557063463919396</v>
      </c>
      <c r="U15" s="63">
        <f>'SER_se-appl'!U60</f>
        <v>0.52129522030827857</v>
      </c>
      <c r="V15" s="63">
        <f>'SER_se-appl'!V60</f>
        <v>0.51704500049085711</v>
      </c>
      <c r="W15" s="63">
        <f>'SER_se-appl'!W60</f>
        <v>0.51394273048791195</v>
      </c>
      <c r="X15" s="63">
        <f>'SER_se-appl'!X60</f>
        <v>0.51084046048496679</v>
      </c>
      <c r="Y15" s="63">
        <f>'SER_se-appl'!Y60</f>
        <v>0.50773819048202162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11.393250114635018</v>
      </c>
      <c r="C3" s="198">
        <f>'SER_se-appl'!C5</f>
        <v>11.641424930754928</v>
      </c>
      <c r="D3" s="198">
        <f>'SER_se-appl'!D5</f>
        <v>11.917125788836268</v>
      </c>
      <c r="E3" s="198">
        <f>'SER_se-appl'!E5</f>
        <v>12.218837190194803</v>
      </c>
      <c r="F3" s="198">
        <f>'SER_se-appl'!F5</f>
        <v>12.537266993258489</v>
      </c>
      <c r="G3" s="198">
        <f>'SER_se-appl'!G5</f>
        <v>12.820363456109538</v>
      </c>
      <c r="H3" s="198">
        <f>'SER_se-appl'!H5</f>
        <v>13.080596355569352</v>
      </c>
      <c r="I3" s="198">
        <f>'SER_se-appl'!I5</f>
        <v>13.20353065259817</v>
      </c>
      <c r="J3" s="198">
        <f>'SER_se-appl'!J5</f>
        <v>13.46469686894647</v>
      </c>
      <c r="K3" s="198">
        <f>'SER_se-appl'!K5</f>
        <v>13.656015031402337</v>
      </c>
      <c r="L3" s="198">
        <f>'SER_se-appl'!L5</f>
        <v>13.780002870369543</v>
      </c>
      <c r="M3" s="198">
        <f>'SER_se-appl'!M5</f>
        <v>13.894102834982066</v>
      </c>
      <c r="N3" s="198">
        <f>'SER_se-appl'!N5</f>
        <v>14.046973192796342</v>
      </c>
      <c r="O3" s="198">
        <f>'SER_se-appl'!O5</f>
        <v>14.247005578739287</v>
      </c>
      <c r="P3" s="198">
        <f>'SER_se-appl'!P5</f>
        <v>14.541007825411551</v>
      </c>
      <c r="Q3" s="198">
        <f>'SER_se-appl'!Q5</f>
        <v>14.726570880406998</v>
      </c>
      <c r="R3" s="198">
        <f>'SER_se-appl'!R5</f>
        <v>14.739336481805001</v>
      </c>
      <c r="S3" s="198">
        <f>'SER_se-appl'!S5</f>
        <v>14.081676965981719</v>
      </c>
      <c r="T3" s="198">
        <f>'SER_se-appl'!T5</f>
        <v>13.577772547885466</v>
      </c>
      <c r="U3" s="198">
        <f>'SER_se-appl'!U5</f>
        <v>12.9287715852471</v>
      </c>
      <c r="V3" s="198">
        <f>'SER_se-appl'!V5</f>
        <v>12.246879653946234</v>
      </c>
      <c r="W3" s="198">
        <f>'SER_se-appl'!W5</f>
        <v>11.580457553939388</v>
      </c>
      <c r="X3" s="198">
        <f>'SER_se-appl'!X5</f>
        <v>11.107150053354502</v>
      </c>
      <c r="Y3" s="198">
        <f>'SER_se-appl'!Y5</f>
        <v>10.945217015781251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34.229627072186425</v>
      </c>
      <c r="C5" s="59">
        <f>'SER_se-appl'!C13</f>
        <v>34.950920084165794</v>
      </c>
      <c r="D5" s="59">
        <f>'SER_se-appl'!D13</f>
        <v>35.745347705108557</v>
      </c>
      <c r="E5" s="59">
        <f>'SER_se-appl'!E13</f>
        <v>36.606258734732769</v>
      </c>
      <c r="F5" s="59">
        <f>'SER_se-appl'!F13</f>
        <v>37.541347944690983</v>
      </c>
      <c r="G5" s="59">
        <f>'SER_se-appl'!G13</f>
        <v>38.351299649925629</v>
      </c>
      <c r="H5" s="59">
        <f>'SER_se-appl'!H13</f>
        <v>39.096213047231963</v>
      </c>
      <c r="I5" s="59">
        <f>'SER_se-appl'!I13</f>
        <v>39.413314301133497</v>
      </c>
      <c r="J5" s="59">
        <f>'SER_se-appl'!J13</f>
        <v>40.215810929973777</v>
      </c>
      <c r="K5" s="59">
        <f>'SER_se-appl'!K13</f>
        <v>40.81222811328297</v>
      </c>
      <c r="L5" s="59">
        <f>'SER_se-appl'!L13</f>
        <v>41.188845592916849</v>
      </c>
      <c r="M5" s="59">
        <f>'SER_se-appl'!M13</f>
        <v>41.530825728735813</v>
      </c>
      <c r="N5" s="59">
        <f>'SER_se-appl'!N13</f>
        <v>42.035624713500042</v>
      </c>
      <c r="O5" s="59">
        <f>'SER_se-appl'!O13</f>
        <v>42.81855998131406</v>
      </c>
      <c r="P5" s="59">
        <f>'SER_se-appl'!P13</f>
        <v>43.875737497076273</v>
      </c>
      <c r="Q5" s="59">
        <f>'SER_se-appl'!Q13</f>
        <v>44.607186686973812</v>
      </c>
      <c r="R5" s="59">
        <f>'SER_se-appl'!R13</f>
        <v>43.871296593961702</v>
      </c>
      <c r="S5" s="59">
        <f>'SER_se-appl'!S13</f>
        <v>42.910812376636436</v>
      </c>
      <c r="T5" s="59">
        <f>'SER_se-appl'!T13</f>
        <v>41.737142449997371</v>
      </c>
      <c r="U5" s="59">
        <f>'SER_se-appl'!U13</f>
        <v>40.323085281456606</v>
      </c>
      <c r="V5" s="59">
        <f>'SER_se-appl'!V13</f>
        <v>38.631540004864959</v>
      </c>
      <c r="W5" s="59">
        <f>'SER_se-appl'!W13</f>
        <v>36.9618209646232</v>
      </c>
      <c r="X5" s="59">
        <f>'SER_se-appl'!X13</f>
        <v>35.493791202262443</v>
      </c>
      <c r="Y5" s="59">
        <f>'SER_se-appl'!Y13</f>
        <v>35.018445835538309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0.11916400457875131</v>
      </c>
      <c r="C6" s="201">
        <f>'SER_se-appl'!C69</f>
        <v>0.12370311371172885</v>
      </c>
      <c r="D6" s="201">
        <f>'SER_se-appl'!D69</f>
        <v>0.12893202805296866</v>
      </c>
      <c r="E6" s="201">
        <f>'SER_se-appl'!E69</f>
        <v>0.1347302440042546</v>
      </c>
      <c r="F6" s="201">
        <f>'SER_se-appl'!F69</f>
        <v>0.14142051615463072</v>
      </c>
      <c r="G6" s="201">
        <f>'SER_se-appl'!G69</f>
        <v>0.14797007991633385</v>
      </c>
      <c r="H6" s="201">
        <f>'SER_se-appl'!H69</f>
        <v>0.15501224607926387</v>
      </c>
      <c r="I6" s="201">
        <f>'SER_se-appl'!I69</f>
        <v>0.16085788729591827</v>
      </c>
      <c r="J6" s="201">
        <f>'SER_se-appl'!J69</f>
        <v>0.16716251205193802</v>
      </c>
      <c r="K6" s="201">
        <f>'SER_se-appl'!K69</f>
        <v>0.1726256948387058</v>
      </c>
      <c r="L6" s="201">
        <f>'SER_se-appl'!L69</f>
        <v>0.17732869767853146</v>
      </c>
      <c r="M6" s="201">
        <f>'SER_se-appl'!M69</f>
        <v>0.18233639479314878</v>
      </c>
      <c r="N6" s="201">
        <f>'SER_se-appl'!N69</f>
        <v>0.18885268132688537</v>
      </c>
      <c r="O6" s="201">
        <f>'SER_se-appl'!O69</f>
        <v>0.19792050435603747</v>
      </c>
      <c r="P6" s="201">
        <f>'SER_se-appl'!P69</f>
        <v>0.20971120234984023</v>
      </c>
      <c r="Q6" s="201">
        <f>'SER_se-appl'!Q69</f>
        <v>0.22132963036731484</v>
      </c>
      <c r="R6" s="201">
        <f>'SER_se-appl'!R69</f>
        <v>0.22572976511978793</v>
      </c>
      <c r="S6" s="201">
        <f>'SER_se-appl'!S69</f>
        <v>0.2301422153555315</v>
      </c>
      <c r="T6" s="201">
        <f>'SER_se-appl'!T69</f>
        <v>0.23401523466559765</v>
      </c>
      <c r="U6" s="201">
        <f>'SER_se-appl'!U69</f>
        <v>0.23723789753214825</v>
      </c>
      <c r="V6" s="201">
        <f>'SER_se-appl'!V69</f>
        <v>0.24029688286729756</v>
      </c>
      <c r="W6" s="201">
        <f>'SER_se-appl'!W69</f>
        <v>0.24325722021186649</v>
      </c>
      <c r="X6" s="201">
        <f>'SER_se-appl'!X69</f>
        <v>0.24535112930211361</v>
      </c>
      <c r="Y6" s="201">
        <f>'SER_se-appl'!Y69</f>
        <v>0.24535112930211367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166.97856141597526</v>
      </c>
      <c r="C8" s="34">
        <f>'SER_se-appl'!C21</f>
        <v>172.28380052859902</v>
      </c>
      <c r="D8" s="34">
        <f>'SER_se-appl'!D21</f>
        <v>178.37875013156267</v>
      </c>
      <c r="E8" s="34">
        <f>'SER_se-appl'!E21</f>
        <v>185.27968425221087</v>
      </c>
      <c r="F8" s="34">
        <f>'SER_se-appl'!F21</f>
        <v>193.21578019626421</v>
      </c>
      <c r="G8" s="34">
        <f>'SER_se-appl'!G21</f>
        <v>201.06914309431025</v>
      </c>
      <c r="H8" s="34">
        <f>'SER_se-appl'!H21</f>
        <v>209.3750407792617</v>
      </c>
      <c r="I8" s="34">
        <f>'SER_se-appl'!I21</f>
        <v>216.01927400743455</v>
      </c>
      <c r="J8" s="34">
        <f>'SER_se-appl'!J21</f>
        <v>223.73699263079592</v>
      </c>
      <c r="K8" s="34">
        <f>'SER_se-appl'!K21</f>
        <v>230.58304562385288</v>
      </c>
      <c r="L8" s="34">
        <f>'SER_se-appl'!L21</f>
        <v>236.43057932780923</v>
      </c>
      <c r="M8" s="34">
        <f>'SER_se-appl'!M21</f>
        <v>242.44541070065821</v>
      </c>
      <c r="N8" s="34">
        <f>'SER_se-appl'!N21</f>
        <v>250.27078378997106</v>
      </c>
      <c r="O8" s="34">
        <f>'SER_se-appl'!O21</f>
        <v>261.28950391772742</v>
      </c>
      <c r="P8" s="34">
        <f>'SER_se-appl'!P21</f>
        <v>275.94198456476443</v>
      </c>
      <c r="Q8" s="34">
        <f>'SER_se-appl'!Q21</f>
        <v>291.01969108107124</v>
      </c>
      <c r="R8" s="34">
        <f>'SER_se-appl'!R21</f>
        <v>297.04773003079424</v>
      </c>
      <c r="S8" s="34">
        <f>'SER_se-appl'!S21</f>
        <v>302.7831534992747</v>
      </c>
      <c r="T8" s="34">
        <f>'SER_se-appl'!T21</f>
        <v>308.69721855013381</v>
      </c>
      <c r="U8" s="34">
        <f>'SER_se-appl'!U21</f>
        <v>314.29751140854063</v>
      </c>
      <c r="V8" s="34">
        <f>'SER_se-appl'!V21</f>
        <v>319.34879020544963</v>
      </c>
      <c r="W8" s="34">
        <f>'SER_se-appl'!W21</f>
        <v>323.54864437275683</v>
      </c>
      <c r="X8" s="34">
        <f>'SER_se-appl'!X21</f>
        <v>326.75765260003772</v>
      </c>
      <c r="Y8" s="34">
        <f>'SER_se-appl'!Y21</f>
        <v>335.12118189568821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26.25176949787334</v>
      </c>
      <c r="D9" s="36">
        <f>'SER_se-appl'!D29</f>
        <v>27.943120906705161</v>
      </c>
      <c r="E9" s="36">
        <f>'SER_se-appl'!E29</f>
        <v>29.689557369383266</v>
      </c>
      <c r="F9" s="36">
        <f>'SER_se-appl'!F29</f>
        <v>31.705652780320662</v>
      </c>
      <c r="G9" s="36">
        <f>'SER_se-appl'!G29</f>
        <v>32.646077491890736</v>
      </c>
      <c r="H9" s="36">
        <f>'SER_se-appl'!H29</f>
        <v>34.165811740815116</v>
      </c>
      <c r="I9" s="36">
        <f>'SER_se-appl'!I29</f>
        <v>33.617284220446294</v>
      </c>
      <c r="J9" s="36">
        <f>'SER_se-appl'!J29</f>
        <v>33.969488121234718</v>
      </c>
      <c r="K9" s="36">
        <f>'SER_se-appl'!K29</f>
        <v>34.789173899762119</v>
      </c>
      <c r="L9" s="36">
        <f>'SER_se-appl'!L29</f>
        <v>35.53709107333961</v>
      </c>
      <c r="M9" s="36">
        <f>'SER_se-appl'!M29</f>
        <v>37.72048415316965</v>
      </c>
      <c r="N9" s="36">
        <f>'SER_se-appl'!N29</f>
        <v>40.471450581203584</v>
      </c>
      <c r="O9" s="36">
        <f>'SER_se-appl'!O29</f>
        <v>45.184531868571469</v>
      </c>
      <c r="P9" s="36">
        <f>'SER_se-appl'!P29</f>
        <v>48.269764867483303</v>
      </c>
      <c r="Q9" s="36">
        <f>'SER_se-appl'!Q29</f>
        <v>49.047194637541537</v>
      </c>
      <c r="R9" s="36">
        <f>'SER_se-appl'!R29</f>
        <v>40.817212849485145</v>
      </c>
      <c r="S9" s="36">
        <f>'SER_se-appl'!S29</f>
        <v>41.272514541820101</v>
      </c>
      <c r="T9" s="36">
        <f>'SER_se-appl'!T29</f>
        <v>43.634549204028758</v>
      </c>
      <c r="U9" s="36">
        <f>'SER_se-appl'!U29</f>
        <v>46.07174343961043</v>
      </c>
      <c r="V9" s="36">
        <f>'SER_se-appl'!V29</f>
        <v>50.235810665480471</v>
      </c>
      <c r="W9" s="36">
        <f>'SER_se-appl'!W29</f>
        <v>52.469619034790526</v>
      </c>
      <c r="X9" s="36">
        <f>'SER_se-appl'!X29</f>
        <v>52.256202864822455</v>
      </c>
      <c r="Y9" s="36">
        <f>'SER_se-appl'!Y29</f>
        <v>49.180742145135639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20.946530385249588</v>
      </c>
      <c r="D10" s="38">
        <f>'SER_se-appl'!D37</f>
        <v>21.848171303741509</v>
      </c>
      <c r="E10" s="38">
        <f>'SER_se-appl'!E37</f>
        <v>22.788623248735064</v>
      </c>
      <c r="F10" s="38">
        <f>'SER_se-appl'!F37</f>
        <v>23.769556836267327</v>
      </c>
      <c r="G10" s="38">
        <f>'SER_se-appl'!G37</f>
        <v>24.792714593844693</v>
      </c>
      <c r="H10" s="38">
        <f>'SER_se-appl'!H37</f>
        <v>25.859914055863669</v>
      </c>
      <c r="I10" s="38">
        <f>'SER_se-appl'!I37</f>
        <v>26.973050992273443</v>
      </c>
      <c r="J10" s="38">
        <f>'SER_se-appl'!J37</f>
        <v>26.25176949787334</v>
      </c>
      <c r="K10" s="38">
        <f>'SER_se-appl'!K37</f>
        <v>27.943120906705161</v>
      </c>
      <c r="L10" s="38">
        <f>'SER_se-appl'!L37</f>
        <v>29.689557369383266</v>
      </c>
      <c r="M10" s="38">
        <f>'SER_se-appl'!M37</f>
        <v>31.70565278032069</v>
      </c>
      <c r="N10" s="38">
        <f>'SER_se-appl'!N37</f>
        <v>32.646077491890708</v>
      </c>
      <c r="O10" s="38">
        <f>'SER_se-appl'!O37</f>
        <v>34.165811740815116</v>
      </c>
      <c r="P10" s="38">
        <f>'SER_se-appl'!P37</f>
        <v>33.617284220446322</v>
      </c>
      <c r="Q10" s="38">
        <f>'SER_se-appl'!Q37</f>
        <v>33.969488121234747</v>
      </c>
      <c r="R10" s="38">
        <f>'SER_se-appl'!R37</f>
        <v>34.789173899762147</v>
      </c>
      <c r="S10" s="38">
        <f>'SER_se-appl'!S37</f>
        <v>35.537091073339639</v>
      </c>
      <c r="T10" s="38">
        <f>'SER_se-appl'!T37</f>
        <v>37.72048415316965</v>
      </c>
      <c r="U10" s="38">
        <f>'SER_se-appl'!U37</f>
        <v>40.471450581203612</v>
      </c>
      <c r="V10" s="38">
        <f>'SER_se-appl'!V37</f>
        <v>45.184531868571469</v>
      </c>
      <c r="W10" s="38">
        <f>'SER_se-appl'!W37</f>
        <v>48.269764867483332</v>
      </c>
      <c r="X10" s="38">
        <f>'SER_se-appl'!X37</f>
        <v>49.047194637541565</v>
      </c>
      <c r="Y10" s="38">
        <f>'SER_se-appl'!Y37</f>
        <v>40.817212849485145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3871.0178920082976</v>
      </c>
      <c r="C12" s="204">
        <f>'SER_se-appl'!C45</f>
        <v>3873.7112390359348</v>
      </c>
      <c r="D12" s="204">
        <f>'SER_se-appl'!D45</f>
        <v>3877.3205975657152</v>
      </c>
      <c r="E12" s="204">
        <f>'SER_se-appl'!E45</f>
        <v>3881.9885296590919</v>
      </c>
      <c r="F12" s="204">
        <f>'SER_se-appl'!F45</f>
        <v>3883.9419230873982</v>
      </c>
      <c r="G12" s="204">
        <f>'SER_se-appl'!G45</f>
        <v>3887.7646482794767</v>
      </c>
      <c r="H12" s="204">
        <f>'SER_se-appl'!H45</f>
        <v>3891.1015609488109</v>
      </c>
      <c r="I12" s="204">
        <f>'SER_se-appl'!I45</f>
        <v>3896.0707621916627</v>
      </c>
      <c r="J12" s="204">
        <f>'SER_se-appl'!J45</f>
        <v>3893.8522179378456</v>
      </c>
      <c r="K12" s="204">
        <f>'SER_se-appl'!K45</f>
        <v>3891.4673899786158</v>
      </c>
      <c r="L12" s="204">
        <f>'SER_se-appl'!L45</f>
        <v>3890.8940290853297</v>
      </c>
      <c r="M12" s="204">
        <f>'SER_se-appl'!M45</f>
        <v>3890.8067233307124</v>
      </c>
      <c r="N12" s="204">
        <f>'SER_se-appl'!N45</f>
        <v>3886.3773131877638</v>
      </c>
      <c r="O12" s="204">
        <f>'SER_se-appl'!O45</f>
        <v>3869.6461289927984</v>
      </c>
      <c r="P12" s="204">
        <f>'SER_se-appl'!P45</f>
        <v>3854.3379702917896</v>
      </c>
      <c r="Q12" s="204">
        <f>'SER_se-appl'!Q45</f>
        <v>3839.5162766260628</v>
      </c>
      <c r="R12" s="204">
        <f>'SER_se-appl'!R45</f>
        <v>3907.3037861157177</v>
      </c>
      <c r="S12" s="204">
        <f>'SER_se-appl'!S45</f>
        <v>3816.5183561878885</v>
      </c>
      <c r="T12" s="204">
        <f>'SER_se-appl'!T45</f>
        <v>3783.4285114533018</v>
      </c>
      <c r="U12" s="204">
        <f>'SER_se-appl'!U45</f>
        <v>3728.9213483267522</v>
      </c>
      <c r="V12" s="204">
        <f>'SER_se-appl'!V45</f>
        <v>3686.9151568241391</v>
      </c>
      <c r="W12" s="204">
        <f>'SER_se-appl'!W45</f>
        <v>3643.7793874176359</v>
      </c>
      <c r="X12" s="204">
        <f>'SER_se-appl'!X45</f>
        <v>3639.4014486758724</v>
      </c>
      <c r="Y12" s="204">
        <f>'SER_se-appl'!Y45</f>
        <v>3635.0235099341089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204.99414285235056</v>
      </c>
      <c r="C14" s="59">
        <f>'SER_se-appl'!C53</f>
        <v>202.86829044245493</v>
      </c>
      <c r="D14" s="59">
        <f>'SER_se-appl'!D53</f>
        <v>200.3901679922339</v>
      </c>
      <c r="E14" s="59">
        <f>'SER_se-appl'!E53</f>
        <v>197.57297667294554</v>
      </c>
      <c r="F14" s="59">
        <f>'SER_se-appl'!F53</f>
        <v>194.29752531888096</v>
      </c>
      <c r="G14" s="59">
        <f>'SER_se-appl'!G53</f>
        <v>190.73687319559116</v>
      </c>
      <c r="H14" s="59">
        <f>'SER_se-appl'!H53</f>
        <v>186.72814534971252</v>
      </c>
      <c r="I14" s="59">
        <f>'SER_se-appl'!I53</f>
        <v>182.45276715343948</v>
      </c>
      <c r="J14" s="59">
        <f>'SER_se-appl'!J53</f>
        <v>179.74591710158856</v>
      </c>
      <c r="K14" s="59">
        <f>'SER_se-appl'!K53</f>
        <v>176.99578910003393</v>
      </c>
      <c r="L14" s="59">
        <f>'SER_se-appl'!L53</f>
        <v>174.21116045995396</v>
      </c>
      <c r="M14" s="59">
        <f>'SER_se-appl'!M53</f>
        <v>171.29969838865281</v>
      </c>
      <c r="N14" s="59">
        <f>'SER_se-appl'!N53</f>
        <v>167.96057484990587</v>
      </c>
      <c r="O14" s="59">
        <f>'SER_se-appl'!O53</f>
        <v>163.87401460563987</v>
      </c>
      <c r="P14" s="59">
        <f>'SER_se-appl'!P53</f>
        <v>159.00348606349357</v>
      </c>
      <c r="Q14" s="59">
        <f>'SER_se-appl'!Q53</f>
        <v>153.27892941288053</v>
      </c>
      <c r="R14" s="59">
        <f>'SER_se-appl'!R53</f>
        <v>147.69106833239783</v>
      </c>
      <c r="S14" s="59">
        <f>'SER_se-appl'!S53</f>
        <v>141.72126778096731</v>
      </c>
      <c r="T14" s="59">
        <f>'SER_se-appl'!T53</f>
        <v>135.20414160524442</v>
      </c>
      <c r="U14" s="59">
        <f>'SER_se-appl'!U53</f>
        <v>128.29591014178447</v>
      </c>
      <c r="V14" s="59">
        <f>'SER_se-appl'!V53</f>
        <v>120.9697396380045</v>
      </c>
      <c r="W14" s="59">
        <f>'SER_se-appl'!W53</f>
        <v>114.23883736641434</v>
      </c>
      <c r="X14" s="59">
        <f>'SER_se-appl'!X53</f>
        <v>108.62420794076407</v>
      </c>
      <c r="Y14" s="59">
        <f>'SER_se-appl'!Y53</f>
        <v>104.49487447331323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191.04270492854221</v>
      </c>
      <c r="D15" s="63">
        <f>'SER_se-appl'!D61</f>
        <v>188.71101720707372</v>
      </c>
      <c r="E15" s="63">
        <f>'SER_se-appl'!E61</f>
        <v>186.34313911964969</v>
      </c>
      <c r="F15" s="63">
        <f>'SER_se-appl'!F61</f>
        <v>183.17582608467313</v>
      </c>
      <c r="G15" s="63">
        <f>'SER_se-appl'!G61</f>
        <v>180.49068785817983</v>
      </c>
      <c r="H15" s="63">
        <f>'SER_se-appl'!H61</f>
        <v>176.9618225168887</v>
      </c>
      <c r="I15" s="63">
        <f>'SER_se-appl'!I61</f>
        <v>173.91109537097995</v>
      </c>
      <c r="J15" s="63">
        <f>'SER_se-appl'!J61</f>
        <v>171.262683208873</v>
      </c>
      <c r="K15" s="63">
        <f>'SER_se-appl'!K61</f>
        <v>168.71892303237195</v>
      </c>
      <c r="L15" s="63">
        <f>'SER_se-appl'!L61</f>
        <v>166.27874202541989</v>
      </c>
      <c r="M15" s="63">
        <f>'SER_se-appl'!M61</f>
        <v>163.03314799556347</v>
      </c>
      <c r="N15" s="63">
        <f>'SER_se-appl'!N61</f>
        <v>158.06480556736165</v>
      </c>
      <c r="O15" s="63">
        <f>'SER_se-appl'!O61</f>
        <v>151.13533987916668</v>
      </c>
      <c r="P15" s="63">
        <f>'SER_se-appl'!P61</f>
        <v>143.021128379023</v>
      </c>
      <c r="Q15" s="63">
        <f>'SER_se-appl'!Q61</f>
        <v>133.52761398833019</v>
      </c>
      <c r="R15" s="63">
        <f>'SER_se-appl'!R61</f>
        <v>125.77296444694416</v>
      </c>
      <c r="S15" s="63">
        <f>'SER_se-appl'!S61</f>
        <v>119.90009904965193</v>
      </c>
      <c r="T15" s="63">
        <f>'SER_se-appl'!T61</f>
        <v>114.03851854872649</v>
      </c>
      <c r="U15" s="63">
        <f>'SER_se-appl'!U61</f>
        <v>108.15858976854032</v>
      </c>
      <c r="V15" s="63">
        <f>'SER_se-appl'!V61</f>
        <v>102.26637604907066</v>
      </c>
      <c r="W15" s="63">
        <f>'SER_se-appl'!W61</f>
        <v>99.750623198263526</v>
      </c>
      <c r="X15" s="63">
        <f>'SER_se-appl'!X61</f>
        <v>97.234870347456393</v>
      </c>
      <c r="Y15" s="63">
        <f>'SER_se-appl'!Y61</f>
        <v>94.719117496649261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18.641878473690834</v>
      </c>
      <c r="C3" s="198">
        <f>'SER_se-appl'!C6</f>
        <v>19.37955420764429</v>
      </c>
      <c r="D3" s="198">
        <f>'SER_se-appl'!D6</f>
        <v>20.096490691807112</v>
      </c>
      <c r="E3" s="198">
        <f>'SER_se-appl'!E6</f>
        <v>20.926361113001303</v>
      </c>
      <c r="F3" s="198">
        <f>'SER_se-appl'!F6</f>
        <v>21.512071283389592</v>
      </c>
      <c r="G3" s="198">
        <f>'SER_se-appl'!G6</f>
        <v>22.498278983777713</v>
      </c>
      <c r="H3" s="198">
        <f>'SER_se-appl'!H6</f>
        <v>23.563121208212493</v>
      </c>
      <c r="I3" s="198">
        <f>'SER_se-appl'!I6</f>
        <v>24.37126010299307</v>
      </c>
      <c r="J3" s="198">
        <f>'SER_se-appl'!J6</f>
        <v>23.877259729142203</v>
      </c>
      <c r="K3" s="198">
        <f>'SER_se-appl'!K6</f>
        <v>23.669166347008677</v>
      </c>
      <c r="L3" s="198">
        <f>'SER_se-appl'!L6</f>
        <v>23.797915180464056</v>
      </c>
      <c r="M3" s="198">
        <f>'SER_se-appl'!M6</f>
        <v>24.357018200037697</v>
      </c>
      <c r="N3" s="198">
        <f>'SER_se-appl'!N6</f>
        <v>24.436765663674564</v>
      </c>
      <c r="O3" s="198">
        <f>'SER_se-appl'!O6</f>
        <v>24.44707722536641</v>
      </c>
      <c r="P3" s="198">
        <f>'SER_se-appl'!P6</f>
        <v>25.025512670554019</v>
      </c>
      <c r="Q3" s="198">
        <f>'SER_se-appl'!Q6</f>
        <v>25.844030357369654</v>
      </c>
      <c r="R3" s="198">
        <f>'SER_se-appl'!R6</f>
        <v>25.700765152667174</v>
      </c>
      <c r="S3" s="198">
        <f>'SER_se-appl'!S6</f>
        <v>24.560948734755929</v>
      </c>
      <c r="T3" s="198">
        <f>'SER_se-appl'!T6</f>
        <v>23.36537710813564</v>
      </c>
      <c r="U3" s="198">
        <f>'SER_se-appl'!U6</f>
        <v>21.958896525462023</v>
      </c>
      <c r="V3" s="198">
        <f>'SER_se-appl'!V6</f>
        <v>20.529800553529711</v>
      </c>
      <c r="W3" s="198">
        <f>'SER_se-appl'!W6</f>
        <v>21.623743507941633</v>
      </c>
      <c r="X3" s="198">
        <f>'SER_se-appl'!X6</f>
        <v>19.719349605347986</v>
      </c>
      <c r="Y3" s="198">
        <f>'SER_se-appl'!Y6</f>
        <v>18.022374214131798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95.281199584547494</v>
      </c>
      <c r="C5" s="59">
        <f>'SER_se-appl'!C14</f>
        <v>98.100558401955794</v>
      </c>
      <c r="D5" s="59">
        <f>'SER_se-appl'!D14</f>
        <v>100.82115515427924</v>
      </c>
      <c r="E5" s="59">
        <f>'SER_se-appl'!E14</f>
        <v>103.89719543663576</v>
      </c>
      <c r="F5" s="59">
        <f>'SER_se-appl'!F14</f>
        <v>106.12652205734737</v>
      </c>
      <c r="G5" s="59">
        <f>'SER_se-appl'!G14</f>
        <v>110.15819684978129</v>
      </c>
      <c r="H5" s="59">
        <f>'SER_se-appl'!H14</f>
        <v>114.94509922161079</v>
      </c>
      <c r="I5" s="59">
        <f>'SER_se-appl'!I14</f>
        <v>118.49042378651085</v>
      </c>
      <c r="J5" s="59">
        <f>'SER_se-appl'!J14</f>
        <v>115.7271198503615</v>
      </c>
      <c r="K5" s="59">
        <f>'SER_se-appl'!K14</f>
        <v>114.23970418324075</v>
      </c>
      <c r="L5" s="59">
        <f>'SER_se-appl'!L14</f>
        <v>114.45894052590664</v>
      </c>
      <c r="M5" s="59">
        <f>'SER_se-appl'!M14</f>
        <v>116.4979534861329</v>
      </c>
      <c r="N5" s="59">
        <f>'SER_se-appl'!N14</f>
        <v>116.17846045988107</v>
      </c>
      <c r="O5" s="59">
        <f>'SER_se-appl'!O14</f>
        <v>115.63286113854225</v>
      </c>
      <c r="P5" s="59">
        <f>'SER_se-appl'!P14</f>
        <v>117.86719460872985</v>
      </c>
      <c r="Q5" s="59">
        <f>'SER_se-appl'!Q14</f>
        <v>121.16744806303332</v>
      </c>
      <c r="R5" s="59">
        <f>'SER_se-appl'!R14</f>
        <v>118.5733285038575</v>
      </c>
      <c r="S5" s="59">
        <f>'SER_se-appl'!S14</f>
        <v>115.06347995354608</v>
      </c>
      <c r="T5" s="59">
        <f>'SER_se-appl'!T14</f>
        <v>110.60096083635109</v>
      </c>
      <c r="U5" s="59">
        <f>'SER_se-appl'!U14</f>
        <v>105.28200387486974</v>
      </c>
      <c r="V5" s="59">
        <f>'SER_se-appl'!V14</f>
        <v>100.47514711002823</v>
      </c>
      <c r="W5" s="59">
        <f>'SER_se-appl'!W14</f>
        <v>93.868006444615091</v>
      </c>
      <c r="X5" s="59">
        <f>'SER_se-appl'!X14</f>
        <v>89.329564779803391</v>
      </c>
      <c r="Y5" s="59">
        <f>'SER_se-appl'!Y14</f>
        <v>83.459791105459274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156.99258316659387</v>
      </c>
      <c r="C6" s="201">
        <f>'SER_se-appl'!C70</f>
        <v>157.95986267080784</v>
      </c>
      <c r="D6" s="201">
        <f>'SER_se-appl'!D70</f>
        <v>159.22876310815599</v>
      </c>
      <c r="E6" s="201">
        <f>'SER_se-appl'!E70</f>
        <v>161.03016650884192</v>
      </c>
      <c r="F6" s="201">
        <f>'SER_se-appl'!F70</f>
        <v>163.64465231916017</v>
      </c>
      <c r="G6" s="201">
        <f>'SER_se-appl'!G70</f>
        <v>165.83117188774861</v>
      </c>
      <c r="H6" s="201">
        <f>'SER_se-appl'!H70</f>
        <v>168.25645113070595</v>
      </c>
      <c r="I6" s="201">
        <f>'SER_se-appl'!I70</f>
        <v>171.71660269528383</v>
      </c>
      <c r="J6" s="201">
        <f>'SER_se-appl'!J70</f>
        <v>174.28153198413059</v>
      </c>
      <c r="K6" s="201">
        <f>'SER_se-appl'!K70</f>
        <v>178.12365559170743</v>
      </c>
      <c r="L6" s="201">
        <f>'SER_se-appl'!L70</f>
        <v>182.77014120097039</v>
      </c>
      <c r="M6" s="201">
        <f>'SER_se-appl'!M70</f>
        <v>188.26933479672965</v>
      </c>
      <c r="N6" s="201">
        <f>'SER_se-appl'!N70</f>
        <v>192.72208122563165</v>
      </c>
      <c r="O6" s="201">
        <f>'SER_se-appl'!O70</f>
        <v>199.78431670175499</v>
      </c>
      <c r="P6" s="201">
        <f>'SER_se-appl'!P70</f>
        <v>209.66640899973459</v>
      </c>
      <c r="Q6" s="201">
        <f>'SER_se-appl'!Q70</f>
        <v>222.09514639745274</v>
      </c>
      <c r="R6" s="201">
        <f>'SER_se-appl'!R70</f>
        <v>228.7116817597491</v>
      </c>
      <c r="S6" s="201">
        <f>'SER_se-appl'!S70</f>
        <v>235.42885102022436</v>
      </c>
      <c r="T6" s="201">
        <f>'SER_se-appl'!T70</f>
        <v>241.81652941341173</v>
      </c>
      <c r="U6" s="201">
        <f>'SER_se-appl'!U70</f>
        <v>247.61167332272385</v>
      </c>
      <c r="V6" s="201">
        <f>'SER_se-appl'!V70</f>
        <v>252.32406823653122</v>
      </c>
      <c r="W6" s="201">
        <f>'SER_se-appl'!W70</f>
        <v>255.07230977020944</v>
      </c>
      <c r="X6" s="201">
        <f>'SER_se-appl'!X70</f>
        <v>256.45763514100753</v>
      </c>
      <c r="Y6" s="201">
        <f>'SER_se-appl'!Y70</f>
        <v>257.15311672227557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2.0250325496466735</v>
      </c>
      <c r="C8" s="34">
        <f>'SER_se-appl'!C22</f>
        <v>2.1077390136321394</v>
      </c>
      <c r="D8" s="34">
        <f>'SER_se-appl'!D22</f>
        <v>2.2006116023342615</v>
      </c>
      <c r="E8" s="34">
        <f>'SER_se-appl'!E22</f>
        <v>2.3101763374127242</v>
      </c>
      <c r="F8" s="34">
        <f>'SER_se-appl'!F22</f>
        <v>2.409370364802351</v>
      </c>
      <c r="G8" s="34">
        <f>'SER_se-appl'!G22</f>
        <v>2.5632183348050943</v>
      </c>
      <c r="H8" s="34">
        <f>'SER_se-appl'!H22</f>
        <v>2.7528706074209683</v>
      </c>
      <c r="I8" s="34">
        <f>'SER_se-appl'!I22</f>
        <v>2.9031557040625047</v>
      </c>
      <c r="J8" s="34">
        <f>'SER_se-appl'!J22</f>
        <v>2.8907985027829328</v>
      </c>
      <c r="K8" s="34">
        <f>'SER_se-appl'!K22</f>
        <v>2.920786247424902</v>
      </c>
      <c r="L8" s="34">
        <f>'SER_se-appl'!L22</f>
        <v>3.0056976880102133</v>
      </c>
      <c r="M8" s="34">
        <f>'SER_se-appl'!M22</f>
        <v>3.1774509275940086</v>
      </c>
      <c r="N8" s="34">
        <f>'SER_se-appl'!N22</f>
        <v>3.3043119811680377</v>
      </c>
      <c r="O8" s="34">
        <f>'SER_se-appl'!O22</f>
        <v>3.4414394268229636</v>
      </c>
      <c r="P8" s="34">
        <f>'SER_se-appl'!P22</f>
        <v>3.6520100076794244</v>
      </c>
      <c r="Q8" s="34">
        <f>'SER_se-appl'!Q22</f>
        <v>3.9547561206048218</v>
      </c>
      <c r="R8" s="34">
        <f>'SER_se-appl'!R22</f>
        <v>4.1127379648307141</v>
      </c>
      <c r="S8" s="34">
        <f>'SER_se-appl'!S22</f>
        <v>4.30524818751576</v>
      </c>
      <c r="T8" s="34">
        <f>'SER_se-appl'!T22</f>
        <v>4.4792262323816168</v>
      </c>
      <c r="U8" s="34">
        <f>'SER_se-appl'!U22</f>
        <v>4.633409578910797</v>
      </c>
      <c r="V8" s="34">
        <f>'SER_se-appl'!V22</f>
        <v>4.7661201674719527</v>
      </c>
      <c r="W8" s="34">
        <f>'SER_se-appl'!W22</f>
        <v>4.8591063398708645</v>
      </c>
      <c r="X8" s="34">
        <f>'SER_se-appl'!X22</f>
        <v>4.9237270746071635</v>
      </c>
      <c r="Y8" s="34">
        <f>'SER_se-appl'!Y22</f>
        <v>4.9721953462266599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0.3989478940499398</v>
      </c>
      <c r="D9" s="36">
        <f>'SER_se-appl'!D30</f>
        <v>0.41732944998072341</v>
      </c>
      <c r="E9" s="36">
        <f>'SER_se-appl'!E30</f>
        <v>0.44245045093580382</v>
      </c>
      <c r="F9" s="36">
        <f>'SER_se-appl'!F30</f>
        <v>0.44072756557762838</v>
      </c>
      <c r="G9" s="36">
        <f>'SER_se-appl'!G30</f>
        <v>0.50425398669468136</v>
      </c>
      <c r="H9" s="36">
        <f>'SER_se-appl'!H30</f>
        <v>0.54916126018219158</v>
      </c>
      <c r="I9" s="36">
        <f>'SER_se-appl'!I30</f>
        <v>0.54923299069147591</v>
      </c>
      <c r="J9" s="36">
        <f>'SER_se-appl'!J30</f>
        <v>0.40497224870115156</v>
      </c>
      <c r="K9" s="36">
        <f>'SER_se-appl'!K30</f>
        <v>0.472438195577773</v>
      </c>
      <c r="L9" s="36">
        <f>'SER_se-appl'!L30</f>
        <v>0.5256390061629399</v>
      </c>
      <c r="M9" s="36">
        <f>'SER_se-appl'!M30</f>
        <v>0.67600722627847665</v>
      </c>
      <c r="N9" s="36">
        <f>'SER_se-appl'!N30</f>
        <v>0.67602231375622068</v>
      </c>
      <c r="O9" s="36">
        <f>'SER_se-appl'!O30</f>
        <v>0.68636043634640176</v>
      </c>
      <c r="P9" s="36">
        <f>'SER_se-appl'!P30</f>
        <v>0.61554282955761241</v>
      </c>
      <c r="Q9" s="36">
        <f>'SER_se-appl'!Q30</f>
        <v>0.77518430850317044</v>
      </c>
      <c r="R9" s="36">
        <f>'SER_se-appl'!R30</f>
        <v>0.68362085038883214</v>
      </c>
      <c r="S9" s="36">
        <f>'SER_se-appl'!S30</f>
        <v>0.86851744896352256</v>
      </c>
      <c r="T9" s="36">
        <f>'SER_se-appl'!T30</f>
        <v>0.85000035862207746</v>
      </c>
      <c r="U9" s="36">
        <f>'SER_se-appl'!U30</f>
        <v>0.84054378287558196</v>
      </c>
      <c r="V9" s="36">
        <f>'SER_se-appl'!V30</f>
        <v>0.74825341811876811</v>
      </c>
      <c r="W9" s="36">
        <f>'SER_se-appl'!W30</f>
        <v>0.86817048090208226</v>
      </c>
      <c r="X9" s="36">
        <f>'SER_se-appl'!X30</f>
        <v>0.74824158512513161</v>
      </c>
      <c r="Y9" s="36">
        <f>'SER_se-appl'!Y30</f>
        <v>0.91698572058301853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0.31624143006447358</v>
      </c>
      <c r="D10" s="38">
        <f>'SER_se-appl'!D38</f>
        <v>0.32445686127860141</v>
      </c>
      <c r="E10" s="38">
        <f>'SER_se-appl'!E38</f>
        <v>0.33288571585734106</v>
      </c>
      <c r="F10" s="38">
        <f>'SER_se-appl'!F38</f>
        <v>0.34153353818800181</v>
      </c>
      <c r="G10" s="38">
        <f>'SER_se-appl'!G38</f>
        <v>0.35040601669193805</v>
      </c>
      <c r="H10" s="38">
        <f>'SER_se-appl'!H38</f>
        <v>0.35950898756631755</v>
      </c>
      <c r="I10" s="38">
        <f>'SER_se-appl'!I38</f>
        <v>0.39894789404993958</v>
      </c>
      <c r="J10" s="38">
        <f>'SER_se-appl'!J38</f>
        <v>0.41732944998072341</v>
      </c>
      <c r="K10" s="38">
        <f>'SER_se-appl'!K38</f>
        <v>0.44245045093580382</v>
      </c>
      <c r="L10" s="38">
        <f>'SER_se-appl'!L38</f>
        <v>0.4407275655776286</v>
      </c>
      <c r="M10" s="38">
        <f>'SER_se-appl'!M38</f>
        <v>0.50425398669468136</v>
      </c>
      <c r="N10" s="38">
        <f>'SER_se-appl'!N38</f>
        <v>0.54916126018219158</v>
      </c>
      <c r="O10" s="38">
        <f>'SER_se-appl'!O38</f>
        <v>0.54923299069147591</v>
      </c>
      <c r="P10" s="38">
        <f>'SER_se-appl'!P38</f>
        <v>0.40497224870115156</v>
      </c>
      <c r="Q10" s="38">
        <f>'SER_se-appl'!Q38</f>
        <v>0.472438195577773</v>
      </c>
      <c r="R10" s="38">
        <f>'SER_se-appl'!R38</f>
        <v>0.52563900616294035</v>
      </c>
      <c r="S10" s="38">
        <f>'SER_se-appl'!S38</f>
        <v>0.67600722627847709</v>
      </c>
      <c r="T10" s="38">
        <f>'SER_se-appl'!T38</f>
        <v>0.67602231375622068</v>
      </c>
      <c r="U10" s="38">
        <f>'SER_se-appl'!U38</f>
        <v>0.68636043634640131</v>
      </c>
      <c r="V10" s="38">
        <f>'SER_se-appl'!V38</f>
        <v>0.61554282955761241</v>
      </c>
      <c r="W10" s="38">
        <f>'SER_se-appl'!W38</f>
        <v>0.77518430850317088</v>
      </c>
      <c r="X10" s="38">
        <f>'SER_se-appl'!X38</f>
        <v>0.68362085038883258</v>
      </c>
      <c r="Y10" s="38">
        <f>'SER_se-appl'!Y38</f>
        <v>0.86851744896352212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2275.4231432260995</v>
      </c>
      <c r="C12" s="204">
        <f>'SER_se-appl'!C46</f>
        <v>2297.4814731575443</v>
      </c>
      <c r="D12" s="204">
        <f>'SER_se-appl'!D46</f>
        <v>2318.1859639285899</v>
      </c>
      <c r="E12" s="204">
        <f>'SER_se-appl'!E46</f>
        <v>2342.4460951174806</v>
      </c>
      <c r="F12" s="204">
        <f>'SER_se-appl'!F46</f>
        <v>2357.4256856417924</v>
      </c>
      <c r="G12" s="204">
        <f>'SER_se-appl'!G46</f>
        <v>2375.2656821184551</v>
      </c>
      <c r="H12" s="204">
        <f>'SER_se-appl'!H46</f>
        <v>2384.0868510902924</v>
      </c>
      <c r="I12" s="204">
        <f>'SER_se-appl'!I46</f>
        <v>2392.0730970503664</v>
      </c>
      <c r="J12" s="204">
        <f>'SER_se-appl'!J46</f>
        <v>2399.5458541523221</v>
      </c>
      <c r="K12" s="204">
        <f>'SER_se-appl'!K46</f>
        <v>2409.6036188449275</v>
      </c>
      <c r="L12" s="204">
        <f>'SER_se-appl'!L46</f>
        <v>2418.0702029663894</v>
      </c>
      <c r="M12" s="204">
        <f>'SER_se-appl'!M46</f>
        <v>2431.5630720513655</v>
      </c>
      <c r="N12" s="204">
        <f>'SER_se-appl'!N46</f>
        <v>2446.2330069064346</v>
      </c>
      <c r="O12" s="204">
        <f>'SER_se-appl'!O46</f>
        <v>2458.8123594932235</v>
      </c>
      <c r="P12" s="204">
        <f>'SER_se-appl'!P46</f>
        <v>2469.2766577222569</v>
      </c>
      <c r="Q12" s="204">
        <f>'SER_se-appl'!Q46</f>
        <v>2480.5843307011764</v>
      </c>
      <c r="R12" s="204">
        <f>'SER_se-appl'!R46</f>
        <v>2520.8021272321394</v>
      </c>
      <c r="S12" s="204">
        <f>'SER_se-appl'!S46</f>
        <v>2482.4890912436576</v>
      </c>
      <c r="T12" s="204">
        <f>'SER_se-appl'!T46</f>
        <v>2456.934675004245</v>
      </c>
      <c r="U12" s="204">
        <f>'SER_se-appl'!U46</f>
        <v>2425.6943940262677</v>
      </c>
      <c r="V12" s="204">
        <f>'SER_se-appl'!V46</f>
        <v>2376.3247659253261</v>
      </c>
      <c r="W12" s="204">
        <f>'SER_se-appl'!W46</f>
        <v>2679.125151611101</v>
      </c>
      <c r="X12" s="204">
        <f>'SER_se-appl'!X46</f>
        <v>2567.302734268419</v>
      </c>
      <c r="Y12" s="204">
        <f>'SER_se-appl'!Y46</f>
        <v>2511.3915255970778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47.051687935175217</v>
      </c>
      <c r="C14" s="59">
        <f>'SER_se-appl'!C54</f>
        <v>46.543029173666532</v>
      </c>
      <c r="D14" s="59">
        <f>'SER_se-appl'!D54</f>
        <v>45.815061161785621</v>
      </c>
      <c r="E14" s="59">
        <f>'SER_se-appl'!E54</f>
        <v>44.97370774431667</v>
      </c>
      <c r="F14" s="59">
        <f>'SER_se-appl'!F54</f>
        <v>44.047409069071577</v>
      </c>
      <c r="G14" s="59">
        <f>'SER_se-appl'!G54</f>
        <v>42.976517198702723</v>
      </c>
      <c r="H14" s="59">
        <f>'SER_se-appl'!H54</f>
        <v>41.754632023659589</v>
      </c>
      <c r="I14" s="59">
        <f>'SER_se-appl'!I54</f>
        <v>40.814353711963278</v>
      </c>
      <c r="J14" s="59">
        <f>'SER_se-appl'!J54</f>
        <v>40.032925068610822</v>
      </c>
      <c r="K14" s="59">
        <f>'SER_se-appl'!K54</f>
        <v>39.112654780526874</v>
      </c>
      <c r="L14" s="59">
        <f>'SER_se-appl'!L54</f>
        <v>38.080656275741099</v>
      </c>
      <c r="M14" s="59">
        <f>'SER_se-appl'!M54</f>
        <v>36.663966223499187</v>
      </c>
      <c r="N14" s="59">
        <f>'SER_se-appl'!N54</f>
        <v>35.159652333679844</v>
      </c>
      <c r="O14" s="59">
        <f>'SER_se-appl'!O54</f>
        <v>33.600144241181994</v>
      </c>
      <c r="P14" s="59">
        <f>'SER_se-appl'!P54</f>
        <v>32.274608875901059</v>
      </c>
      <c r="Q14" s="59">
        <f>'SER_se-appl'!Q54</f>
        <v>30.638412172051343</v>
      </c>
      <c r="R14" s="59">
        <f>'SER_se-appl'!R54</f>
        <v>28.83075204834698</v>
      </c>
      <c r="S14" s="59">
        <f>'SER_se-appl'!S54</f>
        <v>26.726329108552669</v>
      </c>
      <c r="T14" s="59">
        <f>'SER_se-appl'!T54</f>
        <v>24.69197917193485</v>
      </c>
      <c r="U14" s="59">
        <f>'SER_se-appl'!U54</f>
        <v>22.722360732810287</v>
      </c>
      <c r="V14" s="59">
        <f>'SER_se-appl'!V54</f>
        <v>21.081119145034545</v>
      </c>
      <c r="W14" s="59">
        <f>'SER_se-appl'!W54</f>
        <v>19.317956817366078</v>
      </c>
      <c r="X14" s="59">
        <f>'SER_se-appl'!X54</f>
        <v>18.142671887826051</v>
      </c>
      <c r="Y14" s="59">
        <f>'SER_se-appl'!Y54</f>
        <v>16.785300112714985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44.364319654134853</v>
      </c>
      <c r="D15" s="63">
        <f>'SER_se-appl'!D62</f>
        <v>43.09985729131138</v>
      </c>
      <c r="E15" s="63">
        <f>'SER_se-appl'!E62</f>
        <v>42.352482777042916</v>
      </c>
      <c r="F15" s="63">
        <f>'SER_se-appl'!F62</f>
        <v>41.520107903726256</v>
      </c>
      <c r="G15" s="63">
        <f>'SER_se-appl'!G62</f>
        <v>40.691536173921541</v>
      </c>
      <c r="H15" s="63">
        <f>'SER_se-appl'!H62</f>
        <v>39.519187965827371</v>
      </c>
      <c r="I15" s="63">
        <f>'SER_se-appl'!I62</f>
        <v>38.680080807107352</v>
      </c>
      <c r="J15" s="63">
        <f>'SER_se-appl'!J62</f>
        <v>37.591553125694503</v>
      </c>
      <c r="K15" s="63">
        <f>'SER_se-appl'!K62</f>
        <v>36.51580163778862</v>
      </c>
      <c r="L15" s="63">
        <f>'SER_se-appl'!L62</f>
        <v>35.230057519466598</v>
      </c>
      <c r="M15" s="63">
        <f>'SER_se-appl'!M62</f>
        <v>33.369291663998368</v>
      </c>
      <c r="N15" s="63">
        <f>'SER_se-appl'!N62</f>
        <v>31.630485567299942</v>
      </c>
      <c r="O15" s="63">
        <f>'SER_se-appl'!O62</f>
        <v>30.157299349477885</v>
      </c>
      <c r="P15" s="63">
        <f>'SER_se-appl'!P62</f>
        <v>28.361745817453183</v>
      </c>
      <c r="Q15" s="63">
        <f>'SER_se-appl'!Q62</f>
        <v>26.512034189417751</v>
      </c>
      <c r="R15" s="63">
        <f>'SER_se-appl'!R62</f>
        <v>23.293866553898123</v>
      </c>
      <c r="S15" s="63">
        <f>'SER_se-appl'!S62</f>
        <v>21.931665014994557</v>
      </c>
      <c r="T15" s="63">
        <f>'SER_se-appl'!T62</f>
        <v>19.906338567519267</v>
      </c>
      <c r="U15" s="63">
        <f>'SER_se-appl'!U62</f>
        <v>18.297464679876029</v>
      </c>
      <c r="V15" s="63">
        <f>'SER_se-appl'!V62</f>
        <v>16.907390197607285</v>
      </c>
      <c r="W15" s="63">
        <f>'SER_se-appl'!W62</f>
        <v>16.062020687726921</v>
      </c>
      <c r="X15" s="63">
        <f>'SER_se-appl'!X62</f>
        <v>15.216651177846554</v>
      </c>
      <c r="Y15" s="63">
        <f>'SER_se-appl'!Y62</f>
        <v>14.371281667966191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11.138277828288846</v>
      </c>
      <c r="C3" s="198">
        <f>'SER_se-appl'!C7</f>
        <v>11.859087526257028</v>
      </c>
      <c r="D3" s="198">
        <f>'SER_se-appl'!D7</f>
        <v>12.436521517849238</v>
      </c>
      <c r="E3" s="198">
        <f>'SER_se-appl'!E7</f>
        <v>13.002787824742533</v>
      </c>
      <c r="F3" s="198">
        <f>'SER_se-appl'!F7</f>
        <v>13.60343317279694</v>
      </c>
      <c r="G3" s="198">
        <f>'SER_se-appl'!G7</f>
        <v>14.074379445122045</v>
      </c>
      <c r="H3" s="198">
        <f>'SER_se-appl'!H7</f>
        <v>14.429571049016172</v>
      </c>
      <c r="I3" s="198">
        <f>'SER_se-appl'!I7</f>
        <v>14.82392039591476</v>
      </c>
      <c r="J3" s="198">
        <f>'SER_se-appl'!J7</f>
        <v>15.073018041726213</v>
      </c>
      <c r="K3" s="198">
        <f>'SER_se-appl'!K7</f>
        <v>15.314783193897807</v>
      </c>
      <c r="L3" s="198">
        <f>'SER_se-appl'!L7</f>
        <v>15.394996189437443</v>
      </c>
      <c r="M3" s="198">
        <f>'SER_se-appl'!M7</f>
        <v>15.336549358063426</v>
      </c>
      <c r="N3" s="198">
        <f>'SER_se-appl'!N7</f>
        <v>15.308135189653431</v>
      </c>
      <c r="O3" s="198">
        <f>'SER_se-appl'!O7</f>
        <v>15.31265680283008</v>
      </c>
      <c r="P3" s="198">
        <f>'SER_se-appl'!P7</f>
        <v>15.371121010355715</v>
      </c>
      <c r="Q3" s="198">
        <f>'SER_se-appl'!Q7</f>
        <v>15.523707148403052</v>
      </c>
      <c r="R3" s="198">
        <f>'SER_se-appl'!R7</f>
        <v>15.571343255994575</v>
      </c>
      <c r="S3" s="198">
        <f>'SER_se-appl'!S7</f>
        <v>15.586219398229025</v>
      </c>
      <c r="T3" s="198">
        <f>'SER_se-appl'!T7</f>
        <v>15.628561073411209</v>
      </c>
      <c r="U3" s="198">
        <f>'SER_se-appl'!U7</f>
        <v>15.661212467569211</v>
      </c>
      <c r="V3" s="198">
        <f>'SER_se-appl'!V7</f>
        <v>15.695159878938989</v>
      </c>
      <c r="W3" s="198">
        <f>'SER_se-appl'!W7</f>
        <v>15.637625734967843</v>
      </c>
      <c r="X3" s="198">
        <f>'SER_se-appl'!X7</f>
        <v>15.534245180217086</v>
      </c>
      <c r="Y3" s="198">
        <f>'SER_se-appl'!Y7</f>
        <v>15.618849183563478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14.787462459246495</v>
      </c>
      <c r="C5" s="59">
        <f>'SER_se-appl'!C15</f>
        <v>15.74442784593256</v>
      </c>
      <c r="D5" s="59">
        <f>'SER_se-appl'!D15</f>
        <v>16.511043978605784</v>
      </c>
      <c r="E5" s="59">
        <f>'SER_se-appl'!E15</f>
        <v>17.262833607506355</v>
      </c>
      <c r="F5" s="59">
        <f>'SER_se-appl'!F15</f>
        <v>18.060265730551187</v>
      </c>
      <c r="G5" s="59">
        <f>'SER_se-appl'!G15</f>
        <v>18.685506044151769</v>
      </c>
      <c r="H5" s="59">
        <f>'SER_se-appl'!H15</f>
        <v>19.157067500006633</v>
      </c>
      <c r="I5" s="59">
        <f>'SER_se-appl'!I15</f>
        <v>19.680615776768114</v>
      </c>
      <c r="J5" s="59">
        <f>'SER_se-appl'!J15</f>
        <v>20.011324180967559</v>
      </c>
      <c r="K5" s="59">
        <f>'SER_se-appl'!K15</f>
        <v>20.332297779113194</v>
      </c>
      <c r="L5" s="59">
        <f>'SER_se-appl'!L15</f>
        <v>20.438790603100163</v>
      </c>
      <c r="M5" s="59">
        <f>'SER_se-appl'!M15</f>
        <v>20.361195095237171</v>
      </c>
      <c r="N5" s="59">
        <f>'SER_se-appl'!N15</f>
        <v>20.323471718683727</v>
      </c>
      <c r="O5" s="59">
        <f>'SER_se-appl'!O15</f>
        <v>20.3294747279582</v>
      </c>
      <c r="P5" s="59">
        <f>'SER_se-appl'!P15</f>
        <v>20.407093304844416</v>
      </c>
      <c r="Q5" s="59">
        <f>'SER_se-appl'!Q15</f>
        <v>20.609670563462046</v>
      </c>
      <c r="R5" s="59">
        <f>'SER_se-appl'!R15</f>
        <v>20.672913477992797</v>
      </c>
      <c r="S5" s="59">
        <f>'SER_se-appl'!S15</f>
        <v>20.692663424817763</v>
      </c>
      <c r="T5" s="59">
        <f>'SER_se-appl'!T15</f>
        <v>20.748877315499129</v>
      </c>
      <c r="U5" s="59">
        <f>'SER_se-appl'!U15</f>
        <v>20.792226141304788</v>
      </c>
      <c r="V5" s="59">
        <f>'SER_se-appl'!V15</f>
        <v>20.837295592700958</v>
      </c>
      <c r="W5" s="59">
        <f>'SER_se-appl'!W15</f>
        <v>20.760911791972152</v>
      </c>
      <c r="X5" s="59">
        <f>'SER_se-appl'!X15</f>
        <v>20.623661123964013</v>
      </c>
      <c r="Y5" s="59">
        <f>'SER_se-appl'!Y15</f>
        <v>20.735983562196722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1.5103020176155968E-2</v>
      </c>
      <c r="C6" s="201">
        <f>'SER_se-appl'!C71</f>
        <v>1.6416807742775298E-2</v>
      </c>
      <c r="D6" s="201">
        <f>'SER_se-appl'!D71</f>
        <v>1.7593331611811411E-2</v>
      </c>
      <c r="E6" s="201">
        <f>'SER_se-appl'!E71</f>
        <v>1.8792547460270027E-2</v>
      </c>
      <c r="F6" s="201">
        <f>'SER_se-appl'!F71</f>
        <v>2.0106323686655075E-2</v>
      </c>
      <c r="G6" s="201">
        <f>'SER_se-appl'!G71</f>
        <v>2.124464724245554E-2</v>
      </c>
      <c r="H6" s="201">
        <f>'SER_se-appl'!H71</f>
        <v>2.2264910186275137E-2</v>
      </c>
      <c r="I6" s="201">
        <f>'SER_se-appl'!I71</f>
        <v>2.3407310593745081E-2</v>
      </c>
      <c r="J6" s="201">
        <f>'SER_se-appl'!J71</f>
        <v>2.4306327349152515E-2</v>
      </c>
      <c r="K6" s="201">
        <f>'SER_se-appl'!K71</f>
        <v>2.5240719153193845E-2</v>
      </c>
      <c r="L6" s="201">
        <f>'SER_se-appl'!L71</f>
        <v>2.5942222893946421E-2</v>
      </c>
      <c r="M6" s="201">
        <f>'SER_se-appl'!M71</f>
        <v>2.6458924124325225E-2</v>
      </c>
      <c r="N6" s="201">
        <f>'SER_se-appl'!N71</f>
        <v>2.7011687836788544E-2</v>
      </c>
      <c r="O6" s="201">
        <f>'SER_se-appl'!O71</f>
        <v>2.768250262674574E-2</v>
      </c>
      <c r="P6" s="201">
        <f>'SER_se-appl'!P71</f>
        <v>2.8516230400530737E-2</v>
      </c>
      <c r="Q6" s="201">
        <f>'SER_se-appl'!Q71</f>
        <v>2.9447164004646757E-2</v>
      </c>
      <c r="R6" s="201">
        <f>'SER_se-appl'!R71</f>
        <v>3.0084341663699627E-2</v>
      </c>
      <c r="S6" s="201">
        <f>'SER_se-appl'!S71</f>
        <v>3.0722640519184101E-2</v>
      </c>
      <c r="T6" s="201">
        <f>'SER_se-appl'!T71</f>
        <v>3.1291071524567247E-2</v>
      </c>
      <c r="U6" s="201">
        <f>'SER_se-appl'!U71</f>
        <v>3.1776203734371809E-2</v>
      </c>
      <c r="V6" s="201">
        <f>'SER_se-appl'!V71</f>
        <v>3.2246217496493902E-2</v>
      </c>
      <c r="W6" s="201">
        <f>'SER_se-appl'!W71</f>
        <v>3.271936094262258E-2</v>
      </c>
      <c r="X6" s="201">
        <f>'SER_se-appl'!X71</f>
        <v>3.305468602451421E-2</v>
      </c>
      <c r="Y6" s="201">
        <f>'SER_se-appl'!Y71</f>
        <v>3.305468602451421E-2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21.163107021838549</v>
      </c>
      <c r="C8" s="34">
        <f>'SER_se-appl'!C23</f>
        <v>22.864016479518014</v>
      </c>
      <c r="D8" s="34">
        <f>'SER_se-appl'!D23</f>
        <v>24.340550218257206</v>
      </c>
      <c r="E8" s="34">
        <f>'SER_se-appl'!E23</f>
        <v>25.843323341888741</v>
      </c>
      <c r="F8" s="34">
        <f>'SER_se-appl'!F23</f>
        <v>27.470264736892496</v>
      </c>
      <c r="G8" s="34">
        <f>'SER_se-appl'!G23</f>
        <v>28.868288905410711</v>
      </c>
      <c r="H8" s="34">
        <f>'SER_se-appl'!H23</f>
        <v>30.073214188601824</v>
      </c>
      <c r="I8" s="34">
        <f>'SER_se-appl'!I23</f>
        <v>31.434145542552145</v>
      </c>
      <c r="J8" s="34">
        <f>'SER_se-appl'!J23</f>
        <v>32.532560777199691</v>
      </c>
      <c r="K8" s="34">
        <f>'SER_se-appl'!K23</f>
        <v>33.715038201687143</v>
      </c>
      <c r="L8" s="34">
        <f>'SER_se-appl'!L23</f>
        <v>34.588506362269818</v>
      </c>
      <c r="M8" s="34">
        <f>'SER_se-appl'!M23</f>
        <v>35.181373051150281</v>
      </c>
      <c r="N8" s="34">
        <f>'SER_se-appl'!N23</f>
        <v>35.79634792000541</v>
      </c>
      <c r="O8" s="34">
        <f>'SER_se-appl'!O23</f>
        <v>36.545720222761432</v>
      </c>
      <c r="P8" s="34">
        <f>'SER_se-appl'!P23</f>
        <v>37.522197769395959</v>
      </c>
      <c r="Q8" s="34">
        <f>'SER_se-appl'!Q23</f>
        <v>38.719192534789876</v>
      </c>
      <c r="R8" s="34">
        <f>'SER_se-appl'!R23</f>
        <v>39.589308906295543</v>
      </c>
      <c r="S8" s="34">
        <f>'SER_se-appl'!S23</f>
        <v>40.419781159456775</v>
      </c>
      <c r="T8" s="34">
        <f>'SER_se-appl'!T23</f>
        <v>41.277085053416968</v>
      </c>
      <c r="U8" s="34">
        <f>'SER_se-appl'!U23</f>
        <v>42.097750231370462</v>
      </c>
      <c r="V8" s="34">
        <f>'SER_se-appl'!V23</f>
        <v>42.854449143620478</v>
      </c>
      <c r="W8" s="34">
        <f>'SER_se-appl'!W23</f>
        <v>43.518974970232129</v>
      </c>
      <c r="X8" s="34">
        <f>'SER_se-appl'!X23</f>
        <v>44.02209862870393</v>
      </c>
      <c r="Y8" s="34">
        <f>'SER_se-appl'!Y23</f>
        <v>45.148866765907563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3.6242782798399382</v>
      </c>
      <c r="D9" s="36">
        <f>'SER_se-appl'!D31</f>
        <v>3.4404167579655365</v>
      </c>
      <c r="E9" s="36">
        <f>'SER_se-appl'!E31</f>
        <v>3.5080237384737174</v>
      </c>
      <c r="F9" s="36">
        <f>'SER_se-appl'!F31</f>
        <v>3.6744309801568527</v>
      </c>
      <c r="G9" s="36">
        <f>'SER_se-appl'!G31</f>
        <v>3.4886424534752507</v>
      </c>
      <c r="H9" s="36">
        <f>'SER_se-appl'!H31</f>
        <v>3.3395807388719199</v>
      </c>
      <c r="I9" s="36">
        <f>'SER_se-appl'!I31</f>
        <v>3.5405515874744324</v>
      </c>
      <c r="J9" s="36">
        <f>'SER_se-appl'!J31</f>
        <v>3.323947392422653</v>
      </c>
      <c r="K9" s="36">
        <f>'SER_se-appl'!K31</f>
        <v>3.4548886037885751</v>
      </c>
      <c r="L9" s="36">
        <f>'SER_se-appl'!L31</f>
        <v>3.1937458298009425</v>
      </c>
      <c r="M9" s="36">
        <f>'SER_se-appl'!M31</f>
        <v>4.217144968720401</v>
      </c>
      <c r="N9" s="36">
        <f>'SER_se-appl'!N31</f>
        <v>4.0553916268206649</v>
      </c>
      <c r="O9" s="36">
        <f>'SER_se-appl'!O31</f>
        <v>4.2573960412297396</v>
      </c>
      <c r="P9" s="36">
        <f>'SER_se-appl'!P31</f>
        <v>4.6509085267913832</v>
      </c>
      <c r="Q9" s="36">
        <f>'SER_se-appl'!Q31</f>
        <v>4.685637218869168</v>
      </c>
      <c r="R9" s="36">
        <f>'SER_se-appl'!R31</f>
        <v>4.20969711037759</v>
      </c>
      <c r="S9" s="36">
        <f>'SER_se-appl'!S31</f>
        <v>4.3710238406356652</v>
      </c>
      <c r="T9" s="36">
        <f>'SER_se-appl'!T31</f>
        <v>4.1812512863828459</v>
      </c>
      <c r="U9" s="36">
        <f>'SER_se-appl'!U31</f>
        <v>4.2755537817420688</v>
      </c>
      <c r="V9" s="36">
        <f>'SER_se-appl'!V31</f>
        <v>3.950444742050955</v>
      </c>
      <c r="W9" s="36">
        <f>'SER_se-appl'!W31</f>
        <v>4.8816707953320488</v>
      </c>
      <c r="X9" s="36">
        <f>'SER_se-appl'!X31</f>
        <v>4.5585152852924651</v>
      </c>
      <c r="Y9" s="36">
        <f>'SER_se-appl'!Y31</f>
        <v>5.3841641784333731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1.923368822160473</v>
      </c>
      <c r="D10" s="38">
        <f>'SER_se-appl'!D39</f>
        <v>1.9638830192263441</v>
      </c>
      <c r="E10" s="38">
        <f>'SER_se-appl'!E39</f>
        <v>2.0052506148421827</v>
      </c>
      <c r="F10" s="38">
        <f>'SER_se-appl'!F39</f>
        <v>2.0474895851530981</v>
      </c>
      <c r="G10" s="38">
        <f>'SER_se-appl'!G39</f>
        <v>2.0906182849570349</v>
      </c>
      <c r="H10" s="38">
        <f>'SER_se-appl'!H39</f>
        <v>2.1346554556808073</v>
      </c>
      <c r="I10" s="38">
        <f>'SER_se-appl'!I39</f>
        <v>2.1796202335241119</v>
      </c>
      <c r="J10" s="38">
        <f>'SER_se-appl'!J39</f>
        <v>2.2255321577751062</v>
      </c>
      <c r="K10" s="38">
        <f>'SER_se-appl'!K39</f>
        <v>2.2724111793011232</v>
      </c>
      <c r="L10" s="38">
        <f>'SER_se-appl'!L39</f>
        <v>2.3202776692182638</v>
      </c>
      <c r="M10" s="38">
        <f>'SER_se-appl'!M39</f>
        <v>3.6242782798399347</v>
      </c>
      <c r="N10" s="38">
        <f>'SER_se-appl'!N39</f>
        <v>3.4404167579655365</v>
      </c>
      <c r="O10" s="38">
        <f>'SER_se-appl'!O39</f>
        <v>3.5080237384737174</v>
      </c>
      <c r="P10" s="38">
        <f>'SER_se-appl'!P39</f>
        <v>3.6744309801568562</v>
      </c>
      <c r="Q10" s="38">
        <f>'SER_se-appl'!Q39</f>
        <v>3.4886424534752507</v>
      </c>
      <c r="R10" s="38">
        <f>'SER_se-appl'!R39</f>
        <v>3.3395807388719234</v>
      </c>
      <c r="S10" s="38">
        <f>'SER_se-appl'!S39</f>
        <v>3.5405515874744324</v>
      </c>
      <c r="T10" s="38">
        <f>'SER_se-appl'!T39</f>
        <v>3.323947392422653</v>
      </c>
      <c r="U10" s="38">
        <f>'SER_se-appl'!U39</f>
        <v>3.4548886037885751</v>
      </c>
      <c r="V10" s="38">
        <f>'SER_se-appl'!V39</f>
        <v>3.1937458298009389</v>
      </c>
      <c r="W10" s="38">
        <f>'SER_se-appl'!W39</f>
        <v>4.2171449687203975</v>
      </c>
      <c r="X10" s="38">
        <f>'SER_se-appl'!X39</f>
        <v>4.0553916268206649</v>
      </c>
      <c r="Y10" s="38">
        <f>'SER_se-appl'!Y39</f>
        <v>4.2573960412297396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8760</v>
      </c>
      <c r="C12" s="204">
        <f>'SER_se-appl'!C47</f>
        <v>8760</v>
      </c>
      <c r="D12" s="204">
        <f>'SER_se-appl'!D47</f>
        <v>8759.9999999999982</v>
      </c>
      <c r="E12" s="204">
        <f>'SER_se-appl'!E47</f>
        <v>8760</v>
      </c>
      <c r="F12" s="204">
        <f>'SER_se-appl'!F47</f>
        <v>8760</v>
      </c>
      <c r="G12" s="204">
        <f>'SER_se-appl'!G47</f>
        <v>8759.9999999999945</v>
      </c>
      <c r="H12" s="204">
        <f>'SER_se-appl'!H47</f>
        <v>8759.9999999999982</v>
      </c>
      <c r="I12" s="204">
        <f>'SER_se-appl'!I47</f>
        <v>8759.9999999999982</v>
      </c>
      <c r="J12" s="204">
        <f>'SER_se-appl'!J47</f>
        <v>8760.0000000000018</v>
      </c>
      <c r="K12" s="204">
        <f>'SER_se-appl'!K47</f>
        <v>8759.9999999999964</v>
      </c>
      <c r="L12" s="204">
        <f>'SER_se-appl'!L47</f>
        <v>8760.0000000000018</v>
      </c>
      <c r="M12" s="204">
        <f>'SER_se-appl'!M47</f>
        <v>8760</v>
      </c>
      <c r="N12" s="204">
        <f>'SER_se-appl'!N47</f>
        <v>8759.9999999999982</v>
      </c>
      <c r="O12" s="204">
        <f>'SER_se-appl'!O47</f>
        <v>8760</v>
      </c>
      <c r="P12" s="204">
        <f>'SER_se-appl'!P47</f>
        <v>8759.9999999999945</v>
      </c>
      <c r="Q12" s="204">
        <f>'SER_se-appl'!Q47</f>
        <v>8759.9999999999982</v>
      </c>
      <c r="R12" s="204">
        <f>'SER_se-appl'!R47</f>
        <v>8760</v>
      </c>
      <c r="S12" s="204">
        <f>'SER_se-appl'!S47</f>
        <v>8759.9999999999982</v>
      </c>
      <c r="T12" s="204">
        <f>'SER_se-appl'!T47</f>
        <v>8760</v>
      </c>
      <c r="U12" s="204">
        <f>'SER_se-appl'!U47</f>
        <v>8759.9999999999982</v>
      </c>
      <c r="V12" s="204">
        <f>'SER_se-appl'!V47</f>
        <v>8760.0000000000018</v>
      </c>
      <c r="W12" s="204">
        <f>'SER_se-appl'!W47</f>
        <v>8759.9999999999982</v>
      </c>
      <c r="X12" s="204">
        <f>'SER_se-appl'!X47</f>
        <v>8759.9999999999982</v>
      </c>
      <c r="Y12" s="204">
        <f>'SER_se-appl'!Y47</f>
        <v>8759.9999999999982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698.73778193282658</v>
      </c>
      <c r="C14" s="59">
        <f>'SER_se-appl'!C55</f>
        <v>688.61163829359089</v>
      </c>
      <c r="D14" s="59">
        <f>'SER_se-appl'!D55</f>
        <v>678.33487043449338</v>
      </c>
      <c r="E14" s="59">
        <f>'SER_se-appl'!E55</f>
        <v>667.98040558218372</v>
      </c>
      <c r="F14" s="59">
        <f>'SER_se-appl'!F55</f>
        <v>657.44782234647687</v>
      </c>
      <c r="G14" s="59">
        <f>'SER_se-appl'!G55</f>
        <v>647.26752961965781</v>
      </c>
      <c r="H14" s="59">
        <f>'SER_se-appl'!H55</f>
        <v>637.01430049560292</v>
      </c>
      <c r="I14" s="59">
        <f>'SER_se-appl'!I55</f>
        <v>626.09036883559077</v>
      </c>
      <c r="J14" s="59">
        <f>'SER_se-appl'!J55</f>
        <v>615.11678462743123</v>
      </c>
      <c r="K14" s="59">
        <f>'SER_se-appl'!K55</f>
        <v>603.06316894802569</v>
      </c>
      <c r="L14" s="59">
        <f>'SER_se-appl'!L55</f>
        <v>590.91278440966187</v>
      </c>
      <c r="M14" s="59">
        <f>'SER_se-appl'!M55</f>
        <v>578.7493019568617</v>
      </c>
      <c r="N14" s="59">
        <f>'SER_se-appl'!N55</f>
        <v>567.75265912882696</v>
      </c>
      <c r="O14" s="59">
        <f>'SER_se-appl'!O55</f>
        <v>556.27511522666839</v>
      </c>
      <c r="P14" s="59">
        <f>'SER_se-appl'!P55</f>
        <v>543.86721775367198</v>
      </c>
      <c r="Q14" s="59">
        <f>'SER_se-appl'!Q55</f>
        <v>532.28564993817713</v>
      </c>
      <c r="R14" s="59">
        <f>'SER_se-appl'!R55</f>
        <v>522.18424744225229</v>
      </c>
      <c r="S14" s="59">
        <f>'SER_se-appl'!S55</f>
        <v>511.943974738132</v>
      </c>
      <c r="T14" s="59">
        <f>'SER_se-appl'!T55</f>
        <v>502.67302762895832</v>
      </c>
      <c r="U14" s="59">
        <f>'SER_se-appl'!U55</f>
        <v>493.90349904757636</v>
      </c>
      <c r="V14" s="59">
        <f>'SER_se-appl'!V55</f>
        <v>486.23412525658136</v>
      </c>
      <c r="W14" s="59">
        <f>'SER_se-appl'!W55</f>
        <v>477.05424601965098</v>
      </c>
      <c r="X14" s="59">
        <f>'SER_se-appl'!X55</f>
        <v>468.48427872351982</v>
      </c>
      <c r="Y14" s="59">
        <f>'SER_se-appl'!Y55</f>
        <v>459.28026653937428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634.85628686957261</v>
      </c>
      <c r="D15" s="63">
        <f>'SER_se-appl'!D63</f>
        <v>621.68497248216443</v>
      </c>
      <c r="E15" s="63">
        <f>'SER_se-appl'!E63</f>
        <v>613.71705445515181</v>
      </c>
      <c r="F15" s="63">
        <f>'SER_se-appl'!F63</f>
        <v>606.37700540238552</v>
      </c>
      <c r="G15" s="63">
        <f>'SER_se-appl'!G63</f>
        <v>597.9501553166167</v>
      </c>
      <c r="H15" s="63">
        <f>'SER_se-appl'!H63</f>
        <v>587.83602722873809</v>
      </c>
      <c r="I15" s="63">
        <f>'SER_se-appl'!I63</f>
        <v>578.02611644754404</v>
      </c>
      <c r="J15" s="63">
        <f>'SER_se-appl'!J63</f>
        <v>567.32901731304389</v>
      </c>
      <c r="K15" s="63">
        <f>'SER_se-appl'!K63</f>
        <v>552.49050377969024</v>
      </c>
      <c r="L15" s="63">
        <f>'SER_se-appl'!L63</f>
        <v>540.98184017120093</v>
      </c>
      <c r="M15" s="63">
        <f>'SER_se-appl'!M63</f>
        <v>527.20510201783316</v>
      </c>
      <c r="N15" s="63">
        <f>'SER_se-appl'!N63</f>
        <v>518.10828997464057</v>
      </c>
      <c r="O15" s="63">
        <f>'SER_se-appl'!O63</f>
        <v>507.10269472269158</v>
      </c>
      <c r="P15" s="63">
        <f>'SER_se-appl'!P63</f>
        <v>495.75454299080025</v>
      </c>
      <c r="Q15" s="63">
        <f>'SER_se-appl'!Q63</f>
        <v>488.43123114632135</v>
      </c>
      <c r="R15" s="63">
        <f>'SER_se-appl'!R63</f>
        <v>481.35738404634952</v>
      </c>
      <c r="S15" s="63">
        <f>'SER_se-appl'!S63</f>
        <v>472.72248021289914</v>
      </c>
      <c r="T15" s="63">
        <f>'SER_se-appl'!T63</f>
        <v>464.45084626921766</v>
      </c>
      <c r="U15" s="63">
        <f>'SER_se-appl'!U63</f>
        <v>456.58225125170077</v>
      </c>
      <c r="V15" s="63">
        <f>'SER_se-appl'!V63</f>
        <v>448.76667393164985</v>
      </c>
      <c r="W15" s="63">
        <f>'SER_se-appl'!W63</f>
        <v>439.79134045301686</v>
      </c>
      <c r="X15" s="63">
        <f>'SER_se-appl'!X63</f>
        <v>430.81600697438381</v>
      </c>
      <c r="Y15" s="63">
        <f>'SER_se-appl'!Y63</f>
        <v>421.84067349575082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3.2509643371005725</v>
      </c>
      <c r="C3" s="198">
        <f>'SER_se-appl'!C8</f>
        <v>3.6293461970076524</v>
      </c>
      <c r="D3" s="198">
        <f>'SER_se-appl'!D8</f>
        <v>4.1054704628621765</v>
      </c>
      <c r="E3" s="198">
        <f>'SER_se-appl'!E8</f>
        <v>4.7372046713090636</v>
      </c>
      <c r="F3" s="198">
        <f>'SER_se-appl'!F8</f>
        <v>5.378657222815904</v>
      </c>
      <c r="G3" s="198">
        <f>'SER_se-appl'!G8</f>
        <v>6.2089025199323427</v>
      </c>
      <c r="H3" s="198">
        <f>'SER_se-appl'!H8</f>
        <v>7.2900198961446465</v>
      </c>
      <c r="I3" s="198">
        <f>'SER_se-appl'!I8</f>
        <v>8.1368380580637822</v>
      </c>
      <c r="J3" s="198">
        <f>'SER_se-appl'!J8</f>
        <v>8.5557012069178331</v>
      </c>
      <c r="K3" s="198">
        <f>'SER_se-appl'!K8</f>
        <v>8.782867521167578</v>
      </c>
      <c r="L3" s="198">
        <f>'SER_se-appl'!L8</f>
        <v>9.1540072335029166</v>
      </c>
      <c r="M3" s="198">
        <f>'SER_se-appl'!M8</f>
        <v>9.6015605141809033</v>
      </c>
      <c r="N3" s="198">
        <f>'SER_se-appl'!N8</f>
        <v>9.9515213263843822</v>
      </c>
      <c r="O3" s="198">
        <f>'SER_se-appl'!O8</f>
        <v>10.12434716502173</v>
      </c>
      <c r="P3" s="198">
        <f>'SER_se-appl'!P8</f>
        <v>10.319235752872714</v>
      </c>
      <c r="Q3" s="198">
        <f>'SER_se-appl'!Q8</f>
        <v>10.555308238607674</v>
      </c>
      <c r="R3" s="198">
        <f>'SER_se-appl'!R8</f>
        <v>10.941860934182525</v>
      </c>
      <c r="S3" s="198">
        <f>'SER_se-appl'!S8</f>
        <v>10.935910080705336</v>
      </c>
      <c r="T3" s="198">
        <f>'SER_se-appl'!T8</f>
        <v>10.989101842772991</v>
      </c>
      <c r="U3" s="198">
        <f>'SER_se-appl'!U8</f>
        <v>10.871923788546093</v>
      </c>
      <c r="V3" s="198">
        <f>'SER_se-appl'!V8</f>
        <v>10.768157102894282</v>
      </c>
      <c r="W3" s="198">
        <f>'SER_se-appl'!W8</f>
        <v>12.149024327071736</v>
      </c>
      <c r="X3" s="198">
        <f>'SER_se-appl'!X8</f>
        <v>11.705888933439425</v>
      </c>
      <c r="Y3" s="198">
        <f>'SER_se-appl'!Y8</f>
        <v>11.561569364881217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41.632966922322971</v>
      </c>
      <c r="C5" s="59">
        <f>'SER_se-appl'!C16</f>
        <v>46.257687581773432</v>
      </c>
      <c r="D5" s="59">
        <f>'SER_se-appl'!D16</f>
        <v>52.098956608731996</v>
      </c>
      <c r="E5" s="59">
        <f>'SER_se-appl'!E16</f>
        <v>59.875635701256435</v>
      </c>
      <c r="F5" s="59">
        <f>'SER_se-appl'!F16</f>
        <v>67.731800775622204</v>
      </c>
      <c r="G5" s="59">
        <f>'SER_se-appl'!G16</f>
        <v>77.91757624266458</v>
      </c>
      <c r="H5" s="59">
        <f>'SER_se-appl'!H16</f>
        <v>91.190137508198987</v>
      </c>
      <c r="I5" s="59">
        <f>'SER_se-appl'!I16</f>
        <v>101.47484173965259</v>
      </c>
      <c r="J5" s="59">
        <f>'SER_se-appl'!J16</f>
        <v>106.39400075063055</v>
      </c>
      <c r="K5" s="59">
        <f>'SER_se-appl'!K16</f>
        <v>108.92405682689358</v>
      </c>
      <c r="L5" s="59">
        <f>'SER_se-appl'!L16</f>
        <v>113.23610112824143</v>
      </c>
      <c r="M5" s="59">
        <f>'SER_se-appl'!M16</f>
        <v>118.57937849937993</v>
      </c>
      <c r="N5" s="59">
        <f>'SER_se-appl'!N16</f>
        <v>122.71096691930184</v>
      </c>
      <c r="O5" s="59">
        <f>'SER_se-appl'!O16</f>
        <v>124.65721607990208</v>
      </c>
      <c r="P5" s="59">
        <f>'SER_se-appl'!P16</f>
        <v>126.87668293053119</v>
      </c>
      <c r="Q5" s="59">
        <f>'SER_se-appl'!Q16</f>
        <v>129.60275775177612</v>
      </c>
      <c r="R5" s="59">
        <f>'SER_se-appl'!R16</f>
        <v>130.94748197050365</v>
      </c>
      <c r="S5" s="59">
        <f>'SER_se-appl'!S16</f>
        <v>133.9288504051716</v>
      </c>
      <c r="T5" s="59">
        <f>'SER_se-appl'!T16</f>
        <v>135.73120636178598</v>
      </c>
      <c r="U5" s="59">
        <f>'SER_se-appl'!U16</f>
        <v>136.87828969047126</v>
      </c>
      <c r="V5" s="59">
        <f>'SER_se-appl'!V16</f>
        <v>138.38844966113817</v>
      </c>
      <c r="W5" s="59">
        <f>'SER_se-appl'!W16</f>
        <v>138.48816324772912</v>
      </c>
      <c r="X5" s="59">
        <f>'SER_se-appl'!X16</f>
        <v>138.72593916065634</v>
      </c>
      <c r="Y5" s="59">
        <f>'SER_se-appl'!Y16</f>
        <v>139.786012941775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58.962572072489237</v>
      </c>
      <c r="C6" s="201">
        <f>'SER_se-appl'!C72</f>
        <v>63.851900912060394</v>
      </c>
      <c r="D6" s="201">
        <f>'SER_se-appl'!D72</f>
        <v>70.08660552667456</v>
      </c>
      <c r="E6" s="201">
        <f>'SER_se-appl'!E72</f>
        <v>78.450991599943606</v>
      </c>
      <c r="F6" s="201">
        <f>'SER_se-appl'!F72</f>
        <v>87.378374792494512</v>
      </c>
      <c r="G6" s="201">
        <f>'SER_se-appl'!G72</f>
        <v>96.888580574278521</v>
      </c>
      <c r="H6" s="201">
        <f>'SER_se-appl'!H72</f>
        <v>108.55443136592693</v>
      </c>
      <c r="I6" s="201">
        <f>'SER_se-appl'!I72</f>
        <v>118.13829551136166</v>
      </c>
      <c r="J6" s="201">
        <f>'SER_se-appl'!J72</f>
        <v>127.19929019051104</v>
      </c>
      <c r="K6" s="201">
        <f>'SER_se-appl'!K72</f>
        <v>132.59500090060499</v>
      </c>
      <c r="L6" s="201">
        <f>'SER_se-appl'!L72</f>
        <v>138.75684616747264</v>
      </c>
      <c r="M6" s="201">
        <f>'SER_se-appl'!M72</f>
        <v>143.36245818667285</v>
      </c>
      <c r="N6" s="201">
        <f>'SER_se-appl'!N72</f>
        <v>147.94703565219731</v>
      </c>
      <c r="O6" s="201">
        <f>'SER_se-appl'!O72</f>
        <v>151.44200768647943</v>
      </c>
      <c r="P6" s="201">
        <f>'SER_se-appl'!P72</f>
        <v>154.7494234101074</v>
      </c>
      <c r="Q6" s="201">
        <f>'SER_se-appl'!Q72</f>
        <v>157.55128016130749</v>
      </c>
      <c r="R6" s="201">
        <f>'SER_se-appl'!R72</f>
        <v>160.11147970964359</v>
      </c>
      <c r="S6" s="201">
        <f>'SER_se-appl'!S72</f>
        <v>164.44982692031655</v>
      </c>
      <c r="T6" s="201">
        <f>'SER_se-appl'!T72</f>
        <v>168.47405236463456</v>
      </c>
      <c r="U6" s="201">
        <f>'SER_se-appl'!U72</f>
        <v>172.07470697458038</v>
      </c>
      <c r="V6" s="201">
        <f>'SER_se-appl'!V72</f>
        <v>177.32352579757699</v>
      </c>
      <c r="W6" s="201">
        <f>'SER_se-appl'!W72</f>
        <v>181.84644191546303</v>
      </c>
      <c r="X6" s="201">
        <f>'SER_se-appl'!X72</f>
        <v>185.54769679356312</v>
      </c>
      <c r="Y6" s="201">
        <f>'SER_se-appl'!Y72</f>
        <v>188.56286828985498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0.76055266592419346</v>
      </c>
      <c r="C8" s="34">
        <f>'SER_se-appl'!C24</f>
        <v>0.85200848096074755</v>
      </c>
      <c r="D8" s="34">
        <f>'SER_se-appl'!D24</f>
        <v>0.96862774212132596</v>
      </c>
      <c r="E8" s="34">
        <f>'SER_se-appl'!E24</f>
        <v>1.1254762282743014</v>
      </c>
      <c r="F8" s="34">
        <f>'SER_se-appl'!F24</f>
        <v>1.2864879100297966</v>
      </c>
      <c r="G8" s="34">
        <f>'SER_se-appl'!G24</f>
        <v>1.4975868730478343</v>
      </c>
      <c r="H8" s="34">
        <f>'SER_se-appl'!H24</f>
        <v>1.776076348956233</v>
      </c>
      <c r="I8" s="34">
        <f>'SER_se-appl'!I24</f>
        <v>1.9973250174920398</v>
      </c>
      <c r="J8" s="34">
        <f>'SER_se-appl'!J24</f>
        <v>2.109847861971188</v>
      </c>
      <c r="K8" s="34">
        <f>'SER_se-appl'!K24</f>
        <v>2.1742292107203389</v>
      </c>
      <c r="L8" s="34">
        <f>'SER_se-appl'!L24</f>
        <v>2.2818887646564181</v>
      </c>
      <c r="M8" s="34">
        <f>'SER_se-appl'!M24</f>
        <v>2.4195505669535815</v>
      </c>
      <c r="N8" s="34">
        <f>'SER_se-appl'!N24</f>
        <v>2.5366224740563492</v>
      </c>
      <c r="O8" s="34">
        <f>'SER_se-appl'!O24</f>
        <v>2.6087057519510406</v>
      </c>
      <c r="P8" s="34">
        <f>'SER_se-appl'!P24</f>
        <v>2.6954553458157822</v>
      </c>
      <c r="Q8" s="34">
        <f>'SER_se-appl'!Q24</f>
        <v>2.80545027495568</v>
      </c>
      <c r="R8" s="34">
        <f>'SER_se-appl'!R24</f>
        <v>2.8791557831260821</v>
      </c>
      <c r="S8" s="34">
        <f>'SER_se-appl'!S24</f>
        <v>3.0072665954826125</v>
      </c>
      <c r="T8" s="34">
        <f>'SER_se-appl'!T24</f>
        <v>3.1206857391339744</v>
      </c>
      <c r="U8" s="34">
        <f>'SER_se-appl'!U24</f>
        <v>3.2199313743384814</v>
      </c>
      <c r="V8" s="34">
        <f>'SER_se-appl'!V24</f>
        <v>3.3494435880718951</v>
      </c>
      <c r="W8" s="34">
        <f>'SER_se-appl'!W24</f>
        <v>3.4641596321859338</v>
      </c>
      <c r="X8" s="34">
        <f>'SER_se-appl'!X24</f>
        <v>3.5623280150390233</v>
      </c>
      <c r="Y8" s="34">
        <f>'SER_se-appl'!Y24</f>
        <v>3.6459655948659617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0.11311822177282482</v>
      </c>
      <c r="D9" s="36">
        <f>'SER_se-appl'!D32</f>
        <v>0.14071937050268413</v>
      </c>
      <c r="E9" s="36">
        <f>'SER_se-appl'!E32</f>
        <v>0.183660616373435</v>
      </c>
      <c r="F9" s="36">
        <f>'SER_se-appl'!F32</f>
        <v>0.1908410205669544</v>
      </c>
      <c r="G9" s="36">
        <f>'SER_se-appl'!G32</f>
        <v>0.24428504135693263</v>
      </c>
      <c r="H9" s="36">
        <f>'SER_se-appl'!H32</f>
        <v>0.3154100326286231</v>
      </c>
      <c r="I9" s="36">
        <f>'SER_se-appl'!I32</f>
        <v>0.26232395000206221</v>
      </c>
      <c r="J9" s="36">
        <f>'SER_se-appl'!J32</f>
        <v>0.15822038799987981</v>
      </c>
      <c r="K9" s="36">
        <f>'SER_se-appl'!K32</f>
        <v>0.11522130429625399</v>
      </c>
      <c r="L9" s="36">
        <f>'SER_se-appl'!L32</f>
        <v>0.16422060472557742</v>
      </c>
      <c r="M9" s="36">
        <f>'SER_se-appl'!M32</f>
        <v>0.20058775162157216</v>
      </c>
      <c r="N9" s="36">
        <f>'SER_se-appl'!N32</f>
        <v>0.18707900638942521</v>
      </c>
      <c r="O9" s="36">
        <f>'SER_se-appl'!O32</f>
        <v>0.1499683794013098</v>
      </c>
      <c r="P9" s="36">
        <f>'SER_se-appl'!P32</f>
        <v>0.17339922080982451</v>
      </c>
      <c r="Q9" s="36">
        <f>'SER_se-appl'!Q32</f>
        <v>0.20639536650832069</v>
      </c>
      <c r="R9" s="36">
        <f>'SER_se-appl'!R32</f>
        <v>0.18682372994322716</v>
      </c>
      <c r="S9" s="36">
        <f>'SER_se-appl'!S32</f>
        <v>0.26883018285921478</v>
      </c>
      <c r="T9" s="36">
        <f>'SER_se-appl'!T32</f>
        <v>0.29707976002479697</v>
      </c>
      <c r="U9" s="36">
        <f>'SER_se-appl'!U32</f>
        <v>0.2900866557714612</v>
      </c>
      <c r="V9" s="36">
        <f>'SER_se-appl'!V32</f>
        <v>0.37379725509034634</v>
      </c>
      <c r="W9" s="36">
        <f>'SER_se-appl'!W32</f>
        <v>0.43012607674266201</v>
      </c>
      <c r="X9" s="36">
        <f>'SER_se-appl'!X32</f>
        <v>0.3604923328551517</v>
      </c>
      <c r="Y9" s="36">
        <f>'SER_se-appl'!Y32</f>
        <v>0.24185796782681823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2.1662406736270734E-2</v>
      </c>
      <c r="D10" s="38">
        <f>'SER_se-appl'!D40</f>
        <v>2.4100109342105713E-2</v>
      </c>
      <c r="E10" s="38">
        <f>'SER_se-appl'!E40</f>
        <v>2.6812130220459585E-2</v>
      </c>
      <c r="F10" s="38">
        <f>'SER_se-appl'!F40</f>
        <v>2.9829338811459216E-2</v>
      </c>
      <c r="G10" s="38">
        <f>'SER_se-appl'!G40</f>
        <v>3.3186078338894864E-2</v>
      </c>
      <c r="H10" s="38">
        <f>'SER_se-appl'!H40</f>
        <v>3.6920556720224429E-2</v>
      </c>
      <c r="I10" s="38">
        <f>'SER_se-appl'!I40</f>
        <v>4.1075281466255387E-2</v>
      </c>
      <c r="J10" s="38">
        <f>'SER_se-appl'!J40</f>
        <v>4.5697543520731632E-2</v>
      </c>
      <c r="K10" s="38">
        <f>'SER_se-appl'!K40</f>
        <v>5.0839955547103077E-2</v>
      </c>
      <c r="L10" s="38">
        <f>'SER_se-appl'!L40</f>
        <v>5.6561050789498246E-2</v>
      </c>
      <c r="M10" s="38">
        <f>'SER_se-appl'!M40</f>
        <v>6.2925949324408759E-2</v>
      </c>
      <c r="N10" s="38">
        <f>'SER_se-appl'!N40</f>
        <v>7.0007099286657493E-2</v>
      </c>
      <c r="O10" s="38">
        <f>'SER_se-appl'!O40</f>
        <v>7.7885101506618426E-2</v>
      </c>
      <c r="P10" s="38">
        <f>'SER_se-appl'!P40</f>
        <v>8.6649626945082936E-2</v>
      </c>
      <c r="Q10" s="38">
        <f>'SER_se-appl'!Q40</f>
        <v>9.6400437368422853E-2</v>
      </c>
      <c r="R10" s="38">
        <f>'SER_se-appl'!R40</f>
        <v>0.11311822177282504</v>
      </c>
      <c r="S10" s="38">
        <f>'SER_se-appl'!S40</f>
        <v>0.14071937050268435</v>
      </c>
      <c r="T10" s="38">
        <f>'SER_se-appl'!T40</f>
        <v>0.18366061637343511</v>
      </c>
      <c r="U10" s="38">
        <f>'SER_se-appl'!U40</f>
        <v>0.19084102056695418</v>
      </c>
      <c r="V10" s="38">
        <f>'SER_se-appl'!V40</f>
        <v>0.24428504135693263</v>
      </c>
      <c r="W10" s="38">
        <f>'SER_se-appl'!W40</f>
        <v>0.31541003262862333</v>
      </c>
      <c r="X10" s="38">
        <f>'SER_se-appl'!X40</f>
        <v>0.26232395000206221</v>
      </c>
      <c r="Y10" s="38">
        <f>'SER_se-appl'!Y40</f>
        <v>0.15822038799987981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908.14366679707348</v>
      </c>
      <c r="C12" s="204">
        <f>'SER_se-appl'!C48</f>
        <v>912.48176201160572</v>
      </c>
      <c r="D12" s="204">
        <f>'SER_se-appl'!D48</f>
        <v>916.46022475399423</v>
      </c>
      <c r="E12" s="204">
        <f>'SER_se-appl'!E48</f>
        <v>920.13537196012294</v>
      </c>
      <c r="F12" s="204">
        <f>'SER_se-appl'!F48</f>
        <v>923.55116481508196</v>
      </c>
      <c r="G12" s="204">
        <f>'SER_se-appl'!G48</f>
        <v>926.74258862885495</v>
      </c>
      <c r="H12" s="204">
        <f>'SER_se-appl'!H48</f>
        <v>929.7379487396795</v>
      </c>
      <c r="I12" s="204">
        <f>'SER_se-appl'!I48</f>
        <v>932.56047501972455</v>
      </c>
      <c r="J12" s="204">
        <f>'SER_se-appl'!J48</f>
        <v>935.2294709705676</v>
      </c>
      <c r="K12" s="204">
        <f>'SER_se-appl'!K48</f>
        <v>937.76115439320643</v>
      </c>
      <c r="L12" s="204">
        <f>'SER_se-appl'!L48</f>
        <v>940.1692840437014</v>
      </c>
      <c r="M12" s="204">
        <f>'SER_se-appl'!M48</f>
        <v>941.69956187203172</v>
      </c>
      <c r="N12" s="204">
        <f>'SER_se-appl'!N48</f>
        <v>943.16095725952289</v>
      </c>
      <c r="O12" s="204">
        <f>'SER_se-appl'!O48</f>
        <v>944.55949869545009</v>
      </c>
      <c r="P12" s="204">
        <f>'SER_se-appl'!P48</f>
        <v>945.90045258056</v>
      </c>
      <c r="Q12" s="204">
        <f>'SER_se-appl'!Q48</f>
        <v>947.18844679310018</v>
      </c>
      <c r="R12" s="204">
        <f>'SER_se-appl'!R48</f>
        <v>971.79297188171302</v>
      </c>
      <c r="S12" s="204">
        <f>'SER_se-appl'!S48</f>
        <v>949.64329085058637</v>
      </c>
      <c r="T12" s="204">
        <f>'SER_se-appl'!T48</f>
        <v>941.59079446178009</v>
      </c>
      <c r="U12" s="204">
        <f>'SER_se-appl'!U48</f>
        <v>923.74381610638409</v>
      </c>
      <c r="V12" s="204">
        <f>'SER_se-appl'!V48</f>
        <v>904.94306001195298</v>
      </c>
      <c r="W12" s="204">
        <f>'SER_se-appl'!W48</f>
        <v>1020.2543640577973</v>
      </c>
      <c r="X12" s="204">
        <f>'SER_se-appl'!X48</f>
        <v>981.3556795477125</v>
      </c>
      <c r="Y12" s="204">
        <f>'SER_se-appl'!Y48</f>
        <v>961.90633729267006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54.74041284403657</v>
      </c>
      <c r="C14" s="59">
        <f>'SER_se-appl'!C56</f>
        <v>54.292520104508846</v>
      </c>
      <c r="D14" s="59">
        <f>'SER_se-appl'!D56</f>
        <v>53.78635604079809</v>
      </c>
      <c r="E14" s="59">
        <f>'SER_se-appl'!E56</f>
        <v>53.200266871086264</v>
      </c>
      <c r="F14" s="59">
        <f>'SER_se-appl'!F56</f>
        <v>52.648610412556039</v>
      </c>
      <c r="G14" s="59">
        <f>'SER_se-appl'!G56</f>
        <v>52.028752151178757</v>
      </c>
      <c r="H14" s="59">
        <f>'SER_se-appl'!H56</f>
        <v>51.343590922647969</v>
      </c>
      <c r="I14" s="59">
        <f>'SER_se-appl'!I56</f>
        <v>50.805372611349171</v>
      </c>
      <c r="J14" s="59">
        <f>'SER_se-appl'!J56</f>
        <v>50.427333016907106</v>
      </c>
      <c r="K14" s="59">
        <f>'SER_se-appl'!K56</f>
        <v>50.097780072969492</v>
      </c>
      <c r="L14" s="59">
        <f>'SER_se-appl'!L56</f>
        <v>49.623847964075182</v>
      </c>
      <c r="M14" s="59">
        <f>'SER_se-appl'!M56</f>
        <v>49.008844914814645</v>
      </c>
      <c r="N14" s="59">
        <f>'SER_se-appl'!N56</f>
        <v>48.375731183628986</v>
      </c>
      <c r="O14" s="59">
        <f>'SER_se-appl'!O56</f>
        <v>47.785081160139065</v>
      </c>
      <c r="P14" s="59">
        <f>'SER_se-appl'!P56</f>
        <v>47.07059351863677</v>
      </c>
      <c r="Q14" s="59">
        <f>'SER_se-appl'!Q56</f>
        <v>46.19677593602102</v>
      </c>
      <c r="R14" s="59">
        <f>'SER_se-appl'!R56</f>
        <v>45.481207629663466</v>
      </c>
      <c r="S14" s="59">
        <f>'SER_se-appl'!S56</f>
        <v>44.535077337790341</v>
      </c>
      <c r="T14" s="59">
        <f>'SER_se-appl'!T56</f>
        <v>43.494032308249317</v>
      </c>
      <c r="U14" s="59">
        <f>'SER_se-appl'!U56</f>
        <v>42.509691598191971</v>
      </c>
      <c r="V14" s="59">
        <f>'SER_se-appl'!V56</f>
        <v>41.316847417275469</v>
      </c>
      <c r="W14" s="59">
        <f>'SER_se-appl'!W56</f>
        <v>39.977419620336931</v>
      </c>
      <c r="X14" s="59">
        <f>'SER_se-appl'!X56</f>
        <v>38.942494507804803</v>
      </c>
      <c r="Y14" s="59">
        <f>'SER_se-appl'!Y56</f>
        <v>38.339915532558393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51.366876674021938</v>
      </c>
      <c r="D15" s="63">
        <f>'SER_se-appl'!D64</f>
        <v>50.885098024193269</v>
      </c>
      <c r="E15" s="63">
        <f>'SER_se-appl'!E64</f>
        <v>50.334069179120966</v>
      </c>
      <c r="F15" s="63">
        <f>'SER_se-appl'!F64</f>
        <v>49.722200015381731</v>
      </c>
      <c r="G15" s="63">
        <f>'SER_se-appl'!G64</f>
        <v>49.132746849001471</v>
      </c>
      <c r="H15" s="63">
        <f>'SER_se-appl'!H64</f>
        <v>48.48801940564298</v>
      </c>
      <c r="I15" s="63">
        <f>'SER_se-appl'!I64</f>
        <v>47.777498381306344</v>
      </c>
      <c r="J15" s="63">
        <f>'SER_se-appl'!J64</f>
        <v>46.900791377573732</v>
      </c>
      <c r="K15" s="63">
        <f>'SER_se-appl'!K64</f>
        <v>46.111752200123661</v>
      </c>
      <c r="L15" s="63">
        <f>'SER_se-appl'!L64</f>
        <v>45.111388944384295</v>
      </c>
      <c r="M15" s="63">
        <f>'SER_se-appl'!M64</f>
        <v>43.810600321891577</v>
      </c>
      <c r="N15" s="63">
        <f>'SER_se-appl'!N64</f>
        <v>42.569212284084315</v>
      </c>
      <c r="O15" s="63">
        <f>'SER_se-appl'!O64</f>
        <v>41.406807196704293</v>
      </c>
      <c r="P15" s="63">
        <f>'SER_se-appl'!P64</f>
        <v>40.154178143747494</v>
      </c>
      <c r="Q15" s="63">
        <f>'SER_se-appl'!Q64</f>
        <v>38.775456525645573</v>
      </c>
      <c r="R15" s="63">
        <f>'SER_se-appl'!R64</f>
        <v>38.299492084283258</v>
      </c>
      <c r="S15" s="63">
        <f>'SER_se-appl'!S64</f>
        <v>37.725999695172113</v>
      </c>
      <c r="T15" s="63">
        <f>'SER_se-appl'!T64</f>
        <v>37.184431971106996</v>
      </c>
      <c r="U15" s="63">
        <f>'SER_se-appl'!U64</f>
        <v>36.665315390565318</v>
      </c>
      <c r="V15" s="63">
        <f>'SER_se-appl'!V64</f>
        <v>36.149422936208943</v>
      </c>
      <c r="W15" s="63">
        <f>'SER_se-appl'!W64</f>
        <v>35.787928706846856</v>
      </c>
      <c r="X15" s="63">
        <f>'SER_se-appl'!X64</f>
        <v>35.426434477484761</v>
      </c>
      <c r="Y15" s="63">
        <f>'SER_se-appl'!Y64</f>
        <v>35.064940248122674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7.201307773434162</v>
      </c>
      <c r="C3" s="198">
        <f>'SER_se-appl'!C9</f>
        <v>9.066125974335403</v>
      </c>
      <c r="D3" s="198">
        <f>'SER_se-appl'!D9</f>
        <v>10.751989692883352</v>
      </c>
      <c r="E3" s="198">
        <f>'SER_se-appl'!E9</f>
        <v>12.882208250095781</v>
      </c>
      <c r="F3" s="198">
        <f>'SER_se-appl'!F9</f>
        <v>14.773457974149858</v>
      </c>
      <c r="G3" s="198">
        <f>'SER_se-appl'!G9</f>
        <v>16.926641394767472</v>
      </c>
      <c r="H3" s="198">
        <f>'SER_se-appl'!H9</f>
        <v>18.691145924040249</v>
      </c>
      <c r="I3" s="198">
        <f>'SER_se-appl'!I9</f>
        <v>20.220649921560881</v>
      </c>
      <c r="J3" s="198">
        <f>'SER_se-appl'!J9</f>
        <v>21.339224072602832</v>
      </c>
      <c r="K3" s="198">
        <f>'SER_se-appl'!K9</f>
        <v>22.432458312796168</v>
      </c>
      <c r="L3" s="198">
        <f>'SER_se-appl'!L9</f>
        <v>23.292340561517467</v>
      </c>
      <c r="M3" s="198">
        <f>'SER_se-appl'!M9</f>
        <v>23.265474550932112</v>
      </c>
      <c r="N3" s="198">
        <f>'SER_se-appl'!N9</f>
        <v>24.210508186315945</v>
      </c>
      <c r="O3" s="198">
        <f>'SER_se-appl'!O9</f>
        <v>25.689220618251465</v>
      </c>
      <c r="P3" s="198">
        <f>'SER_se-appl'!P9</f>
        <v>27.348491114092454</v>
      </c>
      <c r="Q3" s="198">
        <f>'SER_se-appl'!Q9</f>
        <v>29.79843435211167</v>
      </c>
      <c r="R3" s="198">
        <f>'SER_se-appl'!R9</f>
        <v>30.821343407082061</v>
      </c>
      <c r="S3" s="198">
        <f>'SER_se-appl'!S9</f>
        <v>32.578706407943812</v>
      </c>
      <c r="T3" s="198">
        <f>'SER_se-appl'!T9</f>
        <v>33.573870981113927</v>
      </c>
      <c r="U3" s="198">
        <f>'SER_se-appl'!U9</f>
        <v>35.160871556453358</v>
      </c>
      <c r="V3" s="198">
        <f>'SER_se-appl'!V9</f>
        <v>36.645781735221711</v>
      </c>
      <c r="W3" s="198">
        <f>'SER_se-appl'!W9</f>
        <v>40.530267087956922</v>
      </c>
      <c r="X3" s="198">
        <f>'SER_se-appl'!X9</f>
        <v>41.097529756765653</v>
      </c>
      <c r="Y3" s="198">
        <f>'SER_se-appl'!Y9</f>
        <v>44.394942760989402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28.717949930033576</v>
      </c>
      <c r="C5" s="59">
        <f>'SER_se-appl'!C17</f>
        <v>36.938593303598665</v>
      </c>
      <c r="D5" s="59">
        <f>'SER_se-appl'!D17</f>
        <v>43.496429583110043</v>
      </c>
      <c r="E5" s="59">
        <f>'SER_se-appl'!E17</f>
        <v>53.048027093142053</v>
      </c>
      <c r="F5" s="59">
        <f>'SER_se-appl'!F17</f>
        <v>60.908491793550972</v>
      </c>
      <c r="G5" s="59">
        <f>'SER_se-appl'!G17</f>
        <v>70.709298838105852</v>
      </c>
      <c r="H5" s="59">
        <f>'SER_se-appl'!H17</f>
        <v>78.122717514530621</v>
      </c>
      <c r="I5" s="59">
        <f>'SER_se-appl'!I17</f>
        <v>84.404711103905342</v>
      </c>
      <c r="J5" s="59">
        <f>'SER_se-appl'!J17</f>
        <v>88.389801068632096</v>
      </c>
      <c r="K5" s="59">
        <f>'SER_se-appl'!K17</f>
        <v>92.287827191317845</v>
      </c>
      <c r="L5" s="59">
        <f>'SER_se-appl'!L17</f>
        <v>94.587736343558646</v>
      </c>
      <c r="M5" s="59">
        <f>'SER_se-appl'!M17</f>
        <v>93.567422297902851</v>
      </c>
      <c r="N5" s="59">
        <f>'SER_se-appl'!N17</f>
        <v>95.359008577339878</v>
      </c>
      <c r="O5" s="59">
        <f>'SER_se-appl'!O17</f>
        <v>99.430283998217973</v>
      </c>
      <c r="P5" s="59">
        <f>'SER_se-appl'!P17</f>
        <v>105.16939567191483</v>
      </c>
      <c r="Q5" s="59">
        <f>'SER_se-appl'!Q17</f>
        <v>115.52569510204313</v>
      </c>
      <c r="R5" s="59">
        <f>'SER_se-appl'!R17</f>
        <v>117.70017863712218</v>
      </c>
      <c r="S5" s="59">
        <f>'SER_se-appl'!S17</f>
        <v>122.37721346401119</v>
      </c>
      <c r="T5" s="59">
        <f>'SER_se-appl'!T17</f>
        <v>125.3249654393565</v>
      </c>
      <c r="U5" s="59">
        <f>'SER_se-appl'!U17</f>
        <v>129.12799251260952</v>
      </c>
      <c r="V5" s="59">
        <f>'SER_se-appl'!V17</f>
        <v>132.34707756782689</v>
      </c>
      <c r="W5" s="59">
        <f>'SER_se-appl'!W17</f>
        <v>135.59607172464678</v>
      </c>
      <c r="X5" s="59">
        <f>'SER_se-appl'!X17</f>
        <v>138.7287741842014</v>
      </c>
      <c r="Y5" s="59">
        <f>'SER_se-appl'!Y17</f>
        <v>147.08470878788341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4.9707573579145403E-2</v>
      </c>
      <c r="C6" s="201">
        <f>'SER_se-appl'!C73</f>
        <v>6.6669348657450556E-2</v>
      </c>
      <c r="D6" s="201">
        <f>'SER_se-appl'!D73</f>
        <v>8.1700295136582654E-2</v>
      </c>
      <c r="E6" s="201">
        <f>'SER_se-appl'!E73</f>
        <v>0.10447662822630567</v>
      </c>
      <c r="F6" s="201">
        <f>'SER_se-appl'!F73</f>
        <v>0.12537556045884771</v>
      </c>
      <c r="G6" s="201">
        <f>'SER_se-appl'!G73</f>
        <v>0.15271553685428135</v>
      </c>
      <c r="H6" s="201">
        <f>'SER_se-appl'!H73</f>
        <v>0.18002217408100779</v>
      </c>
      <c r="I6" s="201">
        <f>'SER_se-appl'!I73</f>
        <v>0.20562268833868663</v>
      </c>
      <c r="J6" s="201">
        <f>'SER_se-appl'!J73</f>
        <v>0.22780164091648292</v>
      </c>
      <c r="K6" s="201">
        <f>'SER_se-appl'!K73</f>
        <v>0.25170394490391679</v>
      </c>
      <c r="L6" s="201">
        <f>'SER_se-appl'!L73</f>
        <v>0.27543545128026814</v>
      </c>
      <c r="M6" s="201">
        <f>'SER_se-appl'!M73</f>
        <v>0.29545096834017914</v>
      </c>
      <c r="N6" s="201">
        <f>'SER_se-appl'!N73</f>
        <v>0.32270687431559986</v>
      </c>
      <c r="O6" s="201">
        <f>'SER_se-appl'!O73</f>
        <v>0.36006111398374879</v>
      </c>
      <c r="P6" s="201">
        <f>'SER_se-appl'!P73</f>
        <v>0.39962202777056638</v>
      </c>
      <c r="Q6" s="201">
        <f>'SER_se-appl'!Q73</f>
        <v>0.4534027903941798</v>
      </c>
      <c r="R6" s="201">
        <f>'SER_se-appl'!R73</f>
        <v>0.47231953724783754</v>
      </c>
      <c r="S6" s="201">
        <f>'SER_se-appl'!S73</f>
        <v>0.50233894893983522</v>
      </c>
      <c r="T6" s="201">
        <f>'SER_se-appl'!T73</f>
        <v>0.52464825440217056</v>
      </c>
      <c r="U6" s="201">
        <f>'SER_se-appl'!U73</f>
        <v>0.55051151417116295</v>
      </c>
      <c r="V6" s="201">
        <f>'SER_se-appl'!V73</f>
        <v>0.57889980422134257</v>
      </c>
      <c r="W6" s="201">
        <f>'SER_se-appl'!W73</f>
        <v>0.60569644364040021</v>
      </c>
      <c r="X6" s="201">
        <f>'SER_se-appl'!X73</f>
        <v>0.63267637331750293</v>
      </c>
      <c r="Y6" s="201">
        <f>'SER_se-appl'!Y73</f>
        <v>0.66894210691399436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69.652737477777492</v>
      </c>
      <c r="C8" s="34">
        <f>'SER_se-appl'!C25</f>
        <v>92.851735262204528</v>
      </c>
      <c r="D8" s="34">
        <f>'SER_se-appl'!D25</f>
        <v>113.03317532441348</v>
      </c>
      <c r="E8" s="34">
        <f>'SER_se-appl'!E25</f>
        <v>143.6752143705333</v>
      </c>
      <c r="F8" s="34">
        <f>'SER_se-appl'!F25</f>
        <v>171.29435947690069</v>
      </c>
      <c r="G8" s="34">
        <f>'SER_se-appl'!G25</f>
        <v>207.51750725444023</v>
      </c>
      <c r="H8" s="34">
        <f>'SER_se-appl'!H25</f>
        <v>243.1559505312172</v>
      </c>
      <c r="I8" s="34">
        <f>'SER_se-appl'!I25</f>
        <v>276.13482062378904</v>
      </c>
      <c r="J8" s="34">
        <f>'SER_se-appl'!J25</f>
        <v>304.89882826825738</v>
      </c>
      <c r="K8" s="34">
        <f>'SER_se-appl'!K25</f>
        <v>336.21102736595782</v>
      </c>
      <c r="L8" s="34">
        <f>'SER_se-appl'!L25</f>
        <v>367.23533283746872</v>
      </c>
      <c r="M8" s="34">
        <f>'SER_se-appl'!M25</f>
        <v>392.84933456320266</v>
      </c>
      <c r="N8" s="34">
        <f>'SER_se-appl'!N25</f>
        <v>427.65663585989631</v>
      </c>
      <c r="O8" s="34">
        <f>'SER_se-appl'!O25</f>
        <v>475.34332109238153</v>
      </c>
      <c r="P8" s="34">
        <f>'SER_se-appl'!P25</f>
        <v>525.83025695903893</v>
      </c>
      <c r="Q8" s="34">
        <f>'SER_se-appl'!Q25</f>
        <v>596.16572700559527</v>
      </c>
      <c r="R8" s="34">
        <f>'SER_se-appl'!R25</f>
        <v>621.54606112406839</v>
      </c>
      <c r="S8" s="34">
        <f>'SER_se-appl'!S25</f>
        <v>660.89470308846012</v>
      </c>
      <c r="T8" s="34">
        <f>'SER_se-appl'!T25</f>
        <v>692.08082577429855</v>
      </c>
      <c r="U8" s="34">
        <f>'SER_se-appl'!U25</f>
        <v>729.32866420424011</v>
      </c>
      <c r="V8" s="34">
        <f>'SER_se-appl'!V25</f>
        <v>769.34394621486297</v>
      </c>
      <c r="W8" s="34">
        <f>'SER_se-appl'!W25</f>
        <v>805.61745739989988</v>
      </c>
      <c r="X8" s="34">
        <f>'SER_se-appl'!X25</f>
        <v>842.59586327875718</v>
      </c>
      <c r="Y8" s="34">
        <f>'SER_se-appl'!Y25</f>
        <v>913.69732076011428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37.129545279982537</v>
      </c>
      <c r="D9" s="36">
        <f>'SER_se-appl'!D33</f>
        <v>34.111987557764451</v>
      </c>
      <c r="E9" s="36">
        <f>'SER_se-appl'!E33</f>
        <v>44.572586541675321</v>
      </c>
      <c r="F9" s="36">
        <f>'SER_se-appl'!F33</f>
        <v>41.549692601922885</v>
      </c>
      <c r="G9" s="36">
        <f>'SER_se-appl'!G33</f>
        <v>50.153695273095025</v>
      </c>
      <c r="H9" s="36">
        <f>'SER_se-appl'!H33</f>
        <v>72.767988556759491</v>
      </c>
      <c r="I9" s="36">
        <f>'SER_se-appl'!I33</f>
        <v>67.090857650336289</v>
      </c>
      <c r="J9" s="36">
        <f>'SER_se-appl'!J33</f>
        <v>73.336594186143657</v>
      </c>
      <c r="K9" s="36">
        <f>'SER_se-appl'!K33</f>
        <v>72.8618916996233</v>
      </c>
      <c r="L9" s="36">
        <f>'SER_se-appl'!L33</f>
        <v>81.178000744605924</v>
      </c>
      <c r="M9" s="36">
        <f>'SER_se-appl'!M33</f>
        <v>98.381990282493462</v>
      </c>
      <c r="N9" s="36">
        <f>'SER_se-appl'!N33</f>
        <v>101.89815894702991</v>
      </c>
      <c r="O9" s="36">
        <f>'SER_se-appl'!O33</f>
        <v>121.02327941862887</v>
      </c>
      <c r="P9" s="36">
        <f>'SER_se-appl'!P33</f>
        <v>123.3488275662807</v>
      </c>
      <c r="Q9" s="36">
        <f>'SER_se-appl'!Q33</f>
        <v>151.51347079116226</v>
      </c>
      <c r="R9" s="36">
        <f>'SER_se-appl'!R33</f>
        <v>123.76232440096658</v>
      </c>
      <c r="S9" s="36">
        <f>'SER_se-appl'!S33</f>
        <v>141.24680091142159</v>
      </c>
      <c r="T9" s="36">
        <f>'SER_se-appl'!T33</f>
        <v>152.20940210446724</v>
      </c>
      <c r="U9" s="36">
        <f>'SER_se-appl'!U33</f>
        <v>160.59666599622233</v>
      </c>
      <c r="V9" s="36">
        <f>'SER_se-appl'!V33</f>
        <v>191.52875280178512</v>
      </c>
      <c r="W9" s="36">
        <f>'SER_se-appl'!W33</f>
        <v>160.03583558600349</v>
      </c>
      <c r="X9" s="36">
        <f>'SER_se-appl'!X33</f>
        <v>178.22520679027889</v>
      </c>
      <c r="Y9" s="36">
        <f>'SER_se-appl'!Y33</f>
        <v>223.31085958582435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13.930547495555501</v>
      </c>
      <c r="D10" s="38">
        <f>'SER_se-appl'!D41</f>
        <v>13.930547495555501</v>
      </c>
      <c r="E10" s="38">
        <f>'SER_se-appl'!E41</f>
        <v>13.930547495555516</v>
      </c>
      <c r="F10" s="38">
        <f>'SER_se-appl'!F41</f>
        <v>13.930547495555487</v>
      </c>
      <c r="G10" s="38">
        <f>'SER_se-appl'!G41</f>
        <v>13.930547495555487</v>
      </c>
      <c r="H10" s="38">
        <f>'SER_se-appl'!H41</f>
        <v>37.129545279982523</v>
      </c>
      <c r="I10" s="38">
        <f>'SER_se-appl'!I41</f>
        <v>34.111987557764451</v>
      </c>
      <c r="J10" s="38">
        <f>'SER_se-appl'!J41</f>
        <v>44.572586541675321</v>
      </c>
      <c r="K10" s="38">
        <f>'SER_se-appl'!K41</f>
        <v>41.549692601922857</v>
      </c>
      <c r="L10" s="38">
        <f>'SER_se-appl'!L41</f>
        <v>50.153695273095025</v>
      </c>
      <c r="M10" s="38">
        <f>'SER_se-appl'!M41</f>
        <v>72.767988556759519</v>
      </c>
      <c r="N10" s="38">
        <f>'SER_se-appl'!N41</f>
        <v>67.090857650336261</v>
      </c>
      <c r="O10" s="38">
        <f>'SER_se-appl'!O41</f>
        <v>73.336594186143657</v>
      </c>
      <c r="P10" s="38">
        <f>'SER_se-appl'!P41</f>
        <v>72.861891699623357</v>
      </c>
      <c r="Q10" s="38">
        <f>'SER_se-appl'!Q41</f>
        <v>81.178000744605924</v>
      </c>
      <c r="R10" s="38">
        <f>'SER_se-appl'!R41</f>
        <v>98.381990282493462</v>
      </c>
      <c r="S10" s="38">
        <f>'SER_se-appl'!S41</f>
        <v>101.89815894702986</v>
      </c>
      <c r="T10" s="38">
        <f>'SER_se-appl'!T41</f>
        <v>121.02327941862882</v>
      </c>
      <c r="U10" s="38">
        <f>'SER_se-appl'!U41</f>
        <v>123.34882756628076</v>
      </c>
      <c r="V10" s="38">
        <f>'SER_se-appl'!V41</f>
        <v>151.51347079116226</v>
      </c>
      <c r="W10" s="38">
        <f>'SER_se-appl'!W41</f>
        <v>123.76232440096658</v>
      </c>
      <c r="X10" s="38">
        <f>'SER_se-appl'!X41</f>
        <v>141.24680091142159</v>
      </c>
      <c r="Y10" s="38">
        <f>'SER_se-appl'!Y41</f>
        <v>152.20940210446724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2916.3366329798941</v>
      </c>
      <c r="C12" s="204">
        <f>'SER_se-appl'!C49</f>
        <v>2854.4412672923463</v>
      </c>
      <c r="D12" s="204">
        <f>'SER_se-appl'!D49</f>
        <v>2874.8483801251923</v>
      </c>
      <c r="E12" s="204">
        <f>'SER_se-appl'!E49</f>
        <v>2824.2347577895571</v>
      </c>
      <c r="F12" s="204">
        <f>'SER_se-appl'!F49</f>
        <v>2820.8762223456461</v>
      </c>
      <c r="G12" s="204">
        <f>'SER_se-appl'!G49</f>
        <v>2784.0304267740503</v>
      </c>
      <c r="H12" s="204">
        <f>'SER_se-appl'!H49</f>
        <v>2782.5200404243024</v>
      </c>
      <c r="I12" s="204">
        <f>'SER_se-appl'!I49</f>
        <v>2786.1733724584965</v>
      </c>
      <c r="J12" s="204">
        <f>'SER_se-appl'!J49</f>
        <v>2807.7354283405411</v>
      </c>
      <c r="K12" s="204">
        <f>'SER_se-appl'!K49</f>
        <v>2826.911176887726</v>
      </c>
      <c r="L12" s="204">
        <f>'SER_se-appl'!L49</f>
        <v>2863.9010848777493</v>
      </c>
      <c r="M12" s="204">
        <f>'SER_se-appl'!M49</f>
        <v>2891.7914203713717</v>
      </c>
      <c r="N12" s="204">
        <f>'SER_se-appl'!N49</f>
        <v>2952.7174664205072</v>
      </c>
      <c r="O12" s="204">
        <f>'SER_se-appl'!O49</f>
        <v>3004.7750421352425</v>
      </c>
      <c r="P12" s="204">
        <f>'SER_se-appl'!P49</f>
        <v>3024.2919018867483</v>
      </c>
      <c r="Q12" s="204">
        <f>'SER_se-appl'!Q49</f>
        <v>2999.8156791781093</v>
      </c>
      <c r="R12" s="204">
        <f>'SER_se-appl'!R49</f>
        <v>3045.4688172521596</v>
      </c>
      <c r="S12" s="204">
        <f>'SER_se-appl'!S49</f>
        <v>3096.0858218577673</v>
      </c>
      <c r="T12" s="204">
        <f>'SER_se-appl'!T49</f>
        <v>3115.6132231235015</v>
      </c>
      <c r="U12" s="204">
        <f>'SER_se-appl'!U49</f>
        <v>3166.7876828614126</v>
      </c>
      <c r="V12" s="204">
        <f>'SER_se-appl'!V49</f>
        <v>3220.2482246894278</v>
      </c>
      <c r="W12" s="204">
        <f>'SER_se-appl'!W49</f>
        <v>3476.258568833307</v>
      </c>
      <c r="X12" s="204">
        <f>'SER_se-appl'!X49</f>
        <v>3445.3145995260707</v>
      </c>
      <c r="Y12" s="204">
        <f>'SER_se-appl'!Y49</f>
        <v>3510.311769083366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412.30181282101017</v>
      </c>
      <c r="C14" s="59">
        <f>'SER_se-appl'!C57</f>
        <v>397.82340307682529</v>
      </c>
      <c r="D14" s="59">
        <f>'SER_se-appl'!D57</f>
        <v>384.81118006525173</v>
      </c>
      <c r="E14" s="59">
        <f>'SER_se-appl'!E57</f>
        <v>369.22184056279229</v>
      </c>
      <c r="F14" s="59">
        <f>'SER_se-appl'!F57</f>
        <v>355.57791849978912</v>
      </c>
      <c r="G14" s="59">
        <f>'SER_se-appl'!G57</f>
        <v>340.73895631084349</v>
      </c>
      <c r="H14" s="59">
        <f>'SER_se-appl'!H57</f>
        <v>321.28647209273606</v>
      </c>
      <c r="I14" s="59">
        <f>'SER_se-appl'!I57</f>
        <v>305.66485933659129</v>
      </c>
      <c r="J14" s="59">
        <f>'SER_se-appl'!J57</f>
        <v>289.89878895455973</v>
      </c>
      <c r="K14" s="59">
        <f>'SER_se-appl'!K57</f>
        <v>274.4937544563781</v>
      </c>
      <c r="L14" s="59">
        <f>'SER_se-appl'!L57</f>
        <v>257.56709086982477</v>
      </c>
      <c r="M14" s="59">
        <f>'SER_se-appl'!M57</f>
        <v>238.17635430625751</v>
      </c>
      <c r="N14" s="59">
        <f>'SER_se-appl'!N57</f>
        <v>222.98030845610506</v>
      </c>
      <c r="O14" s="59">
        <f>'SER_se-appl'!O57</f>
        <v>209.17572538879534</v>
      </c>
      <c r="P14" s="59">
        <f>'SER_se-appl'!P57</f>
        <v>200.00635999937771</v>
      </c>
      <c r="Q14" s="59">
        <f>'SER_se-appl'!Q57</f>
        <v>193.78117504725137</v>
      </c>
      <c r="R14" s="59">
        <f>'SER_se-appl'!R57</f>
        <v>189.36678389411875</v>
      </c>
      <c r="S14" s="59">
        <f>'SER_se-appl'!S57</f>
        <v>185.16900331039741</v>
      </c>
      <c r="T14" s="59">
        <f>'SER_se-appl'!T57</f>
        <v>181.0842906955892</v>
      </c>
      <c r="U14" s="59">
        <f>'SER_se-appl'!U57</f>
        <v>177.0504833421009</v>
      </c>
      <c r="V14" s="59">
        <f>'SER_se-appl'!V57</f>
        <v>172.02589065523745</v>
      </c>
      <c r="W14" s="59">
        <f>'SER_se-appl'!W57</f>
        <v>168.31322419734798</v>
      </c>
      <c r="X14" s="59">
        <f>'SER_se-appl'!X57</f>
        <v>164.64449949276047</v>
      </c>
      <c r="Y14" s="59">
        <f>'SER_se-appl'!Y57</f>
        <v>160.97749817797663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376.09491994237447</v>
      </c>
      <c r="D15" s="63">
        <f>'SER_se-appl'!D65</f>
        <v>360.61886586605777</v>
      </c>
      <c r="E15" s="63">
        <f>'SER_se-appl'!E65</f>
        <v>343.15234279118494</v>
      </c>
      <c r="F15" s="63">
        <f>'SER_se-appl'!F65</f>
        <v>327.41649419052641</v>
      </c>
      <c r="G15" s="63">
        <f>'SER_se-appl'!G65</f>
        <v>309.93522901791806</v>
      </c>
      <c r="H15" s="63">
        <f>'SER_se-appl'!H65</f>
        <v>293.77824590165585</v>
      </c>
      <c r="I15" s="63">
        <f>'SER_se-appl'!I65</f>
        <v>276.98885519910544</v>
      </c>
      <c r="J15" s="63">
        <f>'SER_se-appl'!J65</f>
        <v>262.90118425499941</v>
      </c>
      <c r="K15" s="63">
        <f>'SER_se-appl'!K65</f>
        <v>240.20898168900956</v>
      </c>
      <c r="L15" s="63">
        <f>'SER_se-appl'!L65</f>
        <v>219.81701962508689</v>
      </c>
      <c r="M15" s="63">
        <f>'SER_se-appl'!M65</f>
        <v>206.92138806997946</v>
      </c>
      <c r="N15" s="63">
        <f>'SER_se-appl'!N65</f>
        <v>199.95460511628517</v>
      </c>
      <c r="O15" s="63">
        <f>'SER_se-appl'!O65</f>
        <v>192.95091815243862</v>
      </c>
      <c r="P15" s="63">
        <f>'SER_se-appl'!P65</f>
        <v>188.41843040875079</v>
      </c>
      <c r="Q15" s="63">
        <f>'SER_se-appl'!Q65</f>
        <v>186.12606170048602</v>
      </c>
      <c r="R15" s="63">
        <f>'SER_se-appl'!R65</f>
        <v>182.05719417826216</v>
      </c>
      <c r="S15" s="63">
        <f>'SER_se-appl'!S65</f>
        <v>177.3635990306741</v>
      </c>
      <c r="T15" s="63">
        <f>'SER_se-appl'!T65</f>
        <v>172.78370779578154</v>
      </c>
      <c r="U15" s="63">
        <f>'SER_se-appl'!U65</f>
        <v>168.39838727839728</v>
      </c>
      <c r="V15" s="63">
        <f>'SER_se-appl'!V65</f>
        <v>164.04686089437749</v>
      </c>
      <c r="W15" s="63">
        <f>'SER_se-appl'!W65</f>
        <v>161.09401739827868</v>
      </c>
      <c r="X15" s="63">
        <f>'SER_se-appl'!X65</f>
        <v>158.1411739021799</v>
      </c>
      <c r="Y15" s="63">
        <f>'SER_se-appl'!Y65</f>
        <v>155.18833040608109</v>
      </c>
      <c r="DA15" s="105" t="s">
        <v>957</v>
      </c>
    </row>
    <row r="17" spans="1:105" ht="12" customHeight="1" x14ac:dyDescent="0.25">
      <c r="A17" s="197" t="s">
        <v>184</v>
      </c>
      <c r="B17" s="198">
        <v>4.2823829419773256</v>
      </c>
      <c r="C17" s="198">
        <v>5.1806998817668255</v>
      </c>
      <c r="D17" s="198">
        <v>6.0846215306525862</v>
      </c>
      <c r="E17" s="198">
        <v>6.9645061154438901</v>
      </c>
      <c r="F17" s="198">
        <v>7.8023754904270799</v>
      </c>
      <c r="G17" s="198">
        <v>8.5647658839546441</v>
      </c>
      <c r="H17" s="198">
        <v>9.2337746617234782</v>
      </c>
      <c r="I17" s="198">
        <v>9.8278819424673998</v>
      </c>
      <c r="J17" s="198">
        <v>10.377862482079234</v>
      </c>
      <c r="K17" s="198">
        <v>10.900947872250233</v>
      </c>
      <c r="L17" s="198">
        <v>11.419687845272872</v>
      </c>
      <c r="M17" s="198">
        <v>11.429101131581801</v>
      </c>
      <c r="N17" s="198">
        <v>12.218029795746775</v>
      </c>
      <c r="O17" s="198">
        <v>13.229948623923546</v>
      </c>
      <c r="P17" s="198">
        <v>14.043729350163133</v>
      </c>
      <c r="Q17" s="198">
        <v>14.830450507352666</v>
      </c>
      <c r="R17" s="198">
        <v>15.093364266242775</v>
      </c>
      <c r="S17" s="198">
        <v>16.614467065421021</v>
      </c>
      <c r="T17" s="198">
        <v>17.348551990693785</v>
      </c>
      <c r="U17" s="198">
        <v>18.702077415760183</v>
      </c>
      <c r="V17" s="198">
        <v>20.38238850971868</v>
      </c>
      <c r="W17" s="198">
        <v>21.945298188699287</v>
      </c>
      <c r="X17" s="198">
        <v>23.581243201082387</v>
      </c>
      <c r="Y17" s="198">
        <v>27.118429681244731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742.55883214568485</v>
      </c>
      <c r="C3" s="219">
        <v>705.476914408173</v>
      </c>
      <c r="D3" s="219">
        <v>766.39837169139662</v>
      </c>
      <c r="E3" s="219">
        <v>801.09729574223252</v>
      </c>
      <c r="F3" s="219">
        <v>897.0876140322448</v>
      </c>
      <c r="G3" s="219">
        <v>892.46696397154449</v>
      </c>
      <c r="H3" s="219">
        <v>940.11015139778885</v>
      </c>
      <c r="I3" s="219">
        <v>1257.905080808333</v>
      </c>
      <c r="J3" s="219">
        <v>1042.4963656725211</v>
      </c>
      <c r="K3" s="219">
        <v>660.09931124483433</v>
      </c>
      <c r="L3" s="219">
        <v>872.69381533101034</v>
      </c>
      <c r="M3" s="219">
        <v>1084.4161420035471</v>
      </c>
      <c r="N3" s="219">
        <v>1006.485345406494</v>
      </c>
      <c r="O3" s="219">
        <v>946.66116798607368</v>
      </c>
      <c r="P3" s="219">
        <v>1002.139706966365</v>
      </c>
      <c r="Q3" s="219">
        <v>922.52078300000005</v>
      </c>
      <c r="R3" s="219">
        <v>704.21371020651964</v>
      </c>
      <c r="S3" s="219">
        <v>841.38965461801808</v>
      </c>
      <c r="T3" s="219">
        <v>764.87312252964421</v>
      </c>
      <c r="U3" s="219">
        <v>872.79613671547304</v>
      </c>
      <c r="V3" s="219">
        <v>717.84625838740214</v>
      </c>
      <c r="W3" s="219">
        <v>780.39497233601526</v>
      </c>
      <c r="X3" s="219">
        <v>966.62823279760664</v>
      </c>
      <c r="Y3" s="219">
        <v>658</v>
      </c>
      <c r="DA3" s="210" t="s">
        <v>974</v>
      </c>
    </row>
    <row r="5" spans="1:105" x14ac:dyDescent="0.25">
      <c r="A5" s="218" t="s">
        <v>120</v>
      </c>
      <c r="B5" s="219">
        <v>516.54146295121268</v>
      </c>
      <c r="C5" s="219">
        <v>906.62706397600357</v>
      </c>
      <c r="D5" s="219">
        <v>955.99013008676673</v>
      </c>
      <c r="E5" s="219">
        <v>946.99964494288258</v>
      </c>
      <c r="F5" s="219">
        <v>894.53584733400351</v>
      </c>
      <c r="G5" s="219">
        <v>775.05717419782627</v>
      </c>
      <c r="H5" s="219">
        <v>758.6633129093251</v>
      </c>
      <c r="I5" s="219">
        <v>791.73256572113019</v>
      </c>
      <c r="J5" s="219">
        <v>768.89522726691575</v>
      </c>
      <c r="K5" s="219">
        <v>673.21507104527689</v>
      </c>
      <c r="L5" s="219">
        <v>740.39243363582625</v>
      </c>
      <c r="M5" s="219">
        <v>939.05642696573102</v>
      </c>
      <c r="N5" s="219">
        <v>936.6559691061068</v>
      </c>
      <c r="O5" s="219">
        <v>934.07575706774071</v>
      </c>
      <c r="P5" s="219">
        <v>1149.034753495338</v>
      </c>
      <c r="Q5" s="219">
        <v>1135.4207762575641</v>
      </c>
      <c r="R5" s="219">
        <v>1109.415843508184</v>
      </c>
      <c r="S5" s="219">
        <v>1218.379265825936</v>
      </c>
      <c r="T5" s="219">
        <v>1085.5052780504</v>
      </c>
      <c r="U5" s="219">
        <v>992.22859863965675</v>
      </c>
      <c r="V5" s="219">
        <v>908.69739331772632</v>
      </c>
      <c r="W5" s="219">
        <v>766.64551353795321</v>
      </c>
      <c r="X5" s="219">
        <v>983.16463802964734</v>
      </c>
      <c r="Y5" s="219">
        <v>817.27475679784379</v>
      </c>
      <c r="DA5" s="210" t="s">
        <v>975</v>
      </c>
    </row>
    <row r="6" spans="1:105" x14ac:dyDescent="0.25">
      <c r="A6" s="220" t="s">
        <v>119</v>
      </c>
      <c r="B6" s="221">
        <v>645.67682868901579</v>
      </c>
      <c r="C6" s="221">
        <v>968.51524303352369</v>
      </c>
      <c r="D6" s="221">
        <v>1033.0829259024249</v>
      </c>
      <c r="E6" s="221">
        <v>1033.0829259024249</v>
      </c>
      <c r="F6" s="221">
        <v>1000.799084467975</v>
      </c>
      <c r="G6" s="221">
        <v>1000.799084467975</v>
      </c>
      <c r="H6" s="221">
        <v>968.5152430335238</v>
      </c>
      <c r="I6" s="221">
        <v>936.23140159907302</v>
      </c>
      <c r="J6" s="221">
        <v>903.94756016462225</v>
      </c>
      <c r="K6" s="221">
        <v>903.94756016462225</v>
      </c>
      <c r="L6" s="221">
        <v>871.66371873017147</v>
      </c>
      <c r="M6" s="221">
        <v>1000.799084467975</v>
      </c>
      <c r="N6" s="221">
        <v>1000.799084467975</v>
      </c>
      <c r="O6" s="221">
        <v>1000.799084467975</v>
      </c>
      <c r="P6" s="221">
        <v>1226.78597450913</v>
      </c>
      <c r="Q6" s="221">
        <v>1226.78597450913</v>
      </c>
      <c r="R6" s="221">
        <v>1194.502133074679</v>
      </c>
      <c r="S6" s="221">
        <v>1291.353657378032</v>
      </c>
      <c r="T6" s="221">
        <v>1259.069815943581</v>
      </c>
      <c r="U6" s="221">
        <v>1226.78597450913</v>
      </c>
      <c r="V6" s="221">
        <v>1194.502133074679</v>
      </c>
      <c r="W6" s="221">
        <v>1194.502133074679</v>
      </c>
      <c r="X6" s="221">
        <v>1162.218291640228</v>
      </c>
      <c r="Y6" s="221">
        <v>1129.9344502057779</v>
      </c>
      <c r="DA6" s="211" t="s">
        <v>976</v>
      </c>
    </row>
    <row r="7" spans="1:105" x14ac:dyDescent="0.25">
      <c r="A7" s="224" t="s">
        <v>118</v>
      </c>
      <c r="B7" s="225"/>
      <c r="C7" s="225">
        <v>355.12225577895867</v>
      </c>
      <c r="D7" s="225">
        <v>96.851524303352377</v>
      </c>
      <c r="E7" s="225">
        <v>0</v>
      </c>
      <c r="F7" s="225">
        <v>0</v>
      </c>
      <c r="G7" s="225">
        <v>0</v>
      </c>
      <c r="H7" s="225">
        <v>0</v>
      </c>
      <c r="I7" s="225">
        <v>0</v>
      </c>
      <c r="J7" s="225">
        <v>0</v>
      </c>
      <c r="K7" s="225">
        <v>0</v>
      </c>
      <c r="L7" s="225">
        <v>0</v>
      </c>
      <c r="M7" s="225">
        <v>161.41920717225389</v>
      </c>
      <c r="N7" s="225">
        <v>0</v>
      </c>
      <c r="O7" s="225">
        <v>32.283841434450792</v>
      </c>
      <c r="P7" s="225">
        <v>258.27073147560628</v>
      </c>
      <c r="Q7" s="225">
        <v>0</v>
      </c>
      <c r="R7" s="225">
        <v>0</v>
      </c>
      <c r="S7" s="225">
        <v>96.851524303353017</v>
      </c>
      <c r="T7" s="225">
        <v>0</v>
      </c>
      <c r="U7" s="225">
        <v>0</v>
      </c>
      <c r="V7" s="225">
        <v>0</v>
      </c>
      <c r="W7" s="225">
        <v>0</v>
      </c>
      <c r="X7" s="225">
        <v>0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32.283841434450778</v>
      </c>
      <c r="D8" s="227">
        <f t="shared" ref="D8" si="1">IF(C6=0,0,C6+D7-D6)</f>
        <v>32.283841434451233</v>
      </c>
      <c r="E8" s="227">
        <f t="shared" ref="E8" si="2">IF(D6=0,0,D6+E7-E6)</f>
        <v>0</v>
      </c>
      <c r="F8" s="227">
        <f t="shared" ref="F8" si="3">IF(E6=0,0,E6+F7-F6)</f>
        <v>32.283841434449869</v>
      </c>
      <c r="G8" s="227">
        <f t="shared" ref="G8" si="4">IF(F6=0,0,F6+G7-G6)</f>
        <v>0</v>
      </c>
      <c r="H8" s="227">
        <f t="shared" ref="H8" si="5">IF(G6=0,0,G6+H7-H6)</f>
        <v>32.283841434451233</v>
      </c>
      <c r="I8" s="227">
        <f t="shared" ref="I8" si="6">IF(H6=0,0,H6+I7-I6)</f>
        <v>32.283841434450778</v>
      </c>
      <c r="J8" s="227">
        <f t="shared" ref="J8" si="7">IF(I6=0,0,I6+J7-J6)</f>
        <v>32.283841434450778</v>
      </c>
      <c r="K8" s="227">
        <f t="shared" ref="K8" si="8">IF(J6=0,0,J6+K7-K6)</f>
        <v>0</v>
      </c>
      <c r="L8" s="227">
        <f t="shared" ref="L8" si="9">IF(K6=0,0,K6+L7-L6)</f>
        <v>32.283841434450778</v>
      </c>
      <c r="M8" s="227">
        <f t="shared" ref="M8" si="10">IF(L6=0,0,L6+M7-M6)</f>
        <v>32.283841434450324</v>
      </c>
      <c r="N8" s="227">
        <f t="shared" ref="N8" si="11">IF(M6=0,0,M6+N7-N6)</f>
        <v>0</v>
      </c>
      <c r="O8" s="227">
        <f t="shared" ref="O8" si="12">IF(N6=0,0,N6+O7-O6)</f>
        <v>32.283841434450778</v>
      </c>
      <c r="P8" s="227">
        <f t="shared" ref="P8" si="13">IF(O6=0,0,O6+P7-P6)</f>
        <v>32.283841434451233</v>
      </c>
      <c r="Q8" s="227">
        <f t="shared" ref="Q8" si="14">IF(P6=0,0,P6+Q7-Q6)</f>
        <v>0</v>
      </c>
      <c r="R8" s="227">
        <f t="shared" ref="R8" si="15">IF(Q6=0,0,Q6+R7-R6)</f>
        <v>32.283841434451006</v>
      </c>
      <c r="S8" s="227">
        <f t="shared" ref="S8" si="16">IF(R6=0,0,R6+S7-S6)</f>
        <v>0</v>
      </c>
      <c r="T8" s="227">
        <f t="shared" ref="T8" si="17">IF(S6=0,0,S6+T7-T6)</f>
        <v>32.283841434451006</v>
      </c>
      <c r="U8" s="227">
        <f t="shared" ref="U8" si="18">IF(T6=0,0,T6+U7-U6)</f>
        <v>32.283841434451006</v>
      </c>
      <c r="V8" s="227">
        <f t="shared" ref="V8" si="19">IF(U6=0,0,U6+V7-V6)</f>
        <v>32.283841434451006</v>
      </c>
      <c r="W8" s="227">
        <f t="shared" ref="W8" si="20">IF(V6=0,0,V6+W7-W6)</f>
        <v>0</v>
      </c>
      <c r="X8" s="227">
        <f t="shared" ref="X8" si="21">IF(W6=0,0,W6+X7-X6)</f>
        <v>32.283841434451006</v>
      </c>
      <c r="Y8" s="227">
        <f t="shared" ref="Y8" si="22">IF(X6=0,0,X6+Y7-Y6)</f>
        <v>32.283841434450096</v>
      </c>
      <c r="DA8" s="213" t="s">
        <v>978</v>
      </c>
    </row>
    <row r="9" spans="1:105" x14ac:dyDescent="0.25">
      <c r="A9" s="222" t="s">
        <v>116</v>
      </c>
      <c r="B9" s="223">
        <f>B6-B5</f>
        <v>129.13536573780311</v>
      </c>
      <c r="C9" s="223">
        <f t="shared" ref="C9:W9" si="23">C6-C5</f>
        <v>61.888179057520119</v>
      </c>
      <c r="D9" s="223">
        <f t="shared" si="23"/>
        <v>77.092795815658178</v>
      </c>
      <c r="E9" s="223">
        <f t="shared" si="23"/>
        <v>86.083280959542321</v>
      </c>
      <c r="F9" s="223">
        <f t="shared" si="23"/>
        <v>106.26323713397153</v>
      </c>
      <c r="G9" s="223">
        <f t="shared" si="23"/>
        <v>225.74191027014876</v>
      </c>
      <c r="H9" s="223">
        <f t="shared" si="23"/>
        <v>209.8519301241987</v>
      </c>
      <c r="I9" s="223">
        <f t="shared" si="23"/>
        <v>144.49883587794284</v>
      </c>
      <c r="J9" s="223">
        <f t="shared" si="23"/>
        <v>135.05233289770649</v>
      </c>
      <c r="K9" s="223">
        <f t="shared" si="23"/>
        <v>230.73248911934536</v>
      </c>
      <c r="L9" s="223">
        <f t="shared" si="23"/>
        <v>131.27128509434522</v>
      </c>
      <c r="M9" s="223">
        <f t="shared" si="23"/>
        <v>61.742657502244015</v>
      </c>
      <c r="N9" s="223">
        <f t="shared" si="23"/>
        <v>64.14311536186824</v>
      </c>
      <c r="O9" s="223">
        <f t="shared" si="23"/>
        <v>66.723327400234325</v>
      </c>
      <c r="P9" s="223">
        <f t="shared" si="23"/>
        <v>77.751221013792019</v>
      </c>
      <c r="Q9" s="223">
        <f t="shared" si="23"/>
        <v>91.365198251565971</v>
      </c>
      <c r="R9" s="223">
        <f t="shared" si="23"/>
        <v>85.086289566494997</v>
      </c>
      <c r="S9" s="223">
        <f t="shared" si="23"/>
        <v>72.974391552095994</v>
      </c>
      <c r="T9" s="223">
        <f t="shared" si="23"/>
        <v>173.56453789318107</v>
      </c>
      <c r="U9" s="223">
        <f t="shared" si="23"/>
        <v>234.55737586947328</v>
      </c>
      <c r="V9" s="223">
        <f t="shared" si="23"/>
        <v>285.8047397569527</v>
      </c>
      <c r="W9" s="223">
        <f t="shared" si="23"/>
        <v>427.85661953672582</v>
      </c>
      <c r="X9" s="223">
        <f t="shared" ref="X9:Y9" si="24">X6-X5</f>
        <v>179.05365361058068</v>
      </c>
      <c r="Y9" s="223">
        <f t="shared" si="24"/>
        <v>312.65969340793413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58.096302665520199</v>
      </c>
      <c r="C12" s="229">
        <f t="shared" ref="C12:W12" si="25">SUM(C13,C14,C18,C19,C26,C27)</f>
        <v>99.565262252794469</v>
      </c>
      <c r="D12" s="229">
        <f t="shared" si="25"/>
        <v>108.80034393809112</v>
      </c>
      <c r="E12" s="229">
        <f t="shared" si="25"/>
        <v>113.20232158211522</v>
      </c>
      <c r="F12" s="229">
        <f t="shared" si="25"/>
        <v>104.93456577815992</v>
      </c>
      <c r="G12" s="229">
        <f t="shared" si="25"/>
        <v>104.08555460017195</v>
      </c>
      <c r="H12" s="229">
        <f t="shared" si="25"/>
        <v>98.669647463456585</v>
      </c>
      <c r="I12" s="229">
        <f t="shared" si="25"/>
        <v>93.277730008598439</v>
      </c>
      <c r="J12" s="229">
        <f t="shared" si="25"/>
        <v>94.955631986242466</v>
      </c>
      <c r="K12" s="229">
        <f t="shared" si="25"/>
        <v>92.791659501289757</v>
      </c>
      <c r="L12" s="229">
        <f t="shared" si="25"/>
        <v>95.122785898538254</v>
      </c>
      <c r="M12" s="229">
        <f t="shared" si="25"/>
        <v>108.95055889939812</v>
      </c>
      <c r="N12" s="229">
        <f t="shared" si="25"/>
        <v>110.81779879621668</v>
      </c>
      <c r="O12" s="229">
        <f t="shared" si="25"/>
        <v>110.12269991401547</v>
      </c>
      <c r="P12" s="229">
        <f t="shared" si="25"/>
        <v>131.23430782459158</v>
      </c>
      <c r="Q12" s="229">
        <f t="shared" si="25"/>
        <v>132.47781599312123</v>
      </c>
      <c r="R12" s="229">
        <f t="shared" si="25"/>
        <v>131.36870163370594</v>
      </c>
      <c r="S12" s="229">
        <f t="shared" si="25"/>
        <v>133.11994840928634</v>
      </c>
      <c r="T12" s="229">
        <f t="shared" si="25"/>
        <v>124.87601031814273</v>
      </c>
      <c r="U12" s="229">
        <f t="shared" si="25"/>
        <v>113.42218400687877</v>
      </c>
      <c r="V12" s="229">
        <f t="shared" si="25"/>
        <v>109.973086844368</v>
      </c>
      <c r="W12" s="229">
        <f t="shared" si="25"/>
        <v>88.634135855546006</v>
      </c>
      <c r="X12" s="229">
        <f t="shared" ref="X12:Y12" si="26">SUM(X13,X14,X18,X19,X26,X27)</f>
        <v>97.261049011178002</v>
      </c>
      <c r="Y12" s="229">
        <f t="shared" si="26"/>
        <v>82.854428202923458</v>
      </c>
      <c r="DA12" s="210" t="s">
        <v>980</v>
      </c>
    </row>
    <row r="13" spans="1:105" x14ac:dyDescent="0.25">
      <c r="A13" s="58" t="s">
        <v>29</v>
      </c>
      <c r="B13" s="59">
        <v>0.63714531384350814</v>
      </c>
      <c r="C13" s="59">
        <v>0</v>
      </c>
      <c r="D13" s="59">
        <v>0.64858125537403266</v>
      </c>
      <c r="E13" s="59">
        <v>0.64617368873602743</v>
      </c>
      <c r="F13" s="59">
        <v>0.7642304385210662</v>
      </c>
      <c r="G13" s="59">
        <v>0.64858125537403266</v>
      </c>
      <c r="H13" s="59">
        <v>0</v>
      </c>
      <c r="I13" s="59">
        <v>0.64858125537403266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3.0807394668959587</v>
      </c>
      <c r="S13" s="59">
        <v>1.050902837489252</v>
      </c>
      <c r="T13" s="59">
        <v>0.52545141874462586</v>
      </c>
      <c r="U13" s="59">
        <v>0.29785038693035248</v>
      </c>
      <c r="V13" s="59">
        <v>0.14299226139294929</v>
      </c>
      <c r="W13" s="59">
        <v>0.29785038693035248</v>
      </c>
      <c r="X13" s="59">
        <v>0</v>
      </c>
      <c r="Y13" s="59">
        <v>0</v>
      </c>
      <c r="DA13" s="9" t="s">
        <v>981</v>
      </c>
    </row>
    <row r="14" spans="1:105" x14ac:dyDescent="0.25">
      <c r="A14" s="60" t="s">
        <v>28</v>
      </c>
      <c r="B14" s="55">
        <f>SUM(B15:B17)</f>
        <v>29.215649183147033</v>
      </c>
      <c r="C14" s="55">
        <f t="shared" ref="C14:W14" si="27">SUM(C15:C17)</f>
        <v>69.504127257093714</v>
      </c>
      <c r="D14" s="55">
        <f t="shared" si="27"/>
        <v>77.648753224419593</v>
      </c>
      <c r="E14" s="55">
        <f t="shared" si="27"/>
        <v>82.927257093723128</v>
      </c>
      <c r="F14" s="55">
        <f t="shared" si="27"/>
        <v>73.812983662940667</v>
      </c>
      <c r="G14" s="55">
        <f t="shared" si="27"/>
        <v>70.762854686156487</v>
      </c>
      <c r="H14" s="55">
        <f t="shared" si="27"/>
        <v>60.619088564058472</v>
      </c>
      <c r="I14" s="55">
        <f t="shared" si="27"/>
        <v>63.767067927772999</v>
      </c>
      <c r="J14" s="55">
        <f t="shared" si="27"/>
        <v>66.633276010318141</v>
      </c>
      <c r="K14" s="55">
        <f t="shared" si="27"/>
        <v>63.704987102321589</v>
      </c>
      <c r="L14" s="55">
        <f t="shared" si="27"/>
        <v>64.598280309544279</v>
      </c>
      <c r="M14" s="55">
        <f t="shared" si="27"/>
        <v>79.668013757523639</v>
      </c>
      <c r="N14" s="55">
        <f t="shared" si="27"/>
        <v>80.828288907996566</v>
      </c>
      <c r="O14" s="55">
        <f t="shared" si="27"/>
        <v>79.81797076526226</v>
      </c>
      <c r="P14" s="55">
        <f t="shared" si="27"/>
        <v>101.07523645743765</v>
      </c>
      <c r="Q14" s="55">
        <f t="shared" si="27"/>
        <v>102.91109200343938</v>
      </c>
      <c r="R14" s="55">
        <f t="shared" si="27"/>
        <v>96.963284608770422</v>
      </c>
      <c r="S14" s="55">
        <f t="shared" si="27"/>
        <v>98.983920894239048</v>
      </c>
      <c r="T14" s="55">
        <f t="shared" si="27"/>
        <v>98.770937231298362</v>
      </c>
      <c r="U14" s="55">
        <f t="shared" si="27"/>
        <v>91.515993121238182</v>
      </c>
      <c r="V14" s="55">
        <f t="shared" si="27"/>
        <v>87.748409286328439</v>
      </c>
      <c r="W14" s="55">
        <f t="shared" si="27"/>
        <v>64.259415305245057</v>
      </c>
      <c r="X14" s="55">
        <f t="shared" ref="X14:Y14" si="28">SUM(X15:X17)</f>
        <v>74.829922613929497</v>
      </c>
      <c r="Y14" s="55">
        <f t="shared" si="28"/>
        <v>67.781513327601019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1.086758383490972</v>
      </c>
      <c r="J15" s="55">
        <v>1.086758383490972</v>
      </c>
      <c r="K15" s="55">
        <v>1.086758383490972</v>
      </c>
      <c r="L15" s="55">
        <v>0</v>
      </c>
      <c r="M15" s="55">
        <v>0</v>
      </c>
      <c r="N15" s="55">
        <v>1.086758383490972</v>
      </c>
      <c r="O15" s="55">
        <v>1.086758383490972</v>
      </c>
      <c r="P15" s="55">
        <v>1.086758383490972</v>
      </c>
      <c r="Q15" s="55">
        <v>2.1735167669819431</v>
      </c>
      <c r="R15" s="55">
        <v>2.1735167669819431</v>
      </c>
      <c r="S15" s="55">
        <v>2.1735167669819431</v>
      </c>
      <c r="T15" s="55">
        <v>1.086758383490972</v>
      </c>
      <c r="U15" s="55">
        <v>2.1735167669819431</v>
      </c>
      <c r="V15" s="55">
        <v>2.586500429922614</v>
      </c>
      <c r="W15" s="55">
        <v>1.086758383490972</v>
      </c>
      <c r="X15" s="55">
        <v>1.7387790197764399</v>
      </c>
      <c r="Y15" s="55">
        <v>1.431212381771281</v>
      </c>
      <c r="DA15" s="10" t="s">
        <v>982</v>
      </c>
    </row>
    <row r="16" spans="1:105" x14ac:dyDescent="0.25">
      <c r="A16" s="61" t="s">
        <v>165</v>
      </c>
      <c r="B16" s="55">
        <v>26.268271711092002</v>
      </c>
      <c r="C16" s="55">
        <v>64.660361134995696</v>
      </c>
      <c r="D16" s="55">
        <v>73.753224419604464</v>
      </c>
      <c r="E16" s="55">
        <v>80.82545141874462</v>
      </c>
      <c r="F16" s="55">
        <v>69.71195184866724</v>
      </c>
      <c r="G16" s="55">
        <v>69.71195184866724</v>
      </c>
      <c r="H16" s="55">
        <v>60.619088564058472</v>
      </c>
      <c r="I16" s="55">
        <v>61.629406706792771</v>
      </c>
      <c r="J16" s="55">
        <v>63.65004299226139</v>
      </c>
      <c r="K16" s="55">
        <v>60.619088564058472</v>
      </c>
      <c r="L16" s="55">
        <v>63.65004299226139</v>
      </c>
      <c r="M16" s="55">
        <v>77.794496990541703</v>
      </c>
      <c r="N16" s="55">
        <v>78.804815133276009</v>
      </c>
      <c r="O16" s="55">
        <v>77.794496990541703</v>
      </c>
      <c r="P16" s="55">
        <v>98.000859845227851</v>
      </c>
      <c r="Q16" s="55">
        <v>96.990541702493545</v>
      </c>
      <c r="R16" s="55">
        <v>90.928632846087694</v>
      </c>
      <c r="S16" s="55">
        <v>92.949269131556321</v>
      </c>
      <c r="T16" s="55">
        <v>94.969905417024933</v>
      </c>
      <c r="U16" s="55">
        <v>85.877042132416165</v>
      </c>
      <c r="V16" s="55">
        <v>82.846087704213232</v>
      </c>
      <c r="W16" s="55">
        <v>60.619088564058472</v>
      </c>
      <c r="X16" s="55">
        <v>69.509888220120374</v>
      </c>
      <c r="Y16" s="55">
        <v>63.283319002579525</v>
      </c>
      <c r="DA16" s="10" t="s">
        <v>983</v>
      </c>
    </row>
    <row r="17" spans="1:105" x14ac:dyDescent="0.25">
      <c r="A17" s="61" t="s">
        <v>113</v>
      </c>
      <c r="B17" s="55">
        <v>2.9473774720550301</v>
      </c>
      <c r="C17" s="55">
        <v>4.8437661220980219</v>
      </c>
      <c r="D17" s="55">
        <v>3.8955288048151329</v>
      </c>
      <c r="E17" s="55">
        <v>2.101805674978503</v>
      </c>
      <c r="F17" s="55">
        <v>4.1010318142734317</v>
      </c>
      <c r="G17" s="55">
        <v>1.050902837489252</v>
      </c>
      <c r="H17" s="55">
        <v>0</v>
      </c>
      <c r="I17" s="55">
        <v>1.050902837489252</v>
      </c>
      <c r="J17" s="55">
        <v>1.8964746345657779</v>
      </c>
      <c r="K17" s="55">
        <v>1.999140154772141</v>
      </c>
      <c r="L17" s="55">
        <v>0.94823731728288907</v>
      </c>
      <c r="M17" s="55">
        <v>1.873516766981943</v>
      </c>
      <c r="N17" s="55">
        <v>0.93671539122957859</v>
      </c>
      <c r="O17" s="55">
        <v>0.93671539122957859</v>
      </c>
      <c r="P17" s="55">
        <v>1.9876182287188304</v>
      </c>
      <c r="Q17" s="55">
        <v>3.7470335339638861</v>
      </c>
      <c r="R17" s="55">
        <v>3.8611349957007741</v>
      </c>
      <c r="S17" s="55">
        <v>3.8611349957007741</v>
      </c>
      <c r="T17" s="55">
        <v>2.714273430782459</v>
      </c>
      <c r="U17" s="55">
        <v>3.4654342218400678</v>
      </c>
      <c r="V17" s="55">
        <v>2.3158211521926049</v>
      </c>
      <c r="W17" s="55">
        <v>2.5535683576956147</v>
      </c>
      <c r="X17" s="55">
        <v>3.5812553740326738</v>
      </c>
      <c r="Y17" s="55">
        <v>3.0669819432502141</v>
      </c>
      <c r="DA17" s="10" t="s">
        <v>984</v>
      </c>
    </row>
    <row r="18" spans="1:105" x14ac:dyDescent="0.25">
      <c r="A18" s="60" t="s">
        <v>149</v>
      </c>
      <c r="B18" s="55">
        <v>2.5580395528804809</v>
      </c>
      <c r="C18" s="55">
        <v>3.611349957007739</v>
      </c>
      <c r="D18" s="55">
        <v>4.062768701633706</v>
      </c>
      <c r="E18" s="55">
        <v>5.4815133276010313</v>
      </c>
      <c r="F18" s="55">
        <v>6.0619088564058474</v>
      </c>
      <c r="G18" s="55">
        <v>6.44883920894239</v>
      </c>
      <c r="H18" s="55">
        <v>7.1152192605331033</v>
      </c>
      <c r="I18" s="55">
        <v>7.0077386070507304</v>
      </c>
      <c r="J18" s="55">
        <v>6.4058469475494411</v>
      </c>
      <c r="K18" s="55">
        <v>7.6956147893379194</v>
      </c>
      <c r="L18" s="55">
        <v>8.16852966466036</v>
      </c>
      <c r="M18" s="55">
        <v>6.9647463456577814</v>
      </c>
      <c r="N18" s="55">
        <v>8.2545141874462598</v>
      </c>
      <c r="O18" s="55">
        <v>7.265692175408426</v>
      </c>
      <c r="P18" s="55">
        <v>5.4385210662080823</v>
      </c>
      <c r="Q18" s="55">
        <v>6.0404127257093716</v>
      </c>
      <c r="R18" s="55">
        <v>4.6216680997420463</v>
      </c>
      <c r="S18" s="55">
        <v>4.260017196904557</v>
      </c>
      <c r="T18" s="55">
        <v>4.2797836565582603</v>
      </c>
      <c r="U18" s="55">
        <v>4.0553226507494538</v>
      </c>
      <c r="V18" s="55">
        <v>3.5392429053267724</v>
      </c>
      <c r="W18" s="55">
        <v>2.9182770236557638</v>
      </c>
      <c r="X18" s="55">
        <v>2.3922501016354989</v>
      </c>
      <c r="Y18" s="55">
        <v>1.3728544733173602</v>
      </c>
      <c r="DA18" s="10" t="s">
        <v>985</v>
      </c>
    </row>
    <row r="19" spans="1:105" x14ac:dyDescent="0.25">
      <c r="A19" s="60" t="s">
        <v>51</v>
      </c>
      <c r="B19" s="55">
        <f>SUM(B20:B25)</f>
        <v>5.1590713671539117</v>
      </c>
      <c r="C19" s="55">
        <f t="shared" ref="C19:W19" si="29">SUM(C20:C25)</f>
        <v>7.452020636285468</v>
      </c>
      <c r="D19" s="55">
        <f t="shared" si="29"/>
        <v>7.452020636285468</v>
      </c>
      <c r="E19" s="55">
        <f t="shared" si="29"/>
        <v>4.5380911435941522</v>
      </c>
      <c r="F19" s="55">
        <f t="shared" si="29"/>
        <v>3.0572656921754078</v>
      </c>
      <c r="G19" s="55">
        <f t="shared" si="29"/>
        <v>5.0157351676698188</v>
      </c>
      <c r="H19" s="55">
        <f t="shared" si="29"/>
        <v>10.12708512467756</v>
      </c>
      <c r="I19" s="55">
        <f t="shared" si="29"/>
        <v>2.7705932932072228</v>
      </c>
      <c r="J19" s="55">
        <f t="shared" si="29"/>
        <v>3.6304385210662078</v>
      </c>
      <c r="K19" s="55">
        <f t="shared" si="29"/>
        <v>4.7769561478933786</v>
      </c>
      <c r="L19" s="55">
        <f t="shared" si="29"/>
        <v>4.3470335339638861</v>
      </c>
      <c r="M19" s="55">
        <f t="shared" si="29"/>
        <v>3.893207222699913</v>
      </c>
      <c r="N19" s="55">
        <f t="shared" si="29"/>
        <v>1.1942390369733451</v>
      </c>
      <c r="O19" s="55">
        <f t="shared" si="29"/>
        <v>4.275322441960447</v>
      </c>
      <c r="P19" s="55">
        <f t="shared" si="29"/>
        <v>5.8994840928632843</v>
      </c>
      <c r="Q19" s="55">
        <f t="shared" si="29"/>
        <v>4.0603611349957003</v>
      </c>
      <c r="R19" s="55">
        <f t="shared" si="29"/>
        <v>6.3533104041272566</v>
      </c>
      <c r="S19" s="55">
        <f t="shared" si="29"/>
        <v>5.5614789337919177</v>
      </c>
      <c r="T19" s="55">
        <f t="shared" si="29"/>
        <v>5.4882301009653851</v>
      </c>
      <c r="U19" s="55">
        <f t="shared" si="29"/>
        <v>4.1346171600845967</v>
      </c>
      <c r="V19" s="55">
        <f t="shared" si="29"/>
        <v>5.0960107490154458</v>
      </c>
      <c r="W19" s="55">
        <f t="shared" si="29"/>
        <v>5.8151709557079503</v>
      </c>
      <c r="X19" s="55">
        <f t="shared" ref="X19:Y19" si="30">SUM(X20:X25)</f>
        <v>5.4135968459139416</v>
      </c>
      <c r="Y19" s="55">
        <f t="shared" si="30"/>
        <v>1.7237921302939896</v>
      </c>
      <c r="DA19" s="10"/>
    </row>
    <row r="20" spans="1:105" x14ac:dyDescent="0.25">
      <c r="A20" s="61" t="s">
        <v>164</v>
      </c>
      <c r="B20" s="55">
        <v>5.1590713671539117</v>
      </c>
      <c r="C20" s="55">
        <v>7.452020636285468</v>
      </c>
      <c r="D20" s="55">
        <v>7.452020636285468</v>
      </c>
      <c r="E20" s="55">
        <v>4.5380911435941522</v>
      </c>
      <c r="F20" s="55">
        <v>3.0572656921754078</v>
      </c>
      <c r="G20" s="55">
        <v>5.0157351676698188</v>
      </c>
      <c r="H20" s="55">
        <v>10.12708512467756</v>
      </c>
      <c r="I20" s="55">
        <v>2.7705932932072228</v>
      </c>
      <c r="J20" s="55">
        <v>3.6304385210662078</v>
      </c>
      <c r="K20" s="55">
        <v>4.7769561478933786</v>
      </c>
      <c r="L20" s="55">
        <v>4.3470335339638861</v>
      </c>
      <c r="M20" s="55">
        <v>3.893207222699913</v>
      </c>
      <c r="N20" s="55">
        <v>1.1942390369733451</v>
      </c>
      <c r="O20" s="55">
        <v>4.275322441960447</v>
      </c>
      <c r="P20" s="55">
        <v>4.3231298366294064</v>
      </c>
      <c r="Q20" s="55">
        <v>4.0603611349957003</v>
      </c>
      <c r="R20" s="55">
        <v>3.8693035253654342</v>
      </c>
      <c r="S20" s="55">
        <v>3.8417884780739464</v>
      </c>
      <c r="T20" s="55">
        <v>3.7732588134135856</v>
      </c>
      <c r="U20" s="55">
        <v>4.1039552880481516</v>
      </c>
      <c r="V20" s="55">
        <v>5.0397248495270848</v>
      </c>
      <c r="W20" s="55">
        <v>5.7562338779019777</v>
      </c>
      <c r="X20" s="55">
        <v>5.2785038693035249</v>
      </c>
      <c r="Y20" s="55">
        <v>1.6702493551160789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1.5763542562338779</v>
      </c>
      <c r="Q21" s="55">
        <v>0</v>
      </c>
      <c r="R21" s="55">
        <v>2.4840068787618228</v>
      </c>
      <c r="S21" s="55">
        <v>1.7196904557179711</v>
      </c>
      <c r="T21" s="55">
        <v>1.7149712875517997</v>
      </c>
      <c r="U21" s="55">
        <v>3.0661872036445076E-2</v>
      </c>
      <c r="V21" s="55">
        <v>5.6285899488360741E-2</v>
      </c>
      <c r="W21" s="55">
        <v>5.8937077805972612E-2</v>
      </c>
      <c r="X21" s="55">
        <v>0.13509297661041669</v>
      </c>
      <c r="Y21" s="55">
        <v>5.3542775177910729E-2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1.265864144453998</v>
      </c>
      <c r="C26" s="55">
        <v>1.4569217540842649</v>
      </c>
      <c r="D26" s="55">
        <v>1.791315563198624</v>
      </c>
      <c r="E26" s="55">
        <v>1.5525365434221841</v>
      </c>
      <c r="F26" s="55">
        <v>2.1496130696474629</v>
      </c>
      <c r="G26" s="55">
        <v>2.2929492691315558</v>
      </c>
      <c r="H26" s="55">
        <v>2.1496130696474629</v>
      </c>
      <c r="I26" s="55">
        <v>2.3167669819432501</v>
      </c>
      <c r="J26" s="55">
        <v>1.863026655202064</v>
      </c>
      <c r="K26" s="55">
        <v>1.4808254514187451</v>
      </c>
      <c r="L26" s="55">
        <v>1.671883061049011</v>
      </c>
      <c r="M26" s="55">
        <v>2.1735167669819431</v>
      </c>
      <c r="N26" s="55">
        <v>1.6241616509028369</v>
      </c>
      <c r="O26" s="55">
        <v>1.050902837489252</v>
      </c>
      <c r="P26" s="55">
        <v>1.1942390369733451</v>
      </c>
      <c r="Q26" s="55">
        <v>1.8391229578675841</v>
      </c>
      <c r="R26" s="55">
        <v>1.863026655202064</v>
      </c>
      <c r="S26" s="55">
        <v>1.7674978503869301</v>
      </c>
      <c r="T26" s="55">
        <v>1.6241616509028369</v>
      </c>
      <c r="U26" s="55">
        <v>1.5525365434221841</v>
      </c>
      <c r="V26" s="55">
        <v>1.4808254514187451</v>
      </c>
      <c r="W26" s="55">
        <v>1.671883061049011</v>
      </c>
      <c r="X26" s="55">
        <v>1.9107480653482369</v>
      </c>
      <c r="Y26" s="55">
        <v>0.21539122957867579</v>
      </c>
      <c r="DA26" s="10" t="s">
        <v>992</v>
      </c>
    </row>
    <row r="27" spans="1:105" x14ac:dyDescent="0.25">
      <c r="A27" s="62" t="s">
        <v>24</v>
      </c>
      <c r="B27" s="63">
        <v>19.260533104041269</v>
      </c>
      <c r="C27" s="63">
        <v>17.540842648323299</v>
      </c>
      <c r="D27" s="63">
        <v>17.19690455717971</v>
      </c>
      <c r="E27" s="63">
        <v>18.05674978503869</v>
      </c>
      <c r="F27" s="63">
        <v>19.088564058469476</v>
      </c>
      <c r="G27" s="63">
        <v>18.916595012897677</v>
      </c>
      <c r="H27" s="63">
        <v>18.658641444539985</v>
      </c>
      <c r="I27" s="63">
        <v>16.766981943250215</v>
      </c>
      <c r="J27" s="63">
        <v>16.42304385210662</v>
      </c>
      <c r="K27" s="63">
        <v>15.133276010318138</v>
      </c>
      <c r="L27" s="63">
        <v>16.337059329320724</v>
      </c>
      <c r="M27" s="63">
        <v>16.251074806534827</v>
      </c>
      <c r="N27" s="63">
        <v>18.916595012897677</v>
      </c>
      <c r="O27" s="63">
        <v>17.712811693895098</v>
      </c>
      <c r="P27" s="63">
        <v>17.626827171109205</v>
      </c>
      <c r="Q27" s="63">
        <v>17.626827171109198</v>
      </c>
      <c r="R27" s="63">
        <v>18.486672398968182</v>
      </c>
      <c r="S27" s="63">
        <v>21.49613069647463</v>
      </c>
      <c r="T27" s="63">
        <v>14.187446259673264</v>
      </c>
      <c r="U27" s="63">
        <v>11.865864144453994</v>
      </c>
      <c r="V27" s="63">
        <v>11.965606190885644</v>
      </c>
      <c r="W27" s="63">
        <v>13.671539122957865</v>
      </c>
      <c r="X27" s="63">
        <v>12.714531384350817</v>
      </c>
      <c r="Y27" s="63">
        <v>11.760877042132414</v>
      </c>
      <c r="DA27" s="11" t="s">
        <v>993</v>
      </c>
    </row>
    <row r="29" spans="1:105" x14ac:dyDescent="0.25">
      <c r="A29" s="218" t="s">
        <v>84</v>
      </c>
      <c r="B29" s="219">
        <v>99.250643037182755</v>
      </c>
      <c r="C29" s="219">
        <v>224.4260736</v>
      </c>
      <c r="D29" s="219">
        <v>253.22275784603579</v>
      </c>
      <c r="E29" s="219">
        <v>272.31696161165962</v>
      </c>
      <c r="F29" s="219">
        <v>246.10434065242879</v>
      </c>
      <c r="G29" s="219">
        <v>237.07066196127093</v>
      </c>
      <c r="H29" s="219">
        <v>204.77799000000002</v>
      </c>
      <c r="I29" s="219">
        <v>216.17897500127813</v>
      </c>
      <c r="J29" s="219">
        <v>221.53186908000001</v>
      </c>
      <c r="K29" s="219">
        <v>215.13428172000005</v>
      </c>
      <c r="L29" s="219">
        <v>219.72813192000001</v>
      </c>
      <c r="M29" s="219">
        <v>263.78115696000003</v>
      </c>
      <c r="N29" s="219">
        <v>269.78027940000004</v>
      </c>
      <c r="O29" s="219">
        <v>264.32330940000003</v>
      </c>
      <c r="P29" s="219">
        <v>325.76940396000003</v>
      </c>
      <c r="Q29" s="219">
        <v>332.97769440000002</v>
      </c>
      <c r="R29" s="219">
        <v>329.94908908154724</v>
      </c>
      <c r="S29" s="219">
        <v>321.96788794903927</v>
      </c>
      <c r="T29" s="219">
        <v>319.71415841756402</v>
      </c>
      <c r="U29" s="219">
        <v>295.5070196911791</v>
      </c>
      <c r="V29" s="219">
        <v>281.63463732207219</v>
      </c>
      <c r="W29" s="219">
        <v>208.74560691088067</v>
      </c>
      <c r="X29" s="219">
        <v>238.86170615902097</v>
      </c>
      <c r="Y29" s="219">
        <v>214.63519892808455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78.23797947112979</v>
      </c>
      <c r="C31" s="59">
        <f t="shared" si="31"/>
        <v>141.131850269431</v>
      </c>
      <c r="D31" s="59">
        <f t="shared" si="31"/>
        <v>141.96317210065973</v>
      </c>
      <c r="E31" s="59">
        <f t="shared" si="31"/>
        <v>141.30907966332731</v>
      </c>
      <c r="F31" s="59">
        <f t="shared" si="31"/>
        <v>116.97248310730569</v>
      </c>
      <c r="G31" s="59">
        <f t="shared" si="31"/>
        <v>116.62678709919241</v>
      </c>
      <c r="H31" s="59">
        <f t="shared" si="31"/>
        <v>104.95541114703535</v>
      </c>
      <c r="I31" s="59">
        <f t="shared" si="31"/>
        <v>74.153234160289699</v>
      </c>
      <c r="J31" s="59">
        <f t="shared" si="31"/>
        <v>91.084856612412253</v>
      </c>
      <c r="K31" s="59">
        <f t="shared" si="31"/>
        <v>140.57227135459448</v>
      </c>
      <c r="L31" s="59">
        <f t="shared" si="31"/>
        <v>108.99903749456324</v>
      </c>
      <c r="M31" s="59">
        <f t="shared" si="31"/>
        <v>100.46932600809787</v>
      </c>
      <c r="N31" s="59">
        <f t="shared" si="31"/>
        <v>110.10373802458113</v>
      </c>
      <c r="O31" s="59">
        <f t="shared" si="31"/>
        <v>116.32747136791342</v>
      </c>
      <c r="P31" s="59">
        <f t="shared" si="31"/>
        <v>130.95410441510049</v>
      </c>
      <c r="Q31" s="59">
        <f t="shared" si="31"/>
        <v>143.60415335284779</v>
      </c>
      <c r="R31" s="59">
        <f t="shared" si="31"/>
        <v>186.54664021690289</v>
      </c>
      <c r="S31" s="59">
        <f t="shared" si="31"/>
        <v>158.21438697118444</v>
      </c>
      <c r="T31" s="59">
        <f t="shared" si="31"/>
        <v>163.26369255222835</v>
      </c>
      <c r="U31" s="59">
        <f t="shared" si="31"/>
        <v>129.95266504468248</v>
      </c>
      <c r="V31" s="59">
        <f t="shared" si="31"/>
        <v>153.19866274906249</v>
      </c>
      <c r="W31" s="59">
        <f t="shared" si="31"/>
        <v>113.57599548627375</v>
      </c>
      <c r="X31" s="59">
        <f t="shared" si="31"/>
        <v>100.61887881102537</v>
      </c>
      <c r="Y31" s="59">
        <f t="shared" si="31"/>
        <v>125.91858389502045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112.47171201628667</v>
      </c>
      <c r="C32" s="55">
        <f t="shared" si="32"/>
        <v>109.81942433546165</v>
      </c>
      <c r="D32" s="55">
        <f t="shared" si="32"/>
        <v>113.80906613357637</v>
      </c>
      <c r="E32" s="55">
        <f t="shared" si="32"/>
        <v>119.53787119840253</v>
      </c>
      <c r="F32" s="55">
        <f t="shared" si="32"/>
        <v>117.30616060932351</v>
      </c>
      <c r="G32" s="55">
        <f t="shared" si="32"/>
        <v>134.29403412451359</v>
      </c>
      <c r="H32" s="55">
        <f t="shared" si="32"/>
        <v>130.05722800154635</v>
      </c>
      <c r="I32" s="55">
        <f t="shared" si="32"/>
        <v>117.81469406104158</v>
      </c>
      <c r="J32" s="55">
        <f t="shared" si="32"/>
        <v>123.49619118298855</v>
      </c>
      <c r="K32" s="55">
        <f t="shared" si="32"/>
        <v>137.83360398812147</v>
      </c>
      <c r="L32" s="55">
        <f t="shared" si="32"/>
        <v>128.47617233393541</v>
      </c>
      <c r="M32" s="55">
        <f t="shared" si="32"/>
        <v>116.02131221383361</v>
      </c>
      <c r="N32" s="55">
        <f t="shared" si="32"/>
        <v>118.31216844961243</v>
      </c>
      <c r="O32" s="55">
        <f t="shared" si="32"/>
        <v>117.89482713876835</v>
      </c>
      <c r="P32" s="55">
        <f t="shared" si="32"/>
        <v>114.21265320772913</v>
      </c>
      <c r="Q32" s="55">
        <f t="shared" si="32"/>
        <v>116.67728719019789</v>
      </c>
      <c r="R32" s="55">
        <f t="shared" si="32"/>
        <v>118.41249825520168</v>
      </c>
      <c r="S32" s="55">
        <f t="shared" si="32"/>
        <v>109.25986032686191</v>
      </c>
      <c r="T32" s="55">
        <f t="shared" si="32"/>
        <v>115.03952384499115</v>
      </c>
      <c r="U32" s="55">
        <f t="shared" si="32"/>
        <v>114.31053707016743</v>
      </c>
      <c r="V32" s="55">
        <f t="shared" si="32"/>
        <v>121.02278233994656</v>
      </c>
      <c r="W32" s="55">
        <f t="shared" si="32"/>
        <v>115.61293230102248</v>
      </c>
      <c r="X32" s="55">
        <f t="shared" si="32"/>
        <v>98.926512660278462</v>
      </c>
      <c r="Y32" s="55">
        <f t="shared" si="32"/>
        <v>101.37891512464496</v>
      </c>
      <c r="DA32" s="216"/>
    </row>
    <row r="33" spans="1:105" x14ac:dyDescent="0.25">
      <c r="A33" s="35" t="s">
        <v>111</v>
      </c>
      <c r="B33" s="55">
        <f>IF(AGR_ued!B$5=0,"",AGR_ued!B$5/B$5*1000)</f>
        <v>50.264939451115644</v>
      </c>
      <c r="C33" s="55">
        <f>IF(AGR_ued!C$5=0,"",AGR_ued!C$5/C$5*1000)</f>
        <v>44.276443170917602</v>
      </c>
      <c r="D33" s="55">
        <f>IF(AGR_ued!D$5=0,"",AGR_ued!D$5/D$5*1000)</f>
        <v>45.545046165240734</v>
      </c>
      <c r="E33" s="55">
        <f>IF(AGR_ued!E$5=0,"",AGR_ued!E$5/E$5*1000)</f>
        <v>48.197973797977731</v>
      </c>
      <c r="F33" s="55">
        <f>IF(AGR_ued!F$5=0,"",AGR_ued!F$5/F$5*1000)</f>
        <v>48.053423209365995</v>
      </c>
      <c r="G33" s="55">
        <f>IF(AGR_ued!G$5=0,"",AGR_ued!G$5/G$5*1000)</f>
        <v>55.097156382944817</v>
      </c>
      <c r="H33" s="55">
        <f>IF(AGR_ued!H$5=0,"",AGR_ued!H$5/H$5*1000)</f>
        <v>53.300191517228328</v>
      </c>
      <c r="I33" s="55">
        <f>IF(AGR_ued!I$5=0,"",AGR_ued!I$5/I$5*1000)</f>
        <v>48.520168875866098</v>
      </c>
      <c r="J33" s="55">
        <f>IF(AGR_ued!J$5=0,"",AGR_ued!J$5/J$5*1000)</f>
        <v>50.433129115727219</v>
      </c>
      <c r="K33" s="55">
        <f>IF(AGR_ued!K$5=0,"",AGR_ued!K$5/K$5*1000)</f>
        <v>55.857251753040387</v>
      </c>
      <c r="L33" s="55">
        <f>IF(AGR_ued!L$5=0,"",AGR_ued!L$5/L$5*1000)</f>
        <v>52.503559725206706</v>
      </c>
      <c r="M33" s="55">
        <f>IF(AGR_ued!M$5=0,"",AGR_ued!M$5/M$5*1000)</f>
        <v>46.817014550698801</v>
      </c>
      <c r="N33" s="55">
        <f>IF(AGR_ued!N$5=0,"",AGR_ued!N$5/N$5*1000)</f>
        <v>48.441180176438884</v>
      </c>
      <c r="O33" s="55">
        <f>IF(AGR_ued!O$5=0,"",AGR_ued!O$5/O$5*1000)</f>
        <v>47.653703170251227</v>
      </c>
      <c r="P33" s="55">
        <f>IF(AGR_ued!P$5=0,"",AGR_ued!P$5/P$5*1000)</f>
        <v>45.471881034513174</v>
      </c>
      <c r="Q33" s="55">
        <f>IF(AGR_ued!Q$5=0,"",AGR_ued!Q$5/Q$5*1000)</f>
        <v>46.414570017536072</v>
      </c>
      <c r="R33" s="55">
        <f>IF(AGR_ued!R$5=0,"",AGR_ued!R$5/R$5*1000)</f>
        <v>47.181518617671109</v>
      </c>
      <c r="S33" s="55">
        <f>IF(AGR_ued!S$5=0,"",AGR_ued!S$5/S$5*1000)</f>
        <v>44.058639864236866</v>
      </c>
      <c r="T33" s="55">
        <f>IF(AGR_ued!T$5=0,"",AGR_ued!T$5/T$5*1000)</f>
        <v>45.358678256283468</v>
      </c>
      <c r="U33" s="55">
        <f>IF(AGR_ued!U$5=0,"",AGR_ued!U$5/U$5*1000)</f>
        <v>44.72969843537976</v>
      </c>
      <c r="V33" s="55">
        <f>IF(AGR_ued!V$5=0,"",AGR_ued!V$5/V$5*1000)</f>
        <v>47.401229412528536</v>
      </c>
      <c r="W33" s="55">
        <f>IF(AGR_ued!W$5=0,"",AGR_ued!W$5/W$5*1000)</f>
        <v>46.263662646376979</v>
      </c>
      <c r="X33" s="55">
        <f>IF(AGR_ued!X$5=0,"",AGR_ued!X$5/X$5*1000)</f>
        <v>39.121569209606527</v>
      </c>
      <c r="Y33" s="55">
        <f>IF(AGR_ued!Y$5=0,"",AGR_ued!Y$5/Y$5*1000)</f>
        <v>40.192286303846402</v>
      </c>
      <c r="DA33" s="216"/>
    </row>
    <row r="34" spans="1:105" x14ac:dyDescent="0.25">
      <c r="A34" s="37" t="s">
        <v>110</v>
      </c>
      <c r="B34" s="217">
        <f t="shared" ref="B34:Y34" si="33">IF(B$12=0,"",B$29/B$12)</f>
        <v>1.7083814026617465</v>
      </c>
      <c r="C34" s="217">
        <f t="shared" si="33"/>
        <v>2.2540599856020678</v>
      </c>
      <c r="D34" s="217">
        <f t="shared" si="33"/>
        <v>2.3274076963407673</v>
      </c>
      <c r="E34" s="217">
        <f t="shared" si="33"/>
        <v>2.4055775341508796</v>
      </c>
      <c r="F34" s="217">
        <f t="shared" si="33"/>
        <v>2.3453124223405384</v>
      </c>
      <c r="G34" s="217">
        <f t="shared" si="33"/>
        <v>2.2776519073366144</v>
      </c>
      <c r="H34" s="217">
        <f t="shared" si="33"/>
        <v>2.0753899022071791</v>
      </c>
      <c r="I34" s="217">
        <f t="shared" si="33"/>
        <v>2.317584004042021</v>
      </c>
      <c r="J34" s="217">
        <f t="shared" si="33"/>
        <v>2.3330039982472699</v>
      </c>
      <c r="K34" s="217">
        <f t="shared" si="33"/>
        <v>2.3184657206934616</v>
      </c>
      <c r="L34" s="217">
        <f t="shared" si="33"/>
        <v>2.3099421431408746</v>
      </c>
      <c r="M34" s="217">
        <f t="shared" si="33"/>
        <v>2.4211088004015484</v>
      </c>
      <c r="N34" s="217">
        <f t="shared" si="33"/>
        <v>2.4344489994436738</v>
      </c>
      <c r="O34" s="217">
        <f t="shared" si="33"/>
        <v>2.4002617953100081</v>
      </c>
      <c r="P34" s="217">
        <f t="shared" si="33"/>
        <v>2.4823493898822937</v>
      </c>
      <c r="Q34" s="217">
        <f t="shared" si="33"/>
        <v>2.5134600227504471</v>
      </c>
      <c r="R34" s="217">
        <f t="shared" si="33"/>
        <v>2.5116263233044736</v>
      </c>
      <c r="S34" s="217">
        <f t="shared" si="33"/>
        <v>2.4186299033044025</v>
      </c>
      <c r="T34" s="217">
        <f t="shared" si="33"/>
        <v>2.5602528268082732</v>
      </c>
      <c r="U34" s="217">
        <f t="shared" si="33"/>
        <v>2.6053723288669643</v>
      </c>
      <c r="V34" s="217">
        <f t="shared" si="33"/>
        <v>2.5609414576189593</v>
      </c>
      <c r="W34" s="217">
        <f t="shared" si="33"/>
        <v>2.3551378359584816</v>
      </c>
      <c r="X34" s="217">
        <f t="shared" si="33"/>
        <v>2.4558824790340181</v>
      </c>
      <c r="Y34" s="217">
        <f t="shared" si="33"/>
        <v>2.5905096876947766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58.096302665520199</v>
      </c>
      <c r="C5" s="80">
        <f t="shared" ref="C5:W5" si="1">SUM(C6:C9,C16:C17,C25:C27)</f>
        <v>99.565262252794469</v>
      </c>
      <c r="D5" s="80">
        <f t="shared" si="1"/>
        <v>108.80034393809112</v>
      </c>
      <c r="E5" s="80">
        <f t="shared" si="1"/>
        <v>113.20232158211519</v>
      </c>
      <c r="F5" s="80">
        <f t="shared" si="1"/>
        <v>104.93456577815996</v>
      </c>
      <c r="G5" s="80">
        <f t="shared" si="1"/>
        <v>104.08555460017196</v>
      </c>
      <c r="H5" s="80">
        <f t="shared" si="1"/>
        <v>98.669647463456585</v>
      </c>
      <c r="I5" s="80">
        <f t="shared" si="1"/>
        <v>93.277730008598454</v>
      </c>
      <c r="J5" s="80">
        <f t="shared" si="1"/>
        <v>94.955631986242423</v>
      </c>
      <c r="K5" s="80">
        <f t="shared" si="1"/>
        <v>92.791659501289729</v>
      </c>
      <c r="L5" s="80">
        <f t="shared" si="1"/>
        <v>95.122785898538254</v>
      </c>
      <c r="M5" s="80">
        <f t="shared" si="1"/>
        <v>108.9505588993981</v>
      </c>
      <c r="N5" s="80">
        <f t="shared" si="1"/>
        <v>110.81779879621668</v>
      </c>
      <c r="O5" s="80">
        <f t="shared" si="1"/>
        <v>110.12269991401543</v>
      </c>
      <c r="P5" s="80">
        <f t="shared" si="1"/>
        <v>131.23430782459155</v>
      </c>
      <c r="Q5" s="80">
        <f t="shared" si="1"/>
        <v>132.47781599312123</v>
      </c>
      <c r="R5" s="80">
        <f t="shared" si="1"/>
        <v>131.36870163370588</v>
      </c>
      <c r="S5" s="80">
        <f t="shared" si="1"/>
        <v>133.11994840928631</v>
      </c>
      <c r="T5" s="80">
        <f t="shared" si="1"/>
        <v>124.87601031814275</v>
      </c>
      <c r="U5" s="80">
        <f t="shared" si="1"/>
        <v>113.42218400687872</v>
      </c>
      <c r="V5" s="80">
        <f t="shared" si="1"/>
        <v>109.97308684436805</v>
      </c>
      <c r="W5" s="80">
        <f t="shared" si="1"/>
        <v>88.634135855545964</v>
      </c>
      <c r="X5" s="80">
        <f t="shared" ref="X5:Y5" si="2">SUM(X6:X9,X16:X17,X25:X27)</f>
        <v>97.261049011177931</v>
      </c>
      <c r="Y5" s="80">
        <f t="shared" si="2"/>
        <v>82.854428202923458</v>
      </c>
      <c r="DA5" s="103"/>
    </row>
    <row r="6" spans="1:105" x14ac:dyDescent="0.25">
      <c r="A6" s="238" t="s">
        <v>125</v>
      </c>
      <c r="B6" s="239">
        <v>2.3459048816509691</v>
      </c>
      <c r="C6" s="239">
        <v>2.7843635236566109</v>
      </c>
      <c r="D6" s="239">
        <v>2.836921101010371</v>
      </c>
      <c r="E6" s="239">
        <v>2.9987605955690091</v>
      </c>
      <c r="F6" s="239">
        <v>3.040605852951793</v>
      </c>
      <c r="G6" s="239">
        <v>3.023570307930497</v>
      </c>
      <c r="H6" s="239">
        <v>2.9157308870937362</v>
      </c>
      <c r="I6" s="239">
        <v>2.695831077305725</v>
      </c>
      <c r="J6" s="239">
        <v>2.6630932639125771</v>
      </c>
      <c r="K6" s="239">
        <v>2.489591238387773</v>
      </c>
      <c r="L6" s="239">
        <v>2.6628637528865071</v>
      </c>
      <c r="M6" s="239">
        <v>2.7610103314524701</v>
      </c>
      <c r="N6" s="239">
        <v>3.102891636044292</v>
      </c>
      <c r="O6" s="239">
        <v>2.9368820447437209</v>
      </c>
      <c r="P6" s="239">
        <v>3.0657950714338691</v>
      </c>
      <c r="Q6" s="239">
        <v>3.0654040581174891</v>
      </c>
      <c r="R6" s="239">
        <v>3.1578648245109191</v>
      </c>
      <c r="S6" s="239">
        <v>3.5430696056960631</v>
      </c>
      <c r="T6" s="239">
        <v>2.5551239307775928</v>
      </c>
      <c r="U6" s="239">
        <v>2.1621590959061159</v>
      </c>
      <c r="V6" s="239">
        <v>2.1643249434710659</v>
      </c>
      <c r="W6" s="239">
        <v>2.2733347006456288</v>
      </c>
      <c r="X6" s="239">
        <v>2.209222883330674</v>
      </c>
      <c r="Y6" s="239">
        <v>2.0072399218459762</v>
      </c>
      <c r="DA6" s="267" t="s">
        <v>995</v>
      </c>
    </row>
    <row r="7" spans="1:105" x14ac:dyDescent="0.25">
      <c r="A7" s="240" t="s">
        <v>124</v>
      </c>
      <c r="B7" s="241">
        <v>1.52483817307313</v>
      </c>
      <c r="C7" s="241">
        <v>1.8098362903767971</v>
      </c>
      <c r="D7" s="241">
        <v>1.8439987156567399</v>
      </c>
      <c r="E7" s="241">
        <v>1.949194387119856</v>
      </c>
      <c r="F7" s="241">
        <v>1.9763938044186651</v>
      </c>
      <c r="G7" s="241">
        <v>1.9653207001548221</v>
      </c>
      <c r="H7" s="241">
        <v>1.895225076610928</v>
      </c>
      <c r="I7" s="241">
        <v>1.7522902002487211</v>
      </c>
      <c r="J7" s="241">
        <v>1.7310106215431751</v>
      </c>
      <c r="K7" s="241">
        <v>1.618234304952052</v>
      </c>
      <c r="L7" s="241">
        <v>1.7308614393762281</v>
      </c>
      <c r="M7" s="241">
        <v>1.7946567154441051</v>
      </c>
      <c r="N7" s="241">
        <v>2.0168795634287902</v>
      </c>
      <c r="O7" s="241">
        <v>1.908973329083419</v>
      </c>
      <c r="P7" s="241">
        <v>1.9927667964320139</v>
      </c>
      <c r="Q7" s="241">
        <v>1.9925126377763669</v>
      </c>
      <c r="R7" s="241">
        <v>2.052612135932097</v>
      </c>
      <c r="S7" s="241">
        <v>2.3029952437024401</v>
      </c>
      <c r="T7" s="241">
        <v>1.660830555005435</v>
      </c>
      <c r="U7" s="241">
        <v>1.4054034123389749</v>
      </c>
      <c r="V7" s="241">
        <v>1.406811213256193</v>
      </c>
      <c r="W7" s="241">
        <v>1.477667555419659</v>
      </c>
      <c r="X7" s="241">
        <v>1.4359948741649391</v>
      </c>
      <c r="Y7" s="241">
        <v>1.304705949199884</v>
      </c>
      <c r="DA7" s="268" t="s">
        <v>996</v>
      </c>
    </row>
    <row r="8" spans="1:105" x14ac:dyDescent="0.25">
      <c r="A8" s="240" t="s">
        <v>123</v>
      </c>
      <c r="B8" s="241">
        <v>2.111314393485872</v>
      </c>
      <c r="C8" s="241">
        <v>2.505927171290951</v>
      </c>
      <c r="D8" s="241">
        <v>2.5532289909093331</v>
      </c>
      <c r="E8" s="241">
        <v>2.6988845360121072</v>
      </c>
      <c r="F8" s="241">
        <v>2.7365452676566129</v>
      </c>
      <c r="G8" s="241">
        <v>2.7212132771374469</v>
      </c>
      <c r="H8" s="241">
        <v>2.624157798384362</v>
      </c>
      <c r="I8" s="241">
        <v>2.4262479695751531</v>
      </c>
      <c r="J8" s="241">
        <v>2.3967839375213189</v>
      </c>
      <c r="K8" s="241">
        <v>2.2406321145489958</v>
      </c>
      <c r="L8" s="241">
        <v>2.3965773775978549</v>
      </c>
      <c r="M8" s="241">
        <v>2.484909298307223</v>
      </c>
      <c r="N8" s="241">
        <v>2.7926024724398628</v>
      </c>
      <c r="O8" s="241">
        <v>2.6431938402693489</v>
      </c>
      <c r="P8" s="241">
        <v>2.7592155642904812</v>
      </c>
      <c r="Q8" s="241">
        <v>2.758863652305739</v>
      </c>
      <c r="R8" s="241">
        <v>2.8420783420598261</v>
      </c>
      <c r="S8" s="241">
        <v>3.188762645126455</v>
      </c>
      <c r="T8" s="241">
        <v>2.2996115376998341</v>
      </c>
      <c r="U8" s="241">
        <v>1.945943186315505</v>
      </c>
      <c r="V8" s="241">
        <v>1.9478924491239591</v>
      </c>
      <c r="W8" s="241">
        <v>2.0460012305810662</v>
      </c>
      <c r="X8" s="241">
        <v>1.9883005949976069</v>
      </c>
      <c r="Y8" s="241">
        <v>1.806515929661378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12.779474269356339</v>
      </c>
      <c r="C9" s="243">
        <f t="shared" ref="C9:W9" si="4">SUM(C10:C15)</f>
        <v>19.294627511018291</v>
      </c>
      <c r="D9" s="243">
        <f t="shared" si="4"/>
        <v>21.268677137801117</v>
      </c>
      <c r="E9" s="243">
        <f t="shared" si="4"/>
        <v>22.42896034515438</v>
      </c>
      <c r="F9" s="243">
        <f t="shared" si="4"/>
        <v>20.979982016498266</v>
      </c>
      <c r="G9" s="243">
        <f t="shared" si="4"/>
        <v>20.950987829823955</v>
      </c>
      <c r="H9" s="243">
        <f t="shared" si="4"/>
        <v>19.676690537034588</v>
      </c>
      <c r="I9" s="243">
        <f t="shared" si="4"/>
        <v>18.932864450351161</v>
      </c>
      <c r="J9" s="243">
        <f t="shared" si="4"/>
        <v>19.011895846211949</v>
      </c>
      <c r="K9" s="243">
        <f t="shared" si="4"/>
        <v>18.430030108491291</v>
      </c>
      <c r="L9" s="243">
        <f t="shared" si="4"/>
        <v>19.118312040660044</v>
      </c>
      <c r="M9" s="243">
        <f t="shared" si="4"/>
        <v>21.995505759973767</v>
      </c>
      <c r="N9" s="243">
        <f t="shared" si="4"/>
        <v>22.294606718664273</v>
      </c>
      <c r="O9" s="243">
        <f t="shared" si="4"/>
        <v>21.773975945745534</v>
      </c>
      <c r="P9" s="243">
        <f t="shared" si="4"/>
        <v>26.090155830401226</v>
      </c>
      <c r="Q9" s="243">
        <f t="shared" si="4"/>
        <v>26.346391817333185</v>
      </c>
      <c r="R9" s="243">
        <f t="shared" si="4"/>
        <v>25.870438097654002</v>
      </c>
      <c r="S9" s="243">
        <f t="shared" si="4"/>
        <v>26.174660171190517</v>
      </c>
      <c r="T9" s="243">
        <f t="shared" si="4"/>
        <v>25.175623843637329</v>
      </c>
      <c r="U9" s="243">
        <f t="shared" si="4"/>
        <v>22.789743860701144</v>
      </c>
      <c r="V9" s="243">
        <f t="shared" si="4"/>
        <v>21.980377330448533</v>
      </c>
      <c r="W9" s="243">
        <f t="shared" si="4"/>
        <v>17.401672102353839</v>
      </c>
      <c r="X9" s="243">
        <f t="shared" ref="X9:Y9" si="5">SUM(X10:X15)</f>
        <v>19.232316009527128</v>
      </c>
      <c r="Y9" s="243">
        <f t="shared" si="5"/>
        <v>16.054708714681329</v>
      </c>
      <c r="DA9" s="269"/>
    </row>
    <row r="10" spans="1:105" x14ac:dyDescent="0.25">
      <c r="A10" s="253" t="s">
        <v>166</v>
      </c>
      <c r="B10" s="254">
        <v>3.2920612510648581</v>
      </c>
      <c r="C10" s="254">
        <v>12.91035199327488</v>
      </c>
      <c r="D10" s="254">
        <v>14.99267688630874</v>
      </c>
      <c r="E10" s="254">
        <v>15.93740284338608</v>
      </c>
      <c r="F10" s="254">
        <v>12.932328761112959</v>
      </c>
      <c r="G10" s="254">
        <v>12.75679649972216</v>
      </c>
      <c r="H10" s="254">
        <v>11.02809305256236</v>
      </c>
      <c r="I10" s="254">
        <v>11.066797696969079</v>
      </c>
      <c r="J10" s="254">
        <v>11.900015632173121</v>
      </c>
      <c r="K10" s="254">
        <v>11.582653371637569</v>
      </c>
      <c r="L10" s="254">
        <v>11.725329144876451</v>
      </c>
      <c r="M10" s="254">
        <v>15.031149768136119</v>
      </c>
      <c r="N10" s="254">
        <v>14.612621083209291</v>
      </c>
      <c r="O10" s="254">
        <v>15.21175234894802</v>
      </c>
      <c r="P10" s="254">
        <v>20.1302857722516</v>
      </c>
      <c r="Q10" s="254">
        <v>20.048954414116992</v>
      </c>
      <c r="R10" s="254">
        <v>18.712523476739751</v>
      </c>
      <c r="S10" s="254">
        <v>18.534243857877922</v>
      </c>
      <c r="T10" s="254">
        <v>19.984812181579159</v>
      </c>
      <c r="U10" s="254">
        <v>18.65921504682743</v>
      </c>
      <c r="V10" s="254">
        <v>18.013510900705491</v>
      </c>
      <c r="W10" s="254">
        <v>12.348100817993149</v>
      </c>
      <c r="X10" s="254">
        <v>14.717917857636021</v>
      </c>
      <c r="Y10" s="254">
        <v>13.59792467755388</v>
      </c>
      <c r="DA10" s="270" t="s">
        <v>998</v>
      </c>
    </row>
    <row r="11" spans="1:105" x14ac:dyDescent="0.25">
      <c r="A11" s="253" t="s">
        <v>169</v>
      </c>
      <c r="B11" s="255">
        <v>0.6905401786743034</v>
      </c>
      <c r="C11" s="255">
        <v>1.3083287330445259</v>
      </c>
      <c r="D11" s="255">
        <v>1.4723856357409779</v>
      </c>
      <c r="E11" s="255">
        <v>1.8760741501716769</v>
      </c>
      <c r="F11" s="255">
        <v>2.01250539131351</v>
      </c>
      <c r="G11" s="255">
        <v>2.1024985881792571</v>
      </c>
      <c r="H11" s="255">
        <v>2.4189974066730242</v>
      </c>
      <c r="I11" s="255">
        <v>2.2614732137947882</v>
      </c>
      <c r="J11" s="255">
        <v>2.14127602576322</v>
      </c>
      <c r="K11" s="255">
        <v>2.68123146645822</v>
      </c>
      <c r="L11" s="255">
        <v>2.698359269266025</v>
      </c>
      <c r="M11" s="255">
        <v>2.3448160747290872</v>
      </c>
      <c r="N11" s="255">
        <v>2.6556871511381068</v>
      </c>
      <c r="O11" s="255">
        <v>2.4829192882736209</v>
      </c>
      <c r="P11" s="255">
        <v>2.4677792067542081</v>
      </c>
      <c r="Q11" s="255">
        <v>2.1585075643199469</v>
      </c>
      <c r="R11" s="255">
        <v>2.5975396886178541</v>
      </c>
      <c r="S11" s="255">
        <v>2.0921357939438132</v>
      </c>
      <c r="T11" s="255">
        <v>2.154823404661109</v>
      </c>
      <c r="U11" s="255">
        <v>1.5229236050718979</v>
      </c>
      <c r="V11" s="255">
        <v>1.3420595040326859</v>
      </c>
      <c r="W11" s="255">
        <v>1.0768226031302439</v>
      </c>
      <c r="X11" s="255">
        <v>0.93523311792583574</v>
      </c>
      <c r="Y11" s="255">
        <v>0.5167153736932053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1.265864144429325</v>
      </c>
      <c r="C14" s="254">
        <v>1.456921754086689</v>
      </c>
      <c r="D14" s="254">
        <v>1.7913155631986459</v>
      </c>
      <c r="E14" s="254">
        <v>1.5525365434207921</v>
      </c>
      <c r="F14" s="254">
        <v>2.1496130696507132</v>
      </c>
      <c r="G14" s="254">
        <v>2.2929492691296391</v>
      </c>
      <c r="H14" s="254">
        <v>2.149613069639416</v>
      </c>
      <c r="I14" s="254">
        <v>2.316766981946818</v>
      </c>
      <c r="J14" s="254">
        <v>1.8630266552029491</v>
      </c>
      <c r="K14" s="254">
        <v>1.4808254514186161</v>
      </c>
      <c r="L14" s="254">
        <v>1.6718830610492661</v>
      </c>
      <c r="M14" s="254">
        <v>2.1735167669777851</v>
      </c>
      <c r="N14" s="254">
        <v>1.62416165090227</v>
      </c>
      <c r="O14" s="254">
        <v>1.050902837488314</v>
      </c>
      <c r="P14" s="254">
        <v>1.194239036971543</v>
      </c>
      <c r="Q14" s="254">
        <v>1.839122957864862</v>
      </c>
      <c r="R14" s="254">
        <v>1.8630266551996131</v>
      </c>
      <c r="S14" s="254">
        <v>1.767497850386454</v>
      </c>
      <c r="T14" s="254">
        <v>1.6241616508973289</v>
      </c>
      <c r="U14" s="254">
        <v>1.552536543418142</v>
      </c>
      <c r="V14" s="254">
        <v>1.4808254514125401</v>
      </c>
      <c r="W14" s="254">
        <v>1.671883061048635</v>
      </c>
      <c r="X14" s="254">
        <v>1.9107480653421021</v>
      </c>
      <c r="Y14" s="254">
        <v>0.2153912295779391</v>
      </c>
      <c r="DA14" s="270" t="s">
        <v>1002</v>
      </c>
    </row>
    <row r="15" spans="1:105" x14ac:dyDescent="0.25">
      <c r="A15" s="253" t="s">
        <v>24</v>
      </c>
      <c r="B15" s="255">
        <v>7.5310086951878512</v>
      </c>
      <c r="C15" s="255">
        <v>3.6190250306121952</v>
      </c>
      <c r="D15" s="255">
        <v>3.012299052552752</v>
      </c>
      <c r="E15" s="255">
        <v>3.0629468081758322</v>
      </c>
      <c r="F15" s="255">
        <v>3.8855347944210821</v>
      </c>
      <c r="G15" s="255">
        <v>3.7987434727928999</v>
      </c>
      <c r="H15" s="255">
        <v>4.0799870081597867</v>
      </c>
      <c r="I15" s="255">
        <v>3.2878265576404768</v>
      </c>
      <c r="J15" s="255">
        <v>3.107577533072658</v>
      </c>
      <c r="K15" s="255">
        <v>2.685319818976887</v>
      </c>
      <c r="L15" s="255">
        <v>3.0227405654683022</v>
      </c>
      <c r="M15" s="255">
        <v>2.446023150130777</v>
      </c>
      <c r="N15" s="255">
        <v>3.4021368334146058</v>
      </c>
      <c r="O15" s="255">
        <v>3.02840147103558</v>
      </c>
      <c r="P15" s="255">
        <v>2.2978518144238742</v>
      </c>
      <c r="Q15" s="255">
        <v>2.2998068810313832</v>
      </c>
      <c r="R15" s="255">
        <v>2.697348277096788</v>
      </c>
      <c r="S15" s="255">
        <v>3.780782668982325</v>
      </c>
      <c r="T15" s="255">
        <v>1.4118266064997329</v>
      </c>
      <c r="U15" s="255">
        <v>1.0550686653836721</v>
      </c>
      <c r="V15" s="255">
        <v>1.1439814742978189</v>
      </c>
      <c r="W15" s="255">
        <v>2.304865620181809</v>
      </c>
      <c r="X15" s="255">
        <v>1.6684169686231709</v>
      </c>
      <c r="Y15" s="255">
        <v>1.724677433856302</v>
      </c>
      <c r="DA15" s="271" t="s">
        <v>1003</v>
      </c>
    </row>
    <row r="16" spans="1:105" x14ac:dyDescent="0.25">
      <c r="A16" s="256" t="s">
        <v>168</v>
      </c>
      <c r="B16" s="257">
        <v>11.80476420359574</v>
      </c>
      <c r="C16" s="257">
        <v>24.345936449794159</v>
      </c>
      <c r="D16" s="257">
        <v>27.16399093968624</v>
      </c>
      <c r="E16" s="257">
        <v>28.73741505458861</v>
      </c>
      <c r="F16" s="257">
        <v>25.800447551036982</v>
      </c>
      <c r="G16" s="257">
        <v>25.654284148470829</v>
      </c>
      <c r="H16" s="257">
        <v>23.638760662921371</v>
      </c>
      <c r="I16" s="257">
        <v>22.929986713572671</v>
      </c>
      <c r="J16" s="257">
        <v>23.5286910919924</v>
      </c>
      <c r="K16" s="257">
        <v>22.962384260842569</v>
      </c>
      <c r="L16" s="257">
        <v>23.61672972616784</v>
      </c>
      <c r="M16" s="257">
        <v>27.80491643640508</v>
      </c>
      <c r="N16" s="257">
        <v>28.004061597944311</v>
      </c>
      <c r="O16" s="257">
        <v>27.916428389261551</v>
      </c>
      <c r="P16" s="257">
        <v>34.205847062071697</v>
      </c>
      <c r="Q16" s="257">
        <v>34.295048797579689</v>
      </c>
      <c r="R16" s="257">
        <v>33.33430315623562</v>
      </c>
      <c r="S16" s="257">
        <v>33.531621724532741</v>
      </c>
      <c r="T16" s="257">
        <v>33.025665113907387</v>
      </c>
      <c r="U16" s="257">
        <v>30.041820943468618</v>
      </c>
      <c r="V16" s="257">
        <v>29.01112962515877</v>
      </c>
      <c r="W16" s="257">
        <v>22.210881750316879</v>
      </c>
      <c r="X16" s="257">
        <v>24.943560291218969</v>
      </c>
      <c r="Y16" s="257">
        <v>21.596234197348839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19.514155964931327</v>
      </c>
      <c r="C17" s="257">
        <f t="shared" ref="C17:W17" si="7">SUM(C18:C24)</f>
        <v>37.324606092526707</v>
      </c>
      <c r="D17" s="257">
        <f t="shared" si="7"/>
        <v>40.963283119255152</v>
      </c>
      <c r="E17" s="257">
        <f t="shared" si="7"/>
        <v>41.520009412067694</v>
      </c>
      <c r="F17" s="257">
        <f t="shared" si="7"/>
        <v>37.993335935093846</v>
      </c>
      <c r="G17" s="257">
        <f t="shared" si="7"/>
        <v>37.432746587341505</v>
      </c>
      <c r="H17" s="257">
        <f t="shared" si="7"/>
        <v>36.233156967715985</v>
      </c>
      <c r="I17" s="257">
        <f t="shared" si="7"/>
        <v>33.529535418924709</v>
      </c>
      <c r="J17" s="257">
        <f t="shared" si="7"/>
        <v>34.578344653502789</v>
      </c>
      <c r="K17" s="257">
        <f t="shared" si="7"/>
        <v>34.538875442095552</v>
      </c>
      <c r="L17" s="257">
        <f t="shared" si="7"/>
        <v>34.535273935058832</v>
      </c>
      <c r="M17" s="257">
        <f t="shared" si="7"/>
        <v>40.002138633968663</v>
      </c>
      <c r="N17" s="257">
        <f t="shared" si="7"/>
        <v>39.623458485187562</v>
      </c>
      <c r="O17" s="257">
        <f t="shared" si="7"/>
        <v>40.383510992450141</v>
      </c>
      <c r="P17" s="257">
        <f t="shared" si="7"/>
        <v>49.036390999842297</v>
      </c>
      <c r="Q17" s="257">
        <f t="shared" si="7"/>
        <v>49.919275655653301</v>
      </c>
      <c r="R17" s="257">
        <f t="shared" si="7"/>
        <v>49.969172106868484</v>
      </c>
      <c r="S17" s="257">
        <f t="shared" si="7"/>
        <v>49.25493792739254</v>
      </c>
      <c r="T17" s="257">
        <f t="shared" si="7"/>
        <v>47.552944928254867</v>
      </c>
      <c r="U17" s="257">
        <f t="shared" si="7"/>
        <v>44.007037468610385</v>
      </c>
      <c r="V17" s="257">
        <f t="shared" si="7"/>
        <v>42.585224843148872</v>
      </c>
      <c r="W17" s="257">
        <f t="shared" si="7"/>
        <v>33.386902471938569</v>
      </c>
      <c r="X17" s="257">
        <f t="shared" ref="X17:Y17" si="8">SUM(X18:X24)</f>
        <v>37.245945311043585</v>
      </c>
      <c r="Y17" s="257">
        <f t="shared" si="8"/>
        <v>31.017389303561487</v>
      </c>
      <c r="DA17" s="272"/>
    </row>
    <row r="18" spans="1:105" x14ac:dyDescent="0.25">
      <c r="A18" s="61" t="s">
        <v>29</v>
      </c>
      <c r="B18" s="55">
        <v>0.63714531385771922</v>
      </c>
      <c r="C18" s="55">
        <v>0</v>
      </c>
      <c r="D18" s="55">
        <v>0.64858125537014644</v>
      </c>
      <c r="E18" s="55">
        <v>0.64617368872769221</v>
      </c>
      <c r="F18" s="55">
        <v>0.76423043851273287</v>
      </c>
      <c r="G18" s="55">
        <v>0.64858125537853661</v>
      </c>
      <c r="H18" s="55">
        <v>0</v>
      </c>
      <c r="I18" s="55">
        <v>0.64858125536391364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3.0807394668730739</v>
      </c>
      <c r="S18" s="55">
        <v>1.0509028374774461</v>
      </c>
      <c r="T18" s="55">
        <v>0.52545141874076606</v>
      </c>
      <c r="U18" s="55">
        <v>0.2978503869288287</v>
      </c>
      <c r="V18" s="55">
        <v>0.14299226139167209</v>
      </c>
      <c r="W18" s="55">
        <v>0.29785038692804677</v>
      </c>
      <c r="X18" s="55">
        <v>0</v>
      </c>
      <c r="Y18" s="55">
        <v>0</v>
      </c>
      <c r="DA18" s="101" t="s">
        <v>1005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1.0867583834740171</v>
      </c>
      <c r="J19" s="55">
        <v>1.086758383481546</v>
      </c>
      <c r="K19" s="55">
        <v>1.0867583834803589</v>
      </c>
      <c r="L19" s="55">
        <v>0</v>
      </c>
      <c r="M19" s="55">
        <v>0</v>
      </c>
      <c r="N19" s="55">
        <v>1.0867583834801069</v>
      </c>
      <c r="O19" s="55">
        <v>1.0867583834784471</v>
      </c>
      <c r="P19" s="55">
        <v>1.086758383485511</v>
      </c>
      <c r="Q19" s="55">
        <v>2.1735167669704492</v>
      </c>
      <c r="R19" s="55">
        <v>2.1735167669657982</v>
      </c>
      <c r="S19" s="55">
        <v>2.1735167669575248</v>
      </c>
      <c r="T19" s="55">
        <v>1.086758383482989</v>
      </c>
      <c r="U19" s="55">
        <v>2.173516766970824</v>
      </c>
      <c r="V19" s="55">
        <v>2.5865004298995111</v>
      </c>
      <c r="W19" s="55">
        <v>1.0867583834825589</v>
      </c>
      <c r="X19" s="55">
        <v>1.738779019753296</v>
      </c>
      <c r="Y19" s="55">
        <v>1.4312123817480451</v>
      </c>
      <c r="DA19" s="101" t="s">
        <v>1006</v>
      </c>
    </row>
    <row r="20" spans="1:105" x14ac:dyDescent="0.25">
      <c r="A20" s="61" t="s">
        <v>166</v>
      </c>
      <c r="B20" s="55">
        <v>8.9030624374494849</v>
      </c>
      <c r="C20" s="55">
        <v>22.725798110315729</v>
      </c>
      <c r="D20" s="55">
        <v>26.376769356975181</v>
      </c>
      <c r="E20" s="55">
        <v>30.62849972747183</v>
      </c>
      <c r="F20" s="55">
        <v>26.021404525159099</v>
      </c>
      <c r="G20" s="55">
        <v>26.37118670597021</v>
      </c>
      <c r="H20" s="55">
        <v>21.40984998895793</v>
      </c>
      <c r="I20" s="55">
        <v>23.22643425626455</v>
      </c>
      <c r="J20" s="55">
        <v>23.700102192686948</v>
      </c>
      <c r="K20" s="55">
        <v>21.661637433185351</v>
      </c>
      <c r="L20" s="55">
        <v>23.769832688517699</v>
      </c>
      <c r="M20" s="55">
        <v>29.615484373479841</v>
      </c>
      <c r="N20" s="55">
        <v>30.806918637274588</v>
      </c>
      <c r="O20" s="55">
        <v>29.301941888764269</v>
      </c>
      <c r="P20" s="55">
        <v>37.091788435379087</v>
      </c>
      <c r="Q20" s="55">
        <v>36.05645905839885</v>
      </c>
      <c r="R20" s="55">
        <v>32.476342062171717</v>
      </c>
      <c r="S20" s="55">
        <v>34.440022990634908</v>
      </c>
      <c r="T20" s="55">
        <v>35.613271342469297</v>
      </c>
      <c r="U20" s="55">
        <v>31.403219887164308</v>
      </c>
      <c r="V20" s="55">
        <v>30.246716849447001</v>
      </c>
      <c r="W20" s="55">
        <v>21.792099967678158</v>
      </c>
      <c r="X20" s="55">
        <v>25.055297087776129</v>
      </c>
      <c r="Y20" s="55">
        <v>23.939263748738529</v>
      </c>
      <c r="DA20" s="101" t="s">
        <v>1007</v>
      </c>
    </row>
    <row r="21" spans="1:105" x14ac:dyDescent="0.25">
      <c r="A21" s="61" t="s">
        <v>129</v>
      </c>
      <c r="B21" s="55">
        <v>2.9473774721207699</v>
      </c>
      <c r="C21" s="55">
        <v>4.8437661220522683</v>
      </c>
      <c r="D21" s="55">
        <v>3.8955288047917911</v>
      </c>
      <c r="E21" s="55">
        <v>2.1018056749513918</v>
      </c>
      <c r="F21" s="55">
        <v>4.1010318142287154</v>
      </c>
      <c r="G21" s="55">
        <v>1.0509028374965499</v>
      </c>
      <c r="H21" s="55">
        <v>0</v>
      </c>
      <c r="I21" s="55">
        <v>1.050902837472856</v>
      </c>
      <c r="J21" s="55">
        <v>1.8964746345493291</v>
      </c>
      <c r="K21" s="55">
        <v>1.999140154752618</v>
      </c>
      <c r="L21" s="55">
        <v>0.94823731727404659</v>
      </c>
      <c r="M21" s="55">
        <v>1.8735167669607959</v>
      </c>
      <c r="N21" s="55">
        <v>0.93671539122021363</v>
      </c>
      <c r="O21" s="55">
        <v>0.936715391218783</v>
      </c>
      <c r="P21" s="55">
        <v>1.987618228708842</v>
      </c>
      <c r="Q21" s="55">
        <v>3.747033533944069</v>
      </c>
      <c r="R21" s="55">
        <v>3.8611349956720931</v>
      </c>
      <c r="S21" s="55">
        <v>3.8611349956573959</v>
      </c>
      <c r="T21" s="55">
        <v>2.7142734307625189</v>
      </c>
      <c r="U21" s="55">
        <v>3.4654342218223402</v>
      </c>
      <c r="V21" s="55">
        <v>2.3158211521719201</v>
      </c>
      <c r="W21" s="55">
        <v>2.553568357675847</v>
      </c>
      <c r="X21" s="55">
        <v>3.5812553739850062</v>
      </c>
      <c r="Y21" s="55">
        <v>3.0669819432004219</v>
      </c>
      <c r="DA21" s="101" t="s">
        <v>1008</v>
      </c>
    </row>
    <row r="22" spans="1:105" x14ac:dyDescent="0.25">
      <c r="A22" s="61" t="s">
        <v>169</v>
      </c>
      <c r="B22" s="55">
        <v>1.867499374234372</v>
      </c>
      <c r="C22" s="55">
        <v>2.3030212239436358</v>
      </c>
      <c r="D22" s="55">
        <v>2.5903830658772251</v>
      </c>
      <c r="E22" s="55">
        <v>3.6054391773811658</v>
      </c>
      <c r="F22" s="55">
        <v>4.0494034650512267</v>
      </c>
      <c r="G22" s="55">
        <v>4.3463406207915583</v>
      </c>
      <c r="H22" s="55">
        <v>4.6962218539237197</v>
      </c>
      <c r="I22" s="55">
        <v>4.746265393185376</v>
      </c>
      <c r="J22" s="55">
        <v>4.2645709217502494</v>
      </c>
      <c r="K22" s="55">
        <v>5.0143833228304961</v>
      </c>
      <c r="L22" s="55">
        <v>5.4701703953437368</v>
      </c>
      <c r="M22" s="55">
        <v>4.6199302708720609</v>
      </c>
      <c r="N22" s="55">
        <v>5.59882703625125</v>
      </c>
      <c r="O22" s="55">
        <v>4.7827728870774679</v>
      </c>
      <c r="P22" s="55">
        <v>4.5470961156611764</v>
      </c>
      <c r="Q22" s="55">
        <v>3.881905161365701</v>
      </c>
      <c r="R22" s="55">
        <v>4.5081352898491112</v>
      </c>
      <c r="S22" s="55">
        <v>3.887571858634479</v>
      </c>
      <c r="T22" s="55">
        <v>3.8399315394134361</v>
      </c>
      <c r="U22" s="55">
        <v>2.5630609176969239</v>
      </c>
      <c r="V22" s="55">
        <v>2.2534693007566959</v>
      </c>
      <c r="W22" s="55">
        <v>1.9003914983165391</v>
      </c>
      <c r="X22" s="55">
        <v>1.592109960295885</v>
      </c>
      <c r="Y22" s="55">
        <v>0.90968187478552986</v>
      </c>
      <c r="DA22" s="101" t="s">
        <v>1009</v>
      </c>
    </row>
    <row r="23" spans="1:105" x14ac:dyDescent="0.25">
      <c r="A23" s="61" t="s">
        <v>164</v>
      </c>
      <c r="B23" s="55">
        <v>5.1590713672689814</v>
      </c>
      <c r="C23" s="55">
        <v>7.4520206362150772</v>
      </c>
      <c r="D23" s="55">
        <v>7.4520206362408139</v>
      </c>
      <c r="E23" s="55">
        <v>4.5380911435356142</v>
      </c>
      <c r="F23" s="55">
        <v>3.0572656921420722</v>
      </c>
      <c r="G23" s="55">
        <v>5.0157351677046504</v>
      </c>
      <c r="H23" s="55">
        <v>10.127085124834331</v>
      </c>
      <c r="I23" s="55">
        <v>2.7705932931639969</v>
      </c>
      <c r="J23" s="55">
        <v>3.6304385210347201</v>
      </c>
      <c r="K23" s="55">
        <v>4.776956147846728</v>
      </c>
      <c r="L23" s="55">
        <v>4.3470335339233488</v>
      </c>
      <c r="M23" s="55">
        <v>3.8932072226559691</v>
      </c>
      <c r="N23" s="55">
        <v>1.194239036961406</v>
      </c>
      <c r="O23" s="55">
        <v>4.2753224419111744</v>
      </c>
      <c r="P23" s="55">
        <v>4.3231298366076816</v>
      </c>
      <c r="Q23" s="55">
        <v>4.0603611349742277</v>
      </c>
      <c r="R23" s="55">
        <v>3.8693035253366932</v>
      </c>
      <c r="S23" s="55">
        <v>3.8417884780307858</v>
      </c>
      <c r="T23" s="55">
        <v>3.7732588133858682</v>
      </c>
      <c r="U23" s="55">
        <v>4.1039552880271577</v>
      </c>
      <c r="V23" s="55">
        <v>5.0397248494820701</v>
      </c>
      <c r="W23" s="55">
        <v>5.7562338778574178</v>
      </c>
      <c r="X23" s="55">
        <v>5.2785038692332664</v>
      </c>
      <c r="Y23" s="55">
        <v>1.670249355088963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1011</v>
      </c>
    </row>
    <row r="25" spans="1:105" x14ac:dyDescent="0.25">
      <c r="A25" s="256" t="s">
        <v>167</v>
      </c>
      <c r="B25" s="257">
        <v>2.2683838193819419</v>
      </c>
      <c r="C25" s="257">
        <v>4.6782745811722553</v>
      </c>
      <c r="D25" s="257">
        <v>5.2197872362967583</v>
      </c>
      <c r="E25" s="257">
        <v>5.52213379245946</v>
      </c>
      <c r="F25" s="257">
        <v>4.9577710107718929</v>
      </c>
      <c r="G25" s="257">
        <v>4.9296844948831753</v>
      </c>
      <c r="H25" s="257">
        <v>4.5423848603159671</v>
      </c>
      <c r="I25" s="257">
        <v>4.406188039221286</v>
      </c>
      <c r="J25" s="257">
        <v>4.5212340749724094</v>
      </c>
      <c r="K25" s="257">
        <v>4.4124134979214551</v>
      </c>
      <c r="L25" s="257">
        <v>4.5381514322190046</v>
      </c>
      <c r="M25" s="257">
        <v>5.3429464117882528</v>
      </c>
      <c r="N25" s="257">
        <v>5.3812138141990689</v>
      </c>
      <c r="O25" s="257">
        <v>5.3643743628395972</v>
      </c>
      <c r="P25" s="257">
        <v>6.5729385751070071</v>
      </c>
      <c r="Q25" s="257">
        <v>6.5900794319676166</v>
      </c>
      <c r="R25" s="257">
        <v>6.4054641503931844</v>
      </c>
      <c r="S25" s="257">
        <v>6.4433805576902028</v>
      </c>
      <c r="T25" s="257">
        <v>6.3461567784551791</v>
      </c>
      <c r="U25" s="257">
        <v>5.7727862545679924</v>
      </c>
      <c r="V25" s="257">
        <v>5.5747303282565328</v>
      </c>
      <c r="W25" s="257">
        <v>4.2680060277085259</v>
      </c>
      <c r="X25" s="257">
        <v>4.793112982734903</v>
      </c>
      <c r="Y25" s="257">
        <v>4.1498963781019116</v>
      </c>
      <c r="DA25" s="272" t="s">
        <v>1012</v>
      </c>
    </row>
    <row r="26" spans="1:105" x14ac:dyDescent="0.25">
      <c r="A26" s="256" t="s">
        <v>170</v>
      </c>
      <c r="B26" s="257">
        <v>2.3459048816509691</v>
      </c>
      <c r="C26" s="257">
        <v>2.7843635236566109</v>
      </c>
      <c r="D26" s="257">
        <v>2.836921101010371</v>
      </c>
      <c r="E26" s="257">
        <v>2.9987605955690091</v>
      </c>
      <c r="F26" s="257">
        <v>3.040605852951793</v>
      </c>
      <c r="G26" s="257">
        <v>3.023570307930497</v>
      </c>
      <c r="H26" s="257">
        <v>2.9157308870937362</v>
      </c>
      <c r="I26" s="257">
        <v>2.695831077305725</v>
      </c>
      <c r="J26" s="257">
        <v>2.6630932639125771</v>
      </c>
      <c r="K26" s="257">
        <v>2.489591238387773</v>
      </c>
      <c r="L26" s="257">
        <v>2.6628637528865071</v>
      </c>
      <c r="M26" s="257">
        <v>2.7610103314524701</v>
      </c>
      <c r="N26" s="257">
        <v>3.102891636044292</v>
      </c>
      <c r="O26" s="257">
        <v>2.9368820447437209</v>
      </c>
      <c r="P26" s="257">
        <v>3.0657950714338691</v>
      </c>
      <c r="Q26" s="257">
        <v>3.0654040581174891</v>
      </c>
      <c r="R26" s="257">
        <v>3.1578648245109191</v>
      </c>
      <c r="S26" s="257">
        <v>3.5430696056960631</v>
      </c>
      <c r="T26" s="257">
        <v>2.5551239307775928</v>
      </c>
      <c r="U26" s="257">
        <v>2.1621590959061159</v>
      </c>
      <c r="V26" s="257">
        <v>2.1643249434710659</v>
      </c>
      <c r="W26" s="257">
        <v>2.2733347006456288</v>
      </c>
      <c r="X26" s="257">
        <v>2.209222883330674</v>
      </c>
      <c r="Y26" s="257">
        <v>2.0072399218459762</v>
      </c>
      <c r="DA26" s="272" t="s">
        <v>1013</v>
      </c>
    </row>
    <row r="27" spans="1:105" x14ac:dyDescent="0.25">
      <c r="A27" s="128" t="s">
        <v>33</v>
      </c>
      <c r="B27" s="258">
        <v>3.4015620783939058</v>
      </c>
      <c r="C27" s="258">
        <v>4.0373271093020868</v>
      </c>
      <c r="D27" s="258">
        <v>4.113535596465038</v>
      </c>
      <c r="E27" s="258">
        <v>4.3482028635750636</v>
      </c>
      <c r="F27" s="258">
        <v>4.4088784867800994</v>
      </c>
      <c r="G27" s="258">
        <v>4.3841769464992204</v>
      </c>
      <c r="H27" s="258">
        <v>4.227809786285917</v>
      </c>
      <c r="I27" s="258">
        <v>3.9089550620933009</v>
      </c>
      <c r="J27" s="258">
        <v>3.8614852326732372</v>
      </c>
      <c r="K27" s="258">
        <v>3.6099072956622709</v>
      </c>
      <c r="L27" s="258">
        <v>3.861152441685435</v>
      </c>
      <c r="M27" s="258">
        <v>4.0034649806060809</v>
      </c>
      <c r="N27" s="258">
        <v>4.499192872264226</v>
      </c>
      <c r="O27" s="258">
        <v>4.2584789648783969</v>
      </c>
      <c r="P27" s="258">
        <v>4.4454028535791092</v>
      </c>
      <c r="Q27" s="258">
        <v>4.4448358842703586</v>
      </c>
      <c r="R27" s="258">
        <v>4.5789039955408324</v>
      </c>
      <c r="S27" s="258">
        <v>5.1374509282592893</v>
      </c>
      <c r="T27" s="258">
        <v>3.7049296996275101</v>
      </c>
      <c r="U27" s="258">
        <v>3.1351306890638679</v>
      </c>
      <c r="V27" s="258">
        <v>3.1382711680330462</v>
      </c>
      <c r="W27" s="258">
        <v>3.296335315936163</v>
      </c>
      <c r="X27" s="258">
        <v>3.203373180829479</v>
      </c>
      <c r="Y27" s="258">
        <v>2.9104978866766649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1</v>
      </c>
      <c r="D31" s="235">
        <f t="shared" si="9"/>
        <v>1</v>
      </c>
      <c r="E31" s="235">
        <f t="shared" si="9"/>
        <v>1</v>
      </c>
      <c r="F31" s="235">
        <f t="shared" si="9"/>
        <v>0.99999999999999989</v>
      </c>
      <c r="G31" s="235">
        <f t="shared" si="9"/>
        <v>1</v>
      </c>
      <c r="H31" s="235">
        <f t="shared" si="9"/>
        <v>1</v>
      </c>
      <c r="I31" s="235">
        <f t="shared" si="9"/>
        <v>1</v>
      </c>
      <c r="J31" s="235">
        <f t="shared" si="9"/>
        <v>1</v>
      </c>
      <c r="K31" s="235">
        <f t="shared" si="9"/>
        <v>1</v>
      </c>
      <c r="L31" s="235">
        <f t="shared" si="9"/>
        <v>1</v>
      </c>
      <c r="M31" s="235">
        <f t="shared" si="9"/>
        <v>1</v>
      </c>
      <c r="N31" s="235">
        <f t="shared" si="9"/>
        <v>0.99999999999999989</v>
      </c>
      <c r="O31" s="235">
        <f t="shared" si="9"/>
        <v>1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1</v>
      </c>
      <c r="T31" s="235">
        <f t="shared" si="10"/>
        <v>0.99999999999999989</v>
      </c>
      <c r="U31" s="235">
        <f t="shared" si="10"/>
        <v>0.99999999999999989</v>
      </c>
      <c r="V31" s="235">
        <f t="shared" si="10"/>
        <v>0.99999999999999978</v>
      </c>
      <c r="W31" s="235">
        <f t="shared" si="10"/>
        <v>1</v>
      </c>
      <c r="X31" s="235">
        <f t="shared" ref="X31:Y31" si="11">SUM(X32:X40)</f>
        <v>1.0000000000000002</v>
      </c>
      <c r="Y31" s="235">
        <f t="shared" si="11"/>
        <v>0.99999999999999989</v>
      </c>
      <c r="DA31" s="274"/>
    </row>
    <row r="32" spans="1:105" x14ac:dyDescent="0.25">
      <c r="A32" s="238" t="s">
        <v>125</v>
      </c>
      <c r="B32" s="244">
        <f t="shared" ref="B32:Y32" si="12">IF(B$6=0,0,B$6/B$5)</f>
        <v>4.0379589991416949E-2</v>
      </c>
      <c r="C32" s="244">
        <f t="shared" si="12"/>
        <v>2.7965210562968842E-2</v>
      </c>
      <c r="D32" s="244">
        <f t="shared" si="12"/>
        <v>2.6074560045734947E-2</v>
      </c>
      <c r="E32" s="244">
        <f t="shared" si="12"/>
        <v>2.6490274701599252E-2</v>
      </c>
      <c r="F32" s="244">
        <f t="shared" si="12"/>
        <v>2.8976208462899403E-2</v>
      </c>
      <c r="G32" s="244">
        <f t="shared" si="12"/>
        <v>2.9048894628510742E-2</v>
      </c>
      <c r="H32" s="244">
        <f t="shared" si="12"/>
        <v>2.9550433816778458E-2</v>
      </c>
      <c r="I32" s="244">
        <f t="shared" si="12"/>
        <v>2.890112224061649E-2</v>
      </c>
      <c r="J32" s="244">
        <f t="shared" si="12"/>
        <v>2.804565888517721E-2</v>
      </c>
      <c r="K32" s="244">
        <f t="shared" si="12"/>
        <v>2.6829903159056766E-2</v>
      </c>
      <c r="L32" s="244">
        <f t="shared" si="12"/>
        <v>2.7993963041902742E-2</v>
      </c>
      <c r="M32" s="244">
        <f t="shared" si="12"/>
        <v>2.5341864781087627E-2</v>
      </c>
      <c r="N32" s="244">
        <f t="shared" si="12"/>
        <v>2.7999939267429528E-2</v>
      </c>
      <c r="O32" s="244">
        <f t="shared" si="12"/>
        <v>2.6669179442901952E-2</v>
      </c>
      <c r="P32" s="244">
        <f t="shared" si="12"/>
        <v>2.3361231695081034E-2</v>
      </c>
      <c r="Q32" s="244">
        <f t="shared" si="12"/>
        <v>2.3138999047785155E-2</v>
      </c>
      <c r="R32" s="244">
        <f t="shared" si="12"/>
        <v>2.4038182498872251E-2</v>
      </c>
      <c r="S32" s="244">
        <f t="shared" si="12"/>
        <v>2.6615617328836813E-2</v>
      </c>
      <c r="T32" s="244">
        <f t="shared" si="12"/>
        <v>2.0461287354296333E-2</v>
      </c>
      <c r="U32" s="244">
        <f t="shared" si="12"/>
        <v>1.9062929486307435E-2</v>
      </c>
      <c r="V32" s="244">
        <f t="shared" si="12"/>
        <v>1.9680496433950062E-2</v>
      </c>
      <c r="W32" s="244">
        <f t="shared" si="12"/>
        <v>2.5648523322331043E-2</v>
      </c>
      <c r="X32" s="244">
        <f t="shared" si="12"/>
        <v>2.2714364134369704E-2</v>
      </c>
      <c r="Y32" s="244">
        <f t="shared" si="12"/>
        <v>2.4226103123057365E-2</v>
      </c>
      <c r="DA32" s="275"/>
    </row>
    <row r="33" spans="1:105" x14ac:dyDescent="0.25">
      <c r="A33" s="240" t="s">
        <v>124</v>
      </c>
      <c r="B33" s="245">
        <f t="shared" ref="B33:Y33" si="13">IF(B$7=0,0,B$7/B$5)</f>
        <v>2.6246733494421016E-2</v>
      </c>
      <c r="C33" s="245">
        <f t="shared" si="13"/>
        <v>1.8177386865929748E-2</v>
      </c>
      <c r="D33" s="245">
        <f t="shared" si="13"/>
        <v>1.6948464029727703E-2</v>
      </c>
      <c r="E33" s="245">
        <f t="shared" si="13"/>
        <v>1.7218678556039514E-2</v>
      </c>
      <c r="F33" s="245">
        <f t="shared" si="13"/>
        <v>1.8834535500884611E-2</v>
      </c>
      <c r="G33" s="245">
        <f t="shared" si="13"/>
        <v>1.8881781508531974E-2</v>
      </c>
      <c r="H33" s="245">
        <f t="shared" si="13"/>
        <v>1.9207781980905992E-2</v>
      </c>
      <c r="I33" s="245">
        <f t="shared" si="13"/>
        <v>1.8785729456400717E-2</v>
      </c>
      <c r="J33" s="245">
        <f t="shared" si="13"/>
        <v>1.8229678275365185E-2</v>
      </c>
      <c r="K33" s="245">
        <f t="shared" si="13"/>
        <v>1.7439437053386894E-2</v>
      </c>
      <c r="L33" s="245">
        <f t="shared" si="13"/>
        <v>1.8196075977236766E-2</v>
      </c>
      <c r="M33" s="245">
        <f t="shared" si="13"/>
        <v>1.6472212107706954E-2</v>
      </c>
      <c r="N33" s="245">
        <f t="shared" si="13"/>
        <v>1.8199960523829196E-2</v>
      </c>
      <c r="O33" s="245">
        <f t="shared" si="13"/>
        <v>1.7334966637886272E-2</v>
      </c>
      <c r="P33" s="245">
        <f t="shared" si="13"/>
        <v>1.5184800601802665E-2</v>
      </c>
      <c r="Q33" s="245">
        <f t="shared" si="13"/>
        <v>1.5040349381060343E-2</v>
      </c>
      <c r="R33" s="245">
        <f t="shared" si="13"/>
        <v>1.562481862426696E-2</v>
      </c>
      <c r="S33" s="245">
        <f t="shared" si="13"/>
        <v>1.7300151263743922E-2</v>
      </c>
      <c r="T33" s="245">
        <f t="shared" si="13"/>
        <v>1.3299836780292614E-2</v>
      </c>
      <c r="U33" s="245">
        <f t="shared" si="13"/>
        <v>1.2390904166099828E-2</v>
      </c>
      <c r="V33" s="245">
        <f t="shared" si="13"/>
        <v>1.2792322682067541E-2</v>
      </c>
      <c r="W33" s="245">
        <f t="shared" si="13"/>
        <v>1.6671540159515181E-2</v>
      </c>
      <c r="X33" s="245">
        <f t="shared" si="13"/>
        <v>1.4764336687340318E-2</v>
      </c>
      <c r="Y33" s="245">
        <f t="shared" si="13"/>
        <v>1.5746967029987281E-2</v>
      </c>
      <c r="DA33" s="276"/>
    </row>
    <row r="34" spans="1:105" x14ac:dyDescent="0.25">
      <c r="A34" s="240" t="s">
        <v>123</v>
      </c>
      <c r="B34" s="245">
        <f t="shared" ref="B34:Y34" si="14">IF(B$8=0,0,B$8/B$5)</f>
        <v>3.6341630992275248E-2</v>
      </c>
      <c r="C34" s="245">
        <f t="shared" si="14"/>
        <v>2.5168689506671969E-2</v>
      </c>
      <c r="D34" s="245">
        <f t="shared" si="14"/>
        <v>2.3467104041161445E-2</v>
      </c>
      <c r="E34" s="245">
        <f t="shared" si="14"/>
        <v>2.3841247231439319E-2</v>
      </c>
      <c r="F34" s="245">
        <f t="shared" si="14"/>
        <v>2.6078587616609455E-2</v>
      </c>
      <c r="G34" s="245">
        <f t="shared" si="14"/>
        <v>2.6144005165659664E-2</v>
      </c>
      <c r="H34" s="245">
        <f t="shared" si="14"/>
        <v>2.6595390435100605E-2</v>
      </c>
      <c r="I34" s="245">
        <f t="shared" si="14"/>
        <v>2.6011010016554849E-2</v>
      </c>
      <c r="J34" s="245">
        <f t="shared" si="14"/>
        <v>2.5241092996659484E-2</v>
      </c>
      <c r="K34" s="245">
        <f t="shared" si="14"/>
        <v>2.414691284315109E-2</v>
      </c>
      <c r="L34" s="245">
        <f t="shared" si="14"/>
        <v>2.5194566737712452E-2</v>
      </c>
      <c r="M34" s="245">
        <f t="shared" si="14"/>
        <v>2.2807678302978866E-2</v>
      </c>
      <c r="N34" s="245">
        <f t="shared" si="14"/>
        <v>2.5199945340686574E-2</v>
      </c>
      <c r="O34" s="245">
        <f t="shared" si="14"/>
        <v>2.400226149861176E-2</v>
      </c>
      <c r="P34" s="245">
        <f t="shared" si="14"/>
        <v>2.1025108525572923E-2</v>
      </c>
      <c r="Q34" s="245">
        <f t="shared" si="14"/>
        <v>2.0825099143006631E-2</v>
      </c>
      <c r="R34" s="245">
        <f t="shared" si="14"/>
        <v>2.1634364248985016E-2</v>
      </c>
      <c r="S34" s="245">
        <f t="shared" si="14"/>
        <v>2.3954055595953119E-2</v>
      </c>
      <c r="T34" s="245">
        <f t="shared" si="14"/>
        <v>1.8415158618866705E-2</v>
      </c>
      <c r="U34" s="245">
        <f t="shared" si="14"/>
        <v>1.7156636537676698E-2</v>
      </c>
      <c r="V34" s="245">
        <f t="shared" si="14"/>
        <v>1.7712446790555052E-2</v>
      </c>
      <c r="W34" s="245">
        <f t="shared" si="14"/>
        <v>2.3083670990097942E-2</v>
      </c>
      <c r="X34" s="245">
        <f t="shared" si="14"/>
        <v>2.0442927720932737E-2</v>
      </c>
      <c r="Y34" s="245">
        <f t="shared" si="14"/>
        <v>2.1803492810751623E-2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0.2199705262300776</v>
      </c>
      <c r="C35" s="246">
        <f t="shared" si="15"/>
        <v>0.19378874794734702</v>
      </c>
      <c r="D35" s="246">
        <f t="shared" si="15"/>
        <v>0.19548354690774952</v>
      </c>
      <c r="E35" s="246">
        <f t="shared" si="15"/>
        <v>0.19813162867763948</v>
      </c>
      <c r="F35" s="246">
        <f t="shared" si="15"/>
        <v>0.19993394798861244</v>
      </c>
      <c r="G35" s="246">
        <f t="shared" si="15"/>
        <v>0.20128621988232498</v>
      </c>
      <c r="H35" s="246">
        <f t="shared" si="15"/>
        <v>0.19941989297490975</v>
      </c>
      <c r="I35" s="246">
        <f t="shared" si="15"/>
        <v>0.20297304028095353</v>
      </c>
      <c r="J35" s="246">
        <f t="shared" si="15"/>
        <v>0.20021872793144566</v>
      </c>
      <c r="K35" s="246">
        <f t="shared" si="15"/>
        <v>0.19861731331828514</v>
      </c>
      <c r="L35" s="246">
        <f t="shared" si="15"/>
        <v>0.20098561937675369</v>
      </c>
      <c r="M35" s="246">
        <f t="shared" si="15"/>
        <v>0.201885203547086</v>
      </c>
      <c r="N35" s="246">
        <f t="shared" si="15"/>
        <v>0.20118254432811755</v>
      </c>
      <c r="O35" s="246">
        <f t="shared" si="15"/>
        <v>0.19772468312842681</v>
      </c>
      <c r="P35" s="246">
        <f t="shared" si="15"/>
        <v>0.19880590878166907</v>
      </c>
      <c r="Q35" s="246">
        <f t="shared" si="15"/>
        <v>0.19887398973048584</v>
      </c>
      <c r="R35" s="246">
        <f t="shared" si="15"/>
        <v>0.1969299976016228</v>
      </c>
      <c r="S35" s="246">
        <f t="shared" si="15"/>
        <v>0.19662462676679193</v>
      </c>
      <c r="T35" s="246">
        <f t="shared" si="15"/>
        <v>0.2016049662340923</v>
      </c>
      <c r="U35" s="246">
        <f t="shared" si="15"/>
        <v>0.20092845205060603</v>
      </c>
      <c r="V35" s="246">
        <f t="shared" si="15"/>
        <v>0.19987051342438691</v>
      </c>
      <c r="W35" s="246">
        <f t="shared" si="15"/>
        <v>0.1963314916356235</v>
      </c>
      <c r="X35" s="246">
        <f t="shared" si="15"/>
        <v>0.19773913817562069</v>
      </c>
      <c r="Y35" s="246">
        <f t="shared" si="15"/>
        <v>0.19377007436899854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0.20319303745644032</v>
      </c>
      <c r="C36" s="259">
        <f t="shared" si="16"/>
        <v>0.24452239565221301</v>
      </c>
      <c r="D36" s="259">
        <f t="shared" si="16"/>
        <v>0.24966824512193567</v>
      </c>
      <c r="E36" s="259">
        <f t="shared" si="16"/>
        <v>0.25385888427864917</v>
      </c>
      <c r="F36" s="259">
        <f t="shared" si="16"/>
        <v>0.24587177122914086</v>
      </c>
      <c r="G36" s="259">
        <f t="shared" si="16"/>
        <v>0.24647305043449752</v>
      </c>
      <c r="H36" s="259">
        <f t="shared" si="16"/>
        <v>0.23957479600478204</v>
      </c>
      <c r="I36" s="259">
        <f t="shared" si="16"/>
        <v>0.24582487922314317</v>
      </c>
      <c r="J36" s="259">
        <f t="shared" si="16"/>
        <v>0.2477861565431036</v>
      </c>
      <c r="K36" s="259">
        <f t="shared" si="16"/>
        <v>0.24746172645531153</v>
      </c>
      <c r="L36" s="259">
        <f t="shared" si="16"/>
        <v>0.24827626212880669</v>
      </c>
      <c r="M36" s="259">
        <f t="shared" si="16"/>
        <v>0.2552067352135326</v>
      </c>
      <c r="N36" s="259">
        <f t="shared" si="16"/>
        <v>0.25270364419925989</v>
      </c>
      <c r="O36" s="259">
        <f t="shared" si="16"/>
        <v>0.25350294181906996</v>
      </c>
      <c r="P36" s="259">
        <f t="shared" si="16"/>
        <v>0.26064714043976522</v>
      </c>
      <c r="Q36" s="259">
        <f t="shared" si="16"/>
        <v>0.25887389930522725</v>
      </c>
      <c r="R36" s="259">
        <f t="shared" si="16"/>
        <v>0.25374615674577761</v>
      </c>
      <c r="S36" s="259">
        <f t="shared" si="16"/>
        <v>0.25189028485375831</v>
      </c>
      <c r="T36" s="259">
        <f t="shared" si="16"/>
        <v>0.26446765099052189</v>
      </c>
      <c r="U36" s="259">
        <f t="shared" si="16"/>
        <v>0.26486724097683279</v>
      </c>
      <c r="V36" s="259">
        <f t="shared" si="16"/>
        <v>0.26380208519757931</v>
      </c>
      <c r="W36" s="259">
        <f t="shared" si="16"/>
        <v>0.25059060525524507</v>
      </c>
      <c r="X36" s="259">
        <f t="shared" si="16"/>
        <v>0.25645991427002063</v>
      </c>
      <c r="Y36" s="259">
        <f t="shared" si="16"/>
        <v>0.26065274561374419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0.33589325085420385</v>
      </c>
      <c r="C37" s="259">
        <f t="shared" si="17"/>
        <v>0.37487578747857042</v>
      </c>
      <c r="D37" s="259">
        <f t="shared" si="17"/>
        <v>0.37649957377491217</v>
      </c>
      <c r="E37" s="259">
        <f t="shared" si="17"/>
        <v>0.3667770133313894</v>
      </c>
      <c r="F37" s="259">
        <f t="shared" si="17"/>
        <v>0.36206692859829226</v>
      </c>
      <c r="G37" s="259">
        <f t="shared" si="17"/>
        <v>0.35963440586096146</v>
      </c>
      <c r="H37" s="259">
        <f t="shared" si="17"/>
        <v>0.36721684833358043</v>
      </c>
      <c r="I37" s="259">
        <f t="shared" si="17"/>
        <v>0.35945917011310113</v>
      </c>
      <c r="J37" s="259">
        <f t="shared" si="17"/>
        <v>0.36415264613806841</v>
      </c>
      <c r="K37" s="259">
        <f t="shared" si="17"/>
        <v>0.37221961141470361</v>
      </c>
      <c r="L37" s="259">
        <f t="shared" si="17"/>
        <v>0.36305995045073142</v>
      </c>
      <c r="M37" s="259">
        <f t="shared" si="17"/>
        <v>0.36715863633986051</v>
      </c>
      <c r="N37" s="259">
        <f t="shared" si="17"/>
        <v>0.35755500393985723</v>
      </c>
      <c r="O37" s="259">
        <f t="shared" si="17"/>
        <v>0.36671377494360263</v>
      </c>
      <c r="P37" s="259">
        <f t="shared" si="17"/>
        <v>0.37365527210601507</v>
      </c>
      <c r="Q37" s="259">
        <f t="shared" si="17"/>
        <v>0.37681233858992141</v>
      </c>
      <c r="R37" s="259">
        <f t="shared" si="17"/>
        <v>0.38037349448879426</v>
      </c>
      <c r="S37" s="259">
        <f t="shared" si="17"/>
        <v>0.37000418431619952</v>
      </c>
      <c r="T37" s="259">
        <f t="shared" si="17"/>
        <v>0.38080128286534543</v>
      </c>
      <c r="U37" s="259">
        <f t="shared" si="17"/>
        <v>0.38799321185652258</v>
      </c>
      <c r="V37" s="259">
        <f t="shared" si="17"/>
        <v>0.38723315008348108</v>
      </c>
      <c r="W37" s="259">
        <f t="shared" si="17"/>
        <v>0.37668221334443691</v>
      </c>
      <c r="X37" s="259">
        <f t="shared" si="17"/>
        <v>0.38294821708907351</v>
      </c>
      <c r="Y37" s="259">
        <f t="shared" si="17"/>
        <v>0.37436006712393266</v>
      </c>
      <c r="DA37" s="278"/>
    </row>
    <row r="38" spans="1:105" x14ac:dyDescent="0.25">
      <c r="A38" s="127" t="s">
        <v>167</v>
      </c>
      <c r="B38" s="259">
        <f t="shared" ref="B38:Y38" si="18">IF(B$25=0,0,B$25/B$5)</f>
        <v>3.9045235502193396E-2</v>
      </c>
      <c r="C38" s="259">
        <f t="shared" si="18"/>
        <v>4.6987016107025333E-2</v>
      </c>
      <c r="D38" s="259">
        <f t="shared" si="18"/>
        <v>4.7975833966727978E-2</v>
      </c>
      <c r="E38" s="259">
        <f t="shared" si="18"/>
        <v>4.8781100204325675E-2</v>
      </c>
      <c r="F38" s="259">
        <f t="shared" si="18"/>
        <v>4.7246309869457277E-2</v>
      </c>
      <c r="G38" s="259">
        <f t="shared" si="18"/>
        <v>4.736185067966224E-2</v>
      </c>
      <c r="H38" s="259">
        <f t="shared" si="18"/>
        <v>4.6036293602835565E-2</v>
      </c>
      <c r="I38" s="259">
        <f t="shared" si="18"/>
        <v>4.7237299179719729E-2</v>
      </c>
      <c r="J38" s="259">
        <f t="shared" si="18"/>
        <v>4.7614174961496385E-2</v>
      </c>
      <c r="K38" s="259">
        <f t="shared" si="18"/>
        <v>4.7551833016415947E-2</v>
      </c>
      <c r="L38" s="259">
        <f t="shared" si="18"/>
        <v>4.7708352834194508E-2</v>
      </c>
      <c r="M38" s="259">
        <f t="shared" si="18"/>
        <v>4.9040100994082826E-2</v>
      </c>
      <c r="N38" s="259">
        <f t="shared" si="18"/>
        <v>4.8559111195617642E-2</v>
      </c>
      <c r="O38" s="259">
        <f t="shared" si="18"/>
        <v>4.8712702894390877E-2</v>
      </c>
      <c r="P38" s="259">
        <f t="shared" si="18"/>
        <v>5.0085520197145628E-2</v>
      </c>
      <c r="Q38" s="259">
        <f t="shared" si="18"/>
        <v>4.9744777135439788E-2</v>
      </c>
      <c r="R38" s="259">
        <f t="shared" si="18"/>
        <v>4.8759438669444113E-2</v>
      </c>
      <c r="S38" s="259">
        <f t="shared" si="18"/>
        <v>4.8402817419066241E-2</v>
      </c>
      <c r="T38" s="259">
        <f t="shared" si="18"/>
        <v>5.0819663138558575E-2</v>
      </c>
      <c r="U38" s="259">
        <f t="shared" si="18"/>
        <v>5.0896447684501384E-2</v>
      </c>
      <c r="V38" s="259">
        <f t="shared" si="18"/>
        <v>5.069176912480225E-2</v>
      </c>
      <c r="W38" s="259">
        <f t="shared" si="18"/>
        <v>4.8153073153039273E-2</v>
      </c>
      <c r="X38" s="259">
        <f t="shared" si="18"/>
        <v>4.9280909793436883E-2</v>
      </c>
      <c r="Y38" s="259">
        <f t="shared" si="18"/>
        <v>5.0086597278037645E-2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4.0379589991416949E-2</v>
      </c>
      <c r="C39" s="259">
        <f t="shared" si="19"/>
        <v>2.7965210562968842E-2</v>
      </c>
      <c r="D39" s="259">
        <f t="shared" si="19"/>
        <v>2.6074560045734947E-2</v>
      </c>
      <c r="E39" s="259">
        <f t="shared" si="19"/>
        <v>2.6490274701599252E-2</v>
      </c>
      <c r="F39" s="259">
        <f t="shared" si="19"/>
        <v>2.8976208462899403E-2</v>
      </c>
      <c r="G39" s="259">
        <f t="shared" si="19"/>
        <v>2.9048894628510742E-2</v>
      </c>
      <c r="H39" s="259">
        <f t="shared" si="19"/>
        <v>2.9550433816778458E-2</v>
      </c>
      <c r="I39" s="259">
        <f t="shared" si="19"/>
        <v>2.890112224061649E-2</v>
      </c>
      <c r="J39" s="259">
        <f t="shared" si="19"/>
        <v>2.804565888517721E-2</v>
      </c>
      <c r="K39" s="259">
        <f t="shared" si="19"/>
        <v>2.6829903159056766E-2</v>
      </c>
      <c r="L39" s="259">
        <f t="shared" si="19"/>
        <v>2.7993963041902742E-2</v>
      </c>
      <c r="M39" s="259">
        <f t="shared" si="19"/>
        <v>2.5341864781087627E-2</v>
      </c>
      <c r="N39" s="259">
        <f t="shared" si="19"/>
        <v>2.7999939267429528E-2</v>
      </c>
      <c r="O39" s="259">
        <f t="shared" si="19"/>
        <v>2.6669179442901952E-2</v>
      </c>
      <c r="P39" s="259">
        <f t="shared" si="19"/>
        <v>2.3361231695081034E-2</v>
      </c>
      <c r="Q39" s="259">
        <f t="shared" si="19"/>
        <v>2.3138999047785155E-2</v>
      </c>
      <c r="R39" s="259">
        <f t="shared" si="19"/>
        <v>2.4038182498872251E-2</v>
      </c>
      <c r="S39" s="259">
        <f t="shared" si="19"/>
        <v>2.6615617328836813E-2</v>
      </c>
      <c r="T39" s="259">
        <f t="shared" si="19"/>
        <v>2.0461287354296333E-2</v>
      </c>
      <c r="U39" s="259">
        <f t="shared" si="19"/>
        <v>1.9062929486307435E-2</v>
      </c>
      <c r="V39" s="259">
        <f t="shared" si="19"/>
        <v>1.9680496433950062E-2</v>
      </c>
      <c r="W39" s="259">
        <f t="shared" si="19"/>
        <v>2.5648523322331043E-2</v>
      </c>
      <c r="X39" s="259">
        <f t="shared" si="19"/>
        <v>2.2714364134369704E-2</v>
      </c>
      <c r="Y39" s="259">
        <f t="shared" si="19"/>
        <v>2.4226103123057365E-2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5.855040548755458E-2</v>
      </c>
      <c r="C40" s="261">
        <f t="shared" si="20"/>
        <v>4.0549555316304831E-2</v>
      </c>
      <c r="D40" s="261">
        <f t="shared" si="20"/>
        <v>3.7808112066315673E-2</v>
      </c>
      <c r="E40" s="261">
        <f t="shared" si="20"/>
        <v>3.841089831731892E-2</v>
      </c>
      <c r="F40" s="261">
        <f t="shared" si="20"/>
        <v>4.2015502271204132E-2</v>
      </c>
      <c r="G40" s="261">
        <f t="shared" si="20"/>
        <v>4.2120897211340574E-2</v>
      </c>
      <c r="H40" s="261">
        <f t="shared" si="20"/>
        <v>4.2848129034328761E-2</v>
      </c>
      <c r="I40" s="261">
        <f t="shared" si="20"/>
        <v>4.1906627248893907E-2</v>
      </c>
      <c r="J40" s="261">
        <f t="shared" si="20"/>
        <v>4.0666205383506959E-2</v>
      </c>
      <c r="K40" s="261">
        <f t="shared" si="20"/>
        <v>3.8903359580632312E-2</v>
      </c>
      <c r="L40" s="261">
        <f t="shared" si="20"/>
        <v>4.0591246410758973E-2</v>
      </c>
      <c r="M40" s="261">
        <f t="shared" si="20"/>
        <v>3.6745703932577055E-2</v>
      </c>
      <c r="N40" s="261">
        <f t="shared" si="20"/>
        <v>4.0599911937772841E-2</v>
      </c>
      <c r="O40" s="261">
        <f t="shared" si="20"/>
        <v>3.8670310192207846E-2</v>
      </c>
      <c r="P40" s="261">
        <f t="shared" si="20"/>
        <v>3.387378595786749E-2</v>
      </c>
      <c r="Q40" s="261">
        <f t="shared" si="20"/>
        <v>3.3551548619288468E-2</v>
      </c>
      <c r="R40" s="261">
        <f t="shared" si="20"/>
        <v>3.4855364623364762E-2</v>
      </c>
      <c r="S40" s="261">
        <f t="shared" si="20"/>
        <v>3.859264512681336E-2</v>
      </c>
      <c r="T40" s="261">
        <f t="shared" si="20"/>
        <v>2.9668866663729688E-2</v>
      </c>
      <c r="U40" s="261">
        <f t="shared" si="20"/>
        <v>2.764124775514578E-2</v>
      </c>
      <c r="V40" s="261">
        <f t="shared" si="20"/>
        <v>2.8536719829227595E-2</v>
      </c>
      <c r="W40" s="261">
        <f t="shared" si="20"/>
        <v>3.7190358817380025E-2</v>
      </c>
      <c r="X40" s="261">
        <f t="shared" si="20"/>
        <v>3.2935827994836089E-2</v>
      </c>
      <c r="Y40" s="261">
        <f t="shared" si="20"/>
        <v>3.5127849528433175E-2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112.47171201628663</v>
      </c>
      <c r="C44" s="236">
        <f t="shared" si="21"/>
        <v>109.81942433546166</v>
      </c>
      <c r="D44" s="236">
        <f t="shared" si="21"/>
        <v>113.80906613357637</v>
      </c>
      <c r="E44" s="236">
        <f t="shared" si="21"/>
        <v>119.5378711984025</v>
      </c>
      <c r="F44" s="236">
        <f t="shared" si="21"/>
        <v>117.30616060932356</v>
      </c>
      <c r="G44" s="236">
        <f t="shared" si="21"/>
        <v>134.29403412451359</v>
      </c>
      <c r="H44" s="236">
        <f t="shared" si="21"/>
        <v>130.05722800154635</v>
      </c>
      <c r="I44" s="236">
        <f t="shared" si="21"/>
        <v>117.81469406104156</v>
      </c>
      <c r="J44" s="236">
        <f t="shared" si="21"/>
        <v>123.49619118298853</v>
      </c>
      <c r="K44" s="236">
        <f t="shared" si="21"/>
        <v>137.83360398812144</v>
      </c>
      <c r="L44" s="236">
        <f t="shared" si="21"/>
        <v>128.47617233393541</v>
      </c>
      <c r="M44" s="236">
        <f t="shared" si="21"/>
        <v>116.0213122138336</v>
      </c>
      <c r="N44" s="236">
        <f t="shared" si="21"/>
        <v>118.31216844961241</v>
      </c>
      <c r="O44" s="236">
        <f t="shared" si="21"/>
        <v>117.89482713876831</v>
      </c>
      <c r="P44" s="236">
        <f t="shared" si="21"/>
        <v>114.21265320772913</v>
      </c>
      <c r="Q44" s="236">
        <f t="shared" si="21"/>
        <v>116.6772871901979</v>
      </c>
      <c r="R44" s="236">
        <f t="shared" si="21"/>
        <v>118.41249825520163</v>
      </c>
      <c r="S44" s="236">
        <f t="shared" si="21"/>
        <v>109.2598603268619</v>
      </c>
      <c r="T44" s="236">
        <f t="shared" si="21"/>
        <v>115.03952384499114</v>
      </c>
      <c r="U44" s="236">
        <f t="shared" si="21"/>
        <v>114.3105370701674</v>
      </c>
      <c r="V44" s="236">
        <f t="shared" si="21"/>
        <v>121.0227823399466</v>
      </c>
      <c r="W44" s="236">
        <f t="shared" si="21"/>
        <v>115.61293230102244</v>
      </c>
      <c r="X44" s="236">
        <f t="shared" si="21"/>
        <v>98.926512660278419</v>
      </c>
      <c r="Y44" s="236">
        <f t="shared" si="21"/>
        <v>101.37891512464495</v>
      </c>
      <c r="DA44" s="280"/>
    </row>
    <row r="45" spans="1:105" x14ac:dyDescent="0.25">
      <c r="A45" s="238" t="s">
        <v>125</v>
      </c>
      <c r="B45" s="247">
        <f>IF(B$6=0,0,B$6/AGR!B$5*1000)</f>
        <v>4.5415616168503785</v>
      </c>
      <c r="C45" s="247">
        <f>IF(C$6=0,0,C$6/AGR!C$5*1000)</f>
        <v>3.0711233254452095</v>
      </c>
      <c r="D45" s="247">
        <f>IF(D$6=0,0,D$6/AGR!D$5*1000)</f>
        <v>2.967521328648957</v>
      </c>
      <c r="E45" s="247">
        <f>IF(E$6=0,0,E$6/AGR!E$5*1000)</f>
        <v>3.1665910452900716</v>
      </c>
      <c r="F45" s="247">
        <f>IF(F$6=0,0,F$6/AGR!F$5*1000)</f>
        <v>3.3990877637981183</v>
      </c>
      <c r="G45" s="247">
        <f>IF(G$6=0,0,G$6/AGR!G$5*1000)</f>
        <v>3.9010932465206216</v>
      </c>
      <c r="H45" s="247">
        <f>IF(H$6=0,0,H$6/AGR!H$5*1000)</f>
        <v>3.8432475084533606</v>
      </c>
      <c r="I45" s="247">
        <f>IF(I$6=0,0,I$6/AGR!I$5*1000)</f>
        <v>3.4049768747989964</v>
      </c>
      <c r="J45" s="247">
        <f>IF(J$6=0,0,J$6/AGR!J$5*1000)</f>
        <v>3.4635320515367249</v>
      </c>
      <c r="K45" s="247">
        <f>IF(K$6=0,0,K$6/AGR!K$5*1000)</f>
        <v>3.6980622470650784</v>
      </c>
      <c r="L45" s="247">
        <f>IF(L$6=0,0,L$6/AGR!L$5*1000)</f>
        <v>3.5965572200813152</v>
      </c>
      <c r="M45" s="247">
        <f>IF(M$6=0,0,M$6/AGR!M$5*1000)</f>
        <v>2.9401964058473213</v>
      </c>
      <c r="N45" s="247">
        <f>IF(N$6=0,0,N$6/AGR!N$5*1000)</f>
        <v>3.3127335311870398</v>
      </c>
      <c r="O45" s="247">
        <f>IF(O$6=0,0,O$6/AGR!O$5*1000)</f>
        <v>3.1441583003537192</v>
      </c>
      <c r="P45" s="247">
        <f>IF(P$6=0,0,P$6/AGR!P$5*1000)</f>
        <v>2.6681482540957</v>
      </c>
      <c r="Q45" s="247">
        <f>IF(Q$6=0,0,Q$6/AGR!Q$5*1000)</f>
        <v>2.6997956371921443</v>
      </c>
      <c r="R45" s="247">
        <f>IF(R$6=0,0,R$6/AGR!R$5*1000)</f>
        <v>2.8464212432059286</v>
      </c>
      <c r="S45" s="247">
        <f>IF(S$6=0,0,S$6/AGR!S$5*1000)</f>
        <v>2.9080186318619154</v>
      </c>
      <c r="T45" s="247">
        <f>IF(T$6=0,0,T$6/AGR!T$5*1000)</f>
        <v>2.3538567544937892</v>
      </c>
      <c r="U45" s="247">
        <f>IF(U$6=0,0,U$6/AGR!U$5*1000)</f>
        <v>2.1790937077105328</v>
      </c>
      <c r="V45" s="247">
        <f>IF(V$6=0,0,V$6/AGR!V$5*1000)</f>
        <v>2.3817884362680339</v>
      </c>
      <c r="W45" s="247">
        <f>IF(W$6=0,0,W$6/AGR!W$5*1000)</f>
        <v>2.9653009904858543</v>
      </c>
      <c r="X45" s="247">
        <f>IF(X$6=0,0,X$6/AGR!X$5*1000)</f>
        <v>2.2470528311088982</v>
      </c>
      <c r="Y45" s="247">
        <f>IF(Y$6=0,0,Y$6/AGR!Y$5*1000)</f>
        <v>2.4560160523133288</v>
      </c>
      <c r="DA45" s="281"/>
    </row>
    <row r="46" spans="1:105" x14ac:dyDescent="0.25">
      <c r="A46" s="240" t="s">
        <v>124</v>
      </c>
      <c r="B46" s="248">
        <f>IF(B$7=0,0,B$7/AGR!B$5*1000)</f>
        <v>2.9520150509527459</v>
      </c>
      <c r="C46" s="248">
        <f>IF(C$7=0,0,C$7/AGR!C$5*1000)</f>
        <v>1.9962301615393863</v>
      </c>
      <c r="D46" s="248">
        <f>IF(D$7=0,0,D$7/AGR!D$5*1000)</f>
        <v>1.9288888636218207</v>
      </c>
      <c r="E46" s="248">
        <f>IF(E$7=0,0,E$7/AGR!E$5*1000)</f>
        <v>2.0582841794385467</v>
      </c>
      <c r="F46" s="248">
        <f>IF(F$7=0,0,F$7/AGR!F$5*1000)</f>
        <v>2.2094070464687765</v>
      </c>
      <c r="G46" s="248">
        <f>IF(G$7=0,0,G$7/AGR!G$5*1000)</f>
        <v>2.5357106102384028</v>
      </c>
      <c r="H46" s="248">
        <f>IF(H$7=0,0,H$7/AGR!H$5*1000)</f>
        <v>2.4981108804946839</v>
      </c>
      <c r="I46" s="248">
        <f>IF(I$7=0,0,I$7/AGR!I$5*1000)</f>
        <v>2.2132349686193478</v>
      </c>
      <c r="J46" s="248">
        <f>IF(J$7=0,0,J$7/AGR!J$5*1000)</f>
        <v>2.2512958334988711</v>
      </c>
      <c r="K46" s="248">
        <f>IF(K$7=0,0,K$7/AGR!K$5*1000)</f>
        <v>2.4037404605923003</v>
      </c>
      <c r="L46" s="248">
        <f>IF(L$7=0,0,L$7/AGR!L$5*1000)</f>
        <v>2.3377621930528529</v>
      </c>
      <c r="M46" s="248">
        <f>IF(M$7=0,0,M$7/AGR!M$5*1000)</f>
        <v>1.9111276638007584</v>
      </c>
      <c r="N46" s="248">
        <f>IF(N$7=0,0,N$7/AGR!N$5*1000)</f>
        <v>2.1532767952715766</v>
      </c>
      <c r="O46" s="248">
        <f>IF(O$7=0,0,O$7/AGR!O$5*1000)</f>
        <v>2.0437028952299174</v>
      </c>
      <c r="P46" s="248">
        <f>IF(P$7=0,0,P$7/AGR!P$5*1000)</f>
        <v>1.7342963651622041</v>
      </c>
      <c r="Q46" s="248">
        <f>IF(Q$7=0,0,Q$7/AGR!Q$5*1000)</f>
        <v>1.754867164174893</v>
      </c>
      <c r="R46" s="248">
        <f>IF(R$7=0,0,R$7/AGR!R$5*1000)</f>
        <v>1.8501738080838532</v>
      </c>
      <c r="S46" s="248">
        <f>IF(S$7=0,0,S$7/AGR!S$5*1000)</f>
        <v>1.8902121107102441</v>
      </c>
      <c r="T46" s="248">
        <f>IF(T$7=0,0,T$7/AGR!T$5*1000)</f>
        <v>1.5300068904209627</v>
      </c>
      <c r="U46" s="248">
        <f>IF(U$7=0,0,U$7/AGR!U$5*1000)</f>
        <v>1.4164109100118458</v>
      </c>
      <c r="V46" s="248">
        <f>IF(V$7=0,0,V$7/AGR!V$5*1000)</f>
        <v>1.5481624835742223</v>
      </c>
      <c r="W46" s="248">
        <f>IF(W$7=0,0,W$7/AGR!W$5*1000)</f>
        <v>1.9274456438158054</v>
      </c>
      <c r="X46" s="248">
        <f>IF(X$7=0,0,X$7/AGR!X$5*1000)</f>
        <v>1.4605843402207848</v>
      </c>
      <c r="Y46" s="248">
        <f>IF(Y$7=0,0,Y$7/AGR!Y$5*1000)</f>
        <v>1.5964104340036631</v>
      </c>
      <c r="DA46" s="282"/>
    </row>
    <row r="47" spans="1:105" x14ac:dyDescent="0.25">
      <c r="A47" s="240" t="s">
        <v>123</v>
      </c>
      <c r="B47" s="248">
        <f>IF(B$8=0,0,B$8/AGR!B$5*1000)</f>
        <v>4.0874054551653396</v>
      </c>
      <c r="C47" s="248">
        <f>IF(C$8=0,0,C$8/AGR!C$5*1000)</f>
        <v>2.76401099290069</v>
      </c>
      <c r="D47" s="248">
        <f>IF(D$8=0,0,D$8/AGR!D$5*1000)</f>
        <v>2.6707691957840605</v>
      </c>
      <c r="E47" s="248">
        <f>IF(E$8=0,0,E$8/AGR!E$5*1000)</f>
        <v>2.849931940761063</v>
      </c>
      <c r="F47" s="248">
        <f>IF(F$8=0,0,F$8/AGR!F$5*1000)</f>
        <v>3.0591789874183055</v>
      </c>
      <c r="G47" s="248">
        <f>IF(G$8=0,0,G$8/AGR!G$5*1000)</f>
        <v>3.5109839218685588</v>
      </c>
      <c r="H47" s="248">
        <f>IF(H$8=0,0,H$8/AGR!H$5*1000)</f>
        <v>3.4589227576080241</v>
      </c>
      <c r="I47" s="248">
        <f>IF(I$8=0,0,I$8/AGR!I$5*1000)</f>
        <v>3.0644791873190975</v>
      </c>
      <c r="J47" s="248">
        <f>IF(J$8=0,0,J$8/AGR!J$5*1000)</f>
        <v>3.1171788463830516</v>
      </c>
      <c r="K47" s="248">
        <f>IF(K$8=0,0,K$8/AGR!K$5*1000)</f>
        <v>3.3282560223585707</v>
      </c>
      <c r="L47" s="248">
        <f>IF(L$8=0,0,L$8/AGR!L$5*1000)</f>
        <v>3.2369014980731818</v>
      </c>
      <c r="M47" s="248">
        <f>IF(M$8=0,0,M$8/AGR!M$5*1000)</f>
        <v>2.6461767652625889</v>
      </c>
      <c r="N47" s="248">
        <f>IF(N$8=0,0,N$8/AGR!N$5*1000)</f>
        <v>2.9814601780683359</v>
      </c>
      <c r="O47" s="248">
        <f>IF(O$8=0,0,O$8/AGR!O$5*1000)</f>
        <v>2.8297424703183474</v>
      </c>
      <c r="P47" s="248">
        <f>IF(P$8=0,0,P$8/AGR!P$5*1000)</f>
        <v>2.401333428686129</v>
      </c>
      <c r="Q47" s="248">
        <f>IF(Q$8=0,0,Q$8/AGR!Q$5*1000)</f>
        <v>2.4298160734729288</v>
      </c>
      <c r="R47" s="248">
        <f>IF(R$8=0,0,R$8/AGR!R$5*1000)</f>
        <v>2.5617791188853349</v>
      </c>
      <c r="S47" s="248">
        <f>IF(S$8=0,0,S$8/AGR!S$5*1000)</f>
        <v>2.6172167686757217</v>
      </c>
      <c r="T47" s="248">
        <f>IF(T$8=0,0,T$8/AGR!T$5*1000)</f>
        <v>2.118471079044411</v>
      </c>
      <c r="U47" s="248">
        <f>IF(U$8=0,0,U$8/AGR!U$5*1000)</f>
        <v>1.9611843369394801</v>
      </c>
      <c r="V47" s="248">
        <f>IF(V$8=0,0,V$8/AGR!V$5*1000)</f>
        <v>2.1436095926412304</v>
      </c>
      <c r="W47" s="248">
        <f>IF(W$8=0,0,W$8/AGR!W$5*1000)</f>
        <v>2.6687708914372692</v>
      </c>
      <c r="X47" s="248">
        <f>IF(X$8=0,0,X$8/AGR!X$5*1000)</f>
        <v>2.0223475479980082</v>
      </c>
      <c r="Y47" s="248">
        <f>IF(Y$8=0,0,Y$8/AGR!Y$5*1000)</f>
        <v>2.2104144470819951</v>
      </c>
      <c r="DA47" s="282"/>
    </row>
    <row r="48" spans="1:105" x14ac:dyDescent="0.25">
      <c r="A48" s="242" t="s">
        <v>122</v>
      </c>
      <c r="B48" s="249">
        <f>IF(B$9=0,0,B$9/AGR!B$5*1000)</f>
        <v>24.740461678220317</v>
      </c>
      <c r="C48" s="249">
        <f>IF(C$9=0,0,C$9/AGR!C$5*1000)</f>
        <v>21.281768742267523</v>
      </c>
      <c r="D48" s="249">
        <f>IF(D$9=0,0,D$9/AGR!D$5*1000)</f>
        <v>22.247799918050145</v>
      </c>
      <c r="E48" s="249">
        <f>IF(E$9=0,0,E$9/AGR!E$5*1000)</f>
        <v>23.684233109197375</v>
      </c>
      <c r="F48" s="249">
        <f>IF(F$9=0,0,F$9/AGR!F$5*1000)</f>
        <v>23.453483814008315</v>
      </c>
      <c r="G48" s="249">
        <f>IF(G$9=0,0,G$9/AGR!G$5*1000)</f>
        <v>27.031538481671298</v>
      </c>
      <c r="H48" s="249">
        <f>IF(H$9=0,0,H$9/AGR!H$5*1000)</f>
        <v>25.935998488681804</v>
      </c>
      <c r="I48" s="249">
        <f>IF(I$9=0,0,I$9/AGR!I$5*1000)</f>
        <v>23.913206643340008</v>
      </c>
      <c r="J48" s="249">
        <f>IF(J$9=0,0,J$9/AGR!J$5*1000)</f>
        <v>24.726250303036572</v>
      </c>
      <c r="K48" s="249">
        <f>IF(K$9=0,0,K$9/AGR!K$5*1000)</f>
        <v>27.376140109097147</v>
      </c>
      <c r="L48" s="249">
        <f>IF(L$9=0,0,L$9/AGR!L$5*1000)</f>
        <v>25.821863071690558</v>
      </c>
      <c r="M48" s="249">
        <f>IF(M$9=0,0,M$9/AGR!M$5*1000)</f>
        <v>23.422986232089809</v>
      </c>
      <c r="N48" s="249">
        <f>IF(N$9=0,0,N$9/AGR!N$5*1000)</f>
        <v>23.802343073669864</v>
      </c>
      <c r="O48" s="249">
        <f>IF(O$9=0,0,O$9/AGR!O$5*1000)</f>
        <v>23.310717338493617</v>
      </c>
      <c r="P48" s="249">
        <f>IF(P$9=0,0,P$9/AGR!P$5*1000)</f>
        <v>22.706150315328195</v>
      </c>
      <c r="Q48" s="249">
        <f>IF(Q$9=0,0,Q$9/AGR!Q$5*1000)</f>
        <v>23.204077614444362</v>
      </c>
      <c r="R48" s="249">
        <f>IF(R$9=0,0,R$9/AGR!R$5*1000)</f>
        <v>23.318972997399023</v>
      </c>
      <c r="S48" s="249">
        <f>IF(S$9=0,0,S$9/AGR!S$5*1000)</f>
        <v>21.483179257361037</v>
      </c>
      <c r="T48" s="249">
        <f>IF(T$9=0,0,T$9/AGR!T$5*1000)</f>
        <v>23.192539320355497</v>
      </c>
      <c r="U48" s="249">
        <f>IF(U$9=0,0,U$9/AGR!U$5*1000)</f>
        <v>22.968239266582149</v>
      </c>
      <c r="V48" s="249">
        <f>IF(V$9=0,0,V$9/AGR!V$5*1000)</f>
        <v>24.188885642332956</v>
      </c>
      <c r="W48" s="249">
        <f>IF(W$9=0,0,W$9/AGR!W$5*1000)</f>
        <v>22.698459451028089</v>
      </c>
      <c r="X48" s="249">
        <f>IF(X$9=0,0,X$9/AGR!X$5*1000)</f>
        <v>19.561643356163078</v>
      </c>
      <c r="Y48" s="249">
        <f>IF(Y$9=0,0,Y$9/AGR!Y$5*1000)</f>
        <v>19.644199923150843</v>
      </c>
      <c r="DA48" s="283"/>
    </row>
    <row r="49" spans="1:105" x14ac:dyDescent="0.25">
      <c r="A49" s="127" t="s">
        <v>168</v>
      </c>
      <c r="B49" s="262">
        <f>IF(B$16=0,0,B$16/AGR!B$5*1000)</f>
        <v>22.853468792515304</v>
      </c>
      <c r="C49" s="262">
        <f>IF(C$16=0,0,C$16/AGR!C$5*1000)</f>
        <v>26.853308727654024</v>
      </c>
      <c r="D49" s="262">
        <f>IF(D$16=0,0,D$16/AGR!D$5*1000)</f>
        <v>28.414509820536335</v>
      </c>
      <c r="E49" s="262">
        <f>IF(E$16=0,0,E$16/AGR!E$5*1000)</f>
        <v>30.345750611471331</v>
      </c>
      <c r="F49" s="262">
        <f>IF(F$16=0,0,F$16/AGR!F$5*1000)</f>
        <v>28.84227348510446</v>
      </c>
      <c r="G49" s="262">
        <f>IF(G$16=0,0,G$16/AGR!G$5*1000)</f>
        <v>33.099860245823372</v>
      </c>
      <c r="H49" s="262">
        <f>IF(H$16=0,0,H$16/AGR!H$5*1000)</f>
        <v>31.158433867417891</v>
      </c>
      <c r="I49" s="262">
        <f>IF(I$16=0,0,I$16/AGR!I$5*1000)</f>
        <v>28.96178293826711</v>
      </c>
      <c r="J49" s="262">
        <f>IF(J$16=0,0,J$16/AGR!J$5*1000)</f>
        <v>30.600646560945041</v>
      </c>
      <c r="K49" s="262">
        <f>IF(K$16=0,0,K$16/AGR!K$5*1000)</f>
        <v>34.108541606458246</v>
      </c>
      <c r="L49" s="262">
        <f>IF(L$16=0,0,L$16/AGR!L$5*1000)</f>
        <v>31.89758383968589</v>
      </c>
      <c r="M49" s="262">
        <f>IF(M$16=0,0,M$16/AGR!M$5*1000)</f>
        <v>29.609420305282427</v>
      </c>
      <c r="N49" s="262">
        <f>IF(N$16=0,0,N$16/AGR!N$5*1000)</f>
        <v>29.897916120333761</v>
      </c>
      <c r="O49" s="262">
        <f>IF(O$16=0,0,O$16/AGR!O$5*1000)</f>
        <v>29.886685504928487</v>
      </c>
      <c r="P49" s="262">
        <f>IF(P$16=0,0,P$16/AGR!P$5*1000)</f>
        <v>29.769201460633177</v>
      </c>
      <c r="Q49" s="262">
        <f>IF(Q$16=0,0,Q$16/AGR!Q$5*1000)</f>
        <v>30.204704295282369</v>
      </c>
      <c r="R49" s="262">
        <f>IF(R$16=0,0,R$16/AGR!R$5*1000)</f>
        <v>30.046716342923506</v>
      </c>
      <c r="S49" s="262">
        <f>IF(S$16=0,0,S$16/AGR!S$5*1000)</f>
        <v>27.521497340815092</v>
      </c>
      <c r="T49" s="262">
        <f>IF(T$16=0,0,T$16/AGR!T$5*1000)</f>
        <v>30.424232642352944</v>
      </c>
      <c r="U49" s="262">
        <f>IF(U$16=0,0,U$16/AGR!U$5*1000)</f>
        <v>30.277116568355208</v>
      </c>
      <c r="V49" s="262">
        <f>IF(V$16=0,0,V$16/AGR!V$5*1000)</f>
        <v>31.926062337690691</v>
      </c>
      <c r="W49" s="262">
        <f>IF(W$16=0,0,W$16/AGR!W$5*1000)</f>
        <v>28.971514680646884</v>
      </c>
      <c r="X49" s="262">
        <f>IF(X$16=0,0,X$16/AGR!X$5*1000)</f>
        <v>25.370684955887111</v>
      </c>
      <c r="Y49" s="262">
        <f>IF(Y$16=0,0,Y$16/AGR!Y$5*1000)</f>
        <v>26.424692574581446</v>
      </c>
      <c r="DA49" s="284"/>
    </row>
    <row r="50" spans="1:105" x14ac:dyDescent="0.25">
      <c r="A50" s="127" t="s">
        <v>121</v>
      </c>
      <c r="B50" s="262">
        <f>IF(B$17=0,0,B$17/AGR!B$5*1000)</f>
        <v>37.778488978288344</v>
      </c>
      <c r="C50" s="262">
        <f>IF(C$17=0,0,C$17/AGR!C$5*1000)</f>
        <v>41.16864317819946</v>
      </c>
      <c r="D50" s="262">
        <f>IF(D$17=0,0,D$17/AGR!D$5*1000)</f>
        <v>42.84906489101229</v>
      </c>
      <c r="E50" s="262">
        <f>IF(E$17=0,0,E$17/AGR!E$5*1000)</f>
        <v>43.843743378142385</v>
      </c>
      <c r="F50" s="262">
        <f>IF(F$17=0,0,F$17/AGR!F$5*1000)</f>
        <v>42.472681277475765</v>
      </c>
      <c r="G50" s="262">
        <f>IF(G$17=0,0,G$17/AGR!G$5*1000)</f>
        <v>48.296755173041127</v>
      </c>
      <c r="H50" s="262">
        <f>IF(H$17=0,0,H$17/AGR!H$5*1000)</f>
        <v>47.759205369729735</v>
      </c>
      <c r="I50" s="262">
        <f>IF(I$17=0,0,I$17/AGR!I$5*1000)</f>
        <v>42.349572154310913</v>
      </c>
      <c r="J50" s="262">
        <f>IF(J$17=0,0,J$17/AGR!J$5*1000)</f>
        <v>44.971464807258059</v>
      </c>
      <c r="K50" s="262">
        <f>IF(K$17=0,0,K$17/AGR!K$5*1000)</f>
        <v>51.304370516346694</v>
      </c>
      <c r="L50" s="262">
        <f>IF(L$17=0,0,L$17/AGR!L$5*1000)</f>
        <v>46.644552761658218</v>
      </c>
      <c r="M50" s="262">
        <f>IF(M$17=0,0,M$17/AGR!M$5*1000)</f>
        <v>42.598226778792345</v>
      </c>
      <c r="N50" s="262">
        <f>IF(N$17=0,0,N$17/AGR!N$5*1000)</f>
        <v>42.303107856134226</v>
      </c>
      <c r="O50" s="262">
        <f>IF(O$17=0,0,O$17/AGR!O$5*1000)</f>
        <v>43.233657106381209</v>
      </c>
      <c r="P50" s="262">
        <f>IF(P$17=0,0,P$17/AGR!P$5*1000)</f>
        <v>42.676160012283958</v>
      </c>
      <c r="Q50" s="262">
        <f>IF(Q$17=0,0,Q$17/AGR!Q$5*1000)</f>
        <v>43.96544144646635</v>
      </c>
      <c r="R50" s="262">
        <f>IF(R$17=0,0,R$17/AGR!R$5*1000)</f>
        <v>45.040975752479298</v>
      </c>
      <c r="S50" s="262">
        <f>IF(S$17=0,0,S$17/AGR!S$5*1000)</f>
        <v>40.426605498742418</v>
      </c>
      <c r="T50" s="262">
        <f>IF(T$17=0,0,T$17/AGR!T$5*1000)</f>
        <v>43.807198260391125</v>
      </c>
      <c r="U50" s="262">
        <f>IF(U$17=0,0,U$17/AGR!U$5*1000)</f>
        <v>44.351712426898338</v>
      </c>
      <c r="V50" s="262">
        <f>IF(V$17=0,0,V$17/AGR!V$5*1000)</f>
        <v>46.864033237365007</v>
      </c>
      <c r="W50" s="262">
        <f>IF(W$17=0,0,W$17/AGR!W$5*1000)</f>
        <v>43.549335230389673</v>
      </c>
      <c r="X50" s="262">
        <f>IF(X$17=0,0,X$17/AGR!X$5*1000)</f>
        <v>37.883731646093267</v>
      </c>
      <c r="Y50" s="262">
        <f>IF(Y$17=0,0,Y$17/AGR!Y$5*1000)</f>
        <v>37.952217471013562</v>
      </c>
      <c r="DA50" s="284"/>
    </row>
    <row r="51" spans="1:105" x14ac:dyDescent="0.25">
      <c r="A51" s="127" t="s">
        <v>167</v>
      </c>
      <c r="B51" s="262">
        <f>IF(B$25=0,0,B$25/AGR!B$5*1000)</f>
        <v>4.3914844830107871</v>
      </c>
      <c r="C51" s="262">
        <f>IF(C$25=0,0,C$25/AGR!C$5*1000)</f>
        <v>5.160087060114587</v>
      </c>
      <c r="D51" s="262">
        <f>IF(D$25=0,0,D$25/AGR!D$5*1000)</f>
        <v>5.4600848607328238</v>
      </c>
      <c r="E51" s="262">
        <f>IF(E$25=0,0,E$25/AGR!E$5*1000)</f>
        <v>5.8311888731410484</v>
      </c>
      <c r="F51" s="262">
        <f>IF(F$25=0,0,F$25/AGR!F$5*1000)</f>
        <v>5.5422832137444242</v>
      </c>
      <c r="G51" s="262">
        <f>IF(G$25=0,0,G$25/AGR!G$5*1000)</f>
        <v>6.3604139913746778</v>
      </c>
      <c r="H51" s="262">
        <f>IF(H$25=0,0,H$25/AGR!H$5*1000)</f>
        <v>5.9873527334501144</v>
      </c>
      <c r="I51" s="262">
        <f>IF(I$25=0,0,I$25/AGR!I$5*1000)</f>
        <v>5.5652479511285708</v>
      </c>
      <c r="J51" s="262">
        <f>IF(J$25=0,0,J$25/AGR!J$5*1000)</f>
        <v>5.8801692540652226</v>
      </c>
      <c r="K51" s="262">
        <f>IF(K$25=0,0,K$25/AGR!K$5*1000)</f>
        <v>6.5542405208939529</v>
      </c>
      <c r="L51" s="262">
        <f>IF(L$25=0,0,L$25/AGR!L$5*1000)</f>
        <v>6.1293865604941686</v>
      </c>
      <c r="M51" s="262">
        <f>IF(M$25=0,0,M$25/AGR!M$5*1000)</f>
        <v>5.6896968684324154</v>
      </c>
      <c r="N51" s="262">
        <f>IF(N$25=0,0,N$25/AGR!N$5*1000)</f>
        <v>5.745133743539375</v>
      </c>
      <c r="O51" s="262">
        <f>IF(O$25=0,0,O$25/AGR!O$5*1000)</f>
        <v>5.7429756871963908</v>
      </c>
      <c r="P51" s="262">
        <f>IF(P$25=0,0,P$25/AGR!P$5*1000)</f>
        <v>5.7204001490053065</v>
      </c>
      <c r="Q51" s="262">
        <f>IF(Q$25=0,0,Q$25/AGR!Q$5*1000)</f>
        <v>5.8040856480440981</v>
      </c>
      <c r="R51" s="262">
        <f>IF(R$25=0,0,R$25/AGR!R$5*1000)</f>
        <v>5.7737269463701617</v>
      </c>
      <c r="S51" s="262">
        <f>IF(S$25=0,0,S$25/AGR!S$5*1000)</f>
        <v>5.2884850706337758</v>
      </c>
      <c r="T51" s="262">
        <f>IF(T$25=0,0,T$25/AGR!T$5*1000)</f>
        <v>5.8462698494226268</v>
      </c>
      <c r="U51" s="262">
        <f>IF(U$25=0,0,U$25/AGR!U$5*1000)</f>
        <v>5.8180002697790307</v>
      </c>
      <c r="V51" s="262">
        <f>IF(V$25=0,0,V$25/AGR!V$5*1000)</f>
        <v>6.134858941217769</v>
      </c>
      <c r="W51" s="262">
        <f>IF(W$25=0,0,W$25/AGR!W$5*1000)</f>
        <v>5.567117986528511</v>
      </c>
      <c r="X51" s="262">
        <f>IF(X$25=0,0,X$25/AGR!X$5*1000)</f>
        <v>4.8751885465904703</v>
      </c>
      <c r="Y51" s="262">
        <f>IF(Y$25=0,0,Y$25/AGR!Y$5*1000)</f>
        <v>5.0777248943324516</v>
      </c>
      <c r="DA51" s="284"/>
    </row>
    <row r="52" spans="1:105" x14ac:dyDescent="0.25">
      <c r="A52" s="127" t="s">
        <v>170</v>
      </c>
      <c r="B52" s="262">
        <f>IF(B$26=0,0,B$26/AGR!B$5*1000)</f>
        <v>4.5415616168503785</v>
      </c>
      <c r="C52" s="262">
        <f>IF(C$26=0,0,C$26/AGR!C$5*1000)</f>
        <v>3.0711233254452095</v>
      </c>
      <c r="D52" s="262">
        <f>IF(D$26=0,0,D$26/AGR!D$5*1000)</f>
        <v>2.967521328648957</v>
      </c>
      <c r="E52" s="262">
        <f>IF(E$26=0,0,E$26/AGR!E$5*1000)</f>
        <v>3.1665910452900716</v>
      </c>
      <c r="F52" s="262">
        <f>IF(F$26=0,0,F$26/AGR!F$5*1000)</f>
        <v>3.3990877637981183</v>
      </c>
      <c r="G52" s="262">
        <f>IF(G$26=0,0,G$26/AGR!G$5*1000)</f>
        <v>3.9010932465206216</v>
      </c>
      <c r="H52" s="262">
        <f>IF(H$26=0,0,H$26/AGR!H$5*1000)</f>
        <v>3.8432475084533606</v>
      </c>
      <c r="I52" s="262">
        <f>IF(I$26=0,0,I$26/AGR!I$5*1000)</f>
        <v>3.4049768747989964</v>
      </c>
      <c r="J52" s="262">
        <f>IF(J$26=0,0,J$26/AGR!J$5*1000)</f>
        <v>3.4635320515367249</v>
      </c>
      <c r="K52" s="262">
        <f>IF(K$26=0,0,K$26/AGR!K$5*1000)</f>
        <v>3.6980622470650784</v>
      </c>
      <c r="L52" s="262">
        <f>IF(L$26=0,0,L$26/AGR!L$5*1000)</f>
        <v>3.5965572200813152</v>
      </c>
      <c r="M52" s="262">
        <f>IF(M$26=0,0,M$26/AGR!M$5*1000)</f>
        <v>2.9401964058473213</v>
      </c>
      <c r="N52" s="262">
        <f>IF(N$26=0,0,N$26/AGR!N$5*1000)</f>
        <v>3.3127335311870398</v>
      </c>
      <c r="O52" s="262">
        <f>IF(O$26=0,0,O$26/AGR!O$5*1000)</f>
        <v>3.1441583003537192</v>
      </c>
      <c r="P52" s="262">
        <f>IF(P$26=0,0,P$26/AGR!P$5*1000)</f>
        <v>2.6681482540957</v>
      </c>
      <c r="Q52" s="262">
        <f>IF(Q$26=0,0,Q$26/AGR!Q$5*1000)</f>
        <v>2.6997956371921443</v>
      </c>
      <c r="R52" s="262">
        <f>IF(R$26=0,0,R$26/AGR!R$5*1000)</f>
        <v>2.8464212432059286</v>
      </c>
      <c r="S52" s="262">
        <f>IF(S$26=0,0,S$26/AGR!S$5*1000)</f>
        <v>2.9080186318619154</v>
      </c>
      <c r="T52" s="262">
        <f>IF(T$26=0,0,T$26/AGR!T$5*1000)</f>
        <v>2.3538567544937892</v>
      </c>
      <c r="U52" s="262">
        <f>IF(U$26=0,0,U$26/AGR!U$5*1000)</f>
        <v>2.1790937077105328</v>
      </c>
      <c r="V52" s="262">
        <f>IF(V$26=0,0,V$26/AGR!V$5*1000)</f>
        <v>2.3817884362680339</v>
      </c>
      <c r="W52" s="262">
        <f>IF(W$26=0,0,W$26/AGR!W$5*1000)</f>
        <v>2.9653009904858543</v>
      </c>
      <c r="X52" s="262">
        <f>IF(X$26=0,0,X$26/AGR!X$5*1000)</f>
        <v>2.2470528311088982</v>
      </c>
      <c r="Y52" s="262">
        <f>IF(Y$26=0,0,Y$26/AGR!Y$5*1000)</f>
        <v>2.4560160523133288</v>
      </c>
      <c r="DA52" s="284"/>
    </row>
    <row r="53" spans="1:105" x14ac:dyDescent="0.25">
      <c r="A53" s="260" t="s">
        <v>33</v>
      </c>
      <c r="B53" s="263">
        <f>IF(B$27=0,0,B$27/AGR!B$5*1000)</f>
        <v>6.5852643444330496</v>
      </c>
      <c r="C53" s="263">
        <f>IF(C$27=0,0,C$27/AGR!C$5*1000)</f>
        <v>4.4531288218955547</v>
      </c>
      <c r="D53" s="263">
        <f>IF(D$27=0,0,D$27/AGR!D$5*1000)</f>
        <v>4.302905926540987</v>
      </c>
      <c r="E53" s="263">
        <f>IF(E$27=0,0,E$27/AGR!E$5*1000)</f>
        <v>4.5915570156706043</v>
      </c>
      <c r="F53" s="263">
        <f>IF(F$27=0,0,F$27/AGR!F$5*1000)</f>
        <v>4.928677257507271</v>
      </c>
      <c r="G53" s="263">
        <f>IF(G$27=0,0,G$27/AGR!G$5*1000)</f>
        <v>5.656585207454901</v>
      </c>
      <c r="H53" s="263">
        <f>IF(H$27=0,0,H$27/AGR!H$5*1000)</f>
        <v>5.5727088872573729</v>
      </c>
      <c r="I53" s="263">
        <f>IF(I$27=0,0,I$27/AGR!I$5*1000)</f>
        <v>4.9372164684585451</v>
      </c>
      <c r="J53" s="263">
        <f>IF(J$27=0,0,J$27/AGR!J$5*1000)</f>
        <v>5.0221214747282517</v>
      </c>
      <c r="K53" s="263">
        <f>IF(K$27=0,0,K$27/AGR!K$5*1000)</f>
        <v>5.3621902582443637</v>
      </c>
      <c r="L53" s="263">
        <f>IF(L$27=0,0,L$27/AGR!L$5*1000)</f>
        <v>5.2150079691179076</v>
      </c>
      <c r="M53" s="263">
        <f>IF(M$27=0,0,M$27/AGR!M$5*1000)</f>
        <v>4.2632847884786154</v>
      </c>
      <c r="N53" s="263">
        <f>IF(N$27=0,0,N$27/AGR!N$5*1000)</f>
        <v>4.8034636202212102</v>
      </c>
      <c r="O53" s="263">
        <f>IF(O$27=0,0,O$27/AGR!O$5*1000)</f>
        <v>4.5590295355128942</v>
      </c>
      <c r="P53" s="263">
        <f>IF(P$27=0,0,P$27/AGR!P$5*1000)</f>
        <v>3.8688149684387638</v>
      </c>
      <c r="Q53" s="263">
        <f>IF(Q$27=0,0,Q$27/AGR!Q$5*1000)</f>
        <v>3.9147036739286083</v>
      </c>
      <c r="R53" s="263">
        <f>IF(R$27=0,0,R$27/AGR!R$5*1000)</f>
        <v>4.1273108026485961</v>
      </c>
      <c r="S53" s="263">
        <f>IF(S$27=0,0,S$27/AGR!S$5*1000)</f>
        <v>4.2166270161997748</v>
      </c>
      <c r="T53" s="263">
        <f>IF(T$27=0,0,T$27/AGR!T$5*1000)</f>
        <v>3.4130922940159949</v>
      </c>
      <c r="U53" s="263">
        <f>IF(U$27=0,0,U$27/AGR!U$5*1000)</f>
        <v>3.1596858761802724</v>
      </c>
      <c r="V53" s="263">
        <f>IF(V$27=0,0,V$27/AGR!V$5*1000)</f>
        <v>3.4535932325886498</v>
      </c>
      <c r="W53" s="263">
        <f>IF(W$27=0,0,W$27/AGR!W$5*1000)</f>
        <v>4.2996864362044898</v>
      </c>
      <c r="X53" s="263">
        <f>IF(X$27=0,0,X$27/AGR!X$5*1000)</f>
        <v>3.2582266051079039</v>
      </c>
      <c r="Y53" s="263">
        <f>IF(Y$27=0,0,Y$27/AGR!Y$5*1000)</f>
        <v>3.5612232758543261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25.9639253592334</v>
      </c>
      <c r="C5" s="80">
        <f t="shared" ref="C5:W5" si="1">SUM(C6:C9,C16:C17,C25:C27)</f>
        <v>40.142221675349404</v>
      </c>
      <c r="D5" s="80">
        <f t="shared" si="1"/>
        <v>43.540614608316289</v>
      </c>
      <c r="E5" s="80">
        <f t="shared" si="1"/>
        <v>45.643464073651266</v>
      </c>
      <c r="F5" s="80">
        <f t="shared" si="1"/>
        <v>42.985509647889678</v>
      </c>
      <c r="G5" s="80">
        <f t="shared" si="1"/>
        <v>42.703446332500938</v>
      </c>
      <c r="H5" s="80">
        <f t="shared" si="1"/>
        <v>40.436899875161949</v>
      </c>
      <c r="I5" s="80">
        <f t="shared" si="1"/>
        <v>38.41499779331199</v>
      </c>
      <c r="J5" s="80">
        <f t="shared" si="1"/>
        <v>38.777792273218786</v>
      </c>
      <c r="K5" s="80">
        <f t="shared" si="1"/>
        <v>37.603943707317001</v>
      </c>
      <c r="L5" s="80">
        <f t="shared" si="1"/>
        <v>38.873238359489747</v>
      </c>
      <c r="M5" s="80">
        <f t="shared" si="1"/>
        <v>43.963818405181854</v>
      </c>
      <c r="N5" s="80">
        <f t="shared" si="1"/>
        <v>45.372720562805895</v>
      </c>
      <c r="O5" s="80">
        <f t="shared" si="1"/>
        <v>44.512168865833814</v>
      </c>
      <c r="P5" s="80">
        <f t="shared" si="1"/>
        <v>52.24877161546118</v>
      </c>
      <c r="Q5" s="80">
        <f t="shared" si="1"/>
        <v>52.700067118971866</v>
      </c>
      <c r="R5" s="80">
        <f t="shared" si="1"/>
        <v>52.343924275220679</v>
      </c>
      <c r="S5" s="80">
        <f t="shared" si="1"/>
        <v>53.680133291078235</v>
      </c>
      <c r="T5" s="80">
        <f t="shared" si="1"/>
        <v>49.237084652585615</v>
      </c>
      <c r="U5" s="80">
        <f t="shared" si="1"/>
        <v>44.382085996111307</v>
      </c>
      <c r="V5" s="80">
        <f t="shared" si="1"/>
        <v>43.073373607220219</v>
      </c>
      <c r="W5" s="80">
        <f t="shared" si="1"/>
        <v>35.467829407678302</v>
      </c>
      <c r="X5" s="80">
        <f t="shared" ref="X5:Y5" si="2">SUM(X6:X9,X16:X17,X25:X27)</f>
        <v>38.462943431114596</v>
      </c>
      <c r="Y5" s="80">
        <f t="shared" si="2"/>
        <v>32.848141014125375</v>
      </c>
      <c r="DA5" s="103"/>
    </row>
    <row r="6" spans="1:105" x14ac:dyDescent="0.25">
      <c r="A6" s="238" t="s">
        <v>125</v>
      </c>
      <c r="B6" s="239">
        <v>1.1365418010131541</v>
      </c>
      <c r="C6" s="239">
        <v>1.3489658334420249</v>
      </c>
      <c r="D6" s="239">
        <v>1.3744288793181609</v>
      </c>
      <c r="E6" s="239">
        <v>1.4528367261406989</v>
      </c>
      <c r="F6" s="239">
        <v>1.4731098772653171</v>
      </c>
      <c r="G6" s="239">
        <v>1.464856512360718</v>
      </c>
      <c r="H6" s="239">
        <v>1.4126105707043921</v>
      </c>
      <c r="I6" s="239">
        <v>1.3060737167109659</v>
      </c>
      <c r="J6" s="239">
        <v>1.2902129315247839</v>
      </c>
      <c r="K6" s="239">
        <v>1.20615483261729</v>
      </c>
      <c r="L6" s="239">
        <v>1.2901017382377229</v>
      </c>
      <c r="M6" s="239">
        <v>1.33765170074436</v>
      </c>
      <c r="N6" s="239">
        <v>1.5032860351509869</v>
      </c>
      <c r="O6" s="239">
        <v>1.422857863762629</v>
      </c>
      <c r="P6" s="239">
        <v>1.4853135262553749</v>
      </c>
      <c r="Q6" s="239">
        <v>1.4851240884898911</v>
      </c>
      <c r="R6" s="239">
        <v>1.529919394037782</v>
      </c>
      <c r="S6" s="239">
        <v>1.7165430458283579</v>
      </c>
      <c r="T6" s="239">
        <v>1.237904050079828</v>
      </c>
      <c r="U6" s="239">
        <v>1.0475208147436419</v>
      </c>
      <c r="V6" s="239">
        <v>1.0485701225444151</v>
      </c>
      <c r="W6" s="239">
        <v>1.1013830676541041</v>
      </c>
      <c r="X6" s="239">
        <v>1.0703222344177259</v>
      </c>
      <c r="Y6" s="239">
        <v>0.97246571831796369</v>
      </c>
      <c r="DA6" s="267" t="s">
        <v>1016</v>
      </c>
    </row>
    <row r="7" spans="1:105" x14ac:dyDescent="0.25">
      <c r="A7" s="240" t="s">
        <v>124</v>
      </c>
      <c r="B7" s="241">
        <v>0.73256727378172237</v>
      </c>
      <c r="C7" s="241">
        <v>0.86948691385428134</v>
      </c>
      <c r="D7" s="241">
        <v>0.88589932744349653</v>
      </c>
      <c r="E7" s="241">
        <v>0.93643774366248522</v>
      </c>
      <c r="F7" s="241">
        <v>0.94950496832337039</v>
      </c>
      <c r="G7" s="241">
        <v>0.94418519475912677</v>
      </c>
      <c r="H7" s="241">
        <v>0.91050964757624664</v>
      </c>
      <c r="I7" s="241">
        <v>0.84184045070405666</v>
      </c>
      <c r="J7" s="241">
        <v>0.83161725244287432</v>
      </c>
      <c r="K7" s="241">
        <v>0.77743692022716149</v>
      </c>
      <c r="L7" s="241">
        <v>0.83154558190414651</v>
      </c>
      <c r="M7" s="241">
        <v>0.86219429748227883</v>
      </c>
      <c r="N7" s="241">
        <v>0.96895525664167603</v>
      </c>
      <c r="O7" s="241">
        <v>0.91711462377036812</v>
      </c>
      <c r="P7" s="241">
        <v>0.95737092966580972</v>
      </c>
      <c r="Q7" s="241">
        <v>0.95724882601129524</v>
      </c>
      <c r="R7" s="241">
        <v>0.98612200501288161</v>
      </c>
      <c r="S7" s="241">
        <v>1.1064117996280369</v>
      </c>
      <c r="T7" s="241">
        <v>0.79790113690665476</v>
      </c>
      <c r="U7" s="241">
        <v>0.6751880720993183</v>
      </c>
      <c r="V7" s="241">
        <v>0.67586441198781599</v>
      </c>
      <c r="W7" s="241">
        <v>0.70990542586420824</v>
      </c>
      <c r="X7" s="241">
        <v>0.68988491284385323</v>
      </c>
      <c r="Y7" s="241">
        <v>0.62681069845325477</v>
      </c>
      <c r="DA7" s="268" t="s">
        <v>1017</v>
      </c>
    </row>
    <row r="8" spans="1:105" x14ac:dyDescent="0.25">
      <c r="A8" s="240" t="s">
        <v>123</v>
      </c>
      <c r="B8" s="241">
        <v>1.455781298885964</v>
      </c>
      <c r="C8" s="241">
        <v>1.727872420891531</v>
      </c>
      <c r="D8" s="241">
        <v>1.760487698188071</v>
      </c>
      <c r="E8" s="241">
        <v>1.8609192678746529</v>
      </c>
      <c r="F8" s="241">
        <v>1.886886877909232</v>
      </c>
      <c r="G8" s="241">
        <v>1.876315252413113</v>
      </c>
      <c r="H8" s="241">
        <v>1.8093941196064129</v>
      </c>
      <c r="I8" s="241">
        <v>1.6729324782065831</v>
      </c>
      <c r="J8" s="241">
        <v>1.6526166091033889</v>
      </c>
      <c r="K8" s="241">
        <v>1.5449477065602959</v>
      </c>
      <c r="L8" s="241">
        <v>1.6524741830987131</v>
      </c>
      <c r="M8" s="241">
        <v>1.713380298578306</v>
      </c>
      <c r="N8" s="241">
        <v>1.925539117785521</v>
      </c>
      <c r="O8" s="241">
        <v>1.822519741193835</v>
      </c>
      <c r="P8" s="241">
        <v>1.9025183698280139</v>
      </c>
      <c r="Q8" s="241">
        <v>1.902275721510065</v>
      </c>
      <c r="R8" s="241">
        <v>1.9596534334748781</v>
      </c>
      <c r="S8" s="241">
        <v>2.1986971905670831</v>
      </c>
      <c r="T8" s="241">
        <v>1.5856148575573159</v>
      </c>
      <c r="U8" s="241">
        <v>1.3417554998313099</v>
      </c>
      <c r="V8" s="241">
        <v>1.343099544257814</v>
      </c>
      <c r="W8" s="241">
        <v>1.4107469442577429</v>
      </c>
      <c r="X8" s="241">
        <v>1.3709615354738121</v>
      </c>
      <c r="Y8" s="241">
        <v>1.245618423601309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9.8801335404418023</v>
      </c>
      <c r="C9" s="243">
        <f t="shared" ref="C9:W9" si="4">SUM(C10:C15)</f>
        <v>13.055482713805334</v>
      </c>
      <c r="D9" s="243">
        <f t="shared" si="4"/>
        <v>14.177373180607365</v>
      </c>
      <c r="E9" s="243">
        <f t="shared" si="4"/>
        <v>14.91658941484596</v>
      </c>
      <c r="F9" s="243">
        <f t="shared" si="4"/>
        <v>14.273209028264107</v>
      </c>
      <c r="G9" s="243">
        <f t="shared" si="4"/>
        <v>14.25314753446821</v>
      </c>
      <c r="H9" s="243">
        <f t="shared" si="4"/>
        <v>13.537716049602018</v>
      </c>
      <c r="I9" s="243">
        <f t="shared" si="4"/>
        <v>12.891561457415314</v>
      </c>
      <c r="J9" s="243">
        <f t="shared" si="4"/>
        <v>12.850314541057866</v>
      </c>
      <c r="K9" s="243">
        <f t="shared" si="4"/>
        <v>12.392285143489516</v>
      </c>
      <c r="L9" s="243">
        <f t="shared" si="4"/>
        <v>12.917520554953986</v>
      </c>
      <c r="M9" s="243">
        <f t="shared" si="4"/>
        <v>14.586682435877014</v>
      </c>
      <c r="N9" s="243">
        <f t="shared" si="4"/>
        <v>14.972875112054076</v>
      </c>
      <c r="O9" s="243">
        <f t="shared" si="4"/>
        <v>14.49939155087859</v>
      </c>
      <c r="P9" s="243">
        <f t="shared" si="4"/>
        <v>17.017479189091546</v>
      </c>
      <c r="Q9" s="243">
        <f t="shared" si="4"/>
        <v>17.211981459213519</v>
      </c>
      <c r="R9" s="243">
        <f t="shared" si="4"/>
        <v>17.042724823559315</v>
      </c>
      <c r="S9" s="243">
        <f t="shared" si="4"/>
        <v>17.446233471162696</v>
      </c>
      <c r="T9" s="243">
        <f t="shared" si="4"/>
        <v>16.255273421641718</v>
      </c>
      <c r="U9" s="243">
        <f t="shared" si="4"/>
        <v>14.639915736338473</v>
      </c>
      <c r="V9" s="243">
        <f t="shared" si="4"/>
        <v>14.139940661456016</v>
      </c>
      <c r="W9" s="243">
        <f t="shared" si="4"/>
        <v>11.570965412536696</v>
      </c>
      <c r="X9" s="243">
        <f t="shared" ref="X9:Y9" si="5">SUM(X10:X15)</f>
        <v>12.567698193291154</v>
      </c>
      <c r="Y9" s="243">
        <f t="shared" si="5"/>
        <v>10.432421195363766</v>
      </c>
      <c r="DA9" s="269"/>
    </row>
    <row r="10" spans="1:105" x14ac:dyDescent="0.25">
      <c r="A10" s="253" t="s">
        <v>166</v>
      </c>
      <c r="B10" s="254">
        <v>2.0442028800232932</v>
      </c>
      <c r="C10" s="254">
        <v>8.0166730549835172</v>
      </c>
      <c r="D10" s="254">
        <v>9.3096910819437184</v>
      </c>
      <c r="E10" s="254">
        <v>9.896317932117169</v>
      </c>
      <c r="F10" s="254">
        <v>8.0303195119240343</v>
      </c>
      <c r="G10" s="254">
        <v>7.9213228903830419</v>
      </c>
      <c r="H10" s="254">
        <v>6.8478858259155473</v>
      </c>
      <c r="I10" s="254">
        <v>6.8719194448346652</v>
      </c>
      <c r="J10" s="254">
        <v>7.3893054753285474</v>
      </c>
      <c r="K10" s="254">
        <v>7.1922396258436274</v>
      </c>
      <c r="L10" s="254">
        <v>7.2808340365551958</v>
      </c>
      <c r="M10" s="254">
        <v>9.3335807880689856</v>
      </c>
      <c r="N10" s="254">
        <v>9.0736957258384336</v>
      </c>
      <c r="O10" s="254">
        <v>9.4457258205211918</v>
      </c>
      <c r="P10" s="254">
        <v>12.49988533415593</v>
      </c>
      <c r="Q10" s="254">
        <v>12.449382690415259</v>
      </c>
      <c r="R10" s="254">
        <v>11.619526936590789</v>
      </c>
      <c r="S10" s="254">
        <v>11.508824345559431</v>
      </c>
      <c r="T10" s="254">
        <v>12.409553620879411</v>
      </c>
      <c r="U10" s="254">
        <v>11.586425108390889</v>
      </c>
      <c r="V10" s="254">
        <v>11.18547561976321</v>
      </c>
      <c r="W10" s="254">
        <v>7.6675436238602002</v>
      </c>
      <c r="X10" s="254">
        <v>9.1390796762344504</v>
      </c>
      <c r="Y10" s="254">
        <v>8.4436207799001899</v>
      </c>
      <c r="DA10" s="270" t="s">
        <v>1019</v>
      </c>
    </row>
    <row r="11" spans="1:105" x14ac:dyDescent="0.25">
      <c r="A11" s="253" t="s">
        <v>169</v>
      </c>
      <c r="B11" s="255">
        <v>0.47570771510643051</v>
      </c>
      <c r="C11" s="255">
        <v>0.9012974066180327</v>
      </c>
      <c r="D11" s="255">
        <v>1.014314920644507</v>
      </c>
      <c r="E11" s="255">
        <v>1.292412773231753</v>
      </c>
      <c r="F11" s="255">
        <v>1.386399185604329</v>
      </c>
      <c r="G11" s="255">
        <v>1.4483947933592829</v>
      </c>
      <c r="H11" s="255">
        <v>1.6664283480013911</v>
      </c>
      <c r="I11" s="255">
        <v>1.5579111665508469</v>
      </c>
      <c r="J11" s="255">
        <v>1.4751082660874939</v>
      </c>
      <c r="K11" s="255">
        <v>1.8470793358164479</v>
      </c>
      <c r="L11" s="255">
        <v>1.8588785448851171</v>
      </c>
      <c r="M11" s="255">
        <v>1.6153254100226779</v>
      </c>
      <c r="N11" s="255">
        <v>1.829482057265303</v>
      </c>
      <c r="O11" s="255">
        <v>1.710463631074856</v>
      </c>
      <c r="P11" s="255">
        <v>1.7000337476176011</v>
      </c>
      <c r="Q11" s="255">
        <v>1.4869789379002849</v>
      </c>
      <c r="R11" s="255">
        <v>1.78942472622361</v>
      </c>
      <c r="S11" s="255">
        <v>1.441255945657004</v>
      </c>
      <c r="T11" s="255">
        <v>1.484440949195909</v>
      </c>
      <c r="U11" s="255">
        <v>1.0491301314881181</v>
      </c>
      <c r="V11" s="255">
        <v>0.92453427029533608</v>
      </c>
      <c r="W11" s="255">
        <v>0.74181464877752368</v>
      </c>
      <c r="X11" s="255">
        <v>0.64427476251197291</v>
      </c>
      <c r="Y11" s="255">
        <v>0.3559611697785009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0.89584657112485289</v>
      </c>
      <c r="C14" s="254">
        <v>1.0310572137930061</v>
      </c>
      <c r="D14" s="254">
        <v>1.267706263864153</v>
      </c>
      <c r="E14" s="254">
        <v>1.0987233859890719</v>
      </c>
      <c r="F14" s="254">
        <v>1.521271856988976</v>
      </c>
      <c r="G14" s="254">
        <v>1.6227102644091911</v>
      </c>
      <c r="H14" s="254">
        <v>1.5212718569809811</v>
      </c>
      <c r="I14" s="254">
        <v>1.639565956588485</v>
      </c>
      <c r="J14" s="254">
        <v>1.318455893013839</v>
      </c>
      <c r="K14" s="254">
        <v>1.04797375684089</v>
      </c>
      <c r="L14" s="254">
        <v>1.183184399490137</v>
      </c>
      <c r="M14" s="254">
        <v>1.5381884000334249</v>
      </c>
      <c r="N14" s="254">
        <v>1.149412164264451</v>
      </c>
      <c r="O14" s="254">
        <v>0.74371938544298266</v>
      </c>
      <c r="P14" s="254">
        <v>0.84515779286624237</v>
      </c>
      <c r="Q14" s="254">
        <v>1.301539349961595</v>
      </c>
      <c r="R14" s="254">
        <v>1.318455893011478</v>
      </c>
      <c r="S14" s="254">
        <v>1.250850571688388</v>
      </c>
      <c r="T14" s="254">
        <v>1.1494121642609549</v>
      </c>
      <c r="U14" s="254">
        <v>1.0987233859871961</v>
      </c>
      <c r="V14" s="254">
        <v>1.047973756836591</v>
      </c>
      <c r="W14" s="254">
        <v>1.1831843994896909</v>
      </c>
      <c r="X14" s="254">
        <v>1.352228128233975</v>
      </c>
      <c r="Y14" s="254">
        <v>0.15243144006954359</v>
      </c>
      <c r="DA14" s="270" t="s">
        <v>1023</v>
      </c>
    </row>
    <row r="15" spans="1:105" x14ac:dyDescent="0.25">
      <c r="A15" s="253" t="s">
        <v>24</v>
      </c>
      <c r="B15" s="255">
        <v>6.4643763741872258</v>
      </c>
      <c r="C15" s="255">
        <v>3.1064550384107772</v>
      </c>
      <c r="D15" s="255">
        <v>2.5856609141549871</v>
      </c>
      <c r="E15" s="255">
        <v>2.6291353235079669</v>
      </c>
      <c r="F15" s="255">
        <v>3.3352184737467678</v>
      </c>
      <c r="G15" s="255">
        <v>3.2607195863166951</v>
      </c>
      <c r="H15" s="255">
        <v>3.502130018704098</v>
      </c>
      <c r="I15" s="255">
        <v>2.8221648894413169</v>
      </c>
      <c r="J15" s="255">
        <v>2.6674449066279871</v>
      </c>
      <c r="K15" s="255">
        <v>2.3049924249885509</v>
      </c>
      <c r="L15" s="255">
        <v>2.5946235740235362</v>
      </c>
      <c r="M15" s="255">
        <v>2.0995878377519261</v>
      </c>
      <c r="N15" s="255">
        <v>2.9202851646858901</v>
      </c>
      <c r="O15" s="255">
        <v>2.59948271383956</v>
      </c>
      <c r="P15" s="255">
        <v>1.9724023144517731</v>
      </c>
      <c r="Q15" s="255">
        <v>1.974080480936379</v>
      </c>
      <c r="R15" s="255">
        <v>2.315317267733437</v>
      </c>
      <c r="S15" s="255">
        <v>3.245302608257874</v>
      </c>
      <c r="T15" s="255">
        <v>1.2118666873054449</v>
      </c>
      <c r="U15" s="255">
        <v>0.90563711047226936</v>
      </c>
      <c r="V15" s="255">
        <v>0.98195701456088003</v>
      </c>
      <c r="W15" s="255">
        <v>1.9784227404092809</v>
      </c>
      <c r="X15" s="255">
        <v>1.432115626310756</v>
      </c>
      <c r="Y15" s="255">
        <v>1.480407805615531</v>
      </c>
      <c r="DA15" s="271" t="s">
        <v>1024</v>
      </c>
    </row>
    <row r="16" spans="1:105" x14ac:dyDescent="0.25">
      <c r="A16" s="256" t="s">
        <v>168</v>
      </c>
      <c r="B16" s="257">
        <v>4.0925156498518414</v>
      </c>
      <c r="C16" s="257">
        <v>8.4403317349389937</v>
      </c>
      <c r="D16" s="257">
        <v>9.4173044133518022</v>
      </c>
      <c r="E16" s="257">
        <v>9.9627844164280894</v>
      </c>
      <c r="F16" s="257">
        <v>8.9445865715503263</v>
      </c>
      <c r="G16" s="257">
        <v>8.8939141479321258</v>
      </c>
      <c r="H16" s="257">
        <v>8.1951656371619936</v>
      </c>
      <c r="I16" s="257">
        <v>7.9494454830031041</v>
      </c>
      <c r="J16" s="257">
        <v>8.1570063453853674</v>
      </c>
      <c r="K16" s="257">
        <v>7.9606771744568423</v>
      </c>
      <c r="L16" s="257">
        <v>8.1875278773652109</v>
      </c>
      <c r="M16" s="257">
        <v>9.6395026360754663</v>
      </c>
      <c r="N16" s="257">
        <v>9.7085429554020752</v>
      </c>
      <c r="O16" s="257">
        <v>9.6781619777056598</v>
      </c>
      <c r="P16" s="257">
        <v>11.858598952389629</v>
      </c>
      <c r="Q16" s="257">
        <v>11.88952371228015</v>
      </c>
      <c r="R16" s="257">
        <v>11.556449158234431</v>
      </c>
      <c r="S16" s="257">
        <v>11.624856228027181</v>
      </c>
      <c r="T16" s="257">
        <v>11.449449476022799</v>
      </c>
      <c r="U16" s="257">
        <v>10.41500026944566</v>
      </c>
      <c r="V16" s="257">
        <v>10.05767671112633</v>
      </c>
      <c r="W16" s="257">
        <v>7.7001437379403761</v>
      </c>
      <c r="X16" s="257">
        <v>8.6475179930948833</v>
      </c>
      <c r="Y16" s="257">
        <v>7.4870556417886007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5.2712100548775203</v>
      </c>
      <c r="C17" s="257">
        <f t="shared" ref="C17:W17" si="7">SUM(C18:C24)</f>
        <v>10.188394818377665</v>
      </c>
      <c r="D17" s="257">
        <f t="shared" si="7"/>
        <v>11.218288160629893</v>
      </c>
      <c r="E17" s="257">
        <f t="shared" si="7"/>
        <v>11.5374409939514</v>
      </c>
      <c r="F17" s="257">
        <f t="shared" si="7"/>
        <v>10.567973114524431</v>
      </c>
      <c r="G17" s="257">
        <f t="shared" si="7"/>
        <v>10.408262090339337</v>
      </c>
      <c r="H17" s="257">
        <f t="shared" si="7"/>
        <v>9.9334955896140187</v>
      </c>
      <c r="I17" s="257">
        <f t="shared" si="7"/>
        <v>9.4148425832018408</v>
      </c>
      <c r="J17" s="257">
        <f t="shared" si="7"/>
        <v>9.6695022686241803</v>
      </c>
      <c r="K17" s="257">
        <f t="shared" si="7"/>
        <v>9.63271980011449</v>
      </c>
      <c r="L17" s="257">
        <f t="shared" si="7"/>
        <v>9.6637189314943797</v>
      </c>
      <c r="M17" s="257">
        <f t="shared" si="7"/>
        <v>11.179736835618529</v>
      </c>
      <c r="N17" s="257">
        <f t="shared" si="7"/>
        <v>11.224993562466109</v>
      </c>
      <c r="O17" s="257">
        <f t="shared" si="7"/>
        <v>11.308987485042795</v>
      </c>
      <c r="P17" s="257">
        <f t="shared" si="7"/>
        <v>13.714740287168269</v>
      </c>
      <c r="Q17" s="257">
        <f t="shared" si="7"/>
        <v>13.937477385218617</v>
      </c>
      <c r="R17" s="257">
        <f t="shared" si="7"/>
        <v>13.885302019345595</v>
      </c>
      <c r="S17" s="257">
        <f t="shared" si="7"/>
        <v>13.727330114327744</v>
      </c>
      <c r="T17" s="257">
        <f t="shared" si="7"/>
        <v>13.27247574393262</v>
      </c>
      <c r="U17" s="257">
        <f t="shared" si="7"/>
        <v>12.239900756259798</v>
      </c>
      <c r="V17" s="257">
        <f t="shared" si="7"/>
        <v>11.830854850966357</v>
      </c>
      <c r="W17" s="257">
        <f t="shared" si="7"/>
        <v>9.1822439736697898</v>
      </c>
      <c r="X17" s="257">
        <f t="shared" ref="X17:Y17" si="8">SUM(X18:X24)</f>
        <v>10.274428801842681</v>
      </c>
      <c r="Y17" s="257">
        <f t="shared" si="8"/>
        <v>8.6426626440579319</v>
      </c>
      <c r="DA17" s="272"/>
    </row>
    <row r="18" spans="1:105" x14ac:dyDescent="0.25">
      <c r="A18" s="61" t="s">
        <v>29</v>
      </c>
      <c r="B18" s="55">
        <v>0.16147188695437309</v>
      </c>
      <c r="C18" s="55">
        <v>0</v>
      </c>
      <c r="D18" s="55">
        <v>0.1643701003053134</v>
      </c>
      <c r="E18" s="55">
        <v>0.16375995012407499</v>
      </c>
      <c r="F18" s="55">
        <v>0.1936791000273696</v>
      </c>
      <c r="G18" s="55">
        <v>0.1643701003074397</v>
      </c>
      <c r="H18" s="55">
        <v>0</v>
      </c>
      <c r="I18" s="55">
        <v>0.16437010030373381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0.78075252867965184</v>
      </c>
      <c r="S18" s="55">
        <v>0.26633055361540608</v>
      </c>
      <c r="T18" s="55">
        <v>0.13316527680822091</v>
      </c>
      <c r="U18" s="55">
        <v>7.5484293710473854E-2</v>
      </c>
      <c r="V18" s="55">
        <v>3.6238562482690251E-2</v>
      </c>
      <c r="W18" s="55">
        <v>7.5484293710275707E-2</v>
      </c>
      <c r="X18" s="55">
        <v>0</v>
      </c>
      <c r="Y18" s="55">
        <v>0</v>
      </c>
      <c r="DA18" s="101" t="s">
        <v>1026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0.31966363222014632</v>
      </c>
      <c r="J19" s="55">
        <v>0.31966363222236088</v>
      </c>
      <c r="K19" s="55">
        <v>0.31966363222201188</v>
      </c>
      <c r="L19" s="55">
        <v>0</v>
      </c>
      <c r="M19" s="55">
        <v>0</v>
      </c>
      <c r="N19" s="55">
        <v>0.31966363222193772</v>
      </c>
      <c r="O19" s="55">
        <v>0.3196636322214495</v>
      </c>
      <c r="P19" s="55">
        <v>0.31966363222352712</v>
      </c>
      <c r="Q19" s="55">
        <v>0.63932726444688592</v>
      </c>
      <c r="R19" s="55">
        <v>0.63932726444551791</v>
      </c>
      <c r="S19" s="55">
        <v>0.63932726444308452</v>
      </c>
      <c r="T19" s="55">
        <v>0.31966363222278538</v>
      </c>
      <c r="U19" s="55">
        <v>0.6393272644469965</v>
      </c>
      <c r="V19" s="55">
        <v>0.76080399722116854</v>
      </c>
      <c r="W19" s="55">
        <v>0.31966363222265898</v>
      </c>
      <c r="X19" s="55">
        <v>0.51145169481530217</v>
      </c>
      <c r="Y19" s="55">
        <v>0.42098276432478537</v>
      </c>
      <c r="DA19" s="101" t="s">
        <v>1027</v>
      </c>
    </row>
    <row r="20" spans="1:105" x14ac:dyDescent="0.25">
      <c r="A20" s="61" t="s">
        <v>166</v>
      </c>
      <c r="B20" s="55">
        <v>2.5033442100113699</v>
      </c>
      <c r="C20" s="55">
        <v>6.3899917042077936</v>
      </c>
      <c r="D20" s="55">
        <v>7.4165640545036116</v>
      </c>
      <c r="E20" s="55">
        <v>8.6120565808439515</v>
      </c>
      <c r="F20" s="55">
        <v>7.3166433249323504</v>
      </c>
      <c r="G20" s="55">
        <v>7.4149943365365649</v>
      </c>
      <c r="H20" s="55">
        <v>6.019976202977622</v>
      </c>
      <c r="I20" s="55">
        <v>6.5307595137214838</v>
      </c>
      <c r="J20" s="55">
        <v>6.6639444592884551</v>
      </c>
      <c r="K20" s="55">
        <v>6.0907732624263966</v>
      </c>
      <c r="L20" s="55">
        <v>6.6835511321861816</v>
      </c>
      <c r="M20" s="55">
        <v>8.3272190725275514</v>
      </c>
      <c r="N20" s="55">
        <v>8.6622240314205694</v>
      </c>
      <c r="O20" s="55">
        <v>8.2390578617958674</v>
      </c>
      <c r="P20" s="55">
        <v>10.42939038909776</v>
      </c>
      <c r="Q20" s="55">
        <v>10.13827867113247</v>
      </c>
      <c r="R20" s="55">
        <v>9.1316289686694212</v>
      </c>
      <c r="S20" s="55">
        <v>9.6837726065597476</v>
      </c>
      <c r="T20" s="55">
        <v>10.013664089305699</v>
      </c>
      <c r="U20" s="55">
        <v>8.8298907519250704</v>
      </c>
      <c r="V20" s="55">
        <v>8.504707681080566</v>
      </c>
      <c r="W20" s="55">
        <v>6.1274564411236732</v>
      </c>
      <c r="X20" s="55">
        <v>7.044995285101864</v>
      </c>
      <c r="Y20" s="55">
        <v>6.7311913982833644</v>
      </c>
      <c r="DA20" s="101" t="s">
        <v>1028</v>
      </c>
    </row>
    <row r="21" spans="1:105" x14ac:dyDescent="0.25">
      <c r="A21" s="61" t="s">
        <v>129</v>
      </c>
      <c r="B21" s="55">
        <v>0.77253991222332885</v>
      </c>
      <c r="C21" s="55">
        <v>1.2696041447545079</v>
      </c>
      <c r="D21" s="55">
        <v>1.0210607597376611</v>
      </c>
      <c r="E21" s="55">
        <v>0.55090628431420352</v>
      </c>
      <c r="F21" s="55">
        <v>1.074925348978006</v>
      </c>
      <c r="G21" s="55">
        <v>0.27545314216256778</v>
      </c>
      <c r="H21" s="55">
        <v>0</v>
      </c>
      <c r="I21" s="55">
        <v>0.2754531421563573</v>
      </c>
      <c r="J21" s="55">
        <v>0.49708677004113172</v>
      </c>
      <c r="K21" s="55">
        <v>0.52399652717825929</v>
      </c>
      <c r="L21" s="55">
        <v>0.2485433850204038</v>
      </c>
      <c r="M21" s="55">
        <v>0.49106926153418129</v>
      </c>
      <c r="N21" s="55">
        <v>0.24552336202488739</v>
      </c>
      <c r="O21" s="55">
        <v>0.24552336202451239</v>
      </c>
      <c r="P21" s="55">
        <v>0.52097650418537889</v>
      </c>
      <c r="Q21" s="55">
        <v>0.98213852307425442</v>
      </c>
      <c r="R21" s="55">
        <v>1.012045765720204</v>
      </c>
      <c r="S21" s="55">
        <v>1.012045765716352</v>
      </c>
      <c r="T21" s="55">
        <v>0.71144079025703788</v>
      </c>
      <c r="U21" s="55">
        <v>0.90832825956832619</v>
      </c>
      <c r="V21" s="55">
        <v>0.6070020845808094</v>
      </c>
      <c r="W21" s="55">
        <v>0.66931823071705154</v>
      </c>
      <c r="X21" s="55">
        <v>0.93868625190955424</v>
      </c>
      <c r="Y21" s="55">
        <v>0.80388955388388883</v>
      </c>
      <c r="DA21" s="101" t="s">
        <v>1029</v>
      </c>
    </row>
    <row r="22" spans="1:105" x14ac:dyDescent="0.25">
      <c r="A22" s="61" t="s">
        <v>169</v>
      </c>
      <c r="B22" s="55">
        <v>0.56860544119302325</v>
      </c>
      <c r="C22" s="55">
        <v>0.70121062270997236</v>
      </c>
      <c r="D22" s="55">
        <v>0.78870489937160504</v>
      </c>
      <c r="E22" s="55">
        <v>1.09776333124069</v>
      </c>
      <c r="F22" s="55">
        <v>1.232939017587614</v>
      </c>
      <c r="G22" s="55">
        <v>1.3233487305844669</v>
      </c>
      <c r="H22" s="55">
        <v>1.42987855098231</v>
      </c>
      <c r="I22" s="55">
        <v>1.44511551925835</v>
      </c>
      <c r="J22" s="55">
        <v>1.2984519641163841</v>
      </c>
      <c r="K22" s="55">
        <v>1.5267505204695959</v>
      </c>
      <c r="L22" s="55">
        <v>1.6655259401736691</v>
      </c>
      <c r="M22" s="55">
        <v>1.4066497296831399</v>
      </c>
      <c r="N22" s="55">
        <v>1.7046985723442261</v>
      </c>
      <c r="O22" s="55">
        <v>1.4562311104910779</v>
      </c>
      <c r="P22" s="55">
        <v>1.384473606076895</v>
      </c>
      <c r="Q22" s="55">
        <v>1.181940099901102</v>
      </c>
      <c r="R22" s="55">
        <v>1.372611038487443</v>
      </c>
      <c r="S22" s="55">
        <v>1.1836654632104959</v>
      </c>
      <c r="T22" s="55">
        <v>1.169160213515104</v>
      </c>
      <c r="U22" s="55">
        <v>0.78038600923715973</v>
      </c>
      <c r="V22" s="55">
        <v>0.68612333886163157</v>
      </c>
      <c r="W22" s="55">
        <v>0.57862024547277513</v>
      </c>
      <c r="X22" s="55">
        <v>0.48475646037257258</v>
      </c>
      <c r="Y22" s="55">
        <v>0.27697469187628643</v>
      </c>
      <c r="DA22" s="101" t="s">
        <v>1030</v>
      </c>
    </row>
    <row r="23" spans="1:105" x14ac:dyDescent="0.25">
      <c r="A23" s="61" t="s">
        <v>164</v>
      </c>
      <c r="B23" s="55">
        <v>1.265248604495425</v>
      </c>
      <c r="C23" s="55">
        <v>1.8275883467053899</v>
      </c>
      <c r="D23" s="55">
        <v>1.827588346711702</v>
      </c>
      <c r="E23" s="55">
        <v>1.1129548474284789</v>
      </c>
      <c r="F23" s="55">
        <v>0.74978632299908965</v>
      </c>
      <c r="G23" s="55">
        <v>1.2300957807482991</v>
      </c>
      <c r="H23" s="55">
        <v>2.4836408356540871</v>
      </c>
      <c r="I23" s="55">
        <v>0.67948067554177005</v>
      </c>
      <c r="J23" s="55">
        <v>0.89035544295584934</v>
      </c>
      <c r="K23" s="55">
        <v>1.171535857818226</v>
      </c>
      <c r="L23" s="55">
        <v>1.0660984741141251</v>
      </c>
      <c r="M23" s="55">
        <v>0.95479877187365725</v>
      </c>
      <c r="N23" s="55">
        <v>0.29288396445448872</v>
      </c>
      <c r="O23" s="55">
        <v>1.0485115185098881</v>
      </c>
      <c r="P23" s="55">
        <v>1.0602361555847071</v>
      </c>
      <c r="Q23" s="55">
        <v>0.99579282666390589</v>
      </c>
      <c r="R23" s="55">
        <v>0.94893645334335464</v>
      </c>
      <c r="S23" s="55">
        <v>0.94218846078265983</v>
      </c>
      <c r="T23" s="55">
        <v>0.92538174182377464</v>
      </c>
      <c r="U23" s="55">
        <v>1.006484177371771</v>
      </c>
      <c r="V23" s="55">
        <v>1.23597918673949</v>
      </c>
      <c r="W23" s="55">
        <v>1.4117011304233551</v>
      </c>
      <c r="X23" s="55">
        <v>1.2945391096433889</v>
      </c>
      <c r="Y23" s="55">
        <v>0.40962423568960732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1032</v>
      </c>
    </row>
    <row r="25" spans="1:105" x14ac:dyDescent="0.25">
      <c r="A25" s="256" t="s">
        <v>167</v>
      </c>
      <c r="B25" s="257">
        <v>0.55048769161390709</v>
      </c>
      <c r="C25" s="257">
        <v>1.1353160575917109</v>
      </c>
      <c r="D25" s="257">
        <v>1.266729466976912</v>
      </c>
      <c r="E25" s="257">
        <v>1.340102436907004</v>
      </c>
      <c r="F25" s="257">
        <v>1.203143796014988</v>
      </c>
      <c r="G25" s="257">
        <v>1.1963278060731839</v>
      </c>
      <c r="H25" s="257">
        <v>1.1023385614073919</v>
      </c>
      <c r="I25" s="257">
        <v>1.0692865386372821</v>
      </c>
      <c r="J25" s="257">
        <v>1.097205723260642</v>
      </c>
      <c r="K25" s="257">
        <v>1.070797322817548</v>
      </c>
      <c r="L25" s="257">
        <v>1.101311199970233</v>
      </c>
      <c r="M25" s="257">
        <v>1.2966175351416089</v>
      </c>
      <c r="N25" s="257">
        <v>1.30590420604677</v>
      </c>
      <c r="O25" s="257">
        <v>1.3018176354110089</v>
      </c>
      <c r="P25" s="257">
        <v>1.595110030504683</v>
      </c>
      <c r="Q25" s="257">
        <v>1.5992697457366729</v>
      </c>
      <c r="R25" s="257">
        <v>1.554467609818488</v>
      </c>
      <c r="S25" s="257">
        <v>1.563669101800967</v>
      </c>
      <c r="T25" s="257">
        <v>1.540074993368449</v>
      </c>
      <c r="U25" s="257">
        <v>1.40093036826699</v>
      </c>
      <c r="V25" s="257">
        <v>1.352866478569807</v>
      </c>
      <c r="W25" s="257">
        <v>1.0357527530890529</v>
      </c>
      <c r="X25" s="257">
        <v>1.1631848538883081</v>
      </c>
      <c r="Y25" s="257">
        <v>1.007090095643812</v>
      </c>
      <c r="DA25" s="272" t="s">
        <v>1033</v>
      </c>
    </row>
    <row r="26" spans="1:105" x14ac:dyDescent="0.25">
      <c r="A26" s="256" t="s">
        <v>170</v>
      </c>
      <c r="B26" s="257">
        <v>1.127026575048804</v>
      </c>
      <c r="C26" s="257">
        <v>1.337672175160433</v>
      </c>
      <c r="D26" s="257">
        <v>1.362922042220764</v>
      </c>
      <c r="E26" s="257">
        <v>1.440673451788439</v>
      </c>
      <c r="F26" s="257">
        <v>1.4607768743436469</v>
      </c>
      <c r="G26" s="257">
        <v>1.4525926073217339</v>
      </c>
      <c r="H26" s="257">
        <v>1.400784073194226</v>
      </c>
      <c r="I26" s="257">
        <v>1.2951391549293181</v>
      </c>
      <c r="J26" s="257">
        <v>1.279411157604422</v>
      </c>
      <c r="K26" s="257">
        <v>1.1960568003494789</v>
      </c>
      <c r="L26" s="257">
        <v>1.279300895237149</v>
      </c>
      <c r="M26" s="257">
        <v>1.3264527653573519</v>
      </c>
      <c r="N26" s="257">
        <v>1.4907003948333479</v>
      </c>
      <c r="O26" s="257">
        <v>1.410945575031336</v>
      </c>
      <c r="P26" s="257">
        <v>1.472878353332016</v>
      </c>
      <c r="Q26" s="257">
        <v>1.4726905015558389</v>
      </c>
      <c r="R26" s="257">
        <v>1.5171107769428951</v>
      </c>
      <c r="S26" s="257">
        <v>1.70217199942775</v>
      </c>
      <c r="T26" s="257">
        <v>1.227540210625623</v>
      </c>
      <c r="U26" s="257">
        <v>1.038750880152798</v>
      </c>
      <c r="V26" s="257">
        <v>1.039791403058179</v>
      </c>
      <c r="W26" s="257">
        <v>1.0921621936372441</v>
      </c>
      <c r="X26" s="257">
        <v>1.0613614043751589</v>
      </c>
      <c r="Y26" s="257">
        <v>0.96432415146654593</v>
      </c>
      <c r="DA26" s="272" t="s">
        <v>1034</v>
      </c>
    </row>
    <row r="27" spans="1:105" x14ac:dyDescent="0.25">
      <c r="A27" s="128" t="s">
        <v>33</v>
      </c>
      <c r="B27" s="258">
        <v>1.7176614737186851</v>
      </c>
      <c r="C27" s="258">
        <v>2.0386990072874291</v>
      </c>
      <c r="D27" s="258">
        <v>2.077181439579828</v>
      </c>
      <c r="E27" s="258">
        <v>2.1956796220525301</v>
      </c>
      <c r="F27" s="258">
        <v>2.2263185396942649</v>
      </c>
      <c r="G27" s="258">
        <v>2.213845186833391</v>
      </c>
      <c r="H27" s="258">
        <v>2.13488562629525</v>
      </c>
      <c r="I27" s="258">
        <v>1.9738759305035301</v>
      </c>
      <c r="J27" s="258">
        <v>1.949905444215259</v>
      </c>
      <c r="K27" s="258">
        <v>1.8228680066843841</v>
      </c>
      <c r="L27" s="258">
        <v>1.949737397228207</v>
      </c>
      <c r="M27" s="258">
        <v>2.0215999003069398</v>
      </c>
      <c r="N27" s="258">
        <v>2.2719239224253398</v>
      </c>
      <c r="O27" s="258">
        <v>2.150372413037585</v>
      </c>
      <c r="P27" s="258">
        <v>2.2447619772258398</v>
      </c>
      <c r="Q27" s="258">
        <v>2.244475678955816</v>
      </c>
      <c r="R27" s="258">
        <v>2.3121750547944169</v>
      </c>
      <c r="S27" s="258">
        <v>2.5942203403084259</v>
      </c>
      <c r="T27" s="258">
        <v>1.8708507624506081</v>
      </c>
      <c r="U27" s="258">
        <v>1.5831235989733179</v>
      </c>
      <c r="V27" s="258">
        <v>1.584709423253476</v>
      </c>
      <c r="W27" s="258">
        <v>1.6645258990290841</v>
      </c>
      <c r="X27" s="258">
        <v>1.6175835018870111</v>
      </c>
      <c r="Y27" s="258">
        <v>1.4696924454321949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1</v>
      </c>
      <c r="D31" s="235">
        <f t="shared" si="9"/>
        <v>1</v>
      </c>
      <c r="E31" s="235">
        <f t="shared" si="9"/>
        <v>0.99999999999999989</v>
      </c>
      <c r="F31" s="235">
        <f t="shared" si="9"/>
        <v>1.0000000000000002</v>
      </c>
      <c r="G31" s="235">
        <f t="shared" si="9"/>
        <v>1</v>
      </c>
      <c r="H31" s="235">
        <f t="shared" si="9"/>
        <v>1</v>
      </c>
      <c r="I31" s="235">
        <f t="shared" si="9"/>
        <v>1.0000000000000002</v>
      </c>
      <c r="J31" s="235">
        <f t="shared" si="9"/>
        <v>1</v>
      </c>
      <c r="K31" s="235">
        <f t="shared" si="9"/>
        <v>1.0000000000000002</v>
      </c>
      <c r="L31" s="235">
        <f t="shared" si="9"/>
        <v>1</v>
      </c>
      <c r="M31" s="235">
        <f t="shared" si="9"/>
        <v>1</v>
      </c>
      <c r="N31" s="235">
        <f t="shared" si="9"/>
        <v>1.0000000000000002</v>
      </c>
      <c r="O31" s="235">
        <f t="shared" si="9"/>
        <v>0.99999999999999967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1</v>
      </c>
      <c r="T31" s="235">
        <f t="shared" si="10"/>
        <v>1</v>
      </c>
      <c r="U31" s="235">
        <f t="shared" si="10"/>
        <v>1</v>
      </c>
      <c r="V31" s="235">
        <f t="shared" si="10"/>
        <v>0.99999999999999978</v>
      </c>
      <c r="W31" s="235">
        <f t="shared" si="10"/>
        <v>0.99999999999999978</v>
      </c>
      <c r="X31" s="235">
        <f t="shared" ref="X31:Y31" si="11">SUM(X32:X40)</f>
        <v>0.99999999999999989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4.3773881849069954E-2</v>
      </c>
      <c r="C32" s="244">
        <f t="shared" si="12"/>
        <v>3.3604663049090773E-2</v>
      </c>
      <c r="D32" s="244">
        <f t="shared" si="12"/>
        <v>3.1566593436548412E-2</v>
      </c>
      <c r="E32" s="244">
        <f t="shared" si="12"/>
        <v>3.1830115343488626E-2</v>
      </c>
      <c r="F32" s="244">
        <f t="shared" si="12"/>
        <v>3.4269917684636261E-2</v>
      </c>
      <c r="G32" s="244">
        <f t="shared" si="12"/>
        <v>3.430300451525474E-2</v>
      </c>
      <c r="H32" s="244">
        <f t="shared" si="12"/>
        <v>3.4933701027166954E-2</v>
      </c>
      <c r="I32" s="244">
        <f t="shared" si="12"/>
        <v>3.3999057444651266E-2</v>
      </c>
      <c r="J32" s="244">
        <f t="shared" si="12"/>
        <v>3.3271954278218344E-2</v>
      </c>
      <c r="K32" s="244">
        <f t="shared" si="12"/>
        <v>3.2075221737516736E-2</v>
      </c>
      <c r="L32" s="244">
        <f t="shared" si="12"/>
        <v>3.3187400707581721E-2</v>
      </c>
      <c r="M32" s="244">
        <f t="shared" si="12"/>
        <v>3.0426194749878593E-2</v>
      </c>
      <c r="N32" s="244">
        <f t="shared" si="12"/>
        <v>3.313193514746611E-2</v>
      </c>
      <c r="O32" s="244">
        <f t="shared" si="12"/>
        <v>3.1965592780961331E-2</v>
      </c>
      <c r="P32" s="244">
        <f t="shared" si="12"/>
        <v>2.8427721462753946E-2</v>
      </c>
      <c r="Q32" s="244">
        <f t="shared" si="12"/>
        <v>2.8180686850686209E-2</v>
      </c>
      <c r="R32" s="244">
        <f t="shared" si="12"/>
        <v>2.9228213497971098E-2</v>
      </c>
      <c r="S32" s="244">
        <f t="shared" si="12"/>
        <v>3.1977250066062175E-2</v>
      </c>
      <c r="T32" s="244">
        <f t="shared" si="12"/>
        <v>2.5141700789443902E-2</v>
      </c>
      <c r="U32" s="244">
        <f t="shared" si="12"/>
        <v>2.3602333942470036E-2</v>
      </c>
      <c r="V32" s="244">
        <f t="shared" si="12"/>
        <v>2.4343812307486577E-2</v>
      </c>
      <c r="W32" s="244">
        <f t="shared" si="12"/>
        <v>3.1053015818770957E-2</v>
      </c>
      <c r="X32" s="244">
        <f t="shared" si="12"/>
        <v>2.7827361583354249E-2</v>
      </c>
      <c r="Y32" s="244">
        <f t="shared" si="12"/>
        <v>2.9604893558505593E-2</v>
      </c>
      <c r="DA32" s="275"/>
    </row>
    <row r="33" spans="1:105" x14ac:dyDescent="0.25">
      <c r="A33" s="240" t="s">
        <v>124</v>
      </c>
      <c r="B33" s="245">
        <f t="shared" ref="B33:Y33" si="13">IF(B$7=0,0,B$7/B$5)</f>
        <v>2.8214812038088212E-2</v>
      </c>
      <c r="C33" s="245">
        <f t="shared" si="13"/>
        <v>2.1660159242960317E-2</v>
      </c>
      <c r="D33" s="245">
        <f t="shared" si="13"/>
        <v>2.0346504876260729E-2</v>
      </c>
      <c r="E33" s="245">
        <f t="shared" si="13"/>
        <v>2.0516360067488072E-2</v>
      </c>
      <c r="F33" s="245">
        <f t="shared" si="13"/>
        <v>2.2088954536101102E-2</v>
      </c>
      <c r="G33" s="245">
        <f t="shared" si="13"/>
        <v>2.2110280922233713E-2</v>
      </c>
      <c r="H33" s="245">
        <f t="shared" si="13"/>
        <v>2.2516801495347079E-2</v>
      </c>
      <c r="I33" s="245">
        <f t="shared" si="13"/>
        <v>2.1914369362546735E-2</v>
      </c>
      <c r="J33" s="245">
        <f t="shared" si="13"/>
        <v>2.1445709095131143E-2</v>
      </c>
      <c r="K33" s="245">
        <f t="shared" si="13"/>
        <v>2.0674345389892903E-2</v>
      </c>
      <c r="L33" s="245">
        <f t="shared" si="13"/>
        <v>2.1391209402577323E-2</v>
      </c>
      <c r="M33" s="245">
        <f t="shared" si="13"/>
        <v>1.9611451615418718E-2</v>
      </c>
      <c r="N33" s="245">
        <f t="shared" si="13"/>
        <v>2.1355458624096109E-2</v>
      </c>
      <c r="O33" s="245">
        <f t="shared" si="13"/>
        <v>2.0603683153132477E-2</v>
      </c>
      <c r="P33" s="245">
        <f t="shared" si="13"/>
        <v>1.8323319382737596E-2</v>
      </c>
      <c r="Q33" s="245">
        <f t="shared" si="13"/>
        <v>1.8164091211691998E-2</v>
      </c>
      <c r="R33" s="245">
        <f t="shared" si="13"/>
        <v>1.8839283043203283E-2</v>
      </c>
      <c r="S33" s="245">
        <f t="shared" si="13"/>
        <v>2.0611196951180542E-2</v>
      </c>
      <c r="T33" s="245">
        <f t="shared" si="13"/>
        <v>1.6205287996570165E-2</v>
      </c>
      <c r="U33" s="245">
        <f t="shared" si="13"/>
        <v>1.521307655882775E-2</v>
      </c>
      <c r="V33" s="245">
        <f t="shared" si="13"/>
        <v>1.5691002477561302E-2</v>
      </c>
      <c r="W33" s="245">
        <f t="shared" si="13"/>
        <v>2.0015474240172235E-2</v>
      </c>
      <c r="X33" s="245">
        <f t="shared" si="13"/>
        <v>1.793635253317017E-2</v>
      </c>
      <c r="Y33" s="245">
        <f t="shared" si="13"/>
        <v>1.908207524388407E-2</v>
      </c>
      <c r="DA33" s="276"/>
    </row>
    <row r="34" spans="1:105" x14ac:dyDescent="0.25">
      <c r="A34" s="240" t="s">
        <v>123</v>
      </c>
      <c r="B34" s="245">
        <f t="shared" ref="B34:Y34" si="14">IF(B$8=0,0,B$8/B$5)</f>
        <v>5.6069383914179712E-2</v>
      </c>
      <c r="C34" s="245">
        <f t="shared" si="14"/>
        <v>4.3043766607282367E-2</v>
      </c>
      <c r="D34" s="245">
        <f t="shared" si="14"/>
        <v>4.0433230307498153E-2</v>
      </c>
      <c r="E34" s="245">
        <f t="shared" si="14"/>
        <v>4.0770772018351498E-2</v>
      </c>
      <c r="F34" s="245">
        <f t="shared" si="14"/>
        <v>4.3895882434928077E-2</v>
      </c>
      <c r="G34" s="245">
        <f t="shared" si="14"/>
        <v>4.3938262916852176E-2</v>
      </c>
      <c r="H34" s="245">
        <f t="shared" si="14"/>
        <v>4.4746113702890937E-2</v>
      </c>
      <c r="I34" s="245">
        <f t="shared" si="14"/>
        <v>4.3548941150735633E-2</v>
      </c>
      <c r="J34" s="245">
        <f t="shared" si="14"/>
        <v>4.2617604361265819E-2</v>
      </c>
      <c r="K34" s="245">
        <f t="shared" si="14"/>
        <v>4.1084725543286009E-2</v>
      </c>
      <c r="L34" s="245">
        <f t="shared" si="14"/>
        <v>4.2509300815565074E-2</v>
      </c>
      <c r="M34" s="245">
        <f t="shared" si="14"/>
        <v>3.8972508774996584E-2</v>
      </c>
      <c r="N34" s="245">
        <f t="shared" si="14"/>
        <v>4.2438255716232581E-2</v>
      </c>
      <c r="O34" s="245">
        <f t="shared" si="14"/>
        <v>4.0944303268779736E-2</v>
      </c>
      <c r="P34" s="245">
        <f t="shared" si="14"/>
        <v>3.6412690882574372E-2</v>
      </c>
      <c r="Q34" s="245">
        <f t="shared" si="14"/>
        <v>3.6096267528760918E-2</v>
      </c>
      <c r="R34" s="245">
        <f t="shared" si="14"/>
        <v>3.7438030499416852E-2</v>
      </c>
      <c r="S34" s="245">
        <f t="shared" si="14"/>
        <v>4.0959234930448875E-2</v>
      </c>
      <c r="T34" s="245">
        <f t="shared" si="14"/>
        <v>3.2203670642673793E-2</v>
      </c>
      <c r="U34" s="245">
        <f t="shared" si="14"/>
        <v>3.0231916092201539E-2</v>
      </c>
      <c r="V34" s="245">
        <f t="shared" si="14"/>
        <v>3.1181665882624887E-2</v>
      </c>
      <c r="W34" s="245">
        <f t="shared" si="14"/>
        <v>3.9775395557539686E-2</v>
      </c>
      <c r="X34" s="245">
        <f t="shared" si="14"/>
        <v>3.5643697886230223E-2</v>
      </c>
      <c r="Y34" s="245">
        <f t="shared" si="14"/>
        <v>3.7920514986393525E-2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0.38053312061799577</v>
      </c>
      <c r="C35" s="246">
        <f t="shared" si="15"/>
        <v>0.32523069648191555</v>
      </c>
      <c r="D35" s="246">
        <f t="shared" si="15"/>
        <v>0.3256126103901959</v>
      </c>
      <c r="E35" s="246">
        <f t="shared" si="15"/>
        <v>0.32680669001757257</v>
      </c>
      <c r="F35" s="246">
        <f t="shared" si="15"/>
        <v>0.33204698851267039</v>
      </c>
      <c r="G35" s="246">
        <f t="shared" si="15"/>
        <v>0.33377042741443463</v>
      </c>
      <c r="H35" s="246">
        <f t="shared" si="15"/>
        <v>0.33478620001523546</v>
      </c>
      <c r="I35" s="246">
        <f t="shared" si="15"/>
        <v>0.33558667702591205</v>
      </c>
      <c r="J35" s="246">
        <f t="shared" si="15"/>
        <v>0.33138334566645028</v>
      </c>
      <c r="K35" s="246">
        <f t="shared" si="15"/>
        <v>0.3295474868259155</v>
      </c>
      <c r="L35" s="246">
        <f t="shared" si="15"/>
        <v>0.33229854522270735</v>
      </c>
      <c r="M35" s="246">
        <f t="shared" si="15"/>
        <v>0.33178834243746524</v>
      </c>
      <c r="N35" s="246">
        <f t="shared" si="15"/>
        <v>0.32999729631218172</v>
      </c>
      <c r="O35" s="246">
        <f t="shared" si="15"/>
        <v>0.32573994753169355</v>
      </c>
      <c r="P35" s="246">
        <f t="shared" si="15"/>
        <v>0.32570103876003514</v>
      </c>
      <c r="Q35" s="246">
        <f t="shared" si="15"/>
        <v>0.32660264777949888</v>
      </c>
      <c r="R35" s="246">
        <f t="shared" si="15"/>
        <v>0.32559127080250733</v>
      </c>
      <c r="S35" s="246">
        <f t="shared" si="15"/>
        <v>0.32500354230793799</v>
      </c>
      <c r="T35" s="246">
        <f t="shared" si="15"/>
        <v>0.33014288998502056</v>
      </c>
      <c r="U35" s="246">
        <f t="shared" si="15"/>
        <v>0.32986092040877035</v>
      </c>
      <c r="V35" s="246">
        <f t="shared" si="15"/>
        <v>0.3282756718894615</v>
      </c>
      <c r="W35" s="246">
        <f t="shared" si="15"/>
        <v>0.326238329375514</v>
      </c>
      <c r="X35" s="246">
        <f t="shared" si="15"/>
        <v>0.32674821717166125</v>
      </c>
      <c r="Y35" s="246">
        <f t="shared" si="15"/>
        <v>0.31759548252297171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0.1576231480112634</v>
      </c>
      <c r="C36" s="259">
        <f t="shared" si="16"/>
        <v>0.21026070263873922</v>
      </c>
      <c r="D36" s="259">
        <f t="shared" si="16"/>
        <v>0.21628781536660005</v>
      </c>
      <c r="E36" s="259">
        <f t="shared" si="16"/>
        <v>0.21827406439511093</v>
      </c>
      <c r="F36" s="259">
        <f t="shared" si="16"/>
        <v>0.208083762291497</v>
      </c>
      <c r="G36" s="259">
        <f t="shared" si="16"/>
        <v>0.20827157786473791</v>
      </c>
      <c r="H36" s="259">
        <f t="shared" si="16"/>
        <v>0.20266552733919671</v>
      </c>
      <c r="I36" s="259">
        <f t="shared" si="16"/>
        <v>0.2069359869750427</v>
      </c>
      <c r="J36" s="259">
        <f t="shared" si="16"/>
        <v>0.21035252053322445</v>
      </c>
      <c r="K36" s="259">
        <f t="shared" si="16"/>
        <v>0.21169793350445443</v>
      </c>
      <c r="L36" s="259">
        <f t="shared" si="16"/>
        <v>0.21062119398566828</v>
      </c>
      <c r="M36" s="259">
        <f t="shared" si="16"/>
        <v>0.21925990475247922</v>
      </c>
      <c r="N36" s="259">
        <f t="shared" si="16"/>
        <v>0.21397312823601355</v>
      </c>
      <c r="O36" s="259">
        <f t="shared" si="16"/>
        <v>0.21742732884746765</v>
      </c>
      <c r="P36" s="259">
        <f t="shared" si="16"/>
        <v>0.2269641674959588</v>
      </c>
      <c r="Q36" s="259">
        <f t="shared" si="16"/>
        <v>0.22560737323994712</v>
      </c>
      <c r="R36" s="259">
        <f t="shared" si="16"/>
        <v>0.22077918914660338</v>
      </c>
      <c r="S36" s="259">
        <f t="shared" si="16"/>
        <v>0.21655788678824422</v>
      </c>
      <c r="T36" s="259">
        <f t="shared" si="16"/>
        <v>0.23253711215457895</v>
      </c>
      <c r="U36" s="259">
        <f t="shared" si="16"/>
        <v>0.23466675879899396</v>
      </c>
      <c r="V36" s="259">
        <f t="shared" si="16"/>
        <v>0.23350102090541619</v>
      </c>
      <c r="W36" s="259">
        <f t="shared" si="16"/>
        <v>0.21710219842980863</v>
      </c>
      <c r="X36" s="259">
        <f t="shared" si="16"/>
        <v>0.22482725505868265</v>
      </c>
      <c r="Y36" s="259">
        <f t="shared" si="16"/>
        <v>0.22792935644574264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0.20302053645378204</v>
      </c>
      <c r="C37" s="259">
        <f t="shared" si="17"/>
        <v>0.25380744744963057</v>
      </c>
      <c r="D37" s="259">
        <f t="shared" si="17"/>
        <v>0.25765112094874271</v>
      </c>
      <c r="E37" s="259">
        <f t="shared" si="17"/>
        <v>0.25277312377812383</v>
      </c>
      <c r="F37" s="259">
        <f t="shared" si="17"/>
        <v>0.24584966424943278</v>
      </c>
      <c r="G37" s="259">
        <f t="shared" si="17"/>
        <v>0.2437335387241982</v>
      </c>
      <c r="H37" s="259">
        <f t="shared" si="17"/>
        <v>0.2456542321562982</v>
      </c>
      <c r="I37" s="259">
        <f t="shared" si="17"/>
        <v>0.24508247101450972</v>
      </c>
      <c r="J37" s="259">
        <f t="shared" si="17"/>
        <v>0.24935669881604516</v>
      </c>
      <c r="K37" s="259">
        <f t="shared" si="17"/>
        <v>0.25616248857005253</v>
      </c>
      <c r="L37" s="259">
        <f t="shared" si="17"/>
        <v>0.24859567505353641</v>
      </c>
      <c r="M37" s="259">
        <f t="shared" si="17"/>
        <v>0.25429403635014591</v>
      </c>
      <c r="N37" s="259">
        <f t="shared" si="17"/>
        <v>0.24739520626558487</v>
      </c>
      <c r="O37" s="259">
        <f t="shared" si="17"/>
        <v>0.25406507418521296</v>
      </c>
      <c r="P37" s="259">
        <f t="shared" si="17"/>
        <v>0.26248923875389013</v>
      </c>
      <c r="Q37" s="259">
        <f t="shared" si="17"/>
        <v>0.264467924751488</v>
      </c>
      <c r="R37" s="259">
        <f t="shared" si="17"/>
        <v>0.26527055836199159</v>
      </c>
      <c r="S37" s="259">
        <f t="shared" si="17"/>
        <v>0.25572459069525555</v>
      </c>
      <c r="T37" s="259">
        <f t="shared" si="17"/>
        <v>0.26956258351977053</v>
      </c>
      <c r="U37" s="259">
        <f t="shared" si="17"/>
        <v>0.27578471091539591</v>
      </c>
      <c r="V37" s="259">
        <f t="shared" si="17"/>
        <v>0.27466747691625432</v>
      </c>
      <c r="W37" s="259">
        <f t="shared" si="17"/>
        <v>0.258889368958168</v>
      </c>
      <c r="X37" s="259">
        <f t="shared" si="17"/>
        <v>0.26712539096867932</v>
      </c>
      <c r="Y37" s="259">
        <f t="shared" si="17"/>
        <v>0.26310964265348868</v>
      </c>
      <c r="DA37" s="278"/>
    </row>
    <row r="38" spans="1:105" x14ac:dyDescent="0.25">
      <c r="A38" s="127" t="s">
        <v>167</v>
      </c>
      <c r="B38" s="259">
        <f t="shared" ref="B38:Y38" si="18">IF(B$25=0,0,B$25/B$5)</f>
        <v>2.1202021034856362E-2</v>
      </c>
      <c r="C38" s="259">
        <f t="shared" si="18"/>
        <v>2.8282342386866135E-2</v>
      </c>
      <c r="D38" s="259">
        <f t="shared" si="18"/>
        <v>2.9093054344137937E-2</v>
      </c>
      <c r="E38" s="259">
        <f t="shared" si="18"/>
        <v>2.9360226356715306E-2</v>
      </c>
      <c r="F38" s="259">
        <f t="shared" si="18"/>
        <v>2.7989520326044452E-2</v>
      </c>
      <c r="G38" s="259">
        <f t="shared" si="18"/>
        <v>2.8014783555365581E-2</v>
      </c>
      <c r="H38" s="259">
        <f t="shared" si="18"/>
        <v>2.7260709025928441E-2</v>
      </c>
      <c r="I38" s="259">
        <f t="shared" si="18"/>
        <v>2.783513211143393E-2</v>
      </c>
      <c r="J38" s="259">
        <f t="shared" si="18"/>
        <v>2.8294692888393449E-2</v>
      </c>
      <c r="K38" s="259">
        <f t="shared" si="18"/>
        <v>2.8475665508700131E-2</v>
      </c>
      <c r="L38" s="259">
        <f t="shared" si="18"/>
        <v>2.8330832378449904E-2</v>
      </c>
      <c r="M38" s="259">
        <f t="shared" si="18"/>
        <v>2.9492832564988972E-2</v>
      </c>
      <c r="N38" s="259">
        <f t="shared" si="18"/>
        <v>2.8781703848661872E-2</v>
      </c>
      <c r="O38" s="259">
        <f t="shared" si="18"/>
        <v>2.9246331252356577E-2</v>
      </c>
      <c r="P38" s="259">
        <f t="shared" si="18"/>
        <v>3.0529139368946741E-2</v>
      </c>
      <c r="Q38" s="259">
        <f t="shared" si="18"/>
        <v>3.0346635842536537E-2</v>
      </c>
      <c r="R38" s="259">
        <f t="shared" si="18"/>
        <v>2.969719277532969E-2</v>
      </c>
      <c r="S38" s="259">
        <f t="shared" si="18"/>
        <v>2.9129381876196878E-2</v>
      </c>
      <c r="T38" s="259">
        <f t="shared" si="18"/>
        <v>3.1278760800627019E-2</v>
      </c>
      <c r="U38" s="259">
        <f t="shared" si="18"/>
        <v>3.1565221346057E-2</v>
      </c>
      <c r="V38" s="259">
        <f t="shared" si="18"/>
        <v>3.1408416970223833E-2</v>
      </c>
      <c r="W38" s="259">
        <f t="shared" si="18"/>
        <v>2.9202597688846067E-2</v>
      </c>
      <c r="X38" s="259">
        <f t="shared" si="18"/>
        <v>3.0241701495662181E-2</v>
      </c>
      <c r="Y38" s="259">
        <f t="shared" si="18"/>
        <v>3.0658967739171074E-2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4.3407403135520342E-2</v>
      </c>
      <c r="C39" s="259">
        <f t="shared" si="19"/>
        <v>3.3323321912246642E-2</v>
      </c>
      <c r="D39" s="259">
        <f t="shared" si="19"/>
        <v>3.1302315194247275E-2</v>
      </c>
      <c r="E39" s="259">
        <f t="shared" si="19"/>
        <v>3.1563630873058572E-2</v>
      </c>
      <c r="F39" s="259">
        <f t="shared" si="19"/>
        <v>3.3983006978617086E-2</v>
      </c>
      <c r="G39" s="259">
        <f t="shared" si="19"/>
        <v>3.4015816803436495E-2</v>
      </c>
      <c r="H39" s="259">
        <f t="shared" si="19"/>
        <v>3.4641233069764743E-2</v>
      </c>
      <c r="I39" s="259">
        <f t="shared" si="19"/>
        <v>3.3714414403918057E-2</v>
      </c>
      <c r="J39" s="259">
        <f t="shared" si="19"/>
        <v>3.2993398607894069E-2</v>
      </c>
      <c r="K39" s="259">
        <f t="shared" si="19"/>
        <v>3.1806685215219843E-2</v>
      </c>
      <c r="L39" s="259">
        <f t="shared" si="19"/>
        <v>3.2909552927042049E-2</v>
      </c>
      <c r="M39" s="259">
        <f t="shared" si="19"/>
        <v>3.01714640237211E-2</v>
      </c>
      <c r="N39" s="259">
        <f t="shared" si="19"/>
        <v>3.2854551729378637E-2</v>
      </c>
      <c r="O39" s="259">
        <f t="shared" si="19"/>
        <v>3.1697974081742283E-2</v>
      </c>
      <c r="P39" s="259">
        <f t="shared" si="19"/>
        <v>2.8189722127288628E-2</v>
      </c>
      <c r="Q39" s="259">
        <f t="shared" si="19"/>
        <v>2.794475571029538E-2</v>
      </c>
      <c r="R39" s="259">
        <f t="shared" si="19"/>
        <v>2.8983512374158901E-2</v>
      </c>
      <c r="S39" s="259">
        <f t="shared" si="19"/>
        <v>3.1709533771047009E-2</v>
      </c>
      <c r="T39" s="259">
        <f t="shared" si="19"/>
        <v>2.4931212302415646E-2</v>
      </c>
      <c r="U39" s="259">
        <f t="shared" si="19"/>
        <v>2.3404733167427322E-2</v>
      </c>
      <c r="V39" s="259">
        <f t="shared" si="19"/>
        <v>2.4140003811632782E-2</v>
      </c>
      <c r="W39" s="259">
        <f t="shared" si="19"/>
        <v>3.0793037292572684E-2</v>
      </c>
      <c r="X39" s="259">
        <f t="shared" si="19"/>
        <v>2.7594388512569495E-2</v>
      </c>
      <c r="Y39" s="259">
        <f t="shared" si="19"/>
        <v>2.9357038836744728E-2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6.6155692945244246E-2</v>
      </c>
      <c r="C40" s="261">
        <f t="shared" si="20"/>
        <v>5.0786900231268375E-2</v>
      </c>
      <c r="D40" s="261">
        <f t="shared" si="20"/>
        <v>4.7706755135768913E-2</v>
      </c>
      <c r="E40" s="261">
        <f t="shared" si="20"/>
        <v>4.8105017150090419E-2</v>
      </c>
      <c r="F40" s="261">
        <f t="shared" si="20"/>
        <v>5.1792302986072965E-2</v>
      </c>
      <c r="G40" s="261">
        <f t="shared" si="20"/>
        <v>5.1842307283486565E-2</v>
      </c>
      <c r="H40" s="261">
        <f t="shared" si="20"/>
        <v>5.2795482168171523E-2</v>
      </c>
      <c r="I40" s="261">
        <f t="shared" si="20"/>
        <v>5.1382950511250053E-2</v>
      </c>
      <c r="J40" s="261">
        <f t="shared" si="20"/>
        <v>5.0284075753377212E-2</v>
      </c>
      <c r="K40" s="261">
        <f t="shared" si="20"/>
        <v>4.8475447704962107E-2</v>
      </c>
      <c r="L40" s="261">
        <f t="shared" si="20"/>
        <v>5.0156289506871933E-2</v>
      </c>
      <c r="M40" s="261">
        <f t="shared" si="20"/>
        <v>4.5983264730905658E-2</v>
      </c>
      <c r="N40" s="261">
        <f t="shared" si="20"/>
        <v>5.0072464120384713E-2</v>
      </c>
      <c r="O40" s="261">
        <f t="shared" si="20"/>
        <v>4.8309764898653261E-2</v>
      </c>
      <c r="P40" s="261">
        <f t="shared" si="20"/>
        <v>4.2962961765814635E-2</v>
      </c>
      <c r="Q40" s="261">
        <f t="shared" si="20"/>
        <v>4.2589617085094976E-2</v>
      </c>
      <c r="R40" s="261">
        <f t="shared" si="20"/>
        <v>4.4172749498817908E-2</v>
      </c>
      <c r="S40" s="261">
        <f t="shared" si="20"/>
        <v>4.8327382613626846E-2</v>
      </c>
      <c r="T40" s="261">
        <f t="shared" si="20"/>
        <v>3.7996781808899462E-2</v>
      </c>
      <c r="U40" s="261">
        <f t="shared" si="20"/>
        <v>3.5670328769856124E-2</v>
      </c>
      <c r="V40" s="261">
        <f t="shared" si="20"/>
        <v>3.6790928839338405E-2</v>
      </c>
      <c r="W40" s="261">
        <f t="shared" si="20"/>
        <v>4.6930582638607617E-2</v>
      </c>
      <c r="X40" s="261">
        <f t="shared" si="20"/>
        <v>4.2055634789990276E-2</v>
      </c>
      <c r="Y40" s="261">
        <f t="shared" si="20"/>
        <v>4.4742028013098123E-2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0.44691183720789224</v>
      </c>
      <c r="C44" s="237">
        <f>IF(C$5=0,0,C$5/AGR_fec!C$5)</f>
        <v>0.40317497053770623</v>
      </c>
      <c r="D44" s="237">
        <f>IF(D$5=0,0,D$5/AGR_fec!D$5)</f>
        <v>0.40018820742967037</v>
      </c>
      <c r="E44" s="237">
        <f>IF(E$5=0,0,E$5/AGR_fec!E$5)</f>
        <v>0.40320254422116436</v>
      </c>
      <c r="F44" s="237">
        <f>IF(F$5=0,0,F$5/AGR_fec!F$5)</f>
        <v>0.40964108755893147</v>
      </c>
      <c r="G44" s="237">
        <f>IF(G$5=0,0,G$5/AGR_fec!G$5)</f>
        <v>0.41027255411703778</v>
      </c>
      <c r="H44" s="237">
        <f>IF(H$5=0,0,H$5/AGR_fec!H$5)</f>
        <v>0.40982106366740806</v>
      </c>
      <c r="I44" s="237">
        <f>IF(I$5=0,0,I$5/AGR_fec!I$5)</f>
        <v>0.41183461250365816</v>
      </c>
      <c r="J44" s="237">
        <f>IF(J$5=0,0,J$5/AGR_fec!J$5)</f>
        <v>0.40837801257367312</v>
      </c>
      <c r="K44" s="237">
        <f>IF(K$5=0,0,K$5/AGR_fec!K$5)</f>
        <v>0.40525133303380934</v>
      </c>
      <c r="L44" s="237">
        <f>IF(L$5=0,0,L$5/AGR_fec!L$5)</f>
        <v>0.40866379166978445</v>
      </c>
      <c r="M44" s="237">
        <f>IF(M$5=0,0,M$5/AGR_fec!M$5)</f>
        <v>0.40352081576540433</v>
      </c>
      <c r="N44" s="237">
        <f>IF(N$5=0,0,N$5/AGR_fec!N$5)</f>
        <v>0.40943531685051771</v>
      </c>
      <c r="O44" s="237">
        <f>IF(O$5=0,0,O$5/AGR_fec!O$5)</f>
        <v>0.40420520837746649</v>
      </c>
      <c r="P44" s="237">
        <f>IF(P$5=0,0,P$5/AGR_fec!P$5)</f>
        <v>0.39813347958749595</v>
      </c>
      <c r="Q44" s="237">
        <f>IF(Q$5=0,0,Q$5/AGR_fec!Q$5)</f>
        <v>0.397802958358766</v>
      </c>
      <c r="R44" s="237">
        <f>IF(R$5=0,0,R$5/AGR_fec!R$5)</f>
        <v>0.39845049562239532</v>
      </c>
      <c r="S44" s="237">
        <f>IF(S$5=0,0,S$5/AGR_fec!S$5)</f>
        <v>0.40324634987113295</v>
      </c>
      <c r="T44" s="237">
        <f>IF(T$5=0,0,T$5/AGR_fec!T$5)</f>
        <v>0.39428777815006916</v>
      </c>
      <c r="U44" s="237">
        <f>IF(U$5=0,0,U$5/AGR_fec!U$5)</f>
        <v>0.39129987122642307</v>
      </c>
      <c r="V44" s="237">
        <f>IF(V$5=0,0,V$5/AGR_fec!V$5)</f>
        <v>0.39167195214022577</v>
      </c>
      <c r="W44" s="237">
        <f>IF(W$5=0,0,W$5/AGR_fec!W$5)</f>
        <v>0.40015992783506144</v>
      </c>
      <c r="X44" s="237">
        <f>IF(X$5=0,0,X$5/AGR_fec!X$5)</f>
        <v>0.39546091495161811</v>
      </c>
      <c r="Y44" s="237">
        <f>IF(Y$5=0,0,Y$5/AGR_fec!Y$5)</f>
        <v>0.39645607032221786</v>
      </c>
      <c r="DA44" s="286"/>
    </row>
    <row r="45" spans="1:105" x14ac:dyDescent="0.25">
      <c r="A45" s="238" t="s">
        <v>125</v>
      </c>
      <c r="B45" s="250">
        <f>IF(B$6=0,0,B$6/AGR_fec!B$6)</f>
        <v>0.48447906387973161</v>
      </c>
      <c r="C45" s="250">
        <f>IF(C$6=0,0,C$6/AGR_fec!C$6)</f>
        <v>0.48447906387973128</v>
      </c>
      <c r="D45" s="250">
        <f>IF(D$6=0,0,D$6/AGR_fec!D$6)</f>
        <v>0.48447906387973122</v>
      </c>
      <c r="E45" s="250">
        <f>IF(E$6=0,0,E$6/AGR_fec!E$6)</f>
        <v>0.48447906387973128</v>
      </c>
      <c r="F45" s="250">
        <f>IF(F$6=0,0,F$6/AGR_fec!F$6)</f>
        <v>0.48447906387973144</v>
      </c>
      <c r="G45" s="250">
        <f>IF(G$6=0,0,G$6/AGR_fec!G$6)</f>
        <v>0.48447906387973128</v>
      </c>
      <c r="H45" s="250">
        <f>IF(H$6=0,0,H$6/AGR_fec!H$6)</f>
        <v>0.48447906387973139</v>
      </c>
      <c r="I45" s="250">
        <f>IF(I$6=0,0,I$6/AGR_fec!I$6)</f>
        <v>0.48447906387973155</v>
      </c>
      <c r="J45" s="250">
        <f>IF(J$6=0,0,J$6/AGR_fec!J$6)</f>
        <v>0.48447906387973144</v>
      </c>
      <c r="K45" s="250">
        <f>IF(K$6=0,0,K$6/AGR_fec!K$6)</f>
        <v>0.48447906387973161</v>
      </c>
      <c r="L45" s="250">
        <f>IF(L$6=0,0,L$6/AGR_fec!L$6)</f>
        <v>0.48447906387973122</v>
      </c>
      <c r="M45" s="250">
        <f>IF(M$6=0,0,M$6/AGR_fec!M$6)</f>
        <v>0.48447906387973155</v>
      </c>
      <c r="N45" s="250">
        <f>IF(N$6=0,0,N$6/AGR_fec!N$6)</f>
        <v>0.48447906387973144</v>
      </c>
      <c r="O45" s="250">
        <f>IF(O$6=0,0,O$6/AGR_fec!O$6)</f>
        <v>0.48447906387973128</v>
      </c>
      <c r="P45" s="250">
        <f>IF(P$6=0,0,P$6/AGR_fec!P$6)</f>
        <v>0.48447906387973133</v>
      </c>
      <c r="Q45" s="250">
        <f>IF(Q$6=0,0,Q$6/AGR_fec!Q$6)</f>
        <v>0.4844790638797315</v>
      </c>
      <c r="R45" s="250">
        <f>IF(R$6=0,0,R$6/AGR_fec!R$6)</f>
        <v>0.48447906387973128</v>
      </c>
      <c r="S45" s="250">
        <f>IF(S$6=0,0,S$6/AGR_fec!S$6)</f>
        <v>0.48447906387973144</v>
      </c>
      <c r="T45" s="250">
        <f>IF(T$6=0,0,T$6/AGR_fec!T$6)</f>
        <v>0.48447906387973144</v>
      </c>
      <c r="U45" s="250">
        <f>IF(U$6=0,0,U$6/AGR_fec!U$6)</f>
        <v>0.48447906387973161</v>
      </c>
      <c r="V45" s="250">
        <f>IF(V$6=0,0,V$6/AGR_fec!V$6)</f>
        <v>0.48447906387973161</v>
      </c>
      <c r="W45" s="250">
        <f>IF(W$6=0,0,W$6/AGR_fec!W$6)</f>
        <v>0.48447906387973161</v>
      </c>
      <c r="X45" s="250">
        <f>IF(X$6=0,0,X$6/AGR_fec!X$6)</f>
        <v>0.48447906387973139</v>
      </c>
      <c r="Y45" s="250">
        <f>IF(Y$6=0,0,Y$6/AGR_fec!Y$6)</f>
        <v>0.48447906387973133</v>
      </c>
      <c r="DA45" s="287"/>
    </row>
    <row r="46" spans="1:105" x14ac:dyDescent="0.25">
      <c r="A46" s="240" t="s">
        <v>124</v>
      </c>
      <c r="B46" s="251">
        <f>IF(B$7=0,0,B$7/AGR_fec!B$7)</f>
        <v>0.48042296337933366</v>
      </c>
      <c r="C46" s="251">
        <f>IF(C$7=0,0,C$7/AGR_fec!C$7)</f>
        <v>0.48042296337933382</v>
      </c>
      <c r="D46" s="251">
        <f>IF(D$7=0,0,D$7/AGR_fec!D$7)</f>
        <v>0.48042296337933382</v>
      </c>
      <c r="E46" s="251">
        <f>IF(E$7=0,0,E$7/AGR_fec!E$7)</f>
        <v>0.4804229633793336</v>
      </c>
      <c r="F46" s="251">
        <f>IF(F$7=0,0,F$7/AGR_fec!F$7)</f>
        <v>0.48042296337933371</v>
      </c>
      <c r="G46" s="251">
        <f>IF(G$7=0,0,G$7/AGR_fec!G$7)</f>
        <v>0.48042296337933382</v>
      </c>
      <c r="H46" s="251">
        <f>IF(H$7=0,0,H$7/AGR_fec!H$7)</f>
        <v>0.48042296337933366</v>
      </c>
      <c r="I46" s="251">
        <f>IF(I$7=0,0,I$7/AGR_fec!I$7)</f>
        <v>0.48042296337933371</v>
      </c>
      <c r="J46" s="251">
        <f>IF(J$7=0,0,J$7/AGR_fec!J$7)</f>
        <v>0.4804229633793336</v>
      </c>
      <c r="K46" s="251">
        <f>IF(K$7=0,0,K$7/AGR_fec!K$7)</f>
        <v>0.48042296337933388</v>
      </c>
      <c r="L46" s="251">
        <f>IF(L$7=0,0,L$7/AGR_fec!L$7)</f>
        <v>0.48042296337933377</v>
      </c>
      <c r="M46" s="251">
        <f>IF(M$7=0,0,M$7/AGR_fec!M$7)</f>
        <v>0.48042296337933382</v>
      </c>
      <c r="N46" s="251">
        <f>IF(N$7=0,0,N$7/AGR_fec!N$7)</f>
        <v>0.4804229633793336</v>
      </c>
      <c r="O46" s="251">
        <f>IF(O$7=0,0,O$7/AGR_fec!O$7)</f>
        <v>0.48042296337933371</v>
      </c>
      <c r="P46" s="251">
        <f>IF(P$7=0,0,P$7/AGR_fec!P$7)</f>
        <v>0.48042296337933377</v>
      </c>
      <c r="Q46" s="251">
        <f>IF(Q$7=0,0,Q$7/AGR_fec!Q$7)</f>
        <v>0.48042296337933377</v>
      </c>
      <c r="R46" s="251">
        <f>IF(R$7=0,0,R$7/AGR_fec!R$7)</f>
        <v>0.4804229633793336</v>
      </c>
      <c r="S46" s="251">
        <f>IF(S$7=0,0,S$7/AGR_fec!S$7)</f>
        <v>0.48042296337933366</v>
      </c>
      <c r="T46" s="251">
        <f>IF(T$7=0,0,T$7/AGR_fec!T$7)</f>
        <v>0.48042296337933382</v>
      </c>
      <c r="U46" s="251">
        <f>IF(U$7=0,0,U$7/AGR_fec!U$7)</f>
        <v>0.48042296337933393</v>
      </c>
      <c r="V46" s="251">
        <f>IF(V$7=0,0,V$7/AGR_fec!V$7)</f>
        <v>0.48042296337933371</v>
      </c>
      <c r="W46" s="251">
        <f>IF(W$7=0,0,W$7/AGR_fec!W$7)</f>
        <v>0.4804229633793336</v>
      </c>
      <c r="X46" s="251">
        <f>IF(X$7=0,0,X$7/AGR_fec!X$7)</f>
        <v>0.48042296337933355</v>
      </c>
      <c r="Y46" s="251">
        <f>IF(Y$7=0,0,Y$7/AGR_fec!Y$7)</f>
        <v>0.48042296337933377</v>
      </c>
      <c r="DA46" s="288"/>
    </row>
    <row r="47" spans="1:105" x14ac:dyDescent="0.25">
      <c r="A47" s="240" t="s">
        <v>123</v>
      </c>
      <c r="B47" s="251">
        <f>IF(B$8=0,0,B$8/AGR_fec!B$8)</f>
        <v>0.68951422079892399</v>
      </c>
      <c r="C47" s="251">
        <f>IF(C$8=0,0,C$8/AGR_fec!C$8)</f>
        <v>0.68951422079892366</v>
      </c>
      <c r="D47" s="251">
        <f>IF(D$8=0,0,D$8/AGR_fec!D$8)</f>
        <v>0.68951422079892366</v>
      </c>
      <c r="E47" s="251">
        <f>IF(E$8=0,0,E$8/AGR_fec!E$8)</f>
        <v>0.68951422079892377</v>
      </c>
      <c r="F47" s="251">
        <f>IF(F$8=0,0,F$8/AGR_fec!F$8)</f>
        <v>0.68951422079892388</v>
      </c>
      <c r="G47" s="251">
        <f>IF(G$8=0,0,G$8/AGR_fec!G$8)</f>
        <v>0.68951422079892399</v>
      </c>
      <c r="H47" s="251">
        <f>IF(H$8=0,0,H$8/AGR_fec!H$8)</f>
        <v>0.68951422079892388</v>
      </c>
      <c r="I47" s="251">
        <f>IF(I$8=0,0,I$8/AGR_fec!I$8)</f>
        <v>0.68951422079892399</v>
      </c>
      <c r="J47" s="251">
        <f>IF(J$8=0,0,J$8/AGR_fec!J$8)</f>
        <v>0.68951422079892388</v>
      </c>
      <c r="K47" s="251">
        <f>IF(K$8=0,0,K$8/AGR_fec!K$8)</f>
        <v>0.68951422079892388</v>
      </c>
      <c r="L47" s="251">
        <f>IF(L$8=0,0,L$8/AGR_fec!L$8)</f>
        <v>0.68951422079892377</v>
      </c>
      <c r="M47" s="251">
        <f>IF(M$8=0,0,M$8/AGR_fec!M$8)</f>
        <v>0.6895142207989241</v>
      </c>
      <c r="N47" s="251">
        <f>IF(N$8=0,0,N$8/AGR_fec!N$8)</f>
        <v>0.6895142207989241</v>
      </c>
      <c r="O47" s="251">
        <f>IF(O$8=0,0,O$8/AGR_fec!O$8)</f>
        <v>0.68951422079892377</v>
      </c>
      <c r="P47" s="251">
        <f>IF(P$8=0,0,P$8/AGR_fec!P$8)</f>
        <v>0.68951422079892377</v>
      </c>
      <c r="Q47" s="251">
        <f>IF(Q$8=0,0,Q$8/AGR_fec!Q$8)</f>
        <v>0.68951422079892388</v>
      </c>
      <c r="R47" s="251">
        <f>IF(R$8=0,0,R$8/AGR_fec!R$8)</f>
        <v>0.68951422079892377</v>
      </c>
      <c r="S47" s="251">
        <f>IF(S$8=0,0,S$8/AGR_fec!S$8)</f>
        <v>0.68951422079892388</v>
      </c>
      <c r="T47" s="251">
        <f>IF(T$8=0,0,T$8/AGR_fec!T$8)</f>
        <v>0.68951422079892377</v>
      </c>
      <c r="U47" s="251">
        <f>IF(U$8=0,0,U$8/AGR_fec!U$8)</f>
        <v>0.68951422079892355</v>
      </c>
      <c r="V47" s="251">
        <f>IF(V$8=0,0,V$8/AGR_fec!V$8)</f>
        <v>0.68951422079892377</v>
      </c>
      <c r="W47" s="251">
        <f>IF(W$8=0,0,W$8/AGR_fec!W$8)</f>
        <v>0.68951422079892377</v>
      </c>
      <c r="X47" s="251">
        <f>IF(X$8=0,0,X$8/AGR_fec!X$8)</f>
        <v>0.6895142207989241</v>
      </c>
      <c r="Y47" s="251">
        <f>IF(Y$8=0,0,Y$8/AGR_fec!Y$8)</f>
        <v>0.6895142207989241</v>
      </c>
      <c r="DA47" s="288"/>
    </row>
    <row r="48" spans="1:105" x14ac:dyDescent="0.25">
      <c r="A48" s="242" t="s">
        <v>122</v>
      </c>
      <c r="B48" s="252">
        <f>IF(B$9=0,0,B$9/AGR_fec!B$9)</f>
        <v>0.77312519530894863</v>
      </c>
      <c r="C48" s="252">
        <f>IF(C$9=0,0,C$9/AGR_fec!C$9)</f>
        <v>0.6766382355062277</v>
      </c>
      <c r="D48" s="252">
        <f>IF(D$9=0,0,D$9/AGR_fec!D$9)</f>
        <v>0.6665846253037393</v>
      </c>
      <c r="E48" s="252">
        <f>IF(E$9=0,0,E$9/AGR_fec!E$9)</f>
        <v>0.66505933334839507</v>
      </c>
      <c r="F48" s="252">
        <f>IF(F$9=0,0,F$9/AGR_fec!F$9)</f>
        <v>0.68032513169172038</v>
      </c>
      <c r="G48" s="252">
        <f>IF(G$9=0,0,G$9/AGR_fec!G$9)</f>
        <v>0.68030909331056466</v>
      </c>
      <c r="H48" s="252">
        <f>IF(H$9=0,0,H$9/AGR_fec!H$9)</f>
        <v>0.68800777367118382</v>
      </c>
      <c r="I48" s="252">
        <f>IF(I$9=0,0,I$9/AGR_fec!I$9)</f>
        <v>0.68090919317685206</v>
      </c>
      <c r="J48" s="252">
        <f>IF(J$9=0,0,J$9/AGR_fec!J$9)</f>
        <v>0.67590915945493379</v>
      </c>
      <c r="K48" s="252">
        <f>IF(K$9=0,0,K$9/AGR_fec!K$9)</f>
        <v>0.67239635912368934</v>
      </c>
      <c r="L48" s="252">
        <f>IF(L$9=0,0,L$9/AGR_fec!L$9)</f>
        <v>0.67566218855940485</v>
      </c>
      <c r="M48" s="252">
        <f>IF(M$9=0,0,M$9/AGR_fec!M$9)</f>
        <v>0.66316649387626592</v>
      </c>
      <c r="N48" s="252">
        <f>IF(N$9=0,0,N$9/AGR_fec!N$9)</f>
        <v>0.67159180249272143</v>
      </c>
      <c r="O48" s="252">
        <f>IF(O$9=0,0,O$9/AGR_fec!O$9)</f>
        <v>0.66590463712309089</v>
      </c>
      <c r="P48" s="252">
        <f>IF(P$9=0,0,P$9/AGR_fec!P$9)</f>
        <v>0.65225670937780078</v>
      </c>
      <c r="Q48" s="252">
        <f>IF(Q$9=0,0,Q$9/AGR_fec!Q$9)</f>
        <v>0.65329558516205721</v>
      </c>
      <c r="R48" s="252">
        <f>IF(R$9=0,0,R$9/AGR_fec!R$9)</f>
        <v>0.65877217692362133</v>
      </c>
      <c r="S48" s="252">
        <f>IF(S$9=0,0,S$9/AGR_fec!S$9)</f>
        <v>0.66653142226332018</v>
      </c>
      <c r="T48" s="252">
        <f>IF(T$9=0,0,T$9/AGR_fec!T$9)</f>
        <v>0.64567509915945687</v>
      </c>
      <c r="U48" s="252">
        <f>IF(U$9=0,0,U$9/AGR_fec!U$9)</f>
        <v>0.6423905343483779</v>
      </c>
      <c r="V48" s="252">
        <f>IF(V$9=0,0,V$9/AGR_fec!V$9)</f>
        <v>0.64329835875331065</v>
      </c>
      <c r="W48" s="252">
        <f>IF(W$9=0,0,W$9/AGR_fec!W$9)</f>
        <v>0.66493411348507991</v>
      </c>
      <c r="X48" s="252">
        <f>IF(X$9=0,0,X$9/AGR_fec!X$9)</f>
        <v>0.65346774600965807</v>
      </c>
      <c r="Y48" s="252">
        <f>IF(Y$9=0,0,Y$9/AGR_fec!Y$9)</f>
        <v>0.64980445181317881</v>
      </c>
      <c r="DA48" s="289"/>
    </row>
    <row r="49" spans="1:105" x14ac:dyDescent="0.25">
      <c r="A49" s="127" t="s">
        <v>168</v>
      </c>
      <c r="B49" s="264">
        <f>IF(B$16=0,0,B$16/AGR_fec!B$16)</f>
        <v>0.34668338810234417</v>
      </c>
      <c r="C49" s="264">
        <f>IF(C$16=0,0,C$16/AGR_fec!C$16)</f>
        <v>0.34668338810234411</v>
      </c>
      <c r="D49" s="264">
        <f>IF(D$16=0,0,D$16/AGR_fec!D$16)</f>
        <v>0.34668338810234406</v>
      </c>
      <c r="E49" s="264">
        <f>IF(E$16=0,0,E$16/AGR_fec!E$16)</f>
        <v>0.34668338810234411</v>
      </c>
      <c r="F49" s="264">
        <f>IF(F$16=0,0,F$16/AGR_fec!F$16)</f>
        <v>0.34668338810234406</v>
      </c>
      <c r="G49" s="264">
        <f>IF(G$16=0,0,G$16/AGR_fec!G$16)</f>
        <v>0.34668338810234406</v>
      </c>
      <c r="H49" s="264">
        <f>IF(H$16=0,0,H$16/AGR_fec!H$16)</f>
        <v>0.34668338810234406</v>
      </c>
      <c r="I49" s="264">
        <f>IF(I$16=0,0,I$16/AGR_fec!I$16)</f>
        <v>0.34668338810234395</v>
      </c>
      <c r="J49" s="264">
        <f>IF(J$16=0,0,J$16/AGR_fec!J$16)</f>
        <v>0.34668338810234411</v>
      </c>
      <c r="K49" s="264">
        <f>IF(K$16=0,0,K$16/AGR_fec!K$16)</f>
        <v>0.34668338810234411</v>
      </c>
      <c r="L49" s="264">
        <f>IF(L$16=0,0,L$16/AGR_fec!L$16)</f>
        <v>0.34668338810234406</v>
      </c>
      <c r="M49" s="264">
        <f>IF(M$16=0,0,M$16/AGR_fec!M$16)</f>
        <v>0.346683388102344</v>
      </c>
      <c r="N49" s="264">
        <f>IF(N$16=0,0,N$16/AGR_fec!N$16)</f>
        <v>0.346683388102344</v>
      </c>
      <c r="O49" s="264">
        <f>IF(O$16=0,0,O$16/AGR_fec!O$16)</f>
        <v>0.34668338810234411</v>
      </c>
      <c r="P49" s="264">
        <f>IF(P$16=0,0,P$16/AGR_fec!P$16)</f>
        <v>0.34668338810234411</v>
      </c>
      <c r="Q49" s="264">
        <f>IF(Q$16=0,0,Q$16/AGR_fec!Q$16)</f>
        <v>0.34668338810234411</v>
      </c>
      <c r="R49" s="264">
        <f>IF(R$16=0,0,R$16/AGR_fec!R$16)</f>
        <v>0.34668338810234417</v>
      </c>
      <c r="S49" s="264">
        <f>IF(S$16=0,0,S$16/AGR_fec!S$16)</f>
        <v>0.34668338810234423</v>
      </c>
      <c r="T49" s="264">
        <f>IF(T$16=0,0,T$16/AGR_fec!T$16)</f>
        <v>0.34668338810234406</v>
      </c>
      <c r="U49" s="264">
        <f>IF(U$16=0,0,U$16/AGR_fec!U$16)</f>
        <v>0.34668338810234406</v>
      </c>
      <c r="V49" s="264">
        <f>IF(V$16=0,0,V$16/AGR_fec!V$16)</f>
        <v>0.34668338810234411</v>
      </c>
      <c r="W49" s="264">
        <f>IF(W$16=0,0,W$16/AGR_fec!W$16)</f>
        <v>0.346683388102344</v>
      </c>
      <c r="X49" s="264">
        <f>IF(X$16=0,0,X$16/AGR_fec!X$16)</f>
        <v>0.34668338810234406</v>
      </c>
      <c r="Y49" s="264">
        <f>IF(Y$16=0,0,Y$16/AGR_fec!Y$16)</f>
        <v>0.346683388102344</v>
      </c>
      <c r="DA49" s="290"/>
    </row>
    <row r="50" spans="1:105" x14ac:dyDescent="0.25">
      <c r="A50" s="127" t="s">
        <v>121</v>
      </c>
      <c r="B50" s="264">
        <f>IF(B$17=0,0,B$17/AGR_fec!B$17)</f>
        <v>0.2701223698503975</v>
      </c>
      <c r="C50" s="264">
        <f>IF(C$17=0,0,C$17/AGR_fec!C$17)</f>
        <v>0.27296724292604468</v>
      </c>
      <c r="D50" s="264">
        <f>IF(D$17=0,0,D$17/AGR_fec!D$17)</f>
        <v>0.27386203708258527</v>
      </c>
      <c r="E50" s="264">
        <f>IF(E$17=0,0,E$17/AGR_fec!E$17)</f>
        <v>0.27787664688240821</v>
      </c>
      <c r="F50" s="264">
        <f>IF(F$17=0,0,F$17/AGR_fec!F$17)</f>
        <v>0.2781533354317266</v>
      </c>
      <c r="G50" s="264">
        <f>IF(G$17=0,0,G$17/AGR_fec!G$17)</f>
        <v>0.27805232154295245</v>
      </c>
      <c r="H50" s="264">
        <f>IF(H$17=0,0,H$17/AGR_fec!H$17)</f>
        <v>0.27415484658057365</v>
      </c>
      <c r="I50" s="264">
        <f>IF(I$17=0,0,I$17/AGR_fec!I$17)</f>
        <v>0.28079251518313386</v>
      </c>
      <c r="J50" s="264">
        <f>IF(J$17=0,0,J$17/AGR_fec!J$17)</f>
        <v>0.27964040400194978</v>
      </c>
      <c r="K50" s="264">
        <f>IF(K$17=0,0,K$17/AGR_fec!K$17)</f>
        <v>0.27889500387074706</v>
      </c>
      <c r="L50" s="264">
        <f>IF(L$17=0,0,L$17/AGR_fec!L$17)</f>
        <v>0.27982169620737124</v>
      </c>
      <c r="M50" s="264">
        <f>IF(M$17=0,0,M$17/AGR_fec!M$17)</f>
        <v>0.2794784783362812</v>
      </c>
      <c r="N50" s="264">
        <f>IF(N$17=0,0,N$17/AGR_fec!N$17)</f>
        <v>0.28329161541167208</v>
      </c>
      <c r="O50" s="264">
        <f>IF(O$17=0,0,O$17/AGR_fec!O$17)</f>
        <v>0.28003972926368526</v>
      </c>
      <c r="P50" s="264">
        <f>IF(P$17=0,0,P$17/AGR_fec!P$17)</f>
        <v>0.27968494433475694</v>
      </c>
      <c r="Q50" s="264">
        <f>IF(Q$17=0,0,Q$17/AGR_fec!Q$17)</f>
        <v>0.27920031294845549</v>
      </c>
      <c r="R50" s="264">
        <f>IF(R$17=0,0,R$17/AGR_fec!R$17)</f>
        <v>0.27787736786291478</v>
      </c>
      <c r="S50" s="264">
        <f>IF(S$17=0,0,S$17/AGR_fec!S$17)</f>
        <v>0.27869957190004813</v>
      </c>
      <c r="T50" s="264">
        <f>IF(T$17=0,0,T$17/AGR_fec!T$17)</f>
        <v>0.27910943820529655</v>
      </c>
      <c r="U50" s="264">
        <f>IF(U$17=0,0,U$17/AGR_fec!U$17)</f>
        <v>0.27813507703149415</v>
      </c>
      <c r="V50" s="264">
        <f>IF(V$17=0,0,V$17/AGR_fec!V$17)</f>
        <v>0.27781595364453526</v>
      </c>
      <c r="W50" s="264">
        <f>IF(W$17=0,0,W$17/AGR_fec!W$17)</f>
        <v>0.27502533310442301</v>
      </c>
      <c r="X50" s="264">
        <f>IF(X$17=0,0,X$17/AGR_fec!X$17)</f>
        <v>0.27585361885811149</v>
      </c>
      <c r="Y50" s="264">
        <f>IF(Y$17=0,0,Y$17/AGR_fec!Y$17)</f>
        <v>0.27863926778213927</v>
      </c>
      <c r="DA50" s="290"/>
    </row>
    <row r="51" spans="1:105" x14ac:dyDescent="0.25">
      <c r="A51" s="127" t="s">
        <v>167</v>
      </c>
      <c r="B51" s="264">
        <f>IF(B$25=0,0,B$25/AGR_fec!B$25)</f>
        <v>0.24267837167164083</v>
      </c>
      <c r="C51" s="264">
        <f>IF(C$25=0,0,C$25/AGR_fec!C$25)</f>
        <v>0.24267837167164094</v>
      </c>
      <c r="D51" s="264">
        <f>IF(D$25=0,0,D$25/AGR_fec!D$25)</f>
        <v>0.24267837167164091</v>
      </c>
      <c r="E51" s="264">
        <f>IF(E$25=0,0,E$25/AGR_fec!E$25)</f>
        <v>0.24267837167164077</v>
      </c>
      <c r="F51" s="264">
        <f>IF(F$25=0,0,F$25/AGR_fec!F$25)</f>
        <v>0.24267837167164086</v>
      </c>
      <c r="G51" s="264">
        <f>IF(G$25=0,0,G$25/AGR_fec!G$25)</f>
        <v>0.24267837167164077</v>
      </c>
      <c r="H51" s="264">
        <f>IF(H$25=0,0,H$25/AGR_fec!H$25)</f>
        <v>0.24267837167164069</v>
      </c>
      <c r="I51" s="264">
        <f>IF(I$25=0,0,I$25/AGR_fec!I$25)</f>
        <v>0.24267837167164094</v>
      </c>
      <c r="J51" s="264">
        <f>IF(J$25=0,0,J$25/AGR_fec!J$25)</f>
        <v>0.24267837167164094</v>
      </c>
      <c r="K51" s="264">
        <f>IF(K$25=0,0,K$25/AGR_fec!K$25)</f>
        <v>0.24267837167164091</v>
      </c>
      <c r="L51" s="264">
        <f>IF(L$25=0,0,L$25/AGR_fec!L$25)</f>
        <v>0.24267837167164089</v>
      </c>
      <c r="M51" s="264">
        <f>IF(M$25=0,0,M$25/AGR_fec!M$25)</f>
        <v>0.24267837167164075</v>
      </c>
      <c r="N51" s="264">
        <f>IF(N$25=0,0,N$25/AGR_fec!N$25)</f>
        <v>0.24267837167164091</v>
      </c>
      <c r="O51" s="264">
        <f>IF(O$25=0,0,O$25/AGR_fec!O$25)</f>
        <v>0.24267837167164077</v>
      </c>
      <c r="P51" s="264">
        <f>IF(P$25=0,0,P$25/AGR_fec!P$25)</f>
        <v>0.24267837167164075</v>
      </c>
      <c r="Q51" s="264">
        <f>IF(Q$25=0,0,Q$25/AGR_fec!Q$25)</f>
        <v>0.24267837167164083</v>
      </c>
      <c r="R51" s="264">
        <f>IF(R$25=0,0,R$25/AGR_fec!R$25)</f>
        <v>0.24267837167164077</v>
      </c>
      <c r="S51" s="264">
        <f>IF(S$25=0,0,S$25/AGR_fec!S$25)</f>
        <v>0.24267837167164077</v>
      </c>
      <c r="T51" s="264">
        <f>IF(T$25=0,0,T$25/AGR_fec!T$25)</f>
        <v>0.24267837167164086</v>
      </c>
      <c r="U51" s="264">
        <f>IF(U$25=0,0,U$25/AGR_fec!U$25)</f>
        <v>0.24267837167164072</v>
      </c>
      <c r="V51" s="264">
        <f>IF(V$25=0,0,V$25/AGR_fec!V$25)</f>
        <v>0.2426783716716408</v>
      </c>
      <c r="W51" s="264">
        <f>IF(W$25=0,0,W$25/AGR_fec!W$25)</f>
        <v>0.2426783716716408</v>
      </c>
      <c r="X51" s="264">
        <f>IF(X$25=0,0,X$25/AGR_fec!X$25)</f>
        <v>0.24267837167164089</v>
      </c>
      <c r="Y51" s="264">
        <f>IF(Y$25=0,0,Y$25/AGR_fec!Y$25)</f>
        <v>0.24267837167164089</v>
      </c>
      <c r="DA51" s="290"/>
    </row>
    <row r="52" spans="1:105" x14ac:dyDescent="0.25">
      <c r="A52" s="127" t="s">
        <v>170</v>
      </c>
      <c r="B52" s="264">
        <f>IF(B$26=0,0,B$26/AGR_fec!B$26)</f>
        <v>0.48042296337933382</v>
      </c>
      <c r="C52" s="264">
        <f>IF(C$26=0,0,C$26/AGR_fec!C$26)</f>
        <v>0.48042296337933388</v>
      </c>
      <c r="D52" s="264">
        <f>IF(D$26=0,0,D$26/AGR_fec!D$26)</f>
        <v>0.48042296337933349</v>
      </c>
      <c r="E52" s="264">
        <f>IF(E$26=0,0,E$26/AGR_fec!E$26)</f>
        <v>0.48042296337933371</v>
      </c>
      <c r="F52" s="264">
        <f>IF(F$26=0,0,F$26/AGR_fec!F$26)</f>
        <v>0.48042296337933366</v>
      </c>
      <c r="G52" s="264">
        <f>IF(G$26=0,0,G$26/AGR_fec!G$26)</f>
        <v>0.48042296337933371</v>
      </c>
      <c r="H52" s="264">
        <f>IF(H$26=0,0,H$26/AGR_fec!H$26)</f>
        <v>0.48042296337933366</v>
      </c>
      <c r="I52" s="264">
        <f>IF(I$26=0,0,I$26/AGR_fec!I$26)</f>
        <v>0.48042296337933371</v>
      </c>
      <c r="J52" s="264">
        <f>IF(J$26=0,0,J$26/AGR_fec!J$26)</f>
        <v>0.4804229633793336</v>
      </c>
      <c r="K52" s="264">
        <f>IF(K$26=0,0,K$26/AGR_fec!K$26)</f>
        <v>0.48042296337933366</v>
      </c>
      <c r="L52" s="264">
        <f>IF(L$26=0,0,L$26/AGR_fec!L$26)</f>
        <v>0.48042296337933349</v>
      </c>
      <c r="M52" s="264">
        <f>IF(M$26=0,0,M$26/AGR_fec!M$26)</f>
        <v>0.48042296337933366</v>
      </c>
      <c r="N52" s="264">
        <f>IF(N$26=0,0,N$26/AGR_fec!N$26)</f>
        <v>0.48042296337933377</v>
      </c>
      <c r="O52" s="264">
        <f>IF(O$26=0,0,O$26/AGR_fec!O$26)</f>
        <v>0.48042296337933393</v>
      </c>
      <c r="P52" s="264">
        <f>IF(P$26=0,0,P$26/AGR_fec!P$26)</f>
        <v>0.48042296337933388</v>
      </c>
      <c r="Q52" s="264">
        <f>IF(Q$26=0,0,Q$26/AGR_fec!Q$26)</f>
        <v>0.48042296337933355</v>
      </c>
      <c r="R52" s="264">
        <f>IF(R$26=0,0,R$26/AGR_fec!R$26)</f>
        <v>0.4804229633793336</v>
      </c>
      <c r="S52" s="264">
        <f>IF(S$26=0,0,S$26/AGR_fec!S$26)</f>
        <v>0.48042296337933371</v>
      </c>
      <c r="T52" s="264">
        <f>IF(T$26=0,0,T$26/AGR_fec!T$26)</f>
        <v>0.48042296337933382</v>
      </c>
      <c r="U52" s="264">
        <f>IF(U$26=0,0,U$26/AGR_fec!U$26)</f>
        <v>0.4804229633793341</v>
      </c>
      <c r="V52" s="264">
        <f>IF(V$26=0,0,V$26/AGR_fec!V$26)</f>
        <v>0.48042296337933399</v>
      </c>
      <c r="W52" s="264">
        <f>IF(W$26=0,0,W$26/AGR_fec!W$26)</f>
        <v>0.48042296337933399</v>
      </c>
      <c r="X52" s="264">
        <f>IF(X$26=0,0,X$26/AGR_fec!X$26)</f>
        <v>0.48042296337933393</v>
      </c>
      <c r="Y52" s="264">
        <f>IF(Y$26=0,0,Y$26/AGR_fec!Y$26)</f>
        <v>0.48042296337933366</v>
      </c>
      <c r="DA52" s="290"/>
    </row>
    <row r="53" spans="1:105" x14ac:dyDescent="0.25">
      <c r="A53" s="260" t="s">
        <v>33</v>
      </c>
      <c r="B53" s="265">
        <f>IF(B$27=0,0,B$27/AGR_fec!B$27)</f>
        <v>0.50496255371288201</v>
      </c>
      <c r="C53" s="265">
        <f>IF(C$27=0,0,C$27/AGR_fec!C$27)</f>
        <v>0.5049625537128819</v>
      </c>
      <c r="D53" s="265">
        <f>IF(D$27=0,0,D$27/AGR_fec!D$27)</f>
        <v>0.50496255371288179</v>
      </c>
      <c r="E53" s="265">
        <f>IF(E$27=0,0,E$27/AGR_fec!E$27)</f>
        <v>0.5049625537128819</v>
      </c>
      <c r="F53" s="265">
        <f>IF(F$27=0,0,F$27/AGR_fec!F$27)</f>
        <v>0.50496255371288179</v>
      </c>
      <c r="G53" s="265">
        <f>IF(G$27=0,0,G$27/AGR_fec!G$27)</f>
        <v>0.5049625537128819</v>
      </c>
      <c r="H53" s="265">
        <f>IF(H$27=0,0,H$27/AGR_fec!H$27)</f>
        <v>0.5049625537128819</v>
      </c>
      <c r="I53" s="265">
        <f>IF(I$27=0,0,I$27/AGR_fec!I$27)</f>
        <v>0.5049625537128819</v>
      </c>
      <c r="J53" s="265">
        <f>IF(J$27=0,0,J$27/AGR_fec!J$27)</f>
        <v>0.50496255371288168</v>
      </c>
      <c r="K53" s="265">
        <f>IF(K$27=0,0,K$27/AGR_fec!K$27)</f>
        <v>0.50496255371288201</v>
      </c>
      <c r="L53" s="265">
        <f>IF(L$27=0,0,L$27/AGR_fec!L$27)</f>
        <v>0.50496255371288201</v>
      </c>
      <c r="M53" s="265">
        <f>IF(M$27=0,0,M$27/AGR_fec!M$27)</f>
        <v>0.5049625537128819</v>
      </c>
      <c r="N53" s="265">
        <f>IF(N$27=0,0,N$27/AGR_fec!N$27)</f>
        <v>0.5049625537128819</v>
      </c>
      <c r="O53" s="265">
        <f>IF(O$27=0,0,O$27/AGR_fec!O$27)</f>
        <v>0.50496255371288179</v>
      </c>
      <c r="P53" s="265">
        <f>IF(P$27=0,0,P$27/AGR_fec!P$27)</f>
        <v>0.50496255371288201</v>
      </c>
      <c r="Q53" s="265">
        <f>IF(Q$27=0,0,Q$27/AGR_fec!Q$27)</f>
        <v>0.5049625537128819</v>
      </c>
      <c r="R53" s="265">
        <f>IF(R$27=0,0,R$27/AGR_fec!R$27)</f>
        <v>0.5049625537128819</v>
      </c>
      <c r="S53" s="265">
        <f>IF(S$27=0,0,S$27/AGR_fec!S$27)</f>
        <v>0.50496255371288179</v>
      </c>
      <c r="T53" s="265">
        <f>IF(T$27=0,0,T$27/AGR_fec!T$27)</f>
        <v>0.5049625537128819</v>
      </c>
      <c r="U53" s="265">
        <f>IF(U$27=0,0,U$27/AGR_fec!U$27)</f>
        <v>0.5049625537128819</v>
      </c>
      <c r="V53" s="265">
        <f>IF(V$27=0,0,V$27/AGR_fec!V$27)</f>
        <v>0.50496255371288201</v>
      </c>
      <c r="W53" s="265">
        <f>IF(W$27=0,0,W$27/AGR_fec!W$27)</f>
        <v>0.5049625537128819</v>
      </c>
      <c r="X53" s="265">
        <f>IF(X$27=0,0,X$27/AGR_fec!X$27)</f>
        <v>0.5049625537128819</v>
      </c>
      <c r="Y53" s="265">
        <f>IF(Y$27=0,0,Y$27/AGR_fec!Y$27)</f>
        <v>0.50496255371288201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99.250643038752045</v>
      </c>
      <c r="C5" s="80">
        <f t="shared" ref="C5:W5" si="0">SUM(C6:C9,C16:C17,C25:C27)</f>
        <v>224.42607359844817</v>
      </c>
      <c r="D5" s="80">
        <f t="shared" si="0"/>
        <v>253.22275784486311</v>
      </c>
      <c r="E5" s="80">
        <f t="shared" si="0"/>
        <v>272.31696160883251</v>
      </c>
      <c r="F5" s="80">
        <f t="shared" si="0"/>
        <v>246.10434065034323</v>
      </c>
      <c r="G5" s="80">
        <f t="shared" si="0"/>
        <v>237.07066196255312</v>
      </c>
      <c r="H5" s="80">
        <f t="shared" si="0"/>
        <v>204.77799000231855</v>
      </c>
      <c r="I5" s="80">
        <f t="shared" si="0"/>
        <v>216.17897499860547</v>
      </c>
      <c r="J5" s="80">
        <f t="shared" si="0"/>
        <v>221.53186907848308</v>
      </c>
      <c r="K5" s="80">
        <f t="shared" si="0"/>
        <v>215.13428171833377</v>
      </c>
      <c r="L5" s="80">
        <f t="shared" si="0"/>
        <v>219.7281319183621</v>
      </c>
      <c r="M5" s="80">
        <f t="shared" si="0"/>
        <v>263.78115695752621</v>
      </c>
      <c r="N5" s="80">
        <f t="shared" si="0"/>
        <v>269.78027939779457</v>
      </c>
      <c r="O5" s="80">
        <f t="shared" si="0"/>
        <v>264.32330939753786</v>
      </c>
      <c r="P5" s="80">
        <f t="shared" si="0"/>
        <v>325.76940395860839</v>
      </c>
      <c r="Q5" s="80">
        <f t="shared" si="0"/>
        <v>332.97769439851436</v>
      </c>
      <c r="R5" s="80">
        <f t="shared" si="0"/>
        <v>329.94908907951765</v>
      </c>
      <c r="S5" s="80">
        <f t="shared" si="0"/>
        <v>321.96788794615446</v>
      </c>
      <c r="T5" s="80">
        <f t="shared" si="0"/>
        <v>319.71415841548952</v>
      </c>
      <c r="U5" s="80">
        <f t="shared" si="0"/>
        <v>295.50701968983606</v>
      </c>
      <c r="V5" s="80">
        <f t="shared" si="0"/>
        <v>281.63463731986474</v>
      </c>
      <c r="W5" s="80">
        <f t="shared" si="0"/>
        <v>208.7456069096169</v>
      </c>
      <c r="X5" s="80">
        <f t="shared" ref="X5:Y5" si="1">SUM(X6:X9,X16:X17,X25:X27)</f>
        <v>238.86170615639264</v>
      </c>
      <c r="Y5" s="80">
        <f t="shared" si="1"/>
        <v>214.63519892520759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11.835289896916414</v>
      </c>
      <c r="C9" s="243">
        <f t="shared" ref="C9:W9" si="2">SUM(C10:C15)</f>
        <v>43.126314463419028</v>
      </c>
      <c r="D9" s="243">
        <f t="shared" si="2"/>
        <v>49.971894359232827</v>
      </c>
      <c r="E9" s="243">
        <f t="shared" si="2"/>
        <v>53.851011412832079</v>
      </c>
      <c r="F9" s="243">
        <f t="shared" si="2"/>
        <v>44.848462074346699</v>
      </c>
      <c r="G9" s="243">
        <f t="shared" si="2"/>
        <v>44.515263039434984</v>
      </c>
      <c r="H9" s="243">
        <f t="shared" si="2"/>
        <v>39.895491744425932</v>
      </c>
      <c r="I9" s="243">
        <f t="shared" si="2"/>
        <v>39.645577755774056</v>
      </c>
      <c r="J9" s="243">
        <f t="shared" si="2"/>
        <v>41.948250212225098</v>
      </c>
      <c r="K9" s="243">
        <f t="shared" si="2"/>
        <v>42.231904100065222</v>
      </c>
      <c r="L9" s="243">
        <f t="shared" si="2"/>
        <v>42.714773795436471</v>
      </c>
      <c r="M9" s="243">
        <f t="shared" si="2"/>
        <v>52.140413429561242</v>
      </c>
      <c r="N9" s="243">
        <f t="shared" si="2"/>
        <v>51.572134536844878</v>
      </c>
      <c r="O9" s="243">
        <f t="shared" si="2"/>
        <v>53.02509438143727</v>
      </c>
      <c r="P9" s="243">
        <f t="shared" si="2"/>
        <v>66.94636146652195</v>
      </c>
      <c r="Q9" s="243">
        <f t="shared" si="2"/>
        <v>67.270144437534881</v>
      </c>
      <c r="R9" s="243">
        <f t="shared" si="2"/>
        <v>62.022349790151246</v>
      </c>
      <c r="S9" s="243">
        <f t="shared" si="2"/>
        <v>61.001778903348288</v>
      </c>
      <c r="T9" s="243">
        <f t="shared" si="2"/>
        <v>65.614582993987341</v>
      </c>
      <c r="U9" s="243">
        <f t="shared" si="2"/>
        <v>61.438891963998501</v>
      </c>
      <c r="V9" s="243">
        <f t="shared" si="2"/>
        <v>58.988331059835893</v>
      </c>
      <c r="W9" s="243">
        <f t="shared" si="2"/>
        <v>40.788146584918252</v>
      </c>
      <c r="X9" s="243">
        <f t="shared" ref="X9:Y9" si="3">SUM(X10:X15)</f>
        <v>47.74039805442824</v>
      </c>
      <c r="Y9" s="243">
        <f t="shared" si="3"/>
        <v>43.354558362223216</v>
      </c>
      <c r="DA9" s="269"/>
    </row>
    <row r="10" spans="1:105" x14ac:dyDescent="0.25">
      <c r="A10" s="253" t="s">
        <v>166</v>
      </c>
      <c r="B10" s="254">
        <v>10.213352716055139</v>
      </c>
      <c r="C10" s="254">
        <v>40.053318738553457</v>
      </c>
      <c r="D10" s="254">
        <v>46.513562634409723</v>
      </c>
      <c r="E10" s="254">
        <v>49.444498204494423</v>
      </c>
      <c r="F10" s="254">
        <v>40.121499876257559</v>
      </c>
      <c r="G10" s="254">
        <v>39.576925288512207</v>
      </c>
      <c r="H10" s="254">
        <v>34.213763214418847</v>
      </c>
      <c r="I10" s="254">
        <v>34.333841230873567</v>
      </c>
      <c r="J10" s="254">
        <v>36.918832217547781</v>
      </c>
      <c r="K10" s="254">
        <v>35.934241574051782</v>
      </c>
      <c r="L10" s="254">
        <v>36.376881575252632</v>
      </c>
      <c r="M10" s="254">
        <v>46.632921626281153</v>
      </c>
      <c r="N10" s="254">
        <v>45.334470365824878</v>
      </c>
      <c r="O10" s="254">
        <v>47.193226468320489</v>
      </c>
      <c r="P10" s="254">
        <v>62.452577029205912</v>
      </c>
      <c r="Q10" s="254">
        <v>62.200253094699526</v>
      </c>
      <c r="R10" s="254">
        <v>58.054084629678783</v>
      </c>
      <c r="S10" s="254">
        <v>57.500986588464997</v>
      </c>
      <c r="T10" s="254">
        <v>62.001257026600193</v>
      </c>
      <c r="U10" s="254">
        <v>57.888699554520308</v>
      </c>
      <c r="V10" s="254">
        <v>55.885454872353641</v>
      </c>
      <c r="W10" s="254">
        <v>38.30898012203734</v>
      </c>
      <c r="X10" s="254">
        <v>45.661145058385713</v>
      </c>
      <c r="Y10" s="254">
        <v>42.1864571606271</v>
      </c>
      <c r="DA10" s="270" t="s">
        <v>1040</v>
      </c>
    </row>
    <row r="11" spans="1:105" x14ac:dyDescent="0.25">
      <c r="A11" s="253" t="s">
        <v>169</v>
      </c>
      <c r="B11" s="255">
        <v>1.621937180861275</v>
      </c>
      <c r="C11" s="255">
        <v>3.0729957248655722</v>
      </c>
      <c r="D11" s="255">
        <v>3.4583317248231031</v>
      </c>
      <c r="E11" s="255">
        <v>4.4065132083376541</v>
      </c>
      <c r="F11" s="255">
        <v>4.7269621980891374</v>
      </c>
      <c r="G11" s="255">
        <v>4.9383377509227806</v>
      </c>
      <c r="H11" s="255">
        <v>5.6817285300070841</v>
      </c>
      <c r="I11" s="255">
        <v>5.3117365249004864</v>
      </c>
      <c r="J11" s="255">
        <v>5.0294179946773188</v>
      </c>
      <c r="K11" s="255">
        <v>6.2976625260134416</v>
      </c>
      <c r="L11" s="255">
        <v>6.3378922201838392</v>
      </c>
      <c r="M11" s="255">
        <v>5.5074918032800912</v>
      </c>
      <c r="N11" s="255">
        <v>6.2376641710199996</v>
      </c>
      <c r="O11" s="255">
        <v>5.831867913116783</v>
      </c>
      <c r="P11" s="255">
        <v>4.4937844373160436</v>
      </c>
      <c r="Q11" s="255">
        <v>5.0698913428353576</v>
      </c>
      <c r="R11" s="255">
        <v>3.968265160472463</v>
      </c>
      <c r="S11" s="255">
        <v>3.500792314883292</v>
      </c>
      <c r="T11" s="255">
        <v>3.613325967387143</v>
      </c>
      <c r="U11" s="255">
        <v>3.55019240947819</v>
      </c>
      <c r="V11" s="255">
        <v>3.102876187482253</v>
      </c>
      <c r="W11" s="255">
        <v>2.4791664628809111</v>
      </c>
      <c r="X11" s="255">
        <v>2.079252996042527</v>
      </c>
      <c r="Y11" s="255">
        <v>1.168101201596119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36.623322394802472</v>
      </c>
      <c r="C16" s="257">
        <v>75.531290945446671</v>
      </c>
      <c r="D16" s="257">
        <v>84.274076174312256</v>
      </c>
      <c r="E16" s="257">
        <v>89.155496728758749</v>
      </c>
      <c r="F16" s="257">
        <v>80.043793530751088</v>
      </c>
      <c r="G16" s="257">
        <v>79.590333442757895</v>
      </c>
      <c r="H16" s="257">
        <v>73.337335489347723</v>
      </c>
      <c r="I16" s="257">
        <v>71.138421863938049</v>
      </c>
      <c r="J16" s="257">
        <v>72.995853583189771</v>
      </c>
      <c r="K16" s="257">
        <v>71.238932623662109</v>
      </c>
      <c r="L16" s="257">
        <v>73.268986296981964</v>
      </c>
      <c r="M16" s="257">
        <v>86.262495484732113</v>
      </c>
      <c r="N16" s="257">
        <v>86.880327177820462</v>
      </c>
      <c r="O16" s="257">
        <v>86.608452263698766</v>
      </c>
      <c r="P16" s="257">
        <v>106.12086299529599</v>
      </c>
      <c r="Q16" s="257">
        <v>106.3976041365286</v>
      </c>
      <c r="R16" s="257">
        <v>103.4169687968047</v>
      </c>
      <c r="S16" s="257">
        <v>104.02913363267881</v>
      </c>
      <c r="T16" s="257">
        <v>102.4594443318904</v>
      </c>
      <c r="U16" s="257">
        <v>93.202310081250801</v>
      </c>
      <c r="V16" s="257">
        <v>90.004673958329533</v>
      </c>
      <c r="W16" s="257">
        <v>68.907457106759992</v>
      </c>
      <c r="X16" s="257">
        <v>77.385370386411196</v>
      </c>
      <c r="Y16" s="257">
        <v>67.000562983057947</v>
      </c>
      <c r="DA16" s="272" t="s">
        <v>1046</v>
      </c>
    </row>
    <row r="17" spans="1:105" x14ac:dyDescent="0.25">
      <c r="A17" s="256" t="s">
        <v>121</v>
      </c>
      <c r="B17" s="257">
        <f>SUM(B18:B24)</f>
        <v>43.754554140166817</v>
      </c>
      <c r="C17" s="257">
        <f t="shared" ref="C17:W17" si="4">SUM(C18:C24)</f>
        <v>91.254501177391546</v>
      </c>
      <c r="D17" s="257">
        <f t="shared" si="4"/>
        <v>102.78282125743094</v>
      </c>
      <c r="E17" s="257">
        <f t="shared" si="4"/>
        <v>112.17848177340019</v>
      </c>
      <c r="F17" s="257">
        <f t="shared" si="4"/>
        <v>105.83100305533173</v>
      </c>
      <c r="G17" s="257">
        <f t="shared" si="4"/>
        <v>97.671119625366174</v>
      </c>
      <c r="H17" s="257">
        <f t="shared" si="4"/>
        <v>77.452782581065279</v>
      </c>
      <c r="I17" s="257">
        <f t="shared" si="4"/>
        <v>91.725134769678135</v>
      </c>
      <c r="J17" s="257">
        <f t="shared" si="4"/>
        <v>92.561003689673214</v>
      </c>
      <c r="K17" s="257">
        <f t="shared" si="4"/>
        <v>87.974290405281167</v>
      </c>
      <c r="L17" s="257">
        <f t="shared" si="4"/>
        <v>89.665125505380502</v>
      </c>
      <c r="M17" s="257">
        <f t="shared" si="4"/>
        <v>108.80219064790845</v>
      </c>
      <c r="N17" s="257">
        <f t="shared" si="4"/>
        <v>114.63303877913835</v>
      </c>
      <c r="O17" s="257">
        <f t="shared" si="4"/>
        <v>108.04722687889024</v>
      </c>
      <c r="P17" s="257">
        <f t="shared" si="4"/>
        <v>132.31017129013324</v>
      </c>
      <c r="Q17" s="257">
        <f t="shared" si="4"/>
        <v>138.86475950122124</v>
      </c>
      <c r="R17" s="257">
        <f t="shared" si="4"/>
        <v>144.63733808965586</v>
      </c>
      <c r="S17" s="257">
        <f t="shared" si="4"/>
        <v>136.94691043239479</v>
      </c>
      <c r="T17" s="257">
        <f t="shared" si="4"/>
        <v>131.951694992385</v>
      </c>
      <c r="U17" s="257">
        <f t="shared" si="4"/>
        <v>122.95621704003342</v>
      </c>
      <c r="V17" s="257">
        <f t="shared" si="4"/>
        <v>115.34648412638609</v>
      </c>
      <c r="W17" s="257">
        <f t="shared" si="4"/>
        <v>85.808861079062396</v>
      </c>
      <c r="X17" s="257">
        <f t="shared" ref="X17:Y17" si="5">SUM(X18:X24)</f>
        <v>98.865693887392354</v>
      </c>
      <c r="Y17" s="257">
        <f t="shared" si="5"/>
        <v>91.405361038451133</v>
      </c>
      <c r="DA17" s="272"/>
    </row>
    <row r="18" spans="1:105" x14ac:dyDescent="0.25">
      <c r="A18" s="61" t="s">
        <v>29</v>
      </c>
      <c r="B18" s="55">
        <v>2.5523246372396762</v>
      </c>
      <c r="C18" s="55">
        <v>0</v>
      </c>
      <c r="D18" s="55">
        <v>2.5993661660202312</v>
      </c>
      <c r="E18" s="55">
        <v>2.589322491626219</v>
      </c>
      <c r="F18" s="55">
        <v>3.3699655723920201</v>
      </c>
      <c r="G18" s="55">
        <v>2.5988474012889529</v>
      </c>
      <c r="H18" s="55">
        <v>0</v>
      </c>
      <c r="I18" s="55">
        <v>2.5987852012375861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12.37572412145528</v>
      </c>
      <c r="S18" s="55">
        <v>4.1452431489926038</v>
      </c>
      <c r="T18" s="55">
        <v>2.073487179899804</v>
      </c>
      <c r="U18" s="55">
        <v>1.1771790167704721</v>
      </c>
      <c r="V18" s="55">
        <v>0.565578870098841</v>
      </c>
      <c r="W18" s="55">
        <v>1.1772852927493931</v>
      </c>
      <c r="X18" s="55">
        <v>0</v>
      </c>
      <c r="Y18" s="55">
        <v>0</v>
      </c>
      <c r="DA18" s="101" t="s">
        <v>1047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2.871075239955208</v>
      </c>
      <c r="J19" s="55">
        <v>2.8710752399750992</v>
      </c>
      <c r="K19" s="55">
        <v>2.871075239971963</v>
      </c>
      <c r="L19" s="55">
        <v>0</v>
      </c>
      <c r="M19" s="55">
        <v>0</v>
      </c>
      <c r="N19" s="55">
        <v>2.8710752399712969</v>
      </c>
      <c r="O19" s="55">
        <v>2.8710752399669119</v>
      </c>
      <c r="P19" s="55">
        <v>2.871075239985573</v>
      </c>
      <c r="Q19" s="55">
        <v>5.7421504799696326</v>
      </c>
      <c r="R19" s="55">
        <v>5.7421504799573464</v>
      </c>
      <c r="S19" s="55">
        <v>5.7421504799354919</v>
      </c>
      <c r="T19" s="55">
        <v>2.8710752399789108</v>
      </c>
      <c r="U19" s="55">
        <v>5.7421504799706264</v>
      </c>
      <c r="V19" s="55">
        <v>6.8331999599389652</v>
      </c>
      <c r="W19" s="55">
        <v>2.8710752399777761</v>
      </c>
      <c r="X19" s="55">
        <v>4.5936295199388546</v>
      </c>
      <c r="Y19" s="55">
        <v>3.781078199938614</v>
      </c>
      <c r="DA19" s="101" t="s">
        <v>1048</v>
      </c>
    </row>
    <row r="20" spans="1:105" x14ac:dyDescent="0.25">
      <c r="A20" s="61" t="s">
        <v>166</v>
      </c>
      <c r="B20" s="55">
        <v>27.621028283517109</v>
      </c>
      <c r="C20" s="55">
        <v>70.504943302447998</v>
      </c>
      <c r="D20" s="55">
        <v>81.831785136343726</v>
      </c>
      <c r="E20" s="55">
        <v>95.022433370303474</v>
      </c>
      <c r="F20" s="55">
        <v>80.729294601258673</v>
      </c>
      <c r="G20" s="55">
        <v>81.814465414912064</v>
      </c>
      <c r="H20" s="55">
        <v>66.422321110922894</v>
      </c>
      <c r="I20" s="55">
        <v>72.058126293599145</v>
      </c>
      <c r="J20" s="55">
        <v>73.527642604513233</v>
      </c>
      <c r="K20" s="55">
        <v>67.203471211497998</v>
      </c>
      <c r="L20" s="55">
        <v>73.743975805711841</v>
      </c>
      <c r="M20" s="55">
        <v>91.87963549139009</v>
      </c>
      <c r="N20" s="55">
        <v>95.575963550351062</v>
      </c>
      <c r="O20" s="55">
        <v>90.906895392209762</v>
      </c>
      <c r="P20" s="55">
        <v>115.07426176754269</v>
      </c>
      <c r="Q20" s="55">
        <v>111.8622364442069</v>
      </c>
      <c r="R20" s="55">
        <v>100.7552141689123</v>
      </c>
      <c r="S20" s="55">
        <v>106.847374798578</v>
      </c>
      <c r="T20" s="55">
        <v>110.487282542378</v>
      </c>
      <c r="U20" s="55">
        <v>97.425939758472438</v>
      </c>
      <c r="V20" s="55">
        <v>93.837982992001145</v>
      </c>
      <c r="W20" s="55">
        <v>67.608220631204119</v>
      </c>
      <c r="X20" s="55">
        <v>77.73202472470193</v>
      </c>
      <c r="Y20" s="55">
        <v>74.269621912244887</v>
      </c>
      <c r="DA20" s="101" t="s">
        <v>1049</v>
      </c>
    </row>
    <row r="21" spans="1:105" x14ac:dyDescent="0.25">
      <c r="A21" s="61" t="s">
        <v>129</v>
      </c>
      <c r="B21" s="55">
        <v>9.1948284002050844</v>
      </c>
      <c r="C21" s="55">
        <v>15.3402335998551</v>
      </c>
      <c r="D21" s="55">
        <v>12.267391679926501</v>
      </c>
      <c r="E21" s="55">
        <v>6.0982891199213363</v>
      </c>
      <c r="F21" s="55">
        <v>12.22052507986675</v>
      </c>
      <c r="G21" s="55">
        <v>3.0491445600211748</v>
      </c>
      <c r="H21" s="55">
        <v>0</v>
      </c>
      <c r="I21" s="55">
        <v>3.0491445599524272</v>
      </c>
      <c r="J21" s="55">
        <v>6.1456838399466971</v>
      </c>
      <c r="K21" s="55">
        <v>6.1219864799402153</v>
      </c>
      <c r="L21" s="55">
        <v>3.0728419199713461</v>
      </c>
      <c r="M21" s="55">
        <v>6.0712869599314709</v>
      </c>
      <c r="N21" s="55">
        <v>3.0355041599696522</v>
      </c>
      <c r="O21" s="55">
        <v>3.0355041599650159</v>
      </c>
      <c r="P21" s="55">
        <v>6.0846487199694232</v>
      </c>
      <c r="Q21" s="55">
        <v>12.14257391993578</v>
      </c>
      <c r="R21" s="55">
        <v>12.15593567990971</v>
      </c>
      <c r="S21" s="55">
        <v>12.15593567986344</v>
      </c>
      <c r="T21" s="55">
        <v>8.5107023999374771</v>
      </c>
      <c r="U21" s="55">
        <v>10.94490143994401</v>
      </c>
      <c r="V21" s="55">
        <v>7.3264143599345593</v>
      </c>
      <c r="W21" s="55">
        <v>8.203783679936496</v>
      </c>
      <c r="X21" s="55">
        <v>11.427159239847899</v>
      </c>
      <c r="Y21" s="55">
        <v>9.724979879842115</v>
      </c>
      <c r="DA21" s="101" t="s">
        <v>1050</v>
      </c>
    </row>
    <row r="22" spans="1:105" x14ac:dyDescent="0.25">
      <c r="A22" s="61" t="s">
        <v>169</v>
      </c>
      <c r="B22" s="55">
        <v>4.3863728192049471</v>
      </c>
      <c r="C22" s="55">
        <v>5.4093242750884478</v>
      </c>
      <c r="D22" s="55">
        <v>6.0842782751404831</v>
      </c>
      <c r="E22" s="55">
        <v>8.468436791549161</v>
      </c>
      <c r="F22" s="55">
        <v>9.5112178018143041</v>
      </c>
      <c r="G22" s="55">
        <v>10.208662249143989</v>
      </c>
      <c r="H22" s="55">
        <v>11.03046147014239</v>
      </c>
      <c r="I22" s="55">
        <v>11.14800347493377</v>
      </c>
      <c r="J22" s="55">
        <v>10.016602005238189</v>
      </c>
      <c r="K22" s="55">
        <v>11.77775747387099</v>
      </c>
      <c r="L22" s="55">
        <v>12.84830777969731</v>
      </c>
      <c r="M22" s="55">
        <v>10.85126819658689</v>
      </c>
      <c r="N22" s="55">
        <v>13.150495828846349</v>
      </c>
      <c r="O22" s="55">
        <v>11.233752086748551</v>
      </c>
      <c r="P22" s="55">
        <v>8.2801855626355607</v>
      </c>
      <c r="Q22" s="55">
        <v>9.1177986571089207</v>
      </c>
      <c r="R22" s="55">
        <v>6.8870848394711599</v>
      </c>
      <c r="S22" s="55">
        <v>6.5051139250426884</v>
      </c>
      <c r="T22" s="55">
        <v>6.439007630202334</v>
      </c>
      <c r="U22" s="55">
        <v>5.9749283448845354</v>
      </c>
      <c r="V22" s="55">
        <v>5.2100791444266257</v>
      </c>
      <c r="W22" s="55">
        <v>4.3752674352067977</v>
      </c>
      <c r="X22" s="55">
        <v>3.539651602924613</v>
      </c>
      <c r="Y22" s="55">
        <v>2.056452246451054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6.7212287999500724</v>
      </c>
      <c r="S23" s="55">
        <v>1.551092399982575</v>
      </c>
      <c r="T23" s="55">
        <v>1.570139999988466</v>
      </c>
      <c r="U23" s="55">
        <v>1.691117999991349</v>
      </c>
      <c r="V23" s="55">
        <v>1.573228799985948</v>
      </c>
      <c r="W23" s="55">
        <v>1.5732287999878221</v>
      </c>
      <c r="X23" s="55">
        <v>1.57322879997906</v>
      </c>
      <c r="Y23" s="55">
        <v>1.573228799974459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7.0374766068663437</v>
      </c>
      <c r="C25" s="257">
        <v>14.51396701219093</v>
      </c>
      <c r="D25" s="257">
        <v>16.19396605388711</v>
      </c>
      <c r="E25" s="257">
        <v>17.131971693841528</v>
      </c>
      <c r="F25" s="257">
        <v>15.381081989913721</v>
      </c>
      <c r="G25" s="257">
        <v>15.293945854994069</v>
      </c>
      <c r="H25" s="257">
        <v>14.09238018747963</v>
      </c>
      <c r="I25" s="257">
        <v>13.66984060921525</v>
      </c>
      <c r="J25" s="257">
        <v>14.02676159339501</v>
      </c>
      <c r="K25" s="257">
        <v>13.68915458932528</v>
      </c>
      <c r="L25" s="257">
        <v>14.07924632056317</v>
      </c>
      <c r="M25" s="257">
        <v>16.576057395324419</v>
      </c>
      <c r="N25" s="257">
        <v>16.694778903990901</v>
      </c>
      <c r="O25" s="257">
        <v>16.642535873511591</v>
      </c>
      <c r="P25" s="257">
        <v>20.392008206657199</v>
      </c>
      <c r="Q25" s="257">
        <v>20.44518632322966</v>
      </c>
      <c r="R25" s="257">
        <v>19.87243240290584</v>
      </c>
      <c r="S25" s="257">
        <v>19.990064977732569</v>
      </c>
      <c r="T25" s="257">
        <v>19.688436097226781</v>
      </c>
      <c r="U25" s="257">
        <v>17.909600604553319</v>
      </c>
      <c r="V25" s="257">
        <v>17.295148175313241</v>
      </c>
      <c r="W25" s="257">
        <v>13.241142138876249</v>
      </c>
      <c r="X25" s="257">
        <v>14.87024382816084</v>
      </c>
      <c r="Y25" s="257">
        <v>12.87471654147528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</v>
      </c>
      <c r="C31" s="235">
        <f t="shared" si="6"/>
        <v>1</v>
      </c>
      <c r="D31" s="235">
        <f t="shared" si="6"/>
        <v>1</v>
      </c>
      <c r="E31" s="235">
        <f t="shared" si="6"/>
        <v>1</v>
      </c>
      <c r="F31" s="235">
        <f t="shared" si="6"/>
        <v>0.99999999999999989</v>
      </c>
      <c r="G31" s="235">
        <f t="shared" si="6"/>
        <v>1</v>
      </c>
      <c r="H31" s="235">
        <f t="shared" si="6"/>
        <v>1</v>
      </c>
      <c r="I31" s="235">
        <f t="shared" si="6"/>
        <v>1</v>
      </c>
      <c r="J31" s="235">
        <f t="shared" si="6"/>
        <v>1</v>
      </c>
      <c r="K31" s="235">
        <f t="shared" si="6"/>
        <v>1</v>
      </c>
      <c r="L31" s="235">
        <f t="shared" si="6"/>
        <v>1</v>
      </c>
      <c r="M31" s="235">
        <f t="shared" si="6"/>
        <v>1.0000000000000002</v>
      </c>
      <c r="N31" s="235">
        <f t="shared" si="6"/>
        <v>1.0000000000000002</v>
      </c>
      <c r="O31" s="235">
        <f t="shared" si="6"/>
        <v>1</v>
      </c>
      <c r="P31" s="235">
        <f t="shared" si="6"/>
        <v>1</v>
      </c>
      <c r="Q31" s="235">
        <f t="shared" si="6"/>
        <v>1</v>
      </c>
      <c r="R31" s="235">
        <f t="shared" ref="R31:W31" si="7">SUM(R32:R40)</f>
        <v>1</v>
      </c>
      <c r="S31" s="235">
        <f t="shared" si="7"/>
        <v>0.99999999999999989</v>
      </c>
      <c r="T31" s="235">
        <f t="shared" si="7"/>
        <v>1</v>
      </c>
      <c r="U31" s="235">
        <f t="shared" si="7"/>
        <v>0.99999999999999989</v>
      </c>
      <c r="V31" s="235">
        <f t="shared" si="7"/>
        <v>1</v>
      </c>
      <c r="W31" s="235">
        <f t="shared" si="7"/>
        <v>1</v>
      </c>
      <c r="X31" s="235">
        <f t="shared" ref="X31:Y31" si="8">SUM(X32:X40)</f>
        <v>0.99999999999999989</v>
      </c>
      <c r="Y31" s="235">
        <f t="shared" si="8"/>
        <v>1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0.11924648077388647</v>
      </c>
      <c r="C35" s="246">
        <f t="shared" si="12"/>
        <v>0.19216267420238481</v>
      </c>
      <c r="D35" s="246">
        <f t="shared" si="12"/>
        <v>0.19734361470720616</v>
      </c>
      <c r="E35" s="246">
        <f t="shared" si="12"/>
        <v>0.19775122010279303</v>
      </c>
      <c r="F35" s="246">
        <f t="shared" si="12"/>
        <v>0.18223352727478254</v>
      </c>
      <c r="G35" s="246">
        <f t="shared" si="12"/>
        <v>0.18777212950317093</v>
      </c>
      <c r="H35" s="246">
        <f t="shared" si="12"/>
        <v>0.19482314356134772</v>
      </c>
      <c r="I35" s="246">
        <f t="shared" si="12"/>
        <v>0.18339238474060579</v>
      </c>
      <c r="J35" s="246">
        <f t="shared" si="12"/>
        <v>0.18935537530884058</v>
      </c>
      <c r="K35" s="246">
        <f t="shared" si="12"/>
        <v>0.1963048555662443</v>
      </c>
      <c r="L35" s="246">
        <f t="shared" si="12"/>
        <v>0.19439829312027621</v>
      </c>
      <c r="M35" s="246">
        <f t="shared" si="12"/>
        <v>0.1976654209533126</v>
      </c>
      <c r="N35" s="246">
        <f t="shared" si="12"/>
        <v>0.19116347070276804</v>
      </c>
      <c r="O35" s="246">
        <f t="shared" si="12"/>
        <v>0.20060695555868821</v>
      </c>
      <c r="P35" s="246">
        <f t="shared" si="12"/>
        <v>0.20550229902814329</v>
      </c>
      <c r="Q35" s="246">
        <f t="shared" si="12"/>
        <v>0.20202597822370838</v>
      </c>
      <c r="R35" s="246">
        <f t="shared" si="12"/>
        <v>0.18797551453522537</v>
      </c>
      <c r="S35" s="246">
        <f t="shared" si="12"/>
        <v>0.18946541312700774</v>
      </c>
      <c r="T35" s="246">
        <f t="shared" si="12"/>
        <v>0.20522889358161264</v>
      </c>
      <c r="U35" s="246">
        <f t="shared" si="12"/>
        <v>0.20791009306135846</v>
      </c>
      <c r="V35" s="246">
        <f t="shared" si="12"/>
        <v>0.20944984473923309</v>
      </c>
      <c r="W35" s="246">
        <f t="shared" si="12"/>
        <v>0.1953964310376064</v>
      </c>
      <c r="X35" s="246">
        <f t="shared" si="12"/>
        <v>0.1998662691589862</v>
      </c>
      <c r="Y35" s="246">
        <f t="shared" si="12"/>
        <v>0.20199183814827443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0.36899833868585646</v>
      </c>
      <c r="C36" s="259">
        <f t="shared" si="13"/>
        <v>0.33655310069092143</v>
      </c>
      <c r="D36" s="259">
        <f t="shared" si="13"/>
        <v>0.33280609093572372</v>
      </c>
      <c r="E36" s="259">
        <f t="shared" si="13"/>
        <v>0.32739604687873036</v>
      </c>
      <c r="F36" s="259">
        <f t="shared" si="13"/>
        <v>0.32524332288992258</v>
      </c>
      <c r="G36" s="259">
        <f t="shared" si="13"/>
        <v>0.33572409501825967</v>
      </c>
      <c r="H36" s="259">
        <f t="shared" si="13"/>
        <v>0.35813094702471382</v>
      </c>
      <c r="I36" s="259">
        <f t="shared" si="13"/>
        <v>0.32907188066923226</v>
      </c>
      <c r="J36" s="259">
        <f t="shared" si="13"/>
        <v>0.32950497771193904</v>
      </c>
      <c r="K36" s="259">
        <f t="shared" si="13"/>
        <v>0.33113705567824026</v>
      </c>
      <c r="L36" s="259">
        <f t="shared" si="13"/>
        <v>0.33345291591613024</v>
      </c>
      <c r="M36" s="259">
        <f t="shared" si="13"/>
        <v>0.32702296282149534</v>
      </c>
      <c r="N36" s="259">
        <f t="shared" si="13"/>
        <v>0.32204106012402145</v>
      </c>
      <c r="O36" s="259">
        <f t="shared" si="13"/>
        <v>0.32766104684865721</v>
      </c>
      <c r="P36" s="259">
        <f t="shared" si="13"/>
        <v>0.325754542034216</v>
      </c>
      <c r="Q36" s="259">
        <f t="shared" si="13"/>
        <v>0.31953372831391469</v>
      </c>
      <c r="R36" s="259">
        <f t="shared" si="13"/>
        <v>0.31343310898452348</v>
      </c>
      <c r="S36" s="259">
        <f t="shared" si="13"/>
        <v>0.32310406573861961</v>
      </c>
      <c r="T36" s="259">
        <f t="shared" si="13"/>
        <v>0.32047202676191033</v>
      </c>
      <c r="U36" s="259">
        <f t="shared" si="13"/>
        <v>0.3153979562958466</v>
      </c>
      <c r="V36" s="259">
        <f t="shared" si="13"/>
        <v>0.31957956171458873</v>
      </c>
      <c r="W36" s="259">
        <f t="shared" si="13"/>
        <v>0.33010254983040521</v>
      </c>
      <c r="X36" s="259">
        <f t="shared" si="13"/>
        <v>0.32397562435455346</v>
      </c>
      <c r="Y36" s="259">
        <f t="shared" si="13"/>
        <v>0.3121601830387809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0.44084907463101286</v>
      </c>
      <c r="C37" s="259">
        <f t="shared" si="14"/>
        <v>0.40661274206787412</v>
      </c>
      <c r="D37" s="259">
        <f t="shared" si="14"/>
        <v>0.40589883046926145</v>
      </c>
      <c r="E37" s="259">
        <f t="shared" si="14"/>
        <v>0.41194085418203974</v>
      </c>
      <c r="F37" s="259">
        <f t="shared" si="14"/>
        <v>0.4300249348535175</v>
      </c>
      <c r="G37" s="259">
        <f t="shared" si="14"/>
        <v>0.41199159278845721</v>
      </c>
      <c r="H37" s="259">
        <f t="shared" si="14"/>
        <v>0.37822806337823872</v>
      </c>
      <c r="I37" s="259">
        <f t="shared" si="14"/>
        <v>0.42430183032494179</v>
      </c>
      <c r="J37" s="259">
        <f t="shared" si="14"/>
        <v>0.41782251950793237</v>
      </c>
      <c r="K37" s="259">
        <f t="shared" si="14"/>
        <v>0.40892734390171342</v>
      </c>
      <c r="L37" s="259">
        <f t="shared" si="14"/>
        <v>0.40807303426533809</v>
      </c>
      <c r="M37" s="259">
        <f t="shared" si="14"/>
        <v>0.4124714285995329</v>
      </c>
      <c r="N37" s="259">
        <f t="shared" si="14"/>
        <v>0.42491259566867906</v>
      </c>
      <c r="O37" s="259">
        <f t="shared" si="14"/>
        <v>0.40876919680355928</v>
      </c>
      <c r="P37" s="259">
        <f t="shared" si="14"/>
        <v>0.40614670893692739</v>
      </c>
      <c r="Q37" s="259">
        <f t="shared" si="14"/>
        <v>0.41703922466057181</v>
      </c>
      <c r="R37" s="259">
        <f t="shared" si="14"/>
        <v>0.43836259252347348</v>
      </c>
      <c r="S37" s="259">
        <f t="shared" si="14"/>
        <v>0.42534338224219936</v>
      </c>
      <c r="T37" s="259">
        <f t="shared" si="14"/>
        <v>0.41271770898836801</v>
      </c>
      <c r="U37" s="259">
        <f t="shared" si="14"/>
        <v>0.416085604900649</v>
      </c>
      <c r="V37" s="259">
        <f t="shared" si="14"/>
        <v>0.40956071747447048</v>
      </c>
      <c r="W37" s="259">
        <f t="shared" si="14"/>
        <v>0.41106906319813519</v>
      </c>
      <c r="X37" s="259">
        <f t="shared" si="14"/>
        <v>0.41390349034290536</v>
      </c>
      <c r="Y37" s="259">
        <f t="shared" si="14"/>
        <v>0.42586379818485648</v>
      </c>
      <c r="DA37" s="278"/>
    </row>
    <row r="38" spans="1:105" x14ac:dyDescent="0.25">
      <c r="A38" s="127" t="s">
        <v>167</v>
      </c>
      <c r="B38" s="259">
        <f t="shared" ref="B38:Y38" si="15">IF(B$25=0,0,B$25/B$5)</f>
        <v>7.0906105909244205E-2</v>
      </c>
      <c r="C38" s="259">
        <f t="shared" si="15"/>
        <v>6.4671483038819644E-2</v>
      </c>
      <c r="D38" s="259">
        <f t="shared" si="15"/>
        <v>6.3951463887808771E-2</v>
      </c>
      <c r="E38" s="259">
        <f t="shared" si="15"/>
        <v>6.2911878836436966E-2</v>
      </c>
      <c r="F38" s="259">
        <f t="shared" si="15"/>
        <v>6.2498214981777364E-2</v>
      </c>
      <c r="G38" s="259">
        <f t="shared" si="15"/>
        <v>6.4512182690112232E-2</v>
      </c>
      <c r="H38" s="259">
        <f t="shared" si="15"/>
        <v>6.8817846035699792E-2</v>
      </c>
      <c r="I38" s="259">
        <f t="shared" si="15"/>
        <v>6.32339042652202E-2</v>
      </c>
      <c r="J38" s="259">
        <f t="shared" si="15"/>
        <v>6.3317127471288051E-2</v>
      </c>
      <c r="K38" s="259">
        <f t="shared" si="15"/>
        <v>6.3630744853802115E-2</v>
      </c>
      <c r="L38" s="259">
        <f t="shared" si="15"/>
        <v>6.4075756698255548E-2</v>
      </c>
      <c r="M38" s="259">
        <f t="shared" si="15"/>
        <v>6.2840187625659252E-2</v>
      </c>
      <c r="N38" s="259">
        <f t="shared" si="15"/>
        <v>6.1882873504531553E-2</v>
      </c>
      <c r="O38" s="259">
        <f t="shared" si="15"/>
        <v>6.2962800789095344E-2</v>
      </c>
      <c r="P38" s="259">
        <f t="shared" si="15"/>
        <v>6.2596450000713288E-2</v>
      </c>
      <c r="Q38" s="259">
        <f t="shared" si="15"/>
        <v>6.1401068801805243E-2</v>
      </c>
      <c r="R38" s="259">
        <f t="shared" si="15"/>
        <v>6.0228783956777616E-2</v>
      </c>
      <c r="S38" s="259">
        <f t="shared" si="15"/>
        <v>6.2087138892173259E-2</v>
      </c>
      <c r="T38" s="259">
        <f t="shared" si="15"/>
        <v>6.1581370668109002E-2</v>
      </c>
      <c r="U38" s="259">
        <f t="shared" si="15"/>
        <v>6.0606345742145892E-2</v>
      </c>
      <c r="V38" s="259">
        <f t="shared" si="15"/>
        <v>6.1409876071707711E-2</v>
      </c>
      <c r="W38" s="259">
        <f t="shared" si="15"/>
        <v>6.3431955933853146E-2</v>
      </c>
      <c r="X38" s="259">
        <f t="shared" si="15"/>
        <v>6.2254616143554951E-2</v>
      </c>
      <c r="Y38" s="259">
        <f t="shared" si="15"/>
        <v>5.9984180628088135E-2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1.7083814026887583</v>
      </c>
      <c r="C44" s="237">
        <f>IF(C$5=0,0,C$5/AGR_fec!C$5)</f>
        <v>2.2540599855864816</v>
      </c>
      <c r="D44" s="237">
        <f>IF(D$5=0,0,D$5/AGR_fec!D$5)</f>
        <v>2.3274076963299888</v>
      </c>
      <c r="E44" s="237">
        <f>IF(E$5=0,0,E$5/AGR_fec!E$5)</f>
        <v>2.4055775341259062</v>
      </c>
      <c r="F44" s="237">
        <f>IF(F$5=0,0,F$5/AGR_fec!F$5)</f>
        <v>2.3453124223206623</v>
      </c>
      <c r="G44" s="237">
        <f>IF(G$5=0,0,G$5/AGR_fec!G$5)</f>
        <v>2.2776519073489325</v>
      </c>
      <c r="H44" s="237">
        <f>IF(H$5=0,0,H$5/AGR_fec!H$5)</f>
        <v>2.0753899022306772</v>
      </c>
      <c r="I44" s="237">
        <f>IF(I$5=0,0,I$5/AGR_fec!I$5)</f>
        <v>2.3175840040133675</v>
      </c>
      <c r="J44" s="237">
        <f>IF(J$5=0,0,J$5/AGR_fec!J$5)</f>
        <v>2.3330039982312956</v>
      </c>
      <c r="K44" s="237">
        <f>IF(K$5=0,0,K$5/AGR_fec!K$5)</f>
        <v>2.3184657206755053</v>
      </c>
      <c r="L44" s="237">
        <f>IF(L$5=0,0,L$5/AGR_fec!L$5)</f>
        <v>2.3099421431236555</v>
      </c>
      <c r="M44" s="237">
        <f>IF(M$5=0,0,M$5/AGR_fec!M$5)</f>
        <v>2.421108800378843</v>
      </c>
      <c r="N44" s="237">
        <f>IF(N$5=0,0,N$5/AGR_fec!N$5)</f>
        <v>2.4344489994237719</v>
      </c>
      <c r="O44" s="237">
        <f>IF(O$5=0,0,O$5/AGR_fec!O$5)</f>
        <v>2.4002617952876504</v>
      </c>
      <c r="P44" s="237">
        <f>IF(P$5=0,0,P$5/AGR_fec!P$5)</f>
        <v>2.4823493898716902</v>
      </c>
      <c r="Q44" s="237">
        <f>IF(Q$5=0,0,Q$5/AGR_fec!Q$5)</f>
        <v>2.5134600227392325</v>
      </c>
      <c r="R44" s="237">
        <f>IF(R$5=0,0,R$5/AGR_fec!R$5)</f>
        <v>2.511626323289025</v>
      </c>
      <c r="S44" s="237">
        <f>IF(S$5=0,0,S$5/AGR_fec!S$5)</f>
        <v>2.4186299032827323</v>
      </c>
      <c r="T44" s="237">
        <f>IF(T$5=0,0,T$5/AGR_fec!T$5)</f>
        <v>2.5602528267916602</v>
      </c>
      <c r="U44" s="237">
        <f>IF(U$5=0,0,U$5/AGR_fec!U$5)</f>
        <v>2.6053723288551245</v>
      </c>
      <c r="V44" s="237">
        <f>IF(V$5=0,0,V$5/AGR_fec!V$5)</f>
        <v>2.5609414575988856</v>
      </c>
      <c r="W44" s="237">
        <f>IF(W$5=0,0,W$5/AGR_fec!W$5)</f>
        <v>2.3551378359442241</v>
      </c>
      <c r="X44" s="237">
        <f>IF(X$5=0,0,X$5/AGR_fec!X$5)</f>
        <v>2.4558824790069966</v>
      </c>
      <c r="Y44" s="237">
        <f>IF(Y$5=0,0,Y$5/AGR_fec!Y$5)</f>
        <v>2.5905096876600537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0.92611711933221175</v>
      </c>
      <c r="C48" s="252">
        <f>IF(C$9=0,0,C$9/AGR_fec!C$9)</f>
        <v>2.2351462571014413</v>
      </c>
      <c r="D48" s="252">
        <f>IF(D$9=0,0,D$9/AGR_fec!D$9)</f>
        <v>2.3495534788300061</v>
      </c>
      <c r="E48" s="252">
        <f>IF(E$9=0,0,E$9/AGR_fec!E$9)</f>
        <v>2.4009588756737097</v>
      </c>
      <c r="F48" s="252">
        <f>IF(F$9=0,0,F$9/AGR_fec!F$9)</f>
        <v>2.1376787663153718</v>
      </c>
      <c r="G48" s="252">
        <f>IF(G$9=0,0,G$9/AGR_fec!G$9)</f>
        <v>2.1247333730043523</v>
      </c>
      <c r="H48" s="252">
        <f>IF(H$9=0,0,H$9/AGR_fec!H$9)</f>
        <v>2.0275509069645841</v>
      </c>
      <c r="I48" s="252">
        <f>IF(I$9=0,0,I$9/AGR_fec!I$9)</f>
        <v>2.0940084296139734</v>
      </c>
      <c r="J48" s="252">
        <f>IF(J$9=0,0,J$9/AGR_fec!J$9)</f>
        <v>2.2064212086762054</v>
      </c>
      <c r="K48" s="252">
        <f>IF(K$9=0,0,K$9/AGR_fec!K$9)</f>
        <v>2.2914723335480427</v>
      </c>
      <c r="L48" s="252">
        <f>IF(L$9=0,0,L$9/AGR_fec!L$9)</f>
        <v>2.2342335298530771</v>
      </c>
      <c r="M48" s="252">
        <f>IF(M$9=0,0,M$9/AGR_fec!M$9)</f>
        <v>2.370503047238111</v>
      </c>
      <c r="N48" s="252">
        <f>IF(N$9=0,0,N$9/AGR_fec!N$9)</f>
        <v>2.3132112258194928</v>
      </c>
      <c r="O48" s="252">
        <f>IF(O$9=0,0,O$9/AGR_fec!O$9)</f>
        <v>2.4352508937072637</v>
      </c>
      <c r="P48" s="252">
        <f>IF(P$9=0,0,P$9/AGR_fec!P$9)</f>
        <v>2.5659624994847117</v>
      </c>
      <c r="Q48" s="252">
        <f>IF(Q$9=0,0,Q$9/AGR_fec!Q$9)</f>
        <v>2.5532962883091308</v>
      </c>
      <c r="R48" s="252">
        <f>IF(R$9=0,0,R$9/AGR_fec!R$9)</f>
        <v>2.3974217041100512</v>
      </c>
      <c r="S48" s="252">
        <f>IF(S$9=0,0,S$9/AGR_fec!S$9)</f>
        <v>2.3305662233770161</v>
      </c>
      <c r="T48" s="252">
        <f>IF(T$9=0,0,T$9/AGR_fec!T$9)</f>
        <v>2.6062743629119725</v>
      </c>
      <c r="U48" s="252">
        <f>IF(U$9=0,0,U$9/AGR_fec!U$9)</f>
        <v>2.6959009429651521</v>
      </c>
      <c r="V48" s="252">
        <f>IF(V$9=0,0,V$9/AGR_fec!V$9)</f>
        <v>2.683681457011283</v>
      </c>
      <c r="W48" s="252">
        <f>IF(W$9=0,0,W$9/AGR_fec!W$9)</f>
        <v>2.3439211097076722</v>
      </c>
      <c r="X48" s="252">
        <f>IF(X$9=0,0,X$9/AGR_fec!X$9)</f>
        <v>2.4823010411631672</v>
      </c>
      <c r="Y48" s="252">
        <f>IF(Y$9=0,0,Y$9/AGR_fec!Y$9)</f>
        <v>2.7004263442398906</v>
      </c>
      <c r="DA48" s="289"/>
    </row>
    <row r="49" spans="1:105" x14ac:dyDescent="0.25">
      <c r="A49" s="127" t="s">
        <v>168</v>
      </c>
      <c r="B49" s="264">
        <f>IF(B$16=0,0,B$16/AGR_fec!B$16)</f>
        <v>3.1024188000000019</v>
      </c>
      <c r="C49" s="264">
        <f>IF(C$16=0,0,C$16/AGR_fec!C$16)</f>
        <v>3.1024188000000006</v>
      </c>
      <c r="D49" s="264">
        <f>IF(D$16=0,0,D$16/AGR_fec!D$16)</f>
        <v>3.1024188000000001</v>
      </c>
      <c r="E49" s="264">
        <f>IF(E$16=0,0,E$16/AGR_fec!E$16)</f>
        <v>3.1024188000000006</v>
      </c>
      <c r="F49" s="264">
        <f>IF(F$16=0,0,F$16/AGR_fec!F$16)</f>
        <v>3.1024187999999997</v>
      </c>
      <c r="G49" s="264">
        <f>IF(G$16=0,0,G$16/AGR_fec!G$16)</f>
        <v>3.1024188000000001</v>
      </c>
      <c r="H49" s="264">
        <f>IF(H$16=0,0,H$16/AGR_fec!H$16)</f>
        <v>3.1024188000000001</v>
      </c>
      <c r="I49" s="264">
        <f>IF(I$16=0,0,I$16/AGR_fec!I$16)</f>
        <v>3.1024187999999993</v>
      </c>
      <c r="J49" s="264">
        <f>IF(J$16=0,0,J$16/AGR_fec!J$16)</f>
        <v>3.102418800000001</v>
      </c>
      <c r="K49" s="264">
        <f>IF(K$16=0,0,K$16/AGR_fec!K$16)</f>
        <v>3.102418800000001</v>
      </c>
      <c r="L49" s="264">
        <f>IF(L$16=0,0,L$16/AGR_fec!L$16)</f>
        <v>3.1024188000000001</v>
      </c>
      <c r="M49" s="264">
        <f>IF(M$16=0,0,M$16/AGR_fec!M$16)</f>
        <v>3.1024187999999997</v>
      </c>
      <c r="N49" s="264">
        <f>IF(N$16=0,0,N$16/AGR_fec!N$16)</f>
        <v>3.1024187999999997</v>
      </c>
      <c r="O49" s="264">
        <f>IF(O$16=0,0,O$16/AGR_fec!O$16)</f>
        <v>3.1024188000000006</v>
      </c>
      <c r="P49" s="264">
        <f>IF(P$16=0,0,P$16/AGR_fec!P$16)</f>
        <v>3.1024187999999997</v>
      </c>
      <c r="Q49" s="264">
        <f>IF(Q$16=0,0,Q$16/AGR_fec!Q$16)</f>
        <v>3.1024187999999993</v>
      </c>
      <c r="R49" s="264">
        <f>IF(R$16=0,0,R$16/AGR_fec!R$16)</f>
        <v>3.1024187999999993</v>
      </c>
      <c r="S49" s="264">
        <f>IF(S$16=0,0,S$16/AGR_fec!S$16)</f>
        <v>3.1024188000000001</v>
      </c>
      <c r="T49" s="264">
        <f>IF(T$16=0,0,T$16/AGR_fec!T$16)</f>
        <v>3.1024187999999993</v>
      </c>
      <c r="U49" s="264">
        <f>IF(U$16=0,0,U$16/AGR_fec!U$16)</f>
        <v>3.1024188000000006</v>
      </c>
      <c r="V49" s="264">
        <f>IF(V$16=0,0,V$16/AGR_fec!V$16)</f>
        <v>3.1024188000000006</v>
      </c>
      <c r="W49" s="264">
        <f>IF(W$16=0,0,W$16/AGR_fec!W$16)</f>
        <v>3.1024188000000001</v>
      </c>
      <c r="X49" s="264">
        <f>IF(X$16=0,0,X$16/AGR_fec!X$16)</f>
        <v>3.1024187999999997</v>
      </c>
      <c r="Y49" s="264">
        <f>IF(Y$16=0,0,Y$16/AGR_fec!Y$16)</f>
        <v>3.1024188000000001</v>
      </c>
      <c r="DA49" s="290"/>
    </row>
    <row r="50" spans="1:105" x14ac:dyDescent="0.25">
      <c r="A50" s="127" t="s">
        <v>121</v>
      </c>
      <c r="B50" s="264">
        <f>IF(B$17=0,0,B$17/AGR_fec!B$17)</f>
        <v>2.2421955742691431</v>
      </c>
      <c r="C50" s="264">
        <f>IF(C$17=0,0,C$17/AGR_fec!C$17)</f>
        <v>2.4448885261152942</v>
      </c>
      <c r="D50" s="264">
        <f>IF(D$17=0,0,D$17/AGR_fec!D$17)</f>
        <v>2.5091451033893564</v>
      </c>
      <c r="E50" s="264">
        <f>IF(E$17=0,0,E$17/AGR_fec!E$17)</f>
        <v>2.7017932645457394</v>
      </c>
      <c r="F50" s="264">
        <f>IF(F$17=0,0,F$17/AGR_fec!F$17)</f>
        <v>2.785514892299239</v>
      </c>
      <c r="G50" s="264">
        <f>IF(G$17=0,0,G$17/AGR_fec!G$17)</f>
        <v>2.6092426693155146</v>
      </c>
      <c r="H50" s="264">
        <f>IF(H$17=0,0,H$17/AGR_fec!H$17)</f>
        <v>2.1376216996514072</v>
      </c>
      <c r="I50" s="264">
        <f>IF(I$17=0,0,I$17/AGR_fec!I$17)</f>
        <v>2.7356518252831719</v>
      </c>
      <c r="J50" s="264">
        <f>IF(J$17=0,0,J$17/AGR_fec!J$17)</f>
        <v>2.6768488953763949</v>
      </c>
      <c r="K50" s="264">
        <f>IF(K$17=0,0,K$17/AGR_fec!K$17)</f>
        <v>2.5471092871211201</v>
      </c>
      <c r="L50" s="264">
        <f>IF(L$17=0,0,L$17/AGR_fec!L$17)</f>
        <v>2.5963345672019136</v>
      </c>
      <c r="M50" s="264">
        <f>IF(M$17=0,0,M$17/AGR_fec!M$17)</f>
        <v>2.7199093439348454</v>
      </c>
      <c r="N50" s="264">
        <f>IF(N$17=0,0,N$17/AGR_fec!N$17)</f>
        <v>2.8930598983930595</v>
      </c>
      <c r="O50" s="264">
        <f>IF(O$17=0,0,O$17/AGR_fec!O$17)</f>
        <v>2.6755283090440081</v>
      </c>
      <c r="P50" s="264">
        <f>IF(P$17=0,0,P$17/AGR_fec!P$17)</f>
        <v>2.6982036930605018</v>
      </c>
      <c r="Q50" s="264">
        <f>IF(Q$17=0,0,Q$17/AGR_fec!Q$17)</f>
        <v>2.7817863476048847</v>
      </c>
      <c r="R50" s="264">
        <f>IF(R$17=0,0,R$17/AGR_fec!R$17)</f>
        <v>2.8945314078912827</v>
      </c>
      <c r="S50" s="264">
        <f>IF(S$17=0,0,S$17/AGR_fec!S$17)</f>
        <v>2.7803691608396774</v>
      </c>
      <c r="T50" s="264">
        <f>IF(T$17=0,0,T$17/AGR_fec!T$17)</f>
        <v>2.7748375035755637</v>
      </c>
      <c r="U50" s="264">
        <f>IF(U$17=0,0,U$17/AGR_fec!U$17)</f>
        <v>2.7940125969110374</v>
      </c>
      <c r="V50" s="264">
        <f>IF(V$17=0,0,V$17/AGR_fec!V$17)</f>
        <v>2.7086033841839177</v>
      </c>
      <c r="W50" s="264">
        <f>IF(W$17=0,0,W$17/AGR_fec!W$17)</f>
        <v>2.5701354341327134</v>
      </c>
      <c r="X50" s="264">
        <f>IF(X$17=0,0,X$17/AGR_fec!X$17)</f>
        <v>2.6544015210718319</v>
      </c>
      <c r="Y50" s="264">
        <f>IF(Y$17=0,0,Y$17/AGR_fec!Y$17)</f>
        <v>2.9469069799486882</v>
      </c>
      <c r="DA50" s="290"/>
    </row>
    <row r="51" spans="1:105" x14ac:dyDescent="0.25">
      <c r="A51" s="127" t="s">
        <v>167</v>
      </c>
      <c r="B51" s="264">
        <f>IF(B$25=0,0,B$25/AGR_fec!B$25)</f>
        <v>3.102418800000001</v>
      </c>
      <c r="C51" s="264">
        <f>IF(C$25=0,0,C$25/AGR_fec!C$25)</f>
        <v>3.1024187999999997</v>
      </c>
      <c r="D51" s="264">
        <f>IF(D$25=0,0,D$25/AGR_fec!D$25)</f>
        <v>3.1024188000000006</v>
      </c>
      <c r="E51" s="264">
        <f>IF(E$25=0,0,E$25/AGR_fec!E$25)</f>
        <v>3.1024188000000001</v>
      </c>
      <c r="F51" s="264">
        <f>IF(F$25=0,0,F$25/AGR_fec!F$25)</f>
        <v>3.1024187999999997</v>
      </c>
      <c r="G51" s="264">
        <f>IF(G$25=0,0,G$25/AGR_fec!G$25)</f>
        <v>3.1024188000000006</v>
      </c>
      <c r="H51" s="264">
        <f>IF(H$25=0,0,H$25/AGR_fec!H$25)</f>
        <v>3.1024188000000001</v>
      </c>
      <c r="I51" s="264">
        <f>IF(I$25=0,0,I$25/AGR_fec!I$25)</f>
        <v>3.1024187999999988</v>
      </c>
      <c r="J51" s="264">
        <f>IF(J$25=0,0,J$25/AGR_fec!J$25)</f>
        <v>3.1024187999999997</v>
      </c>
      <c r="K51" s="264">
        <f>IF(K$25=0,0,K$25/AGR_fec!K$25)</f>
        <v>3.1024187999999993</v>
      </c>
      <c r="L51" s="264">
        <f>IF(L$25=0,0,L$25/AGR_fec!L$25)</f>
        <v>3.102418800000001</v>
      </c>
      <c r="M51" s="264">
        <f>IF(M$25=0,0,M$25/AGR_fec!M$25)</f>
        <v>3.1024188000000001</v>
      </c>
      <c r="N51" s="264">
        <f>IF(N$25=0,0,N$25/AGR_fec!N$25)</f>
        <v>3.1024188000000006</v>
      </c>
      <c r="O51" s="264">
        <f>IF(O$25=0,0,O$25/AGR_fec!O$25)</f>
        <v>3.1024188000000006</v>
      </c>
      <c r="P51" s="264">
        <f>IF(P$25=0,0,P$25/AGR_fec!P$25)</f>
        <v>3.102418800000001</v>
      </c>
      <c r="Q51" s="264">
        <f>IF(Q$25=0,0,Q$25/AGR_fec!Q$25)</f>
        <v>3.1024188000000006</v>
      </c>
      <c r="R51" s="264">
        <f>IF(R$25=0,0,R$25/AGR_fec!R$25)</f>
        <v>3.1024187999999997</v>
      </c>
      <c r="S51" s="264">
        <f>IF(S$25=0,0,S$25/AGR_fec!S$25)</f>
        <v>3.1024187999999997</v>
      </c>
      <c r="T51" s="264">
        <f>IF(T$25=0,0,T$25/AGR_fec!T$25)</f>
        <v>3.1024187999999997</v>
      </c>
      <c r="U51" s="264">
        <f>IF(U$25=0,0,U$25/AGR_fec!U$25)</f>
        <v>3.1024187999999988</v>
      </c>
      <c r="V51" s="264">
        <f>IF(V$25=0,0,V$25/AGR_fec!V$25)</f>
        <v>3.1024188000000001</v>
      </c>
      <c r="W51" s="264">
        <f>IF(W$25=0,0,W$25/AGR_fec!W$25)</f>
        <v>3.1024187999999993</v>
      </c>
      <c r="X51" s="264">
        <f>IF(X$25=0,0,X$25/AGR_fec!X$25)</f>
        <v>3.1024188000000001</v>
      </c>
      <c r="Y51" s="264">
        <f>IF(Y$25=0,0,Y$25/AGR_fec!Y$25)</f>
        <v>3.1024188000000001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2025-11-06T10:22:27Z</dcterms:created>
  <dcterms:modified xsi:type="dcterms:W3CDTF">2025-11-06T10:22:27Z</dcterms:modified>
</cp:coreProperties>
</file>