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EE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78" i="59" l="1"/>
  <c r="AA88" i="59"/>
  <c r="AA84" i="59"/>
  <c r="AA82" i="59"/>
  <c r="AA81" i="59"/>
  <c r="AA79" i="59"/>
  <c r="AA110" i="59"/>
  <c r="AA74" i="59"/>
  <c r="AA105" i="59"/>
  <c r="AA70" i="59"/>
  <c r="AA101" i="59"/>
  <c r="AA66" i="59"/>
  <c r="AA97" i="59"/>
  <c r="AA94" i="59"/>
  <c r="AA5" i="59"/>
  <c r="Z115" i="59"/>
  <c r="Z111" i="59"/>
  <c r="Z107" i="59"/>
  <c r="Z103" i="59"/>
  <c r="Z99" i="59"/>
  <c r="Y75" i="57"/>
  <c r="F75" i="57"/>
  <c r="T75" i="57"/>
  <c r="K75" i="57"/>
  <c r="J75" i="57"/>
  <c r="E75" i="57"/>
  <c r="L54" i="57"/>
  <c r="S54" i="57"/>
  <c r="P54" i="57"/>
  <c r="J54" i="57"/>
  <c r="U39" i="57"/>
  <c r="E39" i="57"/>
  <c r="O39" i="57"/>
  <c r="I39" i="57"/>
  <c r="H39" i="57"/>
  <c r="G16" i="57"/>
  <c r="S16" i="57"/>
  <c r="Q75" i="57"/>
  <c r="D75" i="57"/>
  <c r="U75" i="57"/>
  <c r="O75" i="57"/>
  <c r="R54" i="57"/>
  <c r="Q54" i="57"/>
  <c r="I54" i="57"/>
  <c r="Y16" i="57"/>
  <c r="O16" i="57"/>
  <c r="M16" i="57"/>
  <c r="E16" i="57" l="1"/>
  <c r="AA89" i="59"/>
  <c r="AA80" i="59"/>
  <c r="AA98" i="59"/>
  <c r="AA102" i="59"/>
  <c r="AA106" i="59"/>
  <c r="AA113" i="59"/>
  <c r="AA114" i="59"/>
  <c r="Z54" i="55"/>
  <c r="AA93" i="59"/>
  <c r="AA109" i="59"/>
  <c r="AA117" i="59"/>
  <c r="AA121" i="59"/>
  <c r="K54" i="57"/>
  <c r="F16" i="57"/>
  <c r="N16" i="57"/>
  <c r="V16" i="57"/>
  <c r="H16" i="57"/>
  <c r="P16" i="57"/>
  <c r="X16" i="57"/>
  <c r="J16" i="57"/>
  <c r="J39" i="57"/>
  <c r="R39" i="57"/>
  <c r="D39" i="57"/>
  <c r="L39" i="57"/>
  <c r="T39" i="57"/>
  <c r="F39" i="57"/>
  <c r="N39" i="57"/>
  <c r="V39" i="57"/>
  <c r="D54" i="57"/>
  <c r="T54" i="57"/>
  <c r="F54" i="57"/>
  <c r="N54" i="57"/>
  <c r="V54" i="57"/>
  <c r="H54" i="57"/>
  <c r="X54" i="57"/>
  <c r="V75" i="57"/>
  <c r="Q39" i="57"/>
  <c r="W16" i="57"/>
  <c r="I16" i="57"/>
  <c r="Q16" i="57"/>
  <c r="K16" i="57"/>
  <c r="U16" i="57"/>
  <c r="K39" i="57"/>
  <c r="S39" i="57"/>
  <c r="M39" i="57"/>
  <c r="G39" i="57"/>
  <c r="W39" i="57"/>
  <c r="Y39" i="57"/>
  <c r="E54" i="57"/>
  <c r="M54" i="57"/>
  <c r="U54" i="57"/>
  <c r="G54" i="57"/>
  <c r="O54" i="57"/>
  <c r="W54" i="57"/>
  <c r="Y54" i="57"/>
  <c r="G75" i="57"/>
  <c r="W75" i="57"/>
  <c r="I75" i="57"/>
  <c r="S75" i="57"/>
  <c r="M75" i="57"/>
  <c r="AA54" i="57"/>
  <c r="Z5" i="59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5" i="59" l="1"/>
  <c r="AA9" i="59"/>
  <c r="AA10" i="59" s="1"/>
  <c r="Z9" i="59"/>
  <c r="Z10" i="59" s="1"/>
  <c r="AA12" i="59"/>
  <c r="AA13" i="59" s="1"/>
  <c r="Z12" i="59"/>
  <c r="Z13" i="59" s="1"/>
  <c r="AA96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T1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4" i="4"/>
  <c r="B5" i="4"/>
  <c r="B7" i="4"/>
  <c r="B6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<sst xmlns="http://schemas.openxmlformats.org/spreadsheetml/2006/main" count="722" uniqueCount="281">
  <si>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</si>
  <si>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</si>
  <si>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</si>
  <si>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</si>
  <si>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</si>
  <si>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</si>
  <si>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</si>
  <si>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</si>
  <si>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</si>
  <si>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</si>
  <si>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</si>
  <si>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</si>
  <si>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</si>
  <si>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</si>
  <si>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</si>
  <si>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</si>
  <si>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</si>
  <si>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</si>
  <si>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</si>
  <si>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</si>
  <si>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</si>
  <si>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</si>
  <si>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</si>
  <si>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</si>
  <si>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</si>
  <si>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</si>
  <si>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</si>
  <si>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</si>
  <si>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</si>
  <si>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</si>
  <si>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</si>
  <si>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</si>
  <si>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</si>
  <si>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</si>
  <si>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</si>
  <si>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</si>
  <si>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</si>
  <si>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</si>
  <si>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</si>
  <si>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</si>
  <si>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</si>
  <si>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</si>
  <si>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</si>
  <si>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</si>
  <si>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</si>
  <si>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</si>
  <si>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</si>
  <si>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</si>
  <si>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</si>
  <si>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</si>
  <si>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</si>
  <si>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</si>
  <si>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</si>
  <si>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</si>
  <si>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</si>
  <si>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</si>
  <si>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</si>
  <si>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</si>
  <si>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</si>
  <si>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</si>
  <si>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</si>
  <si>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</si>
  <si>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</si>
  <si>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</si>
  <si>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</si>
  <si>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</si>
  <si>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</si>
  <si>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</si>
  <si>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</si>
  <si>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</si>
  <si>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</si>
  <si>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</si>
  <si>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</si>
  <si>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</si>
  <si>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</si>
  <si>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</si>
  <si>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</si>
  <si>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</si>
  <si>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</si>
  <si>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</si>
  <si>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</si>
  <si>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</si>
  <si>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</si>
  <si>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</si>
  <si>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</si>
  <si>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</si>
  <si>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</si>
  <si>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</si>
  <si>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</si>
  <si>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</si>
  <si>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</si>
  <si>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</si>
  <si>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</si>
  <si>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</si>
  <si>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</si>
  <si>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</si>
  <si>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</si>
  <si>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</si>
  <si>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</si>
  <si>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</si>
  <si>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</si>
  <si>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</si>
  <si>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</si>
  <si>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</si>
  <si>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</si>
  <si>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</si>
  <si>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</si>
  <si>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</si>
  <si>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</si>
  <si>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</si>
  <si>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</si>
  <si>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</si>
  <si>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</si>
  <si>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</si>
  <si>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</si>
  <si>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</si>
  <si>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</si>
  <si>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</si>
  <si>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</si>
  <si>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</si>
  <si>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</si>
  <si>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</si>
  <si>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</si>
  <si>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</si>
  <si>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</si>
  <si>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</si>
  <si>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</si>
  <si>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</si>
  <si>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</si>
  <si>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</si>
  <si>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</si>
  <si>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</si>
  <si>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</si>
  <si>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</si>
  <si>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</si>
  <si>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</si>
  <si>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</si>
  <si>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</si>
  <si>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</si>
  <si>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</si>
  <si>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</si>
  <si>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</si>
  <si>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</si>
  <si>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</si>
  <si>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</si>
  <si>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</si>
  <si>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</si>
  <si>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</si>
  <si>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</si>
  <si>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</si>
  <si>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</si>
  <si>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</si>
  <si>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</si>
  <si>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</si>
  <si>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</si>
  <si>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</si>
  <si>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</si>
  <si>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</si>
  <si>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</si>
  <si>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</si>
  <si>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</si>
  <si>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</si>
  <si>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</si>
  <si>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</si>
  <si>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</si>
  <si>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</si>
  <si>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</si>
  <si>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</si>
  <si>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</si>
  <si>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</si>
  <si>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</si>
  <si>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</si>
  <si>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</si>
  <si>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</si>
  <si>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</si>
  <si>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</si>
  <si>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</si>
  <si>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</si>
  <si>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</si>
  <si>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</si>
  <si>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</si>
  <si>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</si>
  <si>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</si>
  <si>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</si>
  <si>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</si>
  <si>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</si>
  <si>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</si>
  <si>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</si>
  <si>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</si>
  <si>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</si>
  <si>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</si>
  <si>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</si>
  <si>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</si>
  <si>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</si>
  <si>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</si>
  <si>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</si>
  <si>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</si>
  <si>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</si>
  <si>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</si>
  <si>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</si>
  <si>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</si>
  <si>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</si>
  <si>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</si>
  <si>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</si>
  <si>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</si>
  <si>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</si>
  <si>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</si>
  <si>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</si>
  <si>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</si>
  <si>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</si>
  <si>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</si>
  <si>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</si>
  <si>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</si>
  <si>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</si>
  <si>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</si>
  <si>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</si>
  <si>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</si>
  <si>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</si>
  <si>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</si>
  <si>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</si>
  <si>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</si>
  <si>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</si>
  <si>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</si>
  <si>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</si>
  <si>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</si>
  <si>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</si>
  <si>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</si>
  <si>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</si>
  <si>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</si>
  <si>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</si>
  <si>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</si>
  <si>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</si>
  <si>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</si>
  <si>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</si>
  <si>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</si>
  <si>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</si>
  <si>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</si>
  <si>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</si>
  <si>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</si>
  <si>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</si>
  <si>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</si>
  <si>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</si>
  <si>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</si>
  <si>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</si>
  <si>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</si>
  <si>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</si>
  <si>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</si>
  <si>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</si>
  <si>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</si>
  <si>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</si>
  <si>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</si>
  <si>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</si>
  <si>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</si>
  <si>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</si>
  <si>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</si>
  <si>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</si>
  <si>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</si>
  <si>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</si>
  <si>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</si>
  <si>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</si>
  <si>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</si>
  <si>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</si>
  <si>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</si>
  <si>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</si>
  <si>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</si>
  <si>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</si>
  <si>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</si>
  <si>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</si>
  <si>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</si>
  <si>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</si>
  <si>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</si>
  <si>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</si>
  <si>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</si>
  <si>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</si>
  <si>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</si>
  <si>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</si>
  <si>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</si>
  <si>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</si>
  <si>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</si>
  <si>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EE</t>
  </si>
  <si>
    <t>Estonia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</si>
</sst>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45967.473749999997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6171.6</v>
      </c>
      <c r="E2" s="19">
        <v>6982.1</v>
      </c>
      <c r="F2" s="19">
        <v>7824.9</v>
      </c>
      <c r="G2" s="19">
        <v>8746.7000000000007</v>
      </c>
      <c r="H2" s="19">
        <v>9779.6</v>
      </c>
      <c r="I2" s="19">
        <v>11345.4</v>
      </c>
      <c r="J2" s="19">
        <v>13571.2</v>
      </c>
      <c r="K2" s="19">
        <v>16402.2</v>
      </c>
      <c r="L2" s="19">
        <v>16618.900000000001</v>
      </c>
      <c r="M2" s="19">
        <v>14132.5</v>
      </c>
      <c r="N2" s="19">
        <v>14741.8</v>
      </c>
      <c r="O2" s="19">
        <v>16741.900000000001</v>
      </c>
      <c r="P2" s="19">
        <v>18086.599999999999</v>
      </c>
      <c r="Q2" s="19">
        <v>19163.2</v>
      </c>
      <c r="R2" s="19">
        <v>20365.599999999999</v>
      </c>
      <c r="S2" s="19">
        <v>21010.9</v>
      </c>
      <c r="T2" s="19">
        <v>22189</v>
      </c>
      <c r="U2" s="19">
        <v>24316.1</v>
      </c>
      <c r="V2" s="19">
        <v>26438.5</v>
      </c>
      <c r="W2" s="19">
        <v>28472.1</v>
      </c>
      <c r="X2" s="19">
        <v>27859.3</v>
      </c>
      <c r="Y2" s="19">
        <v>31453.3</v>
      </c>
      <c r="Z2" s="19">
        <v>36300.9</v>
      </c>
      <c r="AA2" s="19">
        <v>38353.4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3357.4</v>
      </c>
      <c r="E3" s="23">
        <v>3827.7</v>
      </c>
      <c r="F3" s="23">
        <v>4336.1000000000004</v>
      </c>
      <c r="G3" s="23">
        <v>4833.1000000000004</v>
      </c>
      <c r="H3" s="23">
        <v>5419</v>
      </c>
      <c r="I3" s="23">
        <v>6166.3</v>
      </c>
      <c r="J3" s="23">
        <v>7345.9</v>
      </c>
      <c r="K3" s="23">
        <v>8595.2000000000007</v>
      </c>
      <c r="L3" s="23">
        <v>8859.2000000000007</v>
      </c>
      <c r="M3" s="23">
        <v>7538.2</v>
      </c>
      <c r="N3" s="23">
        <v>7728.5</v>
      </c>
      <c r="O3" s="23">
        <v>8444.4</v>
      </c>
      <c r="P3" s="23">
        <v>9269.2999999999993</v>
      </c>
      <c r="Q3" s="23">
        <v>9979.4</v>
      </c>
      <c r="R3" s="23">
        <v>10465.9</v>
      </c>
      <c r="S3" s="23">
        <v>10980.8</v>
      </c>
      <c r="T3" s="23">
        <v>11631.2</v>
      </c>
      <c r="U3" s="23">
        <v>12449.5</v>
      </c>
      <c r="V3" s="23">
        <v>13498.9</v>
      </c>
      <c r="W3" s="23">
        <v>14475.5</v>
      </c>
      <c r="X3" s="23">
        <v>14156.3</v>
      </c>
      <c r="Y3" s="23">
        <v>15843.3</v>
      </c>
      <c r="Z3" s="23">
        <v>19164.8</v>
      </c>
      <c r="AA3" s="23">
        <v>20565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5512.9</v>
      </c>
      <c r="E4" s="27">
        <v>6232</v>
      </c>
      <c r="F4" s="27">
        <v>6964.8</v>
      </c>
      <c r="G4" s="27">
        <v>7809.9</v>
      </c>
      <c r="H4" s="27">
        <v>8666.7999999999993</v>
      </c>
      <c r="I4" s="27">
        <v>10054.9</v>
      </c>
      <c r="J4" s="27">
        <v>11937.5</v>
      </c>
      <c r="K4" s="27">
        <v>14406.6</v>
      </c>
      <c r="L4" s="27">
        <v>14805.2</v>
      </c>
      <c r="M4" s="27">
        <v>12238.4</v>
      </c>
      <c r="N4" s="27">
        <v>12844.4</v>
      </c>
      <c r="O4" s="27">
        <v>14643</v>
      </c>
      <c r="P4" s="27">
        <v>15754.5</v>
      </c>
      <c r="Q4" s="27">
        <v>16755.8</v>
      </c>
      <c r="R4" s="27">
        <v>17742.7</v>
      </c>
      <c r="S4" s="27">
        <v>18203.7</v>
      </c>
      <c r="T4" s="27">
        <v>19112.3</v>
      </c>
      <c r="U4" s="27">
        <v>21075.599999999999</v>
      </c>
      <c r="V4" s="27">
        <v>22991.8</v>
      </c>
      <c r="W4" s="27">
        <v>24742.400000000001</v>
      </c>
      <c r="X4" s="27">
        <v>24419.9</v>
      </c>
      <c r="Y4" s="27">
        <v>27518.9</v>
      </c>
      <c r="Z4" s="27">
        <v>32031.200000000001</v>
      </c>
      <c r="AA4" s="27">
        <v>33826.5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239.8</v>
      </c>
      <c r="E6" s="19">
        <v>244.1</v>
      </c>
      <c r="F6" s="19">
        <v>278</v>
      </c>
      <c r="G6" s="19">
        <v>302.60000000000002</v>
      </c>
      <c r="H6" s="19">
        <v>353.9</v>
      </c>
      <c r="I6" s="19">
        <v>372.9</v>
      </c>
      <c r="J6" s="19">
        <v>426.7</v>
      </c>
      <c r="K6" s="19">
        <v>643.79999999999995</v>
      </c>
      <c r="L6" s="19">
        <v>565.29999999999995</v>
      </c>
      <c r="M6" s="19">
        <v>349.2</v>
      </c>
      <c r="N6" s="19">
        <v>467.5</v>
      </c>
      <c r="O6" s="19">
        <v>613.70000000000005</v>
      </c>
      <c r="P6" s="19">
        <v>594</v>
      </c>
      <c r="Q6" s="19">
        <v>584</v>
      </c>
      <c r="R6" s="19">
        <v>634.4</v>
      </c>
      <c r="S6" s="19">
        <v>589.70000000000005</v>
      </c>
      <c r="T6" s="19">
        <v>459.7</v>
      </c>
      <c r="U6" s="19">
        <v>568.70000000000005</v>
      </c>
      <c r="V6" s="19">
        <v>541.79999999999995</v>
      </c>
      <c r="W6" s="19">
        <v>645.1</v>
      </c>
      <c r="X6" s="19">
        <v>538.20000000000005</v>
      </c>
      <c r="Y6" s="19">
        <v>611.29999999999995</v>
      </c>
      <c r="Z6" s="19">
        <v>888.1</v>
      </c>
      <c r="AA6" s="19">
        <v>658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1208.5</v>
      </c>
      <c r="E7" s="23">
        <v>1404.1</v>
      </c>
      <c r="F7" s="23">
        <v>1558.2</v>
      </c>
      <c r="G7" s="23">
        <v>1768.8</v>
      </c>
      <c r="H7" s="23">
        <v>1882.2</v>
      </c>
      <c r="I7" s="23">
        <v>2124.3000000000002</v>
      </c>
      <c r="J7" s="23">
        <v>2488.9</v>
      </c>
      <c r="K7" s="23">
        <v>2887.5</v>
      </c>
      <c r="L7" s="23">
        <v>2923.8</v>
      </c>
      <c r="M7" s="23">
        <v>2420.5</v>
      </c>
      <c r="N7" s="23">
        <v>2792.7</v>
      </c>
      <c r="O7" s="23">
        <v>3234.8</v>
      </c>
      <c r="P7" s="23">
        <v>3300.6</v>
      </c>
      <c r="Q7" s="23">
        <v>3565.5</v>
      </c>
      <c r="R7" s="23">
        <v>3830.3</v>
      </c>
      <c r="S7" s="23">
        <v>3758.3</v>
      </c>
      <c r="T7" s="23">
        <v>3925.9</v>
      </c>
      <c r="U7" s="23">
        <v>4257</v>
      </c>
      <c r="V7" s="23">
        <v>4595.3999999999996</v>
      </c>
      <c r="W7" s="23">
        <v>4660.3999999999996</v>
      </c>
      <c r="X7" s="23">
        <v>4390.3</v>
      </c>
      <c r="Y7" s="23">
        <v>5370.9</v>
      </c>
      <c r="Z7" s="23">
        <v>6318.7</v>
      </c>
      <c r="AA7" s="23">
        <v>5992.1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327.10000000000002</v>
      </c>
      <c r="E8" s="23">
        <v>367.9</v>
      </c>
      <c r="F8" s="23">
        <v>435.8</v>
      </c>
      <c r="G8" s="23">
        <v>514.6</v>
      </c>
      <c r="H8" s="23">
        <v>604.4</v>
      </c>
      <c r="I8" s="23">
        <v>854.5</v>
      </c>
      <c r="J8" s="23">
        <v>1167.5999999999999</v>
      </c>
      <c r="K8" s="23">
        <v>1515.2</v>
      </c>
      <c r="L8" s="23">
        <v>1419</v>
      </c>
      <c r="M8" s="23">
        <v>869</v>
      </c>
      <c r="N8" s="23">
        <v>750.4</v>
      </c>
      <c r="O8" s="23">
        <v>1008.7</v>
      </c>
      <c r="P8" s="23">
        <v>1154.4000000000001</v>
      </c>
      <c r="Q8" s="23">
        <v>1163.5999999999999</v>
      </c>
      <c r="R8" s="23">
        <v>1079.0999999999999</v>
      </c>
      <c r="S8" s="23">
        <v>1098.5</v>
      </c>
      <c r="T8" s="23">
        <v>1229.5</v>
      </c>
      <c r="U8" s="23">
        <v>1379.7</v>
      </c>
      <c r="V8" s="23">
        <v>1561.8</v>
      </c>
      <c r="W8" s="23">
        <v>1692.7</v>
      </c>
      <c r="X8" s="23">
        <v>1675.1</v>
      </c>
      <c r="Y8" s="23">
        <v>1810.2</v>
      </c>
      <c r="Z8" s="23">
        <v>2063.5</v>
      </c>
      <c r="AA8" s="23">
        <v>2194.6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1373.9</v>
      </c>
      <c r="E9" s="23">
        <v>1568.2</v>
      </c>
      <c r="F9" s="23">
        <v>1747.5</v>
      </c>
      <c r="G9" s="23">
        <v>1977.1</v>
      </c>
      <c r="H9" s="23">
        <v>2198.5</v>
      </c>
      <c r="I9" s="23">
        <v>2476.9</v>
      </c>
      <c r="J9" s="23">
        <v>2937.7</v>
      </c>
      <c r="K9" s="23">
        <v>3356.9</v>
      </c>
      <c r="L9" s="23">
        <v>3312.2</v>
      </c>
      <c r="M9" s="23">
        <v>2636.5</v>
      </c>
      <c r="N9" s="23">
        <v>2880.8</v>
      </c>
      <c r="O9" s="23">
        <v>3333.8</v>
      </c>
      <c r="P9" s="23">
        <v>3648.9</v>
      </c>
      <c r="Q9" s="23">
        <v>3846.6</v>
      </c>
      <c r="R9" s="23">
        <v>4112.2</v>
      </c>
      <c r="S9" s="23">
        <v>4045.3</v>
      </c>
      <c r="T9" s="23">
        <v>4249.1000000000004</v>
      </c>
      <c r="U9" s="23">
        <v>4641.3999999999996</v>
      </c>
      <c r="V9" s="23">
        <v>5055.6000000000004</v>
      </c>
      <c r="W9" s="23">
        <v>5391.5</v>
      </c>
      <c r="X9" s="23">
        <v>4984.5</v>
      </c>
      <c r="Y9" s="23">
        <v>5584.3</v>
      </c>
      <c r="Z9" s="23">
        <v>6314.8</v>
      </c>
      <c r="AA9" s="23">
        <v>6321.4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287.2</v>
      </c>
      <c r="E10" s="23">
        <v>309.2</v>
      </c>
      <c r="F10" s="23">
        <v>345.9</v>
      </c>
      <c r="G10" s="23">
        <v>387.5</v>
      </c>
      <c r="H10" s="23">
        <v>424</v>
      </c>
      <c r="I10" s="23">
        <v>468.4</v>
      </c>
      <c r="J10" s="23">
        <v>543.29999999999995</v>
      </c>
      <c r="K10" s="23">
        <v>654.6</v>
      </c>
      <c r="L10" s="23">
        <v>733.3</v>
      </c>
      <c r="M10" s="23">
        <v>680.3</v>
      </c>
      <c r="N10" s="23">
        <v>681.1</v>
      </c>
      <c r="O10" s="23">
        <v>739.5</v>
      </c>
      <c r="P10" s="23">
        <v>804.6</v>
      </c>
      <c r="Q10" s="23">
        <v>849</v>
      </c>
      <c r="R10" s="23">
        <v>906</v>
      </c>
      <c r="S10" s="23">
        <v>978.2</v>
      </c>
      <c r="T10" s="23">
        <v>1056.3</v>
      </c>
      <c r="U10" s="23">
        <v>1189.0999999999999</v>
      </c>
      <c r="V10" s="23">
        <v>1402.4</v>
      </c>
      <c r="W10" s="23">
        <v>1624.6</v>
      </c>
      <c r="X10" s="23">
        <v>1818.3</v>
      </c>
      <c r="Y10" s="23">
        <v>1885.7</v>
      </c>
      <c r="Z10" s="23">
        <v>2404.1</v>
      </c>
      <c r="AA10" s="23">
        <v>3077.3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234.8</v>
      </c>
      <c r="E11" s="23">
        <v>257.2</v>
      </c>
      <c r="F11" s="23">
        <v>310.89999999999998</v>
      </c>
      <c r="G11" s="23">
        <v>294.7</v>
      </c>
      <c r="H11" s="23">
        <v>336</v>
      </c>
      <c r="I11" s="23">
        <v>412.4</v>
      </c>
      <c r="J11" s="23">
        <v>505.9</v>
      </c>
      <c r="K11" s="23">
        <v>700.7</v>
      </c>
      <c r="L11" s="23">
        <v>793.7</v>
      </c>
      <c r="M11" s="23">
        <v>558.4</v>
      </c>
      <c r="N11" s="23">
        <v>649.4</v>
      </c>
      <c r="O11" s="23">
        <v>663.7</v>
      </c>
      <c r="P11" s="23">
        <v>699.9</v>
      </c>
      <c r="Q11" s="23">
        <v>670.5</v>
      </c>
      <c r="R11" s="23">
        <v>716</v>
      </c>
      <c r="S11" s="23">
        <v>779.1</v>
      </c>
      <c r="T11" s="23">
        <v>794.9</v>
      </c>
      <c r="U11" s="23">
        <v>861</v>
      </c>
      <c r="V11" s="23">
        <v>948.2</v>
      </c>
      <c r="W11" s="23">
        <v>1080.0999999999999</v>
      </c>
      <c r="X11" s="23">
        <v>1188.8</v>
      </c>
      <c r="Y11" s="23">
        <v>1264.8</v>
      </c>
      <c r="Z11" s="23">
        <v>1467.2</v>
      </c>
      <c r="AA11" s="23">
        <v>2048.9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626.4</v>
      </c>
      <c r="E12" s="23">
        <v>714.5</v>
      </c>
      <c r="F12" s="23">
        <v>741</v>
      </c>
      <c r="G12" s="23">
        <v>778.7</v>
      </c>
      <c r="H12" s="23">
        <v>839.7</v>
      </c>
      <c r="I12" s="23">
        <v>967.3</v>
      </c>
      <c r="J12" s="23">
        <v>1125.5999999999999</v>
      </c>
      <c r="K12" s="23">
        <v>1306.7</v>
      </c>
      <c r="L12" s="23">
        <v>1364.4</v>
      </c>
      <c r="M12" s="23">
        <v>1287.5</v>
      </c>
      <c r="N12" s="23">
        <v>1221.0999999999999</v>
      </c>
      <c r="O12" s="23">
        <v>1375.9</v>
      </c>
      <c r="P12" s="23">
        <v>1632.7</v>
      </c>
      <c r="Q12" s="23">
        <v>1844.7</v>
      </c>
      <c r="R12" s="23">
        <v>1975</v>
      </c>
      <c r="S12" s="23">
        <v>2202.9</v>
      </c>
      <c r="T12" s="23">
        <v>2374.1</v>
      </c>
      <c r="U12" s="23">
        <v>2637</v>
      </c>
      <c r="V12" s="23">
        <v>2757.2</v>
      </c>
      <c r="W12" s="23">
        <v>2972.7</v>
      </c>
      <c r="X12" s="23">
        <v>2892.2</v>
      </c>
      <c r="Y12" s="23">
        <v>3178.3</v>
      </c>
      <c r="Z12" s="23">
        <v>3740.4</v>
      </c>
      <c r="AA12" s="23">
        <v>3567.7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264.60000000000002</v>
      </c>
      <c r="E13" s="23">
        <v>324.39999999999998</v>
      </c>
      <c r="F13" s="23">
        <v>386.9</v>
      </c>
      <c r="G13" s="23">
        <v>494.8</v>
      </c>
      <c r="H13" s="23">
        <v>597.20000000000005</v>
      </c>
      <c r="I13" s="23">
        <v>750</v>
      </c>
      <c r="J13" s="23">
        <v>906</v>
      </c>
      <c r="K13" s="23">
        <v>1108.5999999999999</v>
      </c>
      <c r="L13" s="23">
        <v>1189.8</v>
      </c>
      <c r="M13" s="23">
        <v>1075</v>
      </c>
      <c r="N13" s="23">
        <v>1109.5</v>
      </c>
      <c r="O13" s="23">
        <v>1239</v>
      </c>
      <c r="P13" s="23">
        <v>1354.4</v>
      </c>
      <c r="Q13" s="23">
        <v>1435.4</v>
      </c>
      <c r="R13" s="23">
        <v>1498.3</v>
      </c>
      <c r="S13" s="23">
        <v>1539.6</v>
      </c>
      <c r="T13" s="23">
        <v>1635.5</v>
      </c>
      <c r="U13" s="23">
        <v>1860.9</v>
      </c>
      <c r="V13" s="23">
        <v>2098.9</v>
      </c>
      <c r="W13" s="23">
        <v>2275.3000000000002</v>
      </c>
      <c r="X13" s="23">
        <v>2266.3000000000002</v>
      </c>
      <c r="Y13" s="23">
        <v>2707</v>
      </c>
      <c r="Z13" s="23">
        <v>3091.4</v>
      </c>
      <c r="AA13" s="23">
        <v>3389.1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804.79999999999927</v>
      </c>
      <c r="E14" s="23">
        <v>876.00000000000091</v>
      </c>
      <c r="F14" s="23">
        <v>966.20000000000164</v>
      </c>
      <c r="G14" s="23">
        <v>1071.0999999999995</v>
      </c>
      <c r="H14" s="23">
        <v>1183.1999999999998</v>
      </c>
      <c r="I14" s="23">
        <v>1342.6999999999989</v>
      </c>
      <c r="J14" s="23">
        <v>1506.9000000000015</v>
      </c>
      <c r="K14" s="23">
        <v>1846.7999999999993</v>
      </c>
      <c r="L14" s="23">
        <v>2153.3000000000029</v>
      </c>
      <c r="M14" s="23">
        <v>2062.7999999999993</v>
      </c>
      <c r="N14" s="23">
        <v>2002.3999999999996</v>
      </c>
      <c r="O14" s="23">
        <v>2118.5</v>
      </c>
      <c r="P14" s="23">
        <v>2213.3999999999996</v>
      </c>
      <c r="Q14" s="23">
        <v>2401.3999999999978</v>
      </c>
      <c r="R14" s="23">
        <v>2563.7000000000007</v>
      </c>
      <c r="S14" s="23">
        <v>2762.1000000000004</v>
      </c>
      <c r="T14" s="23">
        <v>2911.8999999999996</v>
      </c>
      <c r="U14" s="23">
        <v>3151.0999999999985</v>
      </c>
      <c r="V14" s="23">
        <v>3438.8999999999978</v>
      </c>
      <c r="W14" s="23">
        <v>3757.0999999999985</v>
      </c>
      <c r="X14" s="23">
        <v>4031.2000000000044</v>
      </c>
      <c r="Y14" s="23">
        <v>4387.4000000000015</v>
      </c>
      <c r="Z14" s="23">
        <v>4848</v>
      </c>
      <c r="AA14" s="23">
        <v>5622.4999999999964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145.80000000000001</v>
      </c>
      <c r="E15" s="23">
        <v>166.4</v>
      </c>
      <c r="F15" s="23">
        <v>194.4</v>
      </c>
      <c r="G15" s="23">
        <v>220</v>
      </c>
      <c r="H15" s="23">
        <v>247.7</v>
      </c>
      <c r="I15" s="23">
        <v>285.5</v>
      </c>
      <c r="J15" s="23">
        <v>328.9</v>
      </c>
      <c r="K15" s="23">
        <v>385.8</v>
      </c>
      <c r="L15" s="23">
        <v>350.4</v>
      </c>
      <c r="M15" s="23">
        <v>299.2</v>
      </c>
      <c r="N15" s="23">
        <v>289.5</v>
      </c>
      <c r="O15" s="23">
        <v>315.39999999999998</v>
      </c>
      <c r="P15" s="23">
        <v>351.6</v>
      </c>
      <c r="Q15" s="23">
        <v>395.1</v>
      </c>
      <c r="R15" s="23">
        <v>427.7</v>
      </c>
      <c r="S15" s="23">
        <v>450</v>
      </c>
      <c r="T15" s="23">
        <v>475.4</v>
      </c>
      <c r="U15" s="23">
        <v>529.70000000000005</v>
      </c>
      <c r="V15" s="23">
        <v>591.6</v>
      </c>
      <c r="W15" s="23">
        <v>642.9</v>
      </c>
      <c r="X15" s="23">
        <v>635</v>
      </c>
      <c r="Y15" s="23">
        <v>719</v>
      </c>
      <c r="Z15" s="23">
        <v>895</v>
      </c>
      <c r="AA15" s="23">
        <v>954.9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5512.9</v>
      </c>
      <c r="E16" s="30">
        <f t="shared" ref="E16:Y16" si="0">SUM(E6:E15)</f>
        <v>6232</v>
      </c>
      <c r="F16" s="30">
        <f t="shared" si="0"/>
        <v>6964.8</v>
      </c>
      <c r="G16" s="30">
        <f t="shared" si="0"/>
        <v>7809.9</v>
      </c>
      <c r="H16" s="30">
        <f t="shared" si="0"/>
        <v>8666.7999999999993</v>
      </c>
      <c r="I16" s="30">
        <f t="shared" si="0"/>
        <v>10054.9</v>
      </c>
      <c r="J16" s="30">
        <f t="shared" si="0"/>
        <v>11937.5</v>
      </c>
      <c r="K16" s="30">
        <f t="shared" si="0"/>
        <v>14406.6</v>
      </c>
      <c r="L16" s="30">
        <f t="shared" si="0"/>
        <v>14805.2</v>
      </c>
      <c r="M16" s="30">
        <f t="shared" si="0"/>
        <v>12238.4</v>
      </c>
      <c r="N16" s="30">
        <f t="shared" si="0"/>
        <v>12844.4</v>
      </c>
      <c r="O16" s="30">
        <f t="shared" si="0"/>
        <v>14643</v>
      </c>
      <c r="P16" s="30">
        <f t="shared" si="0"/>
        <v>15754.5</v>
      </c>
      <c r="Q16" s="30">
        <f t="shared" si="0"/>
        <v>16755.8</v>
      </c>
      <c r="R16" s="30">
        <f t="shared" si="0"/>
        <v>17742.7</v>
      </c>
      <c r="S16" s="30">
        <f t="shared" si="0"/>
        <v>18203.7</v>
      </c>
      <c r="T16" s="30">
        <f t="shared" si="0"/>
        <v>19112.300000000003</v>
      </c>
      <c r="U16" s="30">
        <f t="shared" si="0"/>
        <v>21075.599999999999</v>
      </c>
      <c r="V16" s="30">
        <f t="shared" si="0"/>
        <v>22991.8</v>
      </c>
      <c r="W16" s="30">
        <f t="shared" si="0"/>
        <v>24742.400000000001</v>
      </c>
      <c r="X16" s="30">
        <f t="shared" si="0"/>
        <v>24419.9</v>
      </c>
      <c r="Y16" s="30">
        <f t="shared" si="0"/>
        <v>27518.9</v>
      </c>
      <c r="Z16" s="30">
        <f t="shared" ref="Z16:AA16" si="1">SUM(Z6:Z15)</f>
        <v>32031.200000000001</v>
      </c>
      <c r="AA16" s="30">
        <f t="shared" si="1"/>
        <v>33826.5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239.8</v>
      </c>
      <c r="E18" s="19">
        <v>244.1</v>
      </c>
      <c r="F18" s="19">
        <v>278</v>
      </c>
      <c r="G18" s="19">
        <v>302.60000000000002</v>
      </c>
      <c r="H18" s="19">
        <v>353.9</v>
      </c>
      <c r="I18" s="19">
        <v>372.9</v>
      </c>
      <c r="J18" s="19">
        <v>426.7</v>
      </c>
      <c r="K18" s="19">
        <v>643.79999999999995</v>
      </c>
      <c r="L18" s="19">
        <v>565.29999999999995</v>
      </c>
      <c r="M18" s="19">
        <v>349.2</v>
      </c>
      <c r="N18" s="19">
        <v>467.5</v>
      </c>
      <c r="O18" s="19">
        <v>613.70000000000005</v>
      </c>
      <c r="P18" s="19">
        <v>594</v>
      </c>
      <c r="Q18" s="19">
        <v>584</v>
      </c>
      <c r="R18" s="19">
        <v>634.4</v>
      </c>
      <c r="S18" s="19">
        <v>589.70000000000005</v>
      </c>
      <c r="T18" s="19">
        <v>459.7</v>
      </c>
      <c r="U18" s="19">
        <v>568.70000000000005</v>
      </c>
      <c r="V18" s="19">
        <v>541.79999999999995</v>
      </c>
      <c r="W18" s="19">
        <v>645.1</v>
      </c>
      <c r="X18" s="19">
        <v>538.20000000000005</v>
      </c>
      <c r="Y18" s="19">
        <v>611.29999999999995</v>
      </c>
      <c r="Z18" s="19">
        <v>888.1</v>
      </c>
      <c r="AA18" s="19">
        <v>658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65.274291338582671</v>
      </c>
      <c r="E19" s="23">
        <v>71.999999999999957</v>
      </c>
      <c r="F19" s="23">
        <v>78.423600240818772</v>
      </c>
      <c r="G19" s="23">
        <v>87.6</v>
      </c>
      <c r="H19" s="23">
        <v>91.52161587526578</v>
      </c>
      <c r="I19" s="23">
        <v>95.000000000000028</v>
      </c>
      <c r="J19" s="23">
        <v>114.90000000000002</v>
      </c>
      <c r="K19" s="23">
        <v>152.89999999999998</v>
      </c>
      <c r="L19" s="23">
        <v>145.40000000000006</v>
      </c>
      <c r="M19" s="23">
        <v>151.80000000000001</v>
      </c>
      <c r="N19" s="23">
        <v>179.39999999999995</v>
      </c>
      <c r="O19" s="23">
        <v>204.00000000000006</v>
      </c>
      <c r="P19" s="23">
        <v>203.47426656550323</v>
      </c>
      <c r="Q19" s="23">
        <v>255.19999999999996</v>
      </c>
      <c r="R19" s="23">
        <v>270.60000000000002</v>
      </c>
      <c r="S19" s="23">
        <v>247.9</v>
      </c>
      <c r="T19" s="23">
        <v>204.22254360786047</v>
      </c>
      <c r="U19" s="23">
        <v>255.7</v>
      </c>
      <c r="V19" s="23">
        <v>244.59999999999988</v>
      </c>
      <c r="W19" s="23">
        <v>220.52220543806635</v>
      </c>
      <c r="X19" s="23">
        <v>166.68110834088853</v>
      </c>
      <c r="Y19" s="23">
        <v>147.39999999999998</v>
      </c>
      <c r="Z19" s="23">
        <v>181.59999999999994</v>
      </c>
      <c r="AA19" s="23">
        <v>186.81156584731607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954.6</v>
      </c>
      <c r="E20" s="23">
        <v>1121.4000000000001</v>
      </c>
      <c r="F20" s="23">
        <v>1225.9000000000001</v>
      </c>
      <c r="G20" s="23">
        <v>1377</v>
      </c>
      <c r="H20" s="23">
        <v>1458.8</v>
      </c>
      <c r="I20" s="23">
        <v>1663.7</v>
      </c>
      <c r="J20" s="23">
        <v>1963.2</v>
      </c>
      <c r="K20" s="23">
        <v>2274.9</v>
      </c>
      <c r="L20" s="23">
        <v>2284.1</v>
      </c>
      <c r="M20" s="23">
        <v>1736.8</v>
      </c>
      <c r="N20" s="23">
        <v>2026.8</v>
      </c>
      <c r="O20" s="23">
        <v>2436.4</v>
      </c>
      <c r="P20" s="23">
        <v>2509.9</v>
      </c>
      <c r="Q20" s="23">
        <v>2597.4</v>
      </c>
      <c r="R20" s="23">
        <v>2843.3</v>
      </c>
      <c r="S20" s="23">
        <v>2869</v>
      </c>
      <c r="T20" s="23">
        <v>3020</v>
      </c>
      <c r="U20" s="23">
        <v>3244</v>
      </c>
      <c r="V20" s="23">
        <v>3493.5</v>
      </c>
      <c r="W20" s="23">
        <v>3667.3</v>
      </c>
      <c r="X20" s="23">
        <v>3508</v>
      </c>
      <c r="Y20" s="23">
        <v>4098.7</v>
      </c>
      <c r="Z20" s="23">
        <v>4354.6000000000004</v>
      </c>
      <c r="AA20" s="23">
        <v>4376.8999999999996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141.04444881889765</v>
      </c>
      <c r="E21" s="23">
        <v>153.59999999999991</v>
      </c>
      <c r="F21" s="23">
        <v>188.95686333534013</v>
      </c>
      <c r="G21" s="23">
        <v>234.2</v>
      </c>
      <c r="H21" s="23">
        <v>250.15908339239314</v>
      </c>
      <c r="I21" s="23">
        <v>278.60000000000008</v>
      </c>
      <c r="J21" s="23">
        <v>301.40000000000003</v>
      </c>
      <c r="K21" s="23">
        <v>333.09999999999997</v>
      </c>
      <c r="L21" s="23">
        <v>341.30000000000018</v>
      </c>
      <c r="M21" s="23">
        <v>401.7</v>
      </c>
      <c r="N21" s="23">
        <v>445.79999999999984</v>
      </c>
      <c r="O21" s="23">
        <v>459.40000000000003</v>
      </c>
      <c r="P21" s="23">
        <v>448.14332321699527</v>
      </c>
      <c r="Q21" s="23">
        <v>580.29999999999984</v>
      </c>
      <c r="R21" s="23">
        <v>573.1</v>
      </c>
      <c r="S21" s="23">
        <v>497.3</v>
      </c>
      <c r="T21" s="23">
        <v>544.1600684477811</v>
      </c>
      <c r="U21" s="23">
        <v>580.79999999999995</v>
      </c>
      <c r="V21" s="23">
        <v>675.6999999999997</v>
      </c>
      <c r="W21" s="23">
        <v>572.95769385699862</v>
      </c>
      <c r="X21" s="23">
        <v>537.03913191296476</v>
      </c>
      <c r="Y21" s="23">
        <v>895.0999999999998</v>
      </c>
      <c r="Z21" s="23">
        <v>1583.8999999999996</v>
      </c>
      <c r="AA21" s="23">
        <v>1223.3757414401589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47.581259842519692</v>
      </c>
      <c r="E22" s="23">
        <v>57.099999999999973</v>
      </c>
      <c r="F22" s="23">
        <v>64.919536423841052</v>
      </c>
      <c r="G22" s="23">
        <v>70</v>
      </c>
      <c r="H22" s="23">
        <v>81.719300732341154</v>
      </c>
      <c r="I22" s="23">
        <v>87.000000000000028</v>
      </c>
      <c r="J22" s="23">
        <v>109.40000000000003</v>
      </c>
      <c r="K22" s="23">
        <v>126.59999999999997</v>
      </c>
      <c r="L22" s="23">
        <v>153.00000000000006</v>
      </c>
      <c r="M22" s="23">
        <v>130.19999999999999</v>
      </c>
      <c r="N22" s="23">
        <v>140.69999999999996</v>
      </c>
      <c r="O22" s="23">
        <v>135.00000000000003</v>
      </c>
      <c r="P22" s="23">
        <v>139.08241021750123</v>
      </c>
      <c r="Q22" s="23">
        <v>132.59999999999997</v>
      </c>
      <c r="R22" s="23">
        <v>143.30000000000001</v>
      </c>
      <c r="S22" s="23">
        <v>144.10000000000002</v>
      </c>
      <c r="T22" s="23">
        <v>157.5173879443586</v>
      </c>
      <c r="U22" s="23">
        <v>176.5</v>
      </c>
      <c r="V22" s="23">
        <v>181.59999999999991</v>
      </c>
      <c r="W22" s="23">
        <v>199.62010070493443</v>
      </c>
      <c r="X22" s="23">
        <v>178.57975974614689</v>
      </c>
      <c r="Y22" s="23">
        <v>229.69999999999993</v>
      </c>
      <c r="Z22" s="23">
        <v>198.59999999999997</v>
      </c>
      <c r="AA22" s="23">
        <v>205.01269271252565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327.10000000000002</v>
      </c>
      <c r="E23" s="23">
        <v>367.9</v>
      </c>
      <c r="F23" s="23">
        <v>435.8</v>
      </c>
      <c r="G23" s="23">
        <v>514.6</v>
      </c>
      <c r="H23" s="23">
        <v>604.4</v>
      </c>
      <c r="I23" s="23">
        <v>854.5</v>
      </c>
      <c r="J23" s="23">
        <v>1167.5999999999999</v>
      </c>
      <c r="K23" s="23">
        <v>1515.2</v>
      </c>
      <c r="L23" s="23">
        <v>1419</v>
      </c>
      <c r="M23" s="23">
        <v>869</v>
      </c>
      <c r="N23" s="23">
        <v>750.4</v>
      </c>
      <c r="O23" s="23">
        <v>1008.7</v>
      </c>
      <c r="P23" s="23">
        <v>1154.4000000000001</v>
      </c>
      <c r="Q23" s="23">
        <v>1163.5999999999999</v>
      </c>
      <c r="R23" s="23">
        <v>1079.0999999999999</v>
      </c>
      <c r="S23" s="23">
        <v>1098.5</v>
      </c>
      <c r="T23" s="23">
        <v>1229.5</v>
      </c>
      <c r="U23" s="23">
        <v>1379.7</v>
      </c>
      <c r="V23" s="23">
        <v>1561.8</v>
      </c>
      <c r="W23" s="23">
        <v>1692.7</v>
      </c>
      <c r="X23" s="23">
        <v>1675.1</v>
      </c>
      <c r="Y23" s="23">
        <v>1810.2</v>
      </c>
      <c r="Z23" s="23">
        <v>2063.5</v>
      </c>
      <c r="AA23" s="23">
        <v>2194.6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695.10000000000014</v>
      </c>
      <c r="E24" s="23">
        <v>831.10000000000014</v>
      </c>
      <c r="F24" s="23">
        <v>981.9</v>
      </c>
      <c r="G24" s="23">
        <v>1100.8999999999999</v>
      </c>
      <c r="H24" s="23">
        <v>1216.5999999999999</v>
      </c>
      <c r="I24" s="23">
        <v>1433.2</v>
      </c>
      <c r="J24" s="23">
        <v>1710.4999999999998</v>
      </c>
      <c r="K24" s="23">
        <v>1970.2</v>
      </c>
      <c r="L24" s="23">
        <v>1880.4999999999998</v>
      </c>
      <c r="M24" s="23">
        <v>1430.5</v>
      </c>
      <c r="N24" s="23">
        <v>1496.3000000000002</v>
      </c>
      <c r="O24" s="23">
        <v>1752.1000000000001</v>
      </c>
      <c r="P24" s="23">
        <v>1942.7</v>
      </c>
      <c r="Q24" s="23">
        <v>2022.1999999999998</v>
      </c>
      <c r="R24" s="23">
        <v>2189</v>
      </c>
      <c r="S24" s="23">
        <v>2143.2000000000003</v>
      </c>
      <c r="T24" s="23">
        <v>2397.2000000000003</v>
      </c>
      <c r="U24" s="23">
        <v>2655.2</v>
      </c>
      <c r="V24" s="23">
        <v>2985.3</v>
      </c>
      <c r="W24" s="23">
        <v>3186.7</v>
      </c>
      <c r="X24" s="23">
        <v>3130.2</v>
      </c>
      <c r="Y24" s="23">
        <v>3455.5000000000005</v>
      </c>
      <c r="Z24" s="23">
        <v>3820.4</v>
      </c>
      <c r="AA24" s="23">
        <v>3917.9999999999995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590.5</v>
      </c>
      <c r="E25" s="23">
        <v>639.79999999999995</v>
      </c>
      <c r="F25" s="23">
        <v>659.2</v>
      </c>
      <c r="G25" s="23">
        <v>753.7</v>
      </c>
      <c r="H25" s="23">
        <v>841.3</v>
      </c>
      <c r="I25" s="23">
        <v>871.5</v>
      </c>
      <c r="J25" s="23">
        <v>1030.2</v>
      </c>
      <c r="K25" s="23">
        <v>1162.2</v>
      </c>
      <c r="L25" s="23">
        <v>1176.4000000000001</v>
      </c>
      <c r="M25" s="23">
        <v>1025.0999999999999</v>
      </c>
      <c r="N25" s="23">
        <v>1198.0999999999999</v>
      </c>
      <c r="O25" s="23">
        <v>1347.4</v>
      </c>
      <c r="P25" s="23">
        <v>1437.2</v>
      </c>
      <c r="Q25" s="23">
        <v>1517.9</v>
      </c>
      <c r="R25" s="23">
        <v>1593.5</v>
      </c>
      <c r="S25" s="23">
        <v>1563.5</v>
      </c>
      <c r="T25" s="23">
        <v>1480.5</v>
      </c>
      <c r="U25" s="23">
        <v>1571.8</v>
      </c>
      <c r="V25" s="23">
        <v>1625.2</v>
      </c>
      <c r="W25" s="23">
        <v>1715.7</v>
      </c>
      <c r="X25" s="23">
        <v>1555.5</v>
      </c>
      <c r="Y25" s="23">
        <v>1781.1</v>
      </c>
      <c r="Z25" s="23">
        <v>1963</v>
      </c>
      <c r="AA25" s="23">
        <v>1794.9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88.3</v>
      </c>
      <c r="E26" s="23">
        <v>97.3</v>
      </c>
      <c r="F26" s="23">
        <v>106.4</v>
      </c>
      <c r="G26" s="23">
        <v>122.5</v>
      </c>
      <c r="H26" s="23">
        <v>140.6</v>
      </c>
      <c r="I26" s="23">
        <v>172.2</v>
      </c>
      <c r="J26" s="23">
        <v>197</v>
      </c>
      <c r="K26" s="23">
        <v>224.5</v>
      </c>
      <c r="L26" s="23">
        <v>255.3</v>
      </c>
      <c r="M26" s="23">
        <v>180.9</v>
      </c>
      <c r="N26" s="23">
        <v>186.4</v>
      </c>
      <c r="O26" s="23">
        <v>234.3</v>
      </c>
      <c r="P26" s="23">
        <v>269</v>
      </c>
      <c r="Q26" s="23">
        <v>306.5</v>
      </c>
      <c r="R26" s="23">
        <v>329.7</v>
      </c>
      <c r="S26" s="23">
        <v>338.6</v>
      </c>
      <c r="T26" s="23">
        <v>371.4</v>
      </c>
      <c r="U26" s="23">
        <v>414.4</v>
      </c>
      <c r="V26" s="23">
        <v>445.1</v>
      </c>
      <c r="W26" s="23">
        <v>489.1</v>
      </c>
      <c r="X26" s="23">
        <v>298.8</v>
      </c>
      <c r="Y26" s="23">
        <v>347.7</v>
      </c>
      <c r="Z26" s="23">
        <v>531.4</v>
      </c>
      <c r="AA26" s="23">
        <v>608.5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287.2</v>
      </c>
      <c r="E27" s="23">
        <v>309.2</v>
      </c>
      <c r="F27" s="23">
        <v>345.9</v>
      </c>
      <c r="G27" s="23">
        <v>387.5</v>
      </c>
      <c r="H27" s="23">
        <v>424</v>
      </c>
      <c r="I27" s="23">
        <v>468.4</v>
      </c>
      <c r="J27" s="23">
        <v>543.29999999999995</v>
      </c>
      <c r="K27" s="23">
        <v>654.6</v>
      </c>
      <c r="L27" s="23">
        <v>733.3</v>
      </c>
      <c r="M27" s="23">
        <v>680.3</v>
      </c>
      <c r="N27" s="23">
        <v>681.1</v>
      </c>
      <c r="O27" s="23">
        <v>739.5</v>
      </c>
      <c r="P27" s="23">
        <v>804.6</v>
      </c>
      <c r="Q27" s="23">
        <v>849</v>
      </c>
      <c r="R27" s="23">
        <v>906</v>
      </c>
      <c r="S27" s="23">
        <v>978.2</v>
      </c>
      <c r="T27" s="23">
        <v>1056.3</v>
      </c>
      <c r="U27" s="23">
        <v>1189.0999999999999</v>
      </c>
      <c r="V27" s="23">
        <v>1402.4</v>
      </c>
      <c r="W27" s="23">
        <v>1624.6</v>
      </c>
      <c r="X27" s="23">
        <v>1818.3</v>
      </c>
      <c r="Y27" s="23">
        <v>1885.7</v>
      </c>
      <c r="Z27" s="23">
        <v>2404.1</v>
      </c>
      <c r="AA27" s="23">
        <v>3077.3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234.8</v>
      </c>
      <c r="E28" s="23">
        <v>257.2</v>
      </c>
      <c r="F28" s="23">
        <v>310.89999999999998</v>
      </c>
      <c r="G28" s="23">
        <v>294.7</v>
      </c>
      <c r="H28" s="23">
        <v>336</v>
      </c>
      <c r="I28" s="23">
        <v>412.4</v>
      </c>
      <c r="J28" s="23">
        <v>505.9</v>
      </c>
      <c r="K28" s="23">
        <v>700.7</v>
      </c>
      <c r="L28" s="23">
        <v>793.7</v>
      </c>
      <c r="M28" s="23">
        <v>558.4</v>
      </c>
      <c r="N28" s="23">
        <v>649.4</v>
      </c>
      <c r="O28" s="23">
        <v>663.7</v>
      </c>
      <c r="P28" s="23">
        <v>699.9</v>
      </c>
      <c r="Q28" s="23">
        <v>670.5</v>
      </c>
      <c r="R28" s="23">
        <v>716</v>
      </c>
      <c r="S28" s="23">
        <v>779.1</v>
      </c>
      <c r="T28" s="23">
        <v>794.9</v>
      </c>
      <c r="U28" s="23">
        <v>861</v>
      </c>
      <c r="V28" s="23">
        <v>948.2</v>
      </c>
      <c r="W28" s="23">
        <v>1080.0999999999999</v>
      </c>
      <c r="X28" s="23">
        <v>1188.8</v>
      </c>
      <c r="Y28" s="23">
        <v>1264.8</v>
      </c>
      <c r="Z28" s="23">
        <v>1467.2</v>
      </c>
      <c r="AA28" s="23">
        <v>2048.9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626.4</v>
      </c>
      <c r="E29" s="23">
        <v>714.5</v>
      </c>
      <c r="F29" s="23">
        <v>741</v>
      </c>
      <c r="G29" s="23">
        <v>778.7</v>
      </c>
      <c r="H29" s="23">
        <v>839.7</v>
      </c>
      <c r="I29" s="23">
        <v>967.3</v>
      </c>
      <c r="J29" s="23">
        <v>1125.5999999999999</v>
      </c>
      <c r="K29" s="23">
        <v>1306.7</v>
      </c>
      <c r="L29" s="23">
        <v>1364.4</v>
      </c>
      <c r="M29" s="23">
        <v>1287.5</v>
      </c>
      <c r="N29" s="23">
        <v>1221.0999999999999</v>
      </c>
      <c r="O29" s="23">
        <v>1375.9</v>
      </c>
      <c r="P29" s="23">
        <v>1632.7</v>
      </c>
      <c r="Q29" s="23">
        <v>1844.7</v>
      </c>
      <c r="R29" s="23">
        <v>1975</v>
      </c>
      <c r="S29" s="23">
        <v>2202.9</v>
      </c>
      <c r="T29" s="23">
        <v>2374.1</v>
      </c>
      <c r="U29" s="23">
        <v>2637</v>
      </c>
      <c r="V29" s="23">
        <v>2757.2</v>
      </c>
      <c r="W29" s="23">
        <v>2972.7</v>
      </c>
      <c r="X29" s="23">
        <v>2892.2</v>
      </c>
      <c r="Y29" s="23">
        <v>3178.3</v>
      </c>
      <c r="Z29" s="23">
        <v>3740.4</v>
      </c>
      <c r="AA29" s="23">
        <v>3567.7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187.20000000000002</v>
      </c>
      <c r="E30" s="23">
        <v>220.29999999999998</v>
      </c>
      <c r="F30" s="23">
        <v>255.29999999999998</v>
      </c>
      <c r="G30" s="23">
        <v>293.5</v>
      </c>
      <c r="H30" s="23">
        <v>383.1</v>
      </c>
      <c r="I30" s="23">
        <v>450.6</v>
      </c>
      <c r="J30" s="23">
        <v>528.20000000000005</v>
      </c>
      <c r="K30" s="23">
        <v>665.99999999999989</v>
      </c>
      <c r="L30" s="23">
        <v>721</v>
      </c>
      <c r="M30" s="23">
        <v>656.8</v>
      </c>
      <c r="N30" s="23">
        <v>681</v>
      </c>
      <c r="O30" s="23">
        <v>730.5</v>
      </c>
      <c r="P30" s="23">
        <v>765.50000000000011</v>
      </c>
      <c r="Q30" s="23">
        <v>831.50000000000011</v>
      </c>
      <c r="R30" s="23">
        <v>886.19999999999993</v>
      </c>
      <c r="S30" s="23">
        <v>901.69999999999993</v>
      </c>
      <c r="T30" s="23">
        <v>950</v>
      </c>
      <c r="U30" s="23">
        <v>1061.2</v>
      </c>
      <c r="V30" s="23">
        <v>1202.3000000000002</v>
      </c>
      <c r="W30" s="23">
        <v>1310.4000000000001</v>
      </c>
      <c r="X30" s="23">
        <v>1417.8000000000002</v>
      </c>
      <c r="Y30" s="23">
        <v>1754.2</v>
      </c>
      <c r="Z30" s="23">
        <v>1938.5</v>
      </c>
      <c r="AA30" s="23">
        <v>2014.8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77.400000000000006</v>
      </c>
      <c r="E31" s="23">
        <v>104.1</v>
      </c>
      <c r="F31" s="23">
        <v>131.6</v>
      </c>
      <c r="G31" s="23">
        <v>201.3</v>
      </c>
      <c r="H31" s="23">
        <v>214.1</v>
      </c>
      <c r="I31" s="23">
        <v>299.39999999999998</v>
      </c>
      <c r="J31" s="23">
        <v>377.8</v>
      </c>
      <c r="K31" s="23">
        <v>442.6</v>
      </c>
      <c r="L31" s="23">
        <v>468.8</v>
      </c>
      <c r="M31" s="23">
        <v>418.2</v>
      </c>
      <c r="N31" s="23">
        <v>428.5</v>
      </c>
      <c r="O31" s="23">
        <v>508.5</v>
      </c>
      <c r="P31" s="23">
        <v>588.9</v>
      </c>
      <c r="Q31" s="23">
        <v>603.9</v>
      </c>
      <c r="R31" s="23">
        <v>612.1</v>
      </c>
      <c r="S31" s="23">
        <v>637.9</v>
      </c>
      <c r="T31" s="23">
        <v>685.5</v>
      </c>
      <c r="U31" s="23">
        <v>799.7</v>
      </c>
      <c r="V31" s="23">
        <v>896.6</v>
      </c>
      <c r="W31" s="23">
        <v>964.9</v>
      </c>
      <c r="X31" s="23">
        <v>848.5</v>
      </c>
      <c r="Y31" s="23">
        <v>952.8</v>
      </c>
      <c r="Z31" s="23">
        <v>1152.9000000000001</v>
      </c>
      <c r="AA31" s="23">
        <v>1374.3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339.99999999999932</v>
      </c>
      <c r="E32" s="23">
        <v>368.30000000000092</v>
      </c>
      <c r="F32" s="23">
        <v>414.90000000000168</v>
      </c>
      <c r="G32" s="23">
        <v>458.7999999999995</v>
      </c>
      <c r="H32" s="23">
        <v>507.39999999999986</v>
      </c>
      <c r="I32" s="23">
        <v>566.69999999999891</v>
      </c>
      <c r="J32" s="23">
        <v>636.90000000000146</v>
      </c>
      <c r="K32" s="23">
        <v>792.99999999999932</v>
      </c>
      <c r="L32" s="23">
        <v>936.90000000000282</v>
      </c>
      <c r="M32" s="23">
        <v>893.69999999999936</v>
      </c>
      <c r="N32" s="23">
        <v>874.99999999999955</v>
      </c>
      <c r="O32" s="23">
        <v>944.90000000000009</v>
      </c>
      <c r="P32" s="23">
        <v>982.59999999999945</v>
      </c>
      <c r="Q32" s="23">
        <v>1058.6999999999978</v>
      </c>
      <c r="R32" s="23">
        <v>1126.4000000000005</v>
      </c>
      <c r="S32" s="23">
        <v>1202.6000000000004</v>
      </c>
      <c r="T32" s="23">
        <v>1242.1999999999998</v>
      </c>
      <c r="U32" s="23">
        <v>1329.9999999999986</v>
      </c>
      <c r="V32" s="23">
        <v>1393.0999999999979</v>
      </c>
      <c r="W32" s="23">
        <v>1516.6999999999989</v>
      </c>
      <c r="X32" s="23">
        <v>1594.2000000000044</v>
      </c>
      <c r="Y32" s="23">
        <v>1697.1000000000013</v>
      </c>
      <c r="Z32" s="23">
        <v>1899.6999999999998</v>
      </c>
      <c r="AA32" s="23">
        <v>2165.8999999999965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290.7</v>
      </c>
      <c r="E33" s="23">
        <v>321.2</v>
      </c>
      <c r="F33" s="23">
        <v>351.1</v>
      </c>
      <c r="G33" s="23">
        <v>379.2</v>
      </c>
      <c r="H33" s="23">
        <v>418.2</v>
      </c>
      <c r="I33" s="23">
        <v>465.2</v>
      </c>
      <c r="J33" s="23">
        <v>513.6</v>
      </c>
      <c r="K33" s="23">
        <v>605.4</v>
      </c>
      <c r="L33" s="23">
        <v>708.8</v>
      </c>
      <c r="M33" s="23">
        <v>682.2</v>
      </c>
      <c r="N33" s="23">
        <v>649.79999999999995</v>
      </c>
      <c r="O33" s="23">
        <v>666.9</v>
      </c>
      <c r="P33" s="23">
        <v>691.6</v>
      </c>
      <c r="Q33" s="23">
        <v>752.6</v>
      </c>
      <c r="R33" s="23">
        <v>793.6</v>
      </c>
      <c r="S33" s="23">
        <v>845.4</v>
      </c>
      <c r="T33" s="23">
        <v>893.9</v>
      </c>
      <c r="U33" s="23">
        <v>957.4</v>
      </c>
      <c r="V33" s="23">
        <v>1086</v>
      </c>
      <c r="W33" s="23">
        <v>1200.0999999999999</v>
      </c>
      <c r="X33" s="23">
        <v>1254.7</v>
      </c>
      <c r="Y33" s="23">
        <v>1322.8</v>
      </c>
      <c r="Z33" s="23">
        <v>1472.5</v>
      </c>
      <c r="AA33" s="23">
        <v>1763.1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174.1</v>
      </c>
      <c r="E34" s="23">
        <v>186.5</v>
      </c>
      <c r="F34" s="23">
        <v>200.2</v>
      </c>
      <c r="G34" s="23">
        <v>233.1</v>
      </c>
      <c r="H34" s="23">
        <v>257.60000000000002</v>
      </c>
      <c r="I34" s="23">
        <v>310.8</v>
      </c>
      <c r="J34" s="23">
        <v>356.4</v>
      </c>
      <c r="K34" s="23">
        <v>448.4</v>
      </c>
      <c r="L34" s="23">
        <v>507.6</v>
      </c>
      <c r="M34" s="23">
        <v>486.9</v>
      </c>
      <c r="N34" s="23">
        <v>477.6</v>
      </c>
      <c r="O34" s="23">
        <v>506.7</v>
      </c>
      <c r="P34" s="23">
        <v>539.20000000000005</v>
      </c>
      <c r="Q34" s="23">
        <v>590.1</v>
      </c>
      <c r="R34" s="23">
        <v>643.70000000000005</v>
      </c>
      <c r="S34" s="23">
        <v>714.1</v>
      </c>
      <c r="T34" s="23">
        <v>775.8</v>
      </c>
      <c r="U34" s="23">
        <v>863.7</v>
      </c>
      <c r="V34" s="23">
        <v>959.8</v>
      </c>
      <c r="W34" s="23">
        <v>1040.3</v>
      </c>
      <c r="X34" s="23">
        <v>1182.3</v>
      </c>
      <c r="Y34" s="23">
        <v>1367.5</v>
      </c>
      <c r="Z34" s="23">
        <v>1475.8</v>
      </c>
      <c r="AA34" s="23">
        <v>1693.5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90.600000000000023</v>
      </c>
      <c r="E35" s="23">
        <v>101.5</v>
      </c>
      <c r="F35" s="23">
        <v>115.7</v>
      </c>
      <c r="G35" s="23">
        <v>130.30000000000001</v>
      </c>
      <c r="H35" s="23">
        <v>149.80000000000001</v>
      </c>
      <c r="I35" s="23">
        <v>183.5</v>
      </c>
      <c r="J35" s="23">
        <v>221.7</v>
      </c>
      <c r="K35" s="23">
        <v>264.39999999999998</v>
      </c>
      <c r="L35" s="23">
        <v>222.89999999999998</v>
      </c>
      <c r="M35" s="23">
        <v>183.7</v>
      </c>
      <c r="N35" s="23">
        <v>176</v>
      </c>
      <c r="O35" s="23">
        <v>189.79999999999998</v>
      </c>
      <c r="P35" s="23">
        <v>215.9</v>
      </c>
      <c r="Q35" s="23">
        <v>235.8</v>
      </c>
      <c r="R35" s="23">
        <v>258.5</v>
      </c>
      <c r="S35" s="23">
        <v>272.2</v>
      </c>
      <c r="T35" s="23">
        <v>293.39999999999998</v>
      </c>
      <c r="U35" s="23">
        <v>333.90000000000003</v>
      </c>
      <c r="V35" s="23">
        <v>374.6</v>
      </c>
      <c r="W35" s="23">
        <v>416.2</v>
      </c>
      <c r="X35" s="23">
        <v>407.6</v>
      </c>
      <c r="Y35" s="23">
        <v>459.2</v>
      </c>
      <c r="Z35" s="23">
        <v>580.70000000000005</v>
      </c>
      <c r="AA35" s="23">
        <v>610.09999999999991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52.8</v>
      </c>
      <c r="E36" s="23">
        <v>62.4</v>
      </c>
      <c r="F36" s="23">
        <v>75.5</v>
      </c>
      <c r="G36" s="23">
        <v>86.4</v>
      </c>
      <c r="H36" s="23">
        <v>94.3</v>
      </c>
      <c r="I36" s="23">
        <v>98.1</v>
      </c>
      <c r="J36" s="23">
        <v>102.8</v>
      </c>
      <c r="K36" s="23">
        <v>116.9</v>
      </c>
      <c r="L36" s="23">
        <v>121.8</v>
      </c>
      <c r="M36" s="23">
        <v>110.9</v>
      </c>
      <c r="N36" s="23">
        <v>109.2</v>
      </c>
      <c r="O36" s="23">
        <v>120.1</v>
      </c>
      <c r="P36" s="23">
        <v>127.9</v>
      </c>
      <c r="Q36" s="23">
        <v>150.4</v>
      </c>
      <c r="R36" s="23">
        <v>158.4</v>
      </c>
      <c r="S36" s="23">
        <v>166.5</v>
      </c>
      <c r="T36" s="23">
        <v>169.8</v>
      </c>
      <c r="U36" s="23">
        <v>182.8</v>
      </c>
      <c r="V36" s="23">
        <v>203.4</v>
      </c>
      <c r="W36" s="23">
        <v>212.2</v>
      </c>
      <c r="X36" s="23">
        <v>213.2</v>
      </c>
      <c r="Y36" s="23">
        <v>243.6</v>
      </c>
      <c r="Z36" s="23">
        <v>295.10000000000002</v>
      </c>
      <c r="AA36" s="23">
        <v>323.7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2.4</v>
      </c>
      <c r="E37" s="23">
        <v>2.5</v>
      </c>
      <c r="F37" s="23">
        <v>3.2</v>
      </c>
      <c r="G37" s="23">
        <v>3.3</v>
      </c>
      <c r="H37" s="23">
        <v>3.6</v>
      </c>
      <c r="I37" s="23">
        <v>3.9</v>
      </c>
      <c r="J37" s="23">
        <v>4.4000000000000004</v>
      </c>
      <c r="K37" s="23">
        <v>4.5</v>
      </c>
      <c r="L37" s="23">
        <v>5.7</v>
      </c>
      <c r="M37" s="23">
        <v>4.5999999999999996</v>
      </c>
      <c r="N37" s="23">
        <v>4.3</v>
      </c>
      <c r="O37" s="23">
        <v>5.5</v>
      </c>
      <c r="P37" s="23">
        <v>7.8</v>
      </c>
      <c r="Q37" s="23">
        <v>8.9</v>
      </c>
      <c r="R37" s="23">
        <v>10.8</v>
      </c>
      <c r="S37" s="23">
        <v>11.3</v>
      </c>
      <c r="T37" s="23">
        <v>12.2</v>
      </c>
      <c r="U37" s="23">
        <v>13</v>
      </c>
      <c r="V37" s="23">
        <v>13.6</v>
      </c>
      <c r="W37" s="23">
        <v>14.5</v>
      </c>
      <c r="X37" s="23">
        <v>14.2</v>
      </c>
      <c r="Y37" s="23">
        <v>16.2</v>
      </c>
      <c r="Z37" s="23">
        <v>19.2</v>
      </c>
      <c r="AA37" s="23">
        <v>21.1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5512.8999999999987</v>
      </c>
      <c r="E39" s="30">
        <f t="shared" ref="E39:Y39" si="2">SUM(E18:E38)</f>
        <v>6232.0000000000009</v>
      </c>
      <c r="F39" s="30">
        <f t="shared" si="2"/>
        <v>6964.800000000002</v>
      </c>
      <c r="G39" s="30">
        <f t="shared" si="2"/>
        <v>7809.8999999999987</v>
      </c>
      <c r="H39" s="30">
        <f t="shared" si="2"/>
        <v>8666.7999999999993</v>
      </c>
      <c r="I39" s="30">
        <f t="shared" si="2"/>
        <v>10054.899999999998</v>
      </c>
      <c r="J39" s="30">
        <f t="shared" si="2"/>
        <v>11937.5</v>
      </c>
      <c r="K39" s="30">
        <f t="shared" si="2"/>
        <v>14406.6</v>
      </c>
      <c r="L39" s="30">
        <f t="shared" si="2"/>
        <v>14805.2</v>
      </c>
      <c r="M39" s="30">
        <f t="shared" si="2"/>
        <v>12238.399999999998</v>
      </c>
      <c r="N39" s="30">
        <f t="shared" si="2"/>
        <v>12844.4</v>
      </c>
      <c r="O39" s="30">
        <f t="shared" si="2"/>
        <v>14643</v>
      </c>
      <c r="P39" s="30">
        <f t="shared" si="2"/>
        <v>15754.499999999998</v>
      </c>
      <c r="Q39" s="30">
        <f t="shared" si="2"/>
        <v>16755.800000000003</v>
      </c>
      <c r="R39" s="30">
        <f t="shared" si="2"/>
        <v>17742.700000000004</v>
      </c>
      <c r="S39" s="30">
        <f t="shared" si="2"/>
        <v>18203.7</v>
      </c>
      <c r="T39" s="30">
        <f t="shared" si="2"/>
        <v>19112.3</v>
      </c>
      <c r="U39" s="30">
        <f t="shared" si="2"/>
        <v>21075.600000000002</v>
      </c>
      <c r="V39" s="30">
        <f t="shared" si="2"/>
        <v>22991.799999999996</v>
      </c>
      <c r="W39" s="30">
        <f t="shared" si="2"/>
        <v>24742.400000000005</v>
      </c>
      <c r="X39" s="30">
        <f t="shared" si="2"/>
        <v>24419.9</v>
      </c>
      <c r="Y39" s="30">
        <f t="shared" si="2"/>
        <v>27518.9</v>
      </c>
      <c r="Z39" s="30">
        <f t="shared" ref="Z39:AA39" si="3">SUM(Z18:Z38)</f>
        <v>32031.200000000001</v>
      </c>
      <c r="AA39" s="30">
        <f t="shared" si="3"/>
        <v>33826.499999999993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176.2</v>
      </c>
      <c r="E41" s="19">
        <v>195.3</v>
      </c>
      <c r="F41" s="19">
        <v>193.9</v>
      </c>
      <c r="G41" s="19">
        <v>206.8</v>
      </c>
      <c r="H41" s="19">
        <v>193.3</v>
      </c>
      <c r="I41" s="19">
        <v>220</v>
      </c>
      <c r="J41" s="19">
        <v>253.4</v>
      </c>
      <c r="K41" s="19">
        <v>283.60000000000002</v>
      </c>
      <c r="L41" s="19">
        <v>300.2</v>
      </c>
      <c r="M41" s="19">
        <v>307.39999999999998</v>
      </c>
      <c r="N41" s="19">
        <v>269.2</v>
      </c>
      <c r="O41" s="19">
        <v>287.10000000000002</v>
      </c>
      <c r="P41" s="19">
        <v>309.39999999999998</v>
      </c>
      <c r="Q41" s="19">
        <v>335.1</v>
      </c>
      <c r="R41" s="19">
        <v>397.5</v>
      </c>
      <c r="S41" s="19">
        <v>380.2</v>
      </c>
      <c r="T41" s="19">
        <v>386</v>
      </c>
      <c r="U41" s="19">
        <v>397.4</v>
      </c>
      <c r="V41" s="19">
        <v>429.5</v>
      </c>
      <c r="W41" s="19">
        <v>455.2</v>
      </c>
      <c r="X41" s="19">
        <v>459.6</v>
      </c>
      <c r="Y41" s="19">
        <v>451.3</v>
      </c>
      <c r="Z41" s="19">
        <v>522.20000000000005</v>
      </c>
      <c r="AA41" s="19">
        <v>601.6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140.19999999999999</v>
      </c>
      <c r="E42" s="23">
        <v>169.4</v>
      </c>
      <c r="F42" s="23">
        <v>181.1</v>
      </c>
      <c r="G42" s="23">
        <v>182.4</v>
      </c>
      <c r="H42" s="23">
        <v>182</v>
      </c>
      <c r="I42" s="23">
        <v>169.8</v>
      </c>
      <c r="J42" s="23">
        <v>180</v>
      </c>
      <c r="K42" s="23">
        <v>180.9</v>
      </c>
      <c r="L42" s="23">
        <v>169.6</v>
      </c>
      <c r="M42" s="23">
        <v>130.19999999999999</v>
      </c>
      <c r="N42" s="23">
        <v>134.5</v>
      </c>
      <c r="O42" s="23">
        <v>145.30000000000001</v>
      </c>
      <c r="P42" s="23">
        <v>157.19999999999999</v>
      </c>
      <c r="Q42" s="23">
        <v>154.5</v>
      </c>
      <c r="R42" s="23">
        <v>169.9</v>
      </c>
      <c r="S42" s="23">
        <v>172.8</v>
      </c>
      <c r="T42" s="23">
        <v>180</v>
      </c>
      <c r="U42" s="23">
        <v>191.7</v>
      </c>
      <c r="V42" s="23">
        <v>188.5</v>
      </c>
      <c r="W42" s="23">
        <v>183.7</v>
      </c>
      <c r="X42" s="23">
        <v>181.8</v>
      </c>
      <c r="Y42" s="23">
        <v>169.2</v>
      </c>
      <c r="Z42" s="23">
        <v>170.7</v>
      </c>
      <c r="AA42" s="23">
        <v>193.2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175.5</v>
      </c>
      <c r="E43" s="23">
        <v>213.5</v>
      </c>
      <c r="F43" s="23">
        <v>243.6</v>
      </c>
      <c r="G43" s="23">
        <v>276.3</v>
      </c>
      <c r="H43" s="23">
        <v>297</v>
      </c>
      <c r="I43" s="23">
        <v>323.60000000000002</v>
      </c>
      <c r="J43" s="23">
        <v>377.2</v>
      </c>
      <c r="K43" s="23">
        <v>435.6</v>
      </c>
      <c r="L43" s="23">
        <v>385.4</v>
      </c>
      <c r="M43" s="23">
        <v>315.10000000000002</v>
      </c>
      <c r="N43" s="23">
        <v>410.1</v>
      </c>
      <c r="O43" s="23">
        <v>456.7</v>
      </c>
      <c r="P43" s="23">
        <v>478.8</v>
      </c>
      <c r="Q43" s="23">
        <v>505.5</v>
      </c>
      <c r="R43" s="23">
        <v>573</v>
      </c>
      <c r="S43" s="23">
        <v>615</v>
      </c>
      <c r="T43" s="23">
        <v>633.6</v>
      </c>
      <c r="U43" s="23">
        <v>699.1</v>
      </c>
      <c r="V43" s="23">
        <v>725.9</v>
      </c>
      <c r="W43" s="23">
        <v>718.6</v>
      </c>
      <c r="X43" s="23">
        <v>732.5</v>
      </c>
      <c r="Y43" s="23">
        <v>1053.2</v>
      </c>
      <c r="Z43" s="23">
        <v>1117.9000000000001</v>
      </c>
      <c r="AA43" s="23">
        <v>888.8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6.2</v>
      </c>
      <c r="E44" s="23">
        <v>7.7</v>
      </c>
      <c r="F44" s="23">
        <v>7.1</v>
      </c>
      <c r="G44" s="23">
        <v>8.6</v>
      </c>
      <c r="H44" s="23">
        <v>14.5</v>
      </c>
      <c r="I44" s="23">
        <v>24</v>
      </c>
      <c r="J44" s="23">
        <v>39.5</v>
      </c>
      <c r="K44" s="23">
        <v>46</v>
      </c>
      <c r="L44" s="23">
        <v>80</v>
      </c>
      <c r="M44" s="23">
        <v>45</v>
      </c>
      <c r="N44" s="23">
        <v>74.900000000000006</v>
      </c>
      <c r="O44" s="23">
        <v>135.19999999999999</v>
      </c>
      <c r="P44" s="23">
        <v>172.3</v>
      </c>
      <c r="Q44" s="23">
        <v>124.6</v>
      </c>
      <c r="R44" s="23">
        <v>127.3</v>
      </c>
      <c r="S44" s="23">
        <v>90.7</v>
      </c>
      <c r="T44" s="23">
        <v>68.099999999999994</v>
      </c>
      <c r="U44" s="23">
        <v>65.099999999999994</v>
      </c>
      <c r="V44" s="23">
        <v>83.6</v>
      </c>
      <c r="W44" s="23">
        <v>113.3</v>
      </c>
      <c r="X44" s="23">
        <v>59.5</v>
      </c>
      <c r="Y44" s="23">
        <v>100.6</v>
      </c>
      <c r="Z44" s="23">
        <v>60.5</v>
      </c>
      <c r="AA44" s="23">
        <v>70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40.200000000000003</v>
      </c>
      <c r="E45" s="23">
        <v>52.8</v>
      </c>
      <c r="F45" s="23">
        <v>48.4</v>
      </c>
      <c r="G45" s="23">
        <v>59.2</v>
      </c>
      <c r="H45" s="23">
        <v>63.8</v>
      </c>
      <c r="I45" s="23">
        <v>82.8</v>
      </c>
      <c r="J45" s="23">
        <v>85.9</v>
      </c>
      <c r="K45" s="23">
        <v>100.2</v>
      </c>
      <c r="L45" s="23">
        <v>126.5</v>
      </c>
      <c r="M45" s="23">
        <v>67.099999999999994</v>
      </c>
      <c r="N45" s="23">
        <v>93.8</v>
      </c>
      <c r="O45" s="23">
        <v>117</v>
      </c>
      <c r="P45" s="23">
        <v>77.3</v>
      </c>
      <c r="Q45" s="23">
        <v>88.2</v>
      </c>
      <c r="R45" s="23">
        <v>95.6</v>
      </c>
      <c r="S45" s="23">
        <v>106.1</v>
      </c>
      <c r="T45" s="23">
        <v>116.4</v>
      </c>
      <c r="U45" s="23">
        <v>109.5</v>
      </c>
      <c r="V45" s="23">
        <v>124.1</v>
      </c>
      <c r="W45" s="23">
        <v>115.1</v>
      </c>
      <c r="X45" s="23">
        <v>131.5</v>
      </c>
      <c r="Y45" s="23">
        <v>142.19999999999999</v>
      </c>
      <c r="Z45" s="23">
        <v>123.2</v>
      </c>
      <c r="AA45" s="23">
        <v>95.8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3.9</v>
      </c>
      <c r="E46" s="23">
        <v>5</v>
      </c>
      <c r="F46" s="23">
        <v>5.5</v>
      </c>
      <c r="G46" s="23">
        <v>5</v>
      </c>
      <c r="H46" s="23">
        <v>4.8</v>
      </c>
      <c r="I46" s="23">
        <v>3.9</v>
      </c>
      <c r="J46" s="23">
        <v>5</v>
      </c>
      <c r="K46" s="23">
        <v>6.5</v>
      </c>
      <c r="L46" s="23">
        <v>9.6</v>
      </c>
      <c r="M46" s="23">
        <v>8.4</v>
      </c>
      <c r="N46" s="23">
        <v>10.3</v>
      </c>
      <c r="O46" s="23">
        <v>11.9</v>
      </c>
      <c r="P46" s="23">
        <v>11.1</v>
      </c>
      <c r="Q46" s="23">
        <v>10.5</v>
      </c>
      <c r="R46" s="23">
        <v>10.4</v>
      </c>
      <c r="S46" s="23">
        <v>11</v>
      </c>
      <c r="T46" s="23">
        <v>14.8</v>
      </c>
      <c r="U46" s="23">
        <v>13.2</v>
      </c>
      <c r="V46" s="23">
        <v>12.5</v>
      </c>
      <c r="W46" s="23">
        <v>14.2</v>
      </c>
      <c r="X46" s="23">
        <v>21</v>
      </c>
      <c r="Y46" s="23">
        <v>17.8</v>
      </c>
      <c r="Z46" s="23">
        <v>19.2</v>
      </c>
      <c r="AA46" s="23">
        <v>22.4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83.4</v>
      </c>
      <c r="E47" s="23">
        <v>103</v>
      </c>
      <c r="F47" s="23">
        <v>115.9</v>
      </c>
      <c r="G47" s="23">
        <v>148.5</v>
      </c>
      <c r="H47" s="23">
        <v>162.6</v>
      </c>
      <c r="I47" s="23">
        <v>195.5</v>
      </c>
      <c r="J47" s="23">
        <v>261.39999999999998</v>
      </c>
      <c r="K47" s="23">
        <v>316.39999999999998</v>
      </c>
      <c r="L47" s="23">
        <v>235.5</v>
      </c>
      <c r="M47" s="23">
        <v>139.80000000000001</v>
      </c>
      <c r="N47" s="23">
        <v>166.9</v>
      </c>
      <c r="O47" s="23">
        <v>207.9</v>
      </c>
      <c r="P47" s="23">
        <v>214.3</v>
      </c>
      <c r="Q47" s="23">
        <v>220.4</v>
      </c>
      <c r="R47" s="23">
        <v>234.4</v>
      </c>
      <c r="S47" s="23">
        <v>239.9</v>
      </c>
      <c r="T47" s="23">
        <v>271.2</v>
      </c>
      <c r="U47" s="23">
        <v>309.10000000000002</v>
      </c>
      <c r="V47" s="23">
        <v>316.3</v>
      </c>
      <c r="W47" s="23">
        <v>325.89999999999998</v>
      </c>
      <c r="X47" s="23">
        <v>300</v>
      </c>
      <c r="Y47" s="23">
        <v>357.1</v>
      </c>
      <c r="Z47" s="23">
        <v>362</v>
      </c>
      <c r="AA47" s="23">
        <v>380.9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75.5</v>
      </c>
      <c r="E48" s="23">
        <v>91.6</v>
      </c>
      <c r="F48" s="23">
        <v>91.9</v>
      </c>
      <c r="G48" s="23">
        <v>119.3</v>
      </c>
      <c r="H48" s="23">
        <v>130.5</v>
      </c>
      <c r="I48" s="23">
        <v>159.9</v>
      </c>
      <c r="J48" s="23">
        <v>214.1</v>
      </c>
      <c r="K48" s="23">
        <v>263.8</v>
      </c>
      <c r="L48" s="23">
        <v>276</v>
      </c>
      <c r="M48" s="23">
        <v>213.6</v>
      </c>
      <c r="N48" s="23">
        <v>231.8</v>
      </c>
      <c r="O48" s="23">
        <v>272</v>
      </c>
      <c r="P48" s="23">
        <v>290.8</v>
      </c>
      <c r="Q48" s="23">
        <v>309.5</v>
      </c>
      <c r="R48" s="23">
        <v>331.6</v>
      </c>
      <c r="S48" s="23">
        <v>346.5</v>
      </c>
      <c r="T48" s="23">
        <v>382</v>
      </c>
      <c r="U48" s="23">
        <v>422.8</v>
      </c>
      <c r="V48" s="23">
        <v>439.4</v>
      </c>
      <c r="W48" s="23">
        <v>461</v>
      </c>
      <c r="X48" s="23">
        <v>436</v>
      </c>
      <c r="Y48" s="23">
        <v>564.4</v>
      </c>
      <c r="Z48" s="23">
        <v>579.70000000000005</v>
      </c>
      <c r="AA48" s="23">
        <v>572.29999999999995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35.4</v>
      </c>
      <c r="E49" s="23">
        <v>31.2</v>
      </c>
      <c r="F49" s="23">
        <v>38.1</v>
      </c>
      <c r="G49" s="23">
        <v>42.1</v>
      </c>
      <c r="H49" s="23">
        <v>60.9</v>
      </c>
      <c r="I49" s="23">
        <v>81</v>
      </c>
      <c r="J49" s="23">
        <v>101.8</v>
      </c>
      <c r="K49" s="23">
        <v>101</v>
      </c>
      <c r="L49" s="23">
        <v>135</v>
      </c>
      <c r="M49" s="23">
        <v>94.4</v>
      </c>
      <c r="N49" s="23">
        <v>131.4</v>
      </c>
      <c r="O49" s="23">
        <v>207.3</v>
      </c>
      <c r="P49" s="23">
        <v>158.4</v>
      </c>
      <c r="Q49" s="23">
        <v>174.1</v>
      </c>
      <c r="R49" s="23">
        <v>189.5</v>
      </c>
      <c r="S49" s="23">
        <v>158.30000000000001</v>
      </c>
      <c r="T49" s="23">
        <v>176.8</v>
      </c>
      <c r="U49" s="23">
        <v>193.4</v>
      </c>
      <c r="V49" s="23">
        <v>232.7</v>
      </c>
      <c r="W49" s="23">
        <v>262</v>
      </c>
      <c r="X49" s="23">
        <v>248.1</v>
      </c>
      <c r="Y49" s="23">
        <v>248.1</v>
      </c>
      <c r="Z49" s="23">
        <v>282.10000000000002</v>
      </c>
      <c r="AA49" s="23">
        <v>313.8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27.4</v>
      </c>
      <c r="E50" s="23">
        <v>17.899999999999999</v>
      </c>
      <c r="F50" s="23">
        <v>22.6</v>
      </c>
      <c r="G50" s="23">
        <v>27.8</v>
      </c>
      <c r="H50" s="23">
        <v>38.9</v>
      </c>
      <c r="I50" s="23">
        <v>71.3</v>
      </c>
      <c r="J50" s="23">
        <v>84.6</v>
      </c>
      <c r="K50" s="23">
        <v>113.6</v>
      </c>
      <c r="L50" s="23">
        <v>121.9</v>
      </c>
      <c r="M50" s="23">
        <v>96</v>
      </c>
      <c r="N50" s="23">
        <v>112.3</v>
      </c>
      <c r="O50" s="23">
        <v>140.4</v>
      </c>
      <c r="P50" s="23">
        <v>153.69999999999999</v>
      </c>
      <c r="Q50" s="23">
        <v>162.19999999999999</v>
      </c>
      <c r="R50" s="23">
        <v>163.1</v>
      </c>
      <c r="S50" s="23">
        <v>163.19999999999999</v>
      </c>
      <c r="T50" s="23">
        <v>192.8</v>
      </c>
      <c r="U50" s="23">
        <v>200.8</v>
      </c>
      <c r="V50" s="23">
        <v>201.7</v>
      </c>
      <c r="W50" s="23">
        <v>206.6</v>
      </c>
      <c r="X50" s="23">
        <v>215.4</v>
      </c>
      <c r="Y50" s="23">
        <v>216.2</v>
      </c>
      <c r="Z50" s="23">
        <v>240.3</v>
      </c>
      <c r="AA50" s="23">
        <v>273.39999999999998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22.7</v>
      </c>
      <c r="E51" s="23">
        <v>31.3</v>
      </c>
      <c r="F51" s="23">
        <v>38.799999999999997</v>
      </c>
      <c r="G51" s="23">
        <v>43.8</v>
      </c>
      <c r="H51" s="23">
        <v>51</v>
      </c>
      <c r="I51" s="23">
        <v>65.099999999999994</v>
      </c>
      <c r="J51" s="23">
        <v>75.900000000000006</v>
      </c>
      <c r="K51" s="23">
        <v>103.1</v>
      </c>
      <c r="L51" s="23">
        <v>97.4</v>
      </c>
      <c r="M51" s="23">
        <v>57.1</v>
      </c>
      <c r="N51" s="23">
        <v>64.3</v>
      </c>
      <c r="O51" s="23">
        <v>95.2</v>
      </c>
      <c r="P51" s="23">
        <v>98.2</v>
      </c>
      <c r="Q51" s="23">
        <v>104.4</v>
      </c>
      <c r="R51" s="23">
        <v>117.1</v>
      </c>
      <c r="S51" s="23">
        <v>122</v>
      </c>
      <c r="T51" s="23">
        <v>124.4</v>
      </c>
      <c r="U51" s="23">
        <v>139.4</v>
      </c>
      <c r="V51" s="23">
        <v>150.6</v>
      </c>
      <c r="W51" s="23">
        <v>169</v>
      </c>
      <c r="X51" s="23">
        <v>146.69999999999999</v>
      </c>
      <c r="Y51" s="23">
        <v>167.5</v>
      </c>
      <c r="Z51" s="23">
        <v>204.4</v>
      </c>
      <c r="AA51" s="23">
        <v>214.2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25.2</v>
      </c>
      <c r="E52" s="23">
        <v>28.2</v>
      </c>
      <c r="F52" s="23">
        <v>33.299999999999997</v>
      </c>
      <c r="G52" s="23">
        <v>36.200000000000003</v>
      </c>
      <c r="H52" s="23">
        <v>47.3</v>
      </c>
      <c r="I52" s="23">
        <v>49</v>
      </c>
      <c r="J52" s="23">
        <v>53.5</v>
      </c>
      <c r="K52" s="23">
        <v>72.400000000000006</v>
      </c>
      <c r="L52" s="23">
        <v>91.6</v>
      </c>
      <c r="M52" s="23">
        <v>60</v>
      </c>
      <c r="N52" s="23">
        <v>102.8</v>
      </c>
      <c r="O52" s="23">
        <v>108.8</v>
      </c>
      <c r="P52" s="23">
        <v>108.5</v>
      </c>
      <c r="Q52" s="23">
        <v>111.8</v>
      </c>
      <c r="R52" s="23">
        <v>112</v>
      </c>
      <c r="S52" s="23">
        <v>122.2</v>
      </c>
      <c r="T52" s="23">
        <v>123.5</v>
      </c>
      <c r="U52" s="23">
        <v>116.4</v>
      </c>
      <c r="V52" s="23">
        <v>134</v>
      </c>
      <c r="W52" s="23">
        <v>129.19999999999999</v>
      </c>
      <c r="X52" s="23">
        <v>132.69999999999999</v>
      </c>
      <c r="Y52" s="23">
        <v>127.7</v>
      </c>
      <c r="Z52" s="23">
        <v>161.5</v>
      </c>
      <c r="AA52" s="23">
        <v>186.9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142.80000000000007</v>
      </c>
      <c r="E53" s="23">
        <v>174.5</v>
      </c>
      <c r="F53" s="23">
        <v>205.70000000000016</v>
      </c>
      <c r="G53" s="23">
        <v>221</v>
      </c>
      <c r="H53" s="23">
        <v>212.19999999999982</v>
      </c>
      <c r="I53" s="23">
        <v>217.80000000000018</v>
      </c>
      <c r="J53" s="23">
        <v>230.90000000000032</v>
      </c>
      <c r="K53" s="23">
        <v>251.80000000000041</v>
      </c>
      <c r="L53" s="23">
        <v>255.40000000000009</v>
      </c>
      <c r="M53" s="23">
        <v>202.70000000000005</v>
      </c>
      <c r="N53" s="23">
        <v>224.50000000000023</v>
      </c>
      <c r="O53" s="23">
        <v>251.59999999999991</v>
      </c>
      <c r="P53" s="23">
        <v>279.90000000000009</v>
      </c>
      <c r="Q53" s="23">
        <v>296.59999999999991</v>
      </c>
      <c r="R53" s="23">
        <v>321.90000000000009</v>
      </c>
      <c r="S53" s="23">
        <v>341.10000000000036</v>
      </c>
      <c r="T53" s="23">
        <v>350.39999999999964</v>
      </c>
      <c r="U53" s="23">
        <v>386.09999999999945</v>
      </c>
      <c r="V53" s="23">
        <v>454.70000000000073</v>
      </c>
      <c r="W53" s="23">
        <v>513.50000000000045</v>
      </c>
      <c r="X53" s="23">
        <v>443.20000000000027</v>
      </c>
      <c r="Y53" s="23">
        <v>483.40000000000009</v>
      </c>
      <c r="Z53" s="23">
        <v>510.89999999999964</v>
      </c>
      <c r="AA53" s="23">
        <v>563.59999999999945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954.6</v>
      </c>
      <c r="E54" s="30">
        <f t="shared" ref="E54:Y54" si="4">SUM(E41:E53)</f>
        <v>1121.4000000000001</v>
      </c>
      <c r="F54" s="30">
        <f t="shared" si="4"/>
        <v>1225.9000000000001</v>
      </c>
      <c r="G54" s="30">
        <f t="shared" si="4"/>
        <v>1377</v>
      </c>
      <c r="H54" s="30">
        <f t="shared" si="4"/>
        <v>1458.8</v>
      </c>
      <c r="I54" s="30">
        <f t="shared" si="4"/>
        <v>1663.7</v>
      </c>
      <c r="J54" s="30">
        <f t="shared" si="4"/>
        <v>1963.2</v>
      </c>
      <c r="K54" s="30">
        <f t="shared" si="4"/>
        <v>2274.9</v>
      </c>
      <c r="L54" s="30">
        <f t="shared" si="4"/>
        <v>2284.1</v>
      </c>
      <c r="M54" s="30">
        <f t="shared" si="4"/>
        <v>1736.8</v>
      </c>
      <c r="N54" s="30">
        <f t="shared" si="4"/>
        <v>2026.8</v>
      </c>
      <c r="O54" s="30">
        <f t="shared" si="4"/>
        <v>2436.4</v>
      </c>
      <c r="P54" s="30">
        <f t="shared" si="4"/>
        <v>2509.9</v>
      </c>
      <c r="Q54" s="30">
        <f t="shared" si="4"/>
        <v>2597.4</v>
      </c>
      <c r="R54" s="30">
        <f t="shared" si="4"/>
        <v>2843.3</v>
      </c>
      <c r="S54" s="30">
        <f t="shared" si="4"/>
        <v>2869</v>
      </c>
      <c r="T54" s="30">
        <f t="shared" si="4"/>
        <v>3020</v>
      </c>
      <c r="U54" s="30">
        <f t="shared" si="4"/>
        <v>3244</v>
      </c>
      <c r="V54" s="30">
        <f t="shared" si="4"/>
        <v>3493.5</v>
      </c>
      <c r="W54" s="30">
        <f t="shared" si="4"/>
        <v>3667.3</v>
      </c>
      <c r="X54" s="30">
        <f t="shared" si="4"/>
        <v>3508</v>
      </c>
      <c r="Y54" s="30">
        <f t="shared" si="4"/>
        <v>4098.7</v>
      </c>
      <c r="Z54" s="30">
        <f t="shared" ref="Z54:AA54" si="5">SUM(Z41:Z53)</f>
        <v>4354.6000000000004</v>
      </c>
      <c r="AA54" s="30">
        <f t="shared" si="5"/>
        <v>4376.8999999999996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176.2</v>
      </c>
      <c r="E56" s="19">
        <v>195.3</v>
      </c>
      <c r="F56" s="19">
        <v>193.9</v>
      </c>
      <c r="G56" s="19">
        <v>206.8</v>
      </c>
      <c r="H56" s="19">
        <v>193.3</v>
      </c>
      <c r="I56" s="19">
        <v>220</v>
      </c>
      <c r="J56" s="19">
        <v>253.4</v>
      </c>
      <c r="K56" s="19">
        <v>283.60000000000002</v>
      </c>
      <c r="L56" s="19">
        <v>300.2</v>
      </c>
      <c r="M56" s="19">
        <v>307.39999999999998</v>
      </c>
      <c r="N56" s="19">
        <v>269.2</v>
      </c>
      <c r="O56" s="19">
        <v>287.10000000000002</v>
      </c>
      <c r="P56" s="19">
        <v>309.39999999999998</v>
      </c>
      <c r="Q56" s="19">
        <v>335.1</v>
      </c>
      <c r="R56" s="19">
        <v>397.5</v>
      </c>
      <c r="S56" s="19">
        <v>380.2</v>
      </c>
      <c r="T56" s="19">
        <v>386</v>
      </c>
      <c r="U56" s="19">
        <v>397.4</v>
      </c>
      <c r="V56" s="19">
        <v>429.5</v>
      </c>
      <c r="W56" s="19">
        <v>455.2</v>
      </c>
      <c r="X56" s="19">
        <v>459.6</v>
      </c>
      <c r="Y56" s="19">
        <v>451.3</v>
      </c>
      <c r="Z56" s="19">
        <v>522.20000000000005</v>
      </c>
      <c r="AA56" s="19">
        <v>601.6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140.19999999999999</v>
      </c>
      <c r="E57" s="23">
        <v>169.4</v>
      </c>
      <c r="F57" s="23">
        <v>181.1</v>
      </c>
      <c r="G57" s="23">
        <v>182.4</v>
      </c>
      <c r="H57" s="23">
        <v>182</v>
      </c>
      <c r="I57" s="23">
        <v>169.8</v>
      </c>
      <c r="J57" s="23">
        <v>180</v>
      </c>
      <c r="K57" s="23">
        <v>180.9</v>
      </c>
      <c r="L57" s="23">
        <v>169.6</v>
      </c>
      <c r="M57" s="23">
        <v>130.19999999999999</v>
      </c>
      <c r="N57" s="23">
        <v>134.5</v>
      </c>
      <c r="O57" s="23">
        <v>145.30000000000001</v>
      </c>
      <c r="P57" s="23">
        <v>157.19999999999999</v>
      </c>
      <c r="Q57" s="23">
        <v>154.5</v>
      </c>
      <c r="R57" s="23">
        <v>169.9</v>
      </c>
      <c r="S57" s="23">
        <v>172.8</v>
      </c>
      <c r="T57" s="23">
        <v>180</v>
      </c>
      <c r="U57" s="23">
        <v>191.7</v>
      </c>
      <c r="V57" s="23">
        <v>188.5</v>
      </c>
      <c r="W57" s="23">
        <v>183.7</v>
      </c>
      <c r="X57" s="23">
        <v>181.8</v>
      </c>
      <c r="Y57" s="23">
        <v>169.2</v>
      </c>
      <c r="Z57" s="23">
        <v>170.7</v>
      </c>
      <c r="AA57" s="23">
        <v>193.2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129.80000000000001</v>
      </c>
      <c r="E58" s="23">
        <v>158.1</v>
      </c>
      <c r="F58" s="23">
        <v>177.8</v>
      </c>
      <c r="G58" s="23">
        <v>207.2</v>
      </c>
      <c r="H58" s="23">
        <v>227.9</v>
      </c>
      <c r="I58" s="23">
        <v>245.5</v>
      </c>
      <c r="J58" s="23">
        <v>279</v>
      </c>
      <c r="K58" s="23">
        <v>317.60000000000002</v>
      </c>
      <c r="L58" s="23">
        <v>270.5</v>
      </c>
      <c r="M58" s="23">
        <v>226.3</v>
      </c>
      <c r="N58" s="23">
        <v>286.5</v>
      </c>
      <c r="O58" s="23">
        <v>332.3</v>
      </c>
      <c r="P58" s="23">
        <v>350.6</v>
      </c>
      <c r="Q58" s="23">
        <v>378.7</v>
      </c>
      <c r="R58" s="23">
        <v>442.6</v>
      </c>
      <c r="S58" s="23">
        <v>481.2</v>
      </c>
      <c r="T58" s="23">
        <v>493.5</v>
      </c>
      <c r="U58" s="23">
        <v>542.29999999999995</v>
      </c>
      <c r="V58" s="23">
        <v>566.6</v>
      </c>
      <c r="W58" s="23">
        <v>575.70000000000005</v>
      </c>
      <c r="X58" s="23">
        <v>612.70000000000005</v>
      </c>
      <c r="Y58" s="23">
        <v>903.3</v>
      </c>
      <c r="Z58" s="23">
        <v>961.2</v>
      </c>
      <c r="AA58" s="23">
        <v>752.2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19.2</v>
      </c>
      <c r="E59" s="23">
        <v>21.9</v>
      </c>
      <c r="F59" s="23">
        <v>26.3</v>
      </c>
      <c r="G59" s="23">
        <v>26.2</v>
      </c>
      <c r="H59" s="23">
        <v>23.6</v>
      </c>
      <c r="I59" s="23">
        <v>26.1</v>
      </c>
      <c r="J59" s="23">
        <v>35.299999999999997</v>
      </c>
      <c r="K59" s="23">
        <v>45.6</v>
      </c>
      <c r="L59" s="23">
        <v>46</v>
      </c>
      <c r="M59" s="23">
        <v>32.9</v>
      </c>
      <c r="N59" s="23">
        <v>58.6</v>
      </c>
      <c r="O59" s="23">
        <v>56.3</v>
      </c>
      <c r="P59" s="23">
        <v>52</v>
      </c>
      <c r="Q59" s="23">
        <v>50.2</v>
      </c>
      <c r="R59" s="23">
        <v>52.9</v>
      </c>
      <c r="S59" s="23">
        <v>56.5</v>
      </c>
      <c r="T59" s="23">
        <v>57.5</v>
      </c>
      <c r="U59" s="23">
        <v>69.5</v>
      </c>
      <c r="V59" s="23">
        <v>76.2</v>
      </c>
      <c r="W59" s="23">
        <v>61.3</v>
      </c>
      <c r="X59" s="23">
        <v>44.8</v>
      </c>
      <c r="Y59" s="23">
        <v>70.8</v>
      </c>
      <c r="Z59" s="23">
        <v>73.2</v>
      </c>
      <c r="AA59" s="23">
        <v>49.5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26.5</v>
      </c>
      <c r="E60" s="23">
        <v>33.5</v>
      </c>
      <c r="F60" s="23">
        <v>39.499999999999972</v>
      </c>
      <c r="G60" s="23">
        <v>42.900000000000034</v>
      </c>
      <c r="H60" s="23">
        <v>45.5</v>
      </c>
      <c r="I60" s="23">
        <v>52</v>
      </c>
      <c r="J60" s="23">
        <v>62.899999999999977</v>
      </c>
      <c r="K60" s="23">
        <v>72.399999999999977</v>
      </c>
      <c r="L60" s="23">
        <v>68.899999999999977</v>
      </c>
      <c r="M60" s="23">
        <v>55.900000000000034</v>
      </c>
      <c r="N60" s="23">
        <v>65</v>
      </c>
      <c r="O60" s="23">
        <v>68.099999999999966</v>
      </c>
      <c r="P60" s="23">
        <v>76.199999999999989</v>
      </c>
      <c r="Q60" s="23">
        <v>76.600000000000023</v>
      </c>
      <c r="R60" s="23">
        <v>77.5</v>
      </c>
      <c r="S60" s="23">
        <v>77.299999999999955</v>
      </c>
      <c r="T60" s="23">
        <v>82.600000000000023</v>
      </c>
      <c r="U60" s="23">
        <v>87.300000000000068</v>
      </c>
      <c r="V60" s="23">
        <v>83.099999999999909</v>
      </c>
      <c r="W60" s="23">
        <v>81.600000000000023</v>
      </c>
      <c r="X60" s="23">
        <v>75</v>
      </c>
      <c r="Y60" s="23">
        <v>79.100000000000136</v>
      </c>
      <c r="Z60" s="23">
        <v>83.5</v>
      </c>
      <c r="AA60" s="23">
        <v>87.099999999999909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6.2</v>
      </c>
      <c r="E61" s="23">
        <v>7.7</v>
      </c>
      <c r="F61" s="23">
        <v>7.1</v>
      </c>
      <c r="G61" s="23">
        <v>8.6</v>
      </c>
      <c r="H61" s="23">
        <v>14.5</v>
      </c>
      <c r="I61" s="23">
        <v>24</v>
      </c>
      <c r="J61" s="23">
        <v>39.5</v>
      </c>
      <c r="K61" s="23">
        <v>46</v>
      </c>
      <c r="L61" s="23">
        <v>80</v>
      </c>
      <c r="M61" s="23">
        <v>45</v>
      </c>
      <c r="N61" s="23">
        <v>74.900000000000006</v>
      </c>
      <c r="O61" s="23">
        <v>135.19999999999999</v>
      </c>
      <c r="P61" s="23">
        <v>172.3</v>
      </c>
      <c r="Q61" s="23">
        <v>124.6</v>
      </c>
      <c r="R61" s="23">
        <v>127.3</v>
      </c>
      <c r="S61" s="23">
        <v>90.7</v>
      </c>
      <c r="T61" s="23">
        <v>68.099999999999994</v>
      </c>
      <c r="U61" s="23">
        <v>65.099999999999994</v>
      </c>
      <c r="V61" s="23">
        <v>83.6</v>
      </c>
      <c r="W61" s="23">
        <v>113.3</v>
      </c>
      <c r="X61" s="23">
        <v>59.5</v>
      </c>
      <c r="Y61" s="23">
        <v>100.6</v>
      </c>
      <c r="Z61" s="23">
        <v>60.5</v>
      </c>
      <c r="AA61" s="23">
        <v>70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40.200000000000003</v>
      </c>
      <c r="E62" s="23">
        <v>52.8</v>
      </c>
      <c r="F62" s="23">
        <v>48.4</v>
      </c>
      <c r="G62" s="23">
        <v>59.2</v>
      </c>
      <c r="H62" s="23">
        <v>63.8</v>
      </c>
      <c r="I62" s="23">
        <v>82.8</v>
      </c>
      <c r="J62" s="23">
        <v>85.9</v>
      </c>
      <c r="K62" s="23">
        <v>100.2</v>
      </c>
      <c r="L62" s="23">
        <v>126.5</v>
      </c>
      <c r="M62" s="23">
        <v>67.099999999999994</v>
      </c>
      <c r="N62" s="23">
        <v>93.8</v>
      </c>
      <c r="O62" s="23">
        <v>117</v>
      </c>
      <c r="P62" s="23">
        <v>77.3</v>
      </c>
      <c r="Q62" s="23">
        <v>88.2</v>
      </c>
      <c r="R62" s="23">
        <v>95.6</v>
      </c>
      <c r="S62" s="23">
        <v>106.1</v>
      </c>
      <c r="T62" s="23">
        <v>116.4</v>
      </c>
      <c r="U62" s="23">
        <v>109.5</v>
      </c>
      <c r="V62" s="23">
        <v>124.1</v>
      </c>
      <c r="W62" s="23">
        <v>115.1</v>
      </c>
      <c r="X62" s="23">
        <v>131.5</v>
      </c>
      <c r="Y62" s="23">
        <v>142.19999999999999</v>
      </c>
      <c r="Z62" s="23">
        <v>123.2</v>
      </c>
      <c r="AA62" s="23">
        <v>95.8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3.9</v>
      </c>
      <c r="E63" s="23">
        <v>5</v>
      </c>
      <c r="F63" s="23">
        <v>5.5</v>
      </c>
      <c r="G63" s="23">
        <v>5</v>
      </c>
      <c r="H63" s="23">
        <v>4.8</v>
      </c>
      <c r="I63" s="23">
        <v>3.9</v>
      </c>
      <c r="J63" s="23">
        <v>5</v>
      </c>
      <c r="K63" s="23">
        <v>6.5</v>
      </c>
      <c r="L63" s="23">
        <v>9.6</v>
      </c>
      <c r="M63" s="23">
        <v>8.4</v>
      </c>
      <c r="N63" s="23">
        <v>10.3</v>
      </c>
      <c r="O63" s="23">
        <v>11.9</v>
      </c>
      <c r="P63" s="23">
        <v>11.1</v>
      </c>
      <c r="Q63" s="23">
        <v>10.5</v>
      </c>
      <c r="R63" s="23">
        <v>10.4</v>
      </c>
      <c r="S63" s="23">
        <v>11</v>
      </c>
      <c r="T63" s="23">
        <v>14.8</v>
      </c>
      <c r="U63" s="23">
        <v>13.2</v>
      </c>
      <c r="V63" s="23">
        <v>12.5</v>
      </c>
      <c r="W63" s="23">
        <v>14.2</v>
      </c>
      <c r="X63" s="23">
        <v>21</v>
      </c>
      <c r="Y63" s="23">
        <v>17.8</v>
      </c>
      <c r="Z63" s="23">
        <v>19.2</v>
      </c>
      <c r="AA63" s="23">
        <v>22.4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26.8</v>
      </c>
      <c r="E64" s="23">
        <v>35.4</v>
      </c>
      <c r="F64" s="23">
        <v>41.1</v>
      </c>
      <c r="G64" s="23">
        <v>50.7</v>
      </c>
      <c r="H64" s="23">
        <v>53.7</v>
      </c>
      <c r="I64" s="23">
        <v>59.8</v>
      </c>
      <c r="J64" s="23">
        <v>82.1</v>
      </c>
      <c r="K64" s="23">
        <v>87.1</v>
      </c>
      <c r="L64" s="23">
        <v>73.900000000000006</v>
      </c>
      <c r="M64" s="23">
        <v>53.9</v>
      </c>
      <c r="N64" s="23">
        <v>70.099999999999994</v>
      </c>
      <c r="O64" s="23">
        <v>88.7</v>
      </c>
      <c r="P64" s="23">
        <v>94.1</v>
      </c>
      <c r="Q64" s="23">
        <v>95.6</v>
      </c>
      <c r="R64" s="23">
        <v>102</v>
      </c>
      <c r="S64" s="23">
        <v>98.9</v>
      </c>
      <c r="T64" s="23">
        <v>109.1</v>
      </c>
      <c r="U64" s="23">
        <v>120.4</v>
      </c>
      <c r="V64" s="23">
        <v>134</v>
      </c>
      <c r="W64" s="23">
        <v>138.1</v>
      </c>
      <c r="X64" s="23">
        <v>139</v>
      </c>
      <c r="Y64" s="23">
        <v>170.4</v>
      </c>
      <c r="Z64" s="23">
        <v>166.8</v>
      </c>
      <c r="AA64" s="23">
        <v>179.2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56.600000000000009</v>
      </c>
      <c r="E65" s="23">
        <v>67.599999999999994</v>
      </c>
      <c r="F65" s="23">
        <v>74.800000000000011</v>
      </c>
      <c r="G65" s="23">
        <v>97.8</v>
      </c>
      <c r="H65" s="23">
        <v>108.89999999999999</v>
      </c>
      <c r="I65" s="23">
        <v>135.69999999999999</v>
      </c>
      <c r="J65" s="23">
        <v>179.29999999999998</v>
      </c>
      <c r="K65" s="23">
        <v>229.29999999999998</v>
      </c>
      <c r="L65" s="23">
        <v>161.6</v>
      </c>
      <c r="M65" s="23">
        <v>85.9</v>
      </c>
      <c r="N65" s="23">
        <v>96.800000000000011</v>
      </c>
      <c r="O65" s="23">
        <v>119.2</v>
      </c>
      <c r="P65" s="23">
        <v>120.20000000000002</v>
      </c>
      <c r="Q65" s="23">
        <v>124.80000000000001</v>
      </c>
      <c r="R65" s="23">
        <v>132.4</v>
      </c>
      <c r="S65" s="23">
        <v>141</v>
      </c>
      <c r="T65" s="23">
        <v>162.1</v>
      </c>
      <c r="U65" s="23">
        <v>188.70000000000002</v>
      </c>
      <c r="V65" s="23">
        <v>182.3</v>
      </c>
      <c r="W65" s="23">
        <v>187.79999999999998</v>
      </c>
      <c r="X65" s="23">
        <v>161</v>
      </c>
      <c r="Y65" s="23">
        <v>186.70000000000002</v>
      </c>
      <c r="Z65" s="23">
        <v>195.2</v>
      </c>
      <c r="AA65" s="23">
        <v>201.7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0.7</v>
      </c>
      <c r="E66" s="23">
        <v>1.4</v>
      </c>
      <c r="F66" s="23">
        <v>1.9</v>
      </c>
      <c r="G66" s="23">
        <v>1.9</v>
      </c>
      <c r="H66" s="23">
        <v>3</v>
      </c>
      <c r="I66" s="23">
        <v>2.2999999999999998</v>
      </c>
      <c r="J66" s="23">
        <v>4.2</v>
      </c>
      <c r="K66" s="23">
        <v>7.2</v>
      </c>
      <c r="L66" s="23">
        <v>13.8</v>
      </c>
      <c r="M66" s="23">
        <v>6.2</v>
      </c>
      <c r="N66" s="23">
        <v>9.1999999999999993</v>
      </c>
      <c r="O66" s="23">
        <v>9.9</v>
      </c>
      <c r="P66" s="23">
        <v>7.8</v>
      </c>
      <c r="Q66" s="23">
        <v>8.6</v>
      </c>
      <c r="R66" s="23">
        <v>10.8</v>
      </c>
      <c r="S66" s="23">
        <v>12</v>
      </c>
      <c r="T66" s="23">
        <v>16.399999999999999</v>
      </c>
      <c r="U66" s="23">
        <v>29.1</v>
      </c>
      <c r="V66" s="23">
        <v>31.8</v>
      </c>
      <c r="W66" s="23">
        <v>31.4</v>
      </c>
      <c r="X66" s="23">
        <v>22.6</v>
      </c>
      <c r="Y66" s="23">
        <v>37.799999999999997</v>
      </c>
      <c r="Z66" s="23">
        <v>38.299999999999997</v>
      </c>
      <c r="AA66" s="23">
        <v>33.1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74.8</v>
      </c>
      <c r="E67" s="23">
        <v>90.199999999999989</v>
      </c>
      <c r="F67" s="23">
        <v>90</v>
      </c>
      <c r="G67" s="23">
        <v>117.39999999999999</v>
      </c>
      <c r="H67" s="23">
        <v>127.5</v>
      </c>
      <c r="I67" s="23">
        <v>157.6</v>
      </c>
      <c r="J67" s="23">
        <v>209.9</v>
      </c>
      <c r="K67" s="23">
        <v>256.60000000000002</v>
      </c>
      <c r="L67" s="23">
        <v>262.2</v>
      </c>
      <c r="M67" s="23">
        <v>207.4</v>
      </c>
      <c r="N67" s="23">
        <v>222.60000000000002</v>
      </c>
      <c r="O67" s="23">
        <v>262.10000000000002</v>
      </c>
      <c r="P67" s="23">
        <v>283</v>
      </c>
      <c r="Q67" s="23">
        <v>300.89999999999998</v>
      </c>
      <c r="R67" s="23">
        <v>320.8</v>
      </c>
      <c r="S67" s="23">
        <v>334.5</v>
      </c>
      <c r="T67" s="23">
        <v>365.6</v>
      </c>
      <c r="U67" s="23">
        <v>393.7</v>
      </c>
      <c r="V67" s="23">
        <v>407.59999999999997</v>
      </c>
      <c r="W67" s="23">
        <v>429.6</v>
      </c>
      <c r="X67" s="23">
        <v>413.4</v>
      </c>
      <c r="Y67" s="23">
        <v>526.6</v>
      </c>
      <c r="Z67" s="23">
        <v>541.40000000000009</v>
      </c>
      <c r="AA67" s="23">
        <v>539.19999999999993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35.4</v>
      </c>
      <c r="E68" s="23">
        <v>31.2</v>
      </c>
      <c r="F68" s="23">
        <v>38.1</v>
      </c>
      <c r="G68" s="23">
        <v>42.1</v>
      </c>
      <c r="H68" s="23">
        <v>60.9</v>
      </c>
      <c r="I68" s="23">
        <v>81</v>
      </c>
      <c r="J68" s="23">
        <v>101.8</v>
      </c>
      <c r="K68" s="23">
        <v>101</v>
      </c>
      <c r="L68" s="23">
        <v>135</v>
      </c>
      <c r="M68" s="23">
        <v>94.4</v>
      </c>
      <c r="N68" s="23">
        <v>131.4</v>
      </c>
      <c r="O68" s="23">
        <v>207.3</v>
      </c>
      <c r="P68" s="23">
        <v>158.4</v>
      </c>
      <c r="Q68" s="23">
        <v>174.1</v>
      </c>
      <c r="R68" s="23">
        <v>189.5</v>
      </c>
      <c r="S68" s="23">
        <v>158.30000000000001</v>
      </c>
      <c r="T68" s="23">
        <v>176.8</v>
      </c>
      <c r="U68" s="23">
        <v>193.4</v>
      </c>
      <c r="V68" s="23">
        <v>232.7</v>
      </c>
      <c r="W68" s="23">
        <v>262</v>
      </c>
      <c r="X68" s="23">
        <v>248.1</v>
      </c>
      <c r="Y68" s="23">
        <v>248.1</v>
      </c>
      <c r="Z68" s="23">
        <v>282.10000000000002</v>
      </c>
      <c r="AA68" s="23">
        <v>313.8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27.4</v>
      </c>
      <c r="E69" s="23">
        <v>17.899999999999999</v>
      </c>
      <c r="F69" s="23">
        <v>22.6</v>
      </c>
      <c r="G69" s="23">
        <v>27.8</v>
      </c>
      <c r="H69" s="23">
        <v>38.9</v>
      </c>
      <c r="I69" s="23">
        <v>71.3</v>
      </c>
      <c r="J69" s="23">
        <v>84.6</v>
      </c>
      <c r="K69" s="23">
        <v>113.6</v>
      </c>
      <c r="L69" s="23">
        <v>121.9</v>
      </c>
      <c r="M69" s="23">
        <v>96</v>
      </c>
      <c r="N69" s="23">
        <v>112.3</v>
      </c>
      <c r="O69" s="23">
        <v>140.4</v>
      </c>
      <c r="P69" s="23">
        <v>153.69999999999999</v>
      </c>
      <c r="Q69" s="23">
        <v>162.19999999999999</v>
      </c>
      <c r="R69" s="23">
        <v>163.1</v>
      </c>
      <c r="S69" s="23">
        <v>163.19999999999999</v>
      </c>
      <c r="T69" s="23">
        <v>192.8</v>
      </c>
      <c r="U69" s="23">
        <v>200.8</v>
      </c>
      <c r="V69" s="23">
        <v>201.7</v>
      </c>
      <c r="W69" s="23">
        <v>206.6</v>
      </c>
      <c r="X69" s="23">
        <v>215.4</v>
      </c>
      <c r="Y69" s="23">
        <v>216.2</v>
      </c>
      <c r="Z69" s="23">
        <v>240.3</v>
      </c>
      <c r="AA69" s="23">
        <v>273.39999999999998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22.7</v>
      </c>
      <c r="E70" s="23">
        <v>31.3</v>
      </c>
      <c r="F70" s="23">
        <v>38.799999999999997</v>
      </c>
      <c r="G70" s="23">
        <v>43.8</v>
      </c>
      <c r="H70" s="23">
        <v>51</v>
      </c>
      <c r="I70" s="23">
        <v>65.099999999999994</v>
      </c>
      <c r="J70" s="23">
        <v>75.900000000000006</v>
      </c>
      <c r="K70" s="23">
        <v>103.1</v>
      </c>
      <c r="L70" s="23">
        <v>97.4</v>
      </c>
      <c r="M70" s="23">
        <v>57.1</v>
      </c>
      <c r="N70" s="23">
        <v>64.3</v>
      </c>
      <c r="O70" s="23">
        <v>95.2</v>
      </c>
      <c r="P70" s="23">
        <v>98.2</v>
      </c>
      <c r="Q70" s="23">
        <v>104.4</v>
      </c>
      <c r="R70" s="23">
        <v>117.1</v>
      </c>
      <c r="S70" s="23">
        <v>122</v>
      </c>
      <c r="T70" s="23">
        <v>124.4</v>
      </c>
      <c r="U70" s="23">
        <v>139.4</v>
      </c>
      <c r="V70" s="23">
        <v>150.6</v>
      </c>
      <c r="W70" s="23">
        <v>169</v>
      </c>
      <c r="X70" s="23">
        <v>146.69999999999999</v>
      </c>
      <c r="Y70" s="23">
        <v>167.5</v>
      </c>
      <c r="Z70" s="23">
        <v>204.4</v>
      </c>
      <c r="AA70" s="23">
        <v>214.2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24</v>
      </c>
      <c r="E71" s="23">
        <v>25.8</v>
      </c>
      <c r="F71" s="23">
        <v>30.9</v>
      </c>
      <c r="G71" s="23">
        <v>32.200000000000003</v>
      </c>
      <c r="H71" s="23">
        <v>36.4</v>
      </c>
      <c r="I71" s="23">
        <v>38.200000000000003</v>
      </c>
      <c r="J71" s="23">
        <v>45.9</v>
      </c>
      <c r="K71" s="23">
        <v>56.4</v>
      </c>
      <c r="L71" s="23">
        <v>76.599999999999994</v>
      </c>
      <c r="M71" s="23">
        <v>46.5</v>
      </c>
      <c r="N71" s="23">
        <v>84.1</v>
      </c>
      <c r="O71" s="23">
        <v>88.7</v>
      </c>
      <c r="P71" s="23">
        <v>90</v>
      </c>
      <c r="Q71" s="23">
        <v>90.9</v>
      </c>
      <c r="R71" s="23">
        <v>90.5</v>
      </c>
      <c r="S71" s="23">
        <v>98.7</v>
      </c>
      <c r="T71" s="23">
        <v>99.7</v>
      </c>
      <c r="U71" s="23">
        <v>96.2</v>
      </c>
      <c r="V71" s="23">
        <v>107.4</v>
      </c>
      <c r="W71" s="23">
        <v>97.2</v>
      </c>
      <c r="X71" s="23">
        <v>97.4</v>
      </c>
      <c r="Y71" s="23">
        <v>96.7</v>
      </c>
      <c r="Z71" s="23">
        <v>118.2</v>
      </c>
      <c r="AA71" s="23">
        <v>140.5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1.1999999999999993</v>
      </c>
      <c r="E72" s="23">
        <v>2.3999999999999986</v>
      </c>
      <c r="F72" s="23">
        <v>2.3999999999999986</v>
      </c>
      <c r="G72" s="23">
        <v>4</v>
      </c>
      <c r="H72" s="23">
        <v>10.899999999999999</v>
      </c>
      <c r="I72" s="23">
        <v>10.799999999999997</v>
      </c>
      <c r="J72" s="23">
        <v>7.6000000000000014</v>
      </c>
      <c r="K72" s="23">
        <v>16.000000000000007</v>
      </c>
      <c r="L72" s="23">
        <v>15</v>
      </c>
      <c r="M72" s="23">
        <v>13.5</v>
      </c>
      <c r="N72" s="23">
        <v>18.700000000000003</v>
      </c>
      <c r="O72" s="23">
        <v>20.099999999999994</v>
      </c>
      <c r="P72" s="23">
        <v>18.5</v>
      </c>
      <c r="Q72" s="23">
        <v>20.899999999999991</v>
      </c>
      <c r="R72" s="23">
        <v>21.5</v>
      </c>
      <c r="S72" s="23">
        <v>23.5</v>
      </c>
      <c r="T72" s="23">
        <v>23.799999999999997</v>
      </c>
      <c r="U72" s="23">
        <v>20.200000000000003</v>
      </c>
      <c r="V72" s="23">
        <v>26.599999999999994</v>
      </c>
      <c r="W72" s="23">
        <v>31.999999999999986</v>
      </c>
      <c r="X72" s="23">
        <v>35.299999999999983</v>
      </c>
      <c r="Y72" s="23">
        <v>31</v>
      </c>
      <c r="Z72" s="23">
        <v>43.3</v>
      </c>
      <c r="AA72" s="23">
        <v>46.400000000000006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83.2</v>
      </c>
      <c r="E73" s="23">
        <v>102.9</v>
      </c>
      <c r="F73" s="23">
        <v>117.4</v>
      </c>
      <c r="G73" s="23">
        <v>126.8</v>
      </c>
      <c r="H73" s="23">
        <v>128.1</v>
      </c>
      <c r="I73" s="23">
        <v>141.4</v>
      </c>
      <c r="J73" s="23">
        <v>155.4</v>
      </c>
      <c r="K73" s="23">
        <v>170.4</v>
      </c>
      <c r="L73" s="23">
        <v>161.30000000000001</v>
      </c>
      <c r="M73" s="23">
        <v>126.2</v>
      </c>
      <c r="N73" s="23">
        <v>142.5</v>
      </c>
      <c r="O73" s="23">
        <v>152.4</v>
      </c>
      <c r="P73" s="23">
        <v>168.2</v>
      </c>
      <c r="Q73" s="23">
        <v>174.7</v>
      </c>
      <c r="R73" s="23">
        <v>187.6</v>
      </c>
      <c r="S73" s="23">
        <v>197.6</v>
      </c>
      <c r="T73" s="23">
        <v>216.6</v>
      </c>
      <c r="U73" s="23">
        <v>233.5</v>
      </c>
      <c r="V73" s="23">
        <v>240</v>
      </c>
      <c r="W73" s="23">
        <v>256.2</v>
      </c>
      <c r="X73" s="23">
        <v>256.39999999999998</v>
      </c>
      <c r="Y73" s="23">
        <v>281.7</v>
      </c>
      <c r="Z73" s="23">
        <v>275.5</v>
      </c>
      <c r="AA73" s="23">
        <v>277.2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59.600000000000065</v>
      </c>
      <c r="E74" s="23">
        <v>71.599999999999994</v>
      </c>
      <c r="F74" s="23">
        <v>88.300000000000153</v>
      </c>
      <c r="G74" s="23">
        <v>94.2</v>
      </c>
      <c r="H74" s="23">
        <v>84.099999999999824</v>
      </c>
      <c r="I74" s="23">
        <v>76.400000000000176</v>
      </c>
      <c r="J74" s="23">
        <v>75.500000000000313</v>
      </c>
      <c r="K74" s="23">
        <v>81.400000000000404</v>
      </c>
      <c r="L74" s="23">
        <v>94.10000000000008</v>
      </c>
      <c r="M74" s="23">
        <v>76.500000000000043</v>
      </c>
      <c r="N74" s="23">
        <v>82.000000000000227</v>
      </c>
      <c r="O74" s="23">
        <v>99.199999999999903</v>
      </c>
      <c r="P74" s="23">
        <v>111.7000000000001</v>
      </c>
      <c r="Q74" s="23">
        <v>121.89999999999992</v>
      </c>
      <c r="R74" s="23">
        <v>134.3000000000001</v>
      </c>
      <c r="S74" s="23">
        <v>143.50000000000037</v>
      </c>
      <c r="T74" s="23">
        <v>133.79999999999964</v>
      </c>
      <c r="U74" s="23">
        <v>152.59999999999945</v>
      </c>
      <c r="V74" s="23">
        <v>214.70000000000073</v>
      </c>
      <c r="W74" s="23">
        <v>257.30000000000047</v>
      </c>
      <c r="X74" s="23">
        <v>186.8000000000003</v>
      </c>
      <c r="Y74" s="23">
        <v>201.7000000000001</v>
      </c>
      <c r="Z74" s="23">
        <v>235.39999999999964</v>
      </c>
      <c r="AA74" s="23">
        <v>286.39999999999947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954.6</v>
      </c>
      <c r="E75" s="30">
        <f t="shared" ref="E75:Y75" si="6">SUM(E56:E74)</f>
        <v>1121.3999999999999</v>
      </c>
      <c r="F75" s="30">
        <f t="shared" si="6"/>
        <v>1225.9000000000001</v>
      </c>
      <c r="G75" s="30">
        <f t="shared" si="6"/>
        <v>1377.0000000000002</v>
      </c>
      <c r="H75" s="30">
        <f t="shared" si="6"/>
        <v>1458.8000000000002</v>
      </c>
      <c r="I75" s="30">
        <f t="shared" si="6"/>
        <v>1663.6999999999998</v>
      </c>
      <c r="J75" s="30">
        <f t="shared" si="6"/>
        <v>1963.2000000000003</v>
      </c>
      <c r="K75" s="30">
        <f t="shared" si="6"/>
        <v>2274.9000000000005</v>
      </c>
      <c r="L75" s="30">
        <f t="shared" si="6"/>
        <v>2284.1</v>
      </c>
      <c r="M75" s="30">
        <f t="shared" si="6"/>
        <v>1736.8000000000002</v>
      </c>
      <c r="N75" s="30">
        <f t="shared" si="6"/>
        <v>2026.8000000000002</v>
      </c>
      <c r="O75" s="30">
        <f t="shared" si="6"/>
        <v>2436.4</v>
      </c>
      <c r="P75" s="30">
        <f t="shared" si="6"/>
        <v>2509.9</v>
      </c>
      <c r="Q75" s="30">
        <f t="shared" si="6"/>
        <v>2597.3999999999996</v>
      </c>
      <c r="R75" s="30">
        <f t="shared" si="6"/>
        <v>2843.2999999999997</v>
      </c>
      <c r="S75" s="30">
        <f t="shared" si="6"/>
        <v>2869</v>
      </c>
      <c r="T75" s="30">
        <f t="shared" si="6"/>
        <v>3020</v>
      </c>
      <c r="U75" s="30">
        <f t="shared" si="6"/>
        <v>3243.9999999999991</v>
      </c>
      <c r="V75" s="30">
        <f t="shared" si="6"/>
        <v>3493.5</v>
      </c>
      <c r="W75" s="30">
        <f t="shared" si="6"/>
        <v>3667.3</v>
      </c>
      <c r="X75" s="30">
        <f t="shared" si="6"/>
        <v>3508.0000000000005</v>
      </c>
      <c r="Y75" s="30">
        <f t="shared" si="6"/>
        <v>4098.6999999999989</v>
      </c>
      <c r="Z75" s="30">
        <f t="shared" ref="Z75:AA75" si="7">SUM(Z56:Z74)</f>
        <v>4354.6000000000004</v>
      </c>
      <c r="AA75" s="30">
        <f t="shared" si="7"/>
        <v>4376.8999999999987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19440.735291835947</v>
      </c>
      <c r="E2" s="19">
        <v>20583.974660858268</v>
      </c>
      <c r="F2" s="19">
        <v>22011.347265368629</v>
      </c>
      <c r="G2" s="19">
        <v>23682.980321482471</v>
      </c>
      <c r="H2" s="19">
        <v>25293.719548090787</v>
      </c>
      <c r="I2" s="19">
        <v>27702.439061906567</v>
      </c>
      <c r="J2" s="19">
        <v>30407.0080678419</v>
      </c>
      <c r="K2" s="19">
        <v>32709.006327706986</v>
      </c>
      <c r="L2" s="19">
        <v>31032.69998184701</v>
      </c>
      <c r="M2" s="19">
        <v>26492.406664965798</v>
      </c>
      <c r="N2" s="19">
        <v>27141.615831802017</v>
      </c>
      <c r="O2" s="19">
        <v>29206.332378346604</v>
      </c>
      <c r="P2" s="19">
        <v>30278.688989671031</v>
      </c>
      <c r="Q2" s="19">
        <v>30810.401625524915</v>
      </c>
      <c r="R2" s="19">
        <v>31834.376950663562</v>
      </c>
      <c r="S2" s="19">
        <v>32419.398482000004</v>
      </c>
      <c r="T2" s="19">
        <v>33422.02014857623</v>
      </c>
      <c r="U2" s="19">
        <v>35305.262939089684</v>
      </c>
      <c r="V2" s="19">
        <v>36611.570873420445</v>
      </c>
      <c r="W2" s="19">
        <v>37976.090573377245</v>
      </c>
      <c r="X2" s="19">
        <v>36880.736745742353</v>
      </c>
      <c r="Y2" s="19">
        <v>39925.148559112182</v>
      </c>
      <c r="Z2" s="19">
        <v>39435.597841346738</v>
      </c>
      <c r="AA2" s="19">
        <v>38353.4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8692.8974908030814</v>
      </c>
      <c r="E3" s="23">
        <v>9296.7507577360684</v>
      </c>
      <c r="F3" s="23">
        <v>10194.200751583525</v>
      </c>
      <c r="G3" s="23">
        <v>11184.137748724392</v>
      </c>
      <c r="H3" s="23">
        <v>12094.28720364969</v>
      </c>
      <c r="I3" s="23">
        <v>13270.84172364056</v>
      </c>
      <c r="J3" s="23">
        <v>14979.42372902203</v>
      </c>
      <c r="K3" s="23">
        <v>16242.368783799187</v>
      </c>
      <c r="L3" s="23">
        <v>15506.37996410431</v>
      </c>
      <c r="M3" s="23">
        <v>13343.859769133122</v>
      </c>
      <c r="N3" s="23">
        <v>13174.324028058629</v>
      </c>
      <c r="O3" s="23">
        <v>13666.324781986203</v>
      </c>
      <c r="P3" s="23">
        <v>14390.267333603853</v>
      </c>
      <c r="Q3" s="23">
        <v>15014.482864114872</v>
      </c>
      <c r="R3" s="23">
        <v>15644.694521975214</v>
      </c>
      <c r="S3" s="23">
        <v>16384.341872000001</v>
      </c>
      <c r="T3" s="23">
        <v>17086.202110817943</v>
      </c>
      <c r="U3" s="23">
        <v>17472.885897170592</v>
      </c>
      <c r="V3" s="23">
        <v>18277.29010980036</v>
      </c>
      <c r="W3" s="23">
        <v>19058.448230373513</v>
      </c>
      <c r="X3" s="23">
        <v>18898.836557629329</v>
      </c>
      <c r="Y3" s="23">
        <v>20254.842728620268</v>
      </c>
      <c r="Z3" s="23">
        <v>20844.709610450198</v>
      </c>
      <c r="AA3" s="23">
        <v>20565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17071.111700316702</v>
      </c>
      <c r="E4" s="27">
        <v>18011.192669363925</v>
      </c>
      <c r="F4" s="27">
        <v>19200.760356677121</v>
      </c>
      <c r="G4" s="27">
        <v>20675.775842753672</v>
      </c>
      <c r="H4" s="27">
        <v>21969.140811796155</v>
      </c>
      <c r="I4" s="27">
        <v>24064.53761340167</v>
      </c>
      <c r="J4" s="27">
        <v>26300.831807619183</v>
      </c>
      <c r="K4" s="27">
        <v>28148.703537081907</v>
      </c>
      <c r="L4" s="27">
        <v>27302.966907933514</v>
      </c>
      <c r="M4" s="27">
        <v>23134.477121245076</v>
      </c>
      <c r="N4" s="27">
        <v>23976.959233449474</v>
      </c>
      <c r="O4" s="27">
        <v>25874.377655789365</v>
      </c>
      <c r="P4" s="27">
        <v>26694.736320213156</v>
      </c>
      <c r="Q4" s="27">
        <v>27161.070545447008</v>
      </c>
      <c r="R4" s="27">
        <v>28027.528655094768</v>
      </c>
      <c r="S4" s="27">
        <v>28477.686243</v>
      </c>
      <c r="T4" s="27">
        <v>29278.102444159376</v>
      </c>
      <c r="U4" s="27">
        <v>31181.276252624408</v>
      </c>
      <c r="V4" s="27">
        <v>32458.120816864295</v>
      </c>
      <c r="W4" s="27">
        <v>33475.540432597925</v>
      </c>
      <c r="X4" s="27">
        <v>32571.040217752732</v>
      </c>
      <c r="Y4" s="27">
        <v>35131.050554911781</v>
      </c>
      <c r="Z4" s="27">
        <v>34863.486375843597</v>
      </c>
      <c r="AA4" s="27">
        <v>33826.5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742.55883214568485</v>
      </c>
      <c r="E6" s="19">
        <v>705.476914408173</v>
      </c>
      <c r="F6" s="19">
        <v>766.39837169139662</v>
      </c>
      <c r="G6" s="19">
        <v>801.09729574223252</v>
      </c>
      <c r="H6" s="19">
        <v>897.0876140322448</v>
      </c>
      <c r="I6" s="19">
        <v>892.46696397154449</v>
      </c>
      <c r="J6" s="19">
        <v>940.11015139778885</v>
      </c>
      <c r="K6" s="19">
        <v>1257.905080808333</v>
      </c>
      <c r="L6" s="19">
        <v>1042.4963656725213</v>
      </c>
      <c r="M6" s="19">
        <v>660.09931124483433</v>
      </c>
      <c r="N6" s="19">
        <v>872.69381533101034</v>
      </c>
      <c r="O6" s="19">
        <v>1084.4161420035468</v>
      </c>
      <c r="P6" s="19">
        <v>1006.4853454064944</v>
      </c>
      <c r="Q6" s="19">
        <v>946.66116798607368</v>
      </c>
      <c r="R6" s="19">
        <v>1002.1397069663647</v>
      </c>
      <c r="S6" s="19">
        <v>922.52078300000005</v>
      </c>
      <c r="T6" s="19">
        <v>704.21371020651964</v>
      </c>
      <c r="U6" s="19">
        <v>841.38965461801808</v>
      </c>
      <c r="V6" s="19">
        <v>764.87312252964421</v>
      </c>
      <c r="W6" s="19">
        <v>872.79613671547304</v>
      </c>
      <c r="X6" s="19">
        <v>717.84625838740214</v>
      </c>
      <c r="Y6" s="19">
        <v>780.39497233601526</v>
      </c>
      <c r="Z6" s="19">
        <v>966.62823279760664</v>
      </c>
      <c r="AA6" s="19">
        <v>658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3742.2116290577983</v>
      </c>
      <c r="E7" s="23">
        <v>4058.0095678841285</v>
      </c>
      <c r="F7" s="23">
        <v>4295.69044161703</v>
      </c>
      <c r="G7" s="23">
        <v>4682.6863737900221</v>
      </c>
      <c r="H7" s="23">
        <v>4771.1170023495088</v>
      </c>
      <c r="I7" s="23">
        <v>5084.1179178459433</v>
      </c>
      <c r="J7" s="23">
        <v>5483.571961129498</v>
      </c>
      <c r="K7" s="23">
        <v>5641.815658331876</v>
      </c>
      <c r="L7" s="23">
        <v>5391.9173429211369</v>
      </c>
      <c r="M7" s="23">
        <v>4575.5165603325358</v>
      </c>
      <c r="N7" s="23">
        <v>5213.2021777003474</v>
      </c>
      <c r="O7" s="23">
        <v>5715.9350434301332</v>
      </c>
      <c r="P7" s="23">
        <v>5592.601904122349</v>
      </c>
      <c r="Q7" s="23">
        <v>5779.6582096820994</v>
      </c>
      <c r="R7" s="23">
        <v>6050.5922439994747</v>
      </c>
      <c r="S7" s="23">
        <v>5879.4469369999997</v>
      </c>
      <c r="T7" s="23">
        <v>6014.0800628665993</v>
      </c>
      <c r="U7" s="23">
        <v>6298.2165635816827</v>
      </c>
      <c r="V7" s="23">
        <v>6487.4454545454537</v>
      </c>
      <c r="W7" s="23">
        <v>6305.3466370311426</v>
      </c>
      <c r="X7" s="23">
        <v>5855.7421557008756</v>
      </c>
      <c r="Y7" s="23">
        <v>6856.5734613438644</v>
      </c>
      <c r="Z7" s="23">
        <v>6877.4167487650448</v>
      </c>
      <c r="AA7" s="23">
        <v>5992.1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1012.8898832145685</v>
      </c>
      <c r="E8" s="23">
        <v>1063.273071736038</v>
      </c>
      <c r="F8" s="23">
        <v>1201.4259366298945</v>
      </c>
      <c r="G8" s="23">
        <v>1362.3419312258852</v>
      </c>
      <c r="H8" s="23">
        <v>1532.0705112209346</v>
      </c>
      <c r="I8" s="23">
        <v>2045.0872102807314</v>
      </c>
      <c r="J8" s="23">
        <v>2572.4692120273221</v>
      </c>
      <c r="K8" s="23">
        <v>2960.5122374041416</v>
      </c>
      <c r="L8" s="23">
        <v>2616.8447601084522</v>
      </c>
      <c r="M8" s="23">
        <v>1642.6870030691898</v>
      </c>
      <c r="N8" s="23">
        <v>1400.7902439024388</v>
      </c>
      <c r="O8" s="23">
        <v>1782.3864468616223</v>
      </c>
      <c r="P8" s="23">
        <v>1956.0381864263588</v>
      </c>
      <c r="Q8" s="23">
        <v>1886.1899573092385</v>
      </c>
      <c r="R8" s="23">
        <v>1704.6168943685436</v>
      </c>
      <c r="S8" s="23">
        <v>1718.4824149999999</v>
      </c>
      <c r="T8" s="23">
        <v>1883.4691248616837</v>
      </c>
      <c r="U8" s="23">
        <v>2041.2613090847187</v>
      </c>
      <c r="V8" s="23">
        <v>2204.8335968379447</v>
      </c>
      <c r="W8" s="23">
        <v>2290.159697129563</v>
      </c>
      <c r="X8" s="23">
        <v>2234.233124163391</v>
      </c>
      <c r="Y8" s="23">
        <v>2310.9291328687304</v>
      </c>
      <c r="Z8" s="23">
        <v>2245.9603179572809</v>
      </c>
      <c r="AA8" s="23">
        <v>2194.6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4254.3852355502768</v>
      </c>
      <c r="E9" s="23">
        <v>4532.2773337767185</v>
      </c>
      <c r="F9" s="23">
        <v>4817.5581098227185</v>
      </c>
      <c r="G9" s="23">
        <v>5234.1357019562711</v>
      </c>
      <c r="H9" s="23">
        <v>5572.8938102568245</v>
      </c>
      <c r="I9" s="23">
        <v>5928.0005981794548</v>
      </c>
      <c r="J9" s="23">
        <v>6472.373076543905</v>
      </c>
      <c r="K9" s="23">
        <v>6558.9648427547272</v>
      </c>
      <c r="L9" s="23">
        <v>6108.1840834610393</v>
      </c>
      <c r="M9" s="23">
        <v>4983.8254126489282</v>
      </c>
      <c r="N9" s="23">
        <v>5377.6606271777</v>
      </c>
      <c r="O9" s="23">
        <v>5890.8693730021578</v>
      </c>
      <c r="P9" s="23">
        <v>6182.7683112016121</v>
      </c>
      <c r="Q9" s="23">
        <v>6235.3199465329299</v>
      </c>
      <c r="R9" s="23">
        <v>6495.8999101309655</v>
      </c>
      <c r="S9" s="23">
        <v>6328.4268670000001</v>
      </c>
      <c r="T9" s="23">
        <v>6509.1896368034004</v>
      </c>
      <c r="U9" s="23">
        <v>6866.9350148480189</v>
      </c>
      <c r="V9" s="23">
        <v>7137.1217391304353</v>
      </c>
      <c r="W9" s="23">
        <v>7294.4975524747679</v>
      </c>
      <c r="X9" s="23">
        <v>6648.2807040728458</v>
      </c>
      <c r="Y9" s="23">
        <v>7129.0031801341574</v>
      </c>
      <c r="Z9" s="23">
        <v>6873.1719000904468</v>
      </c>
      <c r="AA9" s="23">
        <v>6321.4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889.33651623119545</v>
      </c>
      <c r="E10" s="23">
        <v>893.62335901272877</v>
      </c>
      <c r="F10" s="23">
        <v>953.58703873400748</v>
      </c>
      <c r="G10" s="23">
        <v>1025.859887971299</v>
      </c>
      <c r="H10" s="23">
        <v>1074.7814307704771</v>
      </c>
      <c r="I10" s="23">
        <v>1121.0284953721412</v>
      </c>
      <c r="J10" s="23">
        <v>1197.0045588338849</v>
      </c>
      <c r="K10" s="23">
        <v>1279.0069367771589</v>
      </c>
      <c r="L10" s="23">
        <v>1352.3130814570316</v>
      </c>
      <c r="M10" s="23">
        <v>1285.9838529205635</v>
      </c>
      <c r="N10" s="23">
        <v>1271.4262195121951</v>
      </c>
      <c r="O10" s="23">
        <v>1306.7064315001185</v>
      </c>
      <c r="P10" s="23">
        <v>1363.3301496869788</v>
      </c>
      <c r="Q10" s="23">
        <v>1376.2248829112614</v>
      </c>
      <c r="R10" s="23">
        <v>1431.1768198479294</v>
      </c>
      <c r="S10" s="23">
        <v>1530.286298</v>
      </c>
      <c r="T10" s="23">
        <v>1618.1443160564427</v>
      </c>
      <c r="U10" s="23">
        <v>1759.2692778376741</v>
      </c>
      <c r="V10" s="23">
        <v>1979.8044795783928</v>
      </c>
      <c r="W10" s="23">
        <v>2198.0229479273871</v>
      </c>
      <c r="X10" s="23">
        <v>2425.2319799810725</v>
      </c>
      <c r="Y10" s="23">
        <v>2407.3135928906004</v>
      </c>
      <c r="Z10" s="23">
        <v>2616.6771022055241</v>
      </c>
      <c r="AA10" s="23">
        <v>3077.3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727.075954077593</v>
      </c>
      <c r="E11" s="23">
        <v>743.33741247759974</v>
      </c>
      <c r="F11" s="23">
        <v>857.09803510379572</v>
      </c>
      <c r="G11" s="23">
        <v>780.18299092939822</v>
      </c>
      <c r="H11" s="23">
        <v>851.71358664830257</v>
      </c>
      <c r="I11" s="23">
        <v>987.00288533618914</v>
      </c>
      <c r="J11" s="23">
        <v>1114.6044658826843</v>
      </c>
      <c r="K11" s="23">
        <v>1369.080599755202</v>
      </c>
      <c r="L11" s="23">
        <v>1463.6995673700342</v>
      </c>
      <c r="M11" s="23">
        <v>1055.5539959883033</v>
      </c>
      <c r="N11" s="23">
        <v>1212.2510452961671</v>
      </c>
      <c r="O11" s="23">
        <v>1172.766813504569</v>
      </c>
      <c r="P11" s="23">
        <v>1185.9243994107835</v>
      </c>
      <c r="Q11" s="23">
        <v>1086.8772485182576</v>
      </c>
      <c r="R11" s="23">
        <v>1131.0404006745225</v>
      </c>
      <c r="S11" s="23">
        <v>1218.816249</v>
      </c>
      <c r="T11" s="23">
        <v>1217.7060653538449</v>
      </c>
      <c r="U11" s="23">
        <v>1273.8464790330816</v>
      </c>
      <c r="V11" s="23">
        <v>1338.5985507246378</v>
      </c>
      <c r="W11" s="23">
        <v>1461.3348430729845</v>
      </c>
      <c r="X11" s="23">
        <v>1585.6106131009728</v>
      </c>
      <c r="Y11" s="23">
        <v>1614.6631130551154</v>
      </c>
      <c r="Z11" s="23">
        <v>1596.9338398385862</v>
      </c>
      <c r="AA11" s="23">
        <v>2048.9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1939.6949643705461</v>
      </c>
      <c r="E12" s="23">
        <v>2064.9867076798018</v>
      </c>
      <c r="F12" s="23">
        <v>2042.8100482853415</v>
      </c>
      <c r="G12" s="23">
        <v>2061.5150832600016</v>
      </c>
      <c r="H12" s="23">
        <v>2128.5235080612492</v>
      </c>
      <c r="I12" s="23">
        <v>2315.0530819245773</v>
      </c>
      <c r="J12" s="23">
        <v>2479.9343482853319</v>
      </c>
      <c r="K12" s="23">
        <v>2553.1291846726449</v>
      </c>
      <c r="L12" s="23">
        <v>2516.1543274784863</v>
      </c>
      <c r="M12" s="23">
        <v>2433.7854044321998</v>
      </c>
      <c r="N12" s="23">
        <v>2279.4575783972123</v>
      </c>
      <c r="O12" s="23">
        <v>2431.2337783651296</v>
      </c>
      <c r="P12" s="23">
        <v>2766.4791640491303</v>
      </c>
      <c r="Q12" s="23">
        <v>2990.2497544245039</v>
      </c>
      <c r="R12" s="23">
        <v>3119.8390940393606</v>
      </c>
      <c r="S12" s="23">
        <v>3446.194731</v>
      </c>
      <c r="T12" s="23">
        <v>3636.8800726589043</v>
      </c>
      <c r="U12" s="23">
        <v>3901.4322476309367</v>
      </c>
      <c r="V12" s="23">
        <v>3892.4108036890643</v>
      </c>
      <c r="W12" s="23">
        <v>4021.9517526183326</v>
      </c>
      <c r="X12" s="23">
        <v>3857.5900195244221</v>
      </c>
      <c r="Y12" s="23">
        <v>4057.4666130795968</v>
      </c>
      <c r="Z12" s="23">
        <v>4071.1364057608016</v>
      </c>
      <c r="AA12" s="23">
        <v>3567.7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819.35390736342038</v>
      </c>
      <c r="E13" s="23">
        <v>937.55309723068956</v>
      </c>
      <c r="F13" s="23">
        <v>1066.6170144151129</v>
      </c>
      <c r="G13" s="23">
        <v>1309.9238001759968</v>
      </c>
      <c r="H13" s="23">
        <v>1513.8195057927569</v>
      </c>
      <c r="I13" s="23">
        <v>1794.9858486957853</v>
      </c>
      <c r="J13" s="23">
        <v>1996.1092035772128</v>
      </c>
      <c r="K13" s="23">
        <v>2166.0664376889063</v>
      </c>
      <c r="L13" s="23">
        <v>2194.1662407167273</v>
      </c>
      <c r="M13" s="23">
        <v>2032.0926677783418</v>
      </c>
      <c r="N13" s="23">
        <v>2071.1310975609754</v>
      </c>
      <c r="O13" s="23">
        <v>2189.3296397953304</v>
      </c>
      <c r="P13" s="23">
        <v>2294.9221411086801</v>
      </c>
      <c r="Q13" s="23">
        <v>2326.7764392589215</v>
      </c>
      <c r="R13" s="23">
        <v>2366.8126149869231</v>
      </c>
      <c r="S13" s="23">
        <v>2408.5348439999998</v>
      </c>
      <c r="T13" s="23">
        <v>2505.4198891511051</v>
      </c>
      <c r="U13" s="23">
        <v>2753.1950207115701</v>
      </c>
      <c r="V13" s="23">
        <v>2963.0716073781291</v>
      </c>
      <c r="W13" s="23">
        <v>3078.3956748856235</v>
      </c>
      <c r="X13" s="23">
        <v>3022.7702998576169</v>
      </c>
      <c r="Y13" s="23">
        <v>3455.7977917775124</v>
      </c>
      <c r="Z13" s="23">
        <v>3364.750049398177</v>
      </c>
      <c r="AA13" s="23">
        <v>3389.1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2492.1240538400607</v>
      </c>
      <c r="E14" s="23">
        <v>2531.7401762456379</v>
      </c>
      <c r="F14" s="23">
        <v>2663.64786592888</v>
      </c>
      <c r="G14" s="23">
        <v>2835.6090993704715</v>
      </c>
      <c r="H14" s="23">
        <v>2999.2485586972361</v>
      </c>
      <c r="I14" s="23">
        <v>3213.5033320584389</v>
      </c>
      <c r="J14" s="23">
        <v>3320.0187184001161</v>
      </c>
      <c r="K14" s="23">
        <v>3608.4173706691963</v>
      </c>
      <c r="L14" s="23">
        <v>3971.0019886832542</v>
      </c>
      <c r="M14" s="23">
        <v>3899.3495396215458</v>
      </c>
      <c r="N14" s="23">
        <v>3737.9296167247376</v>
      </c>
      <c r="O14" s="23">
        <v>3743.4179514983111</v>
      </c>
      <c r="P14" s="23">
        <v>3750.4287264692493</v>
      </c>
      <c r="Q14" s="23">
        <v>3892.6577547975262</v>
      </c>
      <c r="R14" s="23">
        <v>4049.7880938677017</v>
      </c>
      <c r="S14" s="23">
        <v>4321.0016190000006</v>
      </c>
      <c r="T14" s="23">
        <v>4460.7350505772556</v>
      </c>
      <c r="U14" s="23">
        <v>4662.0413938224647</v>
      </c>
      <c r="V14" s="23">
        <v>4854.7843873517759</v>
      </c>
      <c r="W14" s="23">
        <v>5083.2155716225425</v>
      </c>
      <c r="X14" s="23">
        <v>5376.7778461748394</v>
      </c>
      <c r="Y14" s="23">
        <v>5601.0222503305004</v>
      </c>
      <c r="Z14" s="23">
        <v>5276.6734293466916</v>
      </c>
      <c r="AA14" s="23">
        <v>5622.4999999999964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451.48072446555818</v>
      </c>
      <c r="E15" s="23">
        <v>480.91502891241294</v>
      </c>
      <c r="F15" s="23">
        <v>535.92749444894787</v>
      </c>
      <c r="G15" s="23">
        <v>582.42367833209232</v>
      </c>
      <c r="H15" s="23">
        <v>627.88528396662059</v>
      </c>
      <c r="I15" s="23">
        <v>683.29127973686229</v>
      </c>
      <c r="J15" s="23">
        <v>724.63611154144075</v>
      </c>
      <c r="K15" s="23">
        <v>753.80518821971873</v>
      </c>
      <c r="L15" s="23">
        <v>646.18915006483553</v>
      </c>
      <c r="M15" s="23">
        <v>565.58337320863234</v>
      </c>
      <c r="N15" s="23">
        <v>540.41681184668982</v>
      </c>
      <c r="O15" s="23">
        <v>557.31603582844809</v>
      </c>
      <c r="P15" s="23">
        <v>595.757992331521</v>
      </c>
      <c r="Q15" s="23">
        <v>640.45518402619473</v>
      </c>
      <c r="R15" s="23">
        <v>675.62287621297946</v>
      </c>
      <c r="S15" s="23">
        <v>703.97550000000001</v>
      </c>
      <c r="T15" s="23">
        <v>728.26451562362286</v>
      </c>
      <c r="U15" s="23">
        <v>783.68929145624088</v>
      </c>
      <c r="V15" s="23">
        <v>835.17707509881427</v>
      </c>
      <c r="W15" s="23">
        <v>869.81961912010161</v>
      </c>
      <c r="X15" s="23">
        <v>846.95721678929829</v>
      </c>
      <c r="Y15" s="23">
        <v>917.8864470956895</v>
      </c>
      <c r="Z15" s="23">
        <v>974.13834968343417</v>
      </c>
      <c r="AA15" s="23">
        <v>954.9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17071.111700316702</v>
      </c>
      <c r="E16" s="30">
        <f t="shared" ref="E16:S16" si="0">SUM(E6:E15)</f>
        <v>18011.192669363929</v>
      </c>
      <c r="F16" s="30">
        <f t="shared" si="0"/>
        <v>19200.760356677125</v>
      </c>
      <c r="G16" s="30">
        <f t="shared" si="0"/>
        <v>20675.775842753668</v>
      </c>
      <c r="H16" s="30">
        <f t="shared" si="0"/>
        <v>21969.140811796158</v>
      </c>
      <c r="I16" s="30">
        <f t="shared" si="0"/>
        <v>24064.53761340167</v>
      </c>
      <c r="J16" s="30">
        <f t="shared" si="0"/>
        <v>26300.831807619183</v>
      </c>
      <c r="K16" s="30">
        <f t="shared" si="0"/>
        <v>28148.703537081907</v>
      </c>
      <c r="L16" s="30">
        <f t="shared" si="0"/>
        <v>27302.966907933514</v>
      </c>
      <c r="M16" s="30">
        <f t="shared" si="0"/>
        <v>23134.477121245072</v>
      </c>
      <c r="N16" s="30">
        <f t="shared" si="0"/>
        <v>23976.959233449474</v>
      </c>
      <c r="O16" s="30">
        <f t="shared" si="0"/>
        <v>25874.377655789369</v>
      </c>
      <c r="P16" s="30">
        <f t="shared" si="0"/>
        <v>26694.736320213156</v>
      </c>
      <c r="Q16" s="30">
        <f t="shared" si="0"/>
        <v>27161.070545447004</v>
      </c>
      <c r="R16" s="30">
        <f t="shared" si="0"/>
        <v>28027.528655094768</v>
      </c>
      <c r="S16" s="30">
        <f t="shared" si="0"/>
        <v>28477.686243000004</v>
      </c>
      <c r="T16" s="30">
        <f t="shared" ref="T16:Y16" si="1">SUM(T6:T15)</f>
        <v>29278.102444159376</v>
      </c>
      <c r="U16" s="30">
        <f t="shared" si="1"/>
        <v>31181.276252624404</v>
      </c>
      <c r="V16" s="30">
        <f t="shared" si="1"/>
        <v>32458.120816864292</v>
      </c>
      <c r="W16" s="30">
        <f t="shared" si="1"/>
        <v>33475.540432597918</v>
      </c>
      <c r="X16" s="30">
        <f t="shared" si="1"/>
        <v>32571.040217752736</v>
      </c>
      <c r="Y16" s="30">
        <f t="shared" si="1"/>
        <v>35131.050554911781</v>
      </c>
      <c r="Z16" s="30">
        <f t="shared" ref="Z16:AA16" si="2">SUM(Z6:Z15)</f>
        <v>34863.486375843597</v>
      </c>
      <c r="AA16" s="30">
        <f t="shared" si="2"/>
        <v>33826.5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742.55883214568485</v>
      </c>
      <c r="E18" s="19">
        <v>705.476914408173</v>
      </c>
      <c r="F18" s="19">
        <v>766.39837169139662</v>
      </c>
      <c r="G18" s="19">
        <v>801.09729574223252</v>
      </c>
      <c r="H18" s="19">
        <v>897.0876140322448</v>
      </c>
      <c r="I18" s="19">
        <v>892.46696397154449</v>
      </c>
      <c r="J18" s="19">
        <v>940.11015139778885</v>
      </c>
      <c r="K18" s="19">
        <v>1257.905080808333</v>
      </c>
      <c r="L18" s="19">
        <v>1042.4963656725213</v>
      </c>
      <c r="M18" s="19">
        <v>660.09931124483433</v>
      </c>
      <c r="N18" s="19">
        <v>872.69381533101034</v>
      </c>
      <c r="O18" s="19">
        <v>1084.4161420035468</v>
      </c>
      <c r="P18" s="19">
        <v>1006.4853454064944</v>
      </c>
      <c r="Q18" s="19">
        <v>946.66116798607368</v>
      </c>
      <c r="R18" s="19">
        <v>1002.1397069663647</v>
      </c>
      <c r="S18" s="19">
        <v>922.52078300000005</v>
      </c>
      <c r="T18" s="19">
        <v>704.21371020651964</v>
      </c>
      <c r="U18" s="19">
        <v>841.38965461801808</v>
      </c>
      <c r="V18" s="19">
        <v>764.87312252964421</v>
      </c>
      <c r="W18" s="19">
        <v>872.79613671547304</v>
      </c>
      <c r="X18" s="19">
        <v>717.84625838740214</v>
      </c>
      <c r="Y18" s="19">
        <v>780.39497233601526</v>
      </c>
      <c r="Z18" s="19">
        <v>966.62823279760664</v>
      </c>
      <c r="AA18" s="19">
        <v>658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202.12677875527581</v>
      </c>
      <c r="E19" s="23">
        <v>208.0882336640247</v>
      </c>
      <c r="F19" s="23">
        <v>216.20042995230406</v>
      </c>
      <c r="G19" s="23">
        <v>231.91051919041493</v>
      </c>
      <c r="H19" s="23">
        <v>231.99465390765133</v>
      </c>
      <c r="I19" s="23">
        <v>227.36487416813287</v>
      </c>
      <c r="J19" s="23">
        <v>253.14894866558697</v>
      </c>
      <c r="K19" s="23">
        <v>298.74757200309739</v>
      </c>
      <c r="L19" s="23">
        <v>268.13899092302262</v>
      </c>
      <c r="M19" s="23">
        <v>286.95038787790912</v>
      </c>
      <c r="N19" s="23">
        <v>334.89041811846676</v>
      </c>
      <c r="O19" s="23">
        <v>360.47073972417076</v>
      </c>
      <c r="P19" s="23">
        <v>344.77082064901282</v>
      </c>
      <c r="Q19" s="23">
        <v>413.67796244870885</v>
      </c>
      <c r="R19" s="23">
        <v>427.45744751749419</v>
      </c>
      <c r="S19" s="23">
        <v>387.81228099999998</v>
      </c>
      <c r="T19" s="23">
        <v>312.84819478334606</v>
      </c>
      <c r="U19" s="23">
        <v>378.30725283247267</v>
      </c>
      <c r="V19" s="23">
        <v>345.3081686429511</v>
      </c>
      <c r="W19" s="23">
        <v>298.3582839347701</v>
      </c>
      <c r="X19" s="23">
        <v>222.31774427047941</v>
      </c>
      <c r="Y19" s="23">
        <v>188.17310473143897</v>
      </c>
      <c r="Z19" s="23">
        <v>197.65756905308558</v>
      </c>
      <c r="AA19" s="23">
        <v>186.81156584731607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2955.991080760095</v>
      </c>
      <c r="E20" s="23">
        <v>3240.9742393171869</v>
      </c>
      <c r="F20" s="23">
        <v>3379.5962728650475</v>
      </c>
      <c r="G20" s="23">
        <v>3645.442750287687</v>
      </c>
      <c r="H20" s="23">
        <v>3697.8564886980466</v>
      </c>
      <c r="I20" s="23">
        <v>3981.7572753002378</v>
      </c>
      <c r="J20" s="23">
        <v>4325.3439166255903</v>
      </c>
      <c r="K20" s="23">
        <v>4444.8714947668168</v>
      </c>
      <c r="L20" s="23">
        <v>4212.216431686903</v>
      </c>
      <c r="M20" s="23">
        <v>3283.1056236255104</v>
      </c>
      <c r="N20" s="23">
        <v>3783.4777003484314</v>
      </c>
      <c r="O20" s="23">
        <v>4305.1515209018107</v>
      </c>
      <c r="P20" s="23">
        <v>4252.8241892857914</v>
      </c>
      <c r="Q20" s="23">
        <v>4210.372804327103</v>
      </c>
      <c r="R20" s="23">
        <v>4491.4625296618296</v>
      </c>
      <c r="S20" s="23">
        <v>4488.2349100000001</v>
      </c>
      <c r="T20" s="23">
        <v>4626.3332713154005</v>
      </c>
      <c r="U20" s="23">
        <v>4799.4866178668026</v>
      </c>
      <c r="V20" s="23">
        <v>4931.864624505929</v>
      </c>
      <c r="W20" s="23">
        <v>4961.7195352296603</v>
      </c>
      <c r="X20" s="23">
        <v>4678.9384511761546</v>
      </c>
      <c r="Y20" s="23">
        <v>5232.463394591241</v>
      </c>
      <c r="Z20" s="23">
        <v>4739.6456508731653</v>
      </c>
      <c r="AA20" s="23">
        <v>4376.8999999999996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436.7548006488426</v>
      </c>
      <c r="E21" s="23">
        <v>443.92156514991939</v>
      </c>
      <c r="F21" s="23">
        <v>520.92169920905917</v>
      </c>
      <c r="G21" s="23">
        <v>620.01647938807275</v>
      </c>
      <c r="H21" s="23">
        <v>634.11872068091361</v>
      </c>
      <c r="I21" s="23">
        <v>666.77740992886129</v>
      </c>
      <c r="J21" s="23">
        <v>664.04780790085215</v>
      </c>
      <c r="K21" s="23">
        <v>650.83594659405981</v>
      </c>
      <c r="L21" s="23">
        <v>629.40741129317485</v>
      </c>
      <c r="M21" s="23">
        <v>759.34104618284641</v>
      </c>
      <c r="N21" s="23">
        <v>832.18588850174183</v>
      </c>
      <c r="O21" s="23">
        <v>811.76596975139216</v>
      </c>
      <c r="P21" s="23">
        <v>759.34290818126556</v>
      </c>
      <c r="Q21" s="23">
        <v>940.66348592862744</v>
      </c>
      <c r="R21" s="23">
        <v>905.3062201488392</v>
      </c>
      <c r="S21" s="23">
        <v>777.97114699999997</v>
      </c>
      <c r="T21" s="23">
        <v>833.59795681497849</v>
      </c>
      <c r="U21" s="23">
        <v>859.29156216308218</v>
      </c>
      <c r="V21" s="23">
        <v>953.90322793148835</v>
      </c>
      <c r="W21" s="23">
        <v>775.19029871306009</v>
      </c>
      <c r="X21" s="23">
        <v>716.29790310542592</v>
      </c>
      <c r="Y21" s="23">
        <v>1142.6984127890842</v>
      </c>
      <c r="Z21" s="23">
        <v>1723.9527732554091</v>
      </c>
      <c r="AA21" s="23">
        <v>1223.3757414401589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147.33896889358545</v>
      </c>
      <c r="E22" s="23">
        <v>165.02552975299739</v>
      </c>
      <c r="F22" s="23">
        <v>178.97203959061906</v>
      </c>
      <c r="G22" s="23">
        <v>185.31662492384757</v>
      </c>
      <c r="H22" s="23">
        <v>207.14713906289742</v>
      </c>
      <c r="I22" s="23">
        <v>208.21835844871117</v>
      </c>
      <c r="J22" s="23">
        <v>241.03128793746927</v>
      </c>
      <c r="K22" s="23">
        <v>247.36064496790141</v>
      </c>
      <c r="L22" s="23">
        <v>282.15450901803615</v>
      </c>
      <c r="M22" s="23">
        <v>246.11950264626984</v>
      </c>
      <c r="N22" s="23">
        <v>262.64817073170724</v>
      </c>
      <c r="O22" s="23">
        <v>238.54681305276003</v>
      </c>
      <c r="P22" s="23">
        <v>235.66398600627858</v>
      </c>
      <c r="Q22" s="23">
        <v>214.94395697765984</v>
      </c>
      <c r="R22" s="23">
        <v>226.36604667131158</v>
      </c>
      <c r="S22" s="23">
        <v>225.42859900000002</v>
      </c>
      <c r="T22" s="23">
        <v>241.30063995287466</v>
      </c>
      <c r="U22" s="23">
        <v>261.13113071932509</v>
      </c>
      <c r="V22" s="23">
        <v>256.36943346508554</v>
      </c>
      <c r="W22" s="23">
        <v>270.07851915365126</v>
      </c>
      <c r="X22" s="23">
        <v>238.18805714881594</v>
      </c>
      <c r="Y22" s="23">
        <v>293.2385492320999</v>
      </c>
      <c r="Z22" s="23">
        <v>216.16075558338545</v>
      </c>
      <c r="AA22" s="23">
        <v>205.01269271252565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1012.8898832145685</v>
      </c>
      <c r="E23" s="23">
        <v>1063.273071736038</v>
      </c>
      <c r="F23" s="23">
        <v>1201.4259366298945</v>
      </c>
      <c r="G23" s="23">
        <v>1362.3419312258852</v>
      </c>
      <c r="H23" s="23">
        <v>1532.0705112209346</v>
      </c>
      <c r="I23" s="23">
        <v>2045.0872102807314</v>
      </c>
      <c r="J23" s="23">
        <v>2572.4692120273221</v>
      </c>
      <c r="K23" s="23">
        <v>2960.5122374041416</v>
      </c>
      <c r="L23" s="23">
        <v>2616.8447601084522</v>
      </c>
      <c r="M23" s="23">
        <v>1642.6870030691898</v>
      </c>
      <c r="N23" s="23">
        <v>1400.7902439024388</v>
      </c>
      <c r="O23" s="23">
        <v>1782.3864468616223</v>
      </c>
      <c r="P23" s="23">
        <v>1956.0381864263588</v>
      </c>
      <c r="Q23" s="23">
        <v>1886.1899573092385</v>
      </c>
      <c r="R23" s="23">
        <v>1704.6168943685436</v>
      </c>
      <c r="S23" s="23">
        <v>1718.4824149999999</v>
      </c>
      <c r="T23" s="23">
        <v>1883.4691248616837</v>
      </c>
      <c r="U23" s="23">
        <v>2041.2613090847187</v>
      </c>
      <c r="V23" s="23">
        <v>2204.8335968379447</v>
      </c>
      <c r="W23" s="23">
        <v>2290.159697129563</v>
      </c>
      <c r="X23" s="23">
        <v>2234.233124163391</v>
      </c>
      <c r="Y23" s="23">
        <v>2310.9291328687304</v>
      </c>
      <c r="Z23" s="23">
        <v>2245.9603179572809</v>
      </c>
      <c r="AA23" s="23">
        <v>2194.6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2152.4297090261284</v>
      </c>
      <c r="E24" s="23">
        <v>2401.9740416412646</v>
      </c>
      <c r="F24" s="23">
        <v>2706.9300761287136</v>
      </c>
      <c r="G24" s="23">
        <v>2914.501033980911</v>
      </c>
      <c r="H24" s="23">
        <v>3083.912944989062</v>
      </c>
      <c r="I24" s="23">
        <v>3430.0982911343995</v>
      </c>
      <c r="J24" s="23">
        <v>3768.592486444616</v>
      </c>
      <c r="K24" s="23">
        <v>3849.5256138685581</v>
      </c>
      <c r="L24" s="23">
        <v>3467.9186549569722</v>
      </c>
      <c r="M24" s="23">
        <v>2704.1009872157374</v>
      </c>
      <c r="N24" s="23">
        <v>2793.1802264808362</v>
      </c>
      <c r="O24" s="23">
        <v>3095.9842307388208</v>
      </c>
      <c r="P24" s="23">
        <v>3291.7492938067285</v>
      </c>
      <c r="Q24" s="23">
        <v>3277.976393666846</v>
      </c>
      <c r="R24" s="23">
        <v>3457.8874819504608</v>
      </c>
      <c r="S24" s="23">
        <v>3352.8006480000004</v>
      </c>
      <c r="T24" s="23">
        <v>3672.2669264891651</v>
      </c>
      <c r="U24" s="23">
        <v>3928.359083773099</v>
      </c>
      <c r="V24" s="23">
        <v>4214.4254940711462</v>
      </c>
      <c r="W24" s="23">
        <v>4311.4857368953608</v>
      </c>
      <c r="X24" s="23">
        <v>4175.0322519588362</v>
      </c>
      <c r="Y24" s="23">
        <v>4411.3443921267808</v>
      </c>
      <c r="Z24" s="23">
        <v>4158.2102247269186</v>
      </c>
      <c r="AA24" s="23">
        <v>3917.9999999999995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1828.5278998416468</v>
      </c>
      <c r="E25" s="23">
        <v>1849.0951652533761</v>
      </c>
      <c r="F25" s="23">
        <v>1817.3014626581607</v>
      </c>
      <c r="G25" s="23">
        <v>1995.3305743586272</v>
      </c>
      <c r="H25" s="23">
        <v>2132.5792870452883</v>
      </c>
      <c r="I25" s="23">
        <v>2085.7735561845025</v>
      </c>
      <c r="J25" s="23">
        <v>2269.7480149285266</v>
      </c>
      <c r="K25" s="23">
        <v>2270.7941673119676</v>
      </c>
      <c r="L25" s="23">
        <v>2169.4546693386774</v>
      </c>
      <c r="M25" s="23">
        <v>1937.7657616182121</v>
      </c>
      <c r="N25" s="23">
        <v>2236.5229094076653</v>
      </c>
      <c r="O25" s="23">
        <v>2380.8738956095467</v>
      </c>
      <c r="P25" s="23">
        <v>2435.2200983471612</v>
      </c>
      <c r="Q25" s="23">
        <v>2460.5085391884613</v>
      </c>
      <c r="R25" s="23">
        <v>2517.1967576464408</v>
      </c>
      <c r="S25" s="23">
        <v>2445.923765</v>
      </c>
      <c r="T25" s="23">
        <v>2267.9756318484933</v>
      </c>
      <c r="U25" s="23">
        <v>2325.4725850687546</v>
      </c>
      <c r="V25" s="23">
        <v>2294.3370223978918</v>
      </c>
      <c r="W25" s="23">
        <v>2321.2778356266267</v>
      </c>
      <c r="X25" s="23">
        <v>2074.7117334106351</v>
      </c>
      <c r="Y25" s="23">
        <v>2273.779625760963</v>
      </c>
      <c r="Z25" s="23">
        <v>2136.5738328810962</v>
      </c>
      <c r="AA25" s="23">
        <v>1794.9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273.42762668250197</v>
      </c>
      <c r="E26" s="23">
        <v>281.20812688207798</v>
      </c>
      <c r="F26" s="23">
        <v>293.32657103584393</v>
      </c>
      <c r="G26" s="23">
        <v>324.30409361673321</v>
      </c>
      <c r="H26" s="23">
        <v>356.4015782224742</v>
      </c>
      <c r="I26" s="23">
        <v>412.12875086055232</v>
      </c>
      <c r="J26" s="23">
        <v>434.03257517076264</v>
      </c>
      <c r="K26" s="23">
        <v>438.64506157420124</v>
      </c>
      <c r="L26" s="23">
        <v>470.81075916538958</v>
      </c>
      <c r="M26" s="23">
        <v>341.95866381497865</v>
      </c>
      <c r="N26" s="23">
        <v>347.95749128919857</v>
      </c>
      <c r="O26" s="23">
        <v>414.01124665379012</v>
      </c>
      <c r="P26" s="23">
        <v>455.79891904772217</v>
      </c>
      <c r="Q26" s="23">
        <v>496.83501367762261</v>
      </c>
      <c r="R26" s="23">
        <v>520.81567053406434</v>
      </c>
      <c r="S26" s="23">
        <v>529.70245399999999</v>
      </c>
      <c r="T26" s="23">
        <v>568.94707846574158</v>
      </c>
      <c r="U26" s="23">
        <v>613.10334600616613</v>
      </c>
      <c r="V26" s="23">
        <v>628.35922266139664</v>
      </c>
      <c r="W26" s="23">
        <v>661.73397995277912</v>
      </c>
      <c r="X26" s="23">
        <v>398.53671870337371</v>
      </c>
      <c r="Y26" s="23">
        <v>443.87916224641339</v>
      </c>
      <c r="Z26" s="23">
        <v>578.38784248243223</v>
      </c>
      <c r="AA26" s="23">
        <v>608.5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889.33651623119545</v>
      </c>
      <c r="E27" s="23">
        <v>893.62335901272877</v>
      </c>
      <c r="F27" s="23">
        <v>953.58703873400748</v>
      </c>
      <c r="G27" s="23">
        <v>1025.859887971299</v>
      </c>
      <c r="H27" s="23">
        <v>1074.7814307704771</v>
      </c>
      <c r="I27" s="23">
        <v>1121.0284953721412</v>
      </c>
      <c r="J27" s="23">
        <v>1197.0045588338849</v>
      </c>
      <c r="K27" s="23">
        <v>1279.0069367771589</v>
      </c>
      <c r="L27" s="23">
        <v>1352.3130814570316</v>
      </c>
      <c r="M27" s="23">
        <v>1285.9838529205635</v>
      </c>
      <c r="N27" s="23">
        <v>1271.4262195121951</v>
      </c>
      <c r="O27" s="23">
        <v>1306.7064315001185</v>
      </c>
      <c r="P27" s="23">
        <v>1363.3301496869788</v>
      </c>
      <c r="Q27" s="23">
        <v>1376.2248829112614</v>
      </c>
      <c r="R27" s="23">
        <v>1431.1768198479294</v>
      </c>
      <c r="S27" s="23">
        <v>1530.286298</v>
      </c>
      <c r="T27" s="23">
        <v>1618.1443160564427</v>
      </c>
      <c r="U27" s="23">
        <v>1759.2692778376741</v>
      </c>
      <c r="V27" s="23">
        <v>1979.8044795783928</v>
      </c>
      <c r="W27" s="23">
        <v>2198.0229479273871</v>
      </c>
      <c r="X27" s="23">
        <v>2425.2319799810725</v>
      </c>
      <c r="Y27" s="23">
        <v>2407.3135928906004</v>
      </c>
      <c r="Z27" s="23">
        <v>2616.6771022055241</v>
      </c>
      <c r="AA27" s="23">
        <v>3077.3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727.075954077593</v>
      </c>
      <c r="E28" s="23">
        <v>743.33741247759974</v>
      </c>
      <c r="F28" s="23">
        <v>857.09803510379572</v>
      </c>
      <c r="G28" s="23">
        <v>780.18299092939822</v>
      </c>
      <c r="H28" s="23">
        <v>851.71358664830257</v>
      </c>
      <c r="I28" s="23">
        <v>987.00288533618914</v>
      </c>
      <c r="J28" s="23">
        <v>1114.6044658826843</v>
      </c>
      <c r="K28" s="23">
        <v>1369.080599755202</v>
      </c>
      <c r="L28" s="23">
        <v>1463.6995673700342</v>
      </c>
      <c r="M28" s="23">
        <v>1055.5539959883033</v>
      </c>
      <c r="N28" s="23">
        <v>1212.2510452961671</v>
      </c>
      <c r="O28" s="23">
        <v>1172.766813504569</v>
      </c>
      <c r="P28" s="23">
        <v>1185.9243994107835</v>
      </c>
      <c r="Q28" s="23">
        <v>1086.8772485182576</v>
      </c>
      <c r="R28" s="23">
        <v>1131.0404006745225</v>
      </c>
      <c r="S28" s="23">
        <v>1218.816249</v>
      </c>
      <c r="T28" s="23">
        <v>1217.7060653538449</v>
      </c>
      <c r="U28" s="23">
        <v>1273.8464790330816</v>
      </c>
      <c r="V28" s="23">
        <v>1338.5985507246378</v>
      </c>
      <c r="W28" s="23">
        <v>1461.3348430729845</v>
      </c>
      <c r="X28" s="23">
        <v>1585.6106131009728</v>
      </c>
      <c r="Y28" s="23">
        <v>1614.6631130551154</v>
      </c>
      <c r="Z28" s="23">
        <v>1596.9338398385862</v>
      </c>
      <c r="AA28" s="23">
        <v>2048.9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1939.6949643705461</v>
      </c>
      <c r="E29" s="23">
        <v>2064.9867076798018</v>
      </c>
      <c r="F29" s="23">
        <v>2042.8100482853415</v>
      </c>
      <c r="G29" s="23">
        <v>2061.5150832600016</v>
      </c>
      <c r="H29" s="23">
        <v>2128.5235080612492</v>
      </c>
      <c r="I29" s="23">
        <v>2315.0530819245773</v>
      </c>
      <c r="J29" s="23">
        <v>2479.9343482853319</v>
      </c>
      <c r="K29" s="23">
        <v>2553.1291846726449</v>
      </c>
      <c r="L29" s="23">
        <v>2516.1543274784863</v>
      </c>
      <c r="M29" s="23">
        <v>2433.7854044321998</v>
      </c>
      <c r="N29" s="23">
        <v>2279.4575783972123</v>
      </c>
      <c r="O29" s="23">
        <v>2431.2337783651296</v>
      </c>
      <c r="P29" s="23">
        <v>2766.4791640491303</v>
      </c>
      <c r="Q29" s="23">
        <v>2990.2497544245039</v>
      </c>
      <c r="R29" s="23">
        <v>3119.8390940393606</v>
      </c>
      <c r="S29" s="23">
        <v>3446.194731</v>
      </c>
      <c r="T29" s="23">
        <v>3636.8800726589043</v>
      </c>
      <c r="U29" s="23">
        <v>3901.4322476309367</v>
      </c>
      <c r="V29" s="23">
        <v>3892.4108036890643</v>
      </c>
      <c r="W29" s="23">
        <v>4021.9517526183326</v>
      </c>
      <c r="X29" s="23">
        <v>3857.5900195244221</v>
      </c>
      <c r="Y29" s="23">
        <v>4057.4666130795968</v>
      </c>
      <c r="Z29" s="23">
        <v>4071.1364057608016</v>
      </c>
      <c r="AA29" s="23">
        <v>3567.7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579.67895486935868</v>
      </c>
      <c r="E30" s="23">
        <v>636.69219272478699</v>
      </c>
      <c r="F30" s="23">
        <v>703.81836076551633</v>
      </c>
      <c r="G30" s="23">
        <v>777.00613450213223</v>
      </c>
      <c r="H30" s="23">
        <v>971.10558049096642</v>
      </c>
      <c r="I30" s="23">
        <v>1078.4274978964279</v>
      </c>
      <c r="J30" s="23">
        <v>1163.7360721075981</v>
      </c>
      <c r="K30" s="23">
        <v>1301.2811180775857</v>
      </c>
      <c r="L30" s="23">
        <v>1329.630071908523</v>
      </c>
      <c r="M30" s="23">
        <v>1241.5613620435486</v>
      </c>
      <c r="N30" s="23">
        <v>1271.2395470383274</v>
      </c>
      <c r="O30" s="23">
        <v>1290.8033106299345</v>
      </c>
      <c r="P30" s="23">
        <v>1297.078336546585</v>
      </c>
      <c r="Q30" s="23">
        <v>1347.8574677746924</v>
      </c>
      <c r="R30" s="23">
        <v>1399.899445639332</v>
      </c>
      <c r="S30" s="23">
        <v>1410.6104629999998</v>
      </c>
      <c r="T30" s="23">
        <v>1455.3035124998776</v>
      </c>
      <c r="U30" s="23">
        <v>1570.0416765968714</v>
      </c>
      <c r="V30" s="23">
        <v>1697.3181159420292</v>
      </c>
      <c r="W30" s="23">
        <v>1772.9221168066281</v>
      </c>
      <c r="X30" s="23">
        <v>1891.048727502153</v>
      </c>
      <c r="Y30" s="23">
        <v>2239.4386724551582</v>
      </c>
      <c r="Z30" s="23">
        <v>2109.907475822723</v>
      </c>
      <c r="AA30" s="23">
        <v>2014.8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239.67495249406176</v>
      </c>
      <c r="E31" s="23">
        <v>300.86090450590257</v>
      </c>
      <c r="F31" s="23">
        <v>362.79865364959636</v>
      </c>
      <c r="G31" s="23">
        <v>532.91766567386446</v>
      </c>
      <c r="H31" s="23">
        <v>542.71392530179037</v>
      </c>
      <c r="I31" s="23">
        <v>716.55835079935741</v>
      </c>
      <c r="J31" s="23">
        <v>832.37313146961492</v>
      </c>
      <c r="K31" s="23">
        <v>864.78531961132069</v>
      </c>
      <c r="L31" s="23">
        <v>864.53616880820459</v>
      </c>
      <c r="M31" s="23">
        <v>790.53130573479302</v>
      </c>
      <c r="N31" s="23">
        <v>799.891550522648</v>
      </c>
      <c r="O31" s="23">
        <v>898.52632916539596</v>
      </c>
      <c r="P31" s="23">
        <v>997.8438045620951</v>
      </c>
      <c r="Q31" s="23">
        <v>978.91897148422925</v>
      </c>
      <c r="R31" s="23">
        <v>966.91316934759118</v>
      </c>
      <c r="S31" s="23">
        <v>997.92438099999993</v>
      </c>
      <c r="T31" s="23">
        <v>1050.1163766512275</v>
      </c>
      <c r="U31" s="23">
        <v>1183.1533441146985</v>
      </c>
      <c r="V31" s="23">
        <v>1265.7534914361001</v>
      </c>
      <c r="W31" s="23">
        <v>1305.4735580789952</v>
      </c>
      <c r="X31" s="23">
        <v>1131.7215723554639</v>
      </c>
      <c r="Y31" s="23">
        <v>1216.3591193223547</v>
      </c>
      <c r="Z31" s="23">
        <v>1254.842573575454</v>
      </c>
      <c r="AA31" s="23">
        <v>1374.3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1052.8357086302433</v>
      </c>
      <c r="E32" s="23">
        <v>1064.4291174786185</v>
      </c>
      <c r="F32" s="23">
        <v>1143.808217319287</v>
      </c>
      <c r="G32" s="23">
        <v>1214.6181073580167</v>
      </c>
      <c r="H32" s="23">
        <v>1286.1889103135375</v>
      </c>
      <c r="I32" s="23">
        <v>1356.2913072745328</v>
      </c>
      <c r="J32" s="23">
        <v>1403.2251123160374</v>
      </c>
      <c r="K32" s="23">
        <v>1549.4233132665536</v>
      </c>
      <c r="L32" s="23">
        <v>1727.781434633979</v>
      </c>
      <c r="M32" s="23">
        <v>1689.3778764590722</v>
      </c>
      <c r="N32" s="23">
        <v>1633.3841463414624</v>
      </c>
      <c r="O32" s="23">
        <v>1669.6509900263179</v>
      </c>
      <c r="P32" s="23">
        <v>1664.9368693542438</v>
      </c>
      <c r="Q32" s="23">
        <v>1716.1475660048873</v>
      </c>
      <c r="R32" s="23">
        <v>1779.3350660890821</v>
      </c>
      <c r="S32" s="23">
        <v>1881.3354140000006</v>
      </c>
      <c r="T32" s="23">
        <v>1902.9242349761553</v>
      </c>
      <c r="U32" s="23">
        <v>1967.7303334657338</v>
      </c>
      <c r="V32" s="23">
        <v>1966.6754281949904</v>
      </c>
      <c r="W32" s="23">
        <v>2052.0382894998556</v>
      </c>
      <c r="X32" s="23">
        <v>2126.3294409535479</v>
      </c>
      <c r="Y32" s="23">
        <v>2166.5439351406062</v>
      </c>
      <c r="Z32" s="23">
        <v>2067.6766736241561</v>
      </c>
      <c r="AA32" s="23">
        <v>2165.8999999999965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900.17453087885974</v>
      </c>
      <c r="E33" s="23">
        <v>928.30473129006634</v>
      </c>
      <c r="F33" s="23">
        <v>967.922547844782</v>
      </c>
      <c r="G33" s="23">
        <v>1003.8866310160428</v>
      </c>
      <c r="H33" s="23">
        <v>1060.0792319533336</v>
      </c>
      <c r="I33" s="23">
        <v>1113.3698890843725</v>
      </c>
      <c r="J33" s="23">
        <v>1131.5691909020493</v>
      </c>
      <c r="K33" s="23">
        <v>1182.8762595858416</v>
      </c>
      <c r="L33" s="23">
        <v>1307.1314770717904</v>
      </c>
      <c r="M33" s="23">
        <v>1289.5754585659395</v>
      </c>
      <c r="N33" s="23">
        <v>1212.9977351916375</v>
      </c>
      <c r="O33" s="23">
        <v>1178.4212564806342</v>
      </c>
      <c r="P33" s="23">
        <v>1171.8607152914672</v>
      </c>
      <c r="Q33" s="23">
        <v>1219.9609503875326</v>
      </c>
      <c r="R33" s="23">
        <v>1253.6224329263982</v>
      </c>
      <c r="S33" s="23">
        <v>1322.535306</v>
      </c>
      <c r="T33" s="23">
        <v>1369.3640103406742</v>
      </c>
      <c r="U33" s="23">
        <v>1416.4699407970643</v>
      </c>
      <c r="V33" s="23">
        <v>1533.1343873517787</v>
      </c>
      <c r="W33" s="23">
        <v>1623.6903482750565</v>
      </c>
      <c r="X33" s="23">
        <v>1673.5074329220984</v>
      </c>
      <c r="Y33" s="23">
        <v>1688.7068041977441</v>
      </c>
      <c r="Z33" s="23">
        <v>1602.7024803450913</v>
      </c>
      <c r="AA33" s="23">
        <v>1763.1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539.11381433095801</v>
      </c>
      <c r="E34" s="23">
        <v>539.00632747695317</v>
      </c>
      <c r="F34" s="23">
        <v>551.91710076481149</v>
      </c>
      <c r="G34" s="23">
        <v>617.10436099641231</v>
      </c>
      <c r="H34" s="23">
        <v>652.98041643036538</v>
      </c>
      <c r="I34" s="23">
        <v>743.84213569953351</v>
      </c>
      <c r="J34" s="23">
        <v>785.22441518202936</v>
      </c>
      <c r="K34" s="23">
        <v>876.11779781680104</v>
      </c>
      <c r="L34" s="23">
        <v>936.08907697748441</v>
      </c>
      <c r="M34" s="23">
        <v>920.3962045965344</v>
      </c>
      <c r="N34" s="23">
        <v>891.54773519163757</v>
      </c>
      <c r="O34" s="23">
        <v>895.34570499135907</v>
      </c>
      <c r="P34" s="23">
        <v>913.63114182353843</v>
      </c>
      <c r="Q34" s="23">
        <v>956.54923840510639</v>
      </c>
      <c r="R34" s="23">
        <v>1016.830594852221</v>
      </c>
      <c r="S34" s="23">
        <v>1117.130899</v>
      </c>
      <c r="T34" s="23">
        <v>1188.4468052604261</v>
      </c>
      <c r="U34" s="23">
        <v>1277.8411195596664</v>
      </c>
      <c r="V34" s="23">
        <v>1354.9745718050065</v>
      </c>
      <c r="W34" s="23">
        <v>1407.4869338476306</v>
      </c>
      <c r="X34" s="23">
        <v>1576.9409722991925</v>
      </c>
      <c r="Y34" s="23">
        <v>1745.7715109921494</v>
      </c>
      <c r="Z34" s="23">
        <v>1606.2942753774437</v>
      </c>
      <c r="AA34" s="23">
        <v>1693.5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280.54975059382429</v>
      </c>
      <c r="E35" s="23">
        <v>293.34660717914613</v>
      </c>
      <c r="F35" s="23">
        <v>318.96507771472875</v>
      </c>
      <c r="G35" s="23">
        <v>344.95366039396197</v>
      </c>
      <c r="H35" s="23">
        <v>379.72230738070158</v>
      </c>
      <c r="I35" s="23">
        <v>439.17320431423548</v>
      </c>
      <c r="J35" s="23">
        <v>488.45188789521865</v>
      </c>
      <c r="K35" s="23">
        <v>516.60469612569625</v>
      </c>
      <c r="L35" s="23">
        <v>411.06039254980544</v>
      </c>
      <c r="M35" s="23">
        <v>347.25155634500589</v>
      </c>
      <c r="N35" s="23">
        <v>328.54355400696863</v>
      </c>
      <c r="O35" s="23">
        <v>335.37914901788031</v>
      </c>
      <c r="P35" s="23">
        <v>365.82522907956587</v>
      </c>
      <c r="Q35" s="23">
        <v>382.23065652588389</v>
      </c>
      <c r="R35" s="23">
        <v>408.34349661224036</v>
      </c>
      <c r="S35" s="23">
        <v>425.82695799999999</v>
      </c>
      <c r="T35" s="23">
        <v>449.45900059733054</v>
      </c>
      <c r="U35" s="23">
        <v>494.0038784542927</v>
      </c>
      <c r="V35" s="23">
        <v>528.83254281949939</v>
      </c>
      <c r="W35" s="23">
        <v>563.10301054252034</v>
      </c>
      <c r="X35" s="23">
        <v>543.65316781624881</v>
      </c>
      <c r="Y35" s="23">
        <v>586.22177539129427</v>
      </c>
      <c r="Z35" s="23">
        <v>632.04708342030199</v>
      </c>
      <c r="AA35" s="23">
        <v>610.09999999999991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163.49919239904986</v>
      </c>
      <c r="E36" s="23">
        <v>180.34313584215485</v>
      </c>
      <c r="F36" s="23">
        <v>208.14056497374261</v>
      </c>
      <c r="G36" s="23">
        <v>228.733662763149</v>
      </c>
      <c r="H36" s="23">
        <v>239.03747387183014</v>
      </c>
      <c r="I36" s="23">
        <v>234.78414900940871</v>
      </c>
      <c r="J36" s="23">
        <v>226.49009506372792</v>
      </c>
      <c r="K36" s="23">
        <v>228.40805210701171</v>
      </c>
      <c r="L36" s="23">
        <v>224.61711894376987</v>
      </c>
      <c r="M36" s="23">
        <v>209.63635056429592</v>
      </c>
      <c r="N36" s="23">
        <v>203.84634146341463</v>
      </c>
      <c r="O36" s="23">
        <v>212.21831294545535</v>
      </c>
      <c r="P36" s="23">
        <v>216.71628901934452</v>
      </c>
      <c r="Q36" s="23">
        <v>243.79767065942721</v>
      </c>
      <c r="R36" s="23">
        <v>250.21899366877707</v>
      </c>
      <c r="S36" s="23">
        <v>260.470935</v>
      </c>
      <c r="T36" s="23">
        <v>260.11635412892548</v>
      </c>
      <c r="U36" s="23">
        <v>270.45195861468915</v>
      </c>
      <c r="V36" s="23">
        <v>287.14505928853754</v>
      </c>
      <c r="W36" s="23">
        <v>287.09865169899763</v>
      </c>
      <c r="X36" s="23">
        <v>284.36421829839117</v>
      </c>
      <c r="Y36" s="23">
        <v>310.98350279904025</v>
      </c>
      <c r="Z36" s="23">
        <v>321.19354971126421</v>
      </c>
      <c r="AA36" s="23">
        <v>323.7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7.4317814726840847</v>
      </c>
      <c r="E37" s="23">
        <v>7.2252858911119731</v>
      </c>
      <c r="F37" s="23">
        <v>8.821851760476509</v>
      </c>
      <c r="G37" s="23">
        <v>8.7363551749813837</v>
      </c>
      <c r="H37" s="23">
        <v>9.125502714088956</v>
      </c>
      <c r="I37" s="23">
        <v>9.3339264132180837</v>
      </c>
      <c r="J37" s="23">
        <v>9.6941285824941925</v>
      </c>
      <c r="K37" s="23">
        <v>8.7924399870107148</v>
      </c>
      <c r="L37" s="23">
        <v>10.511638571260168</v>
      </c>
      <c r="M37" s="23">
        <v>8.6954662993305778</v>
      </c>
      <c r="N37" s="23">
        <v>8.0269163763066196</v>
      </c>
      <c r="O37" s="23">
        <v>9.7185738651124431</v>
      </c>
      <c r="P37" s="23">
        <v>13.216474232610532</v>
      </c>
      <c r="Q37" s="23">
        <v>14.426856840883659</v>
      </c>
      <c r="R37" s="23">
        <v>17.060385931962074</v>
      </c>
      <c r="S37" s="23">
        <v>17.677607000000002</v>
      </c>
      <c r="T37" s="23">
        <v>18.689160897366847</v>
      </c>
      <c r="U37" s="23">
        <v>19.233454387259073</v>
      </c>
      <c r="V37" s="23">
        <v>19.199472990777338</v>
      </c>
      <c r="W37" s="23">
        <v>19.617956878583719</v>
      </c>
      <c r="X37" s="23">
        <v>18.939830674658321</v>
      </c>
      <c r="Y37" s="23">
        <v>20.681168905354895</v>
      </c>
      <c r="Z37" s="23">
        <v>20.897716551868083</v>
      </c>
      <c r="AA37" s="23">
        <v>21.1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17071.111700316706</v>
      </c>
      <c r="E39" s="30">
        <f t="shared" ref="E39:S39" si="3">SUM(E18:E38)</f>
        <v>18011.192669363929</v>
      </c>
      <c r="F39" s="30">
        <f t="shared" si="3"/>
        <v>19200.760356677121</v>
      </c>
      <c r="G39" s="30">
        <f t="shared" si="3"/>
        <v>20675.775842753665</v>
      </c>
      <c r="H39" s="30">
        <f t="shared" si="3"/>
        <v>21969.140811796155</v>
      </c>
      <c r="I39" s="30">
        <f t="shared" si="3"/>
        <v>24064.53761340167</v>
      </c>
      <c r="J39" s="30">
        <f t="shared" si="3"/>
        <v>26300.831807619186</v>
      </c>
      <c r="K39" s="30">
        <f t="shared" si="3"/>
        <v>28148.703537081903</v>
      </c>
      <c r="L39" s="30">
        <f t="shared" si="3"/>
        <v>27302.966907933522</v>
      </c>
      <c r="M39" s="30">
        <f t="shared" si="3"/>
        <v>23134.477121245072</v>
      </c>
      <c r="N39" s="30">
        <f t="shared" si="3"/>
        <v>23976.959233449474</v>
      </c>
      <c r="O39" s="30">
        <f t="shared" si="3"/>
        <v>25874.377655789373</v>
      </c>
      <c r="P39" s="30">
        <f t="shared" si="3"/>
        <v>26694.736320213149</v>
      </c>
      <c r="Q39" s="30">
        <f t="shared" si="3"/>
        <v>27161.070545447008</v>
      </c>
      <c r="R39" s="30">
        <f t="shared" si="3"/>
        <v>28027.528655094768</v>
      </c>
      <c r="S39" s="30">
        <f t="shared" si="3"/>
        <v>28477.686243000007</v>
      </c>
      <c r="T39" s="30">
        <f t="shared" ref="T39:Y39" si="4">SUM(T18:T38)</f>
        <v>29278.10244415938</v>
      </c>
      <c r="U39" s="30">
        <f t="shared" si="4"/>
        <v>31181.276252624404</v>
      </c>
      <c r="V39" s="30">
        <f t="shared" si="4"/>
        <v>32458.120816864295</v>
      </c>
      <c r="W39" s="30">
        <f t="shared" si="4"/>
        <v>33475.540432597911</v>
      </c>
      <c r="X39" s="30">
        <f t="shared" si="4"/>
        <v>32571.040217752736</v>
      </c>
      <c r="Y39" s="30">
        <f t="shared" si="4"/>
        <v>35131.050554911781</v>
      </c>
      <c r="Z39" s="30">
        <f t="shared" ref="Z39:AA39" si="5">SUM(Z18:Z38)</f>
        <v>34863.486375843589</v>
      </c>
      <c r="AA39" s="30">
        <f t="shared" si="5"/>
        <v>33826.499999999993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545.61662311955649</v>
      </c>
      <c r="E41" s="19">
        <v>564.43933381366742</v>
      </c>
      <c r="F41" s="19">
        <v>534.54908011137343</v>
      </c>
      <c r="G41" s="19">
        <v>547.47825763216679</v>
      </c>
      <c r="H41" s="19">
        <v>489.98879850927648</v>
      </c>
      <c r="I41" s="19">
        <v>526.52918228409703</v>
      </c>
      <c r="J41" s="19">
        <v>558.29367791000641</v>
      </c>
      <c r="K41" s="19">
        <v>554.11910673694206</v>
      </c>
      <c r="L41" s="19">
        <v>553.61296475303539</v>
      </c>
      <c r="M41" s="19">
        <v>581.08398704656952</v>
      </c>
      <c r="N41" s="19">
        <v>502.52229965156789</v>
      </c>
      <c r="O41" s="19">
        <v>507.30955575886958</v>
      </c>
      <c r="P41" s="19">
        <v>524.25347789355101</v>
      </c>
      <c r="Q41" s="19">
        <v>543.19547498652969</v>
      </c>
      <c r="R41" s="19">
        <v>627.91698221804847</v>
      </c>
      <c r="S41" s="19">
        <v>594.78107799999998</v>
      </c>
      <c r="T41" s="19">
        <v>591.31279560521341</v>
      </c>
      <c r="U41" s="19">
        <v>587.95190565359655</v>
      </c>
      <c r="V41" s="19">
        <v>606.33629776021075</v>
      </c>
      <c r="W41" s="19">
        <v>615.86854973319373</v>
      </c>
      <c r="X41" s="19">
        <v>613.01029423049056</v>
      </c>
      <c r="Y41" s="19">
        <v>576.13651401152254</v>
      </c>
      <c r="Z41" s="19">
        <v>568.37435330132894</v>
      </c>
      <c r="AA41" s="19">
        <v>601.6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434.13990102929523</v>
      </c>
      <c r="E42" s="23">
        <v>489.5853719817473</v>
      </c>
      <c r="F42" s="23">
        <v>499.26167306946735</v>
      </c>
      <c r="G42" s="23">
        <v>482.88217694442568</v>
      </c>
      <c r="H42" s="23">
        <v>461.34485943449721</v>
      </c>
      <c r="I42" s="23">
        <v>406.38479614472584</v>
      </c>
      <c r="J42" s="23">
        <v>396.57798746567147</v>
      </c>
      <c r="K42" s="23">
        <v>353.45608747783075</v>
      </c>
      <c r="L42" s="23">
        <v>312.76735117293407</v>
      </c>
      <c r="M42" s="23">
        <v>246.11950264626984</v>
      </c>
      <c r="N42" s="23">
        <v>251.07447735191636</v>
      </c>
      <c r="O42" s="23">
        <v>256.74705138197055</v>
      </c>
      <c r="P42" s="23">
        <v>266.36278838030455</v>
      </c>
      <c r="Q42" s="23">
        <v>250.44375077713767</v>
      </c>
      <c r="R42" s="23">
        <v>268.38514535558852</v>
      </c>
      <c r="S42" s="23">
        <v>270.32659200000001</v>
      </c>
      <c r="T42" s="23">
        <v>275.74171815787156</v>
      </c>
      <c r="U42" s="23">
        <v>283.6194773875049</v>
      </c>
      <c r="V42" s="23">
        <v>266.11034255599475</v>
      </c>
      <c r="W42" s="23">
        <v>248.53921921350548</v>
      </c>
      <c r="X42" s="23">
        <v>242.4831842713298</v>
      </c>
      <c r="Y42" s="23">
        <v>216.00331967815112</v>
      </c>
      <c r="Z42" s="23">
        <v>185.79376121895217</v>
      </c>
      <c r="AA42" s="23">
        <v>193.2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543.4490201900237</v>
      </c>
      <c r="E43" s="23">
        <v>617.03941510096251</v>
      </c>
      <c r="F43" s="23">
        <v>671.56346526627419</v>
      </c>
      <c r="G43" s="23">
        <v>731.47119237798688</v>
      </c>
      <c r="H43" s="23">
        <v>752.8539739123388</v>
      </c>
      <c r="I43" s="23">
        <v>774.47656085060828</v>
      </c>
      <c r="J43" s="23">
        <v>831.05120484472923</v>
      </c>
      <c r="K43" s="23">
        <v>851.10819074263725</v>
      </c>
      <c r="L43" s="23">
        <v>710.73429918660838</v>
      </c>
      <c r="M43" s="23">
        <v>595.63944150414466</v>
      </c>
      <c r="N43" s="23">
        <v>765.54381533101036</v>
      </c>
      <c r="O43" s="23">
        <v>806.99503349033694</v>
      </c>
      <c r="P43" s="23">
        <v>811.28818750947732</v>
      </c>
      <c r="Q43" s="23">
        <v>819.41304865917857</v>
      </c>
      <c r="R43" s="23">
        <v>905.1482536124322</v>
      </c>
      <c r="S43" s="23">
        <v>962.09984999999995</v>
      </c>
      <c r="T43" s="23">
        <v>970.61084791570784</v>
      </c>
      <c r="U43" s="23">
        <v>1034.3159970871397</v>
      </c>
      <c r="V43" s="23">
        <v>1024.7718708827404</v>
      </c>
      <c r="W43" s="23">
        <v>972.23888365174219</v>
      </c>
      <c r="X43" s="23">
        <v>977.00182881600153</v>
      </c>
      <c r="Y43" s="23">
        <v>1344.5313019209739</v>
      </c>
      <c r="Z43" s="23">
        <v>1216.7477777777779</v>
      </c>
      <c r="AA43" s="23">
        <v>888.8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19.198768804433886</v>
      </c>
      <c r="E44" s="23">
        <v>22.253880544624877</v>
      </c>
      <c r="F44" s="23">
        <v>19.573483593557253</v>
      </c>
      <c r="G44" s="23">
        <v>22.767471062072698</v>
      </c>
      <c r="H44" s="23">
        <v>36.755497042858295</v>
      </c>
      <c r="I44" s="23">
        <v>57.439547158265128</v>
      </c>
      <c r="J44" s="23">
        <v>87.026836138300126</v>
      </c>
      <c r="K44" s="23">
        <v>89.878275422776198</v>
      </c>
      <c r="L44" s="23">
        <v>147.53176942119532</v>
      </c>
      <c r="M44" s="23">
        <v>85.064344232581746</v>
      </c>
      <c r="N44" s="23">
        <v>139.81768292682926</v>
      </c>
      <c r="O44" s="23">
        <v>238.90021573876405</v>
      </c>
      <c r="P44" s="23">
        <v>291.94852695881985</v>
      </c>
      <c r="Q44" s="23">
        <v>201.97599577237119</v>
      </c>
      <c r="R44" s="23">
        <v>201.09140084618258</v>
      </c>
      <c r="S44" s="23">
        <v>141.890173</v>
      </c>
      <c r="T44" s="23">
        <v>104.32228336972805</v>
      </c>
      <c r="U44" s="23">
        <v>96.31522158542812</v>
      </c>
      <c r="V44" s="23">
        <v>118.02028985507245</v>
      </c>
      <c r="W44" s="23">
        <v>153.29065616162313</v>
      </c>
      <c r="X44" s="23">
        <v>79.360558108603541</v>
      </c>
      <c r="Y44" s="23">
        <v>128.42750567152484</v>
      </c>
      <c r="Z44" s="23">
        <v>65.849575593125991</v>
      </c>
      <c r="AA44" s="23">
        <v>70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124.48233966745843</v>
      </c>
      <c r="E45" s="23">
        <v>152.59803802028486</v>
      </c>
      <c r="F45" s="23">
        <v>133.43050787720719</v>
      </c>
      <c r="G45" s="23">
        <v>156.72491707845396</v>
      </c>
      <c r="H45" s="23">
        <v>161.72418698857649</v>
      </c>
      <c r="I45" s="23">
        <v>198.1664376960147</v>
      </c>
      <c r="J45" s="23">
        <v>189.25582846278434</v>
      </c>
      <c r="K45" s="23">
        <v>195.77833037743861</v>
      </c>
      <c r="L45" s="23">
        <v>233.28461039726511</v>
      </c>
      <c r="M45" s="23">
        <v>126.84038884458299</v>
      </c>
      <c r="N45" s="23">
        <v>175.09878048780485</v>
      </c>
      <c r="O45" s="23">
        <v>206.74057131239198</v>
      </c>
      <c r="P45" s="23">
        <v>130.97864848471718</v>
      </c>
      <c r="Q45" s="23">
        <v>142.9717722883077</v>
      </c>
      <c r="R45" s="23">
        <v>151.01600880514573</v>
      </c>
      <c r="S45" s="23">
        <v>165.98177899999999</v>
      </c>
      <c r="T45" s="23">
        <v>178.31297774209025</v>
      </c>
      <c r="U45" s="23">
        <v>162.00486580037449</v>
      </c>
      <c r="V45" s="23">
        <v>175.19519104084321</v>
      </c>
      <c r="W45" s="23">
        <v>155.72598873965421</v>
      </c>
      <c r="X45" s="23">
        <v>175.39350237447672</v>
      </c>
      <c r="Y45" s="23">
        <v>181.53470483589297</v>
      </c>
      <c r="Z45" s="23">
        <v>134.09368120782023</v>
      </c>
      <c r="AA45" s="23">
        <v>95.8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12.076644893111638</v>
      </c>
      <c r="E46" s="23">
        <v>14.450571782223946</v>
      </c>
      <c r="F46" s="23">
        <v>15.162557713318998</v>
      </c>
      <c r="G46" s="23">
        <v>13.236901780274826</v>
      </c>
      <c r="H46" s="23">
        <v>12.167336952118607</v>
      </c>
      <c r="I46" s="23">
        <v>9.3339264132180837</v>
      </c>
      <c r="J46" s="23">
        <v>11.016055207379763</v>
      </c>
      <c r="K46" s="23">
        <v>12.700191092348811</v>
      </c>
      <c r="L46" s="23">
        <v>17.703812330543439</v>
      </c>
      <c r="M46" s="23">
        <v>15.878677590081926</v>
      </c>
      <c r="N46" s="23">
        <v>19.227264808362367</v>
      </c>
      <c r="O46" s="23">
        <v>21.027459817243287</v>
      </c>
      <c r="P46" s="23">
        <v>18.808059484868835</v>
      </c>
      <c r="Q46" s="23">
        <v>17.020449081941393</v>
      </c>
      <c r="R46" s="23">
        <v>16.428519786333847</v>
      </c>
      <c r="S46" s="23">
        <v>17.208289999999998</v>
      </c>
      <c r="T46" s="23">
        <v>22.672096826313883</v>
      </c>
      <c r="U46" s="23">
        <v>19.529353685524594</v>
      </c>
      <c r="V46" s="23">
        <v>17.646574440052699</v>
      </c>
      <c r="W46" s="23">
        <v>19.212068115578539</v>
      </c>
      <c r="X46" s="23">
        <v>28.009608744213011</v>
      </c>
      <c r="Y46" s="23">
        <v>22.723753488599826</v>
      </c>
      <c r="Z46" s="23">
        <v>20.897716551868083</v>
      </c>
      <c r="AA46" s="23">
        <v>22.4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258.25440617577198</v>
      </c>
      <c r="E47" s="23">
        <v>297.68177871381329</v>
      </c>
      <c r="F47" s="23">
        <v>319.51644344975853</v>
      </c>
      <c r="G47" s="23">
        <v>393.13598287416232</v>
      </c>
      <c r="H47" s="23">
        <v>412.1685392530178</v>
      </c>
      <c r="I47" s="23">
        <v>467.89297789336803</v>
      </c>
      <c r="J47" s="23">
        <v>575.91936624181392</v>
      </c>
      <c r="K47" s="23">
        <v>618.20622486448667</v>
      </c>
      <c r="L47" s="23">
        <v>434.29664623364374</v>
      </c>
      <c r="M47" s="23">
        <v>264.26656274922067</v>
      </c>
      <c r="N47" s="23">
        <v>311.5563588850174</v>
      </c>
      <c r="O47" s="23">
        <v>367.36209210125037</v>
      </c>
      <c r="P47" s="23">
        <v>363.11415744210734</v>
      </c>
      <c r="Q47" s="23">
        <v>357.26733120570316</v>
      </c>
      <c r="R47" s="23">
        <v>370.27356133813981</v>
      </c>
      <c r="S47" s="23">
        <v>375.29716100000002</v>
      </c>
      <c r="T47" s="23">
        <v>415.45085535785978</v>
      </c>
      <c r="U47" s="23">
        <v>457.31236546936765</v>
      </c>
      <c r="V47" s="23">
        <v>446.52891963109357</v>
      </c>
      <c r="W47" s="23">
        <v>440.93049287796094</v>
      </c>
      <c r="X47" s="23">
        <v>400.13726777447158</v>
      </c>
      <c r="Y47" s="23">
        <v>455.87934667297742</v>
      </c>
      <c r="Z47" s="23">
        <v>394.00903082167952</v>
      </c>
      <c r="AA47" s="23">
        <v>380.9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233.79145882818682</v>
      </c>
      <c r="E48" s="23">
        <v>264.73447505034267</v>
      </c>
      <c r="F48" s="23">
        <v>253.35255524618475</v>
      </c>
      <c r="G48" s="23">
        <v>315.83247647735732</v>
      </c>
      <c r="H48" s="23">
        <v>330.79947338572464</v>
      </c>
      <c r="I48" s="23">
        <v>382.69098294194146</v>
      </c>
      <c r="J48" s="23">
        <v>471.70748398000143</v>
      </c>
      <c r="K48" s="23">
        <v>515.43237079409482</v>
      </c>
      <c r="L48" s="23">
        <v>508.98460450312388</v>
      </c>
      <c r="M48" s="23">
        <v>403.77208729065467</v>
      </c>
      <c r="N48" s="23">
        <v>432.70679442508708</v>
      </c>
      <c r="O48" s="23">
        <v>480.62765296556086</v>
      </c>
      <c r="P48" s="23">
        <v>492.73727010809523</v>
      </c>
      <c r="Q48" s="23">
        <v>501.69799912960582</v>
      </c>
      <c r="R48" s="23">
        <v>523.81703472579852</v>
      </c>
      <c r="S48" s="23">
        <v>542.06113500000004</v>
      </c>
      <c r="T48" s="23">
        <v>585.18520186837179</v>
      </c>
      <c r="U48" s="23">
        <v>625.53111653331814</v>
      </c>
      <c r="V48" s="23">
        <v>620.31238471673248</v>
      </c>
      <c r="W48" s="23">
        <v>623.71573248462721</v>
      </c>
      <c r="X48" s="23">
        <v>581.53282916556543</v>
      </c>
      <c r="Y48" s="23">
        <v>720.52171173964837</v>
      </c>
      <c r="Z48" s="23">
        <v>630.9586606832255</v>
      </c>
      <c r="AA48" s="23">
        <v>572.29999999999995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109.61877672209025</v>
      </c>
      <c r="E49" s="23">
        <v>90.171567921077425</v>
      </c>
      <c r="F49" s="23">
        <v>105.03517252317343</v>
      </c>
      <c r="G49" s="23">
        <v>111.45471298991404</v>
      </c>
      <c r="H49" s="23">
        <v>154.37308758000484</v>
      </c>
      <c r="I49" s="23">
        <v>193.85847165914481</v>
      </c>
      <c r="J49" s="23">
        <v>224.28688402225197</v>
      </c>
      <c r="K49" s="23">
        <v>197.34143081957384</v>
      </c>
      <c r="L49" s="23">
        <v>248.95986089826712</v>
      </c>
      <c r="M49" s="23">
        <v>178.44609101234929</v>
      </c>
      <c r="N49" s="23">
        <v>245.28763066202089</v>
      </c>
      <c r="O49" s="23">
        <v>366.30188404323815</v>
      </c>
      <c r="P49" s="23">
        <v>268.39609210839848</v>
      </c>
      <c r="Q49" s="23">
        <v>282.2152557300949</v>
      </c>
      <c r="R49" s="23">
        <v>299.34658649137157</v>
      </c>
      <c r="S49" s="23">
        <v>247.64293700000002</v>
      </c>
      <c r="T49" s="23">
        <v>270.83964316839825</v>
      </c>
      <c r="U49" s="23">
        <v>286.13462142276188</v>
      </c>
      <c r="V49" s="23">
        <v>328.50862977602105</v>
      </c>
      <c r="W49" s="23">
        <v>354.47618635785756</v>
      </c>
      <c r="X49" s="23">
        <v>330.91352044948803</v>
      </c>
      <c r="Y49" s="23">
        <v>316.72827193941663</v>
      </c>
      <c r="Z49" s="23">
        <v>307.04405412927019</v>
      </c>
      <c r="AA49" s="23">
        <v>313.8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84.8461718131433</v>
      </c>
      <c r="E50" s="23">
        <v>51.733046980361728</v>
      </c>
      <c r="F50" s="23">
        <v>62.304328058365343</v>
      </c>
      <c r="G50" s="23">
        <v>73.597173898328037</v>
      </c>
      <c r="H50" s="23">
        <v>98.606126549461209</v>
      </c>
      <c r="I50" s="23">
        <v>170.643321349346</v>
      </c>
      <c r="J50" s="23">
        <v>186.39165410886557</v>
      </c>
      <c r="K50" s="23">
        <v>221.96026278320383</v>
      </c>
      <c r="L50" s="23">
        <v>224.80153365554639</v>
      </c>
      <c r="M50" s="23">
        <v>181.47060102950772</v>
      </c>
      <c r="N50" s="23">
        <v>209.63318815331007</v>
      </c>
      <c r="O50" s="23">
        <v>248.0886855748704</v>
      </c>
      <c r="P50" s="23">
        <v>260.43231917336391</v>
      </c>
      <c r="Q50" s="23">
        <v>262.92541343722797</v>
      </c>
      <c r="R50" s="23">
        <v>257.64342087990872</v>
      </c>
      <c r="S50" s="23">
        <v>255.30844799999997</v>
      </c>
      <c r="T50" s="23">
        <v>295.35001811576461</v>
      </c>
      <c r="U50" s="23">
        <v>297.08289545858628</v>
      </c>
      <c r="V50" s="23">
        <v>284.74512516469036</v>
      </c>
      <c r="W50" s="23">
        <v>279.52206145623427</v>
      </c>
      <c r="X50" s="23">
        <v>287.29855826207063</v>
      </c>
      <c r="Y50" s="23">
        <v>276.00424181097088</v>
      </c>
      <c r="Z50" s="23">
        <v>261.54798371947402</v>
      </c>
      <c r="AA50" s="23">
        <v>273.39999999999998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70.292266429136973</v>
      </c>
      <c r="E51" s="23">
        <v>90.460579356721908</v>
      </c>
      <c r="F51" s="23">
        <v>106.96495259577766</v>
      </c>
      <c r="G51" s="23">
        <v>115.95525959520747</v>
      </c>
      <c r="H51" s="23">
        <v>129.27795511626022</v>
      </c>
      <c r="I51" s="23">
        <v>155.80477166679415</v>
      </c>
      <c r="J51" s="23">
        <v>167.22371804802481</v>
      </c>
      <c r="K51" s="23">
        <v>201.44456948017881</v>
      </c>
      <c r="L51" s="23">
        <v>179.61992927030531</v>
      </c>
      <c r="M51" s="23">
        <v>107.93720123734262</v>
      </c>
      <c r="N51" s="23">
        <v>120.03040069686409</v>
      </c>
      <c r="O51" s="23">
        <v>168.21967853794629</v>
      </c>
      <c r="P51" s="23">
        <v>166.39202174901979</v>
      </c>
      <c r="Q51" s="23">
        <v>169.23189372901729</v>
      </c>
      <c r="R51" s="23">
        <v>184.97881413266282</v>
      </c>
      <c r="S51" s="23">
        <v>190.85558</v>
      </c>
      <c r="T51" s="23">
        <v>190.56816521577343</v>
      </c>
      <c r="U51" s="23">
        <v>206.24181089107037</v>
      </c>
      <c r="V51" s="23">
        <v>212.60592885375493</v>
      </c>
      <c r="W51" s="23">
        <v>228.65066982625163</v>
      </c>
      <c r="X51" s="23">
        <v>195.6671239417166</v>
      </c>
      <c r="Y51" s="23">
        <v>213.83307355845341</v>
      </c>
      <c r="Z51" s="23">
        <v>222.473607458429</v>
      </c>
      <c r="AA51" s="23">
        <v>214.2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78.033705463182883</v>
      </c>
      <c r="E52" s="23">
        <v>81.501224851743061</v>
      </c>
      <c r="F52" s="23">
        <v>91.802394882458657</v>
      </c>
      <c r="G52" s="23">
        <v>95.835168889189745</v>
      </c>
      <c r="H52" s="23">
        <v>119.89896621566876</v>
      </c>
      <c r="I52" s="23">
        <v>117.27240878145798</v>
      </c>
      <c r="J52" s="23">
        <v>117.87179071896345</v>
      </c>
      <c r="K52" s="23">
        <v>141.46059001323908</v>
      </c>
      <c r="L52" s="23">
        <v>168.92387598726864</v>
      </c>
      <c r="M52" s="23">
        <v>113.41912564344233</v>
      </c>
      <c r="N52" s="23">
        <v>191.89930313588849</v>
      </c>
      <c r="O52" s="23">
        <v>192.25106118622435</v>
      </c>
      <c r="P52" s="23">
        <v>183.84454541515933</v>
      </c>
      <c r="Q52" s="23">
        <v>181.22725784390931</v>
      </c>
      <c r="R52" s="23">
        <v>176.92252077590297</v>
      </c>
      <c r="S52" s="23">
        <v>191.16845799999999</v>
      </c>
      <c r="T52" s="23">
        <v>189.18945662498408</v>
      </c>
      <c r="U52" s="23">
        <v>172.21339159053508</v>
      </c>
      <c r="V52" s="23">
        <v>189.17127799736494</v>
      </c>
      <c r="W52" s="23">
        <v>174.8027606008977</v>
      </c>
      <c r="X52" s="23">
        <v>176.9940514455746</v>
      </c>
      <c r="Y52" s="23">
        <v>163.02378205023581</v>
      </c>
      <c r="Z52" s="23">
        <v>175.78027203784873</v>
      </c>
      <c r="AA52" s="23">
        <v>186.9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442.19099762470324</v>
      </c>
      <c r="E53" s="23">
        <v>504.32495519961572</v>
      </c>
      <c r="F53" s="23">
        <v>567.07965847813102</v>
      </c>
      <c r="G53" s="23">
        <v>585.07105868814733</v>
      </c>
      <c r="H53" s="23">
        <v>537.89768775824302</v>
      </c>
      <c r="I53" s="23">
        <v>521.26389046125655</v>
      </c>
      <c r="J53" s="23">
        <v>508.72142947679811</v>
      </c>
      <c r="K53" s="23">
        <v>491.98586416206706</v>
      </c>
      <c r="L53" s="23">
        <v>470.99517387716622</v>
      </c>
      <c r="M53" s="23">
        <v>383.16761279876278</v>
      </c>
      <c r="N53" s="23">
        <v>419.07970383275301</v>
      </c>
      <c r="O53" s="23">
        <v>444.5805789931436</v>
      </c>
      <c r="P53" s="23">
        <v>474.26809457790887</v>
      </c>
      <c r="Q53" s="23">
        <v>480.7871616860777</v>
      </c>
      <c r="R53" s="23">
        <v>508.49428069431411</v>
      </c>
      <c r="S53" s="23">
        <v>533.61342900000056</v>
      </c>
      <c r="T53" s="23">
        <v>536.77721134732269</v>
      </c>
      <c r="U53" s="23">
        <v>571.2335953015936</v>
      </c>
      <c r="V53" s="23">
        <v>641.91179183135807</v>
      </c>
      <c r="W53" s="23">
        <v>694.74626601053444</v>
      </c>
      <c r="X53" s="23">
        <v>591.13612359215313</v>
      </c>
      <c r="Y53" s="23">
        <v>617.11586721287404</v>
      </c>
      <c r="Z53" s="23">
        <v>556.07517637236447</v>
      </c>
      <c r="AA53" s="23">
        <v>563.59999999999945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2955.991080760095</v>
      </c>
      <c r="E54" s="30">
        <f t="shared" ref="E54:S54" si="6">SUM(E41:E53)</f>
        <v>3240.9742393171873</v>
      </c>
      <c r="F54" s="30">
        <f t="shared" si="6"/>
        <v>3379.5962728650475</v>
      </c>
      <c r="G54" s="30">
        <f t="shared" si="6"/>
        <v>3645.4427502876874</v>
      </c>
      <c r="H54" s="30">
        <f t="shared" si="6"/>
        <v>3697.8564886980466</v>
      </c>
      <c r="I54" s="30">
        <f t="shared" si="6"/>
        <v>3981.7572753002387</v>
      </c>
      <c r="J54" s="30">
        <f t="shared" si="6"/>
        <v>4325.3439166255903</v>
      </c>
      <c r="K54" s="30">
        <f t="shared" si="6"/>
        <v>4444.8714947668177</v>
      </c>
      <c r="L54" s="30">
        <f t="shared" si="6"/>
        <v>4212.216431686903</v>
      </c>
      <c r="M54" s="30">
        <f t="shared" si="6"/>
        <v>3283.1056236255108</v>
      </c>
      <c r="N54" s="30">
        <f t="shared" si="6"/>
        <v>3783.4777003484323</v>
      </c>
      <c r="O54" s="30">
        <f t="shared" si="6"/>
        <v>4305.1515209018107</v>
      </c>
      <c r="P54" s="30">
        <f t="shared" si="6"/>
        <v>4252.8241892857914</v>
      </c>
      <c r="Q54" s="30">
        <f t="shared" si="6"/>
        <v>4210.3728043271021</v>
      </c>
      <c r="R54" s="30">
        <f t="shared" si="6"/>
        <v>4491.4625296618296</v>
      </c>
      <c r="S54" s="30">
        <f t="shared" si="6"/>
        <v>4488.2349100000001</v>
      </c>
      <c r="T54" s="30">
        <f t="shared" ref="T54:Y54" si="7">SUM(T41:T53)</f>
        <v>4626.3332713153995</v>
      </c>
      <c r="U54" s="30">
        <f t="shared" si="7"/>
        <v>4799.4866178668017</v>
      </c>
      <c r="V54" s="30">
        <f t="shared" si="7"/>
        <v>4931.864624505929</v>
      </c>
      <c r="W54" s="30">
        <f t="shared" si="7"/>
        <v>4961.7195352296612</v>
      </c>
      <c r="X54" s="30">
        <f t="shared" si="7"/>
        <v>4678.9384511761555</v>
      </c>
      <c r="Y54" s="30">
        <f t="shared" si="7"/>
        <v>5232.4633945912419</v>
      </c>
      <c r="Z54" s="30">
        <f t="shared" ref="Z54:AA54" si="8">SUM(Z41:Z53)</f>
        <v>4739.6456508731644</v>
      </c>
      <c r="AA54" s="30">
        <f t="shared" si="8"/>
        <v>4376.8999999999996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545.61662311955649</v>
      </c>
      <c r="E56" s="19">
        <v>564.43933381366742</v>
      </c>
      <c r="F56" s="19">
        <v>534.54908011137343</v>
      </c>
      <c r="G56" s="19">
        <v>547.47825763216679</v>
      </c>
      <c r="H56" s="19">
        <v>489.98879850927648</v>
      </c>
      <c r="I56" s="19">
        <v>526.52918228409703</v>
      </c>
      <c r="J56" s="19">
        <v>558.29367791000641</v>
      </c>
      <c r="K56" s="19">
        <v>554.11910673694206</v>
      </c>
      <c r="L56" s="19">
        <v>553.61296475303539</v>
      </c>
      <c r="M56" s="19">
        <v>581.08398704656952</v>
      </c>
      <c r="N56" s="19">
        <v>502.52229965156789</v>
      </c>
      <c r="O56" s="19">
        <v>507.30955575886958</v>
      </c>
      <c r="P56" s="19">
        <v>524.25347789355101</v>
      </c>
      <c r="Q56" s="19">
        <v>543.19547498652969</v>
      </c>
      <c r="R56" s="19">
        <v>627.91698221804847</v>
      </c>
      <c r="S56" s="19">
        <v>594.78107799999998</v>
      </c>
      <c r="T56" s="19">
        <v>591.31279560521341</v>
      </c>
      <c r="U56" s="19">
        <v>587.95190565359655</v>
      </c>
      <c r="V56" s="19">
        <v>606.33629776021075</v>
      </c>
      <c r="W56" s="19">
        <v>615.86854973319373</v>
      </c>
      <c r="X56" s="19">
        <v>613.01029423049056</v>
      </c>
      <c r="Y56" s="19">
        <v>576.13651401152254</v>
      </c>
      <c r="Z56" s="19">
        <v>568.37435330132894</v>
      </c>
      <c r="AA56" s="19">
        <v>601.6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434.13990102929523</v>
      </c>
      <c r="E57" s="23">
        <v>489.5853719817473</v>
      </c>
      <c r="F57" s="23">
        <v>499.26167306946735</v>
      </c>
      <c r="G57" s="23">
        <v>482.88217694442568</v>
      </c>
      <c r="H57" s="23">
        <v>461.34485943449721</v>
      </c>
      <c r="I57" s="23">
        <v>406.38479614472584</v>
      </c>
      <c r="J57" s="23">
        <v>396.57798746567147</v>
      </c>
      <c r="K57" s="23">
        <v>353.45608747783075</v>
      </c>
      <c r="L57" s="23">
        <v>312.76735117293407</v>
      </c>
      <c r="M57" s="23">
        <v>246.11950264626984</v>
      </c>
      <c r="N57" s="23">
        <v>251.07447735191636</v>
      </c>
      <c r="O57" s="23">
        <v>256.74705138197055</v>
      </c>
      <c r="P57" s="23">
        <v>266.36278838030455</v>
      </c>
      <c r="Q57" s="23">
        <v>250.44375077713767</v>
      </c>
      <c r="R57" s="23">
        <v>268.38514535558852</v>
      </c>
      <c r="S57" s="23">
        <v>270.32659200000001</v>
      </c>
      <c r="T57" s="23">
        <v>275.74171815787156</v>
      </c>
      <c r="U57" s="23">
        <v>283.6194773875049</v>
      </c>
      <c r="V57" s="23">
        <v>266.11034255599475</v>
      </c>
      <c r="W57" s="23">
        <v>248.53921921350548</v>
      </c>
      <c r="X57" s="23">
        <v>242.4831842713298</v>
      </c>
      <c r="Y57" s="23">
        <v>216.00331967815112</v>
      </c>
      <c r="Z57" s="23">
        <v>185.79376121895217</v>
      </c>
      <c r="AA57" s="23">
        <v>193.2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401.93551464766426</v>
      </c>
      <c r="E58" s="23">
        <v>456.92707975392119</v>
      </c>
      <c r="F58" s="23">
        <v>490.16413844147604</v>
      </c>
      <c r="G58" s="23">
        <v>548.53720977458875</v>
      </c>
      <c r="H58" s="23">
        <v>577.69501903913135</v>
      </c>
      <c r="I58" s="23">
        <v>587.55870113975379</v>
      </c>
      <c r="J58" s="23">
        <v>614.69588057179078</v>
      </c>
      <c r="K58" s="23">
        <v>620.55087552768964</v>
      </c>
      <c r="L58" s="23">
        <v>498.84179535541671</v>
      </c>
      <c r="M58" s="23">
        <v>427.77913555185</v>
      </c>
      <c r="N58" s="23">
        <v>534.81663763066194</v>
      </c>
      <c r="O58" s="23">
        <v>587.17856279579371</v>
      </c>
      <c r="P58" s="23">
        <v>594.06357255810929</v>
      </c>
      <c r="Q58" s="23">
        <v>613.87086355535291</v>
      </c>
      <c r="R58" s="23">
        <v>699.1598901376309</v>
      </c>
      <c r="S58" s="23">
        <v>752.78446799999995</v>
      </c>
      <c r="T58" s="23">
        <v>755.99187728283107</v>
      </c>
      <c r="U58" s="23">
        <v>802.33094724696878</v>
      </c>
      <c r="V58" s="23">
        <v>799.88392621870889</v>
      </c>
      <c r="W58" s="23">
        <v>778.9005362069413</v>
      </c>
      <c r="X58" s="23">
        <v>817.21367988472923</v>
      </c>
      <c r="Y58" s="23">
        <v>1153.1666587782147</v>
      </c>
      <c r="Z58" s="23">
        <v>1046.1919348778961</v>
      </c>
      <c r="AA58" s="23">
        <v>752.2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59.454251781472678</v>
      </c>
      <c r="E59" s="23">
        <v>63.293504406140883</v>
      </c>
      <c r="F59" s="23">
        <v>72.504594156416303</v>
      </c>
      <c r="G59" s="23">
        <v>69.36136532864009</v>
      </c>
      <c r="H59" s="23">
        <v>59.822740014583154</v>
      </c>
      <c r="I59" s="23">
        <v>62.465507534613337</v>
      </c>
      <c r="J59" s="23">
        <v>77.773349764101113</v>
      </c>
      <c r="K59" s="23">
        <v>89.09672520170858</v>
      </c>
      <c r="L59" s="23">
        <v>84.830767417187317</v>
      </c>
      <c r="M59" s="23">
        <v>62.191487227820872</v>
      </c>
      <c r="N59" s="23">
        <v>109.39006968641114</v>
      </c>
      <c r="O59" s="23">
        <v>99.482856110151005</v>
      </c>
      <c r="P59" s="23">
        <v>88.109828217403546</v>
      </c>
      <c r="Q59" s="23">
        <v>81.373956563186482</v>
      </c>
      <c r="R59" s="23">
        <v>83.564297759332746</v>
      </c>
      <c r="S59" s="23">
        <v>88.388035000000002</v>
      </c>
      <c r="T59" s="23">
        <v>88.084159967097847</v>
      </c>
      <c r="U59" s="23">
        <v>102.82500614726966</v>
      </c>
      <c r="V59" s="23">
        <v>107.57351778656127</v>
      </c>
      <c r="W59" s="23">
        <v>82.936603907391856</v>
      </c>
      <c r="X59" s="23">
        <v>59.753831987654422</v>
      </c>
      <c r="Y59" s="23">
        <v>90.384367808588067</v>
      </c>
      <c r="Z59" s="23">
        <v>79.672544353997083</v>
      </c>
      <c r="AA59" s="23">
        <v>49.5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82.059253760886776</v>
      </c>
      <c r="E60" s="23">
        <v>96.81883094090044</v>
      </c>
      <c r="F60" s="23">
        <v>108.89473266838182</v>
      </c>
      <c r="G60" s="23">
        <v>113.57261727475809</v>
      </c>
      <c r="H60" s="23">
        <v>115.3362148586243</v>
      </c>
      <c r="I60" s="23">
        <v>124.45235217624112</v>
      </c>
      <c r="J60" s="23">
        <v>138.58197450883736</v>
      </c>
      <c r="K60" s="23">
        <v>141.46059001323903</v>
      </c>
      <c r="L60" s="23">
        <v>127.06173641400443</v>
      </c>
      <c r="M60" s="23">
        <v>105.66881872447384</v>
      </c>
      <c r="N60" s="23">
        <v>121.33710801393727</v>
      </c>
      <c r="O60" s="23">
        <v>120.33361458439219</v>
      </c>
      <c r="P60" s="23">
        <v>129.11478673396439</v>
      </c>
      <c r="Q60" s="23">
        <v>124.16822854063916</v>
      </c>
      <c r="R60" s="23">
        <v>122.42406571546857</v>
      </c>
      <c r="S60" s="23">
        <v>120.92734699999993</v>
      </c>
      <c r="T60" s="23">
        <v>126.53481066577886</v>
      </c>
      <c r="U60" s="23">
        <v>129.16004369290141</v>
      </c>
      <c r="V60" s="23">
        <v>117.31442687747023</v>
      </c>
      <c r="W60" s="23">
        <v>110.4017435374091</v>
      </c>
      <c r="X60" s="23">
        <v>100.0343169436179</v>
      </c>
      <c r="Y60" s="23">
        <v>100.9802753341713</v>
      </c>
      <c r="Z60" s="23">
        <v>90.883298545884642</v>
      </c>
      <c r="AA60" s="23">
        <v>87.099999999999909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19.198768804433886</v>
      </c>
      <c r="E61" s="23">
        <v>22.253880544624877</v>
      </c>
      <c r="F61" s="23">
        <v>19.573483593557253</v>
      </c>
      <c r="G61" s="23">
        <v>22.767471062072698</v>
      </c>
      <c r="H61" s="23">
        <v>36.755497042858295</v>
      </c>
      <c r="I61" s="23">
        <v>57.439547158265128</v>
      </c>
      <c r="J61" s="23">
        <v>87.026836138300126</v>
      </c>
      <c r="K61" s="23">
        <v>89.878275422776198</v>
      </c>
      <c r="L61" s="23">
        <v>147.53176942119532</v>
      </c>
      <c r="M61" s="23">
        <v>85.064344232581746</v>
      </c>
      <c r="N61" s="23">
        <v>139.81768292682926</v>
      </c>
      <c r="O61" s="23">
        <v>238.90021573876405</v>
      </c>
      <c r="P61" s="23">
        <v>291.94852695881985</v>
      </c>
      <c r="Q61" s="23">
        <v>201.97599577237119</v>
      </c>
      <c r="R61" s="23">
        <v>201.09140084618258</v>
      </c>
      <c r="S61" s="23">
        <v>141.890173</v>
      </c>
      <c r="T61" s="23">
        <v>104.32228336972805</v>
      </c>
      <c r="U61" s="23">
        <v>96.31522158542812</v>
      </c>
      <c r="V61" s="23">
        <v>118.02028985507245</v>
      </c>
      <c r="W61" s="23">
        <v>153.29065616162313</v>
      </c>
      <c r="X61" s="23">
        <v>79.360558108603541</v>
      </c>
      <c r="Y61" s="23">
        <v>128.42750567152484</v>
      </c>
      <c r="Z61" s="23">
        <v>65.849575593125991</v>
      </c>
      <c r="AA61" s="23">
        <v>70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124.48233966745843</v>
      </c>
      <c r="E62" s="23">
        <v>152.59803802028486</v>
      </c>
      <c r="F62" s="23">
        <v>133.43050787720719</v>
      </c>
      <c r="G62" s="23">
        <v>156.72491707845396</v>
      </c>
      <c r="H62" s="23">
        <v>161.72418698857649</v>
      </c>
      <c r="I62" s="23">
        <v>198.1664376960147</v>
      </c>
      <c r="J62" s="23">
        <v>189.25582846278434</v>
      </c>
      <c r="K62" s="23">
        <v>195.77833037743861</v>
      </c>
      <c r="L62" s="23">
        <v>233.28461039726511</v>
      </c>
      <c r="M62" s="23">
        <v>126.84038884458299</v>
      </c>
      <c r="N62" s="23">
        <v>175.09878048780485</v>
      </c>
      <c r="O62" s="23">
        <v>206.74057131239198</v>
      </c>
      <c r="P62" s="23">
        <v>130.97864848471718</v>
      </c>
      <c r="Q62" s="23">
        <v>142.9717722883077</v>
      </c>
      <c r="R62" s="23">
        <v>151.01600880514573</v>
      </c>
      <c r="S62" s="23">
        <v>165.98177899999999</v>
      </c>
      <c r="T62" s="23">
        <v>178.31297774209025</v>
      </c>
      <c r="U62" s="23">
        <v>162.00486580037449</v>
      </c>
      <c r="V62" s="23">
        <v>175.19519104084321</v>
      </c>
      <c r="W62" s="23">
        <v>155.72598873965421</v>
      </c>
      <c r="X62" s="23">
        <v>175.39350237447672</v>
      </c>
      <c r="Y62" s="23">
        <v>181.53470483589297</v>
      </c>
      <c r="Z62" s="23">
        <v>134.09368120782023</v>
      </c>
      <c r="AA62" s="23">
        <v>95.8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12.076644893111638</v>
      </c>
      <c r="E63" s="23">
        <v>14.450571782223946</v>
      </c>
      <c r="F63" s="23">
        <v>15.162557713318998</v>
      </c>
      <c r="G63" s="23">
        <v>13.236901780274826</v>
      </c>
      <c r="H63" s="23">
        <v>12.167336952118607</v>
      </c>
      <c r="I63" s="23">
        <v>9.3339264132180837</v>
      </c>
      <c r="J63" s="23">
        <v>11.016055207379763</v>
      </c>
      <c r="K63" s="23">
        <v>12.700191092348811</v>
      </c>
      <c r="L63" s="23">
        <v>17.703812330543439</v>
      </c>
      <c r="M63" s="23">
        <v>15.878677590081926</v>
      </c>
      <c r="N63" s="23">
        <v>19.227264808362367</v>
      </c>
      <c r="O63" s="23">
        <v>21.027459817243287</v>
      </c>
      <c r="P63" s="23">
        <v>18.808059484868835</v>
      </c>
      <c r="Q63" s="23">
        <v>17.020449081941393</v>
      </c>
      <c r="R63" s="23">
        <v>16.428519786333847</v>
      </c>
      <c r="S63" s="23">
        <v>17.208289999999998</v>
      </c>
      <c r="T63" s="23">
        <v>22.672096826313883</v>
      </c>
      <c r="U63" s="23">
        <v>19.529353685524594</v>
      </c>
      <c r="V63" s="23">
        <v>17.646574440052699</v>
      </c>
      <c r="W63" s="23">
        <v>19.212068115578539</v>
      </c>
      <c r="X63" s="23">
        <v>28.009608744213011</v>
      </c>
      <c r="Y63" s="23">
        <v>22.723753488599826</v>
      </c>
      <c r="Z63" s="23">
        <v>20.897716551868083</v>
      </c>
      <c r="AA63" s="23">
        <v>22.4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82.988226444972284</v>
      </c>
      <c r="E64" s="23">
        <v>102.31004821814554</v>
      </c>
      <c r="F64" s="23">
        <v>113.30565854862016</v>
      </c>
      <c r="G64" s="23">
        <v>134.22218405198674</v>
      </c>
      <c r="H64" s="23">
        <v>136.12208215182693</v>
      </c>
      <c r="I64" s="23">
        <v>143.12020500267727</v>
      </c>
      <c r="J64" s="23">
        <v>180.8836265051757</v>
      </c>
      <c r="K64" s="23">
        <v>170.18256063747407</v>
      </c>
      <c r="L64" s="23">
        <v>136.28247200282919</v>
      </c>
      <c r="M64" s="23">
        <v>101.8881812030257</v>
      </c>
      <c r="N64" s="23">
        <v>130.85740418118465</v>
      </c>
      <c r="O64" s="23">
        <v>156.73409124281341</v>
      </c>
      <c r="P64" s="23">
        <v>159.44490067803218</v>
      </c>
      <c r="Q64" s="23">
        <v>154.96713640319973</v>
      </c>
      <c r="R64" s="23">
        <v>161.12586713519735</v>
      </c>
      <c r="S64" s="23">
        <v>154.71817100000001</v>
      </c>
      <c r="T64" s="23">
        <v>167.13011917235434</v>
      </c>
      <c r="U64" s="23">
        <v>178.13137755584557</v>
      </c>
      <c r="V64" s="23">
        <v>189.17127799736494</v>
      </c>
      <c r="W64" s="23">
        <v>186.84412723671804</v>
      </c>
      <c r="X64" s="23">
        <v>185.3969340688385</v>
      </c>
      <c r="Y64" s="23">
        <v>217.53525811558484</v>
      </c>
      <c r="Z64" s="23">
        <v>181.54891254435401</v>
      </c>
      <c r="AA64" s="23">
        <v>179.2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175.26617973079968</v>
      </c>
      <c r="E65" s="23">
        <v>195.37173049566775</v>
      </c>
      <c r="F65" s="23">
        <v>206.21078490113842</v>
      </c>
      <c r="G65" s="23">
        <v>258.91379882217558</v>
      </c>
      <c r="H65" s="23">
        <v>276.04645710119087</v>
      </c>
      <c r="I65" s="23">
        <v>324.77277289069076</v>
      </c>
      <c r="J65" s="23">
        <v>395.03573973663822</v>
      </c>
      <c r="K65" s="23">
        <v>448.02366422701266</v>
      </c>
      <c r="L65" s="23">
        <v>298.01417423081455</v>
      </c>
      <c r="M65" s="23">
        <v>162.37838154619496</v>
      </c>
      <c r="N65" s="23">
        <v>180.69895470383275</v>
      </c>
      <c r="O65" s="23">
        <v>210.62800085843696</v>
      </c>
      <c r="P65" s="23">
        <v>203.66925676407516</v>
      </c>
      <c r="Q65" s="23">
        <v>202.30019480250346</v>
      </c>
      <c r="R65" s="23">
        <v>209.14769420294246</v>
      </c>
      <c r="S65" s="23">
        <v>220.57899</v>
      </c>
      <c r="T65" s="23">
        <v>248.32073618550541</v>
      </c>
      <c r="U65" s="23">
        <v>279.18098791352207</v>
      </c>
      <c r="V65" s="23">
        <v>257.35764163372858</v>
      </c>
      <c r="W65" s="23">
        <v>254.08636564124291</v>
      </c>
      <c r="X65" s="23">
        <v>214.74033370563311</v>
      </c>
      <c r="Y65" s="23">
        <v>238.34408855739255</v>
      </c>
      <c r="Z65" s="23">
        <v>212.46011827732551</v>
      </c>
      <c r="AA65" s="23">
        <v>201.7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2.1676029295328578</v>
      </c>
      <c r="E66" s="23">
        <v>4.0461600990227051</v>
      </c>
      <c r="F66" s="23">
        <v>5.2379744827829269</v>
      </c>
      <c r="G66" s="23">
        <v>5.0300226765044336</v>
      </c>
      <c r="H66" s="23">
        <v>7.6045855950741297</v>
      </c>
      <c r="I66" s="23">
        <v>5.5046232693337416</v>
      </c>
      <c r="J66" s="23">
        <v>9.2534863741990012</v>
      </c>
      <c r="K66" s="23">
        <v>14.067903979217146</v>
      </c>
      <c r="L66" s="23">
        <v>25.449230225156196</v>
      </c>
      <c r="M66" s="23">
        <v>11.71997631648904</v>
      </c>
      <c r="N66" s="23">
        <v>17.173867595818813</v>
      </c>
      <c r="O66" s="23">
        <v>17.493432957202398</v>
      </c>
      <c r="P66" s="23">
        <v>13.216474232610532</v>
      </c>
      <c r="Q66" s="23">
        <v>13.940558295685332</v>
      </c>
      <c r="R66" s="23">
        <v>17.060385931962074</v>
      </c>
      <c r="S66" s="23">
        <v>18.772680000000001</v>
      </c>
      <c r="T66" s="23">
        <v>25.123134321050514</v>
      </c>
      <c r="U66" s="23">
        <v>43.05334789763377</v>
      </c>
      <c r="V66" s="23">
        <v>44.892885375494075</v>
      </c>
      <c r="W66" s="23">
        <v>42.483023861208885</v>
      </c>
      <c r="X66" s="23">
        <v>30.14367417234353</v>
      </c>
      <c r="Y66" s="23">
        <v>48.256060779161423</v>
      </c>
      <c r="Z66" s="23">
        <v>41.686590830028521</v>
      </c>
      <c r="AA66" s="23">
        <v>33.1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231.62385589865397</v>
      </c>
      <c r="E67" s="23">
        <v>260.68831495131997</v>
      </c>
      <c r="F67" s="23">
        <v>248.11458076340179</v>
      </c>
      <c r="G67" s="23">
        <v>310.8024538008529</v>
      </c>
      <c r="H67" s="23">
        <v>323.19488779065051</v>
      </c>
      <c r="I67" s="23">
        <v>377.18635967260769</v>
      </c>
      <c r="J67" s="23">
        <v>462.45399760580244</v>
      </c>
      <c r="K67" s="23">
        <v>501.36446681487774</v>
      </c>
      <c r="L67" s="23">
        <v>483.53537427796766</v>
      </c>
      <c r="M67" s="23">
        <v>392.05211097416566</v>
      </c>
      <c r="N67" s="23">
        <v>415.53292682926832</v>
      </c>
      <c r="O67" s="23">
        <v>463.13422000835851</v>
      </c>
      <c r="P67" s="23">
        <v>479.52079587548468</v>
      </c>
      <c r="Q67" s="23">
        <v>487.7574408339205</v>
      </c>
      <c r="R67" s="23">
        <v>506.7566487938364</v>
      </c>
      <c r="S67" s="23">
        <v>523.288455</v>
      </c>
      <c r="T67" s="23">
        <v>560.06206754732136</v>
      </c>
      <c r="U67" s="23">
        <v>582.47776863568436</v>
      </c>
      <c r="V67" s="23">
        <v>575.41949934123841</v>
      </c>
      <c r="W67" s="23">
        <v>581.23270862341838</v>
      </c>
      <c r="X67" s="23">
        <v>551.38915499322184</v>
      </c>
      <c r="Y67" s="23">
        <v>672.26565096048694</v>
      </c>
      <c r="Z67" s="23">
        <v>589.27206985319708</v>
      </c>
      <c r="AA67" s="23">
        <v>539.19999999999993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109.61877672209025</v>
      </c>
      <c r="E68" s="23">
        <v>90.171567921077425</v>
      </c>
      <c r="F68" s="23">
        <v>105.03517252317343</v>
      </c>
      <c r="G68" s="23">
        <v>111.45471298991404</v>
      </c>
      <c r="H68" s="23">
        <v>154.37308758000484</v>
      </c>
      <c r="I68" s="23">
        <v>193.85847165914481</v>
      </c>
      <c r="J68" s="23">
        <v>224.28688402225197</v>
      </c>
      <c r="K68" s="23">
        <v>197.34143081957384</v>
      </c>
      <c r="L68" s="23">
        <v>248.95986089826712</v>
      </c>
      <c r="M68" s="23">
        <v>178.44609101234929</v>
      </c>
      <c r="N68" s="23">
        <v>245.28763066202089</v>
      </c>
      <c r="O68" s="23">
        <v>366.30188404323815</v>
      </c>
      <c r="P68" s="23">
        <v>268.39609210839848</v>
      </c>
      <c r="Q68" s="23">
        <v>282.2152557300949</v>
      </c>
      <c r="R68" s="23">
        <v>299.34658649137157</v>
      </c>
      <c r="S68" s="23">
        <v>247.64293700000002</v>
      </c>
      <c r="T68" s="23">
        <v>270.83964316839825</v>
      </c>
      <c r="U68" s="23">
        <v>286.13462142276188</v>
      </c>
      <c r="V68" s="23">
        <v>328.50862977602105</v>
      </c>
      <c r="W68" s="23">
        <v>354.47618635785756</v>
      </c>
      <c r="X68" s="23">
        <v>330.91352044948803</v>
      </c>
      <c r="Y68" s="23">
        <v>316.72827193941663</v>
      </c>
      <c r="Z68" s="23">
        <v>307.04405412927019</v>
      </c>
      <c r="AA68" s="23">
        <v>313.8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84.8461718131433</v>
      </c>
      <c r="E69" s="23">
        <v>51.733046980361728</v>
      </c>
      <c r="F69" s="23">
        <v>62.304328058365343</v>
      </c>
      <c r="G69" s="23">
        <v>73.597173898328037</v>
      </c>
      <c r="H69" s="23">
        <v>98.606126549461209</v>
      </c>
      <c r="I69" s="23">
        <v>170.643321349346</v>
      </c>
      <c r="J69" s="23">
        <v>186.39165410886557</v>
      </c>
      <c r="K69" s="23">
        <v>221.96026278320383</v>
      </c>
      <c r="L69" s="23">
        <v>224.80153365554639</v>
      </c>
      <c r="M69" s="23">
        <v>181.47060102950772</v>
      </c>
      <c r="N69" s="23">
        <v>209.63318815331007</v>
      </c>
      <c r="O69" s="23">
        <v>248.0886855748704</v>
      </c>
      <c r="P69" s="23">
        <v>260.43231917336391</v>
      </c>
      <c r="Q69" s="23">
        <v>262.92541343722797</v>
      </c>
      <c r="R69" s="23">
        <v>257.64342087990872</v>
      </c>
      <c r="S69" s="23">
        <v>255.30844799999997</v>
      </c>
      <c r="T69" s="23">
        <v>295.35001811576461</v>
      </c>
      <c r="U69" s="23">
        <v>297.08289545858628</v>
      </c>
      <c r="V69" s="23">
        <v>284.74512516469036</v>
      </c>
      <c r="W69" s="23">
        <v>279.52206145623427</v>
      </c>
      <c r="X69" s="23">
        <v>287.29855826207063</v>
      </c>
      <c r="Y69" s="23">
        <v>276.00424181097088</v>
      </c>
      <c r="Z69" s="23">
        <v>261.54798371947402</v>
      </c>
      <c r="AA69" s="23">
        <v>273.39999999999998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70.292266429136973</v>
      </c>
      <c r="E70" s="23">
        <v>90.460579356721908</v>
      </c>
      <c r="F70" s="23">
        <v>106.96495259577766</v>
      </c>
      <c r="G70" s="23">
        <v>115.95525959520747</v>
      </c>
      <c r="H70" s="23">
        <v>129.27795511626022</v>
      </c>
      <c r="I70" s="23">
        <v>155.80477166679415</v>
      </c>
      <c r="J70" s="23">
        <v>167.22371804802481</v>
      </c>
      <c r="K70" s="23">
        <v>201.44456948017881</v>
      </c>
      <c r="L70" s="23">
        <v>179.61992927030531</v>
      </c>
      <c r="M70" s="23">
        <v>107.93720123734262</v>
      </c>
      <c r="N70" s="23">
        <v>120.03040069686409</v>
      </c>
      <c r="O70" s="23">
        <v>168.21967853794629</v>
      </c>
      <c r="P70" s="23">
        <v>166.39202174901979</v>
      </c>
      <c r="Q70" s="23">
        <v>169.23189372901729</v>
      </c>
      <c r="R70" s="23">
        <v>184.97881413266282</v>
      </c>
      <c r="S70" s="23">
        <v>190.85558</v>
      </c>
      <c r="T70" s="23">
        <v>190.56816521577343</v>
      </c>
      <c r="U70" s="23">
        <v>206.24181089107037</v>
      </c>
      <c r="V70" s="23">
        <v>212.60592885375493</v>
      </c>
      <c r="W70" s="23">
        <v>228.65066982625163</v>
      </c>
      <c r="X70" s="23">
        <v>195.6671239417166</v>
      </c>
      <c r="Y70" s="23">
        <v>213.83307355845341</v>
      </c>
      <c r="Z70" s="23">
        <v>222.473607458429</v>
      </c>
      <c r="AA70" s="23">
        <v>214.2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74.317814726840851</v>
      </c>
      <c r="E71" s="23">
        <v>74.564950396275563</v>
      </c>
      <c r="F71" s="23">
        <v>85.186006062101285</v>
      </c>
      <c r="G71" s="23">
        <v>85.245647464969892</v>
      </c>
      <c r="H71" s="23">
        <v>92.268971886899436</v>
      </c>
      <c r="I71" s="23">
        <v>91.424612560238671</v>
      </c>
      <c r="J71" s="23">
        <v>101.12738680374622</v>
      </c>
      <c r="K71" s="23">
        <v>110.1985811705343</v>
      </c>
      <c r="L71" s="23">
        <v>141.26166922079452</v>
      </c>
      <c r="M71" s="23">
        <v>87.899822373667803</v>
      </c>
      <c r="N71" s="23">
        <v>156.99155052264805</v>
      </c>
      <c r="O71" s="23">
        <v>156.73409124281341</v>
      </c>
      <c r="P71" s="23">
        <v>152.49777960704461</v>
      </c>
      <c r="Q71" s="23">
        <v>147.34845919509266</v>
      </c>
      <c r="R71" s="23">
        <v>142.95971544838588</v>
      </c>
      <c r="S71" s="23">
        <v>154.405293</v>
      </c>
      <c r="T71" s="23">
        <v>152.73027389077663</v>
      </c>
      <c r="U71" s="23">
        <v>142.32756246571714</v>
      </c>
      <c r="V71" s="23">
        <v>151.61936758893282</v>
      </c>
      <c r="W71" s="23">
        <v>131.50795921367845</v>
      </c>
      <c r="X71" s="23">
        <v>129.91123293744513</v>
      </c>
      <c r="Y71" s="23">
        <v>123.44870574986534</v>
      </c>
      <c r="Z71" s="23">
        <v>128.65156752243789</v>
      </c>
      <c r="AA71" s="23">
        <v>140.5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3.7158907363420401</v>
      </c>
      <c r="E72" s="23">
        <v>6.9362744554674904</v>
      </c>
      <c r="F72" s="23">
        <v>6.6163888203573773</v>
      </c>
      <c r="G72" s="23">
        <v>10.589521424219861</v>
      </c>
      <c r="H72" s="23">
        <v>27.629994328769335</v>
      </c>
      <c r="I72" s="23">
        <v>25.847796221219301</v>
      </c>
      <c r="J72" s="23">
        <v>16.744403915217241</v>
      </c>
      <c r="K72" s="23">
        <v>31.26200884270478</v>
      </c>
      <c r="L72" s="23">
        <v>27.662206766474124</v>
      </c>
      <c r="M72" s="23">
        <v>25.519303269774525</v>
      </c>
      <c r="N72" s="23">
        <v>34.907752613240419</v>
      </c>
      <c r="O72" s="23">
        <v>35.516969943410921</v>
      </c>
      <c r="P72" s="23">
        <v>31.346765808114725</v>
      </c>
      <c r="Q72" s="23">
        <v>33.878798648816662</v>
      </c>
      <c r="R72" s="23">
        <v>33.962805327517088</v>
      </c>
      <c r="S72" s="23">
        <v>36.763165000000001</v>
      </c>
      <c r="T72" s="23">
        <v>36.459182734207452</v>
      </c>
      <c r="U72" s="23">
        <v>29.885829124817949</v>
      </c>
      <c r="V72" s="23">
        <v>37.551910408432143</v>
      </c>
      <c r="W72" s="23">
        <v>43.294801387219223</v>
      </c>
      <c r="X72" s="23">
        <v>47.082818508129471</v>
      </c>
      <c r="Y72" s="23">
        <v>39.575076300370483</v>
      </c>
      <c r="Z72" s="23">
        <v>47.128704515410831</v>
      </c>
      <c r="AA72" s="23">
        <v>46.400000000000006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257.63509105304826</v>
      </c>
      <c r="E73" s="23">
        <v>297.39276727816883</v>
      </c>
      <c r="F73" s="23">
        <v>323.6516864624819</v>
      </c>
      <c r="G73" s="23">
        <v>335.68782914776955</v>
      </c>
      <c r="H73" s="23">
        <v>324.71580490966534</v>
      </c>
      <c r="I73" s="23">
        <v>338.41466534077875</v>
      </c>
      <c r="J73" s="23">
        <v>342.37899584536302</v>
      </c>
      <c r="K73" s="23">
        <v>332.94039417480576</v>
      </c>
      <c r="L73" s="23">
        <v>297.46093009548508</v>
      </c>
      <c r="M73" s="23">
        <v>238.55822760337369</v>
      </c>
      <c r="N73" s="23">
        <v>266.008275261324</v>
      </c>
      <c r="O73" s="23">
        <v>269.29284673511575</v>
      </c>
      <c r="P73" s="23">
        <v>285.00140588783222</v>
      </c>
      <c r="Q73" s="23">
        <v>283.18785282049157</v>
      </c>
      <c r="R73" s="23">
        <v>296.34522229963744</v>
      </c>
      <c r="S73" s="23">
        <v>309.12346399999996</v>
      </c>
      <c r="T73" s="23">
        <v>331.80920084997206</v>
      </c>
      <c r="U73" s="23">
        <v>345.46243072499948</v>
      </c>
      <c r="V73" s="23">
        <v>338.81422924901187</v>
      </c>
      <c r="W73" s="23">
        <v>346.62900360642408</v>
      </c>
      <c r="X73" s="23">
        <v>341.98398485791506</v>
      </c>
      <c r="Y73" s="23">
        <v>359.62254818756014</v>
      </c>
      <c r="Z73" s="23">
        <v>299.86046406456546</v>
      </c>
      <c r="AA73" s="23">
        <v>277.2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184.55590657165499</v>
      </c>
      <c r="E74" s="23">
        <v>206.93218792144691</v>
      </c>
      <c r="F74" s="23">
        <v>243.42797201564906</v>
      </c>
      <c r="G74" s="23">
        <v>249.38322954037773</v>
      </c>
      <c r="H74" s="23">
        <v>213.18188284857766</v>
      </c>
      <c r="I74" s="23">
        <v>182.84922512047777</v>
      </c>
      <c r="J74" s="23">
        <v>166.34243363143511</v>
      </c>
      <c r="K74" s="23">
        <v>159.0454699872613</v>
      </c>
      <c r="L74" s="23">
        <v>173.53424378168114</v>
      </c>
      <c r="M74" s="23">
        <v>144.60938519538905</v>
      </c>
      <c r="N74" s="23">
        <v>153.07142857142898</v>
      </c>
      <c r="O74" s="23">
        <v>175.28773225802792</v>
      </c>
      <c r="P74" s="23">
        <v>189.26668869007665</v>
      </c>
      <c r="Q74" s="23">
        <v>197.59930886558615</v>
      </c>
      <c r="R74" s="23">
        <v>212.14905839467667</v>
      </c>
      <c r="S74" s="23">
        <v>224.48996500000058</v>
      </c>
      <c r="T74" s="23">
        <v>204.96801049735063</v>
      </c>
      <c r="U74" s="23">
        <v>225.77116457659415</v>
      </c>
      <c r="V74" s="23">
        <v>303.0975625823462</v>
      </c>
      <c r="W74" s="23">
        <v>348.11726240411036</v>
      </c>
      <c r="X74" s="23">
        <v>249.15213873423804</v>
      </c>
      <c r="Y74" s="23">
        <v>257.49331902531389</v>
      </c>
      <c r="Z74" s="23">
        <v>256.21471230779895</v>
      </c>
      <c r="AA74" s="23">
        <v>286.39999999999947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2955.9910807600954</v>
      </c>
      <c r="E75" s="30">
        <f t="shared" ref="E75:S75" si="9">SUM(E56:E74)</f>
        <v>3240.9742393171869</v>
      </c>
      <c r="F75" s="30">
        <f t="shared" si="9"/>
        <v>3379.5962728650475</v>
      </c>
      <c r="G75" s="30">
        <f t="shared" si="9"/>
        <v>3645.4427502876874</v>
      </c>
      <c r="H75" s="30">
        <f t="shared" si="9"/>
        <v>3697.8564886980466</v>
      </c>
      <c r="I75" s="30">
        <f t="shared" si="9"/>
        <v>3981.7572753002382</v>
      </c>
      <c r="J75" s="30">
        <f t="shared" si="9"/>
        <v>4325.3439166255894</v>
      </c>
      <c r="K75" s="30">
        <f t="shared" si="9"/>
        <v>4444.8714947668177</v>
      </c>
      <c r="L75" s="30">
        <f t="shared" si="9"/>
        <v>4212.2164316869021</v>
      </c>
      <c r="M75" s="30">
        <f t="shared" si="9"/>
        <v>3283.1056236255108</v>
      </c>
      <c r="N75" s="30">
        <f t="shared" si="9"/>
        <v>3783.4777003484323</v>
      </c>
      <c r="O75" s="30">
        <f t="shared" si="9"/>
        <v>4305.1515209018107</v>
      </c>
      <c r="P75" s="30">
        <f t="shared" si="9"/>
        <v>4252.8241892857923</v>
      </c>
      <c r="Q75" s="30">
        <f t="shared" si="9"/>
        <v>4210.372804327103</v>
      </c>
      <c r="R75" s="30">
        <f t="shared" si="9"/>
        <v>4491.4625296618306</v>
      </c>
      <c r="S75" s="30">
        <f t="shared" si="9"/>
        <v>4488.2349100000001</v>
      </c>
      <c r="T75" s="30">
        <f t="shared" ref="T75:Y75" si="10">SUM(T56:T74)</f>
        <v>4626.3332713153995</v>
      </c>
      <c r="U75" s="30">
        <f t="shared" si="10"/>
        <v>4799.4866178668017</v>
      </c>
      <c r="V75" s="30">
        <f t="shared" si="10"/>
        <v>4931.8646245059299</v>
      </c>
      <c r="W75" s="30">
        <f t="shared" si="10"/>
        <v>4961.7195352296612</v>
      </c>
      <c r="X75" s="30">
        <f t="shared" si="10"/>
        <v>4678.9384511761546</v>
      </c>
      <c r="Y75" s="30">
        <f t="shared" si="10"/>
        <v>5232.4633945912419</v>
      </c>
      <c r="Z75" s="30">
        <f t="shared" ref="Z75:AA75" si="11">SUM(Z56:Z74)</f>
        <v>4739.6456508731644</v>
      </c>
      <c r="AA75" s="30">
        <f t="shared" si="11"/>
        <v>4376.8999999999987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1401250</v>
      </c>
      <c r="E3" s="42">
        <v>1392720</v>
      </c>
      <c r="F3" s="42">
        <v>1383510</v>
      </c>
      <c r="G3" s="42">
        <v>1375190</v>
      </c>
      <c r="H3" s="42">
        <v>1366250</v>
      </c>
      <c r="I3" s="42">
        <v>1358850</v>
      </c>
      <c r="J3" s="42">
        <v>1350700</v>
      </c>
      <c r="K3" s="42">
        <v>1342920</v>
      </c>
      <c r="L3" s="42">
        <v>1338440</v>
      </c>
      <c r="M3" s="42">
        <v>1335740</v>
      </c>
      <c r="N3" s="42">
        <v>1333290</v>
      </c>
      <c r="O3" s="42">
        <v>1329660</v>
      </c>
      <c r="P3" s="42">
        <v>1325217</v>
      </c>
      <c r="Q3" s="42">
        <v>1320174</v>
      </c>
      <c r="R3" s="42">
        <v>1315819</v>
      </c>
      <c r="S3" s="42">
        <v>1314870</v>
      </c>
      <c r="T3" s="42">
        <v>1315944</v>
      </c>
      <c r="U3" s="42">
        <v>1315635</v>
      </c>
      <c r="V3" s="42">
        <v>1319133</v>
      </c>
      <c r="W3" s="42">
        <v>1324820</v>
      </c>
      <c r="X3" s="42">
        <v>1328976</v>
      </c>
      <c r="Y3" s="42">
        <v>1330068</v>
      </c>
      <c r="Z3" s="42">
        <v>1331796</v>
      </c>
      <c r="AA3" s="42">
        <v>1365884</v>
      </c>
    </row>
    <row r="4" spans="1:27" x14ac:dyDescent="0.25">
      <c r="A4" s="43" t="s">
        <v>239</v>
      </c>
      <c r="B4" s="44"/>
      <c r="C4" s="44"/>
      <c r="D4" s="45">
        <v>552343</v>
      </c>
      <c r="E4" s="45">
        <v>557269</v>
      </c>
      <c r="F4" s="45">
        <v>562069</v>
      </c>
      <c r="G4" s="45">
        <v>567386</v>
      </c>
      <c r="H4" s="45">
        <v>572611</v>
      </c>
      <c r="I4" s="45">
        <v>569271</v>
      </c>
      <c r="J4" s="45">
        <v>575256</v>
      </c>
      <c r="K4" s="45">
        <v>581351</v>
      </c>
      <c r="L4" s="45">
        <v>591445</v>
      </c>
      <c r="M4" s="45">
        <v>590774</v>
      </c>
      <c r="N4" s="45">
        <v>589900</v>
      </c>
      <c r="O4" s="45">
        <v>588606</v>
      </c>
      <c r="P4" s="45">
        <v>588572</v>
      </c>
      <c r="Q4" s="45">
        <v>588575</v>
      </c>
      <c r="R4" s="45">
        <v>589525</v>
      </c>
      <c r="S4" s="45">
        <v>590953</v>
      </c>
      <c r="T4" s="45">
        <v>595450</v>
      </c>
      <c r="U4" s="45">
        <v>607123</v>
      </c>
      <c r="V4" s="45">
        <v>612695</v>
      </c>
      <c r="W4" s="45">
        <v>626985</v>
      </c>
      <c r="X4" s="45">
        <v>634053</v>
      </c>
      <c r="Y4" s="45">
        <v>635788</v>
      </c>
      <c r="Z4" s="45">
        <v>642139</v>
      </c>
      <c r="AA4" s="45">
        <v>653220</v>
      </c>
    </row>
    <row r="5" spans="1:27" x14ac:dyDescent="0.25">
      <c r="A5" s="46" t="s">
        <v>240</v>
      </c>
      <c r="B5" s="47"/>
      <c r="C5" s="47"/>
      <c r="D5" s="48">
        <f>D3/D4</f>
        <v>2.5369199935547297</v>
      </c>
      <c r="E5" s="48">
        <f t="shared" ref="E5:S5" si="0">E3/E4</f>
        <v>2.4991880043569621</v>
      </c>
      <c r="F5" s="48">
        <f t="shared" si="0"/>
        <v>2.4614593581926774</v>
      </c>
      <c r="G5" s="48">
        <f t="shared" si="0"/>
        <v>2.4237291720275085</v>
      </c>
      <c r="H5" s="48">
        <f t="shared" si="0"/>
        <v>2.3860002689434885</v>
      </c>
      <c r="I5" s="48">
        <f t="shared" si="0"/>
        <v>2.3870002160658106</v>
      </c>
      <c r="J5" s="48">
        <f t="shared" si="0"/>
        <v>2.3479981086681407</v>
      </c>
      <c r="K5" s="48">
        <f t="shared" si="0"/>
        <v>2.3099986066937186</v>
      </c>
      <c r="L5" s="48">
        <f t="shared" si="0"/>
        <v>2.2629999408228998</v>
      </c>
      <c r="M5" s="48">
        <f t="shared" si="0"/>
        <v>2.2609999763022746</v>
      </c>
      <c r="N5" s="48">
        <f t="shared" si="0"/>
        <v>2.2601966434988983</v>
      </c>
      <c r="O5" s="48">
        <f t="shared" si="0"/>
        <v>2.2589983792214148</v>
      </c>
      <c r="P5" s="48">
        <f t="shared" si="0"/>
        <v>2.2515800955533054</v>
      </c>
      <c r="Q5" s="48">
        <f t="shared" si="0"/>
        <v>2.2430004672301744</v>
      </c>
      <c r="R5" s="48">
        <f t="shared" si="0"/>
        <v>2.2319986429752765</v>
      </c>
      <c r="S5" s="48">
        <f t="shared" si="0"/>
        <v>2.2249992808226713</v>
      </c>
      <c r="T5" s="48">
        <f t="shared" ref="T5:Y5" si="1">T3/T4</f>
        <v>2.2099991602989335</v>
      </c>
      <c r="U5" s="48">
        <f t="shared" si="1"/>
        <v>2.1669991089120328</v>
      </c>
      <c r="V5" s="48">
        <f t="shared" si="1"/>
        <v>2.1530010853687398</v>
      </c>
      <c r="W5" s="48">
        <f t="shared" si="1"/>
        <v>2.1130011084794691</v>
      </c>
      <c r="X5" s="48">
        <f t="shared" si="1"/>
        <v>2.0960014383655623</v>
      </c>
      <c r="Y5" s="48">
        <f t="shared" si="1"/>
        <v>2.0919992198657416</v>
      </c>
      <c r="Z5" s="48">
        <f t="shared" ref="Z5:AA5" si="2">Z3/Z4</f>
        <v>2.073999554613565</v>
      </c>
      <c r="AA5" s="48">
        <f t="shared" si="2"/>
        <v>2.0910015002602491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4903.7</v>
      </c>
      <c r="E8" s="42">
        <v>4631.66</v>
      </c>
      <c r="F8" s="42">
        <v>4470.25</v>
      </c>
      <c r="G8" s="42">
        <v>4267.1000000000004</v>
      </c>
      <c r="H8" s="42">
        <v>4418.68</v>
      </c>
      <c r="I8" s="42">
        <v>5063.1000000000004</v>
      </c>
      <c r="J8" s="42">
        <v>4636.22</v>
      </c>
      <c r="K8" s="42">
        <v>5187.59</v>
      </c>
      <c r="L8" s="42">
        <v>4478</v>
      </c>
      <c r="M8" s="42">
        <v>3900.75</v>
      </c>
      <c r="N8" s="42">
        <v>4067.19</v>
      </c>
      <c r="O8" s="42">
        <v>4229.1099999999997</v>
      </c>
      <c r="P8" s="42">
        <v>3907.34</v>
      </c>
      <c r="Q8" s="42">
        <v>4692.96</v>
      </c>
      <c r="R8" s="42">
        <v>4644.22</v>
      </c>
      <c r="S8" s="42">
        <v>4214.63</v>
      </c>
      <c r="T8" s="42">
        <v>4824.4799999999996</v>
      </c>
      <c r="U8" s="42">
        <v>4446.1000000000004</v>
      </c>
      <c r="V8" s="42">
        <v>4477.62</v>
      </c>
      <c r="W8" s="42">
        <v>4171.58</v>
      </c>
      <c r="X8" s="42">
        <v>3904.14</v>
      </c>
      <c r="Y8" s="42">
        <v>4356.83</v>
      </c>
      <c r="Z8" s="42">
        <v>4277.7</v>
      </c>
      <c r="AA8" s="42">
        <v>4436.75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4454.1152380952381</v>
      </c>
      <c r="E9" s="45">
        <f t="shared" si="3"/>
        <v>4454.1152380952381</v>
      </c>
      <c r="F9" s="45">
        <f t="shared" si="3"/>
        <v>4454.1152380952381</v>
      </c>
      <c r="G9" s="45">
        <f t="shared" si="3"/>
        <v>4454.1152380952381</v>
      </c>
      <c r="H9" s="45">
        <f t="shared" si="3"/>
        <v>4454.1152380952381</v>
      </c>
      <c r="I9" s="45">
        <f t="shared" si="3"/>
        <v>4454.1152380952381</v>
      </c>
      <c r="J9" s="45">
        <f t="shared" si="3"/>
        <v>4454.1152380952381</v>
      </c>
      <c r="K9" s="45">
        <f t="shared" si="3"/>
        <v>4454.1152380952381</v>
      </c>
      <c r="L9" s="45">
        <f t="shared" si="3"/>
        <v>4454.1152380952381</v>
      </c>
      <c r="M9" s="45">
        <f t="shared" si="3"/>
        <v>4454.1152380952381</v>
      </c>
      <c r="N9" s="45">
        <f t="shared" si="3"/>
        <v>4454.1152380952381</v>
      </c>
      <c r="O9" s="45">
        <f t="shared" si="3"/>
        <v>4454.1152380952381</v>
      </c>
      <c r="P9" s="45">
        <f t="shared" si="3"/>
        <v>4454.1152380952381</v>
      </c>
      <c r="Q9" s="45">
        <f t="shared" si="3"/>
        <v>4454.1152380952381</v>
      </c>
      <c r="R9" s="45">
        <f t="shared" si="3"/>
        <v>4454.1152380952381</v>
      </c>
      <c r="S9" s="45">
        <f t="shared" si="3"/>
        <v>4454.1152380952381</v>
      </c>
      <c r="T9" s="45">
        <f t="shared" si="3"/>
        <v>4454.1152380952381</v>
      </c>
      <c r="U9" s="45">
        <f t="shared" si="3"/>
        <v>4454.1152380952381</v>
      </c>
      <c r="V9" s="45">
        <f t="shared" si="3"/>
        <v>4454.1152380952381</v>
      </c>
      <c r="W9" s="45">
        <f t="shared" si="3"/>
        <v>4454.1152380952381</v>
      </c>
      <c r="X9" s="45">
        <f>AVERAGE($D8:$X8)</f>
        <v>4454.1152380952381</v>
      </c>
      <c r="Y9" s="45">
        <f t="shared" ref="Y9:AA9" si="4">AVERAGE($D8:$X8)</f>
        <v>4454.1152380952381</v>
      </c>
      <c r="Z9" s="45">
        <f t="shared" si="4"/>
        <v>4454.1152380952381</v>
      </c>
      <c r="AA9" s="45">
        <f t="shared" si="4"/>
        <v>4454.1152380952381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1.1009369398572235</v>
      </c>
      <c r="E10" s="53">
        <f t="shared" si="5"/>
        <v>1.039860837094257</v>
      </c>
      <c r="F10" s="53">
        <f t="shared" si="5"/>
        <v>1.0036224392594884</v>
      </c>
      <c r="G10" s="53">
        <f t="shared" si="5"/>
        <v>0.95801293228883477</v>
      </c>
      <c r="H10" s="53">
        <f t="shared" si="5"/>
        <v>0.99204438228446212</v>
      </c>
      <c r="I10" s="53">
        <f t="shared" si="5"/>
        <v>1.1367240696190855</v>
      </c>
      <c r="J10" s="53">
        <f t="shared" si="5"/>
        <v>1.040884609438762</v>
      </c>
      <c r="K10" s="53">
        <f t="shared" si="5"/>
        <v>1.1646735036470286</v>
      </c>
      <c r="L10" s="53">
        <f t="shared" si="5"/>
        <v>1.0053624032221888</v>
      </c>
      <c r="M10" s="53">
        <f t="shared" si="5"/>
        <v>0.87576315193589838</v>
      </c>
      <c r="N10" s="53">
        <f t="shared" si="5"/>
        <v>0.91313084251032917</v>
      </c>
      <c r="O10" s="53">
        <f t="shared" si="5"/>
        <v>0.94948374119941725</v>
      </c>
      <c r="P10" s="53">
        <f t="shared" si="5"/>
        <v>0.87724268258289129</v>
      </c>
      <c r="Q10" s="53">
        <f t="shared" si="5"/>
        <v>1.0536233907605188</v>
      </c>
      <c r="R10" s="53">
        <f t="shared" si="5"/>
        <v>1.0426807012712269</v>
      </c>
      <c r="S10" s="53">
        <f t="shared" si="5"/>
        <v>0.94623281498265599</v>
      </c>
      <c r="T10" s="53">
        <f t="shared" ref="T10:Y10" si="6">IF(T8=0,0,T8/T9)</f>
        <v>1.0831511404862404</v>
      </c>
      <c r="U10" s="53">
        <f t="shared" si="6"/>
        <v>0.99820048704023534</v>
      </c>
      <c r="V10" s="53">
        <f t="shared" si="6"/>
        <v>1.0052770888601466</v>
      </c>
      <c r="W10" s="53">
        <f t="shared" si="6"/>
        <v>0.93656759580920457</v>
      </c>
      <c r="X10" s="53">
        <f t="shared" si="6"/>
        <v>0.87652424584990529</v>
      </c>
      <c r="Y10" s="53">
        <f t="shared" si="6"/>
        <v>0.97815834730471829</v>
      </c>
      <c r="Z10" s="53">
        <f t="shared" ref="Z10:AA10" si="7">IF(Z8=0,0,Z8/Z9)</f>
        <v>0.96039275396685053</v>
      </c>
      <c r="AA10" s="53">
        <f t="shared" si="7"/>
        <v>0.99610130471104197</v>
      </c>
    </row>
    <row r="11" spans="1:27" x14ac:dyDescent="0.25">
      <c r="A11" s="43" t="s">
        <v>251</v>
      </c>
      <c r="B11" s="44"/>
      <c r="C11" s="44"/>
      <c r="D11" s="45">
        <v>0</v>
      </c>
      <c r="E11" s="45">
        <v>0</v>
      </c>
      <c r="F11" s="45">
        <v>0</v>
      </c>
      <c r="G11" s="45">
        <v>0.15</v>
      </c>
      <c r="H11" s="45">
        <v>0</v>
      </c>
      <c r="I11" s="45">
        <v>0</v>
      </c>
      <c r="J11" s="45">
        <v>0</v>
      </c>
      <c r="K11" s="45">
        <v>0</v>
      </c>
      <c r="L11" s="45">
        <v>3.63</v>
      </c>
      <c r="M11" s="45">
        <v>0.03</v>
      </c>
      <c r="N11" s="45">
        <v>0</v>
      </c>
      <c r="O11" s="45">
        <v>0</v>
      </c>
      <c r="P11" s="45">
        <v>4.25</v>
      </c>
      <c r="Q11" s="45">
        <v>0</v>
      </c>
      <c r="R11" s="45">
        <v>3.9</v>
      </c>
      <c r="S11" s="45">
        <v>1.33</v>
      </c>
      <c r="T11" s="45">
        <v>0</v>
      </c>
      <c r="U11" s="45">
        <v>3.12</v>
      </c>
      <c r="V11" s="45">
        <v>0.62</v>
      </c>
      <c r="W11" s="45">
        <v>5.62</v>
      </c>
      <c r="X11" s="45">
        <v>0</v>
      </c>
      <c r="Y11" s="45">
        <v>6.67</v>
      </c>
      <c r="Z11" s="45">
        <v>5.48</v>
      </c>
      <c r="AA11" s="45">
        <v>13.9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1.0785714285714287</v>
      </c>
      <c r="E12" s="45">
        <f t="shared" ref="E12" si="9">AVERAGE($D11:$X11)</f>
        <v>1.0785714285714287</v>
      </c>
      <c r="F12" s="45">
        <f t="shared" ref="F12" si="10">AVERAGE($D11:$X11)</f>
        <v>1.0785714285714287</v>
      </c>
      <c r="G12" s="45">
        <f t="shared" ref="G12" si="11">AVERAGE($D11:$X11)</f>
        <v>1.0785714285714287</v>
      </c>
      <c r="H12" s="45">
        <f t="shared" ref="H12" si="12">AVERAGE($D11:$X11)</f>
        <v>1.0785714285714287</v>
      </c>
      <c r="I12" s="45">
        <f t="shared" ref="I12" si="13">AVERAGE($D11:$X11)</f>
        <v>1.0785714285714287</v>
      </c>
      <c r="J12" s="45">
        <f t="shared" ref="J12" si="14">AVERAGE($D11:$X11)</f>
        <v>1.0785714285714287</v>
      </c>
      <c r="K12" s="45">
        <f t="shared" ref="K12" si="15">AVERAGE($D11:$X11)</f>
        <v>1.0785714285714287</v>
      </c>
      <c r="L12" s="45">
        <f t="shared" ref="L12" si="16">AVERAGE($D11:$X11)</f>
        <v>1.0785714285714287</v>
      </c>
      <c r="M12" s="45">
        <f t="shared" ref="M12" si="17">AVERAGE($D11:$X11)</f>
        <v>1.0785714285714287</v>
      </c>
      <c r="N12" s="45">
        <f t="shared" ref="N12" si="18">AVERAGE($D11:$X11)</f>
        <v>1.0785714285714287</v>
      </c>
      <c r="O12" s="45">
        <f t="shared" ref="O12" si="19">AVERAGE($D11:$X11)</f>
        <v>1.0785714285714287</v>
      </c>
      <c r="P12" s="45">
        <f t="shared" ref="P12" si="20">AVERAGE($D11:$X11)</f>
        <v>1.0785714285714287</v>
      </c>
      <c r="Q12" s="45">
        <f t="shared" ref="Q12" si="21">AVERAGE($D11:$X11)</f>
        <v>1.0785714285714287</v>
      </c>
      <c r="R12" s="45">
        <f t="shared" ref="R12" si="22">AVERAGE($D11:$X11)</f>
        <v>1.0785714285714287</v>
      </c>
      <c r="S12" s="45">
        <f t="shared" ref="S12" si="23">AVERAGE($D11:$X11)</f>
        <v>1.0785714285714287</v>
      </c>
      <c r="T12" s="45">
        <f t="shared" ref="T12" si="24">AVERAGE($D11:$X11)</f>
        <v>1.0785714285714287</v>
      </c>
      <c r="U12" s="45">
        <f t="shared" ref="U12" si="25">AVERAGE($D11:$X11)</f>
        <v>1.0785714285714287</v>
      </c>
      <c r="V12" s="45">
        <f t="shared" ref="V12" si="26">AVERAGE($D11:$X11)</f>
        <v>1.0785714285714287</v>
      </c>
      <c r="W12" s="45">
        <f t="shared" ref="W12" si="27">AVERAGE($D11:$X11)</f>
        <v>1.0785714285714287</v>
      </c>
      <c r="X12" s="45">
        <f>AVERAGE($D11:$X11)</f>
        <v>1.0785714285714287</v>
      </c>
      <c r="Y12" s="45">
        <f t="shared" ref="Y12:AA12" si="28">AVERAGE($D11:$X11)</f>
        <v>1.0785714285714287</v>
      </c>
      <c r="Z12" s="45">
        <f t="shared" si="28"/>
        <v>1.0785714285714287</v>
      </c>
      <c r="AA12" s="45">
        <f t="shared" si="28"/>
        <v>1.0785714285714287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0</v>
      </c>
      <c r="E13" s="55">
        <f t="shared" si="29"/>
        <v>0</v>
      </c>
      <c r="F13" s="55">
        <f t="shared" ref="F13" si="30">IF(F11=0,0,F11/F12)</f>
        <v>0</v>
      </c>
      <c r="G13" s="55">
        <f t="shared" ref="G13" si="31">IF(G11=0,0,G11/G12)</f>
        <v>0.13907284768211917</v>
      </c>
      <c r="H13" s="55">
        <f t="shared" ref="H13" si="32">IF(H11=0,0,H11/H12)</f>
        <v>0</v>
      </c>
      <c r="I13" s="55">
        <f t="shared" ref="I13" si="33">IF(I11=0,0,I11/I12)</f>
        <v>0</v>
      </c>
      <c r="J13" s="55">
        <f t="shared" ref="J13" si="34">IF(J11=0,0,J11/J12)</f>
        <v>0</v>
      </c>
      <c r="K13" s="55">
        <f t="shared" ref="K13" si="35">IF(K11=0,0,K11/K12)</f>
        <v>0</v>
      </c>
      <c r="L13" s="55">
        <f t="shared" ref="L13" si="36">IF(L11=0,0,L11/L12)</f>
        <v>3.3655629139072842</v>
      </c>
      <c r="M13" s="55">
        <f t="shared" ref="M13" si="37">IF(M11=0,0,M11/M12)</f>
        <v>2.7814569536423837E-2</v>
      </c>
      <c r="N13" s="55">
        <f t="shared" ref="N13" si="38">IF(N11=0,0,N11/N12)</f>
        <v>0</v>
      </c>
      <c r="O13" s="55">
        <f t="shared" ref="O13" si="39">IF(O11=0,0,O11/O12)</f>
        <v>0</v>
      </c>
      <c r="P13" s="55">
        <f t="shared" ref="P13" si="40">IF(P11=0,0,P11/P12)</f>
        <v>3.940397350993377</v>
      </c>
      <c r="Q13" s="55">
        <f t="shared" ref="Q13" si="41">IF(Q11=0,0,Q11/Q12)</f>
        <v>0</v>
      </c>
      <c r="R13" s="55">
        <f t="shared" ref="R13" si="42">IF(R11=0,0,R11/R12)</f>
        <v>3.6158940397350987</v>
      </c>
      <c r="S13" s="55">
        <f t="shared" ref="S13:Y13" si="43">IF(S11=0,0,S11/S12)</f>
        <v>1.2331125827814569</v>
      </c>
      <c r="T13" s="55">
        <f t="shared" si="43"/>
        <v>0</v>
      </c>
      <c r="U13" s="55">
        <f t="shared" si="43"/>
        <v>2.8927152317880793</v>
      </c>
      <c r="V13" s="55">
        <f t="shared" si="43"/>
        <v>0.57483443708609261</v>
      </c>
      <c r="W13" s="55">
        <f t="shared" si="43"/>
        <v>5.2105960264900659</v>
      </c>
      <c r="X13" s="55">
        <f t="shared" si="43"/>
        <v>0</v>
      </c>
      <c r="Y13" s="55">
        <f t="shared" si="43"/>
        <v>6.1841059602648993</v>
      </c>
      <c r="Z13" s="55">
        <f t="shared" ref="Z13:AA13" si="44">IF(Z11=0,0,Z11/Z12)</f>
        <v>5.080794701986755</v>
      </c>
      <c r="AA13" s="55">
        <f t="shared" si="44"/>
        <v>12.887417218543044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19440.735291835947</v>
      </c>
      <c r="E16" s="42">
        <v>20583.974660858268</v>
      </c>
      <c r="F16" s="42">
        <v>22011.347265368629</v>
      </c>
      <c r="G16" s="42">
        <v>23682.980321482471</v>
      </c>
      <c r="H16" s="42">
        <v>25293.719548090787</v>
      </c>
      <c r="I16" s="42">
        <v>27702.439061906567</v>
      </c>
      <c r="J16" s="42">
        <v>30407.0080678419</v>
      </c>
      <c r="K16" s="42">
        <v>32709.006327706986</v>
      </c>
      <c r="L16" s="42">
        <v>31032.69998184701</v>
      </c>
      <c r="M16" s="42">
        <v>26492.406664965798</v>
      </c>
      <c r="N16" s="42">
        <v>27141.615831802017</v>
      </c>
      <c r="O16" s="42">
        <v>29206.332378346604</v>
      </c>
      <c r="P16" s="42">
        <v>30278.688989671031</v>
      </c>
      <c r="Q16" s="42">
        <v>30810.401625524915</v>
      </c>
      <c r="R16" s="42">
        <v>31834.376950663562</v>
      </c>
      <c r="S16" s="42">
        <v>32419.398482000004</v>
      </c>
      <c r="T16" s="42">
        <v>33422.02014857623</v>
      </c>
      <c r="U16" s="42">
        <v>35305.262939089684</v>
      </c>
      <c r="V16" s="42">
        <v>36611.570873420445</v>
      </c>
      <c r="W16" s="42">
        <v>37976.090573377245</v>
      </c>
      <c r="X16" s="42">
        <v>36880.736745742353</v>
      </c>
      <c r="Y16" s="42">
        <v>39925.148559112182</v>
      </c>
      <c r="Z16" s="42">
        <v>39435.597841346738</v>
      </c>
      <c r="AA16" s="42">
        <v>38353.4</v>
      </c>
    </row>
    <row r="17" spans="1:27" x14ac:dyDescent="0.25">
      <c r="A17" s="46" t="s">
        <v>141</v>
      </c>
      <c r="B17" s="47"/>
      <c r="C17" s="47"/>
      <c r="D17" s="57">
        <v>8692.8974908030814</v>
      </c>
      <c r="E17" s="57">
        <v>9296.7507577360684</v>
      </c>
      <c r="F17" s="57">
        <v>10194.200751583525</v>
      </c>
      <c r="G17" s="57">
        <v>11184.137748724392</v>
      </c>
      <c r="H17" s="57">
        <v>12094.28720364969</v>
      </c>
      <c r="I17" s="57">
        <v>13270.84172364056</v>
      </c>
      <c r="J17" s="57">
        <v>14979.42372902203</v>
      </c>
      <c r="K17" s="57">
        <v>16242.368783799187</v>
      </c>
      <c r="L17" s="57">
        <v>15506.37996410431</v>
      </c>
      <c r="M17" s="57">
        <v>13343.859769133122</v>
      </c>
      <c r="N17" s="57">
        <v>13174.324028058629</v>
      </c>
      <c r="O17" s="57">
        <v>13666.324781986203</v>
      </c>
      <c r="P17" s="57">
        <v>14390.267333603853</v>
      </c>
      <c r="Q17" s="57">
        <v>15014.482864114872</v>
      </c>
      <c r="R17" s="57">
        <v>15644.694521975214</v>
      </c>
      <c r="S17" s="57">
        <v>16384.341872000001</v>
      </c>
      <c r="T17" s="57">
        <v>17086.202110817943</v>
      </c>
      <c r="U17" s="57">
        <v>17472.885897170592</v>
      </c>
      <c r="V17" s="57">
        <v>18277.29010980036</v>
      </c>
      <c r="W17" s="57">
        <v>19058.448230373513</v>
      </c>
      <c r="X17" s="57">
        <v>18898.836557629329</v>
      </c>
      <c r="Y17" s="57">
        <v>20254.842728620268</v>
      </c>
      <c r="Z17" s="57">
        <v>20844.709610450198</v>
      </c>
      <c r="AA17" s="57">
        <v>20565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13873.852126198712</v>
      </c>
      <c r="E20" s="42">
        <f t="shared" ref="E20:S20" si="45">1000000*E16/E$3</f>
        <v>14779.693449407108</v>
      </c>
      <c r="F20" s="42">
        <f t="shared" si="45"/>
        <v>15909.785448149005</v>
      </c>
      <c r="G20" s="42">
        <f t="shared" si="45"/>
        <v>17221.605975525181</v>
      </c>
      <c r="H20" s="42">
        <f t="shared" si="45"/>
        <v>18513.243951027107</v>
      </c>
      <c r="I20" s="42">
        <f t="shared" si="45"/>
        <v>20386.679222803523</v>
      </c>
      <c r="J20" s="42">
        <f t="shared" si="45"/>
        <v>22512.036771927076</v>
      </c>
      <c r="K20" s="42">
        <f t="shared" si="45"/>
        <v>24356.630571967791</v>
      </c>
      <c r="L20" s="42">
        <f t="shared" si="45"/>
        <v>23185.723664749268</v>
      </c>
      <c r="M20" s="42">
        <f t="shared" si="45"/>
        <v>19833.505521258478</v>
      </c>
      <c r="N20" s="42">
        <f t="shared" si="45"/>
        <v>20356.87347223936</v>
      </c>
      <c r="O20" s="42">
        <f t="shared" si="45"/>
        <v>21965.263584936452</v>
      </c>
      <c r="P20" s="42">
        <f t="shared" si="45"/>
        <v>22848.098831867559</v>
      </c>
      <c r="Q20" s="42">
        <f t="shared" si="45"/>
        <v>23338.136961889049</v>
      </c>
      <c r="R20" s="42">
        <f t="shared" si="45"/>
        <v>24193.583578488808</v>
      </c>
      <c r="S20" s="42">
        <f t="shared" si="45"/>
        <v>24655.972439860976</v>
      </c>
      <c r="T20" s="42">
        <f t="shared" ref="T20:Y20" si="46">1000000*T16/T$3</f>
        <v>25397.752600852491</v>
      </c>
      <c r="U20" s="42">
        <f t="shared" si="46"/>
        <v>26835.150280351074</v>
      </c>
      <c r="V20" s="42">
        <f t="shared" si="46"/>
        <v>27754.268048347247</v>
      </c>
      <c r="W20" s="42">
        <f t="shared" si="46"/>
        <v>28665.09455879081</v>
      </c>
      <c r="X20" s="42">
        <f t="shared" si="46"/>
        <v>27751.243623468261</v>
      </c>
      <c r="Y20" s="42">
        <f t="shared" si="46"/>
        <v>30017.373968182215</v>
      </c>
      <c r="Z20" s="42">
        <f t="shared" ref="Z20:AA20" si="47">1000000*Z16/Z$3</f>
        <v>29610.839679160126</v>
      </c>
      <c r="AA20" s="42">
        <f t="shared" si="47"/>
        <v>28079.544090127711</v>
      </c>
    </row>
    <row r="21" spans="1:27" x14ac:dyDescent="0.25">
      <c r="A21" s="46" t="s">
        <v>141</v>
      </c>
      <c r="B21" s="47"/>
      <c r="C21" s="47"/>
      <c r="D21" s="57">
        <f>1000000*D17/D$3</f>
        <v>6203.6734992350266</v>
      </c>
      <c r="E21" s="57">
        <f t="shared" ref="E21:S21" si="48">1000000*E17/E$3</f>
        <v>6675.2475427480531</v>
      </c>
      <c r="F21" s="57">
        <f t="shared" si="48"/>
        <v>7368.3607285697426</v>
      </c>
      <c r="G21" s="57">
        <f t="shared" si="48"/>
        <v>8132.7945583696737</v>
      </c>
      <c r="H21" s="57">
        <f t="shared" si="48"/>
        <v>8852.1772762303317</v>
      </c>
      <c r="I21" s="57">
        <f t="shared" si="48"/>
        <v>9766.230064864083</v>
      </c>
      <c r="J21" s="57">
        <f t="shared" si="48"/>
        <v>11090.118996832776</v>
      </c>
      <c r="K21" s="57">
        <f t="shared" si="48"/>
        <v>12094.814868941699</v>
      </c>
      <c r="L21" s="57">
        <f t="shared" si="48"/>
        <v>11585.412841893778</v>
      </c>
      <c r="M21" s="57">
        <f t="shared" si="48"/>
        <v>9989.8631239111819</v>
      </c>
      <c r="N21" s="57">
        <f t="shared" si="48"/>
        <v>9881.0641556290284</v>
      </c>
      <c r="O21" s="57">
        <f t="shared" si="48"/>
        <v>10278.059640800057</v>
      </c>
      <c r="P21" s="57">
        <f t="shared" si="48"/>
        <v>10858.800734976878</v>
      </c>
      <c r="Q21" s="57">
        <f t="shared" si="48"/>
        <v>11373.109047833748</v>
      </c>
      <c r="R21" s="57">
        <f t="shared" si="48"/>
        <v>11889.701031810009</v>
      </c>
      <c r="S21" s="57">
        <f t="shared" si="48"/>
        <v>12460.807434955546</v>
      </c>
      <c r="T21" s="57">
        <f t="shared" ref="T21:Y21" si="49">1000000*T17/T$3</f>
        <v>12983.988764581125</v>
      </c>
      <c r="U21" s="57">
        <f t="shared" si="49"/>
        <v>13280.952465669121</v>
      </c>
      <c r="V21" s="57">
        <f t="shared" si="49"/>
        <v>13855.532467007013</v>
      </c>
      <c r="W21" s="57">
        <f t="shared" si="49"/>
        <v>14385.68879574094</v>
      </c>
      <c r="X21" s="57">
        <f t="shared" si="49"/>
        <v>14220.600340133553</v>
      </c>
      <c r="Y21" s="57">
        <f t="shared" si="49"/>
        <v>15228.426462872774</v>
      </c>
      <c r="Z21" s="57">
        <f t="shared" ref="Z21:AA21" si="50">1000000*Z17/Z$3</f>
        <v>15651.578477822579</v>
      </c>
      <c r="AA21" s="57">
        <f t="shared" si="50"/>
        <v>15056.183394783158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17071.111700316702</v>
      </c>
      <c r="E23" s="60">
        <v>18011.192669363925</v>
      </c>
      <c r="F23" s="60">
        <v>19200.760356677121</v>
      </c>
      <c r="G23" s="60">
        <v>20675.775842753672</v>
      </c>
      <c r="H23" s="60">
        <v>21969.140811796155</v>
      </c>
      <c r="I23" s="60">
        <v>24064.53761340167</v>
      </c>
      <c r="J23" s="60">
        <v>26300.831807619183</v>
      </c>
      <c r="K23" s="60">
        <v>28148.703537081907</v>
      </c>
      <c r="L23" s="60">
        <v>27302.966907933514</v>
      </c>
      <c r="M23" s="60">
        <v>23134.477121245076</v>
      </c>
      <c r="N23" s="60">
        <v>23976.959233449474</v>
      </c>
      <c r="O23" s="60">
        <v>25874.377655789365</v>
      </c>
      <c r="P23" s="60">
        <v>26694.736320213156</v>
      </c>
      <c r="Q23" s="60">
        <v>27161.070545447008</v>
      </c>
      <c r="R23" s="60">
        <v>28027.528655094768</v>
      </c>
      <c r="S23" s="60">
        <v>28477.686243</v>
      </c>
      <c r="T23" s="60">
        <v>29278.102444159376</v>
      </c>
      <c r="U23" s="60">
        <v>31181.276252624408</v>
      </c>
      <c r="V23" s="60">
        <v>32458.120816864295</v>
      </c>
      <c r="W23" s="60">
        <v>33475.540432597925</v>
      </c>
      <c r="X23" s="60">
        <v>32571.040217752732</v>
      </c>
      <c r="Y23" s="60">
        <v>35131.050554911781</v>
      </c>
      <c r="Z23" s="60">
        <v>34863.486375843597</v>
      </c>
      <c r="AA23" s="60">
        <v>33826.5</v>
      </c>
    </row>
    <row r="24" spans="1:27" x14ac:dyDescent="0.25">
      <c r="A24" s="61" t="s">
        <v>33</v>
      </c>
      <c r="B24" s="62"/>
      <c r="C24" s="62"/>
      <c r="D24" s="63">
        <v>742.55883214568485</v>
      </c>
      <c r="E24" s="63">
        <v>705.476914408173</v>
      </c>
      <c r="F24" s="63">
        <v>766.39837169139662</v>
      </c>
      <c r="G24" s="63">
        <v>801.09729574223252</v>
      </c>
      <c r="H24" s="63">
        <v>897.0876140322448</v>
      </c>
      <c r="I24" s="63">
        <v>892.46696397154449</v>
      </c>
      <c r="J24" s="63">
        <v>940.11015139778885</v>
      </c>
      <c r="K24" s="63">
        <v>1257.905080808333</v>
      </c>
      <c r="L24" s="63">
        <v>1042.4963656725213</v>
      </c>
      <c r="M24" s="63">
        <v>660.09931124483433</v>
      </c>
      <c r="N24" s="63">
        <v>872.69381533101034</v>
      </c>
      <c r="O24" s="63">
        <v>1084.4161420035468</v>
      </c>
      <c r="P24" s="63">
        <v>1006.4853454064944</v>
      </c>
      <c r="Q24" s="63">
        <v>946.66116798607368</v>
      </c>
      <c r="R24" s="63">
        <v>1002.1397069663647</v>
      </c>
      <c r="S24" s="63">
        <v>922.52078300000005</v>
      </c>
      <c r="T24" s="63">
        <v>704.21371020651964</v>
      </c>
      <c r="U24" s="63">
        <v>841.38965461801808</v>
      </c>
      <c r="V24" s="63">
        <v>764.87312252964421</v>
      </c>
      <c r="W24" s="63">
        <v>872.79613671547304</v>
      </c>
      <c r="X24" s="63">
        <v>717.84625838740214</v>
      </c>
      <c r="Y24" s="63">
        <v>780.39497233601526</v>
      </c>
      <c r="Z24" s="63">
        <v>966.62823279760664</v>
      </c>
      <c r="AA24" s="63">
        <v>658</v>
      </c>
    </row>
    <row r="25" spans="1:27" x14ac:dyDescent="0.25">
      <c r="A25" s="64" t="s">
        <v>56</v>
      </c>
      <c r="B25" s="65"/>
      <c r="C25" s="65"/>
      <c r="D25" s="66">
        <v>202.12677875527581</v>
      </c>
      <c r="E25" s="66">
        <v>208.0882336640247</v>
      </c>
      <c r="F25" s="66">
        <v>216.20042995230406</v>
      </c>
      <c r="G25" s="66">
        <v>231.91051919041493</v>
      </c>
      <c r="H25" s="66">
        <v>231.99465390765133</v>
      </c>
      <c r="I25" s="66">
        <v>227.36487416813287</v>
      </c>
      <c r="J25" s="66">
        <v>253.14894866558697</v>
      </c>
      <c r="K25" s="66">
        <v>298.74757200309739</v>
      </c>
      <c r="L25" s="66">
        <v>268.13899092302262</v>
      </c>
      <c r="M25" s="66">
        <v>286.95038787790912</v>
      </c>
      <c r="N25" s="66">
        <v>334.89041811846676</v>
      </c>
      <c r="O25" s="66">
        <v>360.47073972417076</v>
      </c>
      <c r="P25" s="66">
        <v>344.77082064901282</v>
      </c>
      <c r="Q25" s="66">
        <v>413.67796244870885</v>
      </c>
      <c r="R25" s="66">
        <v>427.45744751749419</v>
      </c>
      <c r="S25" s="66">
        <v>387.81228099999998</v>
      </c>
      <c r="T25" s="66">
        <v>312.84819478334606</v>
      </c>
      <c r="U25" s="66">
        <v>378.30725283247267</v>
      </c>
      <c r="V25" s="66">
        <v>345.3081686429511</v>
      </c>
      <c r="W25" s="66">
        <v>298.3582839347701</v>
      </c>
      <c r="X25" s="66">
        <v>222.31774427047941</v>
      </c>
      <c r="Y25" s="66">
        <v>188.17310473143897</v>
      </c>
      <c r="Z25" s="66">
        <v>197.65756905308558</v>
      </c>
      <c r="AA25" s="66">
        <v>186.81156584731607</v>
      </c>
    </row>
    <row r="26" spans="1:27" x14ac:dyDescent="0.25">
      <c r="A26" s="67" t="s">
        <v>146</v>
      </c>
      <c r="B26" s="44"/>
      <c r="C26" s="44"/>
      <c r="D26" s="45">
        <v>11905.346231363894</v>
      </c>
      <c r="E26" s="45">
        <v>12556.390833010035</v>
      </c>
      <c r="F26" s="45">
        <v>13359.645618345072</v>
      </c>
      <c r="G26" s="45">
        <v>14264.350096459755</v>
      </c>
      <c r="H26" s="45">
        <v>15189.194706104943</v>
      </c>
      <c r="I26" s="45">
        <v>16433.933104872638</v>
      </c>
      <c r="J26" s="45">
        <v>17712.054204633478</v>
      </c>
      <c r="K26" s="45">
        <v>18694.87667549272</v>
      </c>
      <c r="L26" s="45">
        <v>18707.397192031123</v>
      </c>
      <c r="M26" s="45">
        <v>16646.90313444017</v>
      </c>
      <c r="N26" s="45">
        <v>16905.992595818814</v>
      </c>
      <c r="O26" s="45">
        <v>17705.47456880485</v>
      </c>
      <c r="P26" s="45">
        <v>18564.541558954312</v>
      </c>
      <c r="Q26" s="45">
        <v>18961.104476312838</v>
      </c>
      <c r="R26" s="45">
        <v>19708.69491482637</v>
      </c>
      <c r="S26" s="45">
        <v>20407.154672000001</v>
      </c>
      <c r="T26" s="45">
        <v>21122.608196674799</v>
      </c>
      <c r="U26" s="45">
        <v>22487.311020635905</v>
      </c>
      <c r="V26" s="45">
        <v>23560.435638998682</v>
      </c>
      <c r="W26" s="45">
        <v>24625.4337432795</v>
      </c>
      <c r="X26" s="45">
        <v>24250.558875384118</v>
      </c>
      <c r="Y26" s="45">
        <v>25733.884856620592</v>
      </c>
      <c r="Z26" s="45">
        <v>25245.856544214847</v>
      </c>
      <c r="AA26" s="45">
        <v>25473.212692712517</v>
      </c>
    </row>
    <row r="27" spans="1:27" x14ac:dyDescent="0.25">
      <c r="A27" s="68" t="s">
        <v>148</v>
      </c>
      <c r="B27" s="69"/>
      <c r="C27" s="69"/>
      <c r="D27" s="70">
        <v>4874.6293309580342</v>
      </c>
      <c r="E27" s="70">
        <v>4955.390075560239</v>
      </c>
      <c r="F27" s="70">
        <v>5093.240977337613</v>
      </c>
      <c r="G27" s="70">
        <v>5500.1974277397949</v>
      </c>
      <c r="H27" s="70">
        <v>5867.9517313457009</v>
      </c>
      <c r="I27" s="70">
        <v>6150.5788434177293</v>
      </c>
      <c r="J27" s="70">
        <v>6512.2511963946245</v>
      </c>
      <c r="K27" s="70">
        <v>6834.4612956810615</v>
      </c>
      <c r="L27" s="70">
        <v>7022.3278097371267</v>
      </c>
      <c r="M27" s="70">
        <v>6526.3255213997436</v>
      </c>
      <c r="N27" s="70">
        <v>6650.9535714285703</v>
      </c>
      <c r="O27" s="70">
        <v>6873.6822427795278</v>
      </c>
      <c r="P27" s="70">
        <v>7007.2729729436987</v>
      </c>
      <c r="Q27" s="70">
        <v>7232.2319641894946</v>
      </c>
      <c r="R27" s="70">
        <v>7496.1440186604468</v>
      </c>
      <c r="S27" s="70">
        <v>7722.454796</v>
      </c>
      <c r="T27" s="70">
        <v>7747.1167614888209</v>
      </c>
      <c r="U27" s="70">
        <v>8094.6212033516786</v>
      </c>
      <c r="V27" s="70">
        <v>8306.3131752305635</v>
      </c>
      <c r="W27" s="70">
        <v>8629.3303977444684</v>
      </c>
      <c r="X27" s="70">
        <v>8393.6794661050972</v>
      </c>
      <c r="Y27" s="70">
        <v>8904.9028137291698</v>
      </c>
      <c r="Z27" s="70">
        <v>8623.6821881305223</v>
      </c>
      <c r="AA27" s="70">
        <v>8635.9999999999964</v>
      </c>
    </row>
    <row r="28" spans="1:27" x14ac:dyDescent="0.25">
      <c r="A28" s="68" t="s">
        <v>150</v>
      </c>
      <c r="B28" s="71"/>
      <c r="C28" s="71"/>
      <c r="D28" s="70">
        <v>4546.3923159144888</v>
      </c>
      <c r="E28" s="70">
        <v>4827.0689981340865</v>
      </c>
      <c r="F28" s="70">
        <v>5137.0745532724768</v>
      </c>
      <c r="G28" s="70">
        <v>5414.951780274826</v>
      </c>
      <c r="H28" s="70">
        <v>5817.0010078587047</v>
      </c>
      <c r="I28" s="70">
        <v>6462.1883867513197</v>
      </c>
      <c r="J28" s="70">
        <v>7023.8368002253364</v>
      </c>
      <c r="K28" s="70">
        <v>7604.483650987936</v>
      </c>
      <c r="L28" s="70">
        <v>7761.4619745373102</v>
      </c>
      <c r="M28" s="70">
        <v>7025.7477379830343</v>
      </c>
      <c r="N28" s="70">
        <v>7046.1391986062708</v>
      </c>
      <c r="O28" s="70">
        <v>7321.9735499757162</v>
      </c>
      <c r="P28" s="70">
        <v>7840.5886175075275</v>
      </c>
      <c r="Q28" s="70">
        <v>8038.3528526132559</v>
      </c>
      <c r="R28" s="70">
        <v>8316.1483091494738</v>
      </c>
      <c r="S28" s="70">
        <v>8881.9806639999988</v>
      </c>
      <c r="T28" s="70">
        <v>9256.9558582465907</v>
      </c>
      <c r="U28" s="70">
        <v>9977.4284382152091</v>
      </c>
      <c r="V28" s="70">
        <v>10480.229973649539</v>
      </c>
      <c r="W28" s="70">
        <v>11066.421827081907</v>
      </c>
      <c r="X28" s="70">
        <v>11194.506961437135</v>
      </c>
      <c r="Y28" s="70">
        <v>11866.905782507221</v>
      </c>
      <c r="Z28" s="70">
        <v>11991.58866346622</v>
      </c>
      <c r="AA28" s="70">
        <v>12427.800000000001</v>
      </c>
    </row>
    <row r="29" spans="1:27" x14ac:dyDescent="0.25">
      <c r="A29" s="68" t="s">
        <v>152</v>
      </c>
      <c r="B29" s="71"/>
      <c r="C29" s="71"/>
      <c r="D29" s="70">
        <v>2484.324584491369</v>
      </c>
      <c r="E29" s="70">
        <v>2773.9317593157089</v>
      </c>
      <c r="F29" s="70">
        <v>3129.330087734982</v>
      </c>
      <c r="G29" s="70">
        <v>3349.2008884451361</v>
      </c>
      <c r="H29" s="70">
        <v>3504.2419669005371</v>
      </c>
      <c r="I29" s="70">
        <v>3821.1658747035885</v>
      </c>
      <c r="J29" s="70">
        <v>4175.9662080135204</v>
      </c>
      <c r="K29" s="70">
        <v>4255.9317288237207</v>
      </c>
      <c r="L29" s="70">
        <v>3923.6074077566896</v>
      </c>
      <c r="M29" s="70">
        <v>3094.8298750573963</v>
      </c>
      <c r="N29" s="70">
        <v>3208.8998257839721</v>
      </c>
      <c r="O29" s="70">
        <v>3509.8187760496089</v>
      </c>
      <c r="P29" s="70">
        <v>3716.6799685030837</v>
      </c>
      <c r="Q29" s="70">
        <v>3690.519659510092</v>
      </c>
      <c r="R29" s="70">
        <v>3896.4025870164492</v>
      </c>
      <c r="S29" s="70">
        <v>3802.7192120000009</v>
      </c>
      <c r="T29" s="70">
        <v>4118.53557693939</v>
      </c>
      <c r="U29" s="70">
        <v>4415.2613790690184</v>
      </c>
      <c r="V29" s="70">
        <v>4773.8924901185783</v>
      </c>
      <c r="W29" s="70">
        <v>4929.6815184531224</v>
      </c>
      <c r="X29" s="70">
        <v>4662.3724478418908</v>
      </c>
      <c r="Y29" s="70">
        <v>4962.0762603841949</v>
      </c>
      <c r="Z29" s="70">
        <v>4630.5856926181032</v>
      </c>
      <c r="AA29" s="70">
        <v>4409.4126927125244</v>
      </c>
    </row>
    <row r="30" spans="1:27" x14ac:dyDescent="0.25">
      <c r="A30" s="64" t="s">
        <v>154</v>
      </c>
      <c r="B30" s="65"/>
      <c r="C30" s="65"/>
      <c r="D30" s="66">
        <v>455.95356945327649</v>
      </c>
      <c r="E30" s="66">
        <v>466.17544569454424</v>
      </c>
      <c r="F30" s="66">
        <v>540.49518280261645</v>
      </c>
      <c r="G30" s="66">
        <v>642.78395045014543</v>
      </c>
      <c r="H30" s="66">
        <v>670.87421772377195</v>
      </c>
      <c r="I30" s="66">
        <v>724.21695708712639</v>
      </c>
      <c r="J30" s="66">
        <v>751.0746440391523</v>
      </c>
      <c r="K30" s="66">
        <v>740.71422201683595</v>
      </c>
      <c r="L30" s="66">
        <v>776.9391807143702</v>
      </c>
      <c r="M30" s="66">
        <v>844.4053904154282</v>
      </c>
      <c r="N30" s="66">
        <v>972.00357142857115</v>
      </c>
      <c r="O30" s="66">
        <v>1050.6661854901563</v>
      </c>
      <c r="P30" s="66">
        <v>1051.2914351400855</v>
      </c>
      <c r="Q30" s="66">
        <v>1142.6394817009987</v>
      </c>
      <c r="R30" s="66">
        <v>1106.3976209950217</v>
      </c>
      <c r="S30" s="66">
        <v>919.86131999999998</v>
      </c>
      <c r="T30" s="66">
        <v>937.92024018470659</v>
      </c>
      <c r="U30" s="66">
        <v>955.60678374851034</v>
      </c>
      <c r="V30" s="66">
        <v>1071.9235177865608</v>
      </c>
      <c r="W30" s="66">
        <v>928.48095487468322</v>
      </c>
      <c r="X30" s="66">
        <v>795.65846121402944</v>
      </c>
      <c r="Y30" s="66">
        <v>1271.125918460609</v>
      </c>
      <c r="Z30" s="66">
        <v>1789.8023488485351</v>
      </c>
      <c r="AA30" s="66">
        <v>1293.3757414401589</v>
      </c>
    </row>
    <row r="31" spans="1:27" x14ac:dyDescent="0.25">
      <c r="A31" s="64" t="s">
        <v>37</v>
      </c>
      <c r="B31" s="65"/>
      <c r="C31" s="65"/>
      <c r="D31" s="66">
        <v>1012.8898832145685</v>
      </c>
      <c r="E31" s="66">
        <v>1063.273071736038</v>
      </c>
      <c r="F31" s="66">
        <v>1201.4259366298945</v>
      </c>
      <c r="G31" s="66">
        <v>1362.3419312258852</v>
      </c>
      <c r="H31" s="66">
        <v>1532.0705112209346</v>
      </c>
      <c r="I31" s="66">
        <v>2045.0872102807314</v>
      </c>
      <c r="J31" s="66">
        <v>2572.4692120273221</v>
      </c>
      <c r="K31" s="66">
        <v>2960.5122374041416</v>
      </c>
      <c r="L31" s="66">
        <v>2616.8447601084522</v>
      </c>
      <c r="M31" s="66">
        <v>1642.6870030691898</v>
      </c>
      <c r="N31" s="66">
        <v>1400.7902439024388</v>
      </c>
      <c r="O31" s="66">
        <v>1782.3864468616223</v>
      </c>
      <c r="P31" s="66">
        <v>1956.0381864263588</v>
      </c>
      <c r="Q31" s="66">
        <v>1886.1899573092385</v>
      </c>
      <c r="R31" s="66">
        <v>1704.6168943685436</v>
      </c>
      <c r="S31" s="66">
        <v>1718.4824149999999</v>
      </c>
      <c r="T31" s="66">
        <v>1883.4691248616837</v>
      </c>
      <c r="U31" s="66">
        <v>2041.2613090847187</v>
      </c>
      <c r="V31" s="66">
        <v>2204.8335968379447</v>
      </c>
      <c r="W31" s="66">
        <v>2290.159697129563</v>
      </c>
      <c r="X31" s="66">
        <v>2234.233124163391</v>
      </c>
      <c r="Y31" s="66">
        <v>2310.9291328687304</v>
      </c>
      <c r="Z31" s="66">
        <v>2245.9603179572809</v>
      </c>
      <c r="AA31" s="66">
        <v>2194.6</v>
      </c>
    </row>
    <row r="32" spans="1:27" x14ac:dyDescent="0.25">
      <c r="A32" s="64" t="s">
        <v>58</v>
      </c>
      <c r="B32" s="65"/>
      <c r="C32" s="65"/>
      <c r="D32" s="66">
        <v>2752.2364053840065</v>
      </c>
      <c r="E32" s="66">
        <v>3011.7881708511154</v>
      </c>
      <c r="F32" s="66">
        <v>3116.594817255841</v>
      </c>
      <c r="G32" s="66">
        <v>3373.2920496852366</v>
      </c>
      <c r="H32" s="66">
        <v>3447.9191088066109</v>
      </c>
      <c r="I32" s="66">
        <v>3741.4685030214946</v>
      </c>
      <c r="J32" s="66">
        <v>4071.9746468558556</v>
      </c>
      <c r="K32" s="66">
        <v>4195.9477493567792</v>
      </c>
      <c r="L32" s="66">
        <v>3891.1504184840264</v>
      </c>
      <c r="M32" s="66">
        <v>3053.4318941975393</v>
      </c>
      <c r="N32" s="66">
        <v>3490.5885888501734</v>
      </c>
      <c r="O32" s="66">
        <v>3890.9635729050187</v>
      </c>
      <c r="P32" s="66">
        <v>3771.6089736368949</v>
      </c>
      <c r="Q32" s="66">
        <v>3810.7974996891458</v>
      </c>
      <c r="R32" s="66">
        <v>4078.2220704209699</v>
      </c>
      <c r="S32" s="66">
        <v>4121.8547719999997</v>
      </c>
      <c r="T32" s="66">
        <v>4317.0429774483218</v>
      </c>
      <c r="U32" s="66">
        <v>4477.4002317047807</v>
      </c>
      <c r="V32" s="66">
        <v>4510.7467720685108</v>
      </c>
      <c r="W32" s="66">
        <v>4460.3116166639275</v>
      </c>
      <c r="X32" s="66">
        <v>4350.4257543333124</v>
      </c>
      <c r="Y32" s="66">
        <v>4846.5425698944018</v>
      </c>
      <c r="Z32" s="66">
        <v>4417.5813629722397</v>
      </c>
      <c r="AA32" s="66">
        <v>4020.5</v>
      </c>
    </row>
    <row r="33" spans="1:27" x14ac:dyDescent="0.25">
      <c r="A33" s="72" t="s">
        <v>158</v>
      </c>
      <c r="B33" s="65"/>
      <c r="C33" s="65"/>
      <c r="D33" s="66">
        <v>2.1676029295328578</v>
      </c>
      <c r="E33" s="66">
        <v>4.0461600990227051</v>
      </c>
      <c r="F33" s="66">
        <v>5.2379744827829269</v>
      </c>
      <c r="G33" s="66">
        <v>5.0300226765044336</v>
      </c>
      <c r="H33" s="66">
        <v>7.6045855950741297</v>
      </c>
      <c r="I33" s="66">
        <v>5.5046232693337416</v>
      </c>
      <c r="J33" s="66">
        <v>9.2534863741990012</v>
      </c>
      <c r="K33" s="66">
        <v>14.067903979217146</v>
      </c>
      <c r="L33" s="66">
        <v>25.449230225156196</v>
      </c>
      <c r="M33" s="66">
        <v>11.71997631648904</v>
      </c>
      <c r="N33" s="66">
        <v>17.173867595818813</v>
      </c>
      <c r="O33" s="66">
        <v>17.493432957202398</v>
      </c>
      <c r="P33" s="66">
        <v>13.216474232610532</v>
      </c>
      <c r="Q33" s="66">
        <v>13.940558295685332</v>
      </c>
      <c r="R33" s="66">
        <v>17.060385931962074</v>
      </c>
      <c r="S33" s="66">
        <v>18.772680000000001</v>
      </c>
      <c r="T33" s="66">
        <v>25.123134321050514</v>
      </c>
      <c r="U33" s="66">
        <v>43.05334789763377</v>
      </c>
      <c r="V33" s="66">
        <v>44.892885375494075</v>
      </c>
      <c r="W33" s="66">
        <v>42.483023861208885</v>
      </c>
      <c r="X33" s="66">
        <v>30.14367417234353</v>
      </c>
      <c r="Y33" s="66">
        <v>48.256060779161423</v>
      </c>
      <c r="Z33" s="66">
        <v>41.686590830028521</v>
      </c>
      <c r="AA33" s="66">
        <v>33.1</v>
      </c>
    </row>
    <row r="34" spans="1:27" x14ac:dyDescent="0.25">
      <c r="A34" s="73" t="s">
        <v>5</v>
      </c>
      <c r="B34" s="65"/>
      <c r="C34" s="65"/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6">
        <v>0</v>
      </c>
      <c r="L34" s="66">
        <v>0</v>
      </c>
      <c r="M34" s="66">
        <v>0</v>
      </c>
      <c r="N34" s="66">
        <v>0</v>
      </c>
      <c r="O34" s="66">
        <v>0</v>
      </c>
      <c r="P34" s="66">
        <v>0</v>
      </c>
      <c r="Q34" s="66">
        <v>0</v>
      </c>
      <c r="R34" s="66">
        <v>0</v>
      </c>
      <c r="S34" s="66">
        <v>0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  <c r="Z34" s="66">
        <v>0</v>
      </c>
      <c r="AA34" s="66">
        <v>0</v>
      </c>
    </row>
    <row r="35" spans="1:27" x14ac:dyDescent="0.25">
      <c r="A35" s="74" t="s">
        <v>264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</row>
    <row r="36" spans="1:27" x14ac:dyDescent="0.25">
      <c r="A36" s="74" t="s">
        <v>15</v>
      </c>
      <c r="B36" s="44"/>
      <c r="C36" s="44"/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</row>
    <row r="37" spans="1:27" x14ac:dyDescent="0.25">
      <c r="A37" s="73" t="s">
        <v>263</v>
      </c>
      <c r="B37" s="65"/>
      <c r="C37" s="65"/>
      <c r="D37" s="66">
        <v>2.1676029295328578</v>
      </c>
      <c r="E37" s="66">
        <v>4.0461600990227051</v>
      </c>
      <c r="F37" s="66">
        <v>5.2379744827829269</v>
      </c>
      <c r="G37" s="66">
        <v>5.0300226765044336</v>
      </c>
      <c r="H37" s="66">
        <v>7.6045855950741297</v>
      </c>
      <c r="I37" s="66">
        <v>5.5046232693337416</v>
      </c>
      <c r="J37" s="66">
        <v>9.2534863741990012</v>
      </c>
      <c r="K37" s="66">
        <v>14.067903979217146</v>
      </c>
      <c r="L37" s="66">
        <v>25.449230225156196</v>
      </c>
      <c r="M37" s="66">
        <v>11.71997631648904</v>
      </c>
      <c r="N37" s="66">
        <v>17.173867595818813</v>
      </c>
      <c r="O37" s="66">
        <v>17.493432957202398</v>
      </c>
      <c r="P37" s="66">
        <v>13.21647423261053</v>
      </c>
      <c r="Q37" s="66">
        <v>13.940558295685332</v>
      </c>
      <c r="R37" s="66">
        <v>17.060385931962074</v>
      </c>
      <c r="S37" s="66">
        <v>18.772680000000001</v>
      </c>
      <c r="T37" s="66">
        <v>25.123134321050514</v>
      </c>
      <c r="U37" s="66">
        <v>43.05334789763377</v>
      </c>
      <c r="V37" s="66">
        <v>44.892885375494075</v>
      </c>
      <c r="W37" s="66">
        <v>42.483023861208885</v>
      </c>
      <c r="X37" s="66">
        <v>30.14367417234353</v>
      </c>
      <c r="Y37" s="66">
        <v>48.256060779161423</v>
      </c>
      <c r="Z37" s="66">
        <v>41.686590830028521</v>
      </c>
      <c r="AA37" s="66">
        <v>33.1</v>
      </c>
    </row>
    <row r="38" spans="1:27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</row>
    <row r="39" spans="1:27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</row>
    <row r="40" spans="1:27" x14ac:dyDescent="0.25">
      <c r="A40" s="75" t="s">
        <v>267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</row>
    <row r="41" spans="1:27" x14ac:dyDescent="0.25">
      <c r="A41" s="75" t="s">
        <v>268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</row>
    <row r="42" spans="1:27" x14ac:dyDescent="0.25">
      <c r="A42" s="74" t="s">
        <v>13</v>
      </c>
      <c r="B42" s="44"/>
      <c r="C42" s="44"/>
      <c r="D42" s="45">
        <v>2.1676029295328578</v>
      </c>
      <c r="E42" s="45">
        <v>4.0461600990227051</v>
      </c>
      <c r="F42" s="45">
        <v>5.2379744827829269</v>
      </c>
      <c r="G42" s="45">
        <v>5.0300226765044336</v>
      </c>
      <c r="H42" s="45">
        <v>7.6045855950741297</v>
      </c>
      <c r="I42" s="45">
        <v>5.5046232693337416</v>
      </c>
      <c r="J42" s="45">
        <v>9.2534863741990012</v>
      </c>
      <c r="K42" s="45">
        <v>14.067903979217146</v>
      </c>
      <c r="L42" s="45">
        <v>25.449230225156196</v>
      </c>
      <c r="M42" s="45">
        <v>11.71997631648904</v>
      </c>
      <c r="N42" s="45">
        <v>17.173867595818813</v>
      </c>
      <c r="O42" s="45">
        <v>17.493432957202398</v>
      </c>
      <c r="P42" s="45">
        <v>13.21647423261053</v>
      </c>
      <c r="Q42" s="45">
        <v>13.940558295685332</v>
      </c>
      <c r="R42" s="45">
        <v>17.060385931962074</v>
      </c>
      <c r="S42" s="45">
        <v>18.772680000000001</v>
      </c>
      <c r="T42" s="45">
        <v>25.123134321050514</v>
      </c>
      <c r="U42" s="45">
        <v>43.05334789763377</v>
      </c>
      <c r="V42" s="45">
        <v>44.892885375494075</v>
      </c>
      <c r="W42" s="45">
        <v>42.483023861208885</v>
      </c>
      <c r="X42" s="45">
        <v>30.14367417234353</v>
      </c>
      <c r="Y42" s="45">
        <v>48.256060779161423</v>
      </c>
      <c r="Z42" s="45">
        <v>41.686590830028521</v>
      </c>
      <c r="AA42" s="45">
        <v>33.1</v>
      </c>
    </row>
    <row r="43" spans="1:27" x14ac:dyDescent="0.25">
      <c r="A43" s="72" t="s">
        <v>265</v>
      </c>
      <c r="B43" s="65"/>
      <c r="C43" s="65"/>
      <c r="D43" s="66">
        <v>136.55898456057008</v>
      </c>
      <c r="E43" s="66">
        <v>167.04860980250879</v>
      </c>
      <c r="F43" s="66">
        <v>148.59306559052618</v>
      </c>
      <c r="G43" s="66">
        <v>169.96181885872878</v>
      </c>
      <c r="H43" s="66">
        <v>173.89152394069509</v>
      </c>
      <c r="I43" s="66">
        <v>207.50036410923278</v>
      </c>
      <c r="J43" s="66">
        <v>200.2718836701641</v>
      </c>
      <c r="K43" s="66">
        <v>208.47852146978741</v>
      </c>
      <c r="L43" s="66">
        <v>250.98842272780854</v>
      </c>
      <c r="M43" s="66">
        <v>142.71906643466491</v>
      </c>
      <c r="N43" s="66">
        <v>194.32604529616722</v>
      </c>
      <c r="O43" s="66">
        <v>227.76803112963526</v>
      </c>
      <c r="P43" s="66">
        <v>149.78670796958602</v>
      </c>
      <c r="Q43" s="66">
        <v>159.9922213702491</v>
      </c>
      <c r="R43" s="66">
        <v>167.44452859147958</v>
      </c>
      <c r="S43" s="66">
        <v>183.19006899999999</v>
      </c>
      <c r="T43" s="66">
        <v>200.98507456840414</v>
      </c>
      <c r="U43" s="66">
        <v>181.53421948589909</v>
      </c>
      <c r="V43" s="66">
        <v>192.8417654808959</v>
      </c>
      <c r="W43" s="66">
        <v>174.93805685523276</v>
      </c>
      <c r="X43" s="66">
        <v>203.40311111868974</v>
      </c>
      <c r="Y43" s="66">
        <v>204.25845832449278</v>
      </c>
      <c r="Z43" s="66">
        <v>154.99139775968831</v>
      </c>
      <c r="AA43" s="66">
        <v>118.19999999999999</v>
      </c>
    </row>
    <row r="44" spans="1:27" x14ac:dyDescent="0.25">
      <c r="A44" s="73" t="s">
        <v>266</v>
      </c>
      <c r="B44" s="65"/>
      <c r="C44" s="65"/>
      <c r="D44" s="66">
        <v>124.48233966745843</v>
      </c>
      <c r="E44" s="66">
        <v>152.59803802028486</v>
      </c>
      <c r="F44" s="66">
        <v>133.43050787720719</v>
      </c>
      <c r="G44" s="66">
        <v>156.72491707845396</v>
      </c>
      <c r="H44" s="66">
        <v>161.72418698857649</v>
      </c>
      <c r="I44" s="66">
        <v>198.1664376960147</v>
      </c>
      <c r="J44" s="66">
        <v>189.25582846278434</v>
      </c>
      <c r="K44" s="66">
        <v>195.77833037743861</v>
      </c>
      <c r="L44" s="66">
        <v>233.28461039726511</v>
      </c>
      <c r="M44" s="66">
        <v>126.84038884458299</v>
      </c>
      <c r="N44" s="66">
        <v>175.09878048780485</v>
      </c>
      <c r="O44" s="66">
        <v>206.74057131239198</v>
      </c>
      <c r="P44" s="66">
        <v>130.97864848471718</v>
      </c>
      <c r="Q44" s="66">
        <v>142.9717722883077</v>
      </c>
      <c r="R44" s="66">
        <v>151.01600880514573</v>
      </c>
      <c r="S44" s="66">
        <v>165.98177899999999</v>
      </c>
      <c r="T44" s="66">
        <v>178.31297774209025</v>
      </c>
      <c r="U44" s="66">
        <v>162.00486580037449</v>
      </c>
      <c r="V44" s="66">
        <v>175.19519104084321</v>
      </c>
      <c r="W44" s="66">
        <v>155.72598873965421</v>
      </c>
      <c r="X44" s="66">
        <v>175.39350237447672</v>
      </c>
      <c r="Y44" s="66">
        <v>181.53470483589297</v>
      </c>
      <c r="Z44" s="66">
        <v>134.09368120782023</v>
      </c>
      <c r="AA44" s="66">
        <v>95.8</v>
      </c>
    </row>
    <row r="45" spans="1:27" x14ac:dyDescent="0.25">
      <c r="A45" s="74" t="s">
        <v>20</v>
      </c>
      <c r="B45" s="44"/>
      <c r="C45" s="44"/>
      <c r="D45" s="45">
        <v>80.066902563327574</v>
      </c>
      <c r="E45" s="45">
        <v>88.648957277696354</v>
      </c>
      <c r="F45" s="45">
        <v>72.082341534722232</v>
      </c>
      <c r="G45" s="45">
        <v>111.60208303196711</v>
      </c>
      <c r="H45" s="45">
        <v>113.36807298334577</v>
      </c>
      <c r="I45" s="45">
        <v>125.49266076572167</v>
      </c>
      <c r="J45" s="45">
        <v>122.63880440094935</v>
      </c>
      <c r="K45" s="45">
        <v>124.73421165841611</v>
      </c>
      <c r="L45" s="45">
        <v>136.15898997807284</v>
      </c>
      <c r="M45" s="45">
        <v>9.9330812339995607</v>
      </c>
      <c r="N45" s="45">
        <v>59.539300622426104</v>
      </c>
      <c r="O45" s="45">
        <v>87.916454632371511</v>
      </c>
      <c r="P45" s="45">
        <v>18.355926796382118</v>
      </c>
      <c r="Q45" s="45">
        <v>33.631659069010674</v>
      </c>
      <c r="R45" s="45">
        <v>75.673395037986467</v>
      </c>
      <c r="S45" s="45">
        <v>77.01042512104965</v>
      </c>
      <c r="T45" s="45">
        <v>96.661320900084519</v>
      </c>
      <c r="U45" s="45">
        <v>92.05139773712186</v>
      </c>
      <c r="V45" s="45">
        <v>81.226945174763472</v>
      </c>
      <c r="W45" s="45">
        <v>53.865732548268696</v>
      </c>
      <c r="X45" s="45">
        <v>49.166730728014812</v>
      </c>
      <c r="Y45" s="45">
        <v>73.013696176785473</v>
      </c>
      <c r="Z45" s="45">
        <v>65.197462950364624</v>
      </c>
      <c r="AA45" s="45">
        <v>17.871124497991968</v>
      </c>
    </row>
    <row r="46" spans="1:27" x14ac:dyDescent="0.25">
      <c r="A46" s="74" t="s">
        <v>12</v>
      </c>
      <c r="B46" s="44"/>
      <c r="C46" s="44"/>
      <c r="D46" s="45">
        <v>44.415437104130859</v>
      </c>
      <c r="E46" s="45">
        <v>63.949080742588507</v>
      </c>
      <c r="F46" s="45">
        <v>61.348166342484959</v>
      </c>
      <c r="G46" s="45">
        <v>45.122834046486844</v>
      </c>
      <c r="H46" s="45">
        <v>48.356114005230722</v>
      </c>
      <c r="I46" s="45">
        <v>72.67377693029303</v>
      </c>
      <c r="J46" s="45">
        <v>66.617024061834982</v>
      </c>
      <c r="K46" s="45">
        <v>71.044118719022492</v>
      </c>
      <c r="L46" s="45">
        <v>97.125620419192273</v>
      </c>
      <c r="M46" s="45">
        <v>116.90730761058343</v>
      </c>
      <c r="N46" s="45">
        <v>115.55947986537873</v>
      </c>
      <c r="O46" s="45">
        <v>118.82411668002047</v>
      </c>
      <c r="P46" s="45">
        <v>112.62272168833506</v>
      </c>
      <c r="Q46" s="45">
        <v>109.34011321929702</v>
      </c>
      <c r="R46" s="45">
        <v>75.342613767159264</v>
      </c>
      <c r="S46" s="45">
        <v>88.971353878950339</v>
      </c>
      <c r="T46" s="45">
        <v>81.651656842005735</v>
      </c>
      <c r="U46" s="45">
        <v>69.953468063252629</v>
      </c>
      <c r="V46" s="45">
        <v>93.968245866079741</v>
      </c>
      <c r="W46" s="45">
        <v>101.86025619138552</v>
      </c>
      <c r="X46" s="45">
        <v>126.22677164646191</v>
      </c>
      <c r="Y46" s="45">
        <v>108.52100865910749</v>
      </c>
      <c r="Z46" s="45">
        <v>68.896218257455601</v>
      </c>
      <c r="AA46" s="45">
        <v>77.928875502008026</v>
      </c>
    </row>
    <row r="47" spans="1:27" x14ac:dyDescent="0.25">
      <c r="A47" s="73" t="s">
        <v>11</v>
      </c>
      <c r="B47" s="65"/>
      <c r="C47" s="65"/>
      <c r="D47" s="66">
        <v>12.076644893111638</v>
      </c>
      <c r="E47" s="66">
        <v>14.450571782223946</v>
      </c>
      <c r="F47" s="66">
        <v>15.162557713318998</v>
      </c>
      <c r="G47" s="66">
        <v>13.236901780274826</v>
      </c>
      <c r="H47" s="66">
        <v>12.167336952118607</v>
      </c>
      <c r="I47" s="66">
        <v>9.3339264132180837</v>
      </c>
      <c r="J47" s="66">
        <v>11.016055207379763</v>
      </c>
      <c r="K47" s="66">
        <v>12.700191092348811</v>
      </c>
      <c r="L47" s="66">
        <v>17.703812330543439</v>
      </c>
      <c r="M47" s="66">
        <v>15.878677590081926</v>
      </c>
      <c r="N47" s="66">
        <v>19.227264808362367</v>
      </c>
      <c r="O47" s="66">
        <v>21.027459817243287</v>
      </c>
      <c r="P47" s="66">
        <v>18.808059484868835</v>
      </c>
      <c r="Q47" s="66">
        <v>17.020449081941393</v>
      </c>
      <c r="R47" s="66">
        <v>16.428519786333847</v>
      </c>
      <c r="S47" s="66">
        <v>17.208289999999998</v>
      </c>
      <c r="T47" s="66">
        <v>22.672096826313883</v>
      </c>
      <c r="U47" s="66">
        <v>19.529353685524594</v>
      </c>
      <c r="V47" s="66">
        <v>17.646574440052699</v>
      </c>
      <c r="W47" s="66">
        <v>19.212068115578539</v>
      </c>
      <c r="X47" s="66">
        <v>28.009608744213011</v>
      </c>
      <c r="Y47" s="66">
        <v>22.723753488599826</v>
      </c>
      <c r="Z47" s="66">
        <v>20.897716551868083</v>
      </c>
      <c r="AA47" s="66">
        <v>22.4</v>
      </c>
    </row>
    <row r="48" spans="1:27" x14ac:dyDescent="0.25">
      <c r="A48" s="72" t="s">
        <v>4</v>
      </c>
      <c r="B48" s="65"/>
      <c r="C48" s="65"/>
      <c r="D48" s="66">
        <v>175.26617973079968</v>
      </c>
      <c r="E48" s="66">
        <v>195.37173049566775</v>
      </c>
      <c r="F48" s="66">
        <v>206.21078490113842</v>
      </c>
      <c r="G48" s="66">
        <v>258.91379882217558</v>
      </c>
      <c r="H48" s="66">
        <v>276.04645710119087</v>
      </c>
      <c r="I48" s="66">
        <v>324.77277289069076</v>
      </c>
      <c r="J48" s="66">
        <v>395.03573973663822</v>
      </c>
      <c r="K48" s="66">
        <v>448.02366422701266</v>
      </c>
      <c r="L48" s="66">
        <v>298.01417423081455</v>
      </c>
      <c r="M48" s="66">
        <v>162.37838154619496</v>
      </c>
      <c r="N48" s="66">
        <v>180.69895470383275</v>
      </c>
      <c r="O48" s="66">
        <v>210.62800085843696</v>
      </c>
      <c r="P48" s="66">
        <v>203.66925676407516</v>
      </c>
      <c r="Q48" s="66">
        <v>202.30019480250346</v>
      </c>
      <c r="R48" s="66">
        <v>209.14769420294246</v>
      </c>
      <c r="S48" s="66">
        <v>220.57899</v>
      </c>
      <c r="T48" s="66">
        <v>248.32073618550541</v>
      </c>
      <c r="U48" s="66">
        <v>279.18098791352207</v>
      </c>
      <c r="V48" s="66">
        <v>257.35764163372858</v>
      </c>
      <c r="W48" s="66">
        <v>254.08636564124291</v>
      </c>
      <c r="X48" s="66">
        <v>214.74033370563311</v>
      </c>
      <c r="Y48" s="66">
        <v>238.34408855739255</v>
      </c>
      <c r="Z48" s="66">
        <v>212.46011827732551</v>
      </c>
      <c r="AA48" s="66">
        <v>201.7</v>
      </c>
    </row>
    <row r="49" spans="1:27" x14ac:dyDescent="0.25">
      <c r="A49" s="77" t="s">
        <v>10</v>
      </c>
      <c r="B49" s="44"/>
      <c r="C49" s="44"/>
      <c r="D49" s="45">
        <v>66.181882753983786</v>
      </c>
      <c r="E49" s="45">
        <v>78.887142018107625</v>
      </c>
      <c r="F49" s="45">
        <v>94.082178385437032</v>
      </c>
      <c r="G49" s="45">
        <v>111.9867843557649</v>
      </c>
      <c r="H49" s="45">
        <v>130.53522268257083</v>
      </c>
      <c r="I49" s="45">
        <v>180.99740990565812</v>
      </c>
      <c r="J49" s="45">
        <v>206.14452699984403</v>
      </c>
      <c r="K49" s="45">
        <v>257.02400139090196</v>
      </c>
      <c r="L49" s="45">
        <v>164.77503439005611</v>
      </c>
      <c r="M49" s="45">
        <v>53.945378452048296</v>
      </c>
      <c r="N49" s="45">
        <v>67.510431029164195</v>
      </c>
      <c r="O49" s="45">
        <v>113.06047272968888</v>
      </c>
      <c r="P49" s="45">
        <v>106.54022439337524</v>
      </c>
      <c r="Q49" s="45">
        <v>100.02756059294593</v>
      </c>
      <c r="R49" s="45">
        <v>113.788408696986</v>
      </c>
      <c r="S49" s="45">
        <v>119.63828224684615</v>
      </c>
      <c r="T49" s="45">
        <v>143.10661306190525</v>
      </c>
      <c r="U49" s="45">
        <v>163.31896092627341</v>
      </c>
      <c r="V49" s="45">
        <v>146.90085127670241</v>
      </c>
      <c r="W49" s="45">
        <v>131.80929447623487</v>
      </c>
      <c r="X49" s="45">
        <v>157.68936732391307</v>
      </c>
      <c r="Y49" s="45">
        <v>200.91729454706456</v>
      </c>
      <c r="Z49" s="45">
        <v>183.2208137492147</v>
      </c>
      <c r="AA49" s="45">
        <v>130.35354857646021</v>
      </c>
    </row>
    <row r="50" spans="1:27" x14ac:dyDescent="0.25">
      <c r="A50" s="77" t="s">
        <v>18</v>
      </c>
      <c r="B50" s="44"/>
      <c r="C50" s="44"/>
      <c r="D50" s="45">
        <v>94.181813368959808</v>
      </c>
      <c r="E50" s="45">
        <v>91.323813468110828</v>
      </c>
      <c r="F50" s="45">
        <v>101.67820646774217</v>
      </c>
      <c r="G50" s="45">
        <v>132.55556101320244</v>
      </c>
      <c r="H50" s="45">
        <v>132.83236208312147</v>
      </c>
      <c r="I50" s="45">
        <v>131.52264950632724</v>
      </c>
      <c r="J50" s="45">
        <v>169.49748244864196</v>
      </c>
      <c r="K50" s="45">
        <v>164.84190164242915</v>
      </c>
      <c r="L50" s="45">
        <v>106.0735260629384</v>
      </c>
      <c r="M50" s="45">
        <v>90.916611198397121</v>
      </c>
      <c r="N50" s="45">
        <v>94.19576064773652</v>
      </c>
      <c r="O50" s="45">
        <v>72.8307557709973</v>
      </c>
      <c r="P50" s="45">
        <v>73.643388265874606</v>
      </c>
      <c r="Q50" s="45">
        <v>71.801828731415355</v>
      </c>
      <c r="R50" s="45">
        <v>70.213016564992387</v>
      </c>
      <c r="S50" s="45">
        <v>76.579619941367653</v>
      </c>
      <c r="T50" s="45">
        <v>79.804226592167097</v>
      </c>
      <c r="U50" s="45">
        <v>80.27333973331551</v>
      </c>
      <c r="V50" s="45">
        <v>75.619868217078093</v>
      </c>
      <c r="W50" s="45">
        <v>85.808869818546185</v>
      </c>
      <c r="X50" s="45">
        <v>30.551247597556586</v>
      </c>
      <c r="Y50" s="45">
        <v>34.243313377227267</v>
      </c>
      <c r="Z50" s="45">
        <v>26.593159210872923</v>
      </c>
      <c r="AA50" s="45">
        <v>25.197927795714705</v>
      </c>
    </row>
    <row r="51" spans="1:27" x14ac:dyDescent="0.25">
      <c r="A51" s="77" t="s">
        <v>9</v>
      </c>
      <c r="B51" s="44"/>
      <c r="C51" s="44"/>
      <c r="D51" s="45">
        <v>14.902483607856084</v>
      </c>
      <c r="E51" s="45">
        <v>25.160775009449296</v>
      </c>
      <c r="F51" s="45">
        <v>10.450400047959221</v>
      </c>
      <c r="G51" s="45">
        <v>14.371453453208261</v>
      </c>
      <c r="H51" s="45">
        <v>12.678872335498568</v>
      </c>
      <c r="I51" s="45">
        <v>12.252713478705402</v>
      </c>
      <c r="J51" s="45">
        <v>19.393730288152227</v>
      </c>
      <c r="K51" s="45">
        <v>26.157761193681552</v>
      </c>
      <c r="L51" s="45">
        <v>27.165613777820042</v>
      </c>
      <c r="M51" s="45">
        <v>17.51639189574955</v>
      </c>
      <c r="N51" s="45">
        <v>18.992763026932039</v>
      </c>
      <c r="O51" s="45">
        <v>24.73677235775078</v>
      </c>
      <c r="P51" s="45">
        <v>23.485644104825312</v>
      </c>
      <c r="Q51" s="45">
        <v>30.470805478142168</v>
      </c>
      <c r="R51" s="45">
        <v>25.146268940964077</v>
      </c>
      <c r="S51" s="45">
        <v>24.361087811786206</v>
      </c>
      <c r="T51" s="45">
        <v>25.409896531433063</v>
      </c>
      <c r="U51" s="45">
        <v>35.588687253933159</v>
      </c>
      <c r="V51" s="45">
        <v>34.836922139948072</v>
      </c>
      <c r="W51" s="45">
        <v>36.468201346461854</v>
      </c>
      <c r="X51" s="45">
        <v>26.499718784163445</v>
      </c>
      <c r="Y51" s="45">
        <v>3.1834806331007286</v>
      </c>
      <c r="Z51" s="45">
        <v>2.6461453172378846</v>
      </c>
      <c r="AA51" s="45">
        <v>46.148523627825071</v>
      </c>
    </row>
    <row r="52" spans="1:27" x14ac:dyDescent="0.25">
      <c r="A52" s="72" t="s">
        <v>3</v>
      </c>
      <c r="B52" s="65"/>
      <c r="C52" s="65"/>
      <c r="D52" s="66">
        <v>141.51350554235944</v>
      </c>
      <c r="E52" s="66">
        <v>160.11233534704132</v>
      </c>
      <c r="F52" s="66">
        <v>181.39932682479812</v>
      </c>
      <c r="G52" s="66">
        <v>182.93398260339819</v>
      </c>
      <c r="H52" s="66">
        <v>175.15895487320745</v>
      </c>
      <c r="I52" s="66">
        <v>186.91785971085446</v>
      </c>
      <c r="J52" s="66">
        <v>216.35532427293847</v>
      </c>
      <c r="K52" s="66">
        <v>230.55731521494761</v>
      </c>
      <c r="L52" s="66">
        <v>211.89250383119173</v>
      </c>
      <c r="M52" s="66">
        <v>167.86030595229471</v>
      </c>
      <c r="N52" s="66">
        <v>230.72717770034842</v>
      </c>
      <c r="O52" s="66">
        <v>219.8164706945432</v>
      </c>
      <c r="P52" s="66">
        <v>217.22461495136793</v>
      </c>
      <c r="Q52" s="66">
        <v>205.54218510382566</v>
      </c>
      <c r="R52" s="66">
        <v>205.9883634748013</v>
      </c>
      <c r="S52" s="66">
        <v>209.31538199999994</v>
      </c>
      <c r="T52" s="66">
        <v>214.61897063287671</v>
      </c>
      <c r="U52" s="66">
        <v>231.98504984017109</v>
      </c>
      <c r="V52" s="66">
        <v>224.88794466403149</v>
      </c>
      <c r="W52" s="66">
        <v>193.33834744480095</v>
      </c>
      <c r="X52" s="66">
        <v>159.7881489312723</v>
      </c>
      <c r="Y52" s="66">
        <v>191.36464314275935</v>
      </c>
      <c r="Z52" s="66">
        <v>170.55584289988172</v>
      </c>
      <c r="AA52" s="66">
        <v>136.59999999999991</v>
      </c>
    </row>
    <row r="53" spans="1:27" x14ac:dyDescent="0.25">
      <c r="A53" s="73" t="s">
        <v>21</v>
      </c>
      <c r="B53" s="65"/>
      <c r="C53" s="65"/>
      <c r="D53" s="66">
        <v>59.454251781472678</v>
      </c>
      <c r="E53" s="66">
        <v>63.293504406140883</v>
      </c>
      <c r="F53" s="66">
        <v>72.504594156416303</v>
      </c>
      <c r="G53" s="66">
        <v>69.36136532864009</v>
      </c>
      <c r="H53" s="66">
        <v>59.822740014583154</v>
      </c>
      <c r="I53" s="66">
        <v>62.465507534613337</v>
      </c>
      <c r="J53" s="66">
        <v>77.773349764101113</v>
      </c>
      <c r="K53" s="66">
        <v>89.09672520170858</v>
      </c>
      <c r="L53" s="66">
        <v>84.830767417187317</v>
      </c>
      <c r="M53" s="66">
        <v>62.191487227820872</v>
      </c>
      <c r="N53" s="66">
        <v>109.39006968641114</v>
      </c>
      <c r="O53" s="66">
        <v>99.482856110151005</v>
      </c>
      <c r="P53" s="66">
        <v>88.109828217403546</v>
      </c>
      <c r="Q53" s="66">
        <v>81.373956563186482</v>
      </c>
      <c r="R53" s="66">
        <v>83.564297759332746</v>
      </c>
      <c r="S53" s="66">
        <v>88.388035000000002</v>
      </c>
      <c r="T53" s="66">
        <v>88.084159967097847</v>
      </c>
      <c r="U53" s="66">
        <v>102.82500614726966</v>
      </c>
      <c r="V53" s="66">
        <v>107.57351778656127</v>
      </c>
      <c r="W53" s="66">
        <v>82.936603907391856</v>
      </c>
      <c r="X53" s="66">
        <v>59.753831987654422</v>
      </c>
      <c r="Y53" s="66">
        <v>90.384367808588067</v>
      </c>
      <c r="Z53" s="66">
        <v>79.672544353997083</v>
      </c>
      <c r="AA53" s="66">
        <v>49.5</v>
      </c>
    </row>
    <row r="54" spans="1:27" x14ac:dyDescent="0.25">
      <c r="A54" s="74" t="s">
        <v>8</v>
      </c>
      <c r="B54" s="44"/>
      <c r="C54" s="44"/>
      <c r="D54" s="45">
        <v>4.0307467691644643</v>
      </c>
      <c r="E54" s="45">
        <v>3.1660674607837564</v>
      </c>
      <c r="F54" s="45">
        <v>4.2780549372109986</v>
      </c>
      <c r="G54" s="45">
        <v>4.9301800056417937</v>
      </c>
      <c r="H54" s="45">
        <v>4.2289556115587521</v>
      </c>
      <c r="I54" s="45">
        <v>4.4306388267309886</v>
      </c>
      <c r="J54" s="45">
        <v>9.2148938515844279</v>
      </c>
      <c r="K54" s="45">
        <v>14.786106568078321</v>
      </c>
      <c r="L54" s="45">
        <v>16.843004313408841</v>
      </c>
      <c r="M54" s="45">
        <v>12.608521991588226</v>
      </c>
      <c r="N54" s="45">
        <v>21.694361605366165</v>
      </c>
      <c r="O54" s="45">
        <v>19.881217890235817</v>
      </c>
      <c r="P54" s="45">
        <v>17.583907199657695</v>
      </c>
      <c r="Q54" s="45">
        <v>16.379265095720598</v>
      </c>
      <c r="R54" s="45">
        <v>17.013975834146564</v>
      </c>
      <c r="S54" s="45">
        <v>18.246775331856455</v>
      </c>
      <c r="T54" s="45">
        <v>18.167346071131515</v>
      </c>
      <c r="U54" s="45">
        <v>20.791005549189475</v>
      </c>
      <c r="V54" s="45">
        <v>21.646539606755852</v>
      </c>
      <c r="W54" s="45">
        <v>16.454940874688972</v>
      </c>
      <c r="X54" s="45">
        <v>12.542721676661108</v>
      </c>
      <c r="Y54" s="45">
        <v>18.838296348237346</v>
      </c>
      <c r="Z54" s="45">
        <v>17.088190264779247</v>
      </c>
      <c r="AA54" s="45">
        <v>11.754557885141294</v>
      </c>
    </row>
    <row r="55" spans="1:27" x14ac:dyDescent="0.25">
      <c r="A55" s="74" t="s">
        <v>17</v>
      </c>
      <c r="B55" s="44"/>
      <c r="C55" s="44"/>
      <c r="D55" s="45">
        <v>55.423505012308212</v>
      </c>
      <c r="E55" s="45">
        <v>60.127436945357125</v>
      </c>
      <c r="F55" s="45">
        <v>68.226539219205307</v>
      </c>
      <c r="G55" s="45">
        <v>64.431185322998303</v>
      </c>
      <c r="H55" s="45">
        <v>55.593784403024401</v>
      </c>
      <c r="I55" s="45">
        <v>58.034868707882346</v>
      </c>
      <c r="J55" s="45">
        <v>68.558455912516678</v>
      </c>
      <c r="K55" s="45">
        <v>74.310618633630256</v>
      </c>
      <c r="L55" s="45">
        <v>67.987763103778477</v>
      </c>
      <c r="M55" s="45">
        <v>49.582965236232646</v>
      </c>
      <c r="N55" s="45">
        <v>87.69570808104497</v>
      </c>
      <c r="O55" s="45">
        <v>79.601638219915188</v>
      </c>
      <c r="P55" s="45">
        <v>70.525921017745844</v>
      </c>
      <c r="Q55" s="45">
        <v>64.994691467465884</v>
      </c>
      <c r="R55" s="45">
        <v>66.550321925186182</v>
      </c>
      <c r="S55" s="45">
        <v>70.141259668143547</v>
      </c>
      <c r="T55" s="45">
        <v>69.916813895966328</v>
      </c>
      <c r="U55" s="45">
        <v>82.034000598080183</v>
      </c>
      <c r="V55" s="45">
        <v>85.926978179805417</v>
      </c>
      <c r="W55" s="45">
        <v>66.481663032702883</v>
      </c>
      <c r="X55" s="45">
        <v>47.211110310993313</v>
      </c>
      <c r="Y55" s="45">
        <v>71.546071460350717</v>
      </c>
      <c r="Z55" s="45">
        <v>62.58435408921784</v>
      </c>
      <c r="AA55" s="45">
        <v>37.745442114858704</v>
      </c>
    </row>
    <row r="56" spans="1:27" x14ac:dyDescent="0.25">
      <c r="A56" s="73" t="s">
        <v>16</v>
      </c>
      <c r="B56" s="65"/>
      <c r="C56" s="65"/>
      <c r="D56" s="66">
        <v>82.059253760886776</v>
      </c>
      <c r="E56" s="66">
        <v>96.81883094090044</v>
      </c>
      <c r="F56" s="66">
        <v>108.89473266838182</v>
      </c>
      <c r="G56" s="66">
        <v>113.57261727475809</v>
      </c>
      <c r="H56" s="66">
        <v>115.3362148586243</v>
      </c>
      <c r="I56" s="66">
        <v>124.45235217624112</v>
      </c>
      <c r="J56" s="66">
        <v>138.58197450883736</v>
      </c>
      <c r="K56" s="66">
        <v>141.46059001323903</v>
      </c>
      <c r="L56" s="66">
        <v>127.06173641400443</v>
      </c>
      <c r="M56" s="66">
        <v>105.66881872447384</v>
      </c>
      <c r="N56" s="66">
        <v>121.33710801393727</v>
      </c>
      <c r="O56" s="66">
        <v>120.33361458439219</v>
      </c>
      <c r="P56" s="66">
        <v>129.11478673396439</v>
      </c>
      <c r="Q56" s="66">
        <v>124.16822854063916</v>
      </c>
      <c r="R56" s="66">
        <v>122.42406571546857</v>
      </c>
      <c r="S56" s="66">
        <v>120.92734699999993</v>
      </c>
      <c r="T56" s="66">
        <v>126.53481066577886</v>
      </c>
      <c r="U56" s="66">
        <v>129.16004369290141</v>
      </c>
      <c r="V56" s="66">
        <v>117.31442687747023</v>
      </c>
      <c r="W56" s="66">
        <v>110.4017435374091</v>
      </c>
      <c r="X56" s="66">
        <v>100.0343169436179</v>
      </c>
      <c r="Y56" s="66">
        <v>100.9802753341713</v>
      </c>
      <c r="Z56" s="66">
        <v>90.883298545884642</v>
      </c>
      <c r="AA56" s="66">
        <v>87.099999999999909</v>
      </c>
    </row>
    <row r="57" spans="1:27" x14ac:dyDescent="0.25">
      <c r="A57" s="72" t="s">
        <v>2</v>
      </c>
      <c r="B57" s="65"/>
      <c r="C57" s="65"/>
      <c r="D57" s="66">
        <v>545.61662311955649</v>
      </c>
      <c r="E57" s="66">
        <v>564.43933381366742</v>
      </c>
      <c r="F57" s="66">
        <v>534.54908011137343</v>
      </c>
      <c r="G57" s="66">
        <v>547.47825763216679</v>
      </c>
      <c r="H57" s="66">
        <v>489.98879850927648</v>
      </c>
      <c r="I57" s="66">
        <v>526.52918228409703</v>
      </c>
      <c r="J57" s="66">
        <v>558.29367791000641</v>
      </c>
      <c r="K57" s="66">
        <v>554.11910673694206</v>
      </c>
      <c r="L57" s="66">
        <v>553.61296475303539</v>
      </c>
      <c r="M57" s="66">
        <v>581.08398704656952</v>
      </c>
      <c r="N57" s="66">
        <v>502.52229965156789</v>
      </c>
      <c r="O57" s="66">
        <v>507.30955575886958</v>
      </c>
      <c r="P57" s="66">
        <v>524.25347789355101</v>
      </c>
      <c r="Q57" s="66">
        <v>543.19547498652969</v>
      </c>
      <c r="R57" s="66">
        <v>627.91698221804847</v>
      </c>
      <c r="S57" s="66">
        <v>594.78107799999998</v>
      </c>
      <c r="T57" s="66">
        <v>591.31279560521341</v>
      </c>
      <c r="U57" s="66">
        <v>587.95190565359655</v>
      </c>
      <c r="V57" s="66">
        <v>606.33629776021075</v>
      </c>
      <c r="W57" s="66">
        <v>615.86854973319373</v>
      </c>
      <c r="X57" s="66">
        <v>613.01029423049056</v>
      </c>
      <c r="Y57" s="66">
        <v>576.13651401152254</v>
      </c>
      <c r="Z57" s="66">
        <v>568.37435330132894</v>
      </c>
      <c r="AA57" s="66">
        <v>601.6</v>
      </c>
    </row>
    <row r="58" spans="1:27" x14ac:dyDescent="0.25">
      <c r="A58" s="72" t="s">
        <v>269</v>
      </c>
      <c r="B58" s="65"/>
      <c r="C58" s="65"/>
      <c r="D58" s="66">
        <v>78.033705463182883</v>
      </c>
      <c r="E58" s="66">
        <v>81.501224851743061</v>
      </c>
      <c r="F58" s="66">
        <v>91.802394882458657</v>
      </c>
      <c r="G58" s="66">
        <v>95.835168889189745</v>
      </c>
      <c r="H58" s="66">
        <v>119.89896621566876</v>
      </c>
      <c r="I58" s="66">
        <v>117.27240878145798</v>
      </c>
      <c r="J58" s="66">
        <v>117.87179071896345</v>
      </c>
      <c r="K58" s="66">
        <v>141.46059001323908</v>
      </c>
      <c r="L58" s="66">
        <v>168.92387598726864</v>
      </c>
      <c r="M58" s="66">
        <v>113.41912564344233</v>
      </c>
      <c r="N58" s="66">
        <v>191.89930313588849</v>
      </c>
      <c r="O58" s="66">
        <v>192.25106118622435</v>
      </c>
      <c r="P58" s="66">
        <v>183.84454541515933</v>
      </c>
      <c r="Q58" s="66">
        <v>181.22725784390931</v>
      </c>
      <c r="R58" s="66">
        <v>176.92252077590297</v>
      </c>
      <c r="S58" s="66">
        <v>191.16845799999999</v>
      </c>
      <c r="T58" s="66">
        <v>189.18945662498408</v>
      </c>
      <c r="U58" s="66">
        <v>172.21339159053508</v>
      </c>
      <c r="V58" s="66">
        <v>189.17127799736494</v>
      </c>
      <c r="W58" s="66">
        <v>174.8027606008977</v>
      </c>
      <c r="X58" s="66">
        <v>176.9940514455746</v>
      </c>
      <c r="Y58" s="66">
        <v>163.02378205023581</v>
      </c>
      <c r="Z58" s="66">
        <v>175.78027203784873</v>
      </c>
      <c r="AA58" s="66">
        <v>186.9</v>
      </c>
    </row>
    <row r="59" spans="1:27" x14ac:dyDescent="0.25">
      <c r="A59" s="72" t="s">
        <v>270</v>
      </c>
      <c r="B59" s="65"/>
      <c r="C59" s="65"/>
      <c r="D59" s="66">
        <v>496.38107086302449</v>
      </c>
      <c r="E59" s="66">
        <v>493.05350920948104</v>
      </c>
      <c r="F59" s="66">
        <v>522.41903394071824</v>
      </c>
      <c r="G59" s="66">
        <v>611.80960028430241</v>
      </c>
      <c r="H59" s="66">
        <v>705.4520570363768</v>
      </c>
      <c r="I59" s="66">
        <v>897.49292434789277</v>
      </c>
      <c r="J59" s="66">
        <v>1040.3562537849448</v>
      </c>
      <c r="K59" s="66">
        <v>1122.1107298978343</v>
      </c>
      <c r="L59" s="66">
        <v>1136.9166981020865</v>
      </c>
      <c r="M59" s="66">
        <v>859.90600425336527</v>
      </c>
      <c r="N59" s="66">
        <v>990.48414634146343</v>
      </c>
      <c r="O59" s="66">
        <v>1245.7444681644133</v>
      </c>
      <c r="P59" s="66">
        <v>1174.7412289062668</v>
      </c>
      <c r="Q59" s="66">
        <v>1202.1300037302606</v>
      </c>
      <c r="R59" s="66">
        <v>1248.7254702977796</v>
      </c>
      <c r="S59" s="66">
        <v>1217.0954200000001</v>
      </c>
      <c r="T59" s="66">
        <v>1316.8198940472575</v>
      </c>
      <c r="U59" s="66">
        <v>1371.9370964081029</v>
      </c>
      <c r="V59" s="66">
        <v>1401.2791831357047</v>
      </c>
      <c r="W59" s="66">
        <v>1443.881626263762</v>
      </c>
      <c r="X59" s="66">
        <v>1365.268357646497</v>
      </c>
      <c r="Y59" s="66">
        <v>1478.831238269328</v>
      </c>
      <c r="Z59" s="66">
        <v>1380.3377151603704</v>
      </c>
      <c r="AA59" s="66">
        <v>1340.6</v>
      </c>
    </row>
    <row r="60" spans="1:27" x14ac:dyDescent="0.25">
      <c r="A60" s="72" t="s">
        <v>1</v>
      </c>
      <c r="B60" s="65"/>
      <c r="C60" s="65"/>
      <c r="D60" s="66">
        <v>434.13990102929523</v>
      </c>
      <c r="E60" s="66">
        <v>489.5853719817473</v>
      </c>
      <c r="F60" s="66">
        <v>499.26167306946735</v>
      </c>
      <c r="G60" s="66">
        <v>482.88217694442568</v>
      </c>
      <c r="H60" s="66">
        <v>461.34485943449721</v>
      </c>
      <c r="I60" s="66">
        <v>406.38479614472584</v>
      </c>
      <c r="J60" s="66">
        <v>396.57798746567147</v>
      </c>
      <c r="K60" s="66">
        <v>353.45608747783075</v>
      </c>
      <c r="L60" s="66">
        <v>312.76735117293407</v>
      </c>
      <c r="M60" s="66">
        <v>246.11950264626984</v>
      </c>
      <c r="N60" s="66">
        <v>251.07447735191636</v>
      </c>
      <c r="O60" s="66">
        <v>256.74705138197055</v>
      </c>
      <c r="P60" s="66">
        <v>266.36278838030455</v>
      </c>
      <c r="Q60" s="66">
        <v>250.44375077713767</v>
      </c>
      <c r="R60" s="66">
        <v>268.38514535558852</v>
      </c>
      <c r="S60" s="66">
        <v>270.32659200000001</v>
      </c>
      <c r="T60" s="66">
        <v>275.74171815787156</v>
      </c>
      <c r="U60" s="66">
        <v>283.6194773875049</v>
      </c>
      <c r="V60" s="66">
        <v>266.11034255599475</v>
      </c>
      <c r="W60" s="66">
        <v>248.53921921350548</v>
      </c>
      <c r="X60" s="66">
        <v>242.4831842713298</v>
      </c>
      <c r="Y60" s="66">
        <v>216.00331967815112</v>
      </c>
      <c r="Z60" s="66">
        <v>185.79376121895217</v>
      </c>
      <c r="AA60" s="66">
        <v>193.2</v>
      </c>
    </row>
    <row r="61" spans="1:27" x14ac:dyDescent="0.25">
      <c r="A61" s="72" t="s">
        <v>0</v>
      </c>
      <c r="B61" s="65"/>
      <c r="C61" s="65"/>
      <c r="D61" s="66">
        <v>401.93551464766426</v>
      </c>
      <c r="E61" s="66">
        <v>456.92707975392119</v>
      </c>
      <c r="F61" s="66">
        <v>490.16413844147604</v>
      </c>
      <c r="G61" s="66">
        <v>548.53720977458875</v>
      </c>
      <c r="H61" s="66">
        <v>577.69501903913135</v>
      </c>
      <c r="I61" s="66">
        <v>587.55870113975379</v>
      </c>
      <c r="J61" s="66">
        <v>614.69588057179078</v>
      </c>
      <c r="K61" s="66">
        <v>620.55087552768964</v>
      </c>
      <c r="L61" s="66">
        <v>498.84179535541671</v>
      </c>
      <c r="M61" s="66">
        <v>427.77913555185</v>
      </c>
      <c r="N61" s="66">
        <v>534.81663763066194</v>
      </c>
      <c r="O61" s="66">
        <v>587.17856279579371</v>
      </c>
      <c r="P61" s="66">
        <v>594.06357255810929</v>
      </c>
      <c r="Q61" s="66">
        <v>613.87086355535291</v>
      </c>
      <c r="R61" s="66">
        <v>699.1598901376309</v>
      </c>
      <c r="S61" s="66">
        <v>752.78446799999995</v>
      </c>
      <c r="T61" s="66">
        <v>755.99187728283107</v>
      </c>
      <c r="U61" s="66">
        <v>802.33094724696878</v>
      </c>
      <c r="V61" s="66">
        <v>799.88392621870889</v>
      </c>
      <c r="W61" s="66">
        <v>778.9005362069413</v>
      </c>
      <c r="X61" s="66">
        <v>817.21367988472923</v>
      </c>
      <c r="Y61" s="66">
        <v>1153.1666587782147</v>
      </c>
      <c r="Z61" s="66">
        <v>1046.1919348778961</v>
      </c>
      <c r="AA61" s="66">
        <v>752.2</v>
      </c>
    </row>
    <row r="62" spans="1:27" x14ac:dyDescent="0.25">
      <c r="A62" s="78" t="s">
        <v>271</v>
      </c>
      <c r="B62" s="79"/>
      <c r="C62" s="79"/>
      <c r="D62" s="80">
        <v>340.62331749802053</v>
      </c>
      <c r="E62" s="80">
        <v>399.70281549631437</v>
      </c>
      <c r="F62" s="80">
        <v>436.95734501110206</v>
      </c>
      <c r="G62" s="80">
        <v>469.91001319975629</v>
      </c>
      <c r="H62" s="80">
        <v>460.83788706149227</v>
      </c>
      <c r="I62" s="80">
        <v>481.53487034345602</v>
      </c>
      <c r="J62" s="80">
        <v>523.26262235053878</v>
      </c>
      <c r="K62" s="80">
        <v>503.12295481227983</v>
      </c>
      <c r="L62" s="80">
        <v>433.74340209831428</v>
      </c>
      <c r="M62" s="80">
        <v>340.4464088063994</v>
      </c>
      <c r="N62" s="80">
        <v>396.86567944250862</v>
      </c>
      <c r="O62" s="80">
        <v>426.02693797792915</v>
      </c>
      <c r="P62" s="80">
        <v>444.4463065658644</v>
      </c>
      <c r="Q62" s="80">
        <v>438.1549892236913</v>
      </c>
      <c r="R62" s="80">
        <v>457.47108943483477</v>
      </c>
      <c r="S62" s="80">
        <v>463.841635</v>
      </c>
      <c r="T62" s="80">
        <v>498.9393200223264</v>
      </c>
      <c r="U62" s="80">
        <v>523.593808280845</v>
      </c>
      <c r="V62" s="80">
        <v>527.98550724637676</v>
      </c>
      <c r="W62" s="80">
        <v>533.47313084314214</v>
      </c>
      <c r="X62" s="80">
        <v>527.38091892675357</v>
      </c>
      <c r="Y62" s="80">
        <v>577.15780630314498</v>
      </c>
      <c r="Z62" s="80">
        <v>481.4093766089195</v>
      </c>
      <c r="AA62" s="80">
        <v>456.4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4.349797747102252E-2</v>
      </c>
      <c r="E66" s="83">
        <f t="shared" ref="E66:S66" si="55">E24/E$23</f>
        <v>3.9168806161745826E-2</v>
      </c>
      <c r="F66" s="83">
        <f t="shared" si="55"/>
        <v>3.9915001148633125E-2</v>
      </c>
      <c r="G66" s="83">
        <f t="shared" si="55"/>
        <v>3.8745694567151955E-2</v>
      </c>
      <c r="H66" s="83">
        <f t="shared" si="55"/>
        <v>4.0833987169428161E-2</v>
      </c>
      <c r="I66" s="83">
        <f t="shared" si="55"/>
        <v>3.7086395687674668E-2</v>
      </c>
      <c r="J66" s="83">
        <f t="shared" si="55"/>
        <v>3.5744502617801044E-2</v>
      </c>
      <c r="K66" s="83">
        <f t="shared" si="55"/>
        <v>4.4687851401440999E-2</v>
      </c>
      <c r="L66" s="83">
        <f t="shared" si="55"/>
        <v>3.8182530462270006E-2</v>
      </c>
      <c r="M66" s="83">
        <f t="shared" si="55"/>
        <v>2.8533141587135574E-2</v>
      </c>
      <c r="N66" s="83">
        <f t="shared" si="55"/>
        <v>3.639718476534521E-2</v>
      </c>
      <c r="O66" s="83">
        <f t="shared" si="55"/>
        <v>4.1910810626237797E-2</v>
      </c>
      <c r="P66" s="83">
        <f t="shared" si="55"/>
        <v>3.7703513281919454E-2</v>
      </c>
      <c r="Q66" s="83">
        <f t="shared" si="55"/>
        <v>3.4853602931522218E-2</v>
      </c>
      <c r="R66" s="83">
        <f t="shared" si="55"/>
        <v>3.5755550169929033E-2</v>
      </c>
      <c r="S66" s="83">
        <f t="shared" si="55"/>
        <v>3.2394513203359759E-2</v>
      </c>
      <c r="T66" s="83">
        <f t="shared" ref="T66:Y66" si="56">T24/T$23</f>
        <v>2.405257347362693E-2</v>
      </c>
      <c r="U66" s="83">
        <f t="shared" si="56"/>
        <v>2.698381066256714E-2</v>
      </c>
      <c r="V66" s="83">
        <f t="shared" si="56"/>
        <v>2.3564923146513102E-2</v>
      </c>
      <c r="W66" s="83">
        <f t="shared" si="56"/>
        <v>2.6072652612519398E-2</v>
      </c>
      <c r="X66" s="83">
        <f t="shared" si="56"/>
        <v>2.2039402290754673E-2</v>
      </c>
      <c r="Y66" s="83">
        <f t="shared" si="56"/>
        <v>2.221382395371908E-2</v>
      </c>
      <c r="Z66" s="83">
        <f t="shared" ref="Z66:AA66" si="57">Z24/Z$23</f>
        <v>2.7726092060241264E-2</v>
      </c>
      <c r="AA66" s="83">
        <f t="shared" si="57"/>
        <v>1.9452204632462715E-2</v>
      </c>
    </row>
    <row r="67" spans="1:27" x14ac:dyDescent="0.25">
      <c r="A67" s="64" t="s">
        <v>56</v>
      </c>
      <c r="B67" s="65"/>
      <c r="C67" s="65"/>
      <c r="D67" s="83">
        <f t="shared" si="51"/>
        <v>1.1840282127116887E-2</v>
      </c>
      <c r="E67" s="83">
        <f t="shared" ref="E67:S67" si="58">E25/E$23</f>
        <v>1.155327342747111E-2</v>
      </c>
      <c r="F67" s="83">
        <f t="shared" si="58"/>
        <v>1.1259993142777792E-2</v>
      </c>
      <c r="G67" s="83">
        <f t="shared" si="58"/>
        <v>1.1216532862136518E-2</v>
      </c>
      <c r="H67" s="83">
        <f t="shared" si="58"/>
        <v>1.0560023985238587E-2</v>
      </c>
      <c r="I67" s="83">
        <f t="shared" si="58"/>
        <v>9.448129767576011E-3</v>
      </c>
      <c r="J67" s="83">
        <f t="shared" si="58"/>
        <v>9.6251308900523573E-3</v>
      </c>
      <c r="K67" s="83">
        <f t="shared" si="58"/>
        <v>1.0613191176266431E-2</v>
      </c>
      <c r="L67" s="83">
        <f t="shared" si="58"/>
        <v>9.8208737470618472E-3</v>
      </c>
      <c r="M67" s="83">
        <f t="shared" si="58"/>
        <v>1.240358216760361E-2</v>
      </c>
      <c r="N67" s="83">
        <f t="shared" si="58"/>
        <v>1.3967176357011613E-2</v>
      </c>
      <c r="O67" s="83">
        <f t="shared" si="58"/>
        <v>1.3931571399303426E-2</v>
      </c>
      <c r="P67" s="83">
        <f t="shared" si="58"/>
        <v>1.291531096293143E-2</v>
      </c>
      <c r="Q67" s="83">
        <f t="shared" si="58"/>
        <v>1.5230547034459708E-2</v>
      </c>
      <c r="R67" s="83">
        <f t="shared" si="58"/>
        <v>1.5251342805773642E-2</v>
      </c>
      <c r="S67" s="83">
        <f t="shared" si="58"/>
        <v>1.361811060388822E-2</v>
      </c>
      <c r="T67" s="83">
        <f t="shared" ref="T67:Y67" si="59">T25/T$23</f>
        <v>1.0685398597126482E-2</v>
      </c>
      <c r="U67" s="83">
        <f t="shared" si="59"/>
        <v>1.2132513427850215E-2</v>
      </c>
      <c r="V67" s="83">
        <f t="shared" si="59"/>
        <v>1.0638575492131973E-2</v>
      </c>
      <c r="W67" s="83">
        <f t="shared" si="59"/>
        <v>8.9127249352555261E-3</v>
      </c>
      <c r="X67" s="83">
        <f t="shared" si="59"/>
        <v>6.8256261631246861E-3</v>
      </c>
      <c r="Y67" s="83">
        <f t="shared" si="59"/>
        <v>5.3563187482057783E-3</v>
      </c>
      <c r="Z67" s="83">
        <f t="shared" ref="Z67:AA67" si="60">Z25/Z$23</f>
        <v>5.6694722645420697E-3</v>
      </c>
      <c r="AA67" s="83">
        <f t="shared" si="60"/>
        <v>5.5226395236668314E-3</v>
      </c>
    </row>
    <row r="68" spans="1:27" x14ac:dyDescent="0.25">
      <c r="A68" s="64" t="s">
        <v>146</v>
      </c>
      <c r="B68" s="65"/>
      <c r="C68" s="65"/>
      <c r="D68" s="83">
        <f t="shared" si="51"/>
        <v>0.69739724280188653</v>
      </c>
      <c r="E68" s="83">
        <f t="shared" ref="E68:S68" si="61">E26/E$23</f>
        <v>0.69714377406931993</v>
      </c>
      <c r="F68" s="83">
        <f t="shared" si="61"/>
        <v>0.69578732144840372</v>
      </c>
      <c r="G68" s="83">
        <f t="shared" si="61"/>
        <v>0.68990640085020283</v>
      </c>
      <c r="H68" s="83">
        <f t="shared" si="61"/>
        <v>0.69138774411920678</v>
      </c>
      <c r="I68" s="83">
        <f t="shared" si="61"/>
        <v>0.68291081960039379</v>
      </c>
      <c r="J68" s="83">
        <f t="shared" si="61"/>
        <v>0.67344083769633512</v>
      </c>
      <c r="K68" s="83">
        <f t="shared" si="61"/>
        <v>0.6641469881859704</v>
      </c>
      <c r="L68" s="83">
        <f t="shared" si="61"/>
        <v>0.68517818063923497</v>
      </c>
      <c r="M68" s="83">
        <f t="shared" si="61"/>
        <v>0.71957118577591817</v>
      </c>
      <c r="N68" s="83">
        <f t="shared" si="61"/>
        <v>0.7050932702189282</v>
      </c>
      <c r="O68" s="83">
        <f t="shared" si="61"/>
        <v>0.68428600696578568</v>
      </c>
      <c r="P68" s="83">
        <f t="shared" si="61"/>
        <v>0.69543828177457245</v>
      </c>
      <c r="Q68" s="83">
        <f t="shared" si="61"/>
        <v>0.69809856885376986</v>
      </c>
      <c r="R68" s="83">
        <f t="shared" si="61"/>
        <v>0.70319060796834754</v>
      </c>
      <c r="S68" s="83">
        <f t="shared" si="61"/>
        <v>0.71660157001049241</v>
      </c>
      <c r="T68" s="83">
        <f t="shared" ref="T68:Y68" si="62">T26/T$23</f>
        <v>0.72144730817035929</v>
      </c>
      <c r="U68" s="83">
        <f t="shared" si="62"/>
        <v>0.72117994268253327</v>
      </c>
      <c r="V68" s="83">
        <f t="shared" si="62"/>
        <v>0.7258718325663932</v>
      </c>
      <c r="W68" s="83">
        <f t="shared" si="62"/>
        <v>0.73562468073852694</v>
      </c>
      <c r="X68" s="83">
        <f t="shared" si="62"/>
        <v>0.74454357961114292</v>
      </c>
      <c r="Y68" s="83">
        <f t="shared" si="62"/>
        <v>0.73251111054584328</v>
      </c>
      <c r="Z68" s="83">
        <f t="shared" ref="Z68:AA68" si="63">Z26/Z$23</f>
        <v>0.72413459377107314</v>
      </c>
      <c r="AA68" s="83">
        <f t="shared" si="63"/>
        <v>0.75305493304694593</v>
      </c>
    </row>
    <row r="69" spans="1:27" x14ac:dyDescent="0.25">
      <c r="A69" s="68" t="s">
        <v>148</v>
      </c>
      <c r="B69" s="69"/>
      <c r="C69" s="69"/>
      <c r="D69" s="84">
        <f t="shared" si="51"/>
        <v>0.2855484409294563</v>
      </c>
      <c r="E69" s="84">
        <f t="shared" ref="E69:S69" si="64">E27/E$23</f>
        <v>0.27512836970474991</v>
      </c>
      <c r="F69" s="84">
        <f t="shared" si="64"/>
        <v>0.26526246266942355</v>
      </c>
      <c r="G69" s="84">
        <f t="shared" si="64"/>
        <v>0.26602133189925603</v>
      </c>
      <c r="H69" s="84">
        <f t="shared" si="64"/>
        <v>0.26709973692712419</v>
      </c>
      <c r="I69" s="84">
        <f t="shared" si="64"/>
        <v>0.25558682831256391</v>
      </c>
      <c r="J69" s="84">
        <f t="shared" si="64"/>
        <v>0.24760628272251325</v>
      </c>
      <c r="K69" s="84">
        <f t="shared" si="64"/>
        <v>0.2427984396040703</v>
      </c>
      <c r="L69" s="84">
        <f t="shared" si="64"/>
        <v>0.25720017291222025</v>
      </c>
      <c r="M69" s="84">
        <f t="shared" si="64"/>
        <v>0.28210386978690022</v>
      </c>
      <c r="N69" s="84">
        <f t="shared" si="64"/>
        <v>0.27738936812930148</v>
      </c>
      <c r="O69" s="84">
        <f t="shared" si="64"/>
        <v>0.2656559448200505</v>
      </c>
      <c r="P69" s="84">
        <f t="shared" si="64"/>
        <v>0.26249642959154523</v>
      </c>
      <c r="Q69" s="84">
        <f t="shared" si="64"/>
        <v>0.26627197746451969</v>
      </c>
      <c r="R69" s="84">
        <f t="shared" si="64"/>
        <v>0.26745647505734754</v>
      </c>
      <c r="S69" s="84">
        <f t="shared" si="64"/>
        <v>0.27117564011711903</v>
      </c>
      <c r="T69" s="84">
        <f t="shared" ref="T69:Y69" si="65">T27/T$23</f>
        <v>0.26460446937312621</v>
      </c>
      <c r="U69" s="84">
        <f t="shared" si="65"/>
        <v>0.25959877773349271</v>
      </c>
      <c r="V69" s="84">
        <f t="shared" si="65"/>
        <v>0.25590862829356542</v>
      </c>
      <c r="W69" s="84">
        <f t="shared" si="65"/>
        <v>0.25778016683911009</v>
      </c>
      <c r="X69" s="84">
        <f t="shared" si="65"/>
        <v>0.25770375800064721</v>
      </c>
      <c r="Y69" s="84">
        <f t="shared" si="65"/>
        <v>0.25347670146699181</v>
      </c>
      <c r="Z69" s="84">
        <f t="shared" ref="Z69:AA69" si="66">Z27/Z$23</f>
        <v>0.24735570318939032</v>
      </c>
      <c r="AA69" s="84">
        <f t="shared" si="66"/>
        <v>0.2553027951458175</v>
      </c>
    </row>
    <row r="70" spans="1:27" x14ac:dyDescent="0.25">
      <c r="A70" s="68" t="s">
        <v>150</v>
      </c>
      <c r="B70" s="71"/>
      <c r="C70" s="71"/>
      <c r="D70" s="84">
        <f t="shared" si="51"/>
        <v>0.26632081118830381</v>
      </c>
      <c r="E70" s="84">
        <f t="shared" ref="E70:S70" si="67">E28/E$23</f>
        <v>0.2680038510911425</v>
      </c>
      <c r="F70" s="84">
        <f t="shared" si="67"/>
        <v>0.2675453710084999</v>
      </c>
      <c r="G70" s="84">
        <f t="shared" si="67"/>
        <v>0.26189835977413284</v>
      </c>
      <c r="H70" s="84">
        <f t="shared" si="67"/>
        <v>0.26478054183781791</v>
      </c>
      <c r="I70" s="84">
        <f t="shared" si="67"/>
        <v>0.26853573879402082</v>
      </c>
      <c r="J70" s="84">
        <f t="shared" si="67"/>
        <v>0.26705759162303666</v>
      </c>
      <c r="K70" s="84">
        <f t="shared" si="67"/>
        <v>0.27015395721405472</v>
      </c>
      <c r="L70" s="84">
        <f t="shared" si="67"/>
        <v>0.28427174236079217</v>
      </c>
      <c r="M70" s="84">
        <f t="shared" si="67"/>
        <v>0.30369165904039741</v>
      </c>
      <c r="N70" s="84">
        <f t="shared" si="67"/>
        <v>0.29387125907010059</v>
      </c>
      <c r="O70" s="84">
        <f t="shared" si="67"/>
        <v>0.28298162944751765</v>
      </c>
      <c r="P70" s="84">
        <f t="shared" si="67"/>
        <v>0.29371290742327588</v>
      </c>
      <c r="Q70" s="84">
        <f t="shared" si="67"/>
        <v>0.2959512527005575</v>
      </c>
      <c r="R70" s="84">
        <f t="shared" si="67"/>
        <v>0.29671357797854886</v>
      </c>
      <c r="S70" s="84">
        <f t="shared" si="67"/>
        <v>0.31189263721111637</v>
      </c>
      <c r="T70" s="84">
        <f t="shared" ref="T70:Y70" si="68">T28/T$23</f>
        <v>0.31617335433202709</v>
      </c>
      <c r="U70" s="84">
        <f t="shared" si="68"/>
        <v>0.31998140029228112</v>
      </c>
      <c r="V70" s="84">
        <f t="shared" si="68"/>
        <v>0.32288468062526637</v>
      </c>
      <c r="W70" s="84">
        <f t="shared" si="68"/>
        <v>0.33058232022762535</v>
      </c>
      <c r="X70" s="84">
        <f t="shared" si="68"/>
        <v>0.34369510112654028</v>
      </c>
      <c r="Y70" s="84">
        <f t="shared" si="68"/>
        <v>0.33778966455781301</v>
      </c>
      <c r="Z70" s="84">
        <f t="shared" ref="Z70:AA70" si="69">Z28/Z$23</f>
        <v>0.34395839056919497</v>
      </c>
      <c r="AA70" s="84">
        <f t="shared" si="69"/>
        <v>0.36739834153696072</v>
      </c>
    </row>
    <row r="71" spans="1:27" x14ac:dyDescent="0.25">
      <c r="A71" s="68" t="s">
        <v>152</v>
      </c>
      <c r="B71" s="71"/>
      <c r="C71" s="71"/>
      <c r="D71" s="84">
        <f t="shared" si="51"/>
        <v>0.14552799068412633</v>
      </c>
      <c r="E71" s="84">
        <f t="shared" ref="E71:S71" si="70">E29/E$23</f>
        <v>0.1540115532734275</v>
      </c>
      <c r="F71" s="84">
        <f t="shared" si="70"/>
        <v>0.1629794877704803</v>
      </c>
      <c r="G71" s="84">
        <f t="shared" si="70"/>
        <v>0.16198670917681404</v>
      </c>
      <c r="H71" s="84">
        <f t="shared" si="70"/>
        <v>0.15950746535426466</v>
      </c>
      <c r="I71" s="84">
        <f t="shared" si="70"/>
        <v>0.15878825249380901</v>
      </c>
      <c r="J71" s="84">
        <f t="shared" si="70"/>
        <v>0.15877696335078534</v>
      </c>
      <c r="K71" s="84">
        <f t="shared" si="70"/>
        <v>0.1511945913678453</v>
      </c>
      <c r="L71" s="84">
        <f t="shared" si="70"/>
        <v>0.14370626536622266</v>
      </c>
      <c r="M71" s="84">
        <f t="shared" si="70"/>
        <v>0.13377565694862073</v>
      </c>
      <c r="N71" s="84">
        <f t="shared" si="70"/>
        <v>0.13383264301952605</v>
      </c>
      <c r="O71" s="84">
        <f t="shared" si="70"/>
        <v>0.13564843269821761</v>
      </c>
      <c r="P71" s="84">
        <f t="shared" si="70"/>
        <v>0.13922894475975128</v>
      </c>
      <c r="Q71" s="84">
        <f t="shared" si="70"/>
        <v>0.13587533868869286</v>
      </c>
      <c r="R71" s="84">
        <f t="shared" si="70"/>
        <v>0.13902055493245108</v>
      </c>
      <c r="S71" s="84">
        <f t="shared" si="70"/>
        <v>0.13353329268225694</v>
      </c>
      <c r="T71" s="84">
        <f t="shared" ref="T71:Y71" si="71">T29/T$23</f>
        <v>0.14066948446520611</v>
      </c>
      <c r="U71" s="84">
        <f t="shared" si="71"/>
        <v>0.14159976465675944</v>
      </c>
      <c r="V71" s="84">
        <f t="shared" si="71"/>
        <v>0.14707852364756135</v>
      </c>
      <c r="W71" s="84">
        <f t="shared" si="71"/>
        <v>0.1472621936717915</v>
      </c>
      <c r="X71" s="84">
        <f t="shared" si="71"/>
        <v>0.1431447204839556</v>
      </c>
      <c r="Y71" s="84">
        <f t="shared" si="71"/>
        <v>0.1412447445210383</v>
      </c>
      <c r="Z71" s="84">
        <f t="shared" ref="Z71:AA71" si="72">Z29/Z$23</f>
        <v>0.13282050001248782</v>
      </c>
      <c r="AA71" s="84">
        <f t="shared" si="72"/>
        <v>0.13035379636416786</v>
      </c>
    </row>
    <row r="72" spans="1:27" x14ac:dyDescent="0.25">
      <c r="A72" s="64" t="s">
        <v>154</v>
      </c>
      <c r="B72" s="65"/>
      <c r="C72" s="65"/>
      <c r="D72" s="83">
        <f t="shared" si="51"/>
        <v>2.6709073050281643E-2</v>
      </c>
      <c r="E72" s="83">
        <f t="shared" ref="E72:S72" si="73">E30/E$23</f>
        <v>2.5882541720154032E-2</v>
      </c>
      <c r="F72" s="83">
        <f t="shared" si="73"/>
        <v>2.8149675990027011E-2</v>
      </c>
      <c r="G72" s="83">
        <f t="shared" si="73"/>
        <v>3.1088746334780211E-2</v>
      </c>
      <c r="H72" s="83">
        <f t="shared" si="73"/>
        <v>3.0537116743480083E-2</v>
      </c>
      <c r="I72" s="83">
        <f t="shared" si="73"/>
        <v>3.009477965966843E-2</v>
      </c>
      <c r="J72" s="83">
        <f t="shared" si="73"/>
        <v>2.8557068062827227E-2</v>
      </c>
      <c r="K72" s="83">
        <f t="shared" si="73"/>
        <v>2.6314328155151105E-2</v>
      </c>
      <c r="L72" s="83">
        <f t="shared" si="73"/>
        <v>2.8456218085537523E-2</v>
      </c>
      <c r="M72" s="83">
        <f t="shared" si="73"/>
        <v>3.6499869263956077E-2</v>
      </c>
      <c r="N72" s="83">
        <f t="shared" si="73"/>
        <v>4.0539067609230477E-2</v>
      </c>
      <c r="O72" s="83">
        <f t="shared" si="73"/>
        <v>4.0606433107969686E-2</v>
      </c>
      <c r="P72" s="83">
        <f t="shared" si="73"/>
        <v>3.9381974878098025E-2</v>
      </c>
      <c r="Q72" s="83">
        <f t="shared" si="73"/>
        <v>4.2069014908270565E-2</v>
      </c>
      <c r="R72" s="83">
        <f t="shared" si="73"/>
        <v>3.9475389878654316E-2</v>
      </c>
      <c r="S72" s="83">
        <f t="shared" si="73"/>
        <v>3.2301125595346002E-2</v>
      </c>
      <c r="T72" s="83">
        <f t="shared" ref="T72:Y72" si="74">T30/T$23</f>
        <v>3.2034871179700046E-2</v>
      </c>
      <c r="U72" s="83">
        <f t="shared" si="74"/>
        <v>3.0646814325570801E-2</v>
      </c>
      <c r="V72" s="83">
        <f t="shared" si="74"/>
        <v>3.302481754364598E-2</v>
      </c>
      <c r="W72" s="83">
        <f t="shared" si="74"/>
        <v>2.7736100534184172E-2</v>
      </c>
      <c r="X72" s="83">
        <f t="shared" si="74"/>
        <v>2.4428401914543662E-2</v>
      </c>
      <c r="Y72" s="83">
        <f t="shared" si="74"/>
        <v>3.6182405546733326E-2</v>
      </c>
      <c r="Z72" s="83">
        <f t="shared" ref="Z72:AA72" si="75">Z30/Z$23</f>
        <v>5.1337445990159582E-2</v>
      </c>
      <c r="AA72" s="83">
        <f t="shared" si="75"/>
        <v>3.8235576883217562E-2</v>
      </c>
    </row>
    <row r="73" spans="1:27" x14ac:dyDescent="0.25">
      <c r="A73" s="64" t="s">
        <v>37</v>
      </c>
      <c r="B73" s="65"/>
      <c r="C73" s="65"/>
      <c r="D73" s="83">
        <f t="shared" si="51"/>
        <v>5.9333563097462329E-2</v>
      </c>
      <c r="E73" s="83">
        <f t="shared" ref="E73:S73" si="76">E31/E$23</f>
        <v>5.9034017971758668E-2</v>
      </c>
      <c r="F73" s="83">
        <f t="shared" si="76"/>
        <v>6.2571789570411207E-2</v>
      </c>
      <c r="G73" s="83">
        <f t="shared" si="76"/>
        <v>6.5890728434422979E-2</v>
      </c>
      <c r="H73" s="83">
        <f t="shared" si="76"/>
        <v>6.9737388655559146E-2</v>
      </c>
      <c r="I73" s="83">
        <f t="shared" si="76"/>
        <v>8.4983440909407348E-2</v>
      </c>
      <c r="J73" s="83">
        <f t="shared" si="76"/>
        <v>9.7809424083769636E-2</v>
      </c>
      <c r="K73" s="83">
        <f t="shared" si="76"/>
        <v>0.1051740174642178</v>
      </c>
      <c r="L73" s="83">
        <f t="shared" si="76"/>
        <v>9.5844703212384835E-2</v>
      </c>
      <c r="M73" s="83">
        <f t="shared" si="76"/>
        <v>7.1006013858020661E-2</v>
      </c>
      <c r="N73" s="83">
        <f t="shared" si="76"/>
        <v>5.8422347482171219E-2</v>
      </c>
      <c r="O73" s="83">
        <f t="shared" si="76"/>
        <v>6.8886157208222359E-2</v>
      </c>
      <c r="P73" s="83">
        <f t="shared" si="76"/>
        <v>7.3274302580215181E-2</v>
      </c>
      <c r="Q73" s="83">
        <f t="shared" si="76"/>
        <v>6.9444610224519268E-2</v>
      </c>
      <c r="R73" s="83">
        <f t="shared" si="76"/>
        <v>6.0819379237658296E-2</v>
      </c>
      <c r="S73" s="83">
        <f t="shared" si="76"/>
        <v>6.034487494300609E-2</v>
      </c>
      <c r="T73" s="83">
        <f t="shared" ref="T73:Y73" si="77">T31/T$23</f>
        <v>6.433030038247621E-2</v>
      </c>
      <c r="U73" s="83">
        <f t="shared" si="77"/>
        <v>6.5464328417696296E-2</v>
      </c>
      <c r="V73" s="83">
        <f t="shared" si="77"/>
        <v>6.7928565836515631E-2</v>
      </c>
      <c r="W73" s="83">
        <f t="shared" si="77"/>
        <v>6.8412926797723733E-2</v>
      </c>
      <c r="X73" s="83">
        <f t="shared" si="77"/>
        <v>6.8595694495063447E-2</v>
      </c>
      <c r="Y73" s="83">
        <f t="shared" si="77"/>
        <v>6.5780245576676388E-2</v>
      </c>
      <c r="Z73" s="83">
        <f t="shared" ref="Z73:AA73" si="78">Z31/Z$23</f>
        <v>6.4421563975124246E-2</v>
      </c>
      <c r="AA73" s="83">
        <f t="shared" si="78"/>
        <v>6.4878128094836882E-2</v>
      </c>
    </row>
    <row r="74" spans="1:27" x14ac:dyDescent="0.25">
      <c r="A74" s="64" t="s">
        <v>58</v>
      </c>
      <c r="B74" s="65"/>
      <c r="C74" s="65"/>
      <c r="D74" s="83">
        <f t="shared" si="51"/>
        <v>0.16122186145223028</v>
      </c>
      <c r="E74" s="83">
        <f t="shared" ref="E74:S74" si="79">E32/E$23</f>
        <v>0.16721758664955075</v>
      </c>
      <c r="F74" s="83">
        <f t="shared" si="79"/>
        <v>0.16231621869974727</v>
      </c>
      <c r="G74" s="83">
        <f t="shared" si="79"/>
        <v>0.16315189695130539</v>
      </c>
      <c r="H74" s="83">
        <f t="shared" si="79"/>
        <v>0.1569437393270873</v>
      </c>
      <c r="I74" s="83">
        <f t="shared" si="79"/>
        <v>0.15547643437527969</v>
      </c>
      <c r="J74" s="83">
        <f t="shared" si="79"/>
        <v>0.15482303664921468</v>
      </c>
      <c r="K74" s="83">
        <f t="shared" si="79"/>
        <v>0.1490636236169533</v>
      </c>
      <c r="L74" s="83">
        <f t="shared" si="79"/>
        <v>0.14251749385351092</v>
      </c>
      <c r="M74" s="83">
        <f t="shared" si="79"/>
        <v>0.13198620734736566</v>
      </c>
      <c r="N74" s="83">
        <f t="shared" si="79"/>
        <v>0.14558095356731338</v>
      </c>
      <c r="O74" s="83">
        <f t="shared" si="79"/>
        <v>0.15037902069248107</v>
      </c>
      <c r="P74" s="83">
        <f t="shared" si="79"/>
        <v>0.14128661652226346</v>
      </c>
      <c r="Q74" s="83">
        <f t="shared" si="79"/>
        <v>0.14030365604745823</v>
      </c>
      <c r="R74" s="83">
        <f t="shared" si="79"/>
        <v>0.14550772993963712</v>
      </c>
      <c r="S74" s="83">
        <f t="shared" si="79"/>
        <v>0.14473980564390754</v>
      </c>
      <c r="T74" s="83">
        <f t="shared" ref="T74:Y74" si="80">T32/T$23</f>
        <v>0.14744954819671105</v>
      </c>
      <c r="U74" s="83">
        <f t="shared" si="80"/>
        <v>0.14359259048378223</v>
      </c>
      <c r="V74" s="83">
        <f t="shared" si="80"/>
        <v>0.13897128541480006</v>
      </c>
      <c r="W74" s="83">
        <f t="shared" si="80"/>
        <v>0.13324091438178995</v>
      </c>
      <c r="X74" s="83">
        <f t="shared" si="80"/>
        <v>0.13356729552537067</v>
      </c>
      <c r="Y74" s="83">
        <f t="shared" si="80"/>
        <v>0.13795609562882236</v>
      </c>
      <c r="Z74" s="83">
        <f t="shared" ref="Z74:AA74" si="81">Z32/Z$23</f>
        <v>0.12671083193885962</v>
      </c>
      <c r="AA74" s="83">
        <f t="shared" si="81"/>
        <v>0.11885651781886983</v>
      </c>
    </row>
    <row r="75" spans="1:27" x14ac:dyDescent="0.25">
      <c r="A75" s="85" t="s">
        <v>158</v>
      </c>
      <c r="B75" s="86"/>
      <c r="C75" s="86"/>
      <c r="D75" s="87">
        <f t="shared" si="51"/>
        <v>1.2697491338496981E-4</v>
      </c>
      <c r="E75" s="87">
        <f t="shared" ref="E75:S75" si="82">E33/E$23</f>
        <v>2.2464698331193842E-4</v>
      </c>
      <c r="F75" s="87">
        <f t="shared" si="82"/>
        <v>2.7280036756260049E-4</v>
      </c>
      <c r="G75" s="87">
        <f t="shared" si="82"/>
        <v>2.4328096390478752E-4</v>
      </c>
      <c r="H75" s="87">
        <f t="shared" si="82"/>
        <v>3.4614852079198783E-4</v>
      </c>
      <c r="I75" s="87">
        <f t="shared" si="82"/>
        <v>2.287441943728928E-4</v>
      </c>
      <c r="J75" s="87">
        <f t="shared" si="82"/>
        <v>3.5183246073298432E-4</v>
      </c>
      <c r="K75" s="87">
        <f t="shared" si="82"/>
        <v>4.9977093831993669E-4</v>
      </c>
      <c r="L75" s="87">
        <f t="shared" si="82"/>
        <v>9.3210493610353118E-4</v>
      </c>
      <c r="M75" s="87">
        <f t="shared" si="82"/>
        <v>5.0660217021832922E-4</v>
      </c>
      <c r="N75" s="87">
        <f t="shared" si="82"/>
        <v>7.1626545420572392E-4</v>
      </c>
      <c r="O75" s="87">
        <f t="shared" si="82"/>
        <v>6.7609096496619545E-4</v>
      </c>
      <c r="P75" s="87">
        <f t="shared" si="82"/>
        <v>4.9509663905550794E-4</v>
      </c>
      <c r="Q75" s="87">
        <f t="shared" si="82"/>
        <v>5.1325511166282721E-4</v>
      </c>
      <c r="R75" s="87">
        <f t="shared" si="82"/>
        <v>6.0870104324595468E-4</v>
      </c>
      <c r="S75" s="87">
        <f t="shared" si="82"/>
        <v>6.5920664480297964E-4</v>
      </c>
      <c r="T75" s="87">
        <f t="shared" ref="T75:Y75" si="83">T33/T$23</f>
        <v>8.5808615394274883E-4</v>
      </c>
      <c r="U75" s="87">
        <f t="shared" si="83"/>
        <v>1.3807436087228833E-3</v>
      </c>
      <c r="V75" s="87">
        <f t="shared" si="83"/>
        <v>1.3831018015118435E-3</v>
      </c>
      <c r="W75" s="87">
        <f t="shared" si="83"/>
        <v>1.2690765649249868E-3</v>
      </c>
      <c r="X75" s="87">
        <f t="shared" si="83"/>
        <v>9.2547471529367447E-4</v>
      </c>
      <c r="Y75" s="87">
        <f t="shared" si="83"/>
        <v>1.3736014157542634E-3</v>
      </c>
      <c r="Z75" s="87">
        <f t="shared" ref="Z75:AA75" si="84">Z33/Z$23</f>
        <v>1.1957091835460424E-3</v>
      </c>
      <c r="AA75" s="87">
        <f t="shared" si="84"/>
        <v>9.7852275582753175E-4</v>
      </c>
    </row>
    <row r="76" spans="1:27" x14ac:dyDescent="0.25">
      <c r="A76" s="88" t="s">
        <v>5</v>
      </c>
      <c r="B76" s="44"/>
      <c r="C76" s="44"/>
      <c r="D76" s="89">
        <f t="shared" si="51"/>
        <v>0</v>
      </c>
      <c r="E76" s="89">
        <f t="shared" ref="E76:S76" si="85">E34/E$23</f>
        <v>0</v>
      </c>
      <c r="F76" s="89">
        <f t="shared" si="85"/>
        <v>0</v>
      </c>
      <c r="G76" s="89">
        <f t="shared" si="85"/>
        <v>0</v>
      </c>
      <c r="H76" s="89">
        <f t="shared" si="85"/>
        <v>0</v>
      </c>
      <c r="I76" s="89">
        <f t="shared" si="85"/>
        <v>0</v>
      </c>
      <c r="J76" s="89">
        <f t="shared" si="85"/>
        <v>0</v>
      </c>
      <c r="K76" s="89">
        <f t="shared" si="85"/>
        <v>0</v>
      </c>
      <c r="L76" s="89">
        <f t="shared" si="85"/>
        <v>0</v>
      </c>
      <c r="M76" s="89">
        <f t="shared" si="85"/>
        <v>0</v>
      </c>
      <c r="N76" s="89">
        <f t="shared" si="85"/>
        <v>0</v>
      </c>
      <c r="O76" s="89">
        <f t="shared" si="85"/>
        <v>0</v>
      </c>
      <c r="P76" s="89">
        <f t="shared" si="85"/>
        <v>0</v>
      </c>
      <c r="Q76" s="89">
        <f t="shared" si="85"/>
        <v>0</v>
      </c>
      <c r="R76" s="89">
        <f t="shared" si="85"/>
        <v>0</v>
      </c>
      <c r="S76" s="89">
        <f t="shared" si="85"/>
        <v>0</v>
      </c>
      <c r="T76" s="89">
        <f t="shared" ref="T76:Y76" si="86">T34/T$23</f>
        <v>0</v>
      </c>
      <c r="U76" s="89">
        <f t="shared" si="86"/>
        <v>0</v>
      </c>
      <c r="V76" s="89">
        <f t="shared" si="86"/>
        <v>0</v>
      </c>
      <c r="W76" s="89">
        <f t="shared" si="86"/>
        <v>0</v>
      </c>
      <c r="X76" s="89">
        <f t="shared" si="86"/>
        <v>0</v>
      </c>
      <c r="Y76" s="89">
        <f t="shared" si="86"/>
        <v>0</v>
      </c>
      <c r="Z76" s="89">
        <f t="shared" ref="Z76:AA76" si="87">Z34/Z$23</f>
        <v>0</v>
      </c>
      <c r="AA76" s="89">
        <f t="shared" si="87"/>
        <v>0</v>
      </c>
    </row>
    <row r="77" spans="1:27" x14ac:dyDescent="0.25">
      <c r="A77" s="88" t="s">
        <v>263</v>
      </c>
      <c r="B77" s="44"/>
      <c r="C77" s="44"/>
      <c r="D77" s="89">
        <f>D37/D$23</f>
        <v>1.2697491338496981E-4</v>
      </c>
      <c r="E77" s="89">
        <f t="shared" ref="E77:S77" si="88">E37/E$23</f>
        <v>2.2464698331193842E-4</v>
      </c>
      <c r="F77" s="89">
        <f t="shared" si="88"/>
        <v>2.7280036756260049E-4</v>
      </c>
      <c r="G77" s="89">
        <f t="shared" si="88"/>
        <v>2.4328096390478752E-4</v>
      </c>
      <c r="H77" s="89">
        <f t="shared" si="88"/>
        <v>3.4614852079198783E-4</v>
      </c>
      <c r="I77" s="89">
        <f t="shared" si="88"/>
        <v>2.287441943728928E-4</v>
      </c>
      <c r="J77" s="89">
        <f t="shared" si="88"/>
        <v>3.5183246073298432E-4</v>
      </c>
      <c r="K77" s="89">
        <f t="shared" si="88"/>
        <v>4.9977093831993669E-4</v>
      </c>
      <c r="L77" s="89">
        <f t="shared" si="88"/>
        <v>9.3210493610353118E-4</v>
      </c>
      <c r="M77" s="89">
        <f t="shared" si="88"/>
        <v>5.0660217021832922E-4</v>
      </c>
      <c r="N77" s="89">
        <f t="shared" si="88"/>
        <v>7.1626545420572392E-4</v>
      </c>
      <c r="O77" s="89">
        <f t="shared" si="88"/>
        <v>6.7609096496619545E-4</v>
      </c>
      <c r="P77" s="89">
        <f t="shared" si="88"/>
        <v>4.9509663905550783E-4</v>
      </c>
      <c r="Q77" s="89">
        <f t="shared" si="88"/>
        <v>5.1325511166282721E-4</v>
      </c>
      <c r="R77" s="89">
        <f t="shared" si="88"/>
        <v>6.0870104324595468E-4</v>
      </c>
      <c r="S77" s="89">
        <f t="shared" si="88"/>
        <v>6.5920664480297964E-4</v>
      </c>
      <c r="T77" s="89">
        <f t="shared" ref="T77:Y77" si="89">T37/T$23</f>
        <v>8.5808615394274883E-4</v>
      </c>
      <c r="U77" s="89">
        <f t="shared" si="89"/>
        <v>1.3807436087228833E-3</v>
      </c>
      <c r="V77" s="89">
        <f t="shared" si="89"/>
        <v>1.3831018015118435E-3</v>
      </c>
      <c r="W77" s="89">
        <f t="shared" si="89"/>
        <v>1.2690765649249868E-3</v>
      </c>
      <c r="X77" s="89">
        <f t="shared" si="89"/>
        <v>9.2547471529367447E-4</v>
      </c>
      <c r="Y77" s="89">
        <f t="shared" si="89"/>
        <v>1.3736014157542634E-3</v>
      </c>
      <c r="Z77" s="89">
        <f t="shared" ref="Z77:AA77" si="90">Z37/Z$23</f>
        <v>1.1957091835460424E-3</v>
      </c>
      <c r="AA77" s="89">
        <f t="shared" si="90"/>
        <v>9.7852275582753175E-4</v>
      </c>
    </row>
    <row r="78" spans="1:27" x14ac:dyDescent="0.25">
      <c r="A78" s="68" t="s">
        <v>265</v>
      </c>
      <c r="B78" s="44"/>
      <c r="C78" s="44"/>
      <c r="D78" s="89">
        <f>D43/D$23</f>
        <v>7.9994195432530994E-3</v>
      </c>
      <c r="E78" s="89">
        <f t="shared" ref="E78:S78" si="91">E43/E$23</f>
        <v>9.2747111681643121E-3</v>
      </c>
      <c r="F78" s="89">
        <f t="shared" si="91"/>
        <v>7.7389156903285086E-3</v>
      </c>
      <c r="G78" s="89">
        <f t="shared" si="91"/>
        <v>8.2203357277301891E-3</v>
      </c>
      <c r="H78" s="89">
        <f t="shared" si="91"/>
        <v>7.9152628421101223E-3</v>
      </c>
      <c r="I78" s="89">
        <f t="shared" si="91"/>
        <v>8.6226615878825241E-3</v>
      </c>
      <c r="J78" s="89">
        <f t="shared" si="91"/>
        <v>7.6146596858638754E-3</v>
      </c>
      <c r="K78" s="89">
        <f t="shared" si="91"/>
        <v>7.4063276553801728E-3</v>
      </c>
      <c r="L78" s="89">
        <f t="shared" si="91"/>
        <v>9.1927160727312014E-3</v>
      </c>
      <c r="M78" s="89">
        <f t="shared" si="91"/>
        <v>6.1691070728199758E-3</v>
      </c>
      <c r="N78" s="89">
        <f t="shared" si="91"/>
        <v>8.104699324219115E-3</v>
      </c>
      <c r="O78" s="89">
        <f t="shared" si="91"/>
        <v>8.8028409478931903E-3</v>
      </c>
      <c r="P78" s="89">
        <f t="shared" si="91"/>
        <v>5.6110952426290895E-3</v>
      </c>
      <c r="Q78" s="89">
        <f t="shared" si="91"/>
        <v>5.8904976187350057E-3</v>
      </c>
      <c r="R78" s="89">
        <f t="shared" si="91"/>
        <v>5.9742880170436281E-3</v>
      </c>
      <c r="S78" s="89">
        <f t="shared" si="91"/>
        <v>6.4327581755357424E-3</v>
      </c>
      <c r="T78" s="89">
        <f t="shared" ref="T78:Y78" si="92">T43/T$23</f>
        <v>6.8646892315419915E-3</v>
      </c>
      <c r="U78" s="89">
        <f t="shared" si="92"/>
        <v>5.8218983089449406E-3</v>
      </c>
      <c r="V78" s="89">
        <f t="shared" si="92"/>
        <v>5.9412486190728864E-3</v>
      </c>
      <c r="W78" s="89">
        <f t="shared" si="92"/>
        <v>5.2258471288153122E-3</v>
      </c>
      <c r="X78" s="89">
        <f t="shared" si="92"/>
        <v>6.2449068178002361E-3</v>
      </c>
      <c r="Y78" s="89">
        <f t="shared" si="92"/>
        <v>5.8141858867905329E-3</v>
      </c>
      <c r="Z78" s="89">
        <f t="shared" ref="Z78:AA78" si="93">Z43/Z$23</f>
        <v>4.4456654761607433E-3</v>
      </c>
      <c r="AA78" s="89">
        <f t="shared" si="93"/>
        <v>3.494301804798013E-3</v>
      </c>
    </row>
    <row r="79" spans="1:27" x14ac:dyDescent="0.25">
      <c r="A79" s="88" t="s">
        <v>266</v>
      </c>
      <c r="B79" s="44"/>
      <c r="C79" s="44"/>
      <c r="D79" s="89">
        <f>D44/D$23</f>
        <v>7.2919878829654106E-3</v>
      </c>
      <c r="E79" s="89">
        <f t="shared" ref="E79:S79" si="94">E44/E$23</f>
        <v>8.4724005134788182E-3</v>
      </c>
      <c r="F79" s="89">
        <f t="shared" si="94"/>
        <v>6.9492304158051913E-3</v>
      </c>
      <c r="G79" s="89">
        <f t="shared" si="94"/>
        <v>7.5801226648228538E-3</v>
      </c>
      <c r="H79" s="89">
        <f t="shared" si="94"/>
        <v>7.3614252088429416E-3</v>
      </c>
      <c r="I79" s="89">
        <f t="shared" si="94"/>
        <v>8.2347909974241403E-3</v>
      </c>
      <c r="J79" s="89">
        <f t="shared" si="94"/>
        <v>7.1958115183246079E-3</v>
      </c>
      <c r="K79" s="89">
        <f t="shared" si="94"/>
        <v>6.9551455582857859E-3</v>
      </c>
      <c r="L79" s="89">
        <f t="shared" si="94"/>
        <v>8.5442952476157026E-3</v>
      </c>
      <c r="M79" s="89">
        <f t="shared" si="94"/>
        <v>5.4827428422015946E-3</v>
      </c>
      <c r="N79" s="89">
        <f t="shared" si="94"/>
        <v>7.3027934352714024E-3</v>
      </c>
      <c r="O79" s="89">
        <f t="shared" si="94"/>
        <v>7.9901659496004925E-3</v>
      </c>
      <c r="P79" s="89">
        <f t="shared" si="94"/>
        <v>4.9065346408962516E-3</v>
      </c>
      <c r="Q79" s="89">
        <f t="shared" si="94"/>
        <v>5.2638489358908559E-3</v>
      </c>
      <c r="R79" s="89">
        <f t="shared" si="94"/>
        <v>5.3881314568808569E-3</v>
      </c>
      <c r="S79" s="89">
        <f t="shared" si="94"/>
        <v>5.8284854177996781E-3</v>
      </c>
      <c r="T79" s="89">
        <f t="shared" ref="T79:Y79" si="95">T44/T$23</f>
        <v>6.0903187999351207E-3</v>
      </c>
      <c r="U79" s="89">
        <f t="shared" si="95"/>
        <v>5.1955816204520867E-3</v>
      </c>
      <c r="V79" s="89">
        <f t="shared" si="95"/>
        <v>5.3975765272836398E-3</v>
      </c>
      <c r="W79" s="89">
        <f t="shared" si="95"/>
        <v>4.6519335230212093E-3</v>
      </c>
      <c r="X79" s="89">
        <f t="shared" si="95"/>
        <v>5.3849524363326629E-3</v>
      </c>
      <c r="Y79" s="89">
        <f t="shared" si="95"/>
        <v>5.1673577068850861E-3</v>
      </c>
      <c r="Z79" s="89">
        <f t="shared" ref="Z79:AA79" si="96">Z44/Z$23</f>
        <v>3.8462499063413175E-3</v>
      </c>
      <c r="AA79" s="89">
        <f t="shared" si="96"/>
        <v>2.8320990939056656E-3</v>
      </c>
    </row>
    <row r="80" spans="1:27" x14ac:dyDescent="0.25">
      <c r="A80" s="88" t="s">
        <v>11</v>
      </c>
      <c r="B80" s="44"/>
      <c r="C80" s="44"/>
      <c r="D80" s="89">
        <f>D47/D$23</f>
        <v>7.0743166028768901E-4</v>
      </c>
      <c r="E80" s="89">
        <f t="shared" ref="E80:S80" si="97">E47/E$23</f>
        <v>8.0231065468549427E-4</v>
      </c>
      <c r="F80" s="89">
        <f t="shared" si="97"/>
        <v>7.896852745233172E-4</v>
      </c>
      <c r="G80" s="89">
        <f t="shared" si="97"/>
        <v>6.4021306290733553E-4</v>
      </c>
      <c r="H80" s="89">
        <f t="shared" si="97"/>
        <v>5.5383763326718051E-4</v>
      </c>
      <c r="I80" s="89">
        <f t="shared" si="97"/>
        <v>3.8787059045838348E-4</v>
      </c>
      <c r="J80" s="89">
        <f t="shared" si="97"/>
        <v>4.1884816753926706E-4</v>
      </c>
      <c r="K80" s="89">
        <f t="shared" si="97"/>
        <v>4.5118209709438728E-4</v>
      </c>
      <c r="L80" s="89">
        <f t="shared" si="97"/>
        <v>6.4842082511549993E-4</v>
      </c>
      <c r="M80" s="89">
        <f t="shared" si="97"/>
        <v>6.8636423061838156E-4</v>
      </c>
      <c r="N80" s="89">
        <f t="shared" si="97"/>
        <v>8.0190588894771264E-4</v>
      </c>
      <c r="O80" s="89">
        <f t="shared" si="97"/>
        <v>8.1267499829269958E-4</v>
      </c>
      <c r="P80" s="89">
        <f t="shared" si="97"/>
        <v>7.0456060173283827E-4</v>
      </c>
      <c r="Q80" s="89">
        <f t="shared" si="97"/>
        <v>6.2664868284414955E-4</v>
      </c>
      <c r="R80" s="89">
        <f t="shared" si="97"/>
        <v>5.861565601627711E-4</v>
      </c>
      <c r="S80" s="89">
        <f t="shared" si="97"/>
        <v>6.0427275773606453E-4</v>
      </c>
      <c r="T80" s="89">
        <f t="shared" ref="T80:Y80" si="98">T47/T$23</f>
        <v>7.7437043160687104E-4</v>
      </c>
      <c r="U80" s="89">
        <f t="shared" si="98"/>
        <v>6.2631668849285423E-4</v>
      </c>
      <c r="V80" s="89">
        <f t="shared" si="98"/>
        <v>5.4367209178924659E-4</v>
      </c>
      <c r="W80" s="89">
        <f t="shared" si="98"/>
        <v>5.7391360579410228E-4</v>
      </c>
      <c r="X80" s="89">
        <f t="shared" si="98"/>
        <v>8.5995438146757347E-4</v>
      </c>
      <c r="Y80" s="89">
        <f t="shared" si="98"/>
        <v>6.4682817990544688E-4</v>
      </c>
      <c r="Z80" s="89">
        <f t="shared" ref="Z80:AA80" si="99">Z47/Z$23</f>
        <v>5.9941556981942597E-4</v>
      </c>
      <c r="AA80" s="89">
        <f t="shared" si="99"/>
        <v>6.6220271089234767E-4</v>
      </c>
    </row>
    <row r="81" spans="1:27" x14ac:dyDescent="0.25">
      <c r="A81" s="68" t="s">
        <v>4</v>
      </c>
      <c r="B81" s="44"/>
      <c r="C81" s="44"/>
      <c r="D81" s="89">
        <f>D48/D$23</f>
        <v>1.0266828710841846E-2</v>
      </c>
      <c r="E81" s="89">
        <f t="shared" ref="E81:S81" si="100">E48/E$23</f>
        <v>1.0847240051347882E-2</v>
      </c>
      <c r="F81" s="89">
        <f t="shared" si="100"/>
        <v>1.0739719733517117E-2</v>
      </c>
      <c r="G81" s="89">
        <f t="shared" si="100"/>
        <v>1.2522567510467483E-2</v>
      </c>
      <c r="H81" s="89">
        <f t="shared" si="100"/>
        <v>1.2565191304749156E-2</v>
      </c>
      <c r="I81" s="89">
        <f t="shared" si="100"/>
        <v>1.3495907468000676E-2</v>
      </c>
      <c r="J81" s="89">
        <f t="shared" si="100"/>
        <v>1.5019895287958112E-2</v>
      </c>
      <c r="K81" s="89">
        <f t="shared" si="100"/>
        <v>1.5916316132883537E-2</v>
      </c>
      <c r="L81" s="89">
        <f t="shared" si="100"/>
        <v>1.0915083889444248E-2</v>
      </c>
      <c r="M81" s="89">
        <f t="shared" si="100"/>
        <v>7.0188913583474977E-3</v>
      </c>
      <c r="N81" s="89">
        <f t="shared" si="100"/>
        <v>7.536358257295009E-3</v>
      </c>
      <c r="O81" s="89">
        <f t="shared" si="100"/>
        <v>8.1404083862596458E-3</v>
      </c>
      <c r="P81" s="89">
        <f t="shared" si="100"/>
        <v>7.6295661557015471E-3</v>
      </c>
      <c r="Q81" s="89">
        <f t="shared" si="100"/>
        <v>7.4481672018047503E-3</v>
      </c>
      <c r="R81" s="89">
        <f t="shared" si="100"/>
        <v>7.4622239005337409E-3</v>
      </c>
      <c r="S81" s="89">
        <f t="shared" si="100"/>
        <v>7.7456780764350109E-3</v>
      </c>
      <c r="T81" s="89">
        <f t="shared" ref="T81:Y81" si="101">T48/T$23</f>
        <v>8.4814491191536352E-3</v>
      </c>
      <c r="U81" s="89">
        <f t="shared" si="101"/>
        <v>8.9534817514092119E-3</v>
      </c>
      <c r="V81" s="89">
        <f t="shared" si="101"/>
        <v>7.9289137866543728E-3</v>
      </c>
      <c r="W81" s="89">
        <f t="shared" si="101"/>
        <v>7.5902095188825633E-3</v>
      </c>
      <c r="X81" s="89">
        <f t="shared" si="101"/>
        <v>6.5929835912513978E-3</v>
      </c>
      <c r="Y81" s="89">
        <f t="shared" si="101"/>
        <v>6.7844281566487039E-3</v>
      </c>
      <c r="Z81" s="89">
        <f t="shared" ref="Z81:AA81" si="102">Z48/Z$23</f>
        <v>6.0940582931641634E-3</v>
      </c>
      <c r="AA81" s="89">
        <f t="shared" si="102"/>
        <v>5.9627806601333273E-3</v>
      </c>
    </row>
    <row r="82" spans="1:27" x14ac:dyDescent="0.25">
      <c r="A82" s="68" t="s">
        <v>3</v>
      </c>
      <c r="B82" s="44"/>
      <c r="C82" s="44"/>
      <c r="D82" s="89">
        <f>D52/D$23</f>
        <v>8.2896479167044578E-3</v>
      </c>
      <c r="E82" s="89">
        <f t="shared" ref="E82:S82" si="103">E52/E$23</f>
        <v>8.8896020539152767E-3</v>
      </c>
      <c r="F82" s="89">
        <f t="shared" si="103"/>
        <v>9.447507466115319E-3</v>
      </c>
      <c r="G82" s="89">
        <f t="shared" si="103"/>
        <v>8.8477445293793817E-3</v>
      </c>
      <c r="H82" s="89">
        <f t="shared" si="103"/>
        <v>7.9729542622421195E-3</v>
      </c>
      <c r="I82" s="89">
        <f t="shared" si="103"/>
        <v>7.7673572089230133E-3</v>
      </c>
      <c r="J82" s="89">
        <f t="shared" si="103"/>
        <v>8.2261780104712027E-3</v>
      </c>
      <c r="K82" s="89">
        <f t="shared" si="103"/>
        <v>8.1906903780211825E-3</v>
      </c>
      <c r="L82" s="89">
        <f t="shared" si="103"/>
        <v>7.7607867506011381E-3</v>
      </c>
      <c r="M82" s="89">
        <f t="shared" si="103"/>
        <v>7.2558504379657499E-3</v>
      </c>
      <c r="N82" s="89">
        <f t="shared" si="103"/>
        <v>9.6228706673725517E-3</v>
      </c>
      <c r="O82" s="89">
        <f t="shared" si="103"/>
        <v>8.4955268729085542E-3</v>
      </c>
      <c r="P82" s="89">
        <f t="shared" si="103"/>
        <v>8.1373575803738597E-3</v>
      </c>
      <c r="Q82" s="89">
        <f t="shared" si="103"/>
        <v>7.5675288556798269E-3</v>
      </c>
      <c r="R82" s="89">
        <f t="shared" si="103"/>
        <v>7.3495014851178223E-3</v>
      </c>
      <c r="S82" s="89">
        <f t="shared" si="103"/>
        <v>7.350154089553221E-3</v>
      </c>
      <c r="T82" s="89">
        <f t="shared" ref="T82:Y82" si="104">T52/T$23</f>
        <v>7.3303579370353139E-3</v>
      </c>
      <c r="U82" s="89">
        <f t="shared" si="104"/>
        <v>7.4398830875514856E-3</v>
      </c>
      <c r="V82" s="89">
        <f t="shared" si="104"/>
        <v>6.9285571377621551E-3</v>
      </c>
      <c r="W82" s="89">
        <f t="shared" si="104"/>
        <v>5.7755108639420578E-3</v>
      </c>
      <c r="X82" s="89">
        <f t="shared" si="104"/>
        <v>4.9058349952292996E-3</v>
      </c>
      <c r="Y82" s="89">
        <f t="shared" si="104"/>
        <v>5.447165402686885E-3</v>
      </c>
      <c r="Z82" s="89">
        <f t="shared" ref="Z82:AA82" si="105">Z52/Z$23</f>
        <v>4.8921051974325034E-3</v>
      </c>
      <c r="AA82" s="89">
        <f t="shared" si="105"/>
        <v>4.0382540316024392E-3</v>
      </c>
    </row>
    <row r="83" spans="1:27" x14ac:dyDescent="0.25">
      <c r="A83" s="88" t="s">
        <v>21</v>
      </c>
      <c r="B83" s="44"/>
      <c r="C83" s="44"/>
      <c r="D83" s="89">
        <f>D53/D$23</f>
        <v>3.482740481416315E-3</v>
      </c>
      <c r="E83" s="89">
        <f t="shared" ref="E83:S83" si="106">E53/E$23</f>
        <v>3.5141206675224647E-3</v>
      </c>
      <c r="F83" s="89">
        <f t="shared" si="106"/>
        <v>3.7761314036296803E-3</v>
      </c>
      <c r="G83" s="89">
        <f t="shared" si="106"/>
        <v>3.3547164496344384E-3</v>
      </c>
      <c r="H83" s="89">
        <f t="shared" si="106"/>
        <v>2.7230350302303043E-3</v>
      </c>
      <c r="I83" s="89">
        <f t="shared" si="106"/>
        <v>2.5957493361445667E-3</v>
      </c>
      <c r="J83" s="89">
        <f t="shared" si="106"/>
        <v>2.957068062827225E-3</v>
      </c>
      <c r="K83" s="89">
        <f t="shared" si="106"/>
        <v>3.1652159426929323E-3</v>
      </c>
      <c r="L83" s="89">
        <f t="shared" si="106"/>
        <v>3.1070164536784375E-3</v>
      </c>
      <c r="M83" s="89">
        <f t="shared" si="106"/>
        <v>2.6882599032553274E-3</v>
      </c>
      <c r="N83" s="89">
        <f t="shared" si="106"/>
        <v>4.5622995235277634E-3</v>
      </c>
      <c r="O83" s="89">
        <f t="shared" si="106"/>
        <v>3.8448405381410911E-3</v>
      </c>
      <c r="P83" s="89">
        <f t="shared" si="106"/>
        <v>3.3006442603700529E-3</v>
      </c>
      <c r="Q83" s="89">
        <f t="shared" si="106"/>
        <v>2.9959775122644105E-3</v>
      </c>
      <c r="R83" s="89">
        <f t="shared" si="106"/>
        <v>2.9815078877510185E-3</v>
      </c>
      <c r="S83" s="89">
        <f t="shared" si="106"/>
        <v>3.1037646192806959E-3</v>
      </c>
      <c r="T83" s="89">
        <f t="shared" ref="T83:Y83" si="107">T53/T$23</f>
        <v>3.0085337714456134E-3</v>
      </c>
      <c r="U83" s="89">
        <f t="shared" si="107"/>
        <v>3.2976522613828315E-3</v>
      </c>
      <c r="V83" s="89">
        <f t="shared" si="107"/>
        <v>3.3142250715472474E-3</v>
      </c>
      <c r="W83" s="89">
        <f t="shared" si="107"/>
        <v>2.4775284531815822E-3</v>
      </c>
      <c r="X83" s="89">
        <f t="shared" si="107"/>
        <v>1.8345693471308233E-3</v>
      </c>
      <c r="Y83" s="89">
        <f t="shared" si="107"/>
        <v>2.5727772549048109E-3</v>
      </c>
      <c r="Z83" s="89">
        <f t="shared" ref="Z83:AA83" si="108">Z53/Z$23</f>
        <v>2.2852718599365618E-3</v>
      </c>
      <c r="AA83" s="89">
        <f t="shared" si="108"/>
        <v>1.4633497405880005E-3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4.8069074352881432E-3</v>
      </c>
      <c r="E84" s="89">
        <f t="shared" ref="E84:S84" si="110">E56/E$23</f>
        <v>5.3754813863928115E-3</v>
      </c>
      <c r="F84" s="89">
        <f t="shared" si="110"/>
        <v>5.6713760624856379E-3</v>
      </c>
      <c r="G84" s="89">
        <f t="shared" si="110"/>
        <v>5.4930280797449429E-3</v>
      </c>
      <c r="H84" s="89">
        <f t="shared" si="110"/>
        <v>5.2499192320118156E-3</v>
      </c>
      <c r="I84" s="89">
        <f t="shared" si="110"/>
        <v>5.1716078727784467E-3</v>
      </c>
      <c r="J84" s="89">
        <f t="shared" si="110"/>
        <v>5.2691099476439773E-3</v>
      </c>
      <c r="K84" s="89">
        <f t="shared" si="110"/>
        <v>5.0254744353282503E-3</v>
      </c>
      <c r="L84" s="89">
        <f t="shared" si="110"/>
        <v>4.6537702969227006E-3</v>
      </c>
      <c r="M84" s="89">
        <f t="shared" si="110"/>
        <v>4.5675905347104225E-3</v>
      </c>
      <c r="N84" s="89">
        <f t="shared" si="110"/>
        <v>5.0605711438447883E-3</v>
      </c>
      <c r="O84" s="89">
        <f t="shared" si="110"/>
        <v>4.6506863347674631E-3</v>
      </c>
      <c r="P84" s="89">
        <f t="shared" si="110"/>
        <v>4.8367133200038076E-3</v>
      </c>
      <c r="Q84" s="89">
        <f t="shared" si="110"/>
        <v>4.571551343415416E-3</v>
      </c>
      <c r="R84" s="89">
        <f t="shared" si="110"/>
        <v>4.3679935973668042E-3</v>
      </c>
      <c r="S84" s="89">
        <f t="shared" si="110"/>
        <v>4.2463894702725246E-3</v>
      </c>
      <c r="T84" s="89">
        <f t="shared" ref="T84:Y84" si="111">T56/T$23</f>
        <v>4.3218241655897001E-3</v>
      </c>
      <c r="U84" s="89">
        <f t="shared" si="111"/>
        <v>4.1422308261686537E-3</v>
      </c>
      <c r="V84" s="89">
        <f t="shared" si="111"/>
        <v>3.6143320662149073E-3</v>
      </c>
      <c r="W84" s="89">
        <f t="shared" si="111"/>
        <v>3.2979824107604765E-3</v>
      </c>
      <c r="X84" s="89">
        <f t="shared" si="111"/>
        <v>3.0712656480984769E-3</v>
      </c>
      <c r="Y84" s="89">
        <f t="shared" si="111"/>
        <v>2.8743881477820746E-3</v>
      </c>
      <c r="Z84" s="89">
        <f t="shared" ref="Z84:AA84" si="112">Z56/Z$23</f>
        <v>2.6068333374959412E-3</v>
      </c>
      <c r="AA84" s="89">
        <f t="shared" si="112"/>
        <v>2.5749042910144385E-3</v>
      </c>
    </row>
    <row r="85" spans="1:27" x14ac:dyDescent="0.25">
      <c r="A85" s="68" t="s">
        <v>2</v>
      </c>
      <c r="B85" s="44"/>
      <c r="C85" s="44"/>
      <c r="D85" s="89">
        <f t="shared" si="109"/>
        <v>3.1961399626330968E-2</v>
      </c>
      <c r="E85" s="89">
        <f t="shared" ref="E85:S85" si="113">E57/E$23</f>
        <v>3.1338254172015412E-2</v>
      </c>
      <c r="F85" s="89">
        <f t="shared" si="113"/>
        <v>2.7839995405467492E-2</v>
      </c>
      <c r="G85" s="89">
        <f t="shared" si="113"/>
        <v>2.6479212281847398E-2</v>
      </c>
      <c r="H85" s="89">
        <f t="shared" si="113"/>
        <v>2.230350302303042E-2</v>
      </c>
      <c r="I85" s="89">
        <f t="shared" si="113"/>
        <v>2.1879879461754966E-2</v>
      </c>
      <c r="J85" s="89">
        <f t="shared" si="113"/>
        <v>2.1227225130890055E-2</v>
      </c>
      <c r="K85" s="89">
        <f t="shared" si="113"/>
        <v>1.968542195937973E-2</v>
      </c>
      <c r="L85" s="89">
        <f t="shared" si="113"/>
        <v>2.0276659552049277E-2</v>
      </c>
      <c r="M85" s="89">
        <f t="shared" si="113"/>
        <v>2.5117662439534581E-2</v>
      </c>
      <c r="N85" s="89">
        <f t="shared" si="113"/>
        <v>2.0958550029584879E-2</v>
      </c>
      <c r="O85" s="89">
        <f t="shared" si="113"/>
        <v>1.9606637984019671E-2</v>
      </c>
      <c r="P85" s="89">
        <f t="shared" si="113"/>
        <v>1.9638833349201811E-2</v>
      </c>
      <c r="Q85" s="89">
        <f t="shared" si="113"/>
        <v>1.9999045106769003E-2</v>
      </c>
      <c r="R85" s="89">
        <f t="shared" si="113"/>
        <v>2.2403580063913606E-2</v>
      </c>
      <c r="S85" s="89">
        <f t="shared" si="113"/>
        <v>2.088586386284107E-2</v>
      </c>
      <c r="T85" s="89">
        <f t="shared" ref="T85:Y85" si="114">T57/T$23</f>
        <v>2.0196418013530556E-2</v>
      </c>
      <c r="U85" s="89">
        <f t="shared" si="114"/>
        <v>1.8855928182353054E-2</v>
      </c>
      <c r="V85" s="89">
        <f t="shared" si="114"/>
        <v>1.8680573073878513E-2</v>
      </c>
      <c r="W85" s="89">
        <f t="shared" si="114"/>
        <v>1.8397568546301084E-2</v>
      </c>
      <c r="X85" s="89">
        <f t="shared" si="114"/>
        <v>1.882071589154747E-2</v>
      </c>
      <c r="Y85" s="89">
        <f t="shared" si="114"/>
        <v>1.6399638066928547E-2</v>
      </c>
      <c r="Z85" s="89">
        <f t="shared" ref="Z85:AA85" si="115">Z57/Z$23</f>
        <v>1.6302854716651265E-2</v>
      </c>
      <c r="AA85" s="89">
        <f t="shared" si="115"/>
        <v>1.7784872806823053E-2</v>
      </c>
    </row>
    <row r="86" spans="1:27" x14ac:dyDescent="0.25">
      <c r="A86" s="68" t="s">
        <v>269</v>
      </c>
      <c r="B86" s="44"/>
      <c r="C86" s="44"/>
      <c r="D86" s="89">
        <f t="shared" si="109"/>
        <v>4.5710968818589133E-3</v>
      </c>
      <c r="E86" s="89">
        <f t="shared" ref="E86:S86" si="116">E58/E$23</f>
        <v>4.5250320924261882E-3</v>
      </c>
      <c r="F86" s="89">
        <f t="shared" si="116"/>
        <v>4.7811853893866291E-3</v>
      </c>
      <c r="G86" s="89">
        <f t="shared" si="116"/>
        <v>4.6351425754491103E-3</v>
      </c>
      <c r="H86" s="89">
        <f t="shared" si="116"/>
        <v>5.4576083444870076E-3</v>
      </c>
      <c r="I86" s="89">
        <f t="shared" si="116"/>
        <v>4.873245880118152E-3</v>
      </c>
      <c r="J86" s="89">
        <f t="shared" si="116"/>
        <v>4.4816753926701569E-3</v>
      </c>
      <c r="K86" s="89">
        <f t="shared" si="116"/>
        <v>5.0254744353282529E-3</v>
      </c>
      <c r="L86" s="89">
        <f t="shared" si="116"/>
        <v>6.1870153729770613E-3</v>
      </c>
      <c r="M86" s="89">
        <f t="shared" si="116"/>
        <v>4.9026016472741539E-3</v>
      </c>
      <c r="N86" s="89">
        <f t="shared" si="116"/>
        <v>8.0034879013422197E-3</v>
      </c>
      <c r="O86" s="89">
        <f t="shared" si="116"/>
        <v>7.4301714129618255E-3</v>
      </c>
      <c r="P86" s="89">
        <f t="shared" si="116"/>
        <v>6.8869211971182842E-3</v>
      </c>
      <c r="Q86" s="89">
        <f t="shared" si="116"/>
        <v>6.6723164516167537E-3</v>
      </c>
      <c r="R86" s="89">
        <f t="shared" si="116"/>
        <v>6.3124552632913807E-3</v>
      </c>
      <c r="S86" s="89">
        <f t="shared" si="116"/>
        <v>6.7129209995770087E-3</v>
      </c>
      <c r="T86" s="89">
        <f t="shared" ref="T86:Y86" si="117">T58/T$23</f>
        <v>6.4618073178005792E-3</v>
      </c>
      <c r="U86" s="89">
        <f t="shared" si="117"/>
        <v>5.5229744348915333E-3</v>
      </c>
      <c r="V86" s="89">
        <f t="shared" si="117"/>
        <v>5.8281648239807233E-3</v>
      </c>
      <c r="W86" s="89">
        <f t="shared" si="117"/>
        <v>5.2218054837040858E-3</v>
      </c>
      <c r="X86" s="89">
        <f t="shared" si="117"/>
        <v>5.4340926867022382E-3</v>
      </c>
      <c r="Y86" s="89">
        <f t="shared" si="117"/>
        <v>4.6404471108946943E-3</v>
      </c>
      <c r="Z86" s="89">
        <f t="shared" ref="Z86:AA86" si="118">Z58/Z$23</f>
        <v>5.0419590898873592E-3</v>
      </c>
      <c r="AA86" s="89">
        <f t="shared" si="118"/>
        <v>5.5252538690080261E-3</v>
      </c>
    </row>
    <row r="87" spans="1:27" x14ac:dyDescent="0.25">
      <c r="A87" s="68" t="s">
        <v>270</v>
      </c>
      <c r="B87" s="44"/>
      <c r="C87" s="44"/>
      <c r="D87" s="89">
        <f t="shared" si="109"/>
        <v>2.9077255165158088E-2</v>
      </c>
      <c r="E87" s="89">
        <f t="shared" ref="E87:S87" si="119">E59/E$23</f>
        <v>2.7374839537869063E-2</v>
      </c>
      <c r="F87" s="89">
        <f t="shared" si="119"/>
        <v>2.7208247185848838E-2</v>
      </c>
      <c r="G87" s="89">
        <f t="shared" si="119"/>
        <v>2.9590647767577048E-2</v>
      </c>
      <c r="H87" s="89">
        <f t="shared" si="119"/>
        <v>3.2111044445470076E-2</v>
      </c>
      <c r="I87" s="89">
        <f t="shared" si="119"/>
        <v>3.7295249082536876E-2</v>
      </c>
      <c r="J87" s="89">
        <f t="shared" si="119"/>
        <v>3.9556020942408378E-2</v>
      </c>
      <c r="K87" s="89">
        <f t="shared" si="119"/>
        <v>3.9863673594047175E-2</v>
      </c>
      <c r="L87" s="89">
        <f t="shared" si="119"/>
        <v>4.1640774862886011E-2</v>
      </c>
      <c r="M87" s="89">
        <f t="shared" si="119"/>
        <v>3.7169891489083541E-2</v>
      </c>
      <c r="N87" s="89">
        <f t="shared" si="119"/>
        <v>4.130983152190839E-2</v>
      </c>
      <c r="O87" s="89">
        <f t="shared" si="119"/>
        <v>4.814587174759271E-2</v>
      </c>
      <c r="P87" s="89">
        <f t="shared" si="119"/>
        <v>4.400647434066457E-2</v>
      </c>
      <c r="Q87" s="89">
        <f t="shared" si="119"/>
        <v>4.4259301256878214E-2</v>
      </c>
      <c r="R87" s="89">
        <f t="shared" si="119"/>
        <v>4.4553534693141404E-2</v>
      </c>
      <c r="S87" s="89">
        <f t="shared" si="119"/>
        <v>4.2738564138059848E-2</v>
      </c>
      <c r="T87" s="89">
        <f t="shared" ref="T87:Y87" si="120">T59/T$23</f>
        <v>4.4976271824950426E-2</v>
      </c>
      <c r="U87" s="89">
        <f t="shared" si="120"/>
        <v>4.3998747366623014E-2</v>
      </c>
      <c r="V87" s="89">
        <f t="shared" si="120"/>
        <v>4.3171913464800489E-2</v>
      </c>
      <c r="W87" s="89">
        <f t="shared" si="120"/>
        <v>4.3132436627004653E-2</v>
      </c>
      <c r="X87" s="89">
        <f t="shared" si="120"/>
        <v>4.191663356524801E-2</v>
      </c>
      <c r="Y87" s="89">
        <f t="shared" si="120"/>
        <v>4.2094705820363461E-2</v>
      </c>
      <c r="Z87" s="89">
        <f t="shared" ref="Z87:AA87" si="121">Z59/Z$23</f>
        <v>3.9592647169010224E-2</v>
      </c>
      <c r="AA87" s="89">
        <f t="shared" si="121"/>
        <v>3.9631649742066129E-2</v>
      </c>
    </row>
    <row r="88" spans="1:27" x14ac:dyDescent="0.25">
      <c r="A88" s="68" t="s">
        <v>1</v>
      </c>
      <c r="B88" s="44"/>
      <c r="C88" s="44"/>
      <c r="D88" s="89">
        <f t="shared" si="109"/>
        <v>2.543126122367538E-2</v>
      </c>
      <c r="E88" s="89">
        <f t="shared" ref="E88:S88" si="122">E60/E$23</f>
        <v>2.7182284980744546E-2</v>
      </c>
      <c r="F88" s="89">
        <f t="shared" si="122"/>
        <v>2.6002182402940496E-2</v>
      </c>
      <c r="G88" s="89">
        <f t="shared" si="122"/>
        <v>2.3354972534859603E-2</v>
      </c>
      <c r="H88" s="89">
        <f t="shared" si="122"/>
        <v>2.0999676928047262E-2</v>
      </c>
      <c r="I88" s="89">
        <f t="shared" si="122"/>
        <v>1.6887288784572699E-2</v>
      </c>
      <c r="J88" s="89">
        <f t="shared" si="122"/>
        <v>1.5078534031413614E-2</v>
      </c>
      <c r="K88" s="89">
        <f t="shared" si="122"/>
        <v>1.2556744825288409E-2</v>
      </c>
      <c r="L88" s="89">
        <f t="shared" si="122"/>
        <v>1.1455434577040497E-2</v>
      </c>
      <c r="M88" s="89">
        <f t="shared" si="122"/>
        <v>1.0638645574584913E-2</v>
      </c>
      <c r="N88" s="89">
        <f t="shared" si="122"/>
        <v>1.0471489520724986E-2</v>
      </c>
      <c r="O88" s="89">
        <f t="shared" si="122"/>
        <v>9.9228300211705259E-3</v>
      </c>
      <c r="P88" s="89">
        <f t="shared" si="122"/>
        <v>9.978101494811006E-3</v>
      </c>
      <c r="Q88" s="89">
        <f t="shared" si="122"/>
        <v>9.2206877618496302E-3</v>
      </c>
      <c r="R88" s="89">
        <f t="shared" si="122"/>
        <v>9.5757691895821933E-3</v>
      </c>
      <c r="S88" s="89">
        <f t="shared" si="122"/>
        <v>9.4925756851629069E-3</v>
      </c>
      <c r="T88" s="89">
        <f t="shared" ref="T88:Y88" si="123">T60/T$23</f>
        <v>9.4180187627862701E-3</v>
      </c>
      <c r="U88" s="89">
        <f t="shared" si="123"/>
        <v>9.0958264533394055E-3</v>
      </c>
      <c r="V88" s="89">
        <f t="shared" si="123"/>
        <v>8.1985751441818397E-3</v>
      </c>
      <c r="W88" s="89">
        <f t="shared" si="123"/>
        <v>7.4245020693222957E-3</v>
      </c>
      <c r="X88" s="89">
        <f t="shared" si="123"/>
        <v>7.444747930990708E-3</v>
      </c>
      <c r="Y88" s="89">
        <f t="shared" si="123"/>
        <v>6.1485015752809884E-3</v>
      </c>
      <c r="Z88" s="89">
        <f t="shared" ref="Z88:AA88" si="124">Z60/Z$23</f>
        <v>5.3291790504258335E-3</v>
      </c>
      <c r="AA88" s="89">
        <f t="shared" si="124"/>
        <v>5.7114983814464991E-3</v>
      </c>
    </row>
    <row r="89" spans="1:27" x14ac:dyDescent="0.25">
      <c r="A89" s="68" t="s">
        <v>0</v>
      </c>
      <c r="B89" s="44"/>
      <c r="C89" s="44"/>
      <c r="D89" s="89">
        <f t="shared" si="109"/>
        <v>2.3544776796241548E-2</v>
      </c>
      <c r="E89" s="89">
        <f t="shared" ref="E89:S89" si="125">E61/E$23</f>
        <v>2.5369062901155329E-2</v>
      </c>
      <c r="F89" s="89">
        <f t="shared" si="125"/>
        <v>2.5528371238226513E-2</v>
      </c>
      <c r="G89" s="89">
        <f t="shared" si="125"/>
        <v>2.6530429326879986E-2</v>
      </c>
      <c r="H89" s="89">
        <f t="shared" si="125"/>
        <v>2.6295749296164673E-2</v>
      </c>
      <c r="I89" s="89">
        <f t="shared" si="125"/>
        <v>2.4415956399367476E-2</v>
      </c>
      <c r="J89" s="89">
        <f t="shared" si="125"/>
        <v>2.3371727748691101E-2</v>
      </c>
      <c r="K89" s="89">
        <f t="shared" si="125"/>
        <v>2.2045451390334984E-2</v>
      </c>
      <c r="L89" s="89">
        <f t="shared" si="125"/>
        <v>1.8270607624348203E-2</v>
      </c>
      <c r="M89" s="89">
        <f t="shared" si="125"/>
        <v>1.8490979212969019E-2</v>
      </c>
      <c r="N89" s="89">
        <f t="shared" si="125"/>
        <v>2.2305440503254337E-2</v>
      </c>
      <c r="O89" s="89">
        <f t="shared" si="125"/>
        <v>2.2693437137198666E-2</v>
      </c>
      <c r="P89" s="89">
        <f t="shared" si="125"/>
        <v>2.2253959186264244E-2</v>
      </c>
      <c r="Q89" s="89">
        <f t="shared" si="125"/>
        <v>2.260112916124566E-2</v>
      </c>
      <c r="R89" s="89">
        <f t="shared" si="125"/>
        <v>2.494547053154255E-2</v>
      </c>
      <c r="S89" s="89">
        <f t="shared" si="125"/>
        <v>2.6434186456599479E-2</v>
      </c>
      <c r="T89" s="89">
        <f t="shared" ref="T89:Y89" si="126">T61/T$23</f>
        <v>2.5821068107972352E-2</v>
      </c>
      <c r="U89" s="89">
        <f t="shared" si="126"/>
        <v>2.5731177285581427E-2</v>
      </c>
      <c r="V89" s="89">
        <f t="shared" si="126"/>
        <v>2.4643568576622973E-2</v>
      </c>
      <c r="W89" s="89">
        <f t="shared" si="126"/>
        <v>2.3267750905328503E-2</v>
      </c>
      <c r="X89" s="89">
        <f t="shared" si="126"/>
        <v>2.5090192834532492E-2</v>
      </c>
      <c r="Y89" s="89">
        <f t="shared" si="126"/>
        <v>3.2824713197111804E-2</v>
      </c>
      <c r="Z89" s="89">
        <f t="shared" ref="Z89:AA89" si="127">Z61/Z$23</f>
        <v>3.0008241964085018E-2</v>
      </c>
      <c r="AA89" s="89">
        <f t="shared" si="127"/>
        <v>2.2237003532733213E-2</v>
      </c>
    </row>
    <row r="90" spans="1:27" x14ac:dyDescent="0.25">
      <c r="A90" s="90" t="s">
        <v>272</v>
      </c>
      <c r="B90" s="47"/>
      <c r="C90" s="47"/>
      <c r="D90" s="91">
        <f t="shared" si="109"/>
        <v>1.9953200674780971E-2</v>
      </c>
      <c r="E90" s="91">
        <f t="shared" ref="E90:S90" si="128">E62/E$23</f>
        <v>2.2191912708600773E-2</v>
      </c>
      <c r="F90" s="91">
        <f t="shared" si="128"/>
        <v>2.2757293820353779E-2</v>
      </c>
      <c r="G90" s="91">
        <f t="shared" si="128"/>
        <v>2.2727563733210412E-2</v>
      </c>
      <c r="H90" s="91">
        <f t="shared" si="128"/>
        <v>2.0976600359994463E-2</v>
      </c>
      <c r="I90" s="91">
        <f t="shared" si="128"/>
        <v>2.0010144307750451E-2</v>
      </c>
      <c r="J90" s="91">
        <f t="shared" si="128"/>
        <v>1.9895287958115185E-2</v>
      </c>
      <c r="K90" s="91">
        <f t="shared" si="128"/>
        <v>1.7873752307969958E-2</v>
      </c>
      <c r="L90" s="91">
        <f t="shared" si="128"/>
        <v>1.5886310215329748E-2</v>
      </c>
      <c r="M90" s="91">
        <f t="shared" si="128"/>
        <v>1.4715975944567918E-2</v>
      </c>
      <c r="N90" s="91">
        <f t="shared" si="128"/>
        <v>1.6551960387406184E-2</v>
      </c>
      <c r="O90" s="91">
        <f t="shared" si="128"/>
        <v>1.6465205217510076E-2</v>
      </c>
      <c r="P90" s="91">
        <f t="shared" si="128"/>
        <v>1.6649211336443554E-2</v>
      </c>
      <c r="Q90" s="91">
        <f t="shared" si="128"/>
        <v>1.6131727521216534E-2</v>
      </c>
      <c r="R90" s="91">
        <f t="shared" si="128"/>
        <v>1.6322205752224855E-2</v>
      </c>
      <c r="S90" s="91">
        <f t="shared" si="128"/>
        <v>1.6287897515340287E-2</v>
      </c>
      <c r="T90" s="91">
        <f t="shared" ref="T90:Y90" si="129">T62/T$23</f>
        <v>1.7041381727997153E-2</v>
      </c>
      <c r="U90" s="91">
        <f t="shared" si="129"/>
        <v>1.6791930004365237E-2</v>
      </c>
      <c r="V90" s="91">
        <f t="shared" si="129"/>
        <v>1.6266668986334255E-2</v>
      </c>
      <c r="W90" s="91">
        <f t="shared" si="129"/>
        <v>1.5936206673564407E-2</v>
      </c>
      <c r="X90" s="91">
        <f t="shared" si="129"/>
        <v>1.619171249677517E-2</v>
      </c>
      <c r="Y90" s="91">
        <f t="shared" si="129"/>
        <v>1.64287089963625E-2</v>
      </c>
      <c r="Z90" s="91">
        <f t="shared" ref="Z90:AA90" si="130">Z62/Z$23</f>
        <v>1.3808411798496465E-2</v>
      </c>
      <c r="AA90" s="91">
        <f t="shared" si="130"/>
        <v>1.3492380234431584E-2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5.8806385245234072E-2</v>
      </c>
      <c r="F93" s="92">
        <f t="shared" ref="F93:F94" si="132">IF(E16=0,"",F16/E16-1)</f>
        <v>6.9343876876442279E-2</v>
      </c>
      <c r="G93" s="92">
        <f t="shared" ref="G93:G94" si="133">IF(F16=0,"",G16/F16-1)</f>
        <v>7.5944149895081248E-2</v>
      </c>
      <c r="H93" s="92">
        <f t="shared" ref="H93:H94" si="134">IF(G16=0,"",H16/G16-1)</f>
        <v>6.8012522273104281E-2</v>
      </c>
      <c r="I93" s="92">
        <f t="shared" ref="I93:I94" si="135">IF(H16=0,"",I16/H16-1)</f>
        <v>9.522994469975421E-2</v>
      </c>
      <c r="J93" s="92">
        <f t="shared" ref="J93:J94" si="136">IF(I16=0,"",J16/I16-1)</f>
        <v>9.7629273721762999E-2</v>
      </c>
      <c r="K93" s="92">
        <f t="shared" ref="K93:K94" si="137">IF(J16=0,"",K16/J16-1)</f>
        <v>7.5706174534799109E-2</v>
      </c>
      <c r="L93" s="92">
        <f t="shared" ref="L93:L94" si="138">IF(K16=0,"",L16/K16-1)</f>
        <v>-5.1249075837562774E-2</v>
      </c>
      <c r="M93" s="92">
        <f t="shared" ref="M93:M94" si="139">IF(L16=0,"",M16/L16-1)</f>
        <v>-0.1463067448058698</v>
      </c>
      <c r="N93" s="92">
        <f t="shared" ref="N93:N94" si="140">IF(M16=0,"",N16/M16-1)</f>
        <v>2.4505480949556402E-2</v>
      </c>
      <c r="O93" s="92">
        <f t="shared" ref="O93:O94" si="141">IF(N16=0,"",O16/N16-1)</f>
        <v>7.6071983309311531E-2</v>
      </c>
      <c r="P93" s="92">
        <f t="shared" ref="P93:P94" si="142">IF(O16=0,"",P16/O16-1)</f>
        <v>3.6716579042956665E-2</v>
      </c>
      <c r="Q93" s="92">
        <f t="shared" ref="Q93:Q94" si="143">IF(P16=0,"",Q16/P16-1)</f>
        <v>1.7560622787706093E-2</v>
      </c>
      <c r="R93" s="92">
        <f t="shared" ref="R93:R94" si="144">IF(Q16=0,"",R16/Q16-1)</f>
        <v>3.3234728244838418E-2</v>
      </c>
      <c r="S93" s="92">
        <f t="shared" ref="S93:S94" si="145">IF(R16=0,"",S16/R16-1)</f>
        <v>1.8377037258907158E-2</v>
      </c>
      <c r="T93" s="92">
        <f t="shared" ref="T93:T94" si="146">IF(S16=0,"",T16/S16-1)</f>
        <v>3.0926596837782316E-2</v>
      </c>
      <c r="U93" s="92">
        <f t="shared" ref="U93:U94" si="147">IF(T16=0,"",U16/T16-1)</f>
        <v>5.6347365663163895E-2</v>
      </c>
      <c r="V93" s="92">
        <f t="shared" ref="V93:V94" si="148">IF(U16=0,"",V16/U16-1)</f>
        <v>3.7000374040110362E-2</v>
      </c>
      <c r="W93" s="92">
        <f t="shared" ref="W93:W94" si="149">IF(V16=0,"",W16/V16-1)</f>
        <v>3.7270176269530886E-2</v>
      </c>
      <c r="X93" s="92">
        <f t="shared" ref="X93:X94" si="150">IF(W16=0,"",X16/W16-1)</f>
        <v>-2.8843248767759677E-2</v>
      </c>
      <c r="Y93" s="92">
        <f t="shared" ref="Y93:Y94" si="151">IF(X16=0,"",Y16/X16-1)</f>
        <v>8.254747822306685E-2</v>
      </c>
      <c r="Z93" s="92">
        <f t="shared" ref="Z93:Z94" si="152">IF(Y16=0,"",Z16/Y16-1)</f>
        <v>-1.2261713116499151E-2</v>
      </c>
      <c r="AA93" s="92">
        <f t="shared" ref="AA93:AA94" si="153">IF(Z16=0,"",AA16/Z16-1)</f>
        <v>-2.7442156340586554E-2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6.946513145609412E-2</v>
      </c>
      <c r="F94" s="93">
        <f t="shared" si="132"/>
        <v>9.6533726377537432E-2</v>
      </c>
      <c r="G94" s="93">
        <f t="shared" si="133"/>
        <v>9.7107857816817411E-2</v>
      </c>
      <c r="H94" s="93">
        <f t="shared" si="134"/>
        <v>8.1378598455576601E-2</v>
      </c>
      <c r="I94" s="93">
        <f t="shared" si="135"/>
        <v>9.7281840606184833E-2</v>
      </c>
      <c r="J94" s="93">
        <f t="shared" si="136"/>
        <v>0.12874707128318907</v>
      </c>
      <c r="K94" s="93">
        <f t="shared" si="137"/>
        <v>8.4311992078190068E-2</v>
      </c>
      <c r="L94" s="93">
        <f t="shared" si="138"/>
        <v>-4.5312899213874713E-2</v>
      </c>
      <c r="M94" s="93">
        <f t="shared" si="139"/>
        <v>-0.13946002870929275</v>
      </c>
      <c r="N94" s="93">
        <f t="shared" si="140"/>
        <v>-1.270515008458506E-2</v>
      </c>
      <c r="O94" s="93">
        <f t="shared" si="141"/>
        <v>3.7345426822637195E-2</v>
      </c>
      <c r="P94" s="93">
        <f t="shared" si="142"/>
        <v>5.2972731379243188E-2</v>
      </c>
      <c r="Q94" s="93">
        <f t="shared" si="143"/>
        <v>4.3377618778030813E-2</v>
      </c>
      <c r="R94" s="93">
        <f t="shared" si="144"/>
        <v>4.1973584009781018E-2</v>
      </c>
      <c r="S94" s="93">
        <f t="shared" si="145"/>
        <v>4.7277839077384698E-2</v>
      </c>
      <c r="T94" s="93">
        <f t="shared" si="146"/>
        <v>4.2837255490706383E-2</v>
      </c>
      <c r="U94" s="93">
        <f t="shared" si="147"/>
        <v>2.2631348022497333E-2</v>
      </c>
      <c r="V94" s="93">
        <f t="shared" si="148"/>
        <v>4.6037284130609812E-2</v>
      </c>
      <c r="W94" s="93">
        <f t="shared" si="149"/>
        <v>4.27392745795665E-2</v>
      </c>
      <c r="X94" s="93">
        <f t="shared" si="150"/>
        <v>-8.3748514472343771E-3</v>
      </c>
      <c r="Y94" s="93">
        <f t="shared" si="151"/>
        <v>7.1750775073163409E-2</v>
      </c>
      <c r="Z94" s="93">
        <f t="shared" si="152"/>
        <v>2.9122264227529282E-2</v>
      </c>
      <c r="AA94" s="93">
        <f t="shared" si="153"/>
        <v>-1.3418733850337206E-2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6.5291262655009064E-2</v>
      </c>
      <c r="F95" s="92">
        <f t="shared" ref="F95:F96" si="155">IF(E20=0,"",F20/E20-1)</f>
        <v>7.6462478914759213E-2</v>
      </c>
      <c r="G95" s="92">
        <f t="shared" ref="G95:G96" si="156">IF(F20=0,"",G20/F20-1)</f>
        <v>8.2453690632817267E-2</v>
      </c>
      <c r="H95" s="92">
        <f t="shared" ref="H95:H96" si="157">IF(G20=0,"",H20/G20-1)</f>
        <v>7.5001017752790444E-2</v>
      </c>
      <c r="I95" s="92">
        <f t="shared" ref="I95:I96" si="158">IF(H20=0,"",I20/H20-1)</f>
        <v>0.10119432751667912</v>
      </c>
      <c r="J95" s="92">
        <f t="shared" ref="J95:J96" si="159">IF(I20=0,"",J20/I20-1)</f>
        <v>0.10425226815489563</v>
      </c>
      <c r="K95" s="92">
        <f t="shared" ref="K95:K96" si="160">IF(J20=0,"",K20/J20-1)</f>
        <v>8.1938112429744914E-2</v>
      </c>
      <c r="L95" s="92">
        <f t="shared" ref="L95:L96" si="161">IF(K20=0,"",L20/K20-1)</f>
        <v>-4.8073435435118328E-2</v>
      </c>
      <c r="M95" s="92">
        <f t="shared" ref="M95:M96" si="162">IF(L20=0,"",M20/L20-1)</f>
        <v>-0.14458113069756717</v>
      </c>
      <c r="N95" s="92">
        <f t="shared" ref="N95:N96" si="163">IF(M20=0,"",N20/M20-1)</f>
        <v>2.6388070954976195E-2</v>
      </c>
      <c r="O95" s="92">
        <f t="shared" ref="O95:O96" si="164">IF(N20=0,"",O20/N20-1)</f>
        <v>7.9009682645542423E-2</v>
      </c>
      <c r="P95" s="92">
        <f t="shared" ref="P95:P96" si="165">IF(O20=0,"",P20/O20-1)</f>
        <v>4.0192335662957657E-2</v>
      </c>
      <c r="Q95" s="92">
        <f t="shared" ref="Q95:Q96" si="166">IF(P20=0,"",Q20/P20-1)</f>
        <v>2.1447654512856351E-2</v>
      </c>
      <c r="R95" s="92">
        <f t="shared" ref="R95:R96" si="167">IF(Q20=0,"",R20/Q20-1)</f>
        <v>3.6654451809786437E-2</v>
      </c>
      <c r="S95" s="92">
        <f t="shared" ref="S95:S96" si="168">IF(R20=0,"",S20/R20-1)</f>
        <v>1.9112045136764788E-2</v>
      </c>
      <c r="T95" s="92">
        <f t="shared" ref="T95:T96" si="169">IF(S20=0,"",T20/S20-1)</f>
        <v>3.0085212124600247E-2</v>
      </c>
      <c r="U95" s="92">
        <f t="shared" ref="U95:U96" si="170">IF(T20=0,"",U20/T20-1)</f>
        <v>5.6595467405660793E-2</v>
      </c>
      <c r="V95" s="92">
        <f t="shared" ref="V95:V96" si="171">IF(U20=0,"",V20/U20-1)</f>
        <v>3.4250516892732286E-2</v>
      </c>
      <c r="W95" s="92">
        <f t="shared" ref="W95:W96" si="172">IF(V20=0,"",W20/V20-1)</f>
        <v>3.2817529500577258E-2</v>
      </c>
      <c r="X95" s="92">
        <f t="shared" ref="X95:X96" si="173">IF(W20=0,"",X20/W20-1)</f>
        <v>-3.1880269344595424E-2</v>
      </c>
      <c r="Y95" s="92">
        <f t="shared" ref="Y95:Y96" si="174">IF(X20=0,"",Y20/X20-1)</f>
        <v>8.1658695208800092E-2</v>
      </c>
      <c r="Z95" s="92">
        <f t="shared" ref="Z95:Z96" si="175">IF(Y20=0,"",Z20/Y20-1)</f>
        <v>-1.354329960552203E-2</v>
      </c>
      <c r="AA95" s="92">
        <f t="shared" ref="AA95:AA96" si="176">IF(Z20=0,"",AA20/Z20-1)</f>
        <v>-5.171402113632495E-2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7.6015290548604231E-2</v>
      </c>
      <c r="F96" s="93">
        <f t="shared" si="155"/>
        <v>0.10383333073163459</v>
      </c>
      <c r="G96" s="93">
        <f t="shared" si="156"/>
        <v>0.10374544053414092</v>
      </c>
      <c r="H96" s="93">
        <f t="shared" si="157"/>
        <v>8.8454554298352805E-2</v>
      </c>
      <c r="I96" s="93">
        <f t="shared" si="158"/>
        <v>0.10325739759958785</v>
      </c>
      <c r="J96" s="93">
        <f t="shared" si="159"/>
        <v>0.13555782765466917</v>
      </c>
      <c r="K96" s="93">
        <f t="shared" si="160"/>
        <v>9.0593786450429814E-2</v>
      </c>
      <c r="L96" s="93">
        <f t="shared" si="161"/>
        <v>-4.2117389357981483E-2</v>
      </c>
      <c r="M96" s="93">
        <f t="shared" si="162"/>
        <v>-0.13772057498140777</v>
      </c>
      <c r="N96" s="93">
        <f t="shared" si="163"/>
        <v>-1.0890936835935006E-2</v>
      </c>
      <c r="O96" s="93">
        <f t="shared" si="164"/>
        <v>4.0177401838330074E-2</v>
      </c>
      <c r="P96" s="93">
        <f t="shared" si="165"/>
        <v>5.6502989326068453E-2</v>
      </c>
      <c r="Q96" s="93">
        <f t="shared" si="166"/>
        <v>4.7363270162998017E-2</v>
      </c>
      <c r="R96" s="93">
        <f t="shared" si="167"/>
        <v>4.5422230790502782E-2</v>
      </c>
      <c r="S96" s="93">
        <f t="shared" si="168"/>
        <v>4.8033705945808469E-2</v>
      </c>
      <c r="T96" s="93">
        <f t="shared" si="169"/>
        <v>4.1986149963118002E-2</v>
      </c>
      <c r="U96" s="93">
        <f t="shared" si="170"/>
        <v>2.2871530965744569E-2</v>
      </c>
      <c r="V96" s="93">
        <f t="shared" si="171"/>
        <v>4.3263463431795657E-2</v>
      </c>
      <c r="W96" s="93">
        <f t="shared" si="172"/>
        <v>3.8263150838579563E-2</v>
      </c>
      <c r="X96" s="93">
        <f t="shared" si="173"/>
        <v>-1.147588120050691E-2</v>
      </c>
      <c r="Y96" s="93">
        <f t="shared" si="174"/>
        <v>7.0870856267222671E-2</v>
      </c>
      <c r="Z96" s="93">
        <f t="shared" si="175"/>
        <v>2.7786982192904652E-2</v>
      </c>
      <c r="AA96" s="93">
        <f t="shared" si="176"/>
        <v>-3.8040577433328004E-2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5.5068526616798064E-2</v>
      </c>
      <c r="F97" s="89">
        <f t="shared" ref="F97:F106" si="178">IF(E23=0,"",F23/E23-1)</f>
        <v>6.6046025332713754E-2</v>
      </c>
      <c r="G97" s="89">
        <f t="shared" ref="G97:G106" si="179">IF(F23=0,"",G23/F23-1)</f>
        <v>7.682068098743855E-2</v>
      </c>
      <c r="H97" s="89">
        <f t="shared" ref="H97:H106" si="180">IF(G23=0,"",H23/G23-1)</f>
        <v>6.2554603942263753E-2</v>
      </c>
      <c r="I97" s="89">
        <f t="shared" ref="I97:I106" si="181">IF(H23=0,"",I23/H23-1)</f>
        <v>9.5379096504329741E-2</v>
      </c>
      <c r="J97" s="89">
        <f t="shared" ref="J97:J106" si="182">IF(I23=0,"",J23/I23-1)</f>
        <v>9.2929032343929574E-2</v>
      </c>
      <c r="K97" s="89">
        <f t="shared" ref="K97:K106" si="183">IF(J23=0,"",K23/J23-1)</f>
        <v>7.0259060358973446E-2</v>
      </c>
      <c r="L97" s="89">
        <f t="shared" ref="L97:L106" si="184">IF(K23=0,"",L23/K23-1)</f>
        <v>-3.0045313740089452E-2</v>
      </c>
      <c r="M97" s="89">
        <f t="shared" ref="M97:M106" si="185">IF(L23=0,"",M23/L23-1)</f>
        <v>-0.1526753411358085</v>
      </c>
      <c r="N97" s="89">
        <f t="shared" ref="N97:N106" si="186">IF(M23=0,"",N23/M23-1)</f>
        <v>3.6416734546843132E-2</v>
      </c>
      <c r="O97" s="89">
        <f t="shared" ref="O97:O106" si="187">IF(N23=0,"",O23/N23-1)</f>
        <v>7.9135073128575151E-2</v>
      </c>
      <c r="P97" s="89">
        <f t="shared" ref="P97:P106" si="188">IF(O23=0,"",P23/O23-1)</f>
        <v>3.1705445260834519E-2</v>
      </c>
      <c r="Q97" s="89">
        <f t="shared" ref="Q97:Q106" si="189">IF(P23=0,"",Q23/P23-1)</f>
        <v>1.7469145214247472E-2</v>
      </c>
      <c r="R97" s="89">
        <f t="shared" ref="R97:R106" si="190">IF(Q23=0,"",R23/Q23-1)</f>
        <v>3.1900734847618351E-2</v>
      </c>
      <c r="S97" s="89">
        <f t="shared" ref="S97:S106" si="191">IF(R23=0,"",S23/R23-1)</f>
        <v>1.6061265816363912E-2</v>
      </c>
      <c r="T97" s="89">
        <f t="shared" ref="T97:T106" si="192">IF(S23=0,"",T23/S23-1)</f>
        <v>2.8106784881658742E-2</v>
      </c>
      <c r="U97" s="89">
        <f t="shared" ref="U97:U106" si="193">IF(T23=0,"",U23/T23-1)</f>
        <v>6.5003318165678836E-2</v>
      </c>
      <c r="V97" s="89">
        <f t="shared" ref="V97:V106" si="194">IF(U23=0,"",V23/U23-1)</f>
        <v>4.0949079630197005E-2</v>
      </c>
      <c r="W97" s="89">
        <f t="shared" ref="W97:W106" si="195">IF(V23=0,"",W23/V23-1)</f>
        <v>3.1345610593852102E-2</v>
      </c>
      <c r="X97" s="89">
        <f t="shared" ref="X97:X106" si="196">IF(W23=0,"",X23/W23-1)</f>
        <v>-2.7019734503357151E-2</v>
      </c>
      <c r="Y97" s="89">
        <f t="shared" ref="Y97:Y106" si="197">IF(X23=0,"",Y23/X23-1)</f>
        <v>7.8597745728849144E-2</v>
      </c>
      <c r="Z97" s="89">
        <f t="shared" ref="Z97:Z108" si="198">IF(Y23=0,"",Z23/Y23-1)</f>
        <v>-7.6161735798354613E-3</v>
      </c>
      <c r="AA97" s="89">
        <f t="shared" ref="AA97:AA108" si="199">IF(Z23=0,"",AA23/Z23-1)</f>
        <v>-2.9744196110062848E-2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-4.9938019901211828E-2</v>
      </c>
      <c r="F98" s="83">
        <f t="shared" si="178"/>
        <v>8.6354997646281406E-2</v>
      </c>
      <c r="G98" s="83">
        <f t="shared" si="179"/>
        <v>4.5275310246624567E-2</v>
      </c>
      <c r="H98" s="83">
        <f t="shared" si="180"/>
        <v>0.11982354552960439</v>
      </c>
      <c r="I98" s="83">
        <f t="shared" si="181"/>
        <v>-5.1507232832379568E-3</v>
      </c>
      <c r="J98" s="83">
        <f t="shared" si="182"/>
        <v>5.3383698612471386E-2</v>
      </c>
      <c r="K98" s="83">
        <f t="shared" si="183"/>
        <v>0.33804009980961847</v>
      </c>
      <c r="L98" s="83">
        <f t="shared" si="184"/>
        <v>-0.17124401389442634</v>
      </c>
      <c r="M98" s="83">
        <f t="shared" si="185"/>
        <v>-0.36680900482660206</v>
      </c>
      <c r="N98" s="83">
        <f t="shared" si="186"/>
        <v>0.32206442343540576</v>
      </c>
      <c r="O98" s="83">
        <f t="shared" si="187"/>
        <v>0.24260780007044147</v>
      </c>
      <c r="P98" s="83">
        <f t="shared" si="188"/>
        <v>-7.1864290449484614E-2</v>
      </c>
      <c r="Q98" s="83">
        <f t="shared" si="189"/>
        <v>-5.9438696940251279E-2</v>
      </c>
      <c r="R98" s="83">
        <f t="shared" si="190"/>
        <v>5.8604430873948177E-2</v>
      </c>
      <c r="S98" s="83">
        <f t="shared" si="191"/>
        <v>-7.944892654476654E-2</v>
      </c>
      <c r="T98" s="83">
        <f t="shared" si="192"/>
        <v>-0.23664190207569602</v>
      </c>
      <c r="U98" s="83">
        <f t="shared" si="193"/>
        <v>0.19479306128713381</v>
      </c>
      <c r="V98" s="83">
        <f t="shared" si="194"/>
        <v>-9.0940661878130102E-2</v>
      </c>
      <c r="W98" s="83">
        <f t="shared" si="195"/>
        <v>0.14109923725505991</v>
      </c>
      <c r="X98" s="83">
        <f t="shared" si="196"/>
        <v>-0.17753272707093082</v>
      </c>
      <c r="Y98" s="83">
        <f t="shared" si="197"/>
        <v>8.7133858006204434E-2</v>
      </c>
      <c r="Z98" s="83">
        <f t="shared" si="198"/>
        <v>0.23863974918255204</v>
      </c>
      <c r="AA98" s="83">
        <f t="shared" si="199"/>
        <v>-0.31928328009246909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2.9493642284611488E-2</v>
      </c>
      <c r="F99" s="83">
        <f t="shared" si="178"/>
        <v>3.8984406496415103E-2</v>
      </c>
      <c r="G99" s="83">
        <f t="shared" si="179"/>
        <v>7.2664468065936072E-2</v>
      </c>
      <c r="H99" s="83">
        <f t="shared" si="180"/>
        <v>3.627895687099425E-4</v>
      </c>
      <c r="I99" s="83">
        <f t="shared" si="181"/>
        <v>-1.9956407018591915E-2</v>
      </c>
      <c r="J99" s="83">
        <f t="shared" si="182"/>
        <v>0.11340394857293212</v>
      </c>
      <c r="K99" s="83">
        <f t="shared" si="183"/>
        <v>0.18012566742967917</v>
      </c>
      <c r="L99" s="83">
        <f t="shared" si="184"/>
        <v>-0.10245633420497702</v>
      </c>
      <c r="M99" s="83">
        <f t="shared" si="185"/>
        <v>7.0155395491463102E-2</v>
      </c>
      <c r="N99" s="83">
        <f t="shared" si="186"/>
        <v>0.16706731290760635</v>
      </c>
      <c r="O99" s="83">
        <f t="shared" si="187"/>
        <v>7.6384155000382981E-2</v>
      </c>
      <c r="P99" s="83">
        <f t="shared" si="188"/>
        <v>-4.3553934744249623E-2</v>
      </c>
      <c r="Q99" s="83">
        <f t="shared" si="189"/>
        <v>0.1998636127906126</v>
      </c>
      <c r="R99" s="83">
        <f t="shared" si="190"/>
        <v>3.3309690918074564E-2</v>
      </c>
      <c r="S99" s="83">
        <f t="shared" si="191"/>
        <v>-9.2746463414634217E-2</v>
      </c>
      <c r="T99" s="83">
        <f t="shared" si="192"/>
        <v>-0.1932999285720246</v>
      </c>
      <c r="U99" s="83">
        <f t="shared" si="193"/>
        <v>0.20923585029620639</v>
      </c>
      <c r="V99" s="83">
        <f t="shared" si="194"/>
        <v>-8.7228262060666029E-2</v>
      </c>
      <c r="W99" s="83">
        <f t="shared" si="195"/>
        <v>-0.13596517247967921</v>
      </c>
      <c r="X99" s="83">
        <f t="shared" si="196"/>
        <v>-0.25486317544618731</v>
      </c>
      <c r="Y99" s="83">
        <f t="shared" si="197"/>
        <v>-0.15358485959401824</v>
      </c>
      <c r="Z99" s="83">
        <f t="shared" si="198"/>
        <v>5.040286886472356E-2</v>
      </c>
      <c r="AA99" s="83">
        <f t="shared" si="199"/>
        <v>-5.4872693505891301E-2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5.468506240759341E-2</v>
      </c>
      <c r="F100" s="83">
        <f t="shared" si="178"/>
        <v>6.3971789029003912E-2</v>
      </c>
      <c r="G100" s="83">
        <f t="shared" si="179"/>
        <v>6.7719197346999271E-2</v>
      </c>
      <c r="H100" s="83">
        <f t="shared" si="180"/>
        <v>6.4836084601900268E-2</v>
      </c>
      <c r="I100" s="83">
        <f t="shared" si="181"/>
        <v>8.1948939548941446E-2</v>
      </c>
      <c r="J100" s="83">
        <f t="shared" si="182"/>
        <v>7.7773293319654435E-2</v>
      </c>
      <c r="K100" s="83">
        <f t="shared" si="183"/>
        <v>5.5488903743425633E-2</v>
      </c>
      <c r="L100" s="83">
        <f t="shared" si="184"/>
        <v>6.6972982789548219E-4</v>
      </c>
      <c r="M100" s="83">
        <f t="shared" si="185"/>
        <v>-0.11014327842831451</v>
      </c>
      <c r="N100" s="83">
        <f t="shared" si="186"/>
        <v>1.5563823450298386E-2</v>
      </c>
      <c r="O100" s="83">
        <f t="shared" si="187"/>
        <v>4.7289857040619054E-2</v>
      </c>
      <c r="P100" s="83">
        <f t="shared" si="188"/>
        <v>4.8519851123507651E-2</v>
      </c>
      <c r="Q100" s="83">
        <f t="shared" si="189"/>
        <v>2.136130946725423E-2</v>
      </c>
      <c r="R100" s="83">
        <f t="shared" si="190"/>
        <v>3.9427578675464758E-2</v>
      </c>
      <c r="S100" s="83">
        <f t="shared" si="191"/>
        <v>3.5439168356510287E-2</v>
      </c>
      <c r="T100" s="83">
        <f t="shared" si="192"/>
        <v>3.5058955360222299E-2</v>
      </c>
      <c r="U100" s="83">
        <f t="shared" si="193"/>
        <v>6.4608632194197657E-2</v>
      </c>
      <c r="V100" s="83">
        <f t="shared" si="194"/>
        <v>4.772134015392071E-2</v>
      </c>
      <c r="W100" s="83">
        <f t="shared" si="195"/>
        <v>4.5202818852719595E-2</v>
      </c>
      <c r="X100" s="83">
        <f t="shared" si="196"/>
        <v>-1.5223076750787712E-2</v>
      </c>
      <c r="Y100" s="83">
        <f t="shared" si="197"/>
        <v>6.1166672028418523E-2</v>
      </c>
      <c r="Z100" s="83">
        <f t="shared" si="198"/>
        <v>-1.8964424342646002E-2</v>
      </c>
      <c r="AA100" s="83">
        <f t="shared" si="199"/>
        <v>9.0056817085799601E-3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1.6567566294590996E-2</v>
      </c>
      <c r="F101" s="84">
        <f t="shared" si="178"/>
        <v>2.7818375481124757E-2</v>
      </c>
      <c r="G101" s="84">
        <f t="shared" si="179"/>
        <v>7.9901275477232581E-2</v>
      </c>
      <c r="H101" s="84">
        <f t="shared" si="180"/>
        <v>6.6862018761575159E-2</v>
      </c>
      <c r="I101" s="84">
        <f t="shared" si="181"/>
        <v>4.8164525717258044E-2</v>
      </c>
      <c r="J101" s="84">
        <f t="shared" si="182"/>
        <v>5.8802978091070601E-2</v>
      </c>
      <c r="K101" s="84">
        <f t="shared" si="183"/>
        <v>4.9477529285851585E-2</v>
      </c>
      <c r="L101" s="84">
        <f t="shared" si="184"/>
        <v>2.7488123193379455E-2</v>
      </c>
      <c r="M101" s="84">
        <f t="shared" si="185"/>
        <v>-7.0632175223951932E-2</v>
      </c>
      <c r="N101" s="84">
        <f t="shared" si="186"/>
        <v>1.9096204996237542E-2</v>
      </c>
      <c r="O101" s="84">
        <f t="shared" si="187"/>
        <v>3.348823126773337E-2</v>
      </c>
      <c r="P101" s="84">
        <f t="shared" si="188"/>
        <v>1.9435104132796033E-2</v>
      </c>
      <c r="Q101" s="84">
        <f t="shared" si="189"/>
        <v>3.2103643188213349E-2</v>
      </c>
      <c r="R101" s="84">
        <f t="shared" si="190"/>
        <v>3.6491093728425295E-2</v>
      </c>
      <c r="S101" s="84">
        <f t="shared" si="191"/>
        <v>3.0190292072322711E-2</v>
      </c>
      <c r="T101" s="84">
        <f t="shared" si="192"/>
        <v>3.1935396373696801E-3</v>
      </c>
      <c r="U101" s="84">
        <f t="shared" si="193"/>
        <v>4.4855970622556418E-2</v>
      </c>
      <c r="V101" s="84">
        <f t="shared" si="194"/>
        <v>2.6152177669688914E-2</v>
      </c>
      <c r="W101" s="84">
        <f t="shared" si="195"/>
        <v>3.8888158404277728E-2</v>
      </c>
      <c r="X101" s="84">
        <f t="shared" si="196"/>
        <v>-2.7308136411252182E-2</v>
      </c>
      <c r="Y101" s="84">
        <f t="shared" si="197"/>
        <v>6.0905750533894798E-2</v>
      </c>
      <c r="Z101" s="84">
        <f t="shared" si="198"/>
        <v>-3.1580426140650819E-2</v>
      </c>
      <c r="AA101" s="84">
        <f t="shared" si="199"/>
        <v>1.4283703412016902E-3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6.1736133337437327E-2</v>
      </c>
      <c r="F102" s="84">
        <f t="shared" si="178"/>
        <v>6.4222316950145908E-2</v>
      </c>
      <c r="G102" s="84">
        <f t="shared" si="179"/>
        <v>5.4092504229928506E-2</v>
      </c>
      <c r="H102" s="84">
        <f t="shared" si="180"/>
        <v>7.4247979279969512E-2</v>
      </c>
      <c r="I102" s="84">
        <f t="shared" si="181"/>
        <v>0.1109140909587214</v>
      </c>
      <c r="J102" s="84">
        <f t="shared" si="182"/>
        <v>8.6913036244115061E-2</v>
      </c>
      <c r="K102" s="84">
        <f t="shared" si="183"/>
        <v>8.2668044158425102E-2</v>
      </c>
      <c r="L102" s="84">
        <f t="shared" si="184"/>
        <v>2.0642864230364877E-2</v>
      </c>
      <c r="M102" s="84">
        <f t="shared" si="185"/>
        <v>-9.4790677190444428E-2</v>
      </c>
      <c r="N102" s="84">
        <f t="shared" si="186"/>
        <v>2.9023900919462609E-3</v>
      </c>
      <c r="O102" s="84">
        <f t="shared" si="187"/>
        <v>3.9146877970279936E-2</v>
      </c>
      <c r="P102" s="84">
        <f t="shared" si="188"/>
        <v>7.0829956430740193E-2</v>
      </c>
      <c r="Q102" s="84">
        <f t="shared" si="189"/>
        <v>2.5223136266087742E-2</v>
      </c>
      <c r="R102" s="84">
        <f t="shared" si="190"/>
        <v>3.4558753718544111E-2</v>
      </c>
      <c r="S102" s="84">
        <f t="shared" si="191"/>
        <v>6.8040195270206105E-2</v>
      </c>
      <c r="T102" s="84">
        <f t="shared" si="192"/>
        <v>4.2217519766331257E-2</v>
      </c>
      <c r="U102" s="84">
        <f t="shared" si="193"/>
        <v>7.7830400295879398E-2</v>
      </c>
      <c r="V102" s="84">
        <f t="shared" si="194"/>
        <v>5.0393900447184947E-2</v>
      </c>
      <c r="W102" s="84">
        <f t="shared" si="195"/>
        <v>5.5933109760590405E-2</v>
      </c>
      <c r="X102" s="84">
        <f t="shared" si="196"/>
        <v>1.1574213992256777E-2</v>
      </c>
      <c r="Y102" s="84">
        <f t="shared" si="197"/>
        <v>6.006506792897337E-2</v>
      </c>
      <c r="Z102" s="84">
        <f t="shared" si="198"/>
        <v>1.0506772636788897E-2</v>
      </c>
      <c r="AA102" s="84">
        <f t="shared" si="199"/>
        <v>3.6376442586189661E-2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0.11657380707506571</v>
      </c>
      <c r="F103" s="84">
        <f t="shared" si="178"/>
        <v>0.12812079000348042</v>
      </c>
      <c r="G103" s="84">
        <f t="shared" si="179"/>
        <v>7.0261300197096643E-2</v>
      </c>
      <c r="H103" s="84">
        <f t="shared" si="180"/>
        <v>4.6291961461702114E-2</v>
      </c>
      <c r="I103" s="84">
        <f t="shared" si="181"/>
        <v>9.0440075427601574E-2</v>
      </c>
      <c r="J103" s="84">
        <f t="shared" si="182"/>
        <v>9.2851329919681591E-2</v>
      </c>
      <c r="K103" s="84">
        <f t="shared" si="183"/>
        <v>1.9148986564294868E-2</v>
      </c>
      <c r="L103" s="84">
        <f t="shared" si="184"/>
        <v>-7.8084974628782611E-2</v>
      </c>
      <c r="M103" s="84">
        <f t="shared" si="185"/>
        <v>-0.2112284554924786</v>
      </c>
      <c r="N103" s="84">
        <f t="shared" si="186"/>
        <v>3.6858229799936915E-2</v>
      </c>
      <c r="O103" s="84">
        <f t="shared" si="187"/>
        <v>9.3776361557849075E-2</v>
      </c>
      <c r="P103" s="84">
        <f t="shared" si="188"/>
        <v>5.8937855670799788E-2</v>
      </c>
      <c r="Q103" s="84">
        <f t="shared" si="189"/>
        <v>-7.0386229685328594E-3</v>
      </c>
      <c r="R103" s="84">
        <f t="shared" si="190"/>
        <v>5.5786974871091077E-2</v>
      </c>
      <c r="S103" s="84">
        <f t="shared" si="191"/>
        <v>-2.404355631233257E-2</v>
      </c>
      <c r="T103" s="84">
        <f t="shared" si="192"/>
        <v>8.3050140526491401E-2</v>
      </c>
      <c r="U103" s="84">
        <f t="shared" si="193"/>
        <v>7.2046434123590686E-2</v>
      </c>
      <c r="V103" s="84">
        <f t="shared" si="194"/>
        <v>8.1225340984270256E-2</v>
      </c>
      <c r="W103" s="84">
        <f t="shared" si="195"/>
        <v>3.2633543519676955E-2</v>
      </c>
      <c r="X103" s="84">
        <f t="shared" si="196"/>
        <v>-5.4224409753575786E-2</v>
      </c>
      <c r="Y103" s="84">
        <f t="shared" si="197"/>
        <v>6.4281396626953313E-2</v>
      </c>
      <c r="Z103" s="84">
        <f t="shared" si="198"/>
        <v>-6.6804811206272241E-2</v>
      </c>
      <c r="AA103" s="84">
        <f t="shared" si="199"/>
        <v>-4.7763504357162478E-2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2.2418677966540734E-2</v>
      </c>
      <c r="F104" s="83">
        <f t="shared" si="178"/>
        <v>0.15942439224216298</v>
      </c>
      <c r="G104" s="83">
        <f t="shared" si="179"/>
        <v>0.18925010046737789</v>
      </c>
      <c r="H104" s="83">
        <f t="shared" si="180"/>
        <v>4.3700946879514868E-2</v>
      </c>
      <c r="I104" s="83">
        <f t="shared" si="181"/>
        <v>7.9512281071618007E-2</v>
      </c>
      <c r="J104" s="83">
        <f t="shared" si="182"/>
        <v>3.7085139596910732E-2</v>
      </c>
      <c r="K104" s="83">
        <f t="shared" si="183"/>
        <v>-1.3794130988898479E-2</v>
      </c>
      <c r="L104" s="83">
        <f t="shared" si="184"/>
        <v>4.8905445070164921E-2</v>
      </c>
      <c r="M104" s="83">
        <f t="shared" si="185"/>
        <v>8.6835895750585035E-2</v>
      </c>
      <c r="N104" s="83">
        <f t="shared" si="186"/>
        <v>0.15111009766335992</v>
      </c>
      <c r="O104" s="83">
        <f t="shared" si="187"/>
        <v>8.0928317934031213E-2</v>
      </c>
      <c r="P104" s="83">
        <f t="shared" si="188"/>
        <v>5.950982896032464E-4</v>
      </c>
      <c r="Q104" s="83">
        <f t="shared" si="189"/>
        <v>8.6891268688725765E-2</v>
      </c>
      <c r="R104" s="83">
        <f t="shared" si="190"/>
        <v>-3.1717668859144621E-2</v>
      </c>
      <c r="S104" s="83">
        <f t="shared" si="191"/>
        <v>-0.16859788692175892</v>
      </c>
      <c r="T104" s="83">
        <f t="shared" si="192"/>
        <v>1.9632220414167012E-2</v>
      </c>
      <c r="U104" s="83">
        <f t="shared" si="193"/>
        <v>1.8857193614161272E-2</v>
      </c>
      <c r="V104" s="83">
        <f t="shared" si="194"/>
        <v>0.12172028915678124</v>
      </c>
      <c r="W104" s="83">
        <f t="shared" si="195"/>
        <v>-0.13381790821053663</v>
      </c>
      <c r="X104" s="83">
        <f t="shared" si="196"/>
        <v>-0.14305354672415527</v>
      </c>
      <c r="Y104" s="83">
        <f t="shared" si="197"/>
        <v>0.5975773279920924</v>
      </c>
      <c r="Z104" s="83">
        <f t="shared" si="198"/>
        <v>0.40804488591977317</v>
      </c>
      <c r="AA104" s="83">
        <f t="shared" si="199"/>
        <v>-0.27736392665243237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4.9742019696721984E-2</v>
      </c>
      <c r="F105" s="83">
        <f t="shared" si="178"/>
        <v>0.12993168788549325</v>
      </c>
      <c r="G105" s="83">
        <f t="shared" si="179"/>
        <v>0.13393750683240135</v>
      </c>
      <c r="H105" s="83">
        <f t="shared" si="180"/>
        <v>0.12458588853851205</v>
      </c>
      <c r="I105" s="83">
        <f t="shared" si="181"/>
        <v>0.33485188527711074</v>
      </c>
      <c r="J105" s="83">
        <f t="shared" si="182"/>
        <v>0.25787751206668408</v>
      </c>
      <c r="K105" s="83">
        <f t="shared" si="183"/>
        <v>0.15084457515081739</v>
      </c>
      <c r="L105" s="83">
        <f t="shared" si="184"/>
        <v>-0.11608378879630188</v>
      </c>
      <c r="M105" s="83">
        <f t="shared" si="185"/>
        <v>-0.37226425193020984</v>
      </c>
      <c r="N105" s="83">
        <f t="shared" si="186"/>
        <v>-0.14725675598260179</v>
      </c>
      <c r="O105" s="83">
        <f t="shared" si="187"/>
        <v>0.27241494907624486</v>
      </c>
      <c r="P105" s="83">
        <f t="shared" si="188"/>
        <v>9.7426537253185286E-2</v>
      </c>
      <c r="Q105" s="83">
        <f t="shared" si="189"/>
        <v>-3.570903145031723E-2</v>
      </c>
      <c r="R105" s="83">
        <f t="shared" si="190"/>
        <v>-9.6264462779623527E-2</v>
      </c>
      <c r="S105" s="83">
        <f t="shared" si="191"/>
        <v>8.1340978593273938E-3</v>
      </c>
      <c r="T105" s="83">
        <f t="shared" si="192"/>
        <v>9.6007214517632278E-2</v>
      </c>
      <c r="U105" s="83">
        <f t="shared" si="193"/>
        <v>8.3777420155280113E-2</v>
      </c>
      <c r="V105" s="83">
        <f t="shared" si="194"/>
        <v>8.0132948694633388E-2</v>
      </c>
      <c r="W105" s="83">
        <f t="shared" si="195"/>
        <v>3.8699564635620742E-2</v>
      </c>
      <c r="X105" s="83">
        <f t="shared" si="196"/>
        <v>-2.4420381266978541E-2</v>
      </c>
      <c r="Y105" s="83">
        <f t="shared" si="197"/>
        <v>3.4327666113203037E-2</v>
      </c>
      <c r="Z105" s="83">
        <f t="shared" si="198"/>
        <v>-2.8113720142858178E-2</v>
      </c>
      <c r="AA105" s="83">
        <f t="shared" si="199"/>
        <v>-2.2867865271989141E-2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9.4305767106112715E-2</v>
      </c>
      <c r="F106" s="83">
        <f t="shared" si="178"/>
        <v>3.4798810692953763E-2</v>
      </c>
      <c r="G106" s="83">
        <f t="shared" si="179"/>
        <v>8.2364647148909009E-2</v>
      </c>
      <c r="H106" s="83">
        <f t="shared" si="180"/>
        <v>2.2122916730064279E-2</v>
      </c>
      <c r="I106" s="83">
        <f t="shared" si="181"/>
        <v>8.5138132581215498E-2</v>
      </c>
      <c r="J106" s="83">
        <f t="shared" si="182"/>
        <v>8.8335941774587701E-2</v>
      </c>
      <c r="K106" s="83">
        <f t="shared" si="183"/>
        <v>3.0445450488413073E-2</v>
      </c>
      <c r="L106" s="83">
        <f t="shared" si="184"/>
        <v>-7.2640878552283406E-2</v>
      </c>
      <c r="M106" s="83">
        <f t="shared" si="185"/>
        <v>-0.21528813697540328</v>
      </c>
      <c r="N106" s="83">
        <f t="shared" si="186"/>
        <v>0.14316896849193417</v>
      </c>
      <c r="O106" s="83">
        <f t="shared" si="187"/>
        <v>0.11470128142106017</v>
      </c>
      <c r="P106" s="83">
        <f t="shared" si="188"/>
        <v>-3.0674817954929545E-2</v>
      </c>
      <c r="Q106" s="83">
        <f t="shared" si="189"/>
        <v>1.0390400045755976E-2</v>
      </c>
      <c r="R106" s="83">
        <f t="shared" si="190"/>
        <v>7.0175487087319244E-2</v>
      </c>
      <c r="S106" s="83">
        <f t="shared" si="191"/>
        <v>1.069895185342995E-2</v>
      </c>
      <c r="T106" s="83">
        <f t="shared" si="192"/>
        <v>4.7354459641384405E-2</v>
      </c>
      <c r="U106" s="83">
        <f t="shared" si="193"/>
        <v>3.7145160493917917E-2</v>
      </c>
      <c r="V106" s="83">
        <f t="shared" si="194"/>
        <v>7.4477461558162261E-3</v>
      </c>
      <c r="W106" s="83">
        <f t="shared" si="195"/>
        <v>-1.1181109903328768E-2</v>
      </c>
      <c r="X106" s="83">
        <f t="shared" si="196"/>
        <v>-2.4636364401105171E-2</v>
      </c>
      <c r="Y106" s="83">
        <f t="shared" si="197"/>
        <v>0.11403868117204952</v>
      </c>
      <c r="Z106" s="83">
        <f t="shared" si="198"/>
        <v>-8.8508705068798821E-2</v>
      </c>
      <c r="AA106" s="83">
        <f t="shared" si="199"/>
        <v>-8.9886598648875826E-2</v>
      </c>
    </row>
    <row r="107" spans="1:27" x14ac:dyDescent="0.25">
      <c r="A107" s="85" t="s">
        <v>158</v>
      </c>
      <c r="B107" s="86"/>
      <c r="C107" s="86"/>
      <c r="D107" s="87"/>
      <c r="E107" s="87">
        <f t="shared" ref="E107:E108" si="200">IF(D33=0,"",E33/D33-1)</f>
        <v>0.8666518871584552</v>
      </c>
      <c r="F107" s="87">
        <f t="shared" ref="F107:F108" si="201">IF(E33=0,"",F33/E33-1)</f>
        <v>0.294554430519961</v>
      </c>
      <c r="G107" s="87">
        <f t="shared" ref="G107:G108" si="202">IF(F33=0,"",G33/F33-1)</f>
        <v>-3.9700805523590232E-2</v>
      </c>
      <c r="H107" s="87">
        <f t="shared" ref="H107:H108" si="203">IF(G33=0,"",H33/G33-1)</f>
        <v>0.51183922700699713</v>
      </c>
      <c r="I107" s="87">
        <f t="shared" ref="I107:I108" si="204">IF(H33=0,"",I33/H33-1)</f>
        <v>-0.27614421581376358</v>
      </c>
      <c r="J107" s="87">
        <f t="shared" ref="J107:J108" si="205">IF(I33=0,"",J33/I33-1)</f>
        <v>0.68103899602906126</v>
      </c>
      <c r="K107" s="87">
        <f t="shared" ref="K107:K108" si="206">IF(J33=0,"",K33/J33-1)</f>
        <v>0.52028148206301217</v>
      </c>
      <c r="L107" s="87">
        <f t="shared" ref="L107:L108" si="207">IF(K33=0,"",L33/K33-1)</f>
        <v>0.80902785964085044</v>
      </c>
      <c r="M107" s="87">
        <f t="shared" ref="M107:M108" si="208">IF(L33=0,"",M33/L33-1)</f>
        <v>-0.53947619582992279</v>
      </c>
      <c r="N107" s="87">
        <f t="shared" ref="N107:N108" si="209">IF(M33=0,"",N33/M33-1)</f>
        <v>0.46535002563585359</v>
      </c>
      <c r="O107" s="87">
        <f t="shared" ref="O107:O108" si="210">IF(N33=0,"",O33/N33-1)</f>
        <v>1.8607652562861787E-2</v>
      </c>
      <c r="P107" s="87">
        <f t="shared" ref="P107:P108" si="211">IF(O33=0,"",P33/O33-1)</f>
        <v>-0.24448938839251422</v>
      </c>
      <c r="Q107" s="87">
        <f t="shared" ref="Q107:Q108" si="212">IF(P33=0,"",Q33/P33-1)</f>
        <v>5.4786477114159737E-2</v>
      </c>
      <c r="R107" s="87">
        <f t="shared" ref="R107:R108" si="213">IF(Q33=0,"",R33/Q33-1)</f>
        <v>0.22379502815481533</v>
      </c>
      <c r="S107" s="87">
        <f t="shared" ref="S107:S108" si="214">IF(R33=0,"",S33/R33-1)</f>
        <v>0.10036666666666672</v>
      </c>
      <c r="T107" s="87">
        <f t="shared" ref="T107:T108" si="215">IF(S33=0,"",T33/S33-1)</f>
        <v>0.33828171156438569</v>
      </c>
      <c r="U107" s="87">
        <f t="shared" ref="U107:U108" si="216">IF(T33=0,"",U33/T33-1)</f>
        <v>0.71369333728234863</v>
      </c>
      <c r="V107" s="87">
        <f t="shared" ref="V107:V108" si="217">IF(U33=0,"",V33/U33-1)</f>
        <v>4.2726932229152137E-2</v>
      </c>
      <c r="W107" s="87">
        <f t="shared" ref="W107:W108" si="218">IF(V33=0,"",W33/V33-1)</f>
        <v>-5.3680254546540573E-2</v>
      </c>
      <c r="X107" s="87">
        <f t="shared" ref="X107:X108" si="219">IF(W33=0,"",X33/W33-1)</f>
        <v>-0.29045365812889734</v>
      </c>
      <c r="Y107" s="87">
        <f t="shared" ref="Y107:Y108" si="220">IF(X33=0,"",Y33/X33-1)</f>
        <v>0.60086857704412799</v>
      </c>
      <c r="Z107" s="87">
        <f t="shared" si="198"/>
        <v>-0.13613771706723765</v>
      </c>
      <c r="AA107" s="87">
        <f t="shared" si="199"/>
        <v>-0.20597968457145344</v>
      </c>
    </row>
    <row r="108" spans="1:27" x14ac:dyDescent="0.25">
      <c r="A108" s="88" t="s">
        <v>5</v>
      </c>
      <c r="B108" s="44"/>
      <c r="C108" s="44"/>
      <c r="D108" s="89"/>
      <c r="E108" s="89" t="str">
        <f t="shared" si="200"/>
        <v/>
      </c>
      <c r="F108" s="89" t="str">
        <f t="shared" si="201"/>
        <v/>
      </c>
      <c r="G108" s="89" t="str">
        <f t="shared" si="202"/>
        <v/>
      </c>
      <c r="H108" s="89" t="str">
        <f t="shared" si="203"/>
        <v/>
      </c>
      <c r="I108" s="89" t="str">
        <f t="shared" si="204"/>
        <v/>
      </c>
      <c r="J108" s="89" t="str">
        <f t="shared" si="205"/>
        <v/>
      </c>
      <c r="K108" s="89" t="str">
        <f t="shared" si="206"/>
        <v/>
      </c>
      <c r="L108" s="89" t="str">
        <f t="shared" si="207"/>
        <v/>
      </c>
      <c r="M108" s="89" t="str">
        <f t="shared" si="208"/>
        <v/>
      </c>
      <c r="N108" s="89" t="str">
        <f t="shared" si="209"/>
        <v/>
      </c>
      <c r="O108" s="89" t="str">
        <f t="shared" si="210"/>
        <v/>
      </c>
      <c r="P108" s="89" t="str">
        <f t="shared" si="211"/>
        <v/>
      </c>
      <c r="Q108" s="89" t="str">
        <f t="shared" si="212"/>
        <v/>
      </c>
      <c r="R108" s="89" t="str">
        <f t="shared" si="213"/>
        <v/>
      </c>
      <c r="S108" s="89" t="str">
        <f t="shared" si="214"/>
        <v/>
      </c>
      <c r="T108" s="89" t="str">
        <f t="shared" si="215"/>
        <v/>
      </c>
      <c r="U108" s="89" t="str">
        <f t="shared" si="216"/>
        <v/>
      </c>
      <c r="V108" s="89" t="str">
        <f t="shared" si="217"/>
        <v/>
      </c>
      <c r="W108" s="89" t="str">
        <f t="shared" si="218"/>
        <v/>
      </c>
      <c r="X108" s="89" t="str">
        <f t="shared" si="219"/>
        <v/>
      </c>
      <c r="Y108" s="89" t="str">
        <f t="shared" si="220"/>
        <v/>
      </c>
      <c r="Z108" s="89" t="str">
        <f t="shared" si="198"/>
        <v/>
      </c>
      <c r="AA108" s="89" t="str">
        <f t="shared" si="199"/>
        <v/>
      </c>
    </row>
    <row r="109" spans="1:27" x14ac:dyDescent="0.25">
      <c r="A109" s="88" t="s">
        <v>263</v>
      </c>
      <c r="B109" s="44"/>
      <c r="C109" s="44"/>
      <c r="D109" s="89"/>
      <c r="E109" s="89">
        <f t="shared" ref="E109" si="221">IF(D37=0,"",E37/D37-1)</f>
        <v>0.8666518871584552</v>
      </c>
      <c r="F109" s="89">
        <f t="shared" ref="F109" si="222">IF(E37=0,"",F37/E37-1)</f>
        <v>0.294554430519961</v>
      </c>
      <c r="G109" s="89">
        <f t="shared" ref="G109" si="223">IF(F37=0,"",G37/F37-1)</f>
        <v>-3.9700805523590232E-2</v>
      </c>
      <c r="H109" s="89">
        <f t="shared" ref="H109" si="224">IF(G37=0,"",H37/G37-1)</f>
        <v>0.51183922700699713</v>
      </c>
      <c r="I109" s="89">
        <f t="shared" ref="I109" si="225">IF(H37=0,"",I37/H37-1)</f>
        <v>-0.27614421581376358</v>
      </c>
      <c r="J109" s="89">
        <f t="shared" ref="J109" si="226">IF(I37=0,"",J37/I37-1)</f>
        <v>0.68103899602906126</v>
      </c>
      <c r="K109" s="89">
        <f t="shared" ref="K109" si="227">IF(J37=0,"",K37/J37-1)</f>
        <v>0.52028148206301217</v>
      </c>
      <c r="L109" s="89">
        <f t="shared" ref="L109" si="228">IF(K37=0,"",L37/K37-1)</f>
        <v>0.80902785964085044</v>
      </c>
      <c r="M109" s="89">
        <f t="shared" ref="M109" si="229">IF(L37=0,"",M37/L37-1)</f>
        <v>-0.53947619582992279</v>
      </c>
      <c r="N109" s="89">
        <f t="shared" ref="N109" si="230">IF(M37=0,"",N37/M37-1)</f>
        <v>0.46535002563585359</v>
      </c>
      <c r="O109" s="89">
        <f t="shared" ref="O109" si="231">IF(N37=0,"",O37/N37-1)</f>
        <v>1.8607652562861787E-2</v>
      </c>
      <c r="P109" s="89">
        <f t="shared" ref="P109" si="232">IF(O37=0,"",P37/O37-1)</f>
        <v>-0.24448938839251433</v>
      </c>
      <c r="Q109" s="89">
        <f t="shared" ref="Q109" si="233">IF(P37=0,"",Q37/P37-1)</f>
        <v>5.4786477114159959E-2</v>
      </c>
      <c r="R109" s="89">
        <f t="shared" ref="R109" si="234">IF(Q37=0,"",R37/Q37-1)</f>
        <v>0.22379502815481533</v>
      </c>
      <c r="S109" s="89">
        <f t="shared" ref="S109" si="235">IF(R37=0,"",S37/R37-1)</f>
        <v>0.10036666666666672</v>
      </c>
      <c r="T109" s="89">
        <f t="shared" ref="T109" si="236">IF(S37=0,"",T37/S37-1)</f>
        <v>0.33828171156438569</v>
      </c>
      <c r="U109" s="89">
        <f t="shared" ref="U109" si="237">IF(T37=0,"",U37/T37-1)</f>
        <v>0.71369333728234863</v>
      </c>
      <c r="V109" s="89">
        <f t="shared" ref="V109" si="238">IF(U37=0,"",V37/U37-1)</f>
        <v>4.2726932229152137E-2</v>
      </c>
      <c r="W109" s="89">
        <f t="shared" ref="W109" si="239">IF(V37=0,"",W37/V37-1)</f>
        <v>-5.3680254546540573E-2</v>
      </c>
      <c r="X109" s="89">
        <f t="shared" ref="X109" si="240">IF(W37=0,"",X37/W37-1)</f>
        <v>-0.29045365812889734</v>
      </c>
      <c r="Y109" s="89">
        <f t="shared" ref="Y109" si="241">IF(X37=0,"",Y37/X37-1)</f>
        <v>0.60086857704412799</v>
      </c>
      <c r="Z109" s="89">
        <f t="shared" ref="Z109" si="242">IF(Y37=0,"",Z37/Y37-1)</f>
        <v>-0.13613771706723765</v>
      </c>
      <c r="AA109" s="89">
        <f t="shared" ref="AA109" si="243">IF(Z37=0,"",AA37/Z37-1)</f>
        <v>-0.20597968457145344</v>
      </c>
    </row>
    <row r="110" spans="1:27" x14ac:dyDescent="0.25">
      <c r="A110" s="68" t="s">
        <v>265</v>
      </c>
      <c r="B110" s="44"/>
      <c r="C110" s="44"/>
      <c r="D110" s="89"/>
      <c r="E110" s="89">
        <f t="shared" ref="E110:E111" si="244">IF(D43=0,"",E43/D43-1)</f>
        <v>0.22327073784306872</v>
      </c>
      <c r="F110" s="89">
        <f t="shared" ref="F110:F111" si="245">IF(E43=0,"",F43/E43-1)</f>
        <v>-0.11048008261667941</v>
      </c>
      <c r="G110" s="89">
        <f t="shared" ref="G110:G111" si="246">IF(F43=0,"",G43/F43-1)</f>
        <v>0.14380720381049183</v>
      </c>
      <c r="H110" s="89">
        <f t="shared" ref="H110:H111" si="247">IF(G43=0,"",H43/G43-1)</f>
        <v>2.3121105130280206E-2</v>
      </c>
      <c r="I110" s="89">
        <f t="shared" ref="I110:I111" si="248">IF(H43=0,"",I43/H43-1)</f>
        <v>0.19327474627227836</v>
      </c>
      <c r="J110" s="89">
        <f t="shared" ref="J110:J111" si="249">IF(I43=0,"",J43/I43-1)</f>
        <v>-3.4835989180546423E-2</v>
      </c>
      <c r="K110" s="89">
        <f t="shared" ref="K110:K111" si="250">IF(J43=0,"",K43/J43-1)</f>
        <v>4.0977483455137076E-2</v>
      </c>
      <c r="L110" s="89">
        <f t="shared" ref="L110:L111" si="251">IF(K43=0,"",L43/K43-1)</f>
        <v>0.20390542372578002</v>
      </c>
      <c r="M110" s="89">
        <f t="shared" ref="M110:M111" si="252">IF(L43=0,"",M43/L43-1)</f>
        <v>-0.43137191395700103</v>
      </c>
      <c r="N110" s="89">
        <f t="shared" ref="N110:N111" si="253">IF(M43=0,"",N43/M43-1)</f>
        <v>0.36159834947580305</v>
      </c>
      <c r="O110" s="89">
        <f t="shared" ref="O110:O111" si="254">IF(N43=0,"",O43/N43-1)</f>
        <v>0.17209214432630482</v>
      </c>
      <c r="P110" s="89">
        <f t="shared" ref="P110:P111" si="255">IF(O43=0,"",P43/O43-1)</f>
        <v>-0.34237167864732432</v>
      </c>
      <c r="Q110" s="89">
        <f t="shared" ref="Q110:Q111" si="256">IF(P43=0,"",Q43/P43-1)</f>
        <v>6.8133638418272024E-2</v>
      </c>
      <c r="R110" s="89">
        <f t="shared" ref="R110:R111" si="257">IF(Q43=0,"",R43/Q43-1)</f>
        <v>4.6579184646637239E-2</v>
      </c>
      <c r="S110" s="89">
        <f t="shared" ref="S110:S111" si="258">IF(R43=0,"",S43/R43-1)</f>
        <v>9.403436792452835E-2</v>
      </c>
      <c r="T110" s="89">
        <f t="shared" ref="T110:T111" si="259">IF(S43=0,"",T43/S43-1)</f>
        <v>9.7139575663373723E-2</v>
      </c>
      <c r="U110" s="89">
        <f t="shared" ref="U110:U111" si="260">IF(T43=0,"",U43/T43-1)</f>
        <v>-9.6777609602473613E-2</v>
      </c>
      <c r="V110" s="89">
        <f t="shared" ref="V110:V111" si="261">IF(U43=0,"",V43/U43-1)</f>
        <v>6.2288785150367509E-2</v>
      </c>
      <c r="W110" s="89">
        <f t="shared" ref="W110:W111" si="262">IF(V43=0,"",W43/V43-1)</f>
        <v>-9.2841447396087018E-2</v>
      </c>
      <c r="X110" s="89">
        <f t="shared" ref="X110:X111" si="263">IF(W43=0,"",X43/W43-1)</f>
        <v>0.16271504768692369</v>
      </c>
      <c r="Y110" s="89">
        <f t="shared" ref="Y110:Y111" si="264">IF(X43=0,"",Y43/X43-1)</f>
        <v>4.2051825121982578E-3</v>
      </c>
      <c r="Z110" s="89">
        <f t="shared" ref="Z110:Z111" si="265">IF(Y43=0,"",Z43/Y43-1)</f>
        <v>-0.24119961038057447</v>
      </c>
      <c r="AA110" s="89">
        <f t="shared" ref="AA110:AA111" si="266">IF(Z43=0,"",AA43/Z43-1)</f>
        <v>-0.23737703054160975</v>
      </c>
    </row>
    <row r="111" spans="1:27" x14ac:dyDescent="0.25">
      <c r="A111" s="88" t="s">
        <v>266</v>
      </c>
      <c r="B111" s="44"/>
      <c r="C111" s="44"/>
      <c r="D111" s="89"/>
      <c r="E111" s="89">
        <f t="shared" si="244"/>
        <v>0.2258609408204777</v>
      </c>
      <c r="F111" s="89">
        <f t="shared" si="245"/>
        <v>-0.1256079723680964</v>
      </c>
      <c r="G111" s="89">
        <f t="shared" si="246"/>
        <v>0.17458083291329474</v>
      </c>
      <c r="H111" s="89">
        <f t="shared" si="247"/>
        <v>3.1898373298356875E-2</v>
      </c>
      <c r="I111" s="89">
        <f t="shared" si="248"/>
        <v>0.22533581022121529</v>
      </c>
      <c r="J111" s="89">
        <f t="shared" si="249"/>
        <v>-4.4965279372378597E-2</v>
      </c>
      <c r="K111" s="89">
        <f t="shared" si="250"/>
        <v>3.4463942102247458E-2</v>
      </c>
      <c r="L111" s="89">
        <f t="shared" si="251"/>
        <v>0.19157523688918277</v>
      </c>
      <c r="M111" s="89">
        <f t="shared" si="252"/>
        <v>-0.45628479894758633</v>
      </c>
      <c r="N111" s="89">
        <f t="shared" si="253"/>
        <v>0.38046549748718173</v>
      </c>
      <c r="O111" s="89">
        <f t="shared" si="254"/>
        <v>0.18070823072803122</v>
      </c>
      <c r="P111" s="89">
        <f t="shared" si="255"/>
        <v>-0.36645890231770706</v>
      </c>
      <c r="Q111" s="89">
        <f t="shared" si="256"/>
        <v>9.1565487522875966E-2</v>
      </c>
      <c r="R111" s="89">
        <f t="shared" si="257"/>
        <v>5.6264508637526855E-2</v>
      </c>
      <c r="S111" s="89">
        <f t="shared" si="258"/>
        <v>9.9100554393305673E-2</v>
      </c>
      <c r="T111" s="89">
        <f t="shared" si="259"/>
        <v>7.4292484490663613E-2</v>
      </c>
      <c r="U111" s="89">
        <f t="shared" si="260"/>
        <v>-9.1457795995665725E-2</v>
      </c>
      <c r="V111" s="89">
        <f t="shared" si="261"/>
        <v>8.1419315248975943E-2</v>
      </c>
      <c r="W111" s="89">
        <f t="shared" si="262"/>
        <v>-0.11112863421376762</v>
      </c>
      <c r="X111" s="89">
        <f t="shared" si="263"/>
        <v>0.12629564142760419</v>
      </c>
      <c r="Y111" s="89">
        <f t="shared" si="264"/>
        <v>3.5013853867313482E-2</v>
      </c>
      <c r="Z111" s="89">
        <f t="shared" si="265"/>
        <v>-0.26133308047604087</v>
      </c>
      <c r="AA111" s="89">
        <f t="shared" si="266"/>
        <v>-0.28557409165665426</v>
      </c>
    </row>
    <row r="112" spans="1:27" x14ac:dyDescent="0.25">
      <c r="A112" s="88" t="s">
        <v>11</v>
      </c>
      <c r="B112" s="44"/>
      <c r="C112" s="44"/>
      <c r="D112" s="89"/>
      <c r="E112" s="89">
        <f t="shared" ref="E112:E113" si="267">IF(D47=0,"",E47/D47-1)</f>
        <v>0.19657172253747102</v>
      </c>
      <c r="F112" s="89">
        <f t="shared" ref="F112:F113" si="268">IF(E47=0,"",F47/E47-1)</f>
        <v>4.9270433158284055E-2</v>
      </c>
      <c r="G112" s="89">
        <f t="shared" ref="G112:G113" si="269">IF(F47=0,"",G47/F47-1)</f>
        <v>-0.12700073229417286</v>
      </c>
      <c r="H112" s="89">
        <f t="shared" ref="H112:H113" si="270">IF(G47=0,"",H47/G47-1)</f>
        <v>-8.0801749979745874E-2</v>
      </c>
      <c r="I112" s="89">
        <f t="shared" ref="I112:I113" si="271">IF(H47=0,"",I47/H47-1)</f>
        <v>-0.23287022871567331</v>
      </c>
      <c r="J112" s="89">
        <f t="shared" ref="J112:J113" si="272">IF(I47=0,"",J47/I47-1)</f>
        <v>0.18021663335373628</v>
      </c>
      <c r="K112" s="89">
        <f t="shared" ref="K112:K113" si="273">IF(J47=0,"",K47/J47-1)</f>
        <v>0.15288012389778416</v>
      </c>
      <c r="L112" s="89">
        <f t="shared" ref="L112:L113" si="274">IF(K47=0,"",L47/K47-1)</f>
        <v>0.39397999619147805</v>
      </c>
      <c r="M112" s="89">
        <f t="shared" ref="M112:M113" si="275">IF(L47=0,"",M47/L47-1)</f>
        <v>-0.1030927523623093</v>
      </c>
      <c r="N112" s="89">
        <f t="shared" ref="N112:N113" si="276">IF(M47=0,"",N47/M47-1)</f>
        <v>0.21088577428966881</v>
      </c>
      <c r="O112" s="89">
        <f t="shared" ref="O112:O113" si="277">IF(N47=0,"",O47/N47-1)</f>
        <v>9.3627202143592214E-2</v>
      </c>
      <c r="P112" s="89">
        <f t="shared" ref="P112:P113" si="278">IF(O47=0,"",P47/O47-1)</f>
        <v>-0.10554771482927583</v>
      </c>
      <c r="Q112" s="89">
        <f t="shared" ref="Q112:Q113" si="279">IF(P47=0,"",Q47/P47-1)</f>
        <v>-9.5044914355230659E-2</v>
      </c>
      <c r="R112" s="89">
        <f t="shared" ref="R112:R113" si="280">IF(Q47=0,"",R47/Q47-1)</f>
        <v>-3.4777536876837156E-2</v>
      </c>
      <c r="S112" s="89">
        <f t="shared" ref="S112:S113" si="281">IF(R47=0,"",S47/R47-1)</f>
        <v>4.7464423076923001E-2</v>
      </c>
      <c r="T112" s="89">
        <f t="shared" ref="T112:T113" si="282">IF(S47=0,"",T47/S47-1)</f>
        <v>0.31751015506560409</v>
      </c>
      <c r="U112" s="89">
        <f t="shared" ref="U112:U113" si="283">IF(T47=0,"",U47/T47-1)</f>
        <v>-0.13861722472628701</v>
      </c>
      <c r="V112" s="89">
        <f t="shared" ref="V112:V113" si="284">IF(U47=0,"",V47/U47-1)</f>
        <v>-9.6407657713088346E-2</v>
      </c>
      <c r="W112" s="89">
        <f t="shared" ref="W112:W113" si="285">IF(V47=0,"",W47/V47-1)</f>
        <v>8.8713743329845052E-2</v>
      </c>
      <c r="X112" s="89">
        <f t="shared" ref="X112:X113" si="286">IF(W47=0,"",X47/W47-1)</f>
        <v>0.45791741814098552</v>
      </c>
      <c r="Y112" s="89">
        <f t="shared" ref="Y112:Y113" si="287">IF(X47=0,"",Y47/X47-1)</f>
        <v>-0.18871578335435624</v>
      </c>
      <c r="Z112" s="89">
        <f t="shared" ref="Z112:Z113" si="288">IF(Y47=0,"",Z47/Y47-1)</f>
        <v>-8.0358068381961578E-2</v>
      </c>
      <c r="AA112" s="89">
        <f t="shared" ref="AA112:AA113" si="289">IF(Z47=0,"",AA47/Z47-1)</f>
        <v>7.1887444946592716E-2</v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0.11471437784374161</v>
      </c>
      <c r="F113" s="89">
        <f t="shared" si="268"/>
        <v>5.5479133946203296E-2</v>
      </c>
      <c r="G113" s="89">
        <f t="shared" si="269"/>
        <v>0.2555783585533804</v>
      </c>
      <c r="H113" s="89">
        <f t="shared" si="270"/>
        <v>6.6171283094811573E-2</v>
      </c>
      <c r="I113" s="89">
        <f t="shared" si="271"/>
        <v>0.17651491093630733</v>
      </c>
      <c r="J113" s="89">
        <f t="shared" si="272"/>
        <v>0.21634500398712908</v>
      </c>
      <c r="K113" s="89">
        <f t="shared" si="273"/>
        <v>0.13413450774276869</v>
      </c>
      <c r="L113" s="89">
        <f t="shared" si="274"/>
        <v>-0.33482492549810627</v>
      </c>
      <c r="M113" s="89">
        <f t="shared" si="275"/>
        <v>-0.45513201858502372</v>
      </c>
      <c r="N113" s="89">
        <f t="shared" si="276"/>
        <v>0.11282643036090234</v>
      </c>
      <c r="O113" s="89">
        <f t="shared" si="277"/>
        <v>0.16562932643223194</v>
      </c>
      <c r="P113" s="89">
        <f t="shared" si="278"/>
        <v>-3.3038076922349835E-2</v>
      </c>
      <c r="Q113" s="89">
        <f t="shared" si="279"/>
        <v>-6.7219863386529521E-3</v>
      </c>
      <c r="R113" s="89">
        <f t="shared" si="280"/>
        <v>3.384820962295132E-2</v>
      </c>
      <c r="S113" s="89">
        <f t="shared" si="281"/>
        <v>5.4656570996978848E-2</v>
      </c>
      <c r="T113" s="89">
        <f t="shared" si="282"/>
        <v>0.12576785388991674</v>
      </c>
      <c r="U113" s="89">
        <f t="shared" si="283"/>
        <v>0.12427577415428903</v>
      </c>
      <c r="V113" s="89">
        <f t="shared" si="284"/>
        <v>-7.8169170626165241E-2</v>
      </c>
      <c r="W113" s="89">
        <f t="shared" si="285"/>
        <v>-1.2711011694540475E-2</v>
      </c>
      <c r="X113" s="89">
        <f t="shared" si="286"/>
        <v>-0.15485298408795534</v>
      </c>
      <c r="Y113" s="89">
        <f t="shared" si="287"/>
        <v>0.10991765936303133</v>
      </c>
      <c r="Z113" s="89">
        <f t="shared" si="288"/>
        <v>-0.10859917037058908</v>
      </c>
      <c r="AA113" s="89">
        <f t="shared" si="289"/>
        <v>-5.0645355771101741E-2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0.13142794910917299</v>
      </c>
      <c r="F114" s="89">
        <f t="shared" ref="F114:F115" si="291">IF(E52=0,"",F52/E52-1)</f>
        <v>0.13295035283582335</v>
      </c>
      <c r="G114" s="89">
        <f t="shared" ref="G114:G115" si="292">IF(F52=0,"",G52/F52-1)</f>
        <v>8.4600963270513585E-3</v>
      </c>
      <c r="H114" s="89">
        <f t="shared" ref="H114:H115" si="293">IF(G52=0,"",H52/G52-1)</f>
        <v>-4.250182289556903E-2</v>
      </c>
      <c r="I114" s="89">
        <f t="shared" ref="I114:I115" si="294">IF(H52=0,"",I52/H52-1)</f>
        <v>6.7132764329171479E-2</v>
      </c>
      <c r="J114" s="89">
        <f t="shared" ref="J114:J115" si="295">IF(I52=0,"",J52/I52-1)</f>
        <v>0.15748877398671901</v>
      </c>
      <c r="K114" s="89">
        <f t="shared" ref="K114:K115" si="296">IF(J52=0,"",K52/J52-1)</f>
        <v>6.5641975716266288E-2</v>
      </c>
      <c r="L114" s="89">
        <f t="shared" ref="L114:L115" si="297">IF(K52=0,"",L52/K52-1)</f>
        <v>-8.0955190540602628E-2</v>
      </c>
      <c r="M114" s="89">
        <f t="shared" ref="M114:M115" si="298">IF(L52=0,"",M52/L52-1)</f>
        <v>-0.20780441536514249</v>
      </c>
      <c r="N114" s="89">
        <f t="shared" ref="N114:N115" si="299">IF(M52=0,"",N52/M52-1)</f>
        <v>0.37451898703151554</v>
      </c>
      <c r="O114" s="89">
        <f t="shared" ref="O114:O115" si="300">IF(N52=0,"",O52/N52-1)</f>
        <v>-4.7288347712445278E-2</v>
      </c>
      <c r="P114" s="89">
        <f t="shared" ref="P114:P115" si="301">IF(O52=0,"",P52/O52-1)</f>
        <v>-1.1790998804529607E-2</v>
      </c>
      <c r="Q114" s="89">
        <f t="shared" ref="Q114:Q115" si="302">IF(P52=0,"",Q52/P52-1)</f>
        <v>-5.37804145729881E-2</v>
      </c>
      <c r="R114" s="89">
        <f t="shared" ref="R114:R115" si="303">IF(Q52=0,"",R52/Q52-1)</f>
        <v>2.1707386770761783E-3</v>
      </c>
      <c r="S114" s="89">
        <f t="shared" ref="S114:S115" si="304">IF(R52=0,"",S52/R52-1)</f>
        <v>1.6151487730061254E-2</v>
      </c>
      <c r="T114" s="89">
        <f t="shared" ref="T114:T115" si="305">IF(S52=0,"",T52/S52-1)</f>
        <v>2.5337787324568373E-2</v>
      </c>
      <c r="U114" s="89">
        <f t="shared" ref="U114:U115" si="306">IF(T52=0,"",U52/T52-1)</f>
        <v>8.0915862917824155E-2</v>
      </c>
      <c r="V114" s="89">
        <f t="shared" ref="V114:V115" si="307">IF(U52=0,"",V52/U52-1)</f>
        <v>-3.0592942006518187E-2</v>
      </c>
      <c r="W114" s="89">
        <f t="shared" ref="W114:W115" si="308">IF(V52=0,"",W52/V52-1)</f>
        <v>-0.1402902999819029</v>
      </c>
      <c r="X114" s="89">
        <f t="shared" ref="X114:X115" si="309">IF(W52=0,"",X52/W52-1)</f>
        <v>-0.17353100901572249</v>
      </c>
      <c r="Y114" s="89">
        <f t="shared" ref="Y114:Y115" si="310">IF(X52=0,"",Y52/X52-1)</f>
        <v>0.19761474441429727</v>
      </c>
      <c r="Z114" s="89">
        <f t="shared" ref="Z114:Z115" si="311">IF(Y52=0,"",Z52/Y52-1)</f>
        <v>-0.10873900163132078</v>
      </c>
      <c r="AA114" s="89">
        <f t="shared" ref="AA114:AA115" si="312">IF(Z52=0,"",AA52/Z52-1)</f>
        <v>-0.19908929722105329</v>
      </c>
    </row>
    <row r="115" spans="1:27" x14ac:dyDescent="0.25">
      <c r="A115" s="88" t="s">
        <v>21</v>
      </c>
      <c r="B115" s="44"/>
      <c r="C115" s="44"/>
      <c r="D115" s="89"/>
      <c r="E115" s="89">
        <f t="shared" si="290"/>
        <v>6.457490439505631E-2</v>
      </c>
      <c r="F115" s="89">
        <f t="shared" si="291"/>
        <v>0.14552977966221969</v>
      </c>
      <c r="G115" s="89">
        <f t="shared" si="292"/>
        <v>-4.3352133259241921E-2</v>
      </c>
      <c r="H115" s="89">
        <f t="shared" si="293"/>
        <v>-0.13752072596700071</v>
      </c>
      <c r="I115" s="89">
        <f t="shared" si="294"/>
        <v>4.4176637836815136E-2</v>
      </c>
      <c r="J115" s="89">
        <f t="shared" si="295"/>
        <v>0.24506071964604481</v>
      </c>
      <c r="K115" s="89">
        <f t="shared" si="296"/>
        <v>0.1455945445573974</v>
      </c>
      <c r="L115" s="89">
        <f t="shared" si="297"/>
        <v>-4.7880073873236562E-2</v>
      </c>
      <c r="M115" s="89">
        <f t="shared" si="298"/>
        <v>-0.26687581497440949</v>
      </c>
      <c r="N115" s="89">
        <f t="shared" si="299"/>
        <v>0.75892352092645177</v>
      </c>
      <c r="O115" s="89">
        <f t="shared" si="300"/>
        <v>-9.0567759986451946E-2</v>
      </c>
      <c r="P115" s="89">
        <f t="shared" si="301"/>
        <v>-0.11432148550454591</v>
      </c>
      <c r="Q115" s="89">
        <f t="shared" si="302"/>
        <v>-7.6448584573299505E-2</v>
      </c>
      <c r="R115" s="89">
        <f t="shared" si="303"/>
        <v>2.6916980427828641E-2</v>
      </c>
      <c r="S115" s="89">
        <f t="shared" si="304"/>
        <v>5.7724858223062503E-2</v>
      </c>
      <c r="T115" s="89">
        <f t="shared" si="305"/>
        <v>-3.437965703187662E-3</v>
      </c>
      <c r="U115" s="89">
        <f t="shared" si="306"/>
        <v>0.16734956870427076</v>
      </c>
      <c r="V115" s="89">
        <f t="shared" si="307"/>
        <v>4.6180514032652997E-2</v>
      </c>
      <c r="W115" s="89">
        <f t="shared" si="308"/>
        <v>-0.22902396785100954</v>
      </c>
      <c r="X115" s="89">
        <f t="shared" si="309"/>
        <v>-0.27952400782679299</v>
      </c>
      <c r="Y115" s="89">
        <f t="shared" si="310"/>
        <v>0.51261207527681463</v>
      </c>
      <c r="Z115" s="89">
        <f t="shared" si="311"/>
        <v>-0.11851411603913631</v>
      </c>
      <c r="AA115" s="89">
        <f t="shared" si="312"/>
        <v>-0.37870692593845046</v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0.17986487207185342</v>
      </c>
      <c r="F116" s="89">
        <f t="shared" ref="F116:F122" si="314">IF(E56=0,"",F56/E56-1)</f>
        <v>0.12472678723886554</v>
      </c>
      <c r="G116" s="89">
        <f t="shared" ref="G116:G122" si="315">IF(F56=0,"",G56/F56-1)</f>
        <v>4.295785931741869E-2</v>
      </c>
      <c r="H116" s="89">
        <f t="shared" ref="H116:H122" si="316">IF(G56=0,"",H56/G56-1)</f>
        <v>1.5528369656214513E-2</v>
      </c>
      <c r="I116" s="89">
        <f t="shared" ref="I116:I122" si="317">IF(H56=0,"",I56/H56-1)</f>
        <v>7.9039678290041993E-2</v>
      </c>
      <c r="J116" s="89">
        <f t="shared" ref="J116:J122" si="318">IF(I56=0,"",J56/I56-1)</f>
        <v>0.11353439356924988</v>
      </c>
      <c r="K116" s="89">
        <f t="shared" ref="K116:K122" si="319">IF(J56=0,"",K56/J56-1)</f>
        <v>2.0771933107491591E-2</v>
      </c>
      <c r="L116" s="89">
        <f t="shared" ref="L116:L122" si="320">IF(K56=0,"",L56/K56-1)</f>
        <v>-0.10178703197750727</v>
      </c>
      <c r="M116" s="89">
        <f t="shared" ref="M116:M122" si="321">IF(L56=0,"",M56/L56-1)</f>
        <v>-0.16836632564052323</v>
      </c>
      <c r="N116" s="89">
        <f t="shared" ref="N116:N122" si="322">IF(M56=0,"",N56/M56-1)</f>
        <v>0.14827732039209884</v>
      </c>
      <c r="O116" s="89">
        <f t="shared" ref="O116:O122" si="323">IF(N56=0,"",O56/N56-1)</f>
        <v>-8.2702929546483173E-3</v>
      </c>
      <c r="P116" s="89">
        <f t="shared" ref="P116:P122" si="324">IF(O56=0,"",P56/O56-1)</f>
        <v>7.2973559216188866E-2</v>
      </c>
      <c r="Q116" s="89">
        <f t="shared" ref="Q116:Q122" si="325">IF(P56=0,"",Q56/P56-1)</f>
        <v>-3.8311322184324315E-2</v>
      </c>
      <c r="R116" s="89">
        <f t="shared" ref="R116:R122" si="326">IF(Q56=0,"",R56/Q56-1)</f>
        <v>-1.4046772235296379E-2</v>
      </c>
      <c r="S116" s="89">
        <f t="shared" ref="S116:S122" si="327">IF(R56=0,"",S56/R56-1)</f>
        <v>-1.222569032258114E-2</v>
      </c>
      <c r="T116" s="89">
        <f t="shared" ref="T116:T122" si="328">IF(S56=0,"",T56/S56-1)</f>
        <v>4.6370517545373247E-2</v>
      </c>
      <c r="U116" s="89">
        <f t="shared" ref="U116:U122" si="329">IF(T56=0,"",U56/T56-1)</f>
        <v>2.0747120996266188E-2</v>
      </c>
      <c r="V116" s="89">
        <f t="shared" ref="V116:V122" si="330">IF(U56=0,"",V56/U56-1)</f>
        <v>-9.1712703687186981E-2</v>
      </c>
      <c r="W116" s="89">
        <f t="shared" ref="W116:W122" si="331">IF(V56=0,"",W56/V56-1)</f>
        <v>-5.8924409589292126E-2</v>
      </c>
      <c r="X116" s="89">
        <f t="shared" ref="X116:X122" si="332">IF(W56=0,"",X56/W56-1)</f>
        <v>-9.3906366526523732E-2</v>
      </c>
      <c r="Y116" s="89">
        <f t="shared" ref="Y116:Y122" si="333">IF(X56=0,"",Y56/X56-1)</f>
        <v>9.4563387790869147E-3</v>
      </c>
      <c r="Z116" s="89">
        <f t="shared" ref="Z116:Z122" si="334">IF(Y56=0,"",Z56/Y56-1)</f>
        <v>-9.9989594550747629E-2</v>
      </c>
      <c r="AA116" s="89">
        <f t="shared" ref="AA116:AA122" si="335">IF(Z56=0,"",AA56/Z56-1)</f>
        <v>-4.1628094561011575E-2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3.4498052105693455E-2</v>
      </c>
      <c r="F117" s="89">
        <f t="shared" si="314"/>
        <v>-5.2955653356648202E-2</v>
      </c>
      <c r="G117" s="89">
        <f t="shared" si="315"/>
        <v>2.4187072809290999E-2</v>
      </c>
      <c r="H117" s="89">
        <f t="shared" si="316"/>
        <v>-0.10500774838352689</v>
      </c>
      <c r="I117" s="89">
        <f t="shared" si="317"/>
        <v>7.4573916558887898E-2</v>
      </c>
      <c r="J117" s="89">
        <f t="shared" si="318"/>
        <v>6.0328081889239549E-2</v>
      </c>
      <c r="K117" s="89">
        <f t="shared" si="319"/>
        <v>-7.4773749699119652E-3</v>
      </c>
      <c r="L117" s="89">
        <f t="shared" si="320"/>
        <v>-9.1341731002059223E-4</v>
      </c>
      <c r="M117" s="89">
        <f t="shared" si="321"/>
        <v>4.9621349286480099E-2</v>
      </c>
      <c r="N117" s="89">
        <f t="shared" si="322"/>
        <v>-0.13519850683599288</v>
      </c>
      <c r="O117" s="89">
        <f t="shared" si="323"/>
        <v>9.5264550660159042E-3</v>
      </c>
      <c r="P117" s="89">
        <f t="shared" si="324"/>
        <v>3.3399572198744565E-2</v>
      </c>
      <c r="Q117" s="89">
        <f t="shared" si="325"/>
        <v>3.6131371353200326E-2</v>
      </c>
      <c r="R117" s="89">
        <f t="shared" si="326"/>
        <v>0.1559687278941706</v>
      </c>
      <c r="S117" s="89">
        <f t="shared" si="327"/>
        <v>-5.2771154716981128E-2</v>
      </c>
      <c r="T117" s="89">
        <f t="shared" si="328"/>
        <v>-5.8311915477354814E-3</v>
      </c>
      <c r="U117" s="89">
        <f t="shared" si="329"/>
        <v>-5.6837768040803871E-3</v>
      </c>
      <c r="V117" s="89">
        <f t="shared" si="330"/>
        <v>3.1268530520667692E-2</v>
      </c>
      <c r="W117" s="89">
        <f t="shared" si="331"/>
        <v>1.5721064379940364E-2</v>
      </c>
      <c r="X117" s="89">
        <f t="shared" si="332"/>
        <v>-4.6410155282997634E-3</v>
      </c>
      <c r="Y117" s="89">
        <f t="shared" si="333"/>
        <v>-6.0151975531268276E-2</v>
      </c>
      <c r="Z117" s="89">
        <f t="shared" si="334"/>
        <v>-1.3472780359202075E-2</v>
      </c>
      <c r="AA117" s="89">
        <f t="shared" si="335"/>
        <v>5.8457329233249533E-2</v>
      </c>
    </row>
    <row r="118" spans="1:27" x14ac:dyDescent="0.25">
      <c r="A118" s="68" t="s">
        <v>269</v>
      </c>
      <c r="B118" s="44"/>
      <c r="C118" s="44"/>
      <c r="D118" s="89"/>
      <c r="E118" s="89">
        <f t="shared" si="313"/>
        <v>4.4436174957707131E-2</v>
      </c>
      <c r="F118" s="89">
        <f t="shared" si="314"/>
        <v>0.12639282476372848</v>
      </c>
      <c r="G118" s="89">
        <f t="shared" si="315"/>
        <v>4.3928854055436561E-2</v>
      </c>
      <c r="H118" s="89">
        <f t="shared" si="316"/>
        <v>0.25109568444860786</v>
      </c>
      <c r="I118" s="89">
        <f t="shared" si="317"/>
        <v>-2.1906422691637339E-2</v>
      </c>
      <c r="J118" s="89">
        <f t="shared" si="318"/>
        <v>5.1110226500288292E-3</v>
      </c>
      <c r="K118" s="89">
        <f t="shared" si="319"/>
        <v>0.20012251574693884</v>
      </c>
      <c r="L118" s="89">
        <f t="shared" si="320"/>
        <v>0.19414089798055634</v>
      </c>
      <c r="M118" s="89">
        <f t="shared" si="321"/>
        <v>-0.32857847962243991</v>
      </c>
      <c r="N118" s="89">
        <f t="shared" si="322"/>
        <v>0.69194835568707913</v>
      </c>
      <c r="O118" s="89">
        <f t="shared" si="323"/>
        <v>1.8330345373207546E-3</v>
      </c>
      <c r="P118" s="89">
        <f t="shared" si="324"/>
        <v>-4.372675874554488E-2</v>
      </c>
      <c r="Q118" s="89">
        <f t="shared" si="325"/>
        <v>-1.4236416779946581E-2</v>
      </c>
      <c r="R118" s="89">
        <f t="shared" si="326"/>
        <v>-2.3753253893594839E-2</v>
      </c>
      <c r="S118" s="89">
        <f t="shared" si="327"/>
        <v>8.0520767857142905E-2</v>
      </c>
      <c r="T118" s="89">
        <f t="shared" si="328"/>
        <v>-1.0352133378697448E-2</v>
      </c>
      <c r="U118" s="89">
        <f t="shared" si="329"/>
        <v>-8.9730502625732234E-2</v>
      </c>
      <c r="V118" s="89">
        <f t="shared" si="330"/>
        <v>9.8470195901779523E-2</v>
      </c>
      <c r="W118" s="89">
        <f t="shared" si="331"/>
        <v>-7.5955068594860342E-2</v>
      </c>
      <c r="X118" s="89">
        <f t="shared" si="332"/>
        <v>1.2535790837308047E-2</v>
      </c>
      <c r="Y118" s="89">
        <f t="shared" si="333"/>
        <v>-7.8930728356340407E-2</v>
      </c>
      <c r="Z118" s="89">
        <f t="shared" si="334"/>
        <v>7.8249258035751001E-2</v>
      </c>
      <c r="AA118" s="89">
        <f t="shared" si="335"/>
        <v>6.3259248795319856E-2</v>
      </c>
    </row>
    <row r="119" spans="1:27" x14ac:dyDescent="0.25">
      <c r="A119" s="68" t="s">
        <v>270</v>
      </c>
      <c r="B119" s="44"/>
      <c r="C119" s="44"/>
      <c r="D119" s="89"/>
      <c r="E119" s="89">
        <f t="shared" si="313"/>
        <v>-6.7036433274098028E-3</v>
      </c>
      <c r="F119" s="89">
        <f t="shared" si="314"/>
        <v>5.9558494529973638E-2</v>
      </c>
      <c r="G119" s="89">
        <f t="shared" si="315"/>
        <v>0.17110893848811748</v>
      </c>
      <c r="H119" s="89">
        <f t="shared" si="316"/>
        <v>0.15305816827418139</v>
      </c>
      <c r="I119" s="89">
        <f t="shared" si="317"/>
        <v>0.27222383916248671</v>
      </c>
      <c r="J119" s="89">
        <f t="shared" si="318"/>
        <v>0.15918045208083931</v>
      </c>
      <c r="K119" s="89">
        <f t="shared" si="319"/>
        <v>7.8583154391062227E-2</v>
      </c>
      <c r="L119" s="89">
        <f t="shared" si="320"/>
        <v>1.319474790656372E-2</v>
      </c>
      <c r="M119" s="89">
        <f t="shared" si="321"/>
        <v>-0.24365082711085995</v>
      </c>
      <c r="N119" s="89">
        <f t="shared" si="322"/>
        <v>0.15185164592666833</v>
      </c>
      <c r="O119" s="89">
        <f t="shared" si="323"/>
        <v>0.25771267795229358</v>
      </c>
      <c r="P119" s="89">
        <f t="shared" si="324"/>
        <v>-5.699663219277129E-2</v>
      </c>
      <c r="Q119" s="89">
        <f t="shared" si="325"/>
        <v>2.3314730214665236E-2</v>
      </c>
      <c r="R119" s="89">
        <f t="shared" si="326"/>
        <v>3.8760755012295922E-2</v>
      </c>
      <c r="S119" s="89">
        <f t="shared" si="327"/>
        <v>-2.5329867172675491E-2</v>
      </c>
      <c r="T119" s="89">
        <f t="shared" si="328"/>
        <v>8.1936446730904278E-2</v>
      </c>
      <c r="U119" s="89">
        <f t="shared" si="329"/>
        <v>4.1856295314192327E-2</v>
      </c>
      <c r="V119" s="89">
        <f t="shared" si="330"/>
        <v>2.1387341157566908E-2</v>
      </c>
      <c r="W119" s="89">
        <f t="shared" si="331"/>
        <v>3.0402537653291928E-2</v>
      </c>
      <c r="X119" s="89">
        <f t="shared" si="332"/>
        <v>-5.4445785019570758E-2</v>
      </c>
      <c r="Y119" s="89">
        <f t="shared" si="333"/>
        <v>8.3179896455371827E-2</v>
      </c>
      <c r="Z119" s="89">
        <f t="shared" si="334"/>
        <v>-6.6602273849870941E-2</v>
      </c>
      <c r="AA119" s="89">
        <f t="shared" si="335"/>
        <v>-2.8788400638429024E-2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0.12771337262711246</v>
      </c>
      <c r="F120" s="89">
        <f t="shared" si="314"/>
        <v>1.9764277369138439E-2</v>
      </c>
      <c r="G120" s="89">
        <f t="shared" si="315"/>
        <v>-3.280743747930881E-2</v>
      </c>
      <c r="H120" s="89">
        <f t="shared" si="316"/>
        <v>-4.4601599599744968E-2</v>
      </c>
      <c r="I120" s="89">
        <f t="shared" si="317"/>
        <v>-0.11913010878053298</v>
      </c>
      <c r="J120" s="89">
        <f t="shared" si="318"/>
        <v>-2.4131829665108517E-2</v>
      </c>
      <c r="K120" s="89">
        <f t="shared" si="319"/>
        <v>-0.10873498114055924</v>
      </c>
      <c r="L120" s="89">
        <f t="shared" si="320"/>
        <v>-0.11511680728217399</v>
      </c>
      <c r="M120" s="89">
        <f t="shared" si="321"/>
        <v>-0.21309081103485628</v>
      </c>
      <c r="N120" s="89">
        <f t="shared" si="322"/>
        <v>2.013239362330399E-2</v>
      </c>
      <c r="O120" s="89">
        <f t="shared" si="323"/>
        <v>2.2593192625084191E-2</v>
      </c>
      <c r="P120" s="89">
        <f t="shared" si="324"/>
        <v>3.7452180839375515E-2</v>
      </c>
      <c r="Q120" s="89">
        <f t="shared" si="325"/>
        <v>-5.9764495258392336E-2</v>
      </c>
      <c r="R120" s="89">
        <f t="shared" si="326"/>
        <v>7.1638419895796668E-2</v>
      </c>
      <c r="S120" s="89">
        <f t="shared" si="327"/>
        <v>7.2338081224250228E-3</v>
      </c>
      <c r="T120" s="89">
        <f t="shared" si="328"/>
        <v>2.0031792350904132E-2</v>
      </c>
      <c r="U120" s="89">
        <f t="shared" si="329"/>
        <v>2.8569341201838183E-2</v>
      </c>
      <c r="V120" s="89">
        <f t="shared" si="330"/>
        <v>-6.1734599445678051E-2</v>
      </c>
      <c r="W120" s="89">
        <f t="shared" si="331"/>
        <v>-6.6029464220436984E-2</v>
      </c>
      <c r="X120" s="89">
        <f t="shared" si="332"/>
        <v>-2.4366516324223597E-2</v>
      </c>
      <c r="Y120" s="89">
        <f t="shared" si="333"/>
        <v>-0.10920289038908648</v>
      </c>
      <c r="Z120" s="89">
        <f t="shared" si="334"/>
        <v>-0.13985691749650764</v>
      </c>
      <c r="AA120" s="89">
        <f t="shared" si="335"/>
        <v>3.986268824344319E-2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0.13681688505297274</v>
      </c>
      <c r="F121" s="89">
        <f t="shared" si="314"/>
        <v>7.2740400296377183E-2</v>
      </c>
      <c r="G121" s="89">
        <f t="shared" si="315"/>
        <v>0.1190888250591231</v>
      </c>
      <c r="H121" s="89">
        <f t="shared" si="316"/>
        <v>5.3155572210906943E-2</v>
      </c>
      <c r="I121" s="89">
        <f t="shared" si="317"/>
        <v>1.7074203127159571E-2</v>
      </c>
      <c r="J121" s="89">
        <f t="shared" si="318"/>
        <v>4.6186328922362963E-2</v>
      </c>
      <c r="K121" s="89">
        <f t="shared" si="319"/>
        <v>9.525027157254673E-3</v>
      </c>
      <c r="L121" s="89">
        <f t="shared" si="320"/>
        <v>-0.19613070414053768</v>
      </c>
      <c r="M121" s="89">
        <f t="shared" si="321"/>
        <v>-0.14245530439753085</v>
      </c>
      <c r="N121" s="89">
        <f t="shared" si="322"/>
        <v>0.25021674313481856</v>
      </c>
      <c r="O121" s="89">
        <f t="shared" si="323"/>
        <v>9.7906313081629115E-2</v>
      </c>
      <c r="P121" s="89">
        <f t="shared" si="324"/>
        <v>1.172558093662901E-2</v>
      </c>
      <c r="Q121" s="89">
        <f t="shared" si="325"/>
        <v>3.3342039324092854E-2</v>
      </c>
      <c r="R121" s="89">
        <f t="shared" si="326"/>
        <v>0.13893643051945803</v>
      </c>
      <c r="S121" s="89">
        <f t="shared" si="327"/>
        <v>7.6698590149118839E-2</v>
      </c>
      <c r="T121" s="89">
        <f t="shared" si="328"/>
        <v>4.260727232261452E-3</v>
      </c>
      <c r="U121" s="89">
        <f t="shared" si="329"/>
        <v>6.1295724671921903E-2</v>
      </c>
      <c r="V121" s="89">
        <f t="shared" si="330"/>
        <v>-3.0498898698303467E-3</v>
      </c>
      <c r="W121" s="89">
        <f t="shared" si="331"/>
        <v>-2.6233043725434446E-2</v>
      </c>
      <c r="X121" s="89">
        <f t="shared" si="332"/>
        <v>4.9188749906841522E-2</v>
      </c>
      <c r="Y121" s="89">
        <f t="shared" si="333"/>
        <v>0.41109563772950142</v>
      </c>
      <c r="Z121" s="89">
        <f t="shared" si="334"/>
        <v>-9.2766056914669104E-2</v>
      </c>
      <c r="AA121" s="89">
        <f t="shared" si="335"/>
        <v>-0.28101147129585613</v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0.17344525451824699</v>
      </c>
      <c r="F122" s="91">
        <f t="shared" si="314"/>
        <v>9.3205571916045837E-2</v>
      </c>
      <c r="G122" s="91">
        <f t="shared" si="315"/>
        <v>7.5413924413644917E-2</v>
      </c>
      <c r="H122" s="91">
        <f t="shared" si="316"/>
        <v>-1.9306092407968101E-2</v>
      </c>
      <c r="I122" s="91">
        <f t="shared" si="317"/>
        <v>4.4911635659856231E-2</v>
      </c>
      <c r="J122" s="91">
        <f t="shared" si="318"/>
        <v>8.6655722310038152E-2</v>
      </c>
      <c r="K122" s="91">
        <f t="shared" si="319"/>
        <v>-3.8488641607516083E-2</v>
      </c>
      <c r="L122" s="91">
        <f t="shared" si="320"/>
        <v>-0.13789780818061015</v>
      </c>
      <c r="M122" s="91">
        <f t="shared" si="321"/>
        <v>-0.21509720456973713</v>
      </c>
      <c r="N122" s="91">
        <f t="shared" si="322"/>
        <v>0.16572144448200943</v>
      </c>
      <c r="O122" s="91">
        <f t="shared" si="323"/>
        <v>7.3478912503556426E-2</v>
      </c>
      <c r="P122" s="91">
        <f t="shared" si="324"/>
        <v>4.3235220466010693E-2</v>
      </c>
      <c r="Q122" s="91">
        <f t="shared" si="325"/>
        <v>-1.41554047119542E-2</v>
      </c>
      <c r="R122" s="91">
        <f t="shared" si="326"/>
        <v>4.4085085611753838E-2</v>
      </c>
      <c r="S122" s="91">
        <f t="shared" si="327"/>
        <v>1.3925569751381373E-2</v>
      </c>
      <c r="T122" s="91">
        <f t="shared" si="328"/>
        <v>7.5667388121220203E-2</v>
      </c>
      <c r="U122" s="91">
        <f t="shared" si="329"/>
        <v>4.9413800975668387E-2</v>
      </c>
      <c r="V122" s="91">
        <f t="shared" si="330"/>
        <v>8.3876067594292891E-3</v>
      </c>
      <c r="W122" s="91">
        <f t="shared" si="331"/>
        <v>1.039351179426351E-2</v>
      </c>
      <c r="X122" s="91">
        <f t="shared" si="332"/>
        <v>-1.1419903954225319E-2</v>
      </c>
      <c r="Y122" s="91">
        <f t="shared" si="333"/>
        <v>9.4385074601655683E-2</v>
      </c>
      <c r="Z122" s="91">
        <f t="shared" si="334"/>
        <v>-0.16589644746818999</v>
      </c>
      <c r="AA122" s="91">
        <f t="shared" si="335"/>
        <v>-5.1950331306563458E-2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2025-11-06T10:22:12Z</dcterms:created>
  <dcterms:modified xsi:type="dcterms:W3CDTF">2025-11-06T10:22:12Z</dcterms:modified>
</cp:coreProperties>
</file>