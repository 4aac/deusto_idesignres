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Y41" i="12"/>
  <c r="X46" i="3"/>
  <c r="Y45" i="3"/>
  <c r="X45" i="3"/>
  <c r="X48" i="13"/>
  <c r="X83" i="3"/>
  <c r="X76" i="3"/>
  <c r="Y24" i="13"/>
  <c r="X5" i="13"/>
  <c r="Y7" i="15"/>
  <c r="X28" i="3"/>
  <c r="Y27" i="3"/>
  <c r="X27" i="3"/>
  <c r="Y15" i="17"/>
  <c r="X88" i="3"/>
  <c r="Y14" i="17"/>
  <c r="X31" i="3"/>
  <c r="Y3" i="18"/>
  <c r="Y17" i="18" s="1"/>
  <c r="X10" i="19"/>
  <c r="Y4" i="19"/>
  <c r="Y90" i="3"/>
  <c r="X90" i="3"/>
  <c r="Y85" i="3"/>
  <c r="X85" i="3"/>
  <c r="Y76" i="3"/>
  <c r="Y44" i="3"/>
  <c r="X44" i="3"/>
  <c r="Y42" i="3"/>
  <c r="Y31" i="3"/>
  <c r="Y30" i="3"/>
  <c r="Y25" i="3"/>
  <c r="Y10" i="3"/>
  <c r="Y44" i="12" l="1"/>
  <c r="X90" i="8"/>
  <c r="X29" i="9"/>
  <c r="Y57" i="8"/>
  <c r="Y79" i="8" s="1"/>
  <c r="Y69" i="11"/>
  <c r="Y75" i="3"/>
  <c r="Y29" i="9"/>
  <c r="X91" i="8"/>
  <c r="Y91" i="8"/>
  <c r="X31" i="9"/>
  <c r="Y15" i="14"/>
  <c r="Y27" i="14" s="1"/>
  <c r="Y53" i="9"/>
  <c r="Y54" i="3"/>
  <c r="Y206" i="3" s="1"/>
  <c r="X84" i="3"/>
  <c r="X236" i="3" s="1"/>
  <c r="Y43" i="9"/>
  <c r="X53" i="3"/>
  <c r="Y55" i="3"/>
  <c r="Y207" i="3" s="1"/>
  <c r="X55" i="3"/>
  <c r="X207" i="3" s="1"/>
  <c r="X14" i="17"/>
  <c r="X75" i="3"/>
  <c r="X227" i="3" s="1"/>
  <c r="X19" i="12"/>
  <c r="X69" i="12" s="1"/>
  <c r="X41" i="12"/>
  <c r="Y23" i="13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2" i="15" s="1"/>
  <c r="X13" i="14"/>
  <c r="X19" i="14" s="1"/>
  <c r="Y15" i="3"/>
  <c r="Y197" i="3" s="1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Y25" i="14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10" i="17" l="1"/>
  <c r="Y227" i="3"/>
  <c r="Y20" i="14"/>
  <c r="X21" i="20"/>
  <c r="Y22" i="18"/>
  <c r="X23" i="20"/>
  <c r="Y11" i="20"/>
  <c r="Y3" i="12"/>
  <c r="Y52" i="12" s="1"/>
  <c r="X80" i="11"/>
  <c r="X52" i="3"/>
  <c r="X89" i="3"/>
  <c r="X181" i="3" s="1"/>
  <c r="Y52" i="3"/>
  <c r="Y204" i="3" s="1"/>
  <c r="Y3" i="16"/>
  <c r="Y9" i="17" s="1"/>
  <c r="X22" i="3"/>
  <c r="X24" i="19"/>
  <c r="X36" i="8"/>
  <c r="X3" i="16"/>
  <c r="X28" i="16" s="1"/>
  <c r="Y36" i="8"/>
  <c r="X29" i="19"/>
  <c r="X9" i="20"/>
  <c r="Y3" i="19"/>
  <c r="Y28" i="19" s="1"/>
  <c r="X10" i="20"/>
  <c r="X60" i="3"/>
  <c r="X212" i="3" s="1"/>
  <c r="X20" i="19"/>
  <c r="Y13" i="18"/>
  <c r="X86" i="3"/>
  <c r="X238" i="3" s="1"/>
  <c r="Y57" i="3"/>
  <c r="Y209" i="3" s="1"/>
  <c r="Y20" i="16"/>
  <c r="X21" i="15"/>
  <c r="Y13" i="15"/>
  <c r="Y18" i="15"/>
  <c r="Y17" i="15"/>
  <c r="Y21" i="14"/>
  <c r="Y73" i="3"/>
  <c r="X82" i="3"/>
  <c r="X43" i="11"/>
  <c r="X116" i="11"/>
  <c r="X122" i="11"/>
  <c r="X22" i="10"/>
  <c r="X41" i="9"/>
  <c r="X4" i="8"/>
  <c r="X108" i="8" s="1"/>
  <c r="X96" i="8"/>
  <c r="X192" i="3"/>
  <c r="X25" i="8"/>
  <c r="X118" i="11"/>
  <c r="Y22" i="13"/>
  <c r="X233" i="3"/>
  <c r="X22" i="17"/>
  <c r="X13" i="20"/>
  <c r="X112" i="8"/>
  <c r="X44" i="10"/>
  <c r="X205" i="3"/>
  <c r="Y13" i="3"/>
  <c r="X100" i="8"/>
  <c r="Y198" i="3"/>
  <c r="X111" i="8"/>
  <c r="X76" i="11"/>
  <c r="X41" i="3"/>
  <c r="X193" i="3" s="1"/>
  <c r="X11" i="9"/>
  <c r="X113" i="8"/>
  <c r="Y21" i="18"/>
  <c r="X13" i="11"/>
  <c r="X224" i="3"/>
  <c r="Y111" i="11"/>
  <c r="Y42" i="13"/>
  <c r="Y12" i="14"/>
  <c r="Y18" i="14" s="1"/>
  <c r="X13" i="3"/>
  <c r="X195" i="3" s="1"/>
  <c r="X37" i="9"/>
  <c r="X3" i="12"/>
  <c r="X51" i="12" s="1"/>
  <c r="Y23" i="10"/>
  <c r="Y22" i="10"/>
  <c r="Y117" i="11"/>
  <c r="Y29" i="19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9" i="12"/>
  <c r="X23" i="18"/>
  <c r="X28" i="19"/>
  <c r="X204" i="3" l="1"/>
  <c r="Y17" i="12"/>
  <c r="Y67" i="12" s="1"/>
  <c r="Y48" i="12"/>
  <c r="Y51" i="12"/>
  <c r="Y47" i="12"/>
  <c r="Y55" i="12"/>
  <c r="X19" i="16"/>
  <c r="X27" i="16"/>
  <c r="X23" i="16"/>
  <c r="X95" i="11"/>
  <c r="Y50" i="12"/>
  <c r="X182" i="3"/>
  <c r="Y54" i="12"/>
  <c r="X183" i="3"/>
  <c r="Y56" i="3"/>
  <c r="Y208" i="3" s="1"/>
  <c r="Y37" i="12"/>
  <c r="Y19" i="19"/>
  <c r="Y195" i="3"/>
  <c r="Y19" i="16"/>
  <c r="X234" i="3"/>
  <c r="Y23" i="16"/>
  <c r="Y28" i="16"/>
  <c r="Y27" i="16"/>
  <c r="Y23" i="19"/>
  <c r="X9" i="17"/>
  <c r="X109" i="8"/>
  <c r="X106" i="8"/>
  <c r="X94" i="8"/>
  <c r="X35" i="9"/>
  <c r="X105" i="8"/>
  <c r="X38" i="10"/>
  <c r="X59" i="3"/>
  <c r="X153" i="3" s="1"/>
  <c r="Y9" i="20"/>
  <c r="Y27" i="19"/>
  <c r="Y24" i="14"/>
  <c r="Y225" i="3"/>
  <c r="X10" i="9"/>
  <c r="X57" i="9" s="1"/>
  <c r="X46" i="9"/>
  <c r="X24" i="9"/>
  <c r="X107" i="8"/>
  <c r="X39" i="3"/>
  <c r="X62" i="10"/>
  <c r="X225" i="3"/>
  <c r="X56" i="3"/>
  <c r="X208" i="3" s="1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62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58" i="9" l="1"/>
  <c r="X45" i="9"/>
  <c r="X56" i="9"/>
  <c r="X64" i="9"/>
  <c r="X60" i="9"/>
  <c r="X151" i="3"/>
  <c r="X211" i="3"/>
  <c r="X152" i="3"/>
  <c r="X59" i="9"/>
  <c r="X63" i="9"/>
  <c r="X61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E17" i="20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L20" i="19"/>
  <c r="L10" i="20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U18" i="18" l="1"/>
  <c r="F20" i="19"/>
  <c r="M22" i="20"/>
  <c r="N29" i="3"/>
  <c r="N121" i="3" s="1"/>
  <c r="R25" i="19"/>
  <c r="W23" i="20"/>
  <c r="E23" i="18"/>
  <c r="E18" i="18"/>
  <c r="Q25" i="19"/>
  <c r="E13" i="20"/>
  <c r="E19" i="18"/>
  <c r="E22" i="18"/>
  <c r="I22" i="18"/>
  <c r="J11" i="20"/>
  <c r="M23" i="20"/>
  <c r="P10" i="20"/>
  <c r="W24" i="19"/>
  <c r="R21" i="19"/>
  <c r="N13" i="20"/>
  <c r="U19" i="18"/>
  <c r="G18" i="18"/>
  <c r="H20" i="19"/>
  <c r="K23" i="18"/>
  <c r="F22" i="20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19" i="19" l="1"/>
  <c r="N27" i="19"/>
  <c r="U121" i="3"/>
  <c r="Q9" i="20"/>
  <c r="F183" i="3"/>
  <c r="U122" i="3"/>
  <c r="E23" i="19"/>
  <c r="E27" i="19"/>
  <c r="F182" i="3"/>
  <c r="N9" i="20"/>
  <c r="M9" i="20"/>
  <c r="M28" i="19"/>
  <c r="M29" i="19"/>
  <c r="N29" i="19"/>
  <c r="W9" i="20"/>
  <c r="W29" i="19"/>
  <c r="M19" i="19"/>
  <c r="M23" i="19"/>
  <c r="H27" i="19"/>
  <c r="Q23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8" i="1"/>
  <c r="B8" i="1"/>
  <c r="B20" i="1"/>
  <c r="B17" i="1"/>
  <c r="B21" i="1"/>
  <c r="B4" i="1"/>
  <c r="B7" i="1"/>
  <c r="B12" i="1"/>
  <c r="B15" i="1"/>
  <c r="B9" i="1"/>
  <c r="B6" i="1"/>
  <c r="B13" i="1"/>
  <c r="B16" i="1"/>
  <c r="B11" i="1"/>
  <c r="B22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 s="1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251" i="4" s="1"/>
  <c r="N170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265" i="4" s="1"/>
  <c r="I184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224" i="4" s="1"/>
  <c r="S143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 s="1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38" i="4" l="1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8" i="4"/>
  <c r="Y265" i="4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<sst xmlns="http://schemas.openxmlformats.org/spreadsheetml/2006/main" count="2657" uniqueCount="1169">
  <si>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</si>
  <si>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</si>
  <si>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</si>
  <si>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</si>
  <si>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</si>
  <si>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</si>
  <si>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</si>
  <si>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</si>
  <si>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</si>
  <si>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</si>
  <si>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</si>
  <si>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</si>
  <si>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</si>
  <si>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</si>
  <si>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</si>
  <si>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</si>
  <si>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</si>
  <si>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</si>
  <si>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</si>
  <si>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</si>
  <si>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</si>
  <si>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</si>
  <si>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</si>
  <si>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</si>
  <si>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</si>
  <si>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</si>
  <si>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</si>
  <si>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</si>
  <si>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</si>
  <si>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</si>
  <si>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</si>
  <si>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</si>
  <si>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</si>
  <si>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</si>
  <si>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</si>
  <si>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</si>
  <si>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</si>
  <si>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</si>
  <si>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</si>
  <si>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</si>
  <si>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</si>
  <si>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</si>
  <si>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</si>
  <si>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</si>
  <si>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</si>
  <si>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</si>
  <si>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</si>
  <si>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</si>
  <si>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</si>
  <si>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</si>
  <si>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</si>
  <si>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</si>
  <si>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</si>
  <si>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</si>
  <si>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</si>
  <si>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</si>
  <si>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</si>
  <si>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</si>
  <si>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</si>
  <si>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</si>
  <si>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</si>
  <si>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</si>
  <si>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</si>
  <si>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</si>
  <si>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</si>
  <si>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</si>
  <si>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</si>
  <si>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</si>
  <si>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</si>
  <si>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</si>
  <si>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</si>
  <si>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</si>
  <si>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</si>
  <si>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</si>
  <si>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</si>
  <si>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</si>
  <si>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</si>
  <si>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</si>
  <si>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</si>
  <si>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</si>
  <si>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</si>
  <si>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</si>
  <si>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</si>
  <si>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</si>
  <si>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</si>
  <si>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</si>
  <si>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</si>
  <si>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</si>
  <si>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</si>
  <si>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</si>
  <si>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</si>
  <si>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</si>
  <si>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</si>
  <si>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</si>
  <si>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</si>
  <si>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</si>
  <si>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</si>
  <si>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</si>
  <si>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</si>
  <si>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</si>
  <si>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</si>
  <si>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</si>
  <si>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</si>
  <si>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</si>
  <si>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</si>
  <si>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</si>
  <si>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</si>
  <si>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</si>
  <si>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</si>
  <si>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</si>
  <si>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</si>
  <si>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</si>
  <si>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</si>
  <si>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</si>
  <si>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</si>
  <si>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</si>
  <si>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</si>
  <si>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</si>
  <si>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</si>
  <si>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</si>
  <si>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</si>
  <si>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</si>
  <si>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</si>
  <si>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</si>
  <si>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</si>
  <si>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</si>
  <si>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</si>
  <si>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</si>
  <si>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</si>
  <si>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</si>
  <si>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</si>
  <si>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</si>
  <si>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</si>
  <si>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</si>
  <si>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</si>
  <si>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</si>
  <si>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</si>
  <si>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</si>
  <si>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</si>
  <si>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</si>
  <si>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</si>
  <si>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</si>
  <si>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</si>
  <si>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</si>
  <si>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</si>
  <si>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</si>
  <si>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</si>
  <si>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</si>
  <si>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</si>
  <si>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</si>
  <si>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</si>
  <si>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</si>
  <si>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</si>
  <si>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</si>
  <si>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</si>
  <si>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</si>
  <si>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</si>
  <si>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</si>
  <si>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</si>
  <si>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</si>
  <si>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</si>
  <si>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</si>
  <si>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</si>
  <si>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</si>
  <si>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</si>
  <si>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</si>
  <si>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</si>
  <si>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</si>
  <si>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</si>
  <si>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</si>
  <si>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</si>
  <si>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</si>
  <si>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</si>
  <si>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</si>
  <si>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</si>
  <si>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</si>
  <si>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</si>
  <si>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</si>
  <si>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</si>
  <si>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</si>
  <si>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</si>
  <si>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</si>
  <si>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</si>
  <si>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</si>
  <si>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</si>
  <si>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</si>
  <si>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</si>
  <si>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EE</t>
  </si>
  <si>
    <t>Estonia</t>
  </si>
  <si>
    <t>Aviation - EE - Estonia</t>
  </si>
  <si>
    <t>Activity.Mpkm.EE.Tr.Avia.Passenger</t>
  </si>
  <si>
    <t>Activity.Mpkm.EE.Tr.Avia.Passenger.Domestic</t>
  </si>
  <si>
    <t>Activity.Mpkm.EE.Tr.Avia.Passenger.IntraEEAwCHUK</t>
  </si>
  <si>
    <t>Activity.Mpkm.EE.Tr.Avia.Passenger.ExtraEEAwCHUK</t>
  </si>
  <si>
    <t>Activity.Mtkm.EE.Tr.Avia.Freight</t>
  </si>
  <si>
    <t>Activity.Mtkm.EE.Tr.Avia.Freight.Domestic</t>
  </si>
  <si>
    <t>Activity.Mtkm.EE.Tr.Avia.Freight.IntraEEAwCHUK</t>
  </si>
  <si>
    <t>Activity.Mtkm.EE.Tr.Avia.Freight.ExtraEEAwCHUK</t>
  </si>
  <si>
    <t>VehicleKm.Mkm.EE.Tr.Avia</t>
  </si>
  <si>
    <t>VehicleKm.Mkm.EE.Tr.Avia.Passenger</t>
  </si>
  <si>
    <t>VehicleKm.Mkm.EE.Tr.Avia.Passenger.Domestic</t>
  </si>
  <si>
    <t>VehicleKm.Mkm.EE.Tr.Avia.Passenger.IntraEEAwCHUK</t>
  </si>
  <si>
    <t>VehicleKm.Mkm.EE.Tr.Avia.Passenger.ExtraEEAwCHUK</t>
  </si>
  <si>
    <t>VehicleKm.Mkm.EE.Tr.Avia.Freight</t>
  </si>
  <si>
    <t>VehicleKm.Mkm.EE.Tr.Avia.Freight.Domestic</t>
  </si>
  <si>
    <t>VehicleKm.Mkm.EE.Tr.Avia.Freight.IntraEEAwCHUK</t>
  </si>
  <si>
    <t>VehicleKm.Mkm.EE.Tr.Avia.Freight.ExtraEEAwCHUK</t>
  </si>
  <si>
    <t>Flights.number.EE.Tr.Avia</t>
  </si>
  <si>
    <t>Flights.number.EE.Tr.Avia.Passenger</t>
  </si>
  <si>
    <t>Flights.number.EE.Tr.Avia.Passenger.Domestic</t>
  </si>
  <si>
    <t>Flights.number.EE.Tr.Avia.Passenger.IntraEEAwCHUK</t>
  </si>
  <si>
    <t>Flights.number.EE.Tr.Avia.Passenger.ExtraEEAwCHUK</t>
  </si>
  <si>
    <t>Flights.number.EE.Tr.Avia.Freight</t>
  </si>
  <si>
    <t>Flights.number.EE.Tr.Avia.Freight.Domestic</t>
  </si>
  <si>
    <t>Flights.number.EE.Tr.Avia.Freight.IntraEEAwCHUK</t>
  </si>
  <si>
    <t>Flights.number.EE.Tr.Avia.Freight.ExtraEEAwCHUK</t>
  </si>
  <si>
    <t>VolCarried.passenger.EE.Tr.Avia.Passenger</t>
  </si>
  <si>
    <t>VolCarried.passenger.EE.Tr.Avia.Passenger.Domestic</t>
  </si>
  <si>
    <t>VolCarried.passenger.EE.Tr.Avia.Passenger.IntraEEAwCHUK</t>
  </si>
  <si>
    <t>VolCarried.passenger.EE.Tr.Avia.Passenger.ExtraEEAwCHUK</t>
  </si>
  <si>
    <t>VolCarried.t.EE.Tr.Avia.Freight</t>
  </si>
  <si>
    <t>VolCarried.t.EE.Tr.Avia.Freight.Domestic</t>
  </si>
  <si>
    <t>VolCarried.t.EE.Tr.Avia.Freight.IntraEEAwCHUK</t>
  </si>
  <si>
    <t>VolCarried.t.EE.Tr.Avia.Freight.ExtraEEAwCHUK</t>
  </si>
  <si>
    <t>Stock.number.EE.Tr.Avia</t>
  </si>
  <si>
    <t>Stock.number.EE.Tr.Avia.Passenger</t>
  </si>
  <si>
    <t>Stock.number.EE.Tr.Avia.Passenger.Domestic</t>
  </si>
  <si>
    <t>Stock.number.EE.Tr.Avia.Passenger.IntraEEAwCHUK</t>
  </si>
  <si>
    <t>Stock.number.EE.Tr.Avia.Passenger.ExtraEEAwCHUK</t>
  </si>
  <si>
    <t>Stock.number.EE.Tr.Avia.Freight</t>
  </si>
  <si>
    <t>Stock.number.EE.Tr.Avia.Freight.Domestic</t>
  </si>
  <si>
    <t>Stock.number.EE.Tr.Avia.Freight.IntraEEAwCHUK</t>
  </si>
  <si>
    <t>Stock.number.EE.Tr.Avia.Freight.ExtraEEAwCHUK</t>
  </si>
  <si>
    <t>StockNew.number.EE.Tr.Avia</t>
  </si>
  <si>
    <t>StockNew.number.EE.Tr.Avia.Passenger</t>
  </si>
  <si>
    <t>StockNew.number.EE.Tr.Avia.Passenger.Domestic</t>
  </si>
  <si>
    <t>StockNew.number.EE.Tr.Avia.Passenger.IntraEEAwCHUK</t>
  </si>
  <si>
    <t>StockNew.number.EE.Tr.Avia.Passenger.ExtraEEAwCHUK</t>
  </si>
  <si>
    <t>StockNew.number.EE.Tr.Avia.Freight</t>
  </si>
  <si>
    <t>StockNew.number.EE.Tr.Avia.Freight.Domestic</t>
  </si>
  <si>
    <t>StockNew.number.EE.Tr.Avia.Freight.IntraEEAwCHUK</t>
  </si>
  <si>
    <t>StockNew.number.EE.Tr.Avia.Freight.ExtraEEAwCHUK</t>
  </si>
  <si>
    <t>Load.passenger_per_movement.EE.Tr.Avia.Passenger</t>
  </si>
  <si>
    <t>Load.passenger_per_movement.EE.Tr.Avia.Passenger.Domestic</t>
  </si>
  <si>
    <t>Load.passenger_per_movement.EE.Tr.Avia.Passenger.IntraEEAwCHUK</t>
  </si>
  <si>
    <t>Load.passenger_per_movement.EE.Tr.Avia.Passenger.ExtraEEAwCHUK</t>
  </si>
  <si>
    <t>Load.t_per_movement.EE.Tr.Avia.Freight</t>
  </si>
  <si>
    <t>Load.t_per_movement.EE.Tr.Avia.Freight.Domestic</t>
  </si>
  <si>
    <t>Load.t_per_movement.EE.Tr.Avia.Freight.IntraEEAwCHUK</t>
  </si>
  <si>
    <t>Load.t_per_movement.EE.Tr.Avia.Freight.ExtraEEAwCHUK</t>
  </si>
  <si>
    <t>VehicleKm_per_flight.km.EE.Tr.Avia</t>
  </si>
  <si>
    <t>VehicleKm_per_flight.km.EE.Tr.Avia.Passenger</t>
  </si>
  <si>
    <t>VehicleKm_per_flight.km.EE.Tr.Avia.Passenger.Domestic</t>
  </si>
  <si>
    <t>VehicleKm_per_flight.km.EE.Tr.Avia.Passenger.IntraEEAwCHUK</t>
  </si>
  <si>
    <t>VehicleKm_per_flight.km.EE.Tr.Avia.Passenger.ExtraEEAwCHUK</t>
  </si>
  <si>
    <t>VehicleKm_per_flight.km.EE.Tr.Avia.Freight</t>
  </si>
  <si>
    <t>VehicleKm_per_flight.km.EE.Tr.Avia.Freight.Domestic</t>
  </si>
  <si>
    <t>VehicleKm_per_flight.km.EE.Tr.Avia.Freight.IntraEEAwCHUK</t>
  </si>
  <si>
    <t>VehicleKm_per_flight.km.EE.Tr.Avia.Freight.ExtraEEAwCHUK</t>
  </si>
  <si>
    <t>Activity_per_flight.pkm.EE.Tr.Avia.Passenger</t>
  </si>
  <si>
    <t>Activity_per_flight.pkm.EE.Tr.Avia.Passenger.Domestic</t>
  </si>
  <si>
    <t>Activity_per_flight.pkm.EE.Tr.Avia.Passenger.IntraEEAwCHUK</t>
  </si>
  <si>
    <t>Activity_per_flight.pkm.EE.Tr.Avia.Passenger.ExtraEEAwCHUK</t>
  </si>
  <si>
    <t>Activity_per_flight.tkm.EE.Tr.Avia.Freight</t>
  </si>
  <si>
    <t>Activity_per_flight.tkm.EE.Tr.Avia.Freight.Domestic</t>
  </si>
  <si>
    <t>Activity_per_flight.tkm.EE.Tr.Avia.Freight.IntraEEAwCHUK</t>
  </si>
  <si>
    <t>Activity_per_flight.tkm.EE.Tr.Avia.Freight.ExtraEEAwCHUK</t>
  </si>
  <si>
    <t>Flights_per_vehicle.number.EE.Tr.Avia</t>
  </si>
  <si>
    <t>Flights_per_vehicle.number.EE.Tr.Avia.Passenger</t>
  </si>
  <si>
    <t>Flights_per_vehicle.number.EE.Tr.Avia.Passenger.Domestic</t>
  </si>
  <si>
    <t>Flights_per_vehicle.number.EE.Tr.Avia.Passenger.IntraEEAwCHUK</t>
  </si>
  <si>
    <t>Flights_per_vehicle.number.EE.Tr.Avia.Passenger.ExtraEEAwCHUK</t>
  </si>
  <si>
    <t>Flights_per_vehicle.number.EE.Tr.Avia.Freight</t>
  </si>
  <si>
    <t>Flights_per_vehicle.number.EE.Tr.Avia.Freight.Domestic</t>
  </si>
  <si>
    <t>Flights_per_vehicle.number.EE.Tr.Avia.Freight.IntraEEAwCHUK</t>
  </si>
  <si>
    <t>Flights_per_vehicle.number.EE.Tr.Avia.Freight.ExtraEEAwCHUK</t>
  </si>
  <si>
    <t>Aviation / energy consumption - EE - Estonia</t>
  </si>
  <si>
    <t>FEC.ktoe.EE.Tr.Avia</t>
  </si>
  <si>
    <t>FEC.ktoe.EE.Tr.Avia.Domestic</t>
  </si>
  <si>
    <t>FEC.ktoe.EE.Tr.Avia.International</t>
  </si>
  <si>
    <t>FEC.ktoe.EE.Tr.Avia.Passenger</t>
  </si>
  <si>
    <t>FEC.ktoe.EE.Tr.Avia.Passenger.Domestic</t>
  </si>
  <si>
    <t>FEC.ktoe.EE.Tr.Avia.Passenger.IntraEEAwCHUK</t>
  </si>
  <si>
    <t>FEC.ktoe.EE.Tr.Avia.Passenger.ExtraEEAwCHUK</t>
  </si>
  <si>
    <t>FEC.ktoe.EE.Tr.Avia.Freight</t>
  </si>
  <si>
    <t>FEC.ktoe.EE.Tr.Avia.Freight.Domestic</t>
  </si>
  <si>
    <t>FEC.ktoe.EE.Tr.Avia.Freight.IntraEEAwCHUK</t>
  </si>
  <si>
    <t>FEC.ktoe.EE.Tr.Avia.Freight.ExtraEEAwCHUK</t>
  </si>
  <si>
    <t>Eff.kgoe_per_100km.EE.Tr.Avia</t>
  </si>
  <si>
    <t>Eff.kgoe_per_100km.EE.Tr.Avia.Passenger</t>
  </si>
  <si>
    <t>Eff.kgoe_per_100km.EE.Tr.Avia.Passenger.Domestic</t>
  </si>
  <si>
    <t>Eff.kgoe_per_100km.EE.Tr.Avia.Passenger.IntraEEAwCHUK</t>
  </si>
  <si>
    <t>Eff.kgoe_per_100km.EE.Tr.Avia.Passenger.ExtraEEAwCHUK</t>
  </si>
  <si>
    <t>Eff.kgoe_per_100km.EE.Tr.Avia.Freight</t>
  </si>
  <si>
    <t>Eff.kgoe_per_100km.EE.Tr.Avia.Freight.Domestic</t>
  </si>
  <si>
    <t>Eff.kgoe_per_100km.EE.Tr.Avia.Freight.IntraEEAwCHUK</t>
  </si>
  <si>
    <t>Eff.kgoe_per_100km.EE.Tr.Avia.Freight.ExtraEEAwCHUK</t>
  </si>
  <si>
    <t>Eff.kgoe_per_kpkm.EE.Tr.Avia.Passenger</t>
  </si>
  <si>
    <t>Eff.kgoe_per_kpkm.EE.Tr.Avia.Passenger.Domestic</t>
  </si>
  <si>
    <t>Eff.kgoe_per_kpkm.EE.Tr.Avia.Passenger.IntraEEAwCHUK</t>
  </si>
  <si>
    <t>Eff.kgoe_per_kpkm.EE.Tr.Avia.Passenger.ExtraEEAwCHUK</t>
  </si>
  <si>
    <t>Eff.kgoe_per_ktkm.EE.Tr.Avia.Freight</t>
  </si>
  <si>
    <t>Eff.kgoe_per_ktkm.EE.Tr.Avia.Freight.Domestic</t>
  </si>
  <si>
    <t>Eff.kgoe_per_ktkm.EE.Tr.Avia.Freight.IntraEEAwCHUK</t>
  </si>
  <si>
    <t>Eff.kgoe_per_ktkm.EE.Tr.Avia.Freight.ExtraEEAwCHUK</t>
  </si>
  <si>
    <t>FEC_per_flight.kgoe.EE.Tr.Avia</t>
  </si>
  <si>
    <t>FEC_per_flight.kgoe.EE.Tr.Avia.Passenger</t>
  </si>
  <si>
    <t>FEC_per_flight.kgoe.EE.Tr.Avia.Passenger.Domestic</t>
  </si>
  <si>
    <t>FEC_per_flight.kgoe.EE.Tr.Avia.Passenger.IntraEEAwCHUK</t>
  </si>
  <si>
    <t>FEC_per_flight.kgoe.EE.Tr.Avia.Passenger.ExtraEEAwCHUK</t>
  </si>
  <si>
    <t>FEC_per_flight.kgoe.EE.Tr.Avia.Freight</t>
  </si>
  <si>
    <t>FEC_per_flight.kgoe.EE.Tr.Avia.Freight.Domestic</t>
  </si>
  <si>
    <t>FEC_per_flight.kgoe.EE.Tr.Avia.Freight.IntraEEAwCHUK</t>
  </si>
  <si>
    <t>FEC_per_flight.kgoe.EE.Tr.Avia.Freight.ExtraEEAwCHUK</t>
  </si>
  <si>
    <t>Eff_theor.kgoe_per_100km.EE.Tr.Avia</t>
  </si>
  <si>
    <t>Eff_theor.kgoe_per_100km.EE.Tr.Avia.Passenger</t>
  </si>
  <si>
    <t>Eff_theor.kgoe_per_100km.EE.Tr.Avia.Passenger.Domestic</t>
  </si>
  <si>
    <t>Eff_theor.kgoe_per_100km.EE.Tr.Avia.Passenger.IntraEEAwCHUK</t>
  </si>
  <si>
    <t>Eff_theor.kgoe_per_100km.EE.Tr.Avia.Passenger.ExtraEEAwCHUK</t>
  </si>
  <si>
    <t>Eff_theor.kgoe_per_100km.EE.Tr.Avia.Freight</t>
  </si>
  <si>
    <t>Eff_theor.kgoe_per_100km.EE.Tr.Avia.Freight.Domestic</t>
  </si>
  <si>
    <t>Eff_theor.kgoe_per_100km.EE.Tr.Avia.Freight.IntraEEAwCHUK</t>
  </si>
  <si>
    <t>Eff_theor.kgoe_per_100km.EE.Tr.Avia.Freight.ExtraEEAwCHUK</t>
  </si>
  <si>
    <t>Aviation / CO2 emissions - EE - Estonia</t>
  </si>
  <si>
    <t>EMI.ktCO2.EE.Tr.Avia</t>
  </si>
  <si>
    <t>EMI.ktCO2.EE.Tr.Avia.Domestic</t>
  </si>
  <si>
    <t>EMI.ktCO2.EE.Tr.Avia.International</t>
  </si>
  <si>
    <t>EMI.ktCO2.EE.Tr.Avia.Passenger</t>
  </si>
  <si>
    <t>EMI.ktCO2.EE.Tr.Avia.Passenger.Domestic</t>
  </si>
  <si>
    <t>EMI.ktCO2.EE.Tr.Avia.Passenger.IntraEEAwCHUK</t>
  </si>
  <si>
    <t>EMI.ktCO2.EE.Tr.Avia.Passenger.ExtraEEAwCHUK</t>
  </si>
  <si>
    <t>EMI.ktCO2.EE.Tr.Avia.Freight</t>
  </si>
  <si>
    <t>EMI.ktCO2.EE.Tr.Avia.Freight.Domestic</t>
  </si>
  <si>
    <t>EMI.ktCO2.EE.Tr.Avia.Freight.IntraEEAwCHUK</t>
  </si>
  <si>
    <t>EMI.ktCO2.EE.Tr.Avia.Freight.ExtraEEAwCHUK</t>
  </si>
  <si>
    <t>EMIint.gCO2_per_km.EE.Tr.Avia</t>
  </si>
  <si>
    <t>EMIint.gCO2_per_km.EE.Tr.Avia.Passenger</t>
  </si>
  <si>
    <t>EMIint.gCO2_per_km.EE.Tr.Avia.Passenger.Domestic</t>
  </si>
  <si>
    <t>EMIint.gCO2_per_km.EE.Tr.Avia.Passenger.IntraEEAwCHUK</t>
  </si>
  <si>
    <t>EMIint.gCO2_per_km.EE.Tr.Avia.Passenger.ExtraEEAwCHUK</t>
  </si>
  <si>
    <t>EMIint.gCO2_per_km.EE.Tr.Avia.Freight</t>
  </si>
  <si>
    <t>EMIint.gCO2_per_km.EE.Tr.Avia.Freight.Domestic</t>
  </si>
  <si>
    <t>EMIint.gCO2_per_km.EE.Tr.Avia.Freight.IntraEEAwCHUK</t>
  </si>
  <si>
    <t>EMIint.gCO2_per_km.EE.Tr.Avia.Freight.ExtraEEAwCHUK</t>
  </si>
  <si>
    <t>EMIint.gCO2_per_pkm.EE.Tr.Avia.Passenger</t>
  </si>
  <si>
    <t>EMIint.gCO2_per_pkm.EE.Tr.Avia.Passenger.Domestic</t>
  </si>
  <si>
    <t>EMIint.gCO2_per_pkm.EE.Tr.Avia.Passenger.IntraEEAwCHUK</t>
  </si>
  <si>
    <t>EMIint.gCO2_per_pkm.EE.Tr.Avia.Passenger.ExtraEEAwCHUK</t>
  </si>
  <si>
    <t>EMIint.gCO2_per_tkm.EE.Tr.Avia.Freight</t>
  </si>
  <si>
    <t>EMIint.gCO2_per_tkm.EE.Tr.Avia.Freight.Domestic</t>
  </si>
  <si>
    <t>EMIint.gCO2_per_tkm.EE.Tr.Avia.Freight.IntraEEAwCHUK</t>
  </si>
  <si>
    <t>EMIint.gCO2_per_tkm.EE.Tr.Avia.Freight.ExtraEEAwCHUK</t>
  </si>
  <si>
    <t>EMI_per_flight.kgCO2.EE.Tr.Avia</t>
  </si>
  <si>
    <t>EMI_per_flight.kgCO2.EE.Tr.Avia.Passenger</t>
  </si>
  <si>
    <t>EMI_per_flight.kgCO2.EE.Tr.Avia.Passenger.Domestic</t>
  </si>
  <si>
    <t>EMI_per_flight.kgCO2.EE.Tr.Avia.Passenger.IntraEEAwCHUK</t>
  </si>
  <si>
    <t>EMI_per_flight.kgCO2.EE.Tr.Avia.Passenger.ExtraEEAwCHUK</t>
  </si>
  <si>
    <t>EMI_per_flight.kgCO2.EE.Tr.Avia.Freight</t>
  </si>
  <si>
    <t>EMI_per_flight.kgCO2.EE.Tr.Avia.Freight.Domestic</t>
  </si>
  <si>
    <t>EMI_per_flight.kgCO2.EE.Tr.Avia.Freight.IntraEEAwCHUK</t>
  </si>
  <si>
    <t>EMI_per_flight.kgCO2.EE.Tr.Avia.Freight.ExtraEEAwCHUK</t>
  </si>
  <si>
    <t>Aviation / passenger transport specific data - EE - Estonia</t>
  </si>
  <si>
    <t>TrCap.seats.EE.Tr.Avia.Passenger</t>
  </si>
  <si>
    <t>TrCap.seats.EE.Tr.Avia.Passenger.Domestic</t>
  </si>
  <si>
    <t>TrCap.seats.EE.Tr.Avia.Passenger.IntraEEAwCHUK</t>
  </si>
  <si>
    <t>TrCap.seats.EE.Tr.Avia.Passenger.ExtraEEAwCHUK</t>
  </si>
  <si>
    <t>TrCap_per_flight.seats.EE.Tr.Avia.Passenger</t>
  </si>
  <si>
    <t>TrCap_per_flight.seats.EE.Tr.Avia.Passenger.Domestic</t>
  </si>
  <si>
    <t>TrCap_per_flight.seats.EE.Tr.Avia.Passenger.IntraEEAwCHUK</t>
  </si>
  <si>
    <t>TrCap_per_flight.seats.EE.Tr.Avia.Passenger.ExtraEEAwCHUK</t>
  </si>
  <si>
    <t>Transport overview - EE - Estonia</t>
  </si>
  <si>
    <t>Activity.Mpkm.EE.Tr</t>
  </si>
  <si>
    <t>Activity.Mpkm.EE.Tr.Road.Passenger</t>
  </si>
  <si>
    <t>Activity.Mpkm.EE.Tr.Road.Passenger.P2W</t>
  </si>
  <si>
    <t>Activity.Mpkm.EE.Tr.Road.Passenger.Car</t>
  </si>
  <si>
    <t>Activity.Mpkm.EE.Tr.Road.Passenger.Bus</t>
  </si>
  <si>
    <t>Activity.Mpkm.EE.Tr.Rail.Passenger</t>
  </si>
  <si>
    <t>Activity.Mpkm.EE.Tr.Rail.Passenger.MTU</t>
  </si>
  <si>
    <t>Activity.Mpkm.EE.Tr.Rail.Passenger.CPT</t>
  </si>
  <si>
    <t>Activity.Mpkm.EE.Tr.Rail.Passenger.HST</t>
  </si>
  <si>
    <t>Activity.Mtkm.EE.Tr</t>
  </si>
  <si>
    <t>Activity.Mtkm.EE.Tr.Road.Freight</t>
  </si>
  <si>
    <t>Activity.Mtkm.EE.Tr.Road.Freight.LCV</t>
  </si>
  <si>
    <t>Activity.Mtkm.EE.Tr.Road.Freight.HGV_All</t>
  </si>
  <si>
    <t>Activity.Mtkm.EE.Tr.Rail.Freight</t>
  </si>
  <si>
    <t>Activity.Mtkm.EE.Tr.DNavi.Freight</t>
  </si>
  <si>
    <t>Activity.Mtkm.EE.Tr.DNavi.Freight.DCS</t>
  </si>
  <si>
    <t>Activity.Mtkm.EE.Tr.DNavi.Freight.IWW</t>
  </si>
  <si>
    <t>Activity.Mtkm.EE.MBunk.Freight</t>
  </si>
  <si>
    <t>Activity.Mtkm.EE.MBunk.Freight.IntraEEA</t>
  </si>
  <si>
    <t>Activity.Mtkm.EE.MBunk.Freight.ExtraEEA</t>
  </si>
  <si>
    <t>FEC.ktoe.EE.Tr.Road.Passenger</t>
  </si>
  <si>
    <t>FEC.ktoe.EE.Tr.Road.Passenger.P2W</t>
  </si>
  <si>
    <t>FEC.ktoe.EE.Tr.Road.Passenger.Car</t>
  </si>
  <si>
    <t>FEC.ktoe.EE.Tr.Road.Passenger.Bus</t>
  </si>
  <si>
    <t>FEC.ktoe.EE.Tr.Rail.Passenger</t>
  </si>
  <si>
    <t>FEC.ktoe.EE.Tr.Rail.Passenger.MTU</t>
  </si>
  <si>
    <t>FEC.ktoe.EE.Tr.Rail.Passenger.CPT</t>
  </si>
  <si>
    <t>FEC.ktoe.EE.Tr.Rail.Passenger.HST</t>
  </si>
  <si>
    <t>FEC.ktoe.EE.Tr.Road.Freight</t>
  </si>
  <si>
    <t>FEC.ktoe.EE.Tr.Road.Freight.LCV</t>
  </si>
  <si>
    <t>FEC.ktoe.EE.Tr.Road.Freight.HGV_All</t>
  </si>
  <si>
    <t>FEC.ktoe.EE.Tr.Rail.Freight</t>
  </si>
  <si>
    <t>EMI.ktCO2.EE.Tr.Road.Passenger</t>
  </si>
  <si>
    <t>EMI.ktCO2.EE.Tr.Road.Passenger.P2W</t>
  </si>
  <si>
    <t>EMI.ktCO2.EE.Tr.Road.Passenger.Car</t>
  </si>
  <si>
    <t>EMI.ktCO2.EE.Tr.Road.Passenger.Bus</t>
  </si>
  <si>
    <t>EMI.ktCO2.EE.Tr.Rail.Passenger</t>
  </si>
  <si>
    <t>EMI.ktCO2.EE.Tr.Rail.Passenger.MTU</t>
  </si>
  <si>
    <t>EMI.ktCO2.EE.Tr.Rail.Passenger.CPT</t>
  </si>
  <si>
    <t>EMI.ktCO2.EE.Tr.Rail.Passenger.HST</t>
  </si>
  <si>
    <t>EMI.ktCO2.EE.Tr.Road.Freight</t>
  </si>
  <si>
    <t>EMI.ktCO2.EE.Tr.Road.Freight.LCV</t>
  </si>
  <si>
    <t>EMI.ktCO2.EE.Tr.Road.Freight.HGV_All</t>
  </si>
  <si>
    <t>EMI.ktCO2.EE.Tr.Rail.Freight</t>
  </si>
  <si>
    <t>Eff.kgoe_per_kpkm.EE.Tr</t>
  </si>
  <si>
    <t>Eff.kgoe_per_kpkm.EE.Tr.Road.Passenger</t>
  </si>
  <si>
    <t>Eff.kgoe_per_kpkm.EE.Tr.Road.Passenger.P2W</t>
  </si>
  <si>
    <t>Eff.kgoe_per_kpkm.EE.Tr.Road.Passenger.Car</t>
  </si>
  <si>
    <t>Eff.kgoe_per_kpkm.EE.Tr.Road.Passenger.Bus</t>
  </si>
  <si>
    <t>Eff.kgoe_per_kpkm.EE.Tr.Rail.Passenger</t>
  </si>
  <si>
    <t>Eff.kgoe_per_kpkm.EE.Tr.Rail.Passenger.MTU</t>
  </si>
  <si>
    <t>Eff.kgoe_per_kpkm.EE.Tr.Rail.Passenger.CPT</t>
  </si>
  <si>
    <t>Eff.kgoe_per_kpkm.EE.Tr.Rail.Passenger.HST</t>
  </si>
  <si>
    <t>Eff.kgoe_per_ktkm.EE.Tr</t>
  </si>
  <si>
    <t>Eff.kgoe_per_ktkm.EE.Tr.Road.Freight</t>
  </si>
  <si>
    <t>Eff.kgoe_per_ktkm.EE.Tr.Road.Freight.LCV</t>
  </si>
  <si>
    <t>Eff.kgoe_per_ktkm.EE.Tr.Road.Freight.HGV_All</t>
  </si>
  <si>
    <t>Eff.kgoe_per_ktkm.EE.Tr.Rail.Freight</t>
  </si>
  <si>
    <t>Eff.kgoe_per_ktkm.EE.Tr.DNavi.Freight</t>
  </si>
  <si>
    <t>Eff.kgoe_per_ktkm.EE.Tr.DNavi.Freight.DCS</t>
  </si>
  <si>
    <t>Eff.kgoe_per_ktkm.EE.Tr.DNavi.Freight.IWW</t>
  </si>
  <si>
    <t>Eff.kgoe_per_ktkm.EE.MBunk.Freight</t>
  </si>
  <si>
    <t>Eff.kgoe_per_ktkm.EE.MBunk.Freight.IntraEEA</t>
  </si>
  <si>
    <t>Eff.kgoe_per_ktkm.EE.MBunk.Freight.ExtraEEA</t>
  </si>
  <si>
    <t>EMIint.gCO2_per_pkm.EE.Tr</t>
  </si>
  <si>
    <t>EMIint.gCO2_per_pkm.EE.Tr.Road.Passenger</t>
  </si>
  <si>
    <t>EMIint.gCO2_per_pkm.EE.Tr.Road.Passenger.P2W</t>
  </si>
  <si>
    <t>EMIint.gCO2_per_pkm.EE.Tr.Road.Passenger.Car</t>
  </si>
  <si>
    <t>EMIint.gCO2_per_pkm.EE.Tr.Road.Passenger.Bus</t>
  </si>
  <si>
    <t>EMIint.gCO2_per_pkm.EE.Tr.Rail.Passenger</t>
  </si>
  <si>
    <t>EMIint.gCO2_per_pkm.EE.Tr.Rail.Passenger.MTU</t>
  </si>
  <si>
    <t>EMIint.gCO2_per_pkm.EE.Tr.Rail.Passenger.CPT</t>
  </si>
  <si>
    <t>EMIint.gCO2_per_pkm.EE.Tr.Rail.Passenger.HST</t>
  </si>
  <si>
    <t>EMIint.gCO2_per_tkm.EE.Tr</t>
  </si>
  <si>
    <t>EMIint.gCO2_per_tkm.EE.Tr.Road.Freight</t>
  </si>
  <si>
    <t>EMIint.gCO2_per_tkm.EE.Tr.Road.Freight.LCV</t>
  </si>
  <si>
    <t>EMIint.gCO2_per_tkm.EE.Tr.Road.Freight.HGV_All</t>
  </si>
  <si>
    <t>EMIint.gCO2_per_tkm.EE.Tr.Rail.Freight</t>
  </si>
  <si>
    <t>EMIint.gCO2_per_tkm.EE.Tr.DNavi.Freight</t>
  </si>
  <si>
    <t>EMIint.gCO2_per_tkm.EE.Tr.DNavi.Freight.DCS</t>
  </si>
  <si>
    <t>EMIint.gCO2_per_tkm.EE.Tr.DNavi.Freight.IWW</t>
  </si>
  <si>
    <t>EMIint.gCO2_per_tkm.EE.MBunk.Freight</t>
  </si>
  <si>
    <t>EMIint.gCO2_per_tkm.EE.MBunk.Freight.IntraEEA</t>
  </si>
  <si>
    <t>EMIint.gCO2_per_tkm.EE.MBunk.Freight.ExtraEEA</t>
  </si>
  <si>
    <t>Road transport - EE - Estonia</t>
  </si>
  <si>
    <t>Activity.Mpkm.EE.Tr.Road.Passenger.Car.ICE.Gasoline</t>
  </si>
  <si>
    <t>Activity.Mpkm.EE.Tr.Road.Passenger.Car.ICE.Diesel</t>
  </si>
  <si>
    <t>Activity.Mpkm.EE.Tr.Road.Passenger.Car.ICE.LPG</t>
  </si>
  <si>
    <t>Activity.Mpkm.EE.Tr.Road.Passenger.Car.ICE.NGas</t>
  </si>
  <si>
    <t>Activity.Mpkm.EE.Tr.Road.Passenger.Car.PHEV.Gasoline</t>
  </si>
  <si>
    <t>Activity.Mpkm.EE.Tr.Road.Passenger.Car.BEV</t>
  </si>
  <si>
    <t>Activity.Mpkm.EE.Tr.Road.Passenger.Bus.ICE.Gasoline</t>
  </si>
  <si>
    <t>Activity.Mpkm.EE.Tr.Road.Passenger.Bus.ICE.Diesel</t>
  </si>
  <si>
    <t>Activity.Mpkm.EE.Tr.Road.Passenger.Bus.ICE.LPG</t>
  </si>
  <si>
    <t>Activity.Mpkm.EE.Tr.Road.Passenger.Bus.ICE.NGas</t>
  </si>
  <si>
    <t>Activity.Mpkm.EE.Tr.Road.Passenger.Bus.BEV</t>
  </si>
  <si>
    <t>Activity.Mtkm.EE.Tr.Road.Freight.LCV.ICE.Gasoline</t>
  </si>
  <si>
    <t>Activity.Mtkm.EE.Tr.Road.Freight.LCV.ICE.Diesel</t>
  </si>
  <si>
    <t>Activity.Mtkm.EE.Tr.Road.Freight.LCV.ICE.LPG</t>
  </si>
  <si>
    <t>Activity.Mtkm.EE.Tr.Road.Freight.LCV.ICE.NGas</t>
  </si>
  <si>
    <t>Activity.Mtkm.EE.Tr.Road.Freight.LCV.BEV</t>
  </si>
  <si>
    <t>Activity.Mtkm.EE.Tr.Road.Freight.HGV_Domestic</t>
  </si>
  <si>
    <t>Activity.Mtkm.EE.Tr.Road.Freight.HGV_International</t>
  </si>
  <si>
    <t>VehicleKm.Mkm.EE.Tr.Road</t>
  </si>
  <si>
    <t>VehicleKm.Mkm.EE.Tr.Road.Passenger</t>
  </si>
  <si>
    <t>VehicleKm.Mkm.EE.Tr.Road.Passenger.P2W</t>
  </si>
  <si>
    <t>VehicleKm.Mkm.EE.Tr.Road.Passenger.Car</t>
  </si>
  <si>
    <t>VehicleKm.Mkm.EE.Tr.Road.Passenger.Car.ICE.Gasoline</t>
  </si>
  <si>
    <t>VehicleKm.Mkm.EE.Tr.Road.Passenger.Car.ICE.Diesel</t>
  </si>
  <si>
    <t>VehicleKm.Mkm.EE.Tr.Road.Passenger.Car.ICE.LPG</t>
  </si>
  <si>
    <t>VehicleKm.Mkm.EE.Tr.Road.Passenger.Car.ICE.NGas</t>
  </si>
  <si>
    <t>VehicleKm.Mkm.EE.Tr.Road.Passenger.Car.PHEV.Gasoline</t>
  </si>
  <si>
    <t>VehicleKm.Mkm.EE.Tr.Road.Passenger.Car.BEV</t>
  </si>
  <si>
    <t>VehicleKm.Mkm.EE.Tr.Road.Passenger.Bus</t>
  </si>
  <si>
    <t>VehicleKm.Mkm.EE.Tr.Road.Passenger.Bus.ICE.Gasoline</t>
  </si>
  <si>
    <t>VehicleKm.Mkm.EE.Tr.Road.Passenger.Bus.ICE.Diesel</t>
  </si>
  <si>
    <t>VehicleKm.Mkm.EE.Tr.Road.Passenger.Bus.ICE.LPG</t>
  </si>
  <si>
    <t>VehicleKm.Mkm.EE.Tr.Road.Passenger.Bus.ICE.NGas</t>
  </si>
  <si>
    <t>VehicleKm.Mkm.EE.Tr.Road.Passenger.Bus.BEV</t>
  </si>
  <si>
    <t>VehicleKm.Mkm.EE.Tr.Road.Freight</t>
  </si>
  <si>
    <t>VehicleKm.Mkm.EE.Tr.Road.Freight.LCV</t>
  </si>
  <si>
    <t>VehicleKm.Mkm.EE.Tr.Road.Freight.LCV.ICE.Gasoline</t>
  </si>
  <si>
    <t>VehicleKm.Mkm.EE.Tr.Road.Freight.LCV.ICE.Diesel</t>
  </si>
  <si>
    <t>VehicleKm.Mkm.EE.Tr.Road.Freight.LCV.ICE.LPG</t>
  </si>
  <si>
    <t>VehicleKm.Mkm.EE.Tr.Road.Freight.LCV.ICE.NGas</t>
  </si>
  <si>
    <t>VehicleKm.Mkm.EE.Tr.Road.Freight.LCV.BEV</t>
  </si>
  <si>
    <t>VehicleKm.Mkm.EE.Tr.Road.Freight.HGV_All</t>
  </si>
  <si>
    <t>VehicleKm.Mkm.EE.Tr.Road.Freight.HGV_Domestic</t>
  </si>
  <si>
    <t>VehicleKm.Mkm.EE.Tr.Road.Freight.HGV_International</t>
  </si>
  <si>
    <t>Stock.number.EE.Tr.Road</t>
  </si>
  <si>
    <t>Stock.number.EE.Tr.Road.Passenger</t>
  </si>
  <si>
    <t>Stock.number.EE.Tr.Road.Passenger.P2W</t>
  </si>
  <si>
    <t>Stock.number.EE.Tr.Road.Passenger.Car</t>
  </si>
  <si>
    <t>Stock.number.EE.Tr.Road.Passenger.Car.ICE.Gasoline</t>
  </si>
  <si>
    <t>Stock.number.EE.Tr.Road.Passenger.Car.ICE.Diesel</t>
  </si>
  <si>
    <t>Stock.number.EE.Tr.Road.Passenger.Car.ICE.LPG</t>
  </si>
  <si>
    <t>Stock.number.EE.Tr.Road.Passenger.Car.ICE.NGas</t>
  </si>
  <si>
    <t>Stock.number.EE.Tr.Road.Passenger.Car.PHEV.Gasoline</t>
  </si>
  <si>
    <t>Stock.number.EE.Tr.Road.Passenger.Car.BEV</t>
  </si>
  <si>
    <t>Stock.number.EE.Tr.Road.Passenger.Bus</t>
  </si>
  <si>
    <t>Stock.number.EE.Tr.Road.Passenger.Bus.ICE.Gasoline</t>
  </si>
  <si>
    <t>Stock.number.EE.Tr.Road.Passenger.Bus.ICE.Diesel</t>
  </si>
  <si>
    <t>Stock.number.EE.Tr.Road.Passenger.Bus.ICE.LPG</t>
  </si>
  <si>
    <t>Stock.number.EE.Tr.Road.Passenger.Bus.ICE.NGas</t>
  </si>
  <si>
    <t>Stock.number.EE.Tr.Road.Passenger.Bus.BEV</t>
  </si>
  <si>
    <t>Stock.number.EE.Tr.Road.Freight</t>
  </si>
  <si>
    <t>Stock.number.EE.Tr.Road.Freight.LCV</t>
  </si>
  <si>
    <t>Stock.number.EE.Tr.Road.Freight.LCV.ICE.Gasoline</t>
  </si>
  <si>
    <t>Stock.number.EE.Tr.Road.Freight.LCV.ICE.Diesel</t>
  </si>
  <si>
    <t>Stock.number.EE.Tr.Road.Freight.LCV.ICE.LPG</t>
  </si>
  <si>
    <t>Stock.number.EE.Tr.Road.Freight.LCV.ICE.NGas</t>
  </si>
  <si>
    <t>Stock.number.EE.Tr.Road.Freight.LCV.BEV</t>
  </si>
  <si>
    <t>Stock.number.EE.Tr.Road.Freight.HGV_All</t>
  </si>
  <si>
    <t>Stock.number.EE.Tr.Road.Freight.HGV_Domestic</t>
  </si>
  <si>
    <t>Stock.number.EE.Tr.Road.Freight.HGV_International</t>
  </si>
  <si>
    <t>StockNew.number.EE.Tr.Road</t>
  </si>
  <si>
    <t>StockNew.number.EE.Tr.Road.Passenger</t>
  </si>
  <si>
    <t>StockNew.number.EE.Tr.Road.Passenger.P2W</t>
  </si>
  <si>
    <t>StockNew.number.EE.Tr.Road.Passenger.Car</t>
  </si>
  <si>
    <t>StockNew.number.EE.Tr.Road.Passenger.Car.ICE.Gasoline</t>
  </si>
  <si>
    <t>StockNew.number.EE.Tr.Road.Passenger.Car.ICE.Diesel</t>
  </si>
  <si>
    <t>StockNew.number.EE.Tr.Road.Passenger.Car.ICE.LPG</t>
  </si>
  <si>
    <t>StockNew.number.EE.Tr.Road.Passenger.Car.ICE.NGas</t>
  </si>
  <si>
    <t>StockNew.number.EE.Tr.Road.Passenger.Car.PHEV.Gasoline</t>
  </si>
  <si>
    <t>StockNew.number.EE.Tr.Road.Passenger.Car.BEV</t>
  </si>
  <si>
    <t>StockNew.number.EE.Tr.Road.Passenger.Bus</t>
  </si>
  <si>
    <t>StockNew.number.EE.Tr.Road.Passenger.Bus.ICE.Gasoline</t>
  </si>
  <si>
    <t>StockNew.number.EE.Tr.Road.Passenger.Bus.ICE.Diesel</t>
  </si>
  <si>
    <t>StockNew.number.EE.Tr.Road.Passenger.Bus.ICE.LPG</t>
  </si>
  <si>
    <t>StockNew.number.EE.Tr.Road.Passenger.Bus.ICE.NGas</t>
  </si>
  <si>
    <t>StockNew.number.EE.Tr.Road.Passenger.Bus.BEV</t>
  </si>
  <si>
    <t>StockNew.number.EE.Tr.Road.Freight</t>
  </si>
  <si>
    <t>StockNew.number.EE.Tr.Road.Freight.LCV</t>
  </si>
  <si>
    <t>StockNew.number.EE.Tr.Road.Freight.LCV.ICE.Gasoline</t>
  </si>
  <si>
    <t>StockNew.number.EE.Tr.Road.Freight.LCV.ICE.Diesel</t>
  </si>
  <si>
    <t>StockNew.number.EE.Tr.Road.Freight.LCV.ICE.LPG</t>
  </si>
  <si>
    <t>StockNew.number.EE.Tr.Road.Freight.LCV.ICE.NGas</t>
  </si>
  <si>
    <t>StockNew.number.EE.Tr.Road.Freight.LCV.BEV</t>
  </si>
  <si>
    <t>StockNew.number.EE.Tr.Road.Freight.HGV_All</t>
  </si>
  <si>
    <t>StockNew.number.EE.Tr.Road.Freight.HGV_Domestic</t>
  </si>
  <si>
    <t>StockNew.number.EE.Tr.Road.Freight.HGV_International</t>
  </si>
  <si>
    <t>Load.passenger_per_movement.EE.Tr.Road.Passenger</t>
  </si>
  <si>
    <t>Load.passenger_per_movement.EE.Tr.Road.Passenger.P2W</t>
  </si>
  <si>
    <t>Load.passenger_per_movement.EE.Tr.Road.Passenger.Car</t>
  </si>
  <si>
    <t>Load.passenger_per_movement.EE.Tr.Road.Passenger.Car.ICE.Gasoline</t>
  </si>
  <si>
    <t>Load.passenger_per_movement.EE.Tr.Road.Passenger.Car.ICE.Diesel</t>
  </si>
  <si>
    <t>Load.passenger_per_movement.EE.Tr.Road.Passenger.Car.ICE.LPG</t>
  </si>
  <si>
    <t>Load.passenger_per_movement.EE.Tr.Road.Passenger.Car.ICE.NGas</t>
  </si>
  <si>
    <t>Load.passenger_per_movement.EE.Tr.Road.Passenger.Car.PHEV.Gasoline</t>
  </si>
  <si>
    <t>Load.passenger_per_movement.EE.Tr.Road.Passenger.Car.BEV</t>
  </si>
  <si>
    <t>Load.passenger_per_movement.EE.Tr.Road.Passenger.Bus</t>
  </si>
  <si>
    <t>Load.passenger_per_movement.EE.Tr.Road.Passenger.Bus.ICE.Gasoline</t>
  </si>
  <si>
    <t>Load.passenger_per_movement.EE.Tr.Road.Passenger.Bus.ICE.Diesel</t>
  </si>
  <si>
    <t>Load.passenger_per_movement.EE.Tr.Road.Passenger.Bus.ICE.LPG</t>
  </si>
  <si>
    <t>Load.passenger_per_movement.EE.Tr.Road.Passenger.Bus.ICE.NGas</t>
  </si>
  <si>
    <t>Load.passenger_per_movement.EE.Tr.Road.Passenger.Bus.BEV</t>
  </si>
  <si>
    <t>Load.t_per_movement.EE.Tr.Road.Freight</t>
  </si>
  <si>
    <t>Load.t_per_movement.EE.Tr.Road.Freight.LCV</t>
  </si>
  <si>
    <t>Load.t_per_movement.EE.Tr.Road.Freight.LCV.ICE.Gasoline</t>
  </si>
  <si>
    <t>Load.t_per_movement.EE.Tr.Road.Freight.LCV.ICE.Diesel</t>
  </si>
  <si>
    <t>Load.t_per_movement.EE.Tr.Road.Freight.LCV.ICE.LPG</t>
  </si>
  <si>
    <t>Load.t_per_movement.EE.Tr.Road.Freight.LCV.ICE.NGas</t>
  </si>
  <si>
    <t>Load.t_per_movement.EE.Tr.Road.Freight.LCV.BEV</t>
  </si>
  <si>
    <t>Load.t_per_movement.EE.Tr.Road.Freight.HGV_All</t>
  </si>
  <si>
    <t>Load.t_per_movement.EE.Tr.Road.Freight.HGV_Domestic</t>
  </si>
  <si>
    <t>Load.t_per_movement.EE.Tr.Road.Freight.HGV_International</t>
  </si>
  <si>
    <t>VehicleKm_per_vehicle.km.EE.Tr.Road</t>
  </si>
  <si>
    <t>VehicleKm_per_vehicle.km.EE.Tr.Road.Passenger</t>
  </si>
  <si>
    <t>VehicleKm_per_vehicle.km.EE.Tr.Road.Passenger.P2W</t>
  </si>
  <si>
    <t>VehicleKm_per_vehicle.km.EE.Tr.Road.Passenger.Car</t>
  </si>
  <si>
    <t>VehicleKm_per_vehicle.km.EE.Tr.Road.Passenger.Car.ICE.Gasoline</t>
  </si>
  <si>
    <t>VehicleKm_per_vehicle.km.EE.Tr.Road.Passenger.Car.ICE.Diesel</t>
  </si>
  <si>
    <t>VehicleKm_per_vehicle.km.EE.Tr.Road.Passenger.Car.ICE.LPG</t>
  </si>
  <si>
    <t>VehicleKm_per_vehicle.km.EE.Tr.Road.Passenger.Car.ICE.NGas</t>
  </si>
  <si>
    <t>VehicleKm_per_vehicle.km.EE.Tr.Road.Passenger.Car.PHEV.Gasoline</t>
  </si>
  <si>
    <t>VehicleKm_per_vehicle.km.EE.Tr.Road.Passenger.Car.BEV</t>
  </si>
  <si>
    <t>VehicleKm_per_vehicle.km.EE.Tr.Road.Passenger.Bus</t>
  </si>
  <si>
    <t>VehicleKm_per_vehicle.km.EE.Tr.Road.Passenger.Bus.ICE.Gasoline</t>
  </si>
  <si>
    <t>VehicleKm_per_vehicle.km.EE.Tr.Road.Passenger.Bus.ICE.Diesel</t>
  </si>
  <si>
    <t>VehicleKm_per_vehicle.km.EE.Tr.Road.Passenger.Bus.ICE.LPG</t>
  </si>
  <si>
    <t>VehicleKm_per_vehicle.km.EE.Tr.Road.Passenger.Bus.ICE.NGas</t>
  </si>
  <si>
    <t>VehicleKm_per_vehicle.km.EE.Tr.Road.Passenger.Bus.BEV</t>
  </si>
  <si>
    <t>VehicleKm_per_vehicle.km.EE.Tr.Road.Freight</t>
  </si>
  <si>
    <t>VehicleKm_per_vehicle.km.EE.Tr.Road.Freight.LCV</t>
  </si>
  <si>
    <t>VehicleKm_per_vehicle.km.EE.Tr.Road.Freight.LCV.ICE.Gasoline</t>
  </si>
  <si>
    <t>VehicleKm_per_vehicle.km.EE.Tr.Road.Freight.LCV.ICE.Diesel</t>
  </si>
  <si>
    <t>VehicleKm_per_vehicle.km.EE.Tr.Road.Freight.LCV.ICE.LPG</t>
  </si>
  <si>
    <t>VehicleKm_per_vehicle.km.EE.Tr.Road.Freight.LCV.ICE.NGas</t>
  </si>
  <si>
    <t>VehicleKm_per_vehicle.km.EE.Tr.Road.Freight.LCV.BEV</t>
  </si>
  <si>
    <t>VehicleKm_per_vehicle.km.EE.Tr.Road.Freight.HGV_All</t>
  </si>
  <si>
    <t>VehicleKm_per_vehicle.km.EE.Tr.Road.Freight.HGV_Domestic</t>
  </si>
  <si>
    <t>VehicleKm_per_vehicle.km.EE.Tr.Road.Freight.HGV_International</t>
  </si>
  <si>
    <t>Activity_per_vehicle.pkm.EE.Tr.Road.Passenger</t>
  </si>
  <si>
    <t>Activity_per_vehicle.pkm.EE.Tr.Road.Passenger.P2W</t>
  </si>
  <si>
    <t>Activity_per_vehicle.pkm.EE.Tr.Road.Passenger.Car</t>
  </si>
  <si>
    <t>Activity_per_vehicle.pkm.EE.Tr.Road.Passenger.Car.ICE.Gasoline</t>
  </si>
  <si>
    <t>Activity_per_vehicle.pkm.EE.Tr.Road.Passenger.Car.ICE.Diesel</t>
  </si>
  <si>
    <t>Activity_per_vehicle.pkm.EE.Tr.Road.Passenger.Car.ICE.LPG</t>
  </si>
  <si>
    <t>Activity_per_vehicle.pkm.EE.Tr.Road.Passenger.Car.ICE.NGas</t>
  </si>
  <si>
    <t>Activity_per_vehicle.pkm.EE.Tr.Road.Passenger.Car.PHEV.Gasoline</t>
  </si>
  <si>
    <t>Activity_per_vehicle.pkm.EE.Tr.Road.Passenger.Car.BEV</t>
  </si>
  <si>
    <t>Activity_per_vehicle.pkm.EE.Tr.Road.Passenger.Bus</t>
  </si>
  <si>
    <t>Activity_per_vehicle.pkm.EE.Tr.Road.Passenger.Bus.ICE.Gasoline</t>
  </si>
  <si>
    <t>Activity_per_vehicle.pkm.EE.Tr.Road.Passenger.Bus.ICE.Diesel</t>
  </si>
  <si>
    <t>Activity_per_vehicle.pkm.EE.Tr.Road.Passenger.Bus.ICE.LPG</t>
  </si>
  <si>
    <t>Activity_per_vehicle.pkm.EE.Tr.Road.Passenger.Bus.ICE.NGas</t>
  </si>
  <si>
    <t>Activity_per_vehicle.pkm.EE.Tr.Road.Passenger.Bus.BEV</t>
  </si>
  <si>
    <t>Activity_per_vehicle.tkm.EE.Tr.Road.Freight</t>
  </si>
  <si>
    <t>Activity_per_vehicle.tkm.EE.Tr.Road.Freight.LCV</t>
  </si>
  <si>
    <t>Activity_per_vehicle.tkm.EE.Tr.Road.Freight.LCV.ICE.Gasoline</t>
  </si>
  <si>
    <t>Activity_per_vehicle.tkm.EE.Tr.Road.Freight.LCV.ICE.Diesel</t>
  </si>
  <si>
    <t>Activity_per_vehicle.tkm.EE.Tr.Road.Freight.LCV.ICE.LPG</t>
  </si>
  <si>
    <t>Activity_per_vehicle.tkm.EE.Tr.Road.Freight.LCV.ICE.NGas</t>
  </si>
  <si>
    <t>Activity_per_vehicle.tkm.EE.Tr.Road.Freight.LCV.BEV</t>
  </si>
  <si>
    <t>Activity_per_vehicle.tkm.EE.Tr.Road.Freight.HGV_All</t>
  </si>
  <si>
    <t>Activity_per_vehicle.tkm.EE.Tr.Road.Freight.HGV_Domestic</t>
  </si>
  <si>
    <t>Activity_per_vehicle.tkm.EE.Tr.Road.Freight.HGV_International</t>
  </si>
  <si>
    <t>Road transport / energy consumption - EE - Estonia</t>
  </si>
  <si>
    <t>FEC.ktoe.EE.ES.Tr.Road</t>
  </si>
  <si>
    <t>FEC.ktoe.EE.ES.Tr.Road.LPG</t>
  </si>
  <si>
    <t>FEC.ktoe.EE.ES.Tr.Road.Gasoline</t>
  </si>
  <si>
    <t>FEC.ktoe.EE.ES.Tr.Road.Diesel</t>
  </si>
  <si>
    <t>FEC.ktoe.EE.ES.Tr.Road.NG</t>
  </si>
  <si>
    <t>FEC.ktoe.EE.ES.Tr.Road.Biogas</t>
  </si>
  <si>
    <t>FEC.ktoe.EE.ES.Tr.Road.Biogasoline</t>
  </si>
  <si>
    <t>FEC.ktoe.EE.ES.Tr.Road.Biodiesel</t>
  </si>
  <si>
    <t>FEC.ktoe.EE.ES.Tr.Road.OthLiqBio</t>
  </si>
  <si>
    <t>FEC.ktoe.EE.ES.Tr.Road.Elec</t>
  </si>
  <si>
    <t>FEC.ktoe.EE.Tr.Road</t>
  </si>
  <si>
    <t>FEC.ktoe.EE.Tr.Road.Passenger.P2W.Total.Total.Biogasoline</t>
  </si>
  <si>
    <t>FEC.ktoe.EE.Tr.Road.Passenger.Car.ICE.Gasoline</t>
  </si>
  <si>
    <t>FEC.ktoe.EE.Tr.Road.Passenger.Car.ICE.Gasoline.Biogasoline</t>
  </si>
  <si>
    <t>FEC.ktoe.EE.Tr.Road.Passenger.Car.ICE.Diesel</t>
  </si>
  <si>
    <t>FEC.ktoe.EE.Tr.Road.Passenger.Car.ICE.Diesel.BioDiesel_OthLiqBio</t>
  </si>
  <si>
    <t>FEC.ktoe.EE.Tr.Road.Passenger.Car.ICE.LPG</t>
  </si>
  <si>
    <t>FEC.ktoe.EE.Tr.Road.Passenger.Car.ICE.NGas</t>
  </si>
  <si>
    <t>FEC.ktoe.EE.Tr.Road.Passenger.Car.ICE.NGas.Biogas</t>
  </si>
  <si>
    <t>FEC.ktoe.EE.Tr.Road.Passenger.Car.PHEV.Gasoline</t>
  </si>
  <si>
    <t>FEC.ktoe.EE.Tr.Road.Passenger.Car.PHEV.Gasoline.Biogasoline</t>
  </si>
  <si>
    <t>FEC.ktoe.EE.Tr.Road.Passenger.Car.PHEV.Gasoline.Elec</t>
  </si>
  <si>
    <t>FEC.ktoe.EE.Tr.Road.Passenger.Car.BEV</t>
  </si>
  <si>
    <t>FEC.ktoe.EE.Tr.Road.Passenger.Bus.ICE.Gasoline</t>
  </si>
  <si>
    <t>FEC.ktoe.EE.Tr.Road.Passenger.Bus.ICE.Gasoline.Biogasoline</t>
  </si>
  <si>
    <t>FEC.ktoe.EE.Tr.Road.Passenger.Bus.ICE.Diesel</t>
  </si>
  <si>
    <t>FEC.ktoe.EE.Tr.Road.Passenger.Bus.ICE.Diesel.BioDiesel_OthLiqBio</t>
  </si>
  <si>
    <t>FEC.ktoe.EE.Tr.Road.Passenger.Bus.ICE.LPG</t>
  </si>
  <si>
    <t>FEC.ktoe.EE.Tr.Road.Passenger.Bus.ICE.NGas</t>
  </si>
  <si>
    <t>FEC.ktoe.EE.Tr.Road.Passenger.Bus.ICE.NGas.Biogas</t>
  </si>
  <si>
    <t>FEC.ktoe.EE.Tr.Road.Passenger.Bus.BEV</t>
  </si>
  <si>
    <t>FEC.ktoe.EE.Tr.Road.Freight.LCV.ICE.Gasoline</t>
  </si>
  <si>
    <t>FEC.ktoe.EE.Tr.Road.Freight.LCV.ICE.Gasoline.Biogasoline</t>
  </si>
  <si>
    <t>FEC.ktoe.EE.Tr.Road.Freight.LCV.ICE.Diesel</t>
  </si>
  <si>
    <t>FEC.ktoe.EE.Tr.Road.Freight.LCV.ICE.Diesel.BioDiesel_OthLiqBio</t>
  </si>
  <si>
    <t>FEC.ktoe.EE.Tr.Road.Freight.LCV.ICE.LPG</t>
  </si>
  <si>
    <t>FEC.ktoe.EE.Tr.Road.Freight.LCV.ICE.NGas</t>
  </si>
  <si>
    <t>FEC.ktoe.EE.Tr.Road.Freight.LCV.ICE.NGas.Biogas</t>
  </si>
  <si>
    <t>FEC.ktoe.EE.Tr.Road.Freight.LCV.BEV</t>
  </si>
  <si>
    <t>FEC.ktoe.EE.Tr.Road.Freight.HGV_Domestic</t>
  </si>
  <si>
    <t>FEC.ktoe.EE.Tr.Road.Freight.HGV_Domestic.Total.Total.BioDiesel_OthLiqBio</t>
  </si>
  <si>
    <t>FEC.ktoe.EE.Tr.Road.Freight.HGV_International</t>
  </si>
  <si>
    <t>FEC.ktoe.EE.Tr.Road.Freight.HGV_International.Total.Total.BioDiesel_OthLiqBio</t>
  </si>
  <si>
    <t>Eff.kgoe_per_100km.EE.Tr.Road</t>
  </si>
  <si>
    <t>Eff.kgoe_per_100km.EE.Tr.Road.Passenger</t>
  </si>
  <si>
    <t>Eff.kgoe_per_100km.EE.Tr.Road.Passenger.P2W</t>
  </si>
  <si>
    <t>Eff.kgoe_per_100km.EE.Tr.Road.Passenger.Car</t>
  </si>
  <si>
    <t>Eff.kgoe_per_100km.EE.Tr.Road.Passenger.Car.ICE.Gasoline</t>
  </si>
  <si>
    <t>Eff.kgoe_per_100km.EE.Tr.Road.Passenger.Car.ICE.Diesel</t>
  </si>
  <si>
    <t>Eff.kgoe_per_100km.EE.Tr.Road.Passenger.Car.ICE.LPG</t>
  </si>
  <si>
    <t>Eff.kgoe_per_100km.EE.Tr.Road.Passenger.Car.ICE.NGas</t>
  </si>
  <si>
    <t>Eff.kgoe_per_100km.EE.Tr.Road.Passenger.Car.PHEV.Gasoline</t>
  </si>
  <si>
    <t>Eff.kgoe_per_100km.EE.Tr.Road.Passenger.Car.BEV</t>
  </si>
  <si>
    <t>Eff.kgoe_per_100km.EE.Tr.Road.Passenger.Bus</t>
  </si>
  <si>
    <t>Eff.kgoe_per_100km.EE.Tr.Road.Passenger.Bus.ICE.Gasoline</t>
  </si>
  <si>
    <t>Eff.kgoe_per_100km.EE.Tr.Road.Passenger.Bus.ICE.Diesel</t>
  </si>
  <si>
    <t>Eff.kgoe_per_100km.EE.Tr.Road.Passenger.Bus.ICE.LPG</t>
  </si>
  <si>
    <t>Eff.kgoe_per_100km.EE.Tr.Road.Passenger.Bus.ICE.NGas</t>
  </si>
  <si>
    <t>Eff.kgoe_per_100km.EE.Tr.Road.Passenger.Bus.BEV</t>
  </si>
  <si>
    <t>Eff.kgoe_per_100km.EE.Tr.Road.Freight</t>
  </si>
  <si>
    <t>Eff.kgoe_per_100km.EE.Tr.Road.Freight.LCV</t>
  </si>
  <si>
    <t>Eff.kgoe_per_100km.EE.Tr.Road.Freight.LCV.ICE.Gasoline</t>
  </si>
  <si>
    <t>Eff.kgoe_per_100km.EE.Tr.Road.Freight.LCV.ICE.Diesel</t>
  </si>
  <si>
    <t>Eff.kgoe_per_100km.EE.Tr.Road.Freight.LCV.ICE.LPG</t>
  </si>
  <si>
    <t>Eff.kgoe_per_100km.EE.Tr.Road.Freight.LCV.ICE.NGas</t>
  </si>
  <si>
    <t>Eff.kgoe_per_100km.EE.Tr.Road.Freight.LCV.BEV</t>
  </si>
  <si>
    <t>Eff.kgoe_per_100km.EE.Tr.Road.Freight.HGV_All</t>
  </si>
  <si>
    <t>Eff.kgoe_per_100km.EE.Tr.Road.Freight.HGV_Domestic</t>
  </si>
  <si>
    <t>Eff.kgoe_per_100km.EE.Tr.Road.Freight.HGV_International</t>
  </si>
  <si>
    <t>Eff.kgoe_per_kpkm.EE.Tr.Road.Passenger.Car.ICE.Gasoline</t>
  </si>
  <si>
    <t>Eff.kgoe_per_kpkm.EE.Tr.Road.Passenger.Car.ICE.Diesel</t>
  </si>
  <si>
    <t>Eff.kgoe_per_kpkm.EE.Tr.Road.Passenger.Car.ICE.LPG</t>
  </si>
  <si>
    <t>Eff.kgoe_per_kpkm.EE.Tr.Road.Passenger.Car.ICE.NGas</t>
  </si>
  <si>
    <t>Eff.kgoe_per_kpkm.EE.Tr.Road.Passenger.Car.PHEV.Gasoline</t>
  </si>
  <si>
    <t>Eff.kgoe_per_kpkm.EE.Tr.Road.Passenger.Car.BEV</t>
  </si>
  <si>
    <t>Eff.kgoe_per_kpkm.EE.Tr.Road.Passenger.Bus.ICE.Gasoline</t>
  </si>
  <si>
    <t>Eff.kgoe_per_kpkm.EE.Tr.Road.Passenger.Bus.ICE.Diesel</t>
  </si>
  <si>
    <t>Eff.kgoe_per_kpkm.EE.Tr.Road.Passenger.Bus.ICE.LPG</t>
  </si>
  <si>
    <t>Eff.kgoe_per_kpkm.EE.Tr.Road.Passenger.Bus.ICE.NGas</t>
  </si>
  <si>
    <t>Eff.kgoe_per_kpkm.EE.Tr.Road.Passenger.Bus.BEV</t>
  </si>
  <si>
    <t>Eff.kgoe_per_ktkm.EE.Tr.Road.Freight.LCV.ICE.Gasoline</t>
  </si>
  <si>
    <t>Eff.kgoe_per_ktkm.EE.Tr.Road.Freight.LCV.ICE.Diesel</t>
  </si>
  <si>
    <t>Eff.kgoe_per_ktkm.EE.Tr.Road.Freight.LCV.ICE.LPG</t>
  </si>
  <si>
    <t>Eff.kgoe_per_ktkm.EE.Tr.Road.Freight.LCV.ICE.NGas</t>
  </si>
  <si>
    <t>Eff.kgoe_per_ktkm.EE.Tr.Road.Freight.LCV.BEV</t>
  </si>
  <si>
    <t>Eff.kgoe_per_ktkm.EE.Tr.Road.Freight.HGV_Domestic</t>
  </si>
  <si>
    <t>Eff.kgoe_per_ktkm.EE.Tr.Road.Freight.HGV_International</t>
  </si>
  <si>
    <t>FEC_per_vehicle.kgoe.EE.Tr.Road.Passenger.P2W</t>
  </si>
  <si>
    <t>FEC_per_vehicle.kgoe.EE.Tr.Road.Passenger.Car</t>
  </si>
  <si>
    <t>FEC_per_vehicle.kgoe.EE.Tr.Road.Passenger.Car.ICE.Gasoline</t>
  </si>
  <si>
    <t>FEC_per_vehicle.kgoe.EE.Tr.Road.Passenger.Car.ICE.Diesel</t>
  </si>
  <si>
    <t>FEC_per_vehicle.kgoe.EE.Tr.Road.Passenger.Car.ICE.LPG</t>
  </si>
  <si>
    <t>FEC_per_vehicle.kgoe.EE.Tr.Road.Passenger.Car.ICE.NGas</t>
  </si>
  <si>
    <t>FEC_per_vehicle.kgoe.EE.Tr.Road.Passenger.Car.PHEV.Gasoline</t>
  </si>
  <si>
    <t>FEC_per_vehicle.kgoe.EE.Tr.Road.Passenger.Car.BEV</t>
  </si>
  <si>
    <t>FEC_per_vehicle.kgoe.EE.Tr.Road.Passenger.Bus</t>
  </si>
  <si>
    <t>FEC_per_vehicle.kgoe.EE.Tr.Road.Passenger.Bus.ICE.Gasoline</t>
  </si>
  <si>
    <t>FEC_per_vehicle.kgoe.EE.Tr.Road.Passenger.Bus.ICE.Diesel</t>
  </si>
  <si>
    <t>FEC_per_vehicle.kgoe.EE.Tr.Road.Passenger.Bus.ICE.LPG</t>
  </si>
  <si>
    <t>FEC_per_vehicle.kgoe.EE.Tr.Road.Passenger.Bus.ICE.NGas</t>
  </si>
  <si>
    <t>FEC_per_vehicle.kgoe.EE.Tr.Road.Passenger.Bus.BEV</t>
  </si>
  <si>
    <t>FEC_per_vehicle.kgoe.EE.Tr.Road.Freight.LCV</t>
  </si>
  <si>
    <t>FEC_per_vehicle.kgoe.EE.Tr.Road.Freight.LCV.ICE.Gasoline</t>
  </si>
  <si>
    <t>FEC_per_vehicle.kgoe.EE.Tr.Road.Freight.LCV.ICE.Diesel</t>
  </si>
  <si>
    <t>FEC_per_vehicle.kgoe.EE.Tr.Road.Freight.LCV.ICE.LPG</t>
  </si>
  <si>
    <t>FEC_per_vehicle.kgoe.EE.Tr.Road.Freight.LCV.ICE.NGas</t>
  </si>
  <si>
    <t>FEC_per_vehicle.kgoe.EE.Tr.Road.Freight.LCV.BEV</t>
  </si>
  <si>
    <t>FEC_per_vehicle.kgoe.EE.Tr.Road.Freight.HGV_All</t>
  </si>
  <si>
    <t>FEC_per_vehicle.kgoe.EE.Tr.Road.Freight.HGV_Domestic</t>
  </si>
  <si>
    <t>FEC_per_vehicle.kgoe.EE.Tr.Road.Freight.HGV_International</t>
  </si>
  <si>
    <t>Road transport / CO2 emissions - EE - Estonia</t>
  </si>
  <si>
    <t>EMI.ktCO2.EE.ES.Tr.Road</t>
  </si>
  <si>
    <t>EMI.ktCO2.EE.ES.Tr.Road.LPG</t>
  </si>
  <si>
    <t>EMI.ktCO2.EE.ES.Tr.Road.Gasoline</t>
  </si>
  <si>
    <t>EMI.ktCO2.EE.ES.Tr.Road.Diesel</t>
  </si>
  <si>
    <t>EMI.ktCO2.EE.ES.Tr.Road.NG</t>
  </si>
  <si>
    <t>EMI.ktCO2.EE.ES.Tr.Road.Biogas</t>
  </si>
  <si>
    <t>EMI.ktCO2.EE.ES.Tr.Road.Biogasoline</t>
  </si>
  <si>
    <t>EMI.ktCO2.EE.ES.Tr.Road.Biodiesel</t>
  </si>
  <si>
    <t>EMI.ktCO2.EE.ES.Tr.Road.OthLiqBio</t>
  </si>
  <si>
    <t>EMI.ktCO2.EE.ES.Tr.Road.Elec</t>
  </si>
  <si>
    <t>EMI.ktCO2.EE.Tr.Road</t>
  </si>
  <si>
    <t>EMI.ktCO2.EE.Tr.Road.Passenger.Car.ICE.Gasoline</t>
  </si>
  <si>
    <t>EMI.ktCO2.EE.Tr.Road.Passenger.Car.ICE.Diesel</t>
  </si>
  <si>
    <t>EMI.ktCO2.EE.Tr.Road.Passenger.Car.ICE.LPG</t>
  </si>
  <si>
    <t>EMI.ktCO2.EE.Tr.Road.Passenger.Car.ICE.NGas</t>
  </si>
  <si>
    <t>EMI.ktCO2.EE.Tr.Road.Passenger.Car.PHEV.Gasoline</t>
  </si>
  <si>
    <t>EMI.ktCO2.EE.Tr.Road.Passenger.Car.BEV</t>
  </si>
  <si>
    <t>EMI.ktCO2.EE.Tr.Road.Passenger.Bus.ICE.Gasoline</t>
  </si>
  <si>
    <t>EMI.ktCO2.EE.Tr.Road.Passenger.Bus.ICE.Diesel</t>
  </si>
  <si>
    <t>EMI.ktCO2.EE.Tr.Road.Passenger.Bus.ICE.LPG</t>
  </si>
  <si>
    <t>EMI.ktCO2.EE.Tr.Road.Passenger.Bus.ICE.NGas</t>
  </si>
  <si>
    <t>EMI.ktCO2.EE.Tr.Road.Passenger.Bus.BEV</t>
  </si>
  <si>
    <t>EMI.ktCO2.EE.Tr.Road.Freight.LCV.ICE.Gasoline</t>
  </si>
  <si>
    <t>EMI.ktCO2.EE.Tr.Road.Freight.LCV.ICE.Diesel</t>
  </si>
  <si>
    <t>EMI.ktCO2.EE.Tr.Road.Freight.LCV.ICE.LPG</t>
  </si>
  <si>
    <t>EMI.ktCO2.EE.Tr.Road.Freight.LCV.ICE.NGas</t>
  </si>
  <si>
    <t>EMI.ktCO2.EE.Tr.Road.Freight.LCV.BEV</t>
  </si>
  <si>
    <t>EMI.ktCO2.EE.Tr.Road.Freight.HGV_Domestic</t>
  </si>
  <si>
    <t>EMI.ktCO2.EE.Tr.Road.Freight.HGV_International</t>
  </si>
  <si>
    <t>EMIint.gCO2_per_km.EE.Tr.Road</t>
  </si>
  <si>
    <t>EMIint.gCO2_per_km.EE.Tr.Road.Passenger</t>
  </si>
  <si>
    <t>EMIint.gCO2_per_km.EE.Tr.Road.Passenger.P2W</t>
  </si>
  <si>
    <t>EMIint.gCO2_per_km.EE.Tr.Road.Passenger.Car</t>
  </si>
  <si>
    <t>EMIint.gCO2_per_km.EE.Tr.Road.Passenger.Car.ICE.Gasoline</t>
  </si>
  <si>
    <t>EMIint.gCO2_per_km.EE.Tr.Road.Passenger.Car.ICE.Diesel</t>
  </si>
  <si>
    <t>EMIint.gCO2_per_km.EE.Tr.Road.Passenger.Car.ICE.LPG</t>
  </si>
  <si>
    <t>EMIint.gCO2_per_km.EE.Tr.Road.Passenger.Car.ICE.NGas</t>
  </si>
  <si>
    <t>EMIint.gCO2_per_km.EE.Tr.Road.Passenger.Car.PHEV.Gasoline</t>
  </si>
  <si>
    <t>EMIint.gCO2_per_km.EE.Tr.Road.Passenger.Car.BEV</t>
  </si>
  <si>
    <t>EMIint.gCO2_per_km.EE.Tr.Road.Passenger.Bus</t>
  </si>
  <si>
    <t>EMIint.gCO2_per_km.EE.Tr.Road.Passenger.Bus.ICE.Gasoline</t>
  </si>
  <si>
    <t>EMIint.gCO2_per_km.EE.Tr.Road.Passenger.Bus.ICE.Diesel</t>
  </si>
  <si>
    <t>EMIint.gCO2_per_km.EE.Tr.Road.Passenger.Bus.ICE.LPG</t>
  </si>
  <si>
    <t>EMIint.gCO2_per_km.EE.Tr.Road.Passenger.Bus.ICE.NGas</t>
  </si>
  <si>
    <t>EMIint.gCO2_per_km.EE.Tr.Road.Passenger.Bus.BEV</t>
  </si>
  <si>
    <t>EMIint.gCO2_per_km.EE.Tr.Road.Freight</t>
  </si>
  <si>
    <t>EMIint.gCO2_per_km.EE.Tr.Road.Freight.LCV</t>
  </si>
  <si>
    <t>EMIint.gCO2_per_km.EE.Tr.Road.Freight.LCV.ICE.Gasoline</t>
  </si>
  <si>
    <t>EMIint.gCO2_per_km.EE.Tr.Road.Freight.LCV.ICE.Diesel</t>
  </si>
  <si>
    <t>EMIint.gCO2_per_km.EE.Tr.Road.Freight.LCV.ICE.LPG</t>
  </si>
  <si>
    <t>EMIint.gCO2_per_km.EE.Tr.Road.Freight.LCV.ICE.NGas</t>
  </si>
  <si>
    <t>EMIint.gCO2_per_km.EE.Tr.Road.Freight.LCV.BEV</t>
  </si>
  <si>
    <t>EMIint.gCO2_per_km.EE.Tr.Road.Freight.HGV_All</t>
  </si>
  <si>
    <t>EMIint.gCO2_per_km.EE.Tr.Road.Freight.HGV_Domestic</t>
  </si>
  <si>
    <t>EMIint.gCO2_per_km.EE.Tr.Road.Freight.HGV_International</t>
  </si>
  <si>
    <t>EMIint.gCO2_per_pkm.EE.Tr.Road.Passenger.Car.ICE.Gasoline</t>
  </si>
  <si>
    <t>EMIint.gCO2_per_pkm.EE.Tr.Road.Passenger.Car.ICE.Diesel</t>
  </si>
  <si>
    <t>EMIint.gCO2_per_pkm.EE.Tr.Road.Passenger.Car.ICE.LPG</t>
  </si>
  <si>
    <t>EMIint.gCO2_per_pkm.EE.Tr.Road.Passenger.Car.ICE.NGas</t>
  </si>
  <si>
    <t>EMIint.gCO2_per_pkm.EE.Tr.Road.Passenger.Car.PHEV.Gasoline</t>
  </si>
  <si>
    <t>EMIint.gCO2_per_pkm.EE.Tr.Road.Passenger.Car.BEV</t>
  </si>
  <si>
    <t>EMIint.gCO2_per_pkm.EE.Tr.Road.Passenger.Bus.ICE.Gasoline</t>
  </si>
  <si>
    <t>EMIint.gCO2_per_pkm.EE.Tr.Road.Passenger.Bus.ICE.Diesel</t>
  </si>
  <si>
    <t>EMIint.gCO2_per_pkm.EE.Tr.Road.Passenger.Bus.ICE.LPG</t>
  </si>
  <si>
    <t>EMIint.gCO2_per_pkm.EE.Tr.Road.Passenger.Bus.ICE.NGas</t>
  </si>
  <si>
    <t>EMIint.gCO2_per_pkm.EE.Tr.Road.Passenger.Bus.BEV</t>
  </si>
  <si>
    <t>EMIint.gCO2_per_tkm.EE.Tr.Road.Freight.LCV.ICE.Gasoline</t>
  </si>
  <si>
    <t>EMIint.gCO2_per_tkm.EE.Tr.Road.Freight.LCV.ICE.Diesel</t>
  </si>
  <si>
    <t>EMIint.gCO2_per_tkm.EE.Tr.Road.Freight.LCV.ICE.LPG</t>
  </si>
  <si>
    <t>EMIint.gCO2_per_tkm.EE.Tr.Road.Freight.LCV.ICE.NGas</t>
  </si>
  <si>
    <t>EMIint.gCO2_per_tkm.EE.Tr.Road.Freight.LCV.BEV</t>
  </si>
  <si>
    <t>EMIint.gCO2_per_tkm.EE.Tr.Road.Freight.HGV_Domestic</t>
  </si>
  <si>
    <t>EMIint.gCO2_per_tkm.EE.Tr.Road.Freight.HGV_International</t>
  </si>
  <si>
    <t>EMI_per_vehicle.kgCO2.EE.Tr.Road.Passenger.P2W</t>
  </si>
  <si>
    <t>EMI_per_vehicle.kgCO2.EE.Tr.Road.Passenger.Car</t>
  </si>
  <si>
    <t>EMI_per_vehicle.kgCO2.EE.Tr.Road.Passenger.Car.ICE.Gasoline</t>
  </si>
  <si>
    <t>EMI_per_vehicle.kgCO2.EE.Tr.Road.Passenger.Car.ICE.Diesel</t>
  </si>
  <si>
    <t>EMI_per_vehicle.kgCO2.EE.Tr.Road.Passenger.Car.ICE.LPG</t>
  </si>
  <si>
    <t>EMI_per_vehicle.kgCO2.EE.Tr.Road.Passenger.Car.ICE.NGas</t>
  </si>
  <si>
    <t>EMI_per_vehicle.kgCO2.EE.Tr.Road.Passenger.Car.PHEV.Gasoline</t>
  </si>
  <si>
    <t>EMI_per_vehicle.kgCO2.EE.Tr.Road.Passenger.Car.BEV</t>
  </si>
  <si>
    <t>EMI_per_vehicle.kgCO2.EE.Tr.Road.Passenger.Bus</t>
  </si>
  <si>
    <t>EMI_per_vehicle.kgCO2.EE.Tr.Road.Passenger.Bus.ICE.Gasoline</t>
  </si>
  <si>
    <t>EMI_per_vehicle.kgCO2.EE.Tr.Road.Passenger.Bus.ICE.Diesel</t>
  </si>
  <si>
    <t>EMI_per_vehicle.kgCO2.EE.Tr.Road.Passenger.Bus.ICE.LPG</t>
  </si>
  <si>
    <t>EMI_per_vehicle.kgCO2.EE.Tr.Road.Passenger.Bus.ICE.NGas</t>
  </si>
  <si>
    <t>EMI_per_vehicle.kgCO2.EE.Tr.Road.Passenger.Bus.BEV</t>
  </si>
  <si>
    <t>EMI_per_vehicle.kgCO2.EE.Tr.Road.Freight.LCV</t>
  </si>
  <si>
    <t>EMI_per_vehicle.kgCO2.EE.Tr.Road.Freight.LCV.ICE.Gasoline</t>
  </si>
  <si>
    <t>EMI_per_vehicle.kgCO2.EE.Tr.Road.Freight.LCV.ICE.Diesel</t>
  </si>
  <si>
    <t>EMI_per_vehicle.kgCO2.EE.Tr.Road.Freight.LCV.ICE.LPG</t>
  </si>
  <si>
    <t>EMI_per_vehicle.kgCO2.EE.Tr.Road.Freight.LCV.ICE.NGas</t>
  </si>
  <si>
    <t>EMI_per_vehicle.kgCO2.EE.Tr.Road.Freight.LCV.BEV</t>
  </si>
  <si>
    <t>EMI_per_vehicle.kgCO2.EE.Tr.Road.Freight.HGV_All</t>
  </si>
  <si>
    <t>EMI_per_vehicle.kgCO2.EE.Tr.Road.Freight.HGV_Domestic</t>
  </si>
  <si>
    <t>EMI_per_vehicle.kgCO2.EE.Tr.Road.Freight.HGV_International</t>
  </si>
  <si>
    <t>Road transport / technologies - EE - Estonia</t>
  </si>
  <si>
    <t>Stock.number.EE.Tr.Road.Freight.HGV_all</t>
  </si>
  <si>
    <t>StockVin.number.EE.Tr.Road</t>
  </si>
  <si>
    <t>StockVin.number.EE.Tr.Road.Passenger</t>
  </si>
  <si>
    <t>StockVin.number.EE.Tr.Road.Passenger.P2W</t>
  </si>
  <si>
    <t>StockVin.number.EE.Tr.Road.Passenger.Car</t>
  </si>
  <si>
    <t>StockVin.number.EE.Tr.Road.Passenger.Car.ICE.Gasoline</t>
  </si>
  <si>
    <t>StockVin.number.EE.Tr.Road.Passenger.Car.ICE.Diesel</t>
  </si>
  <si>
    <t>StockVin.number.EE.Tr.Road.Passenger.Car.ICE.LPG</t>
  </si>
  <si>
    <t>StockVin.number.EE.Tr.Road.Passenger.Car.ICE.NGas</t>
  </si>
  <si>
    <t>StockVin.number.EE.Tr.Road.Passenger.Car.PHEV.Gasoline</t>
  </si>
  <si>
    <t>StockVin.number.EE.Tr.Road.Passenger.Car.BEV</t>
  </si>
  <si>
    <t>StockVin.number.EE.Tr.Road.Passenger.Bus</t>
  </si>
  <si>
    <t>StockVin.number.EE.Tr.Road.Passenger.Bus.ICE.Gasoline</t>
  </si>
  <si>
    <t>StockVin.number.EE.Tr.Road.Passenger.Bus.ICE.Diesel</t>
  </si>
  <si>
    <t>StockVin.number.EE.Tr.Road.Passenger.Bus.ICE.LPG</t>
  </si>
  <si>
    <t>StockVin.number.EE.Tr.Road.Passenger.Bus.ICE.NGas</t>
  </si>
  <si>
    <t>StockVin.number.EE.Tr.Road.Passenger.Bus.BEV</t>
  </si>
  <si>
    <t>StockVin.number.EE.Tr.Road.Freight</t>
  </si>
  <si>
    <t>StockVin.number.EE.Tr.Road.Freight.LCV</t>
  </si>
  <si>
    <t>StockVin.number.EE.Tr.Road.Freight.LCV.ICE.Gasoline</t>
  </si>
  <si>
    <t>StockVin.number.EE.Tr.Road.Freight.LCV.ICE.Diesel</t>
  </si>
  <si>
    <t>StockVin.number.EE.Tr.Road.Freight.LCV.ICE.LPG</t>
  </si>
  <si>
    <t>StockVin.number.EE.Tr.Road.Freight.LCV.ICE.NGas</t>
  </si>
  <si>
    <t>StockVin.number.EE.Tr.Road.Freight.LCV.BEV</t>
  </si>
  <si>
    <t>StockVin.number.EE.Tr.Road.Freight.HGV_All</t>
  </si>
  <si>
    <t>StockVin.number.EE.Tr.Road.Freight.HGV_Domestic</t>
  </si>
  <si>
    <t>StockVin.number.EE.Tr.Road.Freight.HGV_International</t>
  </si>
  <si>
    <t>Eff_test_stock.kgoe_per_100km.EE.Tr.Road.Passenger.P2W</t>
  </si>
  <si>
    <t>Eff_test_stock.kgoe_per_100km.EE.Tr.Road.Passenger.Car</t>
  </si>
  <si>
    <t>Eff_test_stock.kgoe_per_100km.EE.Tr.Road.Passenger.Car.ICE.Gasoline</t>
  </si>
  <si>
    <t>Eff_test_stock.kgoe_per_100km.EE.Tr.Road.Passenger.Car.ICE.Diesel</t>
  </si>
  <si>
    <t>Eff_test_stock.kgoe_per_100km.EE.Tr.Road.Passenger.Car.ICE.LPG</t>
  </si>
  <si>
    <t>Eff_test_stock.kgoe_per_100km.EE.Tr.Road.Passenger.Car.ICE.NGas</t>
  </si>
  <si>
    <t>Eff_test_stock.kgoe_per_100km.EE.Tr.Road.Passenger.Car.PHEV.Gasoline</t>
  </si>
  <si>
    <t>Eff_test_stock.kgoe_per_100km.EE.Tr.Road.Passenger.Car.BEV</t>
  </si>
  <si>
    <t>Eff_test_stock.kgoe_per_100km.EE.Tr.Road.Passenger.Bus</t>
  </si>
  <si>
    <t>Eff_test_stock.kgoe_per_100km.EE.Tr.Road.Passenger.Bus.ICE.Gasoline</t>
  </si>
  <si>
    <t>Eff_test_stock.kgoe_per_100km.EE.Tr.Road.Passenger.Bus.ICE.Diesel</t>
  </si>
  <si>
    <t>Eff_test_stock.kgoe_per_100km.EE.Tr.Road.Passenger.Bus.ICE.LPG</t>
  </si>
  <si>
    <t>Eff_test_stock.kgoe_per_100km.EE.Tr.Road.Passenger.Bus.ICE.NGas</t>
  </si>
  <si>
    <t>Eff_test_stock.kgoe_per_100km.EE.Tr.Road.Passenger.Bus.BEV</t>
  </si>
  <si>
    <t>Eff_test_stock.kgoe_per_100km.EE.Tr.Road.Freight.LCV</t>
  </si>
  <si>
    <t>Eff_test_stock.kgoe_per_100km.EE.Tr.Road.Freight.LCV.ICE.Gasoline</t>
  </si>
  <si>
    <t>Eff_test_stock.kgoe_per_100km.EE.Tr.Road.Freight.LCV.ICE.Diesel</t>
  </si>
  <si>
    <t>Eff_test_stock.kgoe_per_100km.EE.Tr.Road.Freight.LCV.ICE.LPG</t>
  </si>
  <si>
    <t>Eff_test_stock.kgoe_per_100km.EE.Tr.Road.Freight.LCV.ICE.NGas</t>
  </si>
  <si>
    <t>Eff_test_stock.kgoe_per_100km.EE.Tr.Road.Freight.LCV.BEV</t>
  </si>
  <si>
    <t>Eff_test_stock.kgoe_per_100km.EE.Tr.Road.Freight.HGV_All</t>
  </si>
  <si>
    <t>Eff_test_stock.kgoe_per_100km.EE.Tr.Road.Freight.HGV_Domestic</t>
  </si>
  <si>
    <t>Eff_test_stock.kgoe_per_100km.EE.Tr.Road.Freight.HGV_International</t>
  </si>
  <si>
    <t>Eff_test_new.kgoe_per_100km.EE.Tr.Road.Passenger.P2W</t>
  </si>
  <si>
    <t>Eff_test_new.kgoe_per_100km.EE.Tr.Road.Passenger.Car</t>
  </si>
  <si>
    <t>Eff_test_new.kgoe_per_100km.EE.Tr.Road.Passenger.Car.ICE.Gasoline</t>
  </si>
  <si>
    <t>Eff_test_new.kgoe_per_100km.EE.Tr.Road.Passenger.Car.ICE.Diesel</t>
  </si>
  <si>
    <t>Eff_test_new.kgoe_per_100km.EE.Tr.Road.Passenger.Car.ICE.LPG</t>
  </si>
  <si>
    <t>Eff_test_new.kgoe_per_100km.EE.Tr.Road.Passenger.Car.ICE.NGas</t>
  </si>
  <si>
    <t>Eff_test_new.kgoe_per_100km.EE.Tr.Road.Passenger.Car.PHEV.Gasoline</t>
  </si>
  <si>
    <t>Eff_test_new.kgoe_per_100km.EE.Tr.Road.Passenger.Car.BEV</t>
  </si>
  <si>
    <t>Eff_test_new.kgoe_per_100km.EE.Tr.Road.Passenger.Bus</t>
  </si>
  <si>
    <t>Eff_test_new.kgoe_per_100km.EE.Tr.Road.Passenger.Bus.ICE.Gasoline</t>
  </si>
  <si>
    <t>Eff_test_new.kgoe_per_100km.EE.Tr.Road.Passenger.Bus.ICE.Diesel</t>
  </si>
  <si>
    <t>Eff_test_new.kgoe_per_100km.EE.Tr.Road.Passenger.Bus.ICE.LPG</t>
  </si>
  <si>
    <t>Eff_test_new.kgoe_per_100km.EE.Tr.Road.Passenger.Bus.ICE.NGas</t>
  </si>
  <si>
    <t>Eff_test_new.kgoe_per_100km.EE.Tr.Road.Passenger.Bus.BEV</t>
  </si>
  <si>
    <t>Eff_test_new.kgoe_per_100km.EE.Tr.Road.Freight.LCV</t>
  </si>
  <si>
    <t>Eff_test_new.kgoe_per_100km.EE.Tr.Road.Freight.LCV.ICE.Gasoline</t>
  </si>
  <si>
    <t>Eff_test_new.kgoe_per_100km.EE.Tr.Road.Freight.LCV.ICE.Diesel</t>
  </si>
  <si>
    <t>Eff_test_new.kgoe_per_100km.EE.Tr.Road.Freight.LCV.ICE.LPG</t>
  </si>
  <si>
    <t>Eff_test_new.kgoe_per_100km.EE.Tr.Road.Freight.LCV.ICE.NGas</t>
  </si>
  <si>
    <t>Eff_test_new.kgoe_per_100km.EE.Tr.Road.Freight.LCV.BEV</t>
  </si>
  <si>
    <t>Eff_test_new.kgoe_per_100km.EE.Tr.Road.Freight.HGV_All</t>
  </si>
  <si>
    <t>Eff_test_new.kgoe_per_100km.EE.Tr.Road.Freight.HGV_Domestic</t>
  </si>
  <si>
    <t>Eff_test_new.kgoe_per_100km.EE.Tr.Road.Freight.HGV_International</t>
  </si>
  <si>
    <t>EMIint_test_stock.gCO2_per_km.EE.Tr.Road.Passenger.P2W</t>
  </si>
  <si>
    <t>EMIint_test_stock.gCO2_per_km.EE.Tr.Road.Passenger.Car</t>
  </si>
  <si>
    <t>EMIint_test_stock.gCO2_per_km.EE.Tr.Road.Passenger.Car.ICE.Gasoline</t>
  </si>
  <si>
    <t>EMIint_test_stock.gCO2_per_km.EE.Tr.Road.Passenger.Car.ICE.Diesel</t>
  </si>
  <si>
    <t>EMIint_test_stock.gCO2_per_km.EE.Tr.Road.Passenger.Car.ICE.LPG</t>
  </si>
  <si>
    <t>EMIint_test_stock.gCO2_per_km.EE.Tr.Road.Passenger.Car.ICE.NGas</t>
  </si>
  <si>
    <t>EMIint_test_stock.gCO2_per_km.EE.Tr.Road.Passenger.Car.PHEV.Gasoline</t>
  </si>
  <si>
    <t>EMIint_test_stock.gCO2_per_km.EE.Tr.Road.Passenger.Car.BEV</t>
  </si>
  <si>
    <t>EMIint_test_stock.gCO2_per_km.EE.Tr.Road.Passenger.Bus</t>
  </si>
  <si>
    <t>EMIint_test_stock.gCO2_per_km.EE.Tr.Road.Passenger.Bus.ICE.Gasoline</t>
  </si>
  <si>
    <t>EMIint_test_stock.gCO2_per_km.EE.Tr.Road.Passenger.Bus.ICE.Diesel</t>
  </si>
  <si>
    <t>EMIint_test_stock.gCO2_per_km.EE.Tr.Road.Passenger.Bus.ICE.LPG</t>
  </si>
  <si>
    <t>EMIint_test_stock.gCO2_per_km.EE.Tr.Road.Passenger.Bus.ICE.NGas</t>
  </si>
  <si>
    <t>EMIint_test_stock.gCO2_per_km.EE.Tr.Road.Passenger.Bus.BEV</t>
  </si>
  <si>
    <t>EMIint_test_stock.gCO2_per_km.EE.Tr.Road.Freight.LCV</t>
  </si>
  <si>
    <t>EMIint_test_stock.gCO2_per_km.EE.Tr.Road.Freight.LCV.ICE.Gasoline</t>
  </si>
  <si>
    <t>EMIint_test_stock.gCO2_per_km.EE.Tr.Road.Freight.LCV.ICE.Diesel</t>
  </si>
  <si>
    <t>EMIint_test_stock.gCO2_per_km.EE.Tr.Road.Freight.LCV.ICE.LPG</t>
  </si>
  <si>
    <t>EMIint_test_stock.gCO2_per_km.EE.Tr.Road.Freight.LCV.ICE.NGas</t>
  </si>
  <si>
    <t>EMIint_test_stock.gCO2_per_km.EE.Tr.Road.Freight.LCV.BEV</t>
  </si>
  <si>
    <t>EMIint_test_stock.gCO2_per_km.EE.Tr.Road.Freight.HGV_All</t>
  </si>
  <si>
    <t>EMIint_test_stock.gCO2_per_km.EE.Tr.Road.Freight.HGV_Domestic</t>
  </si>
  <si>
    <t>EMIint_test_stock.gCO2_per_km.EE.Tr.Road.Freight.HGV_International</t>
  </si>
  <si>
    <t>EMIint_test_new.gCO2_per_km.EE.Tr.Road.Passenger.P2W</t>
  </si>
  <si>
    <t>EMIint_test_new.gCO2_per_km.EE.Tr.Road.Passenger.Car</t>
  </si>
  <si>
    <t>EMIint_test_new.gCO2_per_km.EE.Tr.Road.Passenger.Car.ICE.Gasoline</t>
  </si>
  <si>
    <t>EMIint_test_new.gCO2_per_km.EE.Tr.Road.Passenger.Car.ICE.Diesel</t>
  </si>
  <si>
    <t>EMIint_test_new.gCO2_per_km.EE.Tr.Road.Passenger.Car.ICE.LPG</t>
  </si>
  <si>
    <t>EMIint_test_new.gCO2_per_km.EE.Tr.Road.Passenger.Car.ICE.NGas</t>
  </si>
  <si>
    <t>EMIint_test_new.gCO2_per_km.EE.Tr.Road.Passenger.Car.PHEV.Gasoline</t>
  </si>
  <si>
    <t>EMIint_test_new.gCO2_per_km.EE.Tr.Road.Passenger.Car.BEV</t>
  </si>
  <si>
    <t>EMIint_test_new.gCO2_per_km.EE.Tr.Road.Passenger.Bus</t>
  </si>
  <si>
    <t>EMIint_test_new.gCO2_per_km.EE.Tr.Road.Passenger.Bus.ICE.Gasoline</t>
  </si>
  <si>
    <t>EMIint_test_new.gCO2_per_km.EE.Tr.Road.Passenger.Bus.ICE.Diesel</t>
  </si>
  <si>
    <t>EMIint_test_new.gCO2_per_km.EE.Tr.Road.Passenger.Bus.ICE.LPG</t>
  </si>
  <si>
    <t>EMIint_test_new.gCO2_per_km.EE.Tr.Road.Passenger.Bus.ICE.NGas</t>
  </si>
  <si>
    <t>EMIint_test_new.gCO2_per_km.EE.Tr.Road.Passenger.Bus.BEV</t>
  </si>
  <si>
    <t>EMIint_test_new.gCO2_per_km.EE.Tr.Road.Freight.LCV</t>
  </si>
  <si>
    <t>EMIint_test_new.gCO2_per_km.EE.Tr.Road.Freight.LCV.ICE.Gasoline</t>
  </si>
  <si>
    <t>EMIint_test_new.gCO2_per_km.EE.Tr.Road.Freight.LCV.ICE.Diesel</t>
  </si>
  <si>
    <t>EMIint_test_new.gCO2_per_km.EE.Tr.Road.Freight.LCV.ICE.LPG</t>
  </si>
  <si>
    <t>EMIint_test_new.gCO2_per_km.EE.Tr.Road.Freight.LCV.ICE.NGas</t>
  </si>
  <si>
    <t>EMIint_test_new.gCO2_per_km.EE.Tr.Road.Freight.LCV.BEV</t>
  </si>
  <si>
    <t>EMIint_test_new.gCO2_per_km.EE.Tr.Road.Freight.HGV_All</t>
  </si>
  <si>
    <t>EMIint_test_new.gCO2_per_km.EE.Tr.Road.Freight.HGV_Domestic</t>
  </si>
  <si>
    <t>EMIint_test_new.gCO2_per_km.EE.Tr.Road.Freight.HGV_International</t>
  </si>
  <si>
    <t>FEC.ktoe.EE.MBunk</t>
  </si>
  <si>
    <t>FEC.ktoe.EE.MBunk.IntraEEA</t>
  </si>
  <si>
    <t>FEC.ktoe.EE.MBunk.ExtraEEA</t>
  </si>
  <si>
    <t>EMI.ktCO2.EE.MBunk</t>
  </si>
  <si>
    <t>EMI.ktCO2.EE.MBunk.IntraEEA</t>
  </si>
  <si>
    <t>EMI.ktCO2.EE.MBunk.ExtraEEA</t>
  </si>
  <si>
    <t>International maritime bunkers - EE - Estonia</t>
  </si>
  <si>
    <t>VehicleKm.Mkm.EE.MBunk.Freight</t>
  </si>
  <si>
    <t>VehicleKm.Mkm.EE.MBunk.Freight.IntraEEA</t>
  </si>
  <si>
    <t>VehicleKm.Mkm.EE.MBunk.Freight.ExtraEEA</t>
  </si>
  <si>
    <t>Load.t_per_movement.EE.MBunk.Freight</t>
  </si>
  <si>
    <t>Load.t_per_movement.EE.MBunk.Freight.IntraEEA</t>
  </si>
  <si>
    <t>Load.t_per_movement.EE.MBunk.Freight.ExtraEEA</t>
  </si>
  <si>
    <t>International maritime bunkers / energy consumption - EE - Estonia</t>
  </si>
  <si>
    <t>FEC.ktoe.EE.ES.MBunk</t>
  </si>
  <si>
    <t>FEC.ktoe.EE.ES.MBunk.IntraEEA</t>
  </si>
  <si>
    <t>FEC.ktoe.EE.ES.MBunk.IntraEEA.Diesel</t>
  </si>
  <si>
    <t>FEC.ktoe.EE.ES.MBunk.IntraEEA.RFO_Other</t>
  </si>
  <si>
    <t>FEC.ktoe.EE.ES.MBunk.IntraEEA.LiqBio</t>
  </si>
  <si>
    <t>FEC.ktoe.EE.ES.MBunk.IntraEEA.NG</t>
  </si>
  <si>
    <t>FEC.ktoe.EE.ES.MBunk.IntraEEA.Biogas</t>
  </si>
  <si>
    <t>FEC.ktoe.EE.ES.MBunk.ExtraEEA</t>
  </si>
  <si>
    <t>FEC.ktoe.EE.ES.MBunk.ExtraEEA.Diesel</t>
  </si>
  <si>
    <t>FEC.ktoe.EE.ES.MBunk.ExtraEEA.RFO_Other</t>
  </si>
  <si>
    <t>FEC.ktoe.EE.ES.MBunk.ExtraEEA.LiqBio</t>
  </si>
  <si>
    <t>FEC.ktoe.EE.ES.MBunk.ExtraEEA.NG</t>
  </si>
  <si>
    <t>FEC.ktoe.EE.ES.MBunk.ExtraEEA.Biogas</t>
  </si>
  <si>
    <t>Eff.kgoe_per_100km.EE.MBunk.Freight</t>
  </si>
  <si>
    <t>Eff.kgoe_per_100km.EE.MBunk.Freight.IntraEEA</t>
  </si>
  <si>
    <t>Eff.kgoe_per_100km.EE.MBunk.Freight.ExtraEEA</t>
  </si>
  <si>
    <t>International maritime bunkers / CO2 emissions - EE - Estonia</t>
  </si>
  <si>
    <t>EMI.ktCO2.EE.ES.MBunk</t>
  </si>
  <si>
    <t>EMI.ktCO2.EE.ES.MBunk.IntraEEA</t>
  </si>
  <si>
    <t>EMI.ktCO2.EE.ES.MBunk.ExtraEEA</t>
  </si>
  <si>
    <t>EMIint.gCO2_per_km.EE.MBunk.Freight</t>
  </si>
  <si>
    <t>EMIint.gCO2_per_km.EE.MBunk.Freight.IntraEEA</t>
  </si>
  <si>
    <t>EMIint.gCO2_per_km.EE.MBunk.Freight.ExtraEEA</t>
  </si>
  <si>
    <t>FEC.ktoe.EE.Tr.DNavi</t>
  </si>
  <si>
    <t>FEC.ktoe.EE.Tr.Dnavi.DCS</t>
  </si>
  <si>
    <t>FEC.ktoe.EE.Tr.Dnavi.IWW</t>
  </si>
  <si>
    <t>EMI.ktCO2.EE.Tr.DNavi</t>
  </si>
  <si>
    <t>EMI.ktCO2.EE.Tr.Dnavi.DCS</t>
  </si>
  <si>
    <t>EMI.ktCO2.EE.Tr.Dnavi.IWW</t>
  </si>
  <si>
    <t>Domestic navigation - EE - Estonia</t>
  </si>
  <si>
    <t>VehicleKm.Mkm.EE.Tr.DNavi.Freight</t>
  </si>
  <si>
    <t>VehicleKm.Mkm.EE.Tr.DNavi.Freight.DCS</t>
  </si>
  <si>
    <t>VehicleKm.Mkm.EE.Tr.DNavi.Freight.IWW</t>
  </si>
  <si>
    <t>Load.t_per_movement.EE.Tr.DNavi.Freight</t>
  </si>
  <si>
    <t>Load.t_per_movement.EE.Tr.DNavi.Freight.DCS</t>
  </si>
  <si>
    <t>Load.t_per_movement.EE.Tr.DNavi.Freight.IWW</t>
  </si>
  <si>
    <t>Domestic navigation / energy consumption - EE - Estonia</t>
  </si>
  <si>
    <t>FEC.ktoe.EE.ES.Tr.DNavi</t>
  </si>
  <si>
    <t>FEC.ktoe.EE.ES.Tr.DNavi.DCS</t>
  </si>
  <si>
    <t>FEC.ktoe.EE.ES.Tr.DNavi.DCS.Diesel</t>
  </si>
  <si>
    <t>FEC.ktoe.EE.ES.Tr.DNavi.DCS.RFO_Other</t>
  </si>
  <si>
    <t>FEC.ktoe.EE.ES.Tr.DNavi.DCS.LiqBio</t>
  </si>
  <si>
    <t>FEC.ktoe.EE.ES.Tr.DNavi.DCS.NG</t>
  </si>
  <si>
    <t>FEC.ktoe.EE.ES.Tr.DNavi.DCS.Biogas</t>
  </si>
  <si>
    <t>FEC.ktoe.EE.ES.Tr.DNavi.IWW</t>
  </si>
  <si>
    <t>FEC.ktoe.EE.ES.Tr.DNavi.IWW.Diesel</t>
  </si>
  <si>
    <t>FEC.ktoe.EE.ES.Tr.DNavi.IWW.RFO_Other</t>
  </si>
  <si>
    <t>FEC.ktoe.EE.ES.Tr.DNavi.IWW.LiqBio</t>
  </si>
  <si>
    <t>FEC.ktoe.EE.ES.Tr.DNavi.IWW.NG</t>
  </si>
  <si>
    <t>FEC.ktoe.EE.ES.Tr.DNavi.IWW.Biogas</t>
  </si>
  <si>
    <t>Eff.kgoe_per_100km.EE.Tr.DNavi.Freight</t>
  </si>
  <si>
    <t>Eff.kgoe_per_100km.EE.Tr.DNavi.Freight.DCS</t>
  </si>
  <si>
    <t>Eff.kgoe_per_100km.EE.Tr.DNavi.Freight.IWW</t>
  </si>
  <si>
    <t>Domestic navigation / CO2 emissions - EE - Estonia</t>
  </si>
  <si>
    <t>EMI.ktCO2.EE.ES.Tr.DNavi</t>
  </si>
  <si>
    <t>EMI.ktCO2.EE.ES.Tr.DNavi.DCS</t>
  </si>
  <si>
    <t>EMI.ktCO2.EE.ES.Tr.DNavi.IWW</t>
  </si>
  <si>
    <t>EMIint.gCO2_per_km.EE.Tr.DNavi.Freight</t>
  </si>
  <si>
    <t>EMIint.gCO2_per_km.EE.Tr.DNavi.Freight.DCS</t>
  </si>
  <si>
    <t>EMIint.gCO2_per_km.EE.Tr.DNavi.Freight.IWW</t>
  </si>
  <si>
    <t>Rail, metro and tram - EE - Estonia</t>
  </si>
  <si>
    <t>Activity.Mpkm.EE.Tr.Rail.Passenger.CPT.Diesel</t>
  </si>
  <si>
    <t>Activity.Mpkm.EE.Tr.Rail.Passenger.CPT.Elc</t>
  </si>
  <si>
    <t>Activity.Mtkm.EE.Tr.Rail.Freight.Diesel</t>
  </si>
  <si>
    <t>Activity.Mtkm.EE.Tr.Rail.Freight.Elc</t>
  </si>
  <si>
    <t>VehicleKm.Mkm.EE.Tr.Rail</t>
  </si>
  <si>
    <t>VehicleKm.Mkm.EE.Tr.Rail.Passenger</t>
  </si>
  <si>
    <t>VehicleKm.Mkm.EE.Tr.Rail.Passenger.MTU</t>
  </si>
  <si>
    <t>VehicleKm.Mkm.EE.Tr.Rail.Passenger.CPT</t>
  </si>
  <si>
    <t>VehicleKm.Mkm.EE.Tr.Rail.Passenger.CPT.Diesel</t>
  </si>
  <si>
    <t>VehicleKm.Mkm.EE.Tr.Rail.Passenger.CPT.Elc</t>
  </si>
  <si>
    <t>VehicleKm.Mkm.EE.Tr.Rail.Passenger.HST</t>
  </si>
  <si>
    <t>VehicleKm.Mkm.EE.Tr.Rail.Freight</t>
  </si>
  <si>
    <t>VehicleKm.Mkm.EE.Tr.Rail.Freight.Diesel</t>
  </si>
  <si>
    <t>VehicleKm.Mkm.EE.Tr.Rail.Freight.Elc</t>
  </si>
  <si>
    <t>Stock.number.EE.Tr.Rail</t>
  </si>
  <si>
    <t>Stock.number.EE.Tr.Rail.Passenger</t>
  </si>
  <si>
    <t>Stock.number.EE.Tr.Rail.Passenger.MTU</t>
  </si>
  <si>
    <t>Stock.number.EE.Tr.Rail.Passenger.CPT</t>
  </si>
  <si>
    <t>Stock.number.EE.Tr.Rail.Passenger.CPT.Diesel</t>
  </si>
  <si>
    <t>Stock.number.EE.Tr.Rail.Passenger.CPT.Elc</t>
  </si>
  <si>
    <t>Stock.number.EE.Tr.Rail.Passenger.HST</t>
  </si>
  <si>
    <t>Stock.number.EE.Tr.Rail.Freight</t>
  </si>
  <si>
    <t>Stock.number.EE.Tr.Rail.Freight.Diesel</t>
  </si>
  <si>
    <t>Stock.number.EE.Tr.Rail.Freight.Elc</t>
  </si>
  <si>
    <t>StockNew.number.EE.Tr.Rail</t>
  </si>
  <si>
    <t>StockNew.number.EE.Tr.Rail.Passenger</t>
  </si>
  <si>
    <t>StockNew.number.EE.Tr.Rail.Passenger.MTU</t>
  </si>
  <si>
    <t>StockNew.number.EE.Tr.Rail.Passenger.CPT</t>
  </si>
  <si>
    <t>StockNew.number.EE.Tr.Rail.Passenger.CPT.Diesel</t>
  </si>
  <si>
    <t>StockNew.number.EE.Tr.Rail.Passenger.CPT.Elc</t>
  </si>
  <si>
    <t>StockNew.number.EE.Tr.Rail.Passenger.HST</t>
  </si>
  <si>
    <t>StockNew.number.EE.Tr.Rail.Freight</t>
  </si>
  <si>
    <t>StockNew.number.EE.Tr.Rail.Freight.Diesel</t>
  </si>
  <si>
    <t>StockNew.number.EE.Tr.Rail.Freight.Elc</t>
  </si>
  <si>
    <t>Load.passenger_per_movement.EE.Tr.Rail.Passenger</t>
  </si>
  <si>
    <t>Load.passenger_per_movement.EE.Tr.Rail.Passenger.MTU</t>
  </si>
  <si>
    <t>Load.passenger_per_movement.EE.Tr.Rail.Passenger.CPT</t>
  </si>
  <si>
    <t>Load.passenger_per_movement.EE.Tr.Rail.Passenger.CPT.Diesel</t>
  </si>
  <si>
    <t>Load.passenger_per_movement.EE.Tr.Rail.Passenger.CPT.Elc</t>
  </si>
  <si>
    <t>Load.passenger_per_movement.EE.Tr.Rail.Passenger.HST</t>
  </si>
  <si>
    <t>Load.t_per_movement.EE.Tr.Rail.Freight</t>
  </si>
  <si>
    <t>Load.t_per_movement.EE.Tr.Rail.Freight.Diesel</t>
  </si>
  <si>
    <t>Load.t_per_movement.EE.Tr.Rail.Freight.Elc</t>
  </si>
  <si>
    <t>TrCap.seats.EE.Tr.Rail.Passenger</t>
  </si>
  <si>
    <t>TrCap.seats.EE.Tr.Rail.Passenger.MTU</t>
  </si>
  <si>
    <t>TrCap.seats.EE.Tr.Rail.Passenger.CPT</t>
  </si>
  <si>
    <t>TrCap.seats.EE.Tr.Rail.Passenger.CPT.Diesel</t>
  </si>
  <si>
    <t>TrCap.seats.EE.Tr.Rail.Passenger.CPT.Elc</t>
  </si>
  <si>
    <t>TrCap.seats.EE.Tr.Rail.Passenger.HST</t>
  </si>
  <si>
    <t>TrCap.t.EE.Tr.Rail.Freight</t>
  </si>
  <si>
    <t>TrCap.t.EE.Tr.Rail.Freight.Diesel</t>
  </si>
  <si>
    <t>TrCap.t.EE.Tr.Rail.Freight.Elc</t>
  </si>
  <si>
    <t>VehicleKm_per_vehicle.km.EE.Tr.Rail</t>
  </si>
  <si>
    <t>VehicleKm_per_vehicle.km.EE.Tr.Rail.Passenger</t>
  </si>
  <si>
    <t>VehicleKm_per_vehicle.km.EE.Tr.Rail.Passenger.MTU</t>
  </si>
  <si>
    <t>VehicleKm_per_vehicle.km.EE.Tr.Rail.Passenger.CPT</t>
  </si>
  <si>
    <t>VehicleKm_per_vehicle.km.EE.Tr.Rail.Passenger.CPT.Diesel</t>
  </si>
  <si>
    <t>VehicleKm_per_vehicle.km.EE.Tr.Rail.Passenger.CPT.Elc</t>
  </si>
  <si>
    <t>VehicleKm_per_vehicle.km.EE.Tr.Rail.Passenger.HST</t>
  </si>
  <si>
    <t>VehicleKm_per_vehicle.km.EE.Tr.Rail.Freight</t>
  </si>
  <si>
    <t>VehicleKm_per_vehicle.km.EE.Tr.Rail.Freight.Diesel</t>
  </si>
  <si>
    <t>VehicleKm_per_vehicle.km.EE.Tr.Rail.Freight.Elc</t>
  </si>
  <si>
    <t>Activity_per_vehicle.pkm.EE.Tr.Rail.Passenger</t>
  </si>
  <si>
    <t>Activity_per_vehicle.pkm.EE.Tr.Rail.Passenger.MTU</t>
  </si>
  <si>
    <t>Activity_per_vehicle.pkm.EE.Tr.Rail.Passenger.CPT</t>
  </si>
  <si>
    <t>Activity_per_vehicle.pkm.EE.Tr.Rail.Passenger.CPT.Diesel</t>
  </si>
  <si>
    <t>Activity_per_vehicle.pkm.EE.Tr.Rail.Passenger.CPT.Elc</t>
  </si>
  <si>
    <t>Activity_per_vehicle.pkm.EE.Tr.Rail.Passenger.HST</t>
  </si>
  <si>
    <t>Activity_per_vehicle.tkm.EE.Tr.Rail.Freight</t>
  </si>
  <si>
    <t>Activity_per_vehicle.tkm.EE.Tr.Rail.Freight.Diesel</t>
  </si>
  <si>
    <t>Activity_per_vehicle.tkm.EE.Tr.Rail.Freight.Elc</t>
  </si>
  <si>
    <t>Rail, metro and tram / energy consumption - EE - Estonia</t>
  </si>
  <si>
    <t>FEC.ktoe.EE.ES.Tr.Rail</t>
  </si>
  <si>
    <t>FEC.ktoe.EE.ES.Tr.Rail.Diesel</t>
  </si>
  <si>
    <t>FEC.ktoe.EE.ES.Tr.Rail.LiqBio</t>
  </si>
  <si>
    <t>FEC.ktoe.EE.ES.Tr.Rail.Elec</t>
  </si>
  <si>
    <t>FEC.ktoe.EE.Tr.Rail</t>
  </si>
  <si>
    <t>FEC.ktoe.EE.Tr.Rail.Passenger.CPT.Diesel</t>
  </si>
  <si>
    <t>FEC.ktoe.EE.Tr.Rail.Passenger.CPT.Elc</t>
  </si>
  <si>
    <t>FEC.ktoe.EE.Tr.Rail.Freight.Diesel</t>
  </si>
  <si>
    <t>FEC.ktoe.EE.Tr.Rail.Freight.Elc</t>
  </si>
  <si>
    <t>Eff.kgoe_per_100km.EE.Tr.Rail</t>
  </si>
  <si>
    <t>Eff.kgoe_per_100km.EE.Tr.Rail.Passenger</t>
  </si>
  <si>
    <t>Eff.kgoe_per_100km.EE.Tr.Rail.Passenger.MTU</t>
  </si>
  <si>
    <t>Eff.kgoe_per_100km.EE.Tr.Rail.Passenger.CPT</t>
  </si>
  <si>
    <t>Eff.kgoe_per_100km.EE.Tr.Rail.Passenger.CPT.Diesel</t>
  </si>
  <si>
    <t>Eff.kgoe_per_100km.EE.Tr.Rail.Passenger.CPT.Elc</t>
  </si>
  <si>
    <t>Eff.kgoe_per_100km.EE.Tr.Rail.Passenger.HST</t>
  </si>
  <si>
    <t>Eff.kgoe_per_100km.EE.Tr.Rail.Freight</t>
  </si>
  <si>
    <t>Eff.kgoe_per_100km.EE.Tr.Rail.Freight.Diesel</t>
  </si>
  <si>
    <t>Eff.kgoe_per_100km.EE.Tr.Rail.Freight.Elc</t>
  </si>
  <si>
    <t>Eff.kgoe_per_kpkm.EE.Tr.Rail.Passenger.CPT.Diesel</t>
  </si>
  <si>
    <t>Eff.kgoe_per_kpkm.EE.Tr.Rail.Passenger.CPT.Elc</t>
  </si>
  <si>
    <t>Eff.kgoe_per_ktkm.EE.Tr.Rail.Freight.Diesel</t>
  </si>
  <si>
    <t>Eff.kgoe_per_ktkm.EE.Tr.Rail.Freight.Elc</t>
  </si>
  <si>
    <t>FEC_per_vehicle.kgoe.EE.Tr.Rail</t>
  </si>
  <si>
    <t>FEC_per_vehicle.kgoe.EE.Tr.Rail.Passenger</t>
  </si>
  <si>
    <t>FEC_per_vehicle.kgoe.EE.Tr.Rail.Passenger.MTU</t>
  </si>
  <si>
    <t>FEC_per_vehicle.kgoe.EE.Tr.Rail.Passenger.CPT</t>
  </si>
  <si>
    <t>FEC_per_vehicle.kgoe.EE.Tr.Rail.Passenger.CPT.Diesel</t>
  </si>
  <si>
    <t>FEC_per_vehicle.kgoe.EE.Tr.Rail.Passenger.CPT.Elc</t>
  </si>
  <si>
    <t>FEC_per_vehicle.kgoe.EE.Tr.Rail.Passenger.HST</t>
  </si>
  <si>
    <t>FEC_per_vehicle.kgoe.EE.Tr.Rail.Freight</t>
  </si>
  <si>
    <t>FEC_per_vehicle.kgoe.EE.Tr.Rail.Freight.Diesel</t>
  </si>
  <si>
    <t>FEC_per_vehicle.kgoe.EE.Tr.Rail.Freight.Elc</t>
  </si>
  <si>
    <t>Rail, metro and tram / CO2 emissions - EE - Estonia</t>
  </si>
  <si>
    <t>EMI.ktCO2.EE.ES.Tr.Rail</t>
  </si>
  <si>
    <t>EMI.ktCO2.EE.ES.Tr.Rail.Diesel</t>
  </si>
  <si>
    <t>EMI.ktCO2.EE.ES.Tr.Rail.Elec</t>
  </si>
  <si>
    <t>EMI.ktCO2.EE.Tr.Rail</t>
  </si>
  <si>
    <t>EMI.ktCO2.EE.Tr.Rail.Passenger.CPT.Diesel</t>
  </si>
  <si>
    <t>EMI.ktCO2.EE.Tr.Rail.Passenger.CPT.Elc</t>
  </si>
  <si>
    <t>EMI.ktCO2.EE.Tr.Rail.Freight.Diesel</t>
  </si>
  <si>
    <t>EMI.ktCO2.EE.Tr.Rail.Freight.Elc</t>
  </si>
  <si>
    <t>EMIint.gCO2_per_km.EE.Tr.Rail</t>
  </si>
  <si>
    <t>EMIint.gCO2_per_km.EE.Tr.Rail.Passenger</t>
  </si>
  <si>
    <t>EMIint.gCO2_per_km.EE.Tr.Rail.Passenger.MTU</t>
  </si>
  <si>
    <t>EMIint.gCO2_per_km.EE.Tr.Rail.Passenger.CPT</t>
  </si>
  <si>
    <t>EMIint.gCO2_per_km.EE.Tr.Rail.Passenger.CPT.Diesel</t>
  </si>
  <si>
    <t>EMIint.gCO2_per_km.EE.Tr.Rail.Passenger.CPT.Elc</t>
  </si>
  <si>
    <t>EMIint.gCO2_per_km.EE.Tr.Rail.Passenger.HST</t>
  </si>
  <si>
    <t>EMIint.gCO2_per_km.EE.Tr.Rail.Freight</t>
  </si>
  <si>
    <t>EMIint.gCO2_per_km.EE.Tr.Rail.Freight.Diesel</t>
  </si>
  <si>
    <t>EMIint.gCO2_per_km.EE.Tr.Rail.Freight.Elc</t>
  </si>
  <si>
    <t>EMIint.gCO2_per_pkm.EE.Tr.Rail.Passenger.CPT.Diesel</t>
  </si>
  <si>
    <t>EMIint.gCO2_per_pkm.EE.Tr.Rail.Passenger.CPT.Elc</t>
  </si>
  <si>
    <t>EMIint.gCO2_per_tkm.EE.Tr.Rail.Freight.Diesel</t>
  </si>
  <si>
    <t>EMIint.gCO2_per_tkm.EE.Tr.Rail.Freight.Elc</t>
  </si>
  <si>
    <t>EMI_per_vehicle.tCO2.EE.Tr.Rail</t>
  </si>
  <si>
    <t>EMI_per_vehicle.tCO2.EE.Tr.Rail.Passenger</t>
  </si>
  <si>
    <t>EMI_per_vehicle.tCO2.EE.Tr.Rail.Passenger.MTU</t>
  </si>
  <si>
    <t>EMI_per_vehicle.tCO2.EE.Tr.Rail.Passenger.CPT</t>
  </si>
  <si>
    <t>EMI_per_vehicle.tCO2.EE.Tr.Rail.Passenger.CPT.Diesel</t>
  </si>
  <si>
    <t>EMI_per_vehicle.tCO2.EE.Tr.Rail.Passenger.CPT.Elc</t>
  </si>
  <si>
    <t>EMI_per_vehicle.tCO2.EE.Tr.Rail.Passenger.HST</t>
  </si>
  <si>
    <t>EMI_per_vehicle.tCO2.EE.Tr.Rail.Freight</t>
  </si>
  <si>
    <t>EMI_per_vehicle.tCO2.EE.Tr.Rail.Freight.Diesel</t>
  </si>
  <si>
    <t>EMI_per_vehicle.tCO2.EE.Tr.Rail.Freight.Elc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</si>
</sst>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45967.473935185182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10204.817792202988</v>
      </c>
      <c r="C4" s="28">
        <f t="shared" si="0"/>
        <v>9989.0926513123904</v>
      </c>
      <c r="D4" s="28">
        <f t="shared" si="0"/>
        <v>10128.685794814617</v>
      </c>
      <c r="E4" s="28">
        <f t="shared" si="0"/>
        <v>10783.46455841647</v>
      </c>
      <c r="F4" s="28">
        <f t="shared" si="0"/>
        <v>11316.333301609127</v>
      </c>
      <c r="G4" s="28">
        <f t="shared" si="0"/>
        <v>14109.710113472967</v>
      </c>
      <c r="H4" s="28">
        <f t="shared" si="0"/>
        <v>14333.276834357372</v>
      </c>
      <c r="I4" s="28">
        <f t="shared" si="0"/>
        <v>14264.645495168472</v>
      </c>
      <c r="J4" s="28">
        <f t="shared" si="0"/>
        <v>14553.944323148484</v>
      </c>
      <c r="K4" s="28">
        <f t="shared" si="0"/>
        <v>13732.053786834451</v>
      </c>
      <c r="L4" s="28">
        <f t="shared" si="0"/>
        <v>13375.967565916193</v>
      </c>
      <c r="M4" s="28">
        <f t="shared" si="0"/>
        <v>13952.855674870734</v>
      </c>
      <c r="N4" s="28">
        <f t="shared" si="0"/>
        <v>14436.21200552843</v>
      </c>
      <c r="O4" s="28">
        <f t="shared" si="0"/>
        <v>14624.773628387631</v>
      </c>
      <c r="P4" s="28">
        <f t="shared" si="0"/>
        <v>15374.793514453217</v>
      </c>
      <c r="Q4" s="28">
        <f t="shared" si="0"/>
        <v>16417.668020972364</v>
      </c>
      <c r="R4" s="28">
        <f t="shared" ref="R4:V4" si="1">R5+R9+R13</f>
        <v>17541.407687225383</v>
      </c>
      <c r="S4" s="28">
        <f t="shared" si="1"/>
        <v>17963.835132752989</v>
      </c>
      <c r="T4" s="28">
        <f t="shared" si="1"/>
        <v>18517.406528806172</v>
      </c>
      <c r="U4" s="28">
        <f t="shared" si="1"/>
        <v>19792.939407999904</v>
      </c>
      <c r="V4" s="28">
        <f t="shared" si="1"/>
        <v>14473.71786702819</v>
      </c>
      <c r="W4" s="28">
        <f t="shared" ref="W4:Y4" si="2">W5+W9+W13</f>
        <v>15849.701674797452</v>
      </c>
      <c r="X4" s="28">
        <f t="shared" si="2"/>
        <v>18452.30278825092</v>
      </c>
      <c r="Y4" s="28">
        <f t="shared" si="2"/>
        <v>19764.411680475314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9321.4477789292177</v>
      </c>
      <c r="C5" s="137">
        <f t="shared" si="3"/>
        <v>9279.6165325981128</v>
      </c>
      <c r="D5" s="137">
        <f t="shared" si="3"/>
        <v>9399.7523856801563</v>
      </c>
      <c r="E5" s="137">
        <f t="shared" si="3"/>
        <v>9971.4791404153384</v>
      </c>
      <c r="F5" s="137">
        <f t="shared" si="3"/>
        <v>10294.521911565083</v>
      </c>
      <c r="G5" s="137">
        <f t="shared" si="3"/>
        <v>12659.005262880863</v>
      </c>
      <c r="H5" s="137">
        <f t="shared" si="3"/>
        <v>12844.231271318136</v>
      </c>
      <c r="I5" s="137">
        <f t="shared" si="3"/>
        <v>12697.247676182704</v>
      </c>
      <c r="J5" s="137">
        <f t="shared" si="3"/>
        <v>12977.135256812122</v>
      </c>
      <c r="K5" s="137">
        <f t="shared" si="3"/>
        <v>12639.322454444087</v>
      </c>
      <c r="L5" s="137">
        <f t="shared" si="3"/>
        <v>12187.693661661879</v>
      </c>
      <c r="M5" s="137">
        <f t="shared" si="3"/>
        <v>12483.175410518197</v>
      </c>
      <c r="N5" s="137">
        <f t="shared" si="3"/>
        <v>12737.301822257876</v>
      </c>
      <c r="O5" s="137">
        <f t="shared" si="3"/>
        <v>13227.593893942869</v>
      </c>
      <c r="P5" s="137">
        <f t="shared" si="3"/>
        <v>13884.383735465815</v>
      </c>
      <c r="Q5" s="137">
        <f t="shared" si="3"/>
        <v>14751.743258112343</v>
      </c>
      <c r="R5" s="137">
        <f t="shared" ref="R5:V5" si="4">R6+R7+R8</f>
        <v>15845.05352174881</v>
      </c>
      <c r="S5" s="137">
        <f t="shared" si="4"/>
        <v>16013.415264946099</v>
      </c>
      <c r="T5" s="137">
        <f t="shared" si="4"/>
        <v>16241.004747282022</v>
      </c>
      <c r="U5" s="137">
        <f t="shared" si="4"/>
        <v>17313.662699665216</v>
      </c>
      <c r="V5" s="137">
        <f t="shared" si="4"/>
        <v>13637.469237045136</v>
      </c>
      <c r="W5" s="137">
        <f t="shared" ref="W5:Y5" si="5">W6+W7+W8</f>
        <v>14450.793725719897</v>
      </c>
      <c r="X5" s="137">
        <f t="shared" si="5"/>
        <v>16019.608220754668</v>
      </c>
      <c r="Y5" s="137">
        <f t="shared" si="5"/>
        <v>17201.473447217657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9.3320789292189712</v>
      </c>
      <c r="C6" s="102">
        <f>TrRoad_act!C$5</f>
        <v>9.4635325981126943</v>
      </c>
      <c r="D6" s="102">
        <f>TrRoad_act!D$5</f>
        <v>10.112785680156504</v>
      </c>
      <c r="E6" s="102">
        <f>TrRoad_act!E$5</f>
        <v>11.16764041533772</v>
      </c>
      <c r="F6" s="102">
        <f>TrRoad_act!F$5</f>
        <v>12.521911565083906</v>
      </c>
      <c r="G6" s="102">
        <f>TrRoad_act!G$5</f>
        <v>14.005262880865113</v>
      </c>
      <c r="H6" s="102">
        <f>TrRoad_act!H$5</f>
        <v>17.23127131813456</v>
      </c>
      <c r="I6" s="102">
        <f>TrRoad_act!I$5</f>
        <v>20.247676182702438</v>
      </c>
      <c r="J6" s="102">
        <f>TrRoad_act!J$5</f>
        <v>24.135256812120755</v>
      </c>
      <c r="K6" s="102">
        <f>TrRoad_act!K$5</f>
        <v>25.322454444087818</v>
      </c>
      <c r="L6" s="102">
        <f>TrRoad_act!L$5</f>
        <v>26.693661661878945</v>
      </c>
      <c r="M6" s="102">
        <f>TrRoad_act!M$5</f>
        <v>31.39888797027978</v>
      </c>
      <c r="N6" s="102">
        <f>TrRoad_act!N$5</f>
        <v>47.406745104748502</v>
      </c>
      <c r="O6" s="102">
        <f>TrRoad_act!O$5</f>
        <v>51.860571445915184</v>
      </c>
      <c r="P6" s="102">
        <f>TrRoad_act!P$5</f>
        <v>56.632393053032906</v>
      </c>
      <c r="Q6" s="102">
        <f>TrRoad_act!Q$5</f>
        <v>60.794771131102571</v>
      </c>
      <c r="R6" s="102">
        <f>TrRoad_act!R$5</f>
        <v>66.204736145334707</v>
      </c>
      <c r="S6" s="102">
        <f>TrRoad_act!S$5</f>
        <v>63.172158623024551</v>
      </c>
      <c r="T6" s="102">
        <f>TrRoad_act!T$5</f>
        <v>60.822224620304972</v>
      </c>
      <c r="U6" s="102">
        <f>TrRoad_act!U$5</f>
        <v>65.162699665214305</v>
      </c>
      <c r="V6" s="102">
        <f>TrRoad_act!V$5</f>
        <v>58.774633911389301</v>
      </c>
      <c r="W6" s="102">
        <f>TrRoad_act!W$5</f>
        <v>61.538855660825362</v>
      </c>
      <c r="X6" s="102">
        <f>TrRoad_act!X$5</f>
        <v>62.875784202393746</v>
      </c>
      <c r="Y6" s="102">
        <f>TrRoad_act!Y$5</f>
        <v>68.449661451106024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6682.1156999999994</v>
      </c>
      <c r="C7" s="102">
        <f>TrRoad_act!C$6</f>
        <v>6809.1529999999993</v>
      </c>
      <c r="D7" s="102">
        <f>TrRoad_act!D$6</f>
        <v>7059.6395999999995</v>
      </c>
      <c r="E7" s="102">
        <f>TrRoad_act!E$6</f>
        <v>7663.3115000000007</v>
      </c>
      <c r="F7" s="102">
        <f>TrRoad_act!F$6</f>
        <v>7813</v>
      </c>
      <c r="G7" s="102">
        <f>TrRoad_act!G$6</f>
        <v>9928.9999999999982</v>
      </c>
      <c r="H7" s="102">
        <f>TrRoad_act!H$6</f>
        <v>9946.0000000000018</v>
      </c>
      <c r="I7" s="102">
        <f>TrRoad_act!I$6</f>
        <v>10000.000000000002</v>
      </c>
      <c r="J7" s="102">
        <f>TrRoad_act!J$6</f>
        <v>10500.000000000002</v>
      </c>
      <c r="K7" s="102">
        <f>TrRoad_act!K$6</f>
        <v>10500</v>
      </c>
      <c r="L7" s="102">
        <f>TrRoad_act!L$6</f>
        <v>10100</v>
      </c>
      <c r="M7" s="102">
        <f>TrRoad_act!M$6</f>
        <v>10381.082222547917</v>
      </c>
      <c r="N7" s="102">
        <f>TrRoad_act!N$6</f>
        <v>10808.595077153128</v>
      </c>
      <c r="O7" s="102">
        <f>TrRoad_act!O$6</f>
        <v>11246.133322496953</v>
      </c>
      <c r="P7" s="102">
        <f>TrRoad_act!P$6</f>
        <v>11852.001342412783</v>
      </c>
      <c r="Q7" s="102">
        <f>TrRoad_act!Q$6</f>
        <v>12331.94848698124</v>
      </c>
      <c r="R7" s="102">
        <f>TrRoad_act!R$6</f>
        <v>12840.848785603474</v>
      </c>
      <c r="S7" s="102">
        <f>TrRoad_act!S$6</f>
        <v>13081.243106323074</v>
      </c>
      <c r="T7" s="102">
        <f>TrRoad_act!T$6</f>
        <v>13340.182522661717</v>
      </c>
      <c r="U7" s="102">
        <f>TrRoad_act!U$6</f>
        <v>14095.500000000002</v>
      </c>
      <c r="V7" s="102">
        <f>TrRoad_act!V$6</f>
        <v>12204.694603133747</v>
      </c>
      <c r="W7" s="102">
        <f>TrRoad_act!W$6</f>
        <v>13101.254870059072</v>
      </c>
      <c r="X7" s="102">
        <f>TrRoad_act!X$6</f>
        <v>13993.732436552275</v>
      </c>
      <c r="Y7" s="102">
        <f>TrRoad_act!Y$6</f>
        <v>14671.023785766551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2630</v>
      </c>
      <c r="C8" s="102">
        <f>TrRoad_act!C$13</f>
        <v>2461</v>
      </c>
      <c r="D8" s="102">
        <f>TrRoad_act!D$13</f>
        <v>2330</v>
      </c>
      <c r="E8" s="102">
        <f>TrRoad_act!E$13</f>
        <v>2297</v>
      </c>
      <c r="F8" s="102">
        <f>TrRoad_act!F$13</f>
        <v>2469</v>
      </c>
      <c r="G8" s="102">
        <f>TrRoad_act!G$13</f>
        <v>2716</v>
      </c>
      <c r="H8" s="102">
        <f>TrRoad_act!H$13</f>
        <v>2881</v>
      </c>
      <c r="I8" s="102">
        <f>TrRoad_act!I$13</f>
        <v>2676.9999999999995</v>
      </c>
      <c r="J8" s="102">
        <f>TrRoad_act!J$13</f>
        <v>2453</v>
      </c>
      <c r="K8" s="102">
        <f>TrRoad_act!K$13</f>
        <v>2114</v>
      </c>
      <c r="L8" s="102">
        <f>TrRoad_act!L$13</f>
        <v>2061</v>
      </c>
      <c r="M8" s="102">
        <f>TrRoad_act!M$13</f>
        <v>2070.6943000000001</v>
      </c>
      <c r="N8" s="102">
        <f>TrRoad_act!N$13</f>
        <v>1881.3000000000002</v>
      </c>
      <c r="O8" s="102">
        <f>TrRoad_act!O$13</f>
        <v>1929.6000000000001</v>
      </c>
      <c r="P8" s="102">
        <f>TrRoad_act!P$13</f>
        <v>1975.75</v>
      </c>
      <c r="Q8" s="102">
        <f>TrRoad_act!Q$13</f>
        <v>2359</v>
      </c>
      <c r="R8" s="102">
        <f>TrRoad_act!R$13</f>
        <v>2938.0000000000009</v>
      </c>
      <c r="S8" s="102">
        <f>TrRoad_act!S$13</f>
        <v>2869</v>
      </c>
      <c r="T8" s="102">
        <f>TrRoad_act!T$13</f>
        <v>2840.0000000000005</v>
      </c>
      <c r="U8" s="102">
        <f>TrRoad_act!U$13</f>
        <v>3153</v>
      </c>
      <c r="V8" s="102">
        <f>TrRoad_act!V$13</f>
        <v>1373.9999999999998</v>
      </c>
      <c r="W8" s="102">
        <f>TrRoad_act!W$13</f>
        <v>1288.0000000000002</v>
      </c>
      <c r="X8" s="102">
        <f>TrRoad_act!X$13</f>
        <v>1962.9999999999998</v>
      </c>
      <c r="Y8" s="102">
        <f>TrRoad_act!Y$13</f>
        <v>2462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365.7</v>
      </c>
      <c r="C9" s="110">
        <f t="shared" si="6"/>
        <v>270.24900000000002</v>
      </c>
      <c r="D9" s="110">
        <f t="shared" si="6"/>
        <v>269.35000000000002</v>
      </c>
      <c r="E9" s="110">
        <f t="shared" si="6"/>
        <v>275.11399999999998</v>
      </c>
      <c r="F9" s="110">
        <f t="shared" si="6"/>
        <v>276.39999999999998</v>
      </c>
      <c r="G9" s="110">
        <f t="shared" si="6"/>
        <v>323.3</v>
      </c>
      <c r="H9" s="110">
        <f t="shared" si="6"/>
        <v>335.6</v>
      </c>
      <c r="I9" s="110">
        <f t="shared" si="6"/>
        <v>353.2</v>
      </c>
      <c r="J9" s="110">
        <f t="shared" si="6"/>
        <v>345.84699999999998</v>
      </c>
      <c r="K9" s="110">
        <f t="shared" si="6"/>
        <v>320.84699999999998</v>
      </c>
      <c r="L9" s="110">
        <f t="shared" si="6"/>
        <v>318.84699999999998</v>
      </c>
      <c r="M9" s="110">
        <f t="shared" si="6"/>
        <v>307.84800000000001</v>
      </c>
      <c r="N9" s="110">
        <f t="shared" si="6"/>
        <v>327.40100000000001</v>
      </c>
      <c r="O9" s="110">
        <f t="shared" si="6"/>
        <v>298.76400000000001</v>
      </c>
      <c r="P9" s="110">
        <f t="shared" si="6"/>
        <v>338.51800000000003</v>
      </c>
      <c r="Q9" s="110">
        <f t="shared" si="6"/>
        <v>341.14600000000002</v>
      </c>
      <c r="R9" s="110">
        <f t="shared" ref="R9:V9" si="7">R10+R11+R12</f>
        <v>373.03399999999999</v>
      </c>
      <c r="S9" s="110">
        <f t="shared" si="7"/>
        <v>425.60500000000002</v>
      </c>
      <c r="T9" s="110">
        <f t="shared" si="7"/>
        <v>500.892</v>
      </c>
      <c r="U9" s="110">
        <f t="shared" si="7"/>
        <v>479.34800000000001</v>
      </c>
      <c r="V9" s="110">
        <f t="shared" si="7"/>
        <v>341.57499999999999</v>
      </c>
      <c r="W9" s="110">
        <f t="shared" ref="W9:Y9" si="8">W10+W11+W12</f>
        <v>355.71699999999998</v>
      </c>
      <c r="X9" s="110">
        <f t="shared" si="8"/>
        <v>468.23899999999998</v>
      </c>
      <c r="Y9" s="110">
        <f t="shared" si="8"/>
        <v>513.43429999999989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104.7</v>
      </c>
      <c r="C10" s="102">
        <f>TrRail_act!C$5</f>
        <v>87.6</v>
      </c>
      <c r="D10" s="102">
        <f>TrRail_act!D$5</f>
        <v>92.4</v>
      </c>
      <c r="E10" s="102">
        <f>TrRail_act!E$5</f>
        <v>93.3</v>
      </c>
      <c r="F10" s="102">
        <f>TrRail_act!F$5</f>
        <v>83.4</v>
      </c>
      <c r="G10" s="102">
        <f>TrRail_act!G$5</f>
        <v>75.300000000000011</v>
      </c>
      <c r="H10" s="102">
        <f>TrRail_act!H$5</f>
        <v>78.600000000000009</v>
      </c>
      <c r="I10" s="102">
        <f>TrRail_act!I$5</f>
        <v>79.199999999999989</v>
      </c>
      <c r="J10" s="102">
        <f>TrRail_act!J$5</f>
        <v>71.846999999999994</v>
      </c>
      <c r="K10" s="102">
        <f>TrRail_act!K$5</f>
        <v>71.846999999999994</v>
      </c>
      <c r="L10" s="102">
        <f>TrRail_act!L$5</f>
        <v>71.846999999999994</v>
      </c>
      <c r="M10" s="102">
        <f>TrRail_act!M$5</f>
        <v>64.847999999999999</v>
      </c>
      <c r="N10" s="102">
        <f>TrRail_act!N$5</f>
        <v>92.400999999999996</v>
      </c>
      <c r="O10" s="102">
        <f>TrRail_act!O$5</f>
        <v>75.763999999999996</v>
      </c>
      <c r="P10" s="102">
        <f>TrRail_act!P$5</f>
        <v>58.518000000000001</v>
      </c>
      <c r="Q10" s="102">
        <f>TrRail_act!Q$5</f>
        <v>55.146000000000001</v>
      </c>
      <c r="R10" s="102">
        <f>TrRail_act!R$5</f>
        <v>57.033999999999999</v>
      </c>
      <c r="S10" s="102">
        <f>TrRail_act!S$5</f>
        <v>59.604999999999997</v>
      </c>
      <c r="T10" s="102">
        <f>TrRail_act!T$5</f>
        <v>83.891999999999996</v>
      </c>
      <c r="U10" s="102">
        <f>TrRail_act!U$5</f>
        <v>87.347999999999999</v>
      </c>
      <c r="V10" s="102">
        <f>TrRail_act!V$5</f>
        <v>78.575000000000003</v>
      </c>
      <c r="W10" s="102">
        <f>TrRail_act!W$5</f>
        <v>65.716999999999999</v>
      </c>
      <c r="X10" s="102">
        <f>TrRail_act!X$5</f>
        <v>86.23899999999999</v>
      </c>
      <c r="Y10" s="102">
        <f>TrRail_act!Y$5</f>
        <v>105.43429999999992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261</v>
      </c>
      <c r="C11" s="102">
        <f>TrRail_act!C$6</f>
        <v>182.649</v>
      </c>
      <c r="D11" s="102">
        <f>TrRail_act!D$6</f>
        <v>176.95</v>
      </c>
      <c r="E11" s="102">
        <f>TrRail_act!E$6</f>
        <v>181.81399999999999</v>
      </c>
      <c r="F11" s="102">
        <f>TrRail_act!F$6</f>
        <v>193</v>
      </c>
      <c r="G11" s="102">
        <f>TrRail_act!G$6</f>
        <v>248</v>
      </c>
      <c r="H11" s="102">
        <f>TrRail_act!H$6</f>
        <v>257</v>
      </c>
      <c r="I11" s="102">
        <f>TrRail_act!I$6</f>
        <v>274</v>
      </c>
      <c r="J11" s="102">
        <f>TrRail_act!J$6</f>
        <v>274</v>
      </c>
      <c r="K11" s="102">
        <f>TrRail_act!K$6</f>
        <v>249</v>
      </c>
      <c r="L11" s="102">
        <f>TrRail_act!L$6</f>
        <v>247</v>
      </c>
      <c r="M11" s="102">
        <f>TrRail_act!M$6</f>
        <v>243</v>
      </c>
      <c r="N11" s="102">
        <f>TrRail_act!N$6</f>
        <v>235</v>
      </c>
      <c r="O11" s="102">
        <f>TrRail_act!O$6</f>
        <v>223</v>
      </c>
      <c r="P11" s="102">
        <f>TrRail_act!P$6</f>
        <v>280</v>
      </c>
      <c r="Q11" s="102">
        <f>TrRail_act!Q$6</f>
        <v>286</v>
      </c>
      <c r="R11" s="102">
        <f>TrRail_act!R$6</f>
        <v>316</v>
      </c>
      <c r="S11" s="102">
        <f>TrRail_act!S$6</f>
        <v>366</v>
      </c>
      <c r="T11" s="102">
        <f>TrRail_act!T$6</f>
        <v>417</v>
      </c>
      <c r="U11" s="102">
        <f>TrRail_act!U$6</f>
        <v>392</v>
      </c>
      <c r="V11" s="102">
        <f>TrRail_act!V$6</f>
        <v>263</v>
      </c>
      <c r="W11" s="102">
        <f>TrRail_act!W$6</f>
        <v>290</v>
      </c>
      <c r="X11" s="102">
        <f>TrRail_act!X$6</f>
        <v>382</v>
      </c>
      <c r="Y11" s="102">
        <f>TrRail_act!Y$6</f>
        <v>408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517.67001327376954</v>
      </c>
      <c r="C13" s="110">
        <f t="shared" ref="C13:V13" si="10">C14+C15+C16</f>
        <v>439.22711871427759</v>
      </c>
      <c r="D13" s="110">
        <f t="shared" si="10"/>
        <v>459.58340913446085</v>
      </c>
      <c r="E13" s="110">
        <f t="shared" si="10"/>
        <v>536.87141800113261</v>
      </c>
      <c r="F13" s="110">
        <f t="shared" si="10"/>
        <v>745.41139004404477</v>
      </c>
      <c r="G13" s="110">
        <f t="shared" si="10"/>
        <v>1127.4048505921057</v>
      </c>
      <c r="H13" s="110">
        <f t="shared" si="10"/>
        <v>1153.4455630392342</v>
      </c>
      <c r="I13" s="110">
        <f t="shared" si="10"/>
        <v>1214.1978189857671</v>
      </c>
      <c r="J13" s="110">
        <f t="shared" si="10"/>
        <v>1230.9620663363628</v>
      </c>
      <c r="K13" s="110">
        <f t="shared" si="10"/>
        <v>771.88433239036374</v>
      </c>
      <c r="L13" s="110">
        <f t="shared" si="10"/>
        <v>869.42690425431397</v>
      </c>
      <c r="M13" s="110">
        <f t="shared" si="10"/>
        <v>1161.8322643525362</v>
      </c>
      <c r="N13" s="110">
        <f t="shared" si="10"/>
        <v>1371.5091832705548</v>
      </c>
      <c r="O13" s="110">
        <f t="shared" si="10"/>
        <v>1098.4157344447628</v>
      </c>
      <c r="P13" s="110">
        <f t="shared" si="10"/>
        <v>1151.8917789874017</v>
      </c>
      <c r="Q13" s="110">
        <f t="shared" si="10"/>
        <v>1324.7787628600213</v>
      </c>
      <c r="R13" s="110">
        <f t="shared" si="10"/>
        <v>1323.320165476573</v>
      </c>
      <c r="S13" s="110">
        <f t="shared" si="10"/>
        <v>1524.8148678068892</v>
      </c>
      <c r="T13" s="110">
        <f t="shared" si="10"/>
        <v>1775.5097815241481</v>
      </c>
      <c r="U13" s="110">
        <f t="shared" si="10"/>
        <v>1999.9287083346858</v>
      </c>
      <c r="V13" s="110">
        <f t="shared" si="10"/>
        <v>494.6736299830535</v>
      </c>
      <c r="W13" s="110">
        <f t="shared" ref="W13:Y13" si="11">W14+W15+W16</f>
        <v>1043.1909490775538</v>
      </c>
      <c r="X13" s="110">
        <f t="shared" si="11"/>
        <v>1964.4555674962508</v>
      </c>
      <c r="Y13" s="110">
        <f t="shared" si="11"/>
        <v>2049.5039332576566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442.37350359606677</v>
      </c>
      <c r="C15" s="102">
        <f>TrAvia_act!C$6</f>
        <v>376.49831204413698</v>
      </c>
      <c r="D15" s="102">
        <f>TrAvia_act!D$6</f>
        <v>387.31302193166329</v>
      </c>
      <c r="E15" s="102">
        <f>TrAvia_act!E$6</f>
        <v>448.2605789247782</v>
      </c>
      <c r="F15" s="102">
        <f>TrAvia_act!F$6</f>
        <v>605.09743524841303</v>
      </c>
      <c r="G15" s="102">
        <f>TrAvia_act!G$6</f>
        <v>925.31237659210581</v>
      </c>
      <c r="H15" s="102">
        <f>TrAvia_act!H$6</f>
        <v>950.70624608763364</v>
      </c>
      <c r="I15" s="102">
        <f>TrAvia_act!I$6</f>
        <v>956.7040767892338</v>
      </c>
      <c r="J15" s="102">
        <f>TrAvia_act!J$6</f>
        <v>911.70406468272324</v>
      </c>
      <c r="K15" s="102">
        <f>TrAvia_act!K$6</f>
        <v>558.58567704572147</v>
      </c>
      <c r="L15" s="102">
        <f>TrAvia_act!L$6</f>
        <v>600.60799416226382</v>
      </c>
      <c r="M15" s="102">
        <f>TrAvia_act!M$6</f>
        <v>924.64344879310136</v>
      </c>
      <c r="N15" s="102">
        <f>TrAvia_act!N$6</f>
        <v>995.2828378510651</v>
      </c>
      <c r="O15" s="102">
        <f>TrAvia_act!O$6</f>
        <v>859.49648740163832</v>
      </c>
      <c r="P15" s="102">
        <f>TrAvia_act!P$6</f>
        <v>895.19689230152812</v>
      </c>
      <c r="Q15" s="102">
        <f>TrAvia_act!Q$6</f>
        <v>987.42782194120161</v>
      </c>
      <c r="R15" s="102">
        <f>TrAvia_act!R$6</f>
        <v>1067.3870162765656</v>
      </c>
      <c r="S15" s="102">
        <f>TrAvia_act!S$6</f>
        <v>1222.3063174825702</v>
      </c>
      <c r="T15" s="102">
        <f>TrAvia_act!T$6</f>
        <v>1386.5985283970588</v>
      </c>
      <c r="U15" s="102">
        <f>TrAvia_act!U$6</f>
        <v>1453.8196132505705</v>
      </c>
      <c r="V15" s="102">
        <f>TrAvia_act!V$6</f>
        <v>376.74039696743887</v>
      </c>
      <c r="W15" s="102">
        <f>TrAvia_act!W$6</f>
        <v>632.17343479866338</v>
      </c>
      <c r="X15" s="102">
        <f>TrAvia_act!X$6</f>
        <v>1386.4234928452413</v>
      </c>
      <c r="Y15" s="102">
        <f>TrAvia_act!Y$6</f>
        <v>1391.0042666211612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75.296509677702801</v>
      </c>
      <c r="C16" s="102">
        <f>TrAvia_act!C$7</f>
        <v>62.728806670140614</v>
      </c>
      <c r="D16" s="102">
        <f>TrAvia_act!D$7</f>
        <v>72.270387202797551</v>
      </c>
      <c r="E16" s="102">
        <f>TrAvia_act!E$7</f>
        <v>88.610839076354381</v>
      </c>
      <c r="F16" s="102">
        <f>TrAvia_act!F$7</f>
        <v>140.31395479563176</v>
      </c>
      <c r="G16" s="102">
        <f>TrAvia_act!G$7</f>
        <v>202.09247400000001</v>
      </c>
      <c r="H16" s="102">
        <f>TrAvia_act!H$7</f>
        <v>202.73931695160056</v>
      </c>
      <c r="I16" s="102">
        <f>TrAvia_act!I$7</f>
        <v>257.49374219653328</v>
      </c>
      <c r="J16" s="102">
        <f>TrAvia_act!J$7</f>
        <v>319.25800165363955</v>
      </c>
      <c r="K16" s="102">
        <f>TrAvia_act!K$7</f>
        <v>213.29865534464224</v>
      </c>
      <c r="L16" s="102">
        <f>TrAvia_act!L$7</f>
        <v>268.8189100920502</v>
      </c>
      <c r="M16" s="102">
        <f>TrAvia_act!M$7</f>
        <v>237.18881555943474</v>
      </c>
      <c r="N16" s="102">
        <f>TrAvia_act!N$7</f>
        <v>376.22634541948975</v>
      </c>
      <c r="O16" s="102">
        <f>TrAvia_act!O$7</f>
        <v>238.91924704312444</v>
      </c>
      <c r="P16" s="102">
        <f>TrAvia_act!P$7</f>
        <v>256.69488668587371</v>
      </c>
      <c r="Q16" s="102">
        <f>TrAvia_act!Q$7</f>
        <v>337.35094091881962</v>
      </c>
      <c r="R16" s="102">
        <f>TrAvia_act!R$7</f>
        <v>255.93314920000745</v>
      </c>
      <c r="S16" s="102">
        <f>TrAvia_act!S$7</f>
        <v>302.50855032431889</v>
      </c>
      <c r="T16" s="102">
        <f>TrAvia_act!T$7</f>
        <v>388.91125312708942</v>
      </c>
      <c r="U16" s="102">
        <f>TrAvia_act!U$7</f>
        <v>546.10909508411521</v>
      </c>
      <c r="V16" s="102">
        <f>TrAvia_act!V$7</f>
        <v>117.9332330156146</v>
      </c>
      <c r="W16" s="102">
        <f>TrAvia_act!W$7</f>
        <v>411.01751427889042</v>
      </c>
      <c r="X16" s="102">
        <f>TrAvia_act!X$7</f>
        <v>578.03207465100945</v>
      </c>
      <c r="Y16" s="102">
        <f>TrAvia_act!Y$7</f>
        <v>658.49966663649536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9696.3188341762834</v>
      </c>
      <c r="C17" s="28">
        <f t="shared" si="12"/>
        <v>10029.416272684339</v>
      </c>
      <c r="D17" s="28">
        <f t="shared" si="12"/>
        <v>11419.660401343102</v>
      </c>
      <c r="E17" s="28">
        <f t="shared" si="12"/>
        <v>12202.797290949131</v>
      </c>
      <c r="F17" s="28">
        <f t="shared" si="12"/>
        <v>13048.042045844308</v>
      </c>
      <c r="G17" s="28">
        <f t="shared" si="12"/>
        <v>13566.550467408388</v>
      </c>
      <c r="H17" s="28">
        <f t="shared" si="12"/>
        <v>13522.26425033805</v>
      </c>
      <c r="I17" s="28">
        <f t="shared" si="12"/>
        <v>11631.54087739856</v>
      </c>
      <c r="J17" s="28">
        <f t="shared" si="12"/>
        <v>8937.3987245879325</v>
      </c>
      <c r="K17" s="28">
        <f t="shared" si="12"/>
        <v>8232.228124931502</v>
      </c>
      <c r="L17" s="28">
        <f t="shared" si="12"/>
        <v>9019.3686794470832</v>
      </c>
      <c r="M17" s="28">
        <f t="shared" si="12"/>
        <v>8981.1386365697581</v>
      </c>
      <c r="N17" s="28">
        <f t="shared" si="12"/>
        <v>7902.6823399093673</v>
      </c>
      <c r="O17" s="28">
        <f t="shared" si="12"/>
        <v>7674.5471646016485</v>
      </c>
      <c r="P17" s="28">
        <f t="shared" si="12"/>
        <v>6173.5383431138589</v>
      </c>
      <c r="Q17" s="28">
        <f t="shared" si="12"/>
        <v>6231.446397368275</v>
      </c>
      <c r="R17" s="28">
        <f t="shared" ref="R17:V17" si="13">R18+R21+R22+R26</f>
        <v>5756.8171416505056</v>
      </c>
      <c r="S17" s="28">
        <f t="shared" si="13"/>
        <v>5563.4875031289166</v>
      </c>
      <c r="T17" s="28">
        <f t="shared" si="13"/>
        <v>5970.930333959358</v>
      </c>
      <c r="U17" s="28">
        <f t="shared" si="13"/>
        <v>5543.7499370910236</v>
      </c>
      <c r="V17" s="28">
        <f t="shared" si="13"/>
        <v>4908.5700395918093</v>
      </c>
      <c r="W17" s="28">
        <f t="shared" ref="W17:Y17" si="14">W18+W21+W22+W26</f>
        <v>5752.6383750922732</v>
      </c>
      <c r="X17" s="28">
        <f t="shared" si="14"/>
        <v>5188.8260500700726</v>
      </c>
      <c r="Y17" s="28">
        <f t="shared" si="14"/>
        <v>4250.2734661756922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1557.0978616004443</v>
      </c>
      <c r="C18" s="137">
        <f t="shared" si="15"/>
        <v>1434.7786085926784</v>
      </c>
      <c r="D18" s="137">
        <f t="shared" si="15"/>
        <v>1682.461338911605</v>
      </c>
      <c r="E18" s="137">
        <f t="shared" si="15"/>
        <v>2486.5248186960484</v>
      </c>
      <c r="F18" s="137">
        <f t="shared" si="15"/>
        <v>2496.8611289851087</v>
      </c>
      <c r="G18" s="137">
        <f t="shared" si="15"/>
        <v>2879.8311518254318</v>
      </c>
      <c r="H18" s="137">
        <f t="shared" si="15"/>
        <v>3072.0890284974248</v>
      </c>
      <c r="I18" s="137">
        <f t="shared" si="15"/>
        <v>3131.1873101182564</v>
      </c>
      <c r="J18" s="137">
        <f t="shared" si="15"/>
        <v>2970.1344599629706</v>
      </c>
      <c r="K18" s="137">
        <f t="shared" si="15"/>
        <v>2270.0572865030972</v>
      </c>
      <c r="L18" s="137">
        <f t="shared" si="15"/>
        <v>2363.9189021270067</v>
      </c>
      <c r="M18" s="137">
        <f t="shared" si="15"/>
        <v>2683.2477307446111</v>
      </c>
      <c r="N18" s="137">
        <f t="shared" si="15"/>
        <v>2744.5824268077895</v>
      </c>
      <c r="O18" s="137">
        <f t="shared" si="15"/>
        <v>2919.8609413258273</v>
      </c>
      <c r="P18" s="137">
        <f t="shared" si="15"/>
        <v>2885.9908135826695</v>
      </c>
      <c r="Q18" s="137">
        <f t="shared" si="15"/>
        <v>3094.1233107376743</v>
      </c>
      <c r="R18" s="137">
        <f t="shared" ref="R18:V18" si="16">R19+R20</f>
        <v>3401.038855034481</v>
      </c>
      <c r="S18" s="137">
        <f t="shared" si="16"/>
        <v>3227.9768154437124</v>
      </c>
      <c r="T18" s="137">
        <f t="shared" si="16"/>
        <v>3364.9656501896152</v>
      </c>
      <c r="U18" s="137">
        <f t="shared" si="16"/>
        <v>3366.4023106359309</v>
      </c>
      <c r="V18" s="137">
        <f t="shared" si="16"/>
        <v>3152.6978831626639</v>
      </c>
      <c r="W18" s="137">
        <f t="shared" ref="W18:Y18" si="17">W19+W20</f>
        <v>3598.3300113632504</v>
      </c>
      <c r="X18" s="137">
        <f t="shared" si="17"/>
        <v>3878.0503314069233</v>
      </c>
      <c r="Y18" s="137">
        <f t="shared" si="17"/>
        <v>3465.3627532597825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247.98942932788398</v>
      </c>
      <c r="C19" s="102">
        <f>TrRoad_act!C$20</f>
        <v>250.39674822583311</v>
      </c>
      <c r="D19" s="102">
        <f>TrRoad_act!D$20</f>
        <v>246.52943556846486</v>
      </c>
      <c r="E19" s="102">
        <f>TrRoad_act!E$20</f>
        <v>233.63002247656249</v>
      </c>
      <c r="F19" s="102">
        <f>TrRoad_act!F$20</f>
        <v>223.94071992067583</v>
      </c>
      <c r="G19" s="102">
        <f>TrRoad_act!G$20</f>
        <v>209.61289532047471</v>
      </c>
      <c r="H19" s="102">
        <f>TrRoad_act!H$20</f>
        <v>203.03211501311077</v>
      </c>
      <c r="I19" s="102">
        <f>TrRoad_act!I$20</f>
        <v>195.69904534696965</v>
      </c>
      <c r="J19" s="102">
        <f>TrRoad_act!J$20</f>
        <v>198.57148276166257</v>
      </c>
      <c r="K19" s="102">
        <f>TrRoad_act!K$20</f>
        <v>193.86643797320198</v>
      </c>
      <c r="L19" s="102">
        <f>TrRoad_act!L$20</f>
        <v>193.16482850086146</v>
      </c>
      <c r="M19" s="102">
        <f>TrRoad_act!M$20</f>
        <v>201.87166188327001</v>
      </c>
      <c r="N19" s="102">
        <f>TrRoad_act!N$20</f>
        <v>211.95219373154859</v>
      </c>
      <c r="O19" s="102">
        <f>TrRoad_act!O$20</f>
        <v>230.82994961197514</v>
      </c>
      <c r="P19" s="102">
        <f>TrRoad_act!P$20</f>
        <v>243.87790074007654</v>
      </c>
      <c r="Q19" s="102">
        <f>TrRoad_act!Q$20</f>
        <v>258.01820561589864</v>
      </c>
      <c r="R19" s="102">
        <f>TrRoad_act!R$20</f>
        <v>286.11073555860349</v>
      </c>
      <c r="S19" s="102">
        <f>TrRoad_act!S$20</f>
        <v>315.42645896510186</v>
      </c>
      <c r="T19" s="102">
        <f>TrRoad_act!T$20</f>
        <v>350.96565018961508</v>
      </c>
      <c r="U19" s="102">
        <f>TrRoad_act!U$20</f>
        <v>388.40231063593092</v>
      </c>
      <c r="V19" s="102">
        <f>TrRoad_act!V$20</f>
        <v>401.69788316266374</v>
      </c>
      <c r="W19" s="102">
        <f>TrRoad_act!W$20</f>
        <v>427.33001136325015</v>
      </c>
      <c r="X19" s="102">
        <f>TrRoad_act!X$20</f>
        <v>452.05033140692314</v>
      </c>
      <c r="Y19" s="102">
        <f>TrRoad_act!Y$20</f>
        <v>458.36275325978238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1309.1084322725603</v>
      </c>
      <c r="C20" s="102">
        <f>TrRoad_act!C$26</f>
        <v>1184.3818603668453</v>
      </c>
      <c r="D20" s="102">
        <f>TrRoad_act!D$26</f>
        <v>1435.9319033431402</v>
      </c>
      <c r="E20" s="102">
        <f>TrRoad_act!E$26</f>
        <v>2252.8947962194861</v>
      </c>
      <c r="F20" s="102">
        <f>TrRoad_act!F$26</f>
        <v>2272.920409064433</v>
      </c>
      <c r="G20" s="102">
        <f>TrRoad_act!G$26</f>
        <v>2670.218256504957</v>
      </c>
      <c r="H20" s="102">
        <f>TrRoad_act!H$26</f>
        <v>2869.056913484314</v>
      </c>
      <c r="I20" s="102">
        <f>TrRoad_act!I$26</f>
        <v>2935.4882647712866</v>
      </c>
      <c r="J20" s="102">
        <f>TrRoad_act!J$26</f>
        <v>2771.5629772013081</v>
      </c>
      <c r="K20" s="102">
        <f>TrRoad_act!K$26</f>
        <v>2076.1908485298954</v>
      </c>
      <c r="L20" s="102">
        <f>TrRoad_act!L$26</f>
        <v>2170.7540736261453</v>
      </c>
      <c r="M20" s="102">
        <f>TrRoad_act!M$26</f>
        <v>2481.3760688613411</v>
      </c>
      <c r="N20" s="102">
        <f>TrRoad_act!N$26</f>
        <v>2532.630233076241</v>
      </c>
      <c r="O20" s="102">
        <f>TrRoad_act!O$26</f>
        <v>2689.030991713852</v>
      </c>
      <c r="P20" s="102">
        <f>TrRoad_act!P$26</f>
        <v>2642.1129128425928</v>
      </c>
      <c r="Q20" s="102">
        <f>TrRoad_act!Q$26</f>
        <v>2836.1051051217755</v>
      </c>
      <c r="R20" s="102">
        <f>TrRoad_act!R$26</f>
        <v>3114.9281194758773</v>
      </c>
      <c r="S20" s="102">
        <f>TrRoad_act!S$26</f>
        <v>2912.5503564786104</v>
      </c>
      <c r="T20" s="102">
        <f>TrRoad_act!T$26</f>
        <v>3014</v>
      </c>
      <c r="U20" s="102">
        <f>TrRoad_act!U$26</f>
        <v>2978</v>
      </c>
      <c r="V20" s="102">
        <f>TrRoad_act!V$26</f>
        <v>2751</v>
      </c>
      <c r="W20" s="102">
        <f>TrRoad_act!W$26</f>
        <v>3171</v>
      </c>
      <c r="X20" s="102">
        <f>TrRoad_act!X$26</f>
        <v>3426</v>
      </c>
      <c r="Y20" s="102">
        <f>TrRoad_act!Y$26</f>
        <v>3007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8102.0000000000009</v>
      </c>
      <c r="C21" s="110">
        <f>TrRail_act!C$10</f>
        <v>8557</v>
      </c>
      <c r="D21" s="110">
        <f>TrRail_act!D$10</f>
        <v>9697</v>
      </c>
      <c r="E21" s="110">
        <f>TrRail_act!E$10</f>
        <v>9670</v>
      </c>
      <c r="F21" s="110">
        <f>TrRail_act!F$10</f>
        <v>10488</v>
      </c>
      <c r="G21" s="110">
        <f>TrRail_act!G$10</f>
        <v>10639</v>
      </c>
      <c r="H21" s="110">
        <f>TrRail_act!H$10</f>
        <v>10418</v>
      </c>
      <c r="I21" s="110">
        <f>TrRail_act!I$10</f>
        <v>8430</v>
      </c>
      <c r="J21" s="110">
        <f>TrRail_act!J$10</f>
        <v>5943</v>
      </c>
      <c r="K21" s="110">
        <f>TrRail_act!K$10</f>
        <v>5947</v>
      </c>
      <c r="L21" s="110">
        <f>TrRail_act!L$10</f>
        <v>6638.0000000000009</v>
      </c>
      <c r="M21" s="110">
        <f>TrRail_act!M$10</f>
        <v>6271</v>
      </c>
      <c r="N21" s="110">
        <f>TrRail_act!N$10</f>
        <v>5129</v>
      </c>
      <c r="O21" s="110">
        <f>TrRail_act!O$10</f>
        <v>4722</v>
      </c>
      <c r="P21" s="110">
        <f>TrRail_act!P$10</f>
        <v>3255.9999999999995</v>
      </c>
      <c r="Q21" s="110">
        <f>TrRail_act!Q$10</f>
        <v>3117</v>
      </c>
      <c r="R21" s="110">
        <f>TrRail_act!R$10</f>
        <v>2340</v>
      </c>
      <c r="S21" s="110">
        <f>TrRail_act!S$10</f>
        <v>2324.9999999999995</v>
      </c>
      <c r="T21" s="110">
        <f>TrRail_act!T$10</f>
        <v>2588</v>
      </c>
      <c r="U21" s="110">
        <f>TrRail_act!U$10</f>
        <v>2155</v>
      </c>
      <c r="V21" s="110">
        <f>TrRail_act!V$10</f>
        <v>1729</v>
      </c>
      <c r="W21" s="110">
        <f>TrRail_act!W$10</f>
        <v>2124</v>
      </c>
      <c r="X21" s="110">
        <f>TrRail_act!X$10</f>
        <v>1286.0000000000002</v>
      </c>
      <c r="Y21" s="110">
        <f>TrRail_act!Y$10</f>
        <v>770.99999999999989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3.8129725758381294</v>
      </c>
      <c r="C22" s="110">
        <f t="shared" ref="C22:V22" si="19">C23+C24+C25</f>
        <v>3.7376640916608066</v>
      </c>
      <c r="D22" s="110">
        <f t="shared" si="19"/>
        <v>2.6960624314966166</v>
      </c>
      <c r="E22" s="110">
        <f t="shared" si="19"/>
        <v>2.7504722530803685</v>
      </c>
      <c r="F22" s="110">
        <f t="shared" si="19"/>
        <v>2.5279168591994887</v>
      </c>
      <c r="G22" s="110">
        <f t="shared" si="19"/>
        <v>4.0123155829556651</v>
      </c>
      <c r="H22" s="110">
        <f t="shared" si="19"/>
        <v>2.8212218406268996</v>
      </c>
      <c r="I22" s="110">
        <f t="shared" si="19"/>
        <v>2.3855672803016557</v>
      </c>
      <c r="J22" s="110">
        <f t="shared" si="19"/>
        <v>2.2252646249609564</v>
      </c>
      <c r="K22" s="110">
        <f t="shared" si="19"/>
        <v>1.4658384284039161</v>
      </c>
      <c r="L22" s="110">
        <f t="shared" si="19"/>
        <v>2.8187773200766348</v>
      </c>
      <c r="M22" s="110">
        <f t="shared" si="19"/>
        <v>2.6299058251469365</v>
      </c>
      <c r="N22" s="110">
        <f t="shared" si="19"/>
        <v>3.7279131015772267</v>
      </c>
      <c r="O22" s="110">
        <f t="shared" si="19"/>
        <v>3.5172232758217703</v>
      </c>
      <c r="P22" s="110">
        <f t="shared" si="19"/>
        <v>4.3235295311894042</v>
      </c>
      <c r="Q22" s="110">
        <f t="shared" si="19"/>
        <v>4.859086630601344</v>
      </c>
      <c r="R22" s="110">
        <f t="shared" si="19"/>
        <v>7.7222866160246042</v>
      </c>
      <c r="S22" s="110">
        <f t="shared" si="19"/>
        <v>5.8806876852053138</v>
      </c>
      <c r="T22" s="110">
        <f t="shared" si="19"/>
        <v>6.2966837697433675</v>
      </c>
      <c r="U22" s="110">
        <f t="shared" si="19"/>
        <v>7.4386264550928995</v>
      </c>
      <c r="V22" s="110">
        <f t="shared" si="19"/>
        <v>5.0181564291453444</v>
      </c>
      <c r="W22" s="110">
        <f t="shared" ref="W22:Y22" si="20">W23+W24+W25</f>
        <v>9.1953637290223362</v>
      </c>
      <c r="X22" s="110">
        <f t="shared" si="20"/>
        <v>7.9227186631488316</v>
      </c>
      <c r="Y22" s="110">
        <f t="shared" si="20"/>
        <v>5.0207129159099235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1.2882503234783838</v>
      </c>
      <c r="C24" s="102">
        <f>TrAvia_act!C$10</f>
        <v>1.2809348739808828</v>
      </c>
      <c r="D24" s="102">
        <f>TrAvia_act!D$10</f>
        <v>1.0901913437054738</v>
      </c>
      <c r="E24" s="102">
        <f>TrAvia_act!E$10</f>
        <v>1.1292078928003244</v>
      </c>
      <c r="F24" s="102">
        <f>TrAvia_act!F$10</f>
        <v>1.1117101559832658</v>
      </c>
      <c r="G24" s="102">
        <f>TrAvia_act!G$10</f>
        <v>1.261838424415364</v>
      </c>
      <c r="H24" s="102">
        <f>TrAvia_act!H$10</f>
        <v>1.2790054267841913</v>
      </c>
      <c r="I24" s="102">
        <f>TrAvia_act!I$10</f>
        <v>1.5044527000581129</v>
      </c>
      <c r="J24" s="102">
        <f>TrAvia_act!J$10</f>
        <v>1.6485121285739091</v>
      </c>
      <c r="K24" s="102">
        <f>TrAvia_act!K$10</f>
        <v>1.2792251575831175</v>
      </c>
      <c r="L24" s="102">
        <f>TrAvia_act!L$10</f>
        <v>1.9122331888032997</v>
      </c>
      <c r="M24" s="102">
        <f>TrAvia_act!M$10</f>
        <v>2.2361331784765257</v>
      </c>
      <c r="N24" s="102">
        <f>TrAvia_act!N$10</f>
        <v>3.0810925398623548</v>
      </c>
      <c r="O24" s="102">
        <f>TrAvia_act!O$10</f>
        <v>3.1367724848542595</v>
      </c>
      <c r="P24" s="102">
        <f>TrAvia_act!P$10</f>
        <v>3.8950005488063844</v>
      </c>
      <c r="Q24" s="102">
        <f>TrAvia_act!Q$10</f>
        <v>4.2696968177155581</v>
      </c>
      <c r="R24" s="102">
        <f>TrAvia_act!R$10</f>
        <v>4.723965435045975</v>
      </c>
      <c r="S24" s="102">
        <f>TrAvia_act!S$10</f>
        <v>4.7600174713293679</v>
      </c>
      <c r="T24" s="102">
        <f>TrAvia_act!T$10</f>
        <v>5.6246036070702363</v>
      </c>
      <c r="U24" s="102">
        <f>TrAvia_act!U$10</f>
        <v>6.2276122046574622</v>
      </c>
      <c r="V24" s="102">
        <f>TrAvia_act!V$10</f>
        <v>4.5761205786448791</v>
      </c>
      <c r="W24" s="102">
        <f>TrAvia_act!W$10</f>
        <v>5.1102548552806857</v>
      </c>
      <c r="X24" s="102">
        <f>TrAvia_act!X$10</f>
        <v>5.2853967015132532</v>
      </c>
      <c r="Y24" s="102">
        <f>TrAvia_act!Y$10</f>
        <v>4.8128862907042009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2.5247222523597457</v>
      </c>
      <c r="C25" s="102">
        <f>TrAvia_act!C$11</f>
        <v>2.456729217679924</v>
      </c>
      <c r="D25" s="102">
        <f>TrAvia_act!D$11</f>
        <v>1.6058710877911428</v>
      </c>
      <c r="E25" s="102">
        <f>TrAvia_act!E$11</f>
        <v>1.6212643602800443</v>
      </c>
      <c r="F25" s="102">
        <f>TrAvia_act!F$11</f>
        <v>1.4162067032162229</v>
      </c>
      <c r="G25" s="102">
        <f>TrAvia_act!G$11</f>
        <v>2.7504771585403009</v>
      </c>
      <c r="H25" s="102">
        <f>TrAvia_act!H$11</f>
        <v>1.5422164138427084</v>
      </c>
      <c r="I25" s="102">
        <f>TrAvia_act!I$11</f>
        <v>0.88111458024354294</v>
      </c>
      <c r="J25" s="102">
        <f>TrAvia_act!J$11</f>
        <v>0.57675249638704751</v>
      </c>
      <c r="K25" s="102">
        <f>TrAvia_act!K$11</f>
        <v>0.1866132708207987</v>
      </c>
      <c r="L25" s="102">
        <f>TrAvia_act!L$11</f>
        <v>0.90654413127333511</v>
      </c>
      <c r="M25" s="102">
        <f>TrAvia_act!M$11</f>
        <v>0.39377264667041095</v>
      </c>
      <c r="N25" s="102">
        <f>TrAvia_act!N$11</f>
        <v>0.64682056171487179</v>
      </c>
      <c r="O25" s="102">
        <f>TrAvia_act!O$11</f>
        <v>0.38045079096751061</v>
      </c>
      <c r="P25" s="102">
        <f>TrAvia_act!P$11</f>
        <v>0.42852898238302012</v>
      </c>
      <c r="Q25" s="102">
        <f>TrAvia_act!Q$11</f>
        <v>0.58938981288578618</v>
      </c>
      <c r="R25" s="102">
        <f>TrAvia_act!R$11</f>
        <v>2.9983211809786297</v>
      </c>
      <c r="S25" s="102">
        <f>TrAvia_act!S$11</f>
        <v>1.1206702138759457</v>
      </c>
      <c r="T25" s="102">
        <f>TrAvia_act!T$11</f>
        <v>0.67208016267313142</v>
      </c>
      <c r="U25" s="102">
        <f>TrAvia_act!U$11</f>
        <v>1.2110142504354373</v>
      </c>
      <c r="V25" s="102">
        <f>TrAvia_act!V$11</f>
        <v>0.44203585050046568</v>
      </c>
      <c r="W25" s="102">
        <f>TrAvia_act!W$11</f>
        <v>4.0851088737416514</v>
      </c>
      <c r="X25" s="102">
        <f>TrAvia_act!X$11</f>
        <v>2.6373219616355779</v>
      </c>
      <c r="Y25" s="102">
        <f>TrAvia_act!Y$11</f>
        <v>0.20782662520572232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33.408000000000001</v>
      </c>
      <c r="C26" s="110">
        <f t="shared" si="21"/>
        <v>33.9</v>
      </c>
      <c r="D26" s="110">
        <f t="shared" si="21"/>
        <v>37.503</v>
      </c>
      <c r="E26" s="110">
        <f t="shared" si="21"/>
        <v>43.521999999999998</v>
      </c>
      <c r="F26" s="110">
        <f t="shared" si="21"/>
        <v>60.652999999999999</v>
      </c>
      <c r="G26" s="110">
        <f t="shared" si="21"/>
        <v>43.707000000000001</v>
      </c>
      <c r="H26" s="110">
        <f t="shared" si="21"/>
        <v>29.353999999999999</v>
      </c>
      <c r="I26" s="110">
        <f t="shared" si="21"/>
        <v>67.968000000000004</v>
      </c>
      <c r="J26" s="110">
        <f t="shared" si="21"/>
        <v>22.039000000000001</v>
      </c>
      <c r="K26" s="110">
        <f t="shared" si="21"/>
        <v>13.705</v>
      </c>
      <c r="L26" s="110">
        <f t="shared" si="21"/>
        <v>14.631</v>
      </c>
      <c r="M26" s="110">
        <f t="shared" si="21"/>
        <v>24.260999999999999</v>
      </c>
      <c r="N26" s="110">
        <f t="shared" si="21"/>
        <v>25.372</v>
      </c>
      <c r="O26" s="110">
        <f t="shared" si="21"/>
        <v>29.169</v>
      </c>
      <c r="P26" s="110">
        <f t="shared" si="21"/>
        <v>27.224</v>
      </c>
      <c r="Q26" s="110">
        <f t="shared" si="21"/>
        <v>15.464</v>
      </c>
      <c r="R26" s="110">
        <f t="shared" ref="R26:V26" si="22">R27+R28</f>
        <v>8.0559999999999992</v>
      </c>
      <c r="S26" s="110">
        <f t="shared" si="22"/>
        <v>4.63</v>
      </c>
      <c r="T26" s="110">
        <f t="shared" si="22"/>
        <v>11.667999999999999</v>
      </c>
      <c r="U26" s="110">
        <f t="shared" si="22"/>
        <v>14.909000000000001</v>
      </c>
      <c r="V26" s="110">
        <f t="shared" si="22"/>
        <v>21.853999999999999</v>
      </c>
      <c r="W26" s="110">
        <f t="shared" ref="W26:Y26" si="23">W27+W28</f>
        <v>21.113</v>
      </c>
      <c r="X26" s="110">
        <f t="shared" si="23"/>
        <v>16.853000000000002</v>
      </c>
      <c r="Y26" s="110">
        <f t="shared" si="23"/>
        <v>8.89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33.408000000000001</v>
      </c>
      <c r="C27" s="102">
        <f>TrNavi_act!C4</f>
        <v>33.9</v>
      </c>
      <c r="D27" s="102">
        <f>TrNavi_act!D4</f>
        <v>37.503</v>
      </c>
      <c r="E27" s="102">
        <f>TrNavi_act!E4</f>
        <v>43.521999999999998</v>
      </c>
      <c r="F27" s="102">
        <f>TrNavi_act!F4</f>
        <v>60.652999999999999</v>
      </c>
      <c r="G27" s="102">
        <f>TrNavi_act!G4</f>
        <v>43.707000000000001</v>
      </c>
      <c r="H27" s="102">
        <f>TrNavi_act!H4</f>
        <v>29.353999999999999</v>
      </c>
      <c r="I27" s="102">
        <f>TrNavi_act!I4</f>
        <v>67.968000000000004</v>
      </c>
      <c r="J27" s="102">
        <f>TrNavi_act!J4</f>
        <v>22.039000000000001</v>
      </c>
      <c r="K27" s="102">
        <f>TrNavi_act!K4</f>
        <v>13.705</v>
      </c>
      <c r="L27" s="102">
        <f>TrNavi_act!L4</f>
        <v>14.631</v>
      </c>
      <c r="M27" s="102">
        <f>TrNavi_act!M4</f>
        <v>24.260999999999999</v>
      </c>
      <c r="N27" s="102">
        <f>TrNavi_act!N4</f>
        <v>25.372</v>
      </c>
      <c r="O27" s="102">
        <f>TrNavi_act!O4</f>
        <v>29.169</v>
      </c>
      <c r="P27" s="102">
        <f>TrNavi_act!P4</f>
        <v>27.224</v>
      </c>
      <c r="Q27" s="102">
        <f>TrNavi_act!Q4</f>
        <v>15.464</v>
      </c>
      <c r="R27" s="102">
        <f>TrNavi_act!R4</f>
        <v>8.0559999999999992</v>
      </c>
      <c r="S27" s="102">
        <f>TrNavi_act!S4</f>
        <v>4.63</v>
      </c>
      <c r="T27" s="102">
        <f>TrNavi_act!T4</f>
        <v>11.667999999999999</v>
      </c>
      <c r="U27" s="102">
        <f>TrNavi_act!U4</f>
        <v>14.909000000000001</v>
      </c>
      <c r="V27" s="102">
        <f>TrNavi_act!V4</f>
        <v>21.853999999999999</v>
      </c>
      <c r="W27" s="102">
        <f>TrNavi_act!W4</f>
        <v>21.113</v>
      </c>
      <c r="X27" s="102">
        <f>TrNavi_act!X4</f>
        <v>16.853000000000002</v>
      </c>
      <c r="Y27" s="102">
        <f>TrNavi_act!Y4</f>
        <v>8.89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70708.090179999999</v>
      </c>
      <c r="C29" s="28">
        <f t="shared" si="24"/>
        <v>66593.464240999994</v>
      </c>
      <c r="D29" s="28">
        <f t="shared" si="24"/>
        <v>78459.302033</v>
      </c>
      <c r="E29" s="28">
        <f t="shared" si="24"/>
        <v>65621.575140000001</v>
      </c>
      <c r="F29" s="28">
        <f t="shared" si="24"/>
        <v>84229.404739000005</v>
      </c>
      <c r="G29" s="28">
        <f t="shared" si="24"/>
        <v>90259.979227999997</v>
      </c>
      <c r="H29" s="28">
        <f t="shared" si="24"/>
        <v>91028.13147800001</v>
      </c>
      <c r="I29" s="28">
        <f t="shared" si="24"/>
        <v>90476.000038000013</v>
      </c>
      <c r="J29" s="28">
        <f t="shared" si="24"/>
        <v>75548.585672999994</v>
      </c>
      <c r="K29" s="28">
        <f t="shared" si="24"/>
        <v>86923.726734999989</v>
      </c>
      <c r="L29" s="28">
        <f t="shared" si="24"/>
        <v>108652.911471</v>
      </c>
      <c r="M29" s="28">
        <f t="shared" si="24"/>
        <v>107497.623979</v>
      </c>
      <c r="N29" s="28">
        <f t="shared" si="24"/>
        <v>113758.487374</v>
      </c>
      <c r="O29" s="28">
        <f t="shared" si="24"/>
        <v>95674.122323000003</v>
      </c>
      <c r="P29" s="28">
        <f t="shared" si="24"/>
        <v>86937.996972000008</v>
      </c>
      <c r="Q29" s="28">
        <f t="shared" si="24"/>
        <v>67123.247315999994</v>
      </c>
      <c r="R29" s="28">
        <f t="shared" si="24"/>
        <v>62531.213204</v>
      </c>
      <c r="S29" s="28">
        <f t="shared" si="24"/>
        <v>64031.529823000004</v>
      </c>
      <c r="T29" s="28">
        <f t="shared" si="24"/>
        <v>65552.045868000001</v>
      </c>
      <c r="U29" s="28">
        <f t="shared" si="24"/>
        <v>73249.922657000003</v>
      </c>
      <c r="V29" s="28">
        <f t="shared" si="24"/>
        <v>77571.95171899999</v>
      </c>
      <c r="W29" s="28">
        <f t="shared" si="24"/>
        <v>78687.210567000002</v>
      </c>
      <c r="X29" s="28">
        <f t="shared" ref="X29:Y29" si="25">X30+X31</f>
        <v>58448.718565000003</v>
      </c>
      <c r="Y29" s="28">
        <f t="shared" si="25"/>
        <v>27212.623667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28209.662514</v>
      </c>
      <c r="C30" s="102">
        <f>MBunk_act!C$4</f>
        <v>26228.035092000002</v>
      </c>
      <c r="D30" s="102">
        <f>MBunk_act!D$4</f>
        <v>30891.586480000002</v>
      </c>
      <c r="E30" s="102">
        <f>MBunk_act!E$4</f>
        <v>31478.256688000001</v>
      </c>
      <c r="F30" s="102">
        <f>MBunk_act!F$4</f>
        <v>29770.047990999999</v>
      </c>
      <c r="G30" s="102">
        <f>MBunk_act!G$4</f>
        <v>25028.230243000002</v>
      </c>
      <c r="H30" s="102">
        <f>MBunk_act!H$4</f>
        <v>26094.070985000002</v>
      </c>
      <c r="I30" s="102">
        <f>MBunk_act!I$4</f>
        <v>21166.768219000001</v>
      </c>
      <c r="J30" s="102">
        <f>MBunk_act!J$4</f>
        <v>15746.605336999999</v>
      </c>
      <c r="K30" s="102">
        <f>MBunk_act!K$4</f>
        <v>16927.827534</v>
      </c>
      <c r="L30" s="102">
        <f>MBunk_act!L$4</f>
        <v>20222.260199</v>
      </c>
      <c r="M30" s="102">
        <f>MBunk_act!M$4</f>
        <v>21558.713854999998</v>
      </c>
      <c r="N30" s="102">
        <f>MBunk_act!N$4</f>
        <v>15007.907091000001</v>
      </c>
      <c r="O30" s="102">
        <f>MBunk_act!O$4</f>
        <v>21665.367784999999</v>
      </c>
      <c r="P30" s="102">
        <f>MBunk_act!P$4</f>
        <v>19830.474157000001</v>
      </c>
      <c r="Q30" s="102">
        <f>MBunk_act!Q$4</f>
        <v>13330.600562</v>
      </c>
      <c r="R30" s="102">
        <f>MBunk_act!R$4</f>
        <v>12026.433215000001</v>
      </c>
      <c r="S30" s="102">
        <f>MBunk_act!S$4</f>
        <v>12633.936670999999</v>
      </c>
      <c r="T30" s="102">
        <f>MBunk_act!T$4</f>
        <v>13433.709452999999</v>
      </c>
      <c r="U30" s="102">
        <f>MBunk_act!U$4</f>
        <v>13309.499201000001</v>
      </c>
      <c r="V30" s="102">
        <f>MBunk_act!V$4</f>
        <v>11286.955521</v>
      </c>
      <c r="W30" s="102">
        <f>MBunk_act!W$4</f>
        <v>13809.951116</v>
      </c>
      <c r="X30" s="102">
        <f>MBunk_act!X$4</f>
        <v>14751.614433000001</v>
      </c>
      <c r="Y30" s="102">
        <f>MBunk_act!Y$4</f>
        <v>11154.933529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42498.427666000003</v>
      </c>
      <c r="C31" s="86">
        <f>MBunk_act!C$5</f>
        <v>40365.429148999996</v>
      </c>
      <c r="D31" s="86">
        <f>MBunk_act!D$5</f>
        <v>47567.715553000002</v>
      </c>
      <c r="E31" s="86">
        <f>MBunk_act!E$5</f>
        <v>34143.318452</v>
      </c>
      <c r="F31" s="86">
        <f>MBunk_act!F$5</f>
        <v>54459.356748000006</v>
      </c>
      <c r="G31" s="86">
        <f>MBunk_act!G$5</f>
        <v>65231.748984999998</v>
      </c>
      <c r="H31" s="86">
        <f>MBunk_act!H$5</f>
        <v>64934.060493000004</v>
      </c>
      <c r="I31" s="86">
        <f>MBunk_act!I$5</f>
        <v>69309.231819000008</v>
      </c>
      <c r="J31" s="86">
        <f>MBunk_act!J$5</f>
        <v>59801.980335999993</v>
      </c>
      <c r="K31" s="86">
        <f>MBunk_act!K$5</f>
        <v>69995.899200999993</v>
      </c>
      <c r="L31" s="86">
        <f>MBunk_act!L$5</f>
        <v>88430.651272000003</v>
      </c>
      <c r="M31" s="86">
        <f>MBunk_act!M$5</f>
        <v>85938.910124000002</v>
      </c>
      <c r="N31" s="86">
        <f>MBunk_act!N$5</f>
        <v>98750.580283000003</v>
      </c>
      <c r="O31" s="86">
        <f>MBunk_act!O$5</f>
        <v>74008.754538000008</v>
      </c>
      <c r="P31" s="86">
        <f>MBunk_act!P$5</f>
        <v>67107.522815000004</v>
      </c>
      <c r="Q31" s="86">
        <f>MBunk_act!Q$5</f>
        <v>53792.646754000001</v>
      </c>
      <c r="R31" s="86">
        <f>MBunk_act!R$5</f>
        <v>50504.779988999995</v>
      </c>
      <c r="S31" s="86">
        <f>MBunk_act!S$5</f>
        <v>51397.593152000001</v>
      </c>
      <c r="T31" s="86">
        <f>MBunk_act!T$5</f>
        <v>52118.336414999998</v>
      </c>
      <c r="U31" s="86">
        <f>MBunk_act!U$5</f>
        <v>59940.423455999997</v>
      </c>
      <c r="V31" s="86">
        <f>MBunk_act!V$5</f>
        <v>66284.996197999993</v>
      </c>
      <c r="W31" s="86">
        <f>MBunk_act!W$5</f>
        <v>64877.259451000005</v>
      </c>
      <c r="X31" s="86">
        <f>MBunk_act!X$5</f>
        <v>43697.104132</v>
      </c>
      <c r="Y31" s="86">
        <f>MBunk_act!Y$5</f>
        <v>16057.690138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388.74568573235979</v>
      </c>
      <c r="C34" s="28">
        <f t="shared" si="26"/>
        <v>471.45267916190409</v>
      </c>
      <c r="D34" s="28">
        <f t="shared" si="26"/>
        <v>466.86921288484871</v>
      </c>
      <c r="E34" s="28">
        <f t="shared" si="26"/>
        <v>456.03690022458841</v>
      </c>
      <c r="F34" s="28">
        <f t="shared" si="26"/>
        <v>477.29295187362146</v>
      </c>
      <c r="G34" s="28">
        <f t="shared" si="26"/>
        <v>527.64798935615499</v>
      </c>
      <c r="H34" s="28">
        <f t="shared" si="26"/>
        <v>578.79256404426917</v>
      </c>
      <c r="I34" s="28">
        <f t="shared" si="26"/>
        <v>617.11087634301441</v>
      </c>
      <c r="J34" s="28">
        <f t="shared" si="26"/>
        <v>611.1644403044379</v>
      </c>
      <c r="K34" s="28">
        <f t="shared" si="26"/>
        <v>550.86644609510438</v>
      </c>
      <c r="L34" s="28">
        <f t="shared" si="26"/>
        <v>558.37573408051367</v>
      </c>
      <c r="M34" s="28">
        <f t="shared" si="26"/>
        <v>567.66670719277545</v>
      </c>
      <c r="N34" s="28">
        <f t="shared" si="26"/>
        <v>595.18010453123702</v>
      </c>
      <c r="O34" s="28">
        <f t="shared" si="26"/>
        <v>576.45817827925498</v>
      </c>
      <c r="P34" s="28">
        <f t="shared" si="26"/>
        <v>589.41400951936384</v>
      </c>
      <c r="Q34" s="28">
        <f t="shared" si="26"/>
        <v>615.01705182377566</v>
      </c>
      <c r="R34" s="28">
        <f t="shared" ref="R34:V34" si="27">R35+R39+R43</f>
        <v>634.64384794856153</v>
      </c>
      <c r="S34" s="28">
        <f t="shared" si="27"/>
        <v>679.21431828898108</v>
      </c>
      <c r="T34" s="28">
        <f t="shared" si="27"/>
        <v>712.22960363467007</v>
      </c>
      <c r="U34" s="28">
        <f t="shared" si="27"/>
        <v>712.79951173884012</v>
      </c>
      <c r="V34" s="28">
        <f t="shared" si="27"/>
        <v>631.43618772546517</v>
      </c>
      <c r="W34" s="28">
        <f t="shared" ref="W34:Y34" si="28">W35+W39+W43</f>
        <v>664.31228671796964</v>
      </c>
      <c r="X34" s="28">
        <f t="shared" si="28"/>
        <v>671.35931223988723</v>
      </c>
      <c r="Y34" s="28">
        <f t="shared" si="28"/>
        <v>654.47969580968663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364.06583233083745</v>
      </c>
      <c r="C35" s="137">
        <f t="shared" si="29"/>
        <v>451.58601193990648</v>
      </c>
      <c r="D35" s="137">
        <f t="shared" si="29"/>
        <v>446.16547485900691</v>
      </c>
      <c r="E35" s="137">
        <f t="shared" si="29"/>
        <v>432.54140686527785</v>
      </c>
      <c r="F35" s="137">
        <f t="shared" si="29"/>
        <v>442.83272053951868</v>
      </c>
      <c r="G35" s="137">
        <f t="shared" si="29"/>
        <v>474.34514357626813</v>
      </c>
      <c r="H35" s="137">
        <f t="shared" si="29"/>
        <v>524.01231059134432</v>
      </c>
      <c r="I35" s="137">
        <f t="shared" si="29"/>
        <v>554.70605162010224</v>
      </c>
      <c r="J35" s="137">
        <f t="shared" si="29"/>
        <v>541.20219834944203</v>
      </c>
      <c r="K35" s="137">
        <f t="shared" si="29"/>
        <v>511.6924519081565</v>
      </c>
      <c r="L35" s="137">
        <f t="shared" si="29"/>
        <v>521.82442609731459</v>
      </c>
      <c r="M35" s="137">
        <f t="shared" si="29"/>
        <v>519.56579215433976</v>
      </c>
      <c r="N35" s="137">
        <f t="shared" si="29"/>
        <v>533.35607482160287</v>
      </c>
      <c r="O35" s="137">
        <f t="shared" si="29"/>
        <v>526.37321470340009</v>
      </c>
      <c r="P35" s="137">
        <f t="shared" si="29"/>
        <v>538.80844912282464</v>
      </c>
      <c r="Q35" s="137">
        <f t="shared" si="29"/>
        <v>562.07448532644912</v>
      </c>
      <c r="R35" s="137">
        <f t="shared" ref="R35:V35" si="30">R36+R37+R38</f>
        <v>585.89391023977794</v>
      </c>
      <c r="S35" s="137">
        <f t="shared" si="30"/>
        <v>616.1763124488316</v>
      </c>
      <c r="T35" s="137">
        <f t="shared" si="30"/>
        <v>638.95921496328299</v>
      </c>
      <c r="U35" s="137">
        <f t="shared" si="30"/>
        <v>639.35547233340878</v>
      </c>
      <c r="V35" s="137">
        <f t="shared" si="30"/>
        <v>602.26373049006042</v>
      </c>
      <c r="W35" s="137">
        <f t="shared" ref="W35:Y35" si="31">W36+W37+W38</f>
        <v>618.61555704163641</v>
      </c>
      <c r="X35" s="137">
        <f t="shared" si="31"/>
        <v>609.83530949249177</v>
      </c>
      <c r="Y35" s="137">
        <f t="shared" si="31"/>
        <v>600.08432689521317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0.43276968303612501</v>
      </c>
      <c r="C36" s="102">
        <f>TrRoad_ene!C$19</f>
        <v>0.43736798950814332</v>
      </c>
      <c r="D36" s="102">
        <f>TrRoad_ene!D$19</f>
        <v>0.46304067864827997</v>
      </c>
      <c r="E36" s="102">
        <f>TrRoad_ene!E$19</f>
        <v>0.50462526040590172</v>
      </c>
      <c r="F36" s="102">
        <f>TrRoad_ene!F$19</f>
        <v>0.55896771947749668</v>
      </c>
      <c r="G36" s="102">
        <f>TrRoad_ene!G$19</f>
        <v>0.61856081489096881</v>
      </c>
      <c r="H36" s="102">
        <f>TrRoad_ene!H$19</f>
        <v>0.74685423052835542</v>
      </c>
      <c r="I36" s="102">
        <f>TrRoad_ene!I$19</f>
        <v>0.86468772940291316</v>
      </c>
      <c r="J36" s="102">
        <f>TrRoad_ene!J$19</f>
        <v>1.0109936460458391</v>
      </c>
      <c r="K36" s="102">
        <f>TrRoad_ene!K$19</f>
        <v>1.0497370258691066</v>
      </c>
      <c r="L36" s="102">
        <f>TrRoad_ene!L$19</f>
        <v>1.095912516823393</v>
      </c>
      <c r="M36" s="102">
        <f>TrRoad_ene!M$19</f>
        <v>1.25570900622341</v>
      </c>
      <c r="N36" s="102">
        <f>TrRoad_ene!N$19</f>
        <v>1.8128607667482051</v>
      </c>
      <c r="O36" s="102">
        <f>TrRoad_ene!O$19</f>
        <v>1.9558976965156001</v>
      </c>
      <c r="P36" s="102">
        <f>TrRoad_ene!P$19</f>
        <v>2.0983771645834386</v>
      </c>
      <c r="Q36" s="102">
        <f>TrRoad_ene!Q$19</f>
        <v>2.2238351836261687</v>
      </c>
      <c r="R36" s="102">
        <f>TrRoad_ene!R$19</f>
        <v>2.3847457740363653</v>
      </c>
      <c r="S36" s="102">
        <f>TrRoad_ene!S$19</f>
        <v>2.2479645585311396</v>
      </c>
      <c r="T36" s="102">
        <f>TrRoad_ene!T$19</f>
        <v>2.1483940989374513</v>
      </c>
      <c r="U36" s="102">
        <f>TrRoad_ene!U$19</f>
        <v>2.2848506729612121</v>
      </c>
      <c r="V36" s="102">
        <f>TrRoad_ene!V$19</f>
        <v>2.0469922487485945</v>
      </c>
      <c r="W36" s="102">
        <f>TrRoad_ene!W$19</f>
        <v>2.1268812693909682</v>
      </c>
      <c r="X36" s="102">
        <f>TrRoad_ene!X$19</f>
        <v>2.1589655850024991</v>
      </c>
      <c r="Y36" s="102">
        <f>TrRoad_ene!Y$19</f>
        <v>2.3396076104734282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278.90292170477659</v>
      </c>
      <c r="C37" s="102">
        <f>TrRoad_ene!C$21</f>
        <v>350.56493762452044</v>
      </c>
      <c r="D37" s="102">
        <f>TrRoad_ene!D$21</f>
        <v>334.77784113362577</v>
      </c>
      <c r="E37" s="102">
        <f>TrRoad_ene!E$21</f>
        <v>333.77426069877026</v>
      </c>
      <c r="F37" s="102">
        <f>TrRoad_ene!F$21</f>
        <v>340.67353946186381</v>
      </c>
      <c r="G37" s="102">
        <f>TrRoad_ene!G$21</f>
        <v>367.11677679474985</v>
      </c>
      <c r="H37" s="102">
        <f>TrRoad_ene!H$21</f>
        <v>414.45821262040135</v>
      </c>
      <c r="I37" s="102">
        <f>TrRoad_ene!I$21</f>
        <v>460.55122212865973</v>
      </c>
      <c r="J37" s="102">
        <f>TrRoad_ene!J$21</f>
        <v>455.0497729627628</v>
      </c>
      <c r="K37" s="102">
        <f>TrRoad_ene!K$21</f>
        <v>436.43610284517348</v>
      </c>
      <c r="L37" s="102">
        <f>TrRoad_ene!L$21</f>
        <v>439.74279437094879</v>
      </c>
      <c r="M37" s="102">
        <f>TrRoad_ene!M$21</f>
        <v>438.20185204807945</v>
      </c>
      <c r="N37" s="102">
        <f>TrRoad_ene!N$21</f>
        <v>450.30606141693266</v>
      </c>
      <c r="O37" s="102">
        <f>TrRoad_ene!O$21</f>
        <v>443.6974337278225</v>
      </c>
      <c r="P37" s="102">
        <f>TrRoad_ene!P$21</f>
        <v>452.74452948599298</v>
      </c>
      <c r="Q37" s="102">
        <f>TrRoad_ene!Q$21</f>
        <v>474.57249309441778</v>
      </c>
      <c r="R37" s="102">
        <f>TrRoad_ene!R$21</f>
        <v>488.67498741860925</v>
      </c>
      <c r="S37" s="102">
        <f>TrRoad_ene!S$21</f>
        <v>506.88414323944545</v>
      </c>
      <c r="T37" s="102">
        <f>TrRoad_ene!T$21</f>
        <v>528.25259042772382</v>
      </c>
      <c r="U37" s="102">
        <f>TrRoad_ene!U$21</f>
        <v>535.24487967315497</v>
      </c>
      <c r="V37" s="102">
        <f>TrRoad_ene!V$21</f>
        <v>501.90433656514045</v>
      </c>
      <c r="W37" s="102">
        <f>TrRoad_ene!W$21</f>
        <v>509.55361511449826</v>
      </c>
      <c r="X37" s="102">
        <f>TrRoad_ene!X$21</f>
        <v>509.48126174469479</v>
      </c>
      <c r="Y37" s="102">
        <f>TrRoad_ene!Y$21</f>
        <v>521.03864374550267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84.730140943024793</v>
      </c>
      <c r="C38" s="102">
        <f>TrRoad_ene!C$33</f>
        <v>100.5837063258779</v>
      </c>
      <c r="D38" s="102">
        <f>TrRoad_ene!D$33</f>
        <v>110.92459304673287</v>
      </c>
      <c r="E38" s="102">
        <f>TrRoad_ene!E$33</f>
        <v>98.262520906101742</v>
      </c>
      <c r="F38" s="102">
        <f>TrRoad_ene!F$33</f>
        <v>101.60021335817737</v>
      </c>
      <c r="G38" s="102">
        <f>TrRoad_ene!G$33</f>
        <v>106.60980596662731</v>
      </c>
      <c r="H38" s="102">
        <f>TrRoad_ene!H$33</f>
        <v>108.80724374041458</v>
      </c>
      <c r="I38" s="102">
        <f>TrRoad_ene!I$33</f>
        <v>93.290141762039568</v>
      </c>
      <c r="J38" s="102">
        <f>TrRoad_ene!J$33</f>
        <v>85.141431740633365</v>
      </c>
      <c r="K38" s="102">
        <f>TrRoad_ene!K$33</f>
        <v>74.206612037113899</v>
      </c>
      <c r="L38" s="102">
        <f>TrRoad_ene!L$33</f>
        <v>80.985719209542381</v>
      </c>
      <c r="M38" s="102">
        <f>TrRoad_ene!M$33</f>
        <v>80.108231100036946</v>
      </c>
      <c r="N38" s="102">
        <f>TrRoad_ene!N$33</f>
        <v>81.237152637922023</v>
      </c>
      <c r="O38" s="102">
        <f>TrRoad_ene!O$33</f>
        <v>80.719883279062003</v>
      </c>
      <c r="P38" s="102">
        <f>TrRoad_ene!P$33</f>
        <v>83.965542472248259</v>
      </c>
      <c r="Q38" s="102">
        <f>TrRoad_ene!Q$33</f>
        <v>85.278157048405177</v>
      </c>
      <c r="R38" s="102">
        <f>TrRoad_ene!R$33</f>
        <v>94.834177047132314</v>
      </c>
      <c r="S38" s="102">
        <f>TrRoad_ene!S$33</f>
        <v>107.04420465085508</v>
      </c>
      <c r="T38" s="102">
        <f>TrRoad_ene!T$33</f>
        <v>108.55823043662166</v>
      </c>
      <c r="U38" s="102">
        <f>TrRoad_ene!U$33</f>
        <v>101.82574198729263</v>
      </c>
      <c r="V38" s="102">
        <f>TrRoad_ene!V$33</f>
        <v>98.312401676171348</v>
      </c>
      <c r="W38" s="102">
        <f>TrRoad_ene!W$33</f>
        <v>106.93506065774713</v>
      </c>
      <c r="X38" s="102">
        <f>TrRoad_ene!X$33</f>
        <v>98.195082162794506</v>
      </c>
      <c r="Y38" s="102">
        <f>TrRoad_ene!Y$33</f>
        <v>76.706075539237105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4.4089920072364084</v>
      </c>
      <c r="C39" s="110">
        <f t="shared" si="32"/>
        <v>3.1337102228720686</v>
      </c>
      <c r="D39" s="110">
        <f t="shared" si="32"/>
        <v>3.1018199110662006</v>
      </c>
      <c r="E39" s="110">
        <f t="shared" si="32"/>
        <v>3.06160485099088</v>
      </c>
      <c r="F39" s="110">
        <f t="shared" si="32"/>
        <v>2.8146338508290869</v>
      </c>
      <c r="G39" s="110">
        <f t="shared" si="32"/>
        <v>3.066123523289543</v>
      </c>
      <c r="H39" s="110">
        <f t="shared" si="32"/>
        <v>3.3375872458273155</v>
      </c>
      <c r="I39" s="110">
        <f t="shared" si="32"/>
        <v>3.8046897728599536</v>
      </c>
      <c r="J39" s="110">
        <f t="shared" si="32"/>
        <v>3.0080025394609411</v>
      </c>
      <c r="K39" s="110">
        <f t="shared" si="32"/>
        <v>2.8428838553506797</v>
      </c>
      <c r="L39" s="110">
        <f t="shared" si="32"/>
        <v>3.2895175909418017</v>
      </c>
      <c r="M39" s="110">
        <f t="shared" si="32"/>
        <v>3.1278012786578215</v>
      </c>
      <c r="N39" s="110">
        <f t="shared" si="32"/>
        <v>2.6672927381341123</v>
      </c>
      <c r="O39" s="110">
        <f t="shared" si="32"/>
        <v>3.0577967608926944</v>
      </c>
      <c r="P39" s="110">
        <f t="shared" si="32"/>
        <v>3.5393469024011304</v>
      </c>
      <c r="Q39" s="110">
        <f t="shared" si="32"/>
        <v>3.5428201939686113</v>
      </c>
      <c r="R39" s="110">
        <f t="shared" ref="R39:V39" si="33">R40+R41+R42</f>
        <v>3.4540937409510772</v>
      </c>
      <c r="S39" s="110">
        <f t="shared" si="33"/>
        <v>4.0415358697828054</v>
      </c>
      <c r="T39" s="110">
        <f t="shared" si="33"/>
        <v>4.5568894351371823</v>
      </c>
      <c r="U39" s="110">
        <f t="shared" si="33"/>
        <v>5.7092204863643978</v>
      </c>
      <c r="V39" s="110">
        <f t="shared" si="33"/>
        <v>5.8808359506071133</v>
      </c>
      <c r="W39" s="110">
        <f t="shared" ref="W39:Y39" si="34">W40+W41+W42</f>
        <v>3.9104867363766136</v>
      </c>
      <c r="X39" s="110">
        <f t="shared" si="34"/>
        <v>5.1351197128800976</v>
      </c>
      <c r="Y39" s="110">
        <f t="shared" si="34"/>
        <v>6.7551076901621716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0.54333608215994622</v>
      </c>
      <c r="C40" s="102">
        <f>TrRail_ene!C$12</f>
        <v>0.47905988358336832</v>
      </c>
      <c r="D40" s="102">
        <f>TrRail_ene!D$12</f>
        <v>0.52602226821378684</v>
      </c>
      <c r="E40" s="102">
        <f>TrRail_ene!E$12</f>
        <v>0.53085991846870195</v>
      </c>
      <c r="F40" s="102">
        <f>TrRail_ene!F$12</f>
        <v>0.42117517046143926</v>
      </c>
      <c r="G40" s="102">
        <f>TrRail_ene!G$12</f>
        <v>0.33841241116509607</v>
      </c>
      <c r="H40" s="102">
        <f>TrRail_ene!H$12</f>
        <v>0.34215947987325662</v>
      </c>
      <c r="I40" s="102">
        <f>TrRail_ene!I$12</f>
        <v>0.34262082527599358</v>
      </c>
      <c r="J40" s="102">
        <f>TrRail_ene!J$12</f>
        <v>0.2575764791824911</v>
      </c>
      <c r="K40" s="102">
        <f>TrRail_ene!K$12</f>
        <v>0.28606972416333859</v>
      </c>
      <c r="L40" s="102">
        <f>TrRail_ene!L$12</f>
        <v>0.31035285484563119</v>
      </c>
      <c r="M40" s="102">
        <f>TrRail_ene!M$12</f>
        <v>0.27236515242598563</v>
      </c>
      <c r="N40" s="102">
        <f>TrRail_ene!N$12</f>
        <v>0.37507859973874025</v>
      </c>
      <c r="O40" s="102">
        <f>TrRail_ene!O$12</f>
        <v>0.32146493941667509</v>
      </c>
      <c r="P40" s="102">
        <f>TrRail_ene!P$12</f>
        <v>0.24558626953566659</v>
      </c>
      <c r="Q40" s="102">
        <f>TrRail_ene!Q$12</f>
        <v>0.2300318115527733</v>
      </c>
      <c r="R40" s="102">
        <f>TrRail_ene!R$12</f>
        <v>0.23137941818594182</v>
      </c>
      <c r="S40" s="102">
        <f>TrRail_ene!S$12</f>
        <v>0.23201206199436039</v>
      </c>
      <c r="T40" s="102">
        <f>TrRail_ene!T$12</f>
        <v>0.34606192758104104</v>
      </c>
      <c r="U40" s="102">
        <f>TrRail_ene!U$12</f>
        <v>0.36630627649022818</v>
      </c>
      <c r="V40" s="102">
        <f>TrRail_ene!V$12</f>
        <v>0.5638094742190799</v>
      </c>
      <c r="W40" s="102">
        <f>TrRail_ene!W$12</f>
        <v>0.42096730435840057</v>
      </c>
      <c r="X40" s="102">
        <f>TrRail_ene!X$12</f>
        <v>0.41890300415595871</v>
      </c>
      <c r="Y40" s="102">
        <f>TrRail_ene!Y$12</f>
        <v>0.49933567026014597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3.8656559250764619</v>
      </c>
      <c r="C41" s="102">
        <f>TrRail_ene!C$13</f>
        <v>2.6546503392887004</v>
      </c>
      <c r="D41" s="102">
        <f>TrRail_ene!D$13</f>
        <v>2.5757976428524136</v>
      </c>
      <c r="E41" s="102">
        <f>TrRail_ene!E$13</f>
        <v>2.530744932522178</v>
      </c>
      <c r="F41" s="102">
        <f>TrRail_ene!F$13</f>
        <v>2.3934586803676479</v>
      </c>
      <c r="G41" s="102">
        <f>TrRail_ene!G$13</f>
        <v>2.7277111121244468</v>
      </c>
      <c r="H41" s="102">
        <f>TrRail_ene!H$13</f>
        <v>2.9954277659540587</v>
      </c>
      <c r="I41" s="102">
        <f>TrRail_ene!I$13</f>
        <v>3.4620689475839601</v>
      </c>
      <c r="J41" s="102">
        <f>TrRail_ene!J$13</f>
        <v>2.7504260602784498</v>
      </c>
      <c r="K41" s="102">
        <f>TrRail_ene!K$13</f>
        <v>2.5568141311873411</v>
      </c>
      <c r="L41" s="102">
        <f>TrRail_ene!L$13</f>
        <v>2.9791647360961706</v>
      </c>
      <c r="M41" s="102">
        <f>TrRail_ene!M$13</f>
        <v>2.8554361262318357</v>
      </c>
      <c r="N41" s="102">
        <f>TrRail_ene!N$13</f>
        <v>2.292214138395372</v>
      </c>
      <c r="O41" s="102">
        <f>TrRail_ene!O$13</f>
        <v>2.7363318214760195</v>
      </c>
      <c r="P41" s="102">
        <f>TrRail_ene!P$13</f>
        <v>3.2937606328654638</v>
      </c>
      <c r="Q41" s="102">
        <f>TrRail_ene!Q$13</f>
        <v>3.312788382415838</v>
      </c>
      <c r="R41" s="102">
        <f>TrRail_ene!R$13</f>
        <v>3.2227143227651354</v>
      </c>
      <c r="S41" s="102">
        <f>TrRail_ene!S$13</f>
        <v>3.8095238077884455</v>
      </c>
      <c r="T41" s="102">
        <f>TrRail_ene!T$13</f>
        <v>4.2108275075561412</v>
      </c>
      <c r="U41" s="102">
        <f>TrRail_ene!U$13</f>
        <v>5.34291420987417</v>
      </c>
      <c r="V41" s="102">
        <f>TrRail_ene!V$13</f>
        <v>5.3170264763880333</v>
      </c>
      <c r="W41" s="102">
        <f>TrRail_ene!W$13</f>
        <v>3.4895194320182132</v>
      </c>
      <c r="X41" s="102">
        <f>TrRail_ene!X$13</f>
        <v>4.7162167087241391</v>
      </c>
      <c r="Y41" s="102">
        <f>TrRail_ene!Y$13</f>
        <v>6.2557720199020252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20.270861394285934</v>
      </c>
      <c r="C43" s="110">
        <f t="shared" si="35"/>
        <v>16.732956999125545</v>
      </c>
      <c r="D43" s="110">
        <f t="shared" si="35"/>
        <v>17.601918114775611</v>
      </c>
      <c r="E43" s="110">
        <f t="shared" si="35"/>
        <v>20.433888508319697</v>
      </c>
      <c r="F43" s="110">
        <f t="shared" si="35"/>
        <v>31.64559748327374</v>
      </c>
      <c r="G43" s="110">
        <f t="shared" si="35"/>
        <v>50.23672225659729</v>
      </c>
      <c r="H43" s="110">
        <f t="shared" si="35"/>
        <v>51.442666207097574</v>
      </c>
      <c r="I43" s="110">
        <f t="shared" si="35"/>
        <v>58.600134950052166</v>
      </c>
      <c r="J43" s="110">
        <f t="shared" si="35"/>
        <v>66.954239415535028</v>
      </c>
      <c r="K43" s="110">
        <f t="shared" si="35"/>
        <v>36.331110331597195</v>
      </c>
      <c r="L43" s="110">
        <f t="shared" si="35"/>
        <v>33.261790392257197</v>
      </c>
      <c r="M43" s="110">
        <f t="shared" si="35"/>
        <v>44.973113759777874</v>
      </c>
      <c r="N43" s="110">
        <f t="shared" si="35"/>
        <v>59.156736971499939</v>
      </c>
      <c r="O43" s="110">
        <f t="shared" si="35"/>
        <v>47.027166814962264</v>
      </c>
      <c r="P43" s="110">
        <f t="shared" si="35"/>
        <v>47.06621349413814</v>
      </c>
      <c r="Q43" s="110">
        <f t="shared" si="35"/>
        <v>49.399746303357887</v>
      </c>
      <c r="R43" s="110">
        <f t="shared" ref="R43:V43" si="36">R44+R45+R46</f>
        <v>45.295843967832475</v>
      </c>
      <c r="S43" s="110">
        <f t="shared" si="36"/>
        <v>58.996469970366633</v>
      </c>
      <c r="T43" s="110">
        <f t="shared" si="36"/>
        <v>68.713499236249831</v>
      </c>
      <c r="U43" s="110">
        <f t="shared" si="36"/>
        <v>67.734818919066953</v>
      </c>
      <c r="V43" s="110">
        <f t="shared" si="36"/>
        <v>23.291621284797682</v>
      </c>
      <c r="W43" s="110">
        <f t="shared" ref="W43:Y43" si="37">W44+W45+W46</f>
        <v>41.786242939956644</v>
      </c>
      <c r="X43" s="110">
        <f t="shared" si="37"/>
        <v>56.388883034515416</v>
      </c>
      <c r="Y43" s="110">
        <f t="shared" si="37"/>
        <v>47.640261224311352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18.73202709626894</v>
      </c>
      <c r="C45" s="102">
        <f>TrAvia_ene!C$8</f>
        <v>15.461027015772116</v>
      </c>
      <c r="D45" s="102">
        <f>TrAvia_ene!D$8</f>
        <v>16.177689554678732</v>
      </c>
      <c r="E45" s="102">
        <f>TrAvia_ene!E$8</f>
        <v>18.512460202324</v>
      </c>
      <c r="F45" s="102">
        <f>TrAvia_ene!F$8</f>
        <v>28.0090078119871</v>
      </c>
      <c r="G45" s="102">
        <f>TrAvia_ene!G$8</f>
        <v>45.125518383899887</v>
      </c>
      <c r="H45" s="102">
        <f>TrAvia_ene!H$8</f>
        <v>46.371792298614793</v>
      </c>
      <c r="I45" s="102">
        <f>TrAvia_ene!I$8</f>
        <v>52.9481699470143</v>
      </c>
      <c r="J45" s="102">
        <f>TrAvia_ene!J$8</f>
        <v>60.19577153679797</v>
      </c>
      <c r="K45" s="102">
        <f>TrAvia_ene!K$8</f>
        <v>32.131982612832338</v>
      </c>
      <c r="L45" s="102">
        <f>TrAvia_ene!L$8</f>
        <v>29.396421966255527</v>
      </c>
      <c r="M45" s="102">
        <f>TrAvia_ene!M$8</f>
        <v>40.600961294231176</v>
      </c>
      <c r="N45" s="102">
        <f>TrAvia_ene!N$8</f>
        <v>52.84805022992564</v>
      </c>
      <c r="O45" s="102">
        <f>TrAvia_ene!O$8</f>
        <v>41.676994343463882</v>
      </c>
      <c r="P45" s="102">
        <f>TrAvia_ene!P$8</f>
        <v>41.738985570963727</v>
      </c>
      <c r="Q45" s="102">
        <f>TrAvia_ene!Q$8</f>
        <v>43.83592884121574</v>
      </c>
      <c r="R45" s="102">
        <f>TrAvia_ene!R$8</f>
        <v>40.320793441952809</v>
      </c>
      <c r="S45" s="102">
        <f>TrAvia_ene!S$8</f>
        <v>52.731864320308063</v>
      </c>
      <c r="T45" s="102">
        <f>TrAvia_ene!T$8</f>
        <v>61.694503788700978</v>
      </c>
      <c r="U45" s="102">
        <f>TrAvia_ene!U$8</f>
        <v>60.622842238271524</v>
      </c>
      <c r="V45" s="102">
        <f>TrAvia_ene!V$8</f>
        <v>20.136239818199101</v>
      </c>
      <c r="W45" s="102">
        <f>TrAvia_ene!W$8</f>
        <v>36.840229047102369</v>
      </c>
      <c r="X45" s="102">
        <f>TrAvia_ene!X$8</f>
        <v>50.879557316966512</v>
      </c>
      <c r="Y45" s="102">
        <f>TrAvia_ene!Y$8</f>
        <v>42.690816763834306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1.5388342980169942</v>
      </c>
      <c r="C46" s="102">
        <f>TrAvia_ene!C$9</f>
        <v>1.2719299833534297</v>
      </c>
      <c r="D46" s="102">
        <f>TrAvia_ene!D$9</f>
        <v>1.4242285600968798</v>
      </c>
      <c r="E46" s="102">
        <f>TrAvia_ene!E$9</f>
        <v>1.9214283059956963</v>
      </c>
      <c r="F46" s="102">
        <f>TrAvia_ene!F$9</f>
        <v>3.6365896712866395</v>
      </c>
      <c r="G46" s="102">
        <f>TrAvia_ene!G$9</f>
        <v>5.1112038726974047</v>
      </c>
      <c r="H46" s="102">
        <f>TrAvia_ene!H$9</f>
        <v>5.070873908482783</v>
      </c>
      <c r="I46" s="102">
        <f>TrAvia_ene!I$9</f>
        <v>5.651965003037863</v>
      </c>
      <c r="J46" s="102">
        <f>TrAvia_ene!J$9</f>
        <v>6.7584678787370533</v>
      </c>
      <c r="K46" s="102">
        <f>TrAvia_ene!K$9</f>
        <v>4.1991277187648546</v>
      </c>
      <c r="L46" s="102">
        <f>TrAvia_ene!L$9</f>
        <v>3.8653684260016687</v>
      </c>
      <c r="M46" s="102">
        <f>TrAvia_ene!M$9</f>
        <v>4.3721524655466943</v>
      </c>
      <c r="N46" s="102">
        <f>TrAvia_ene!N$9</f>
        <v>6.3086867415742987</v>
      </c>
      <c r="O46" s="102">
        <f>TrAvia_ene!O$9</f>
        <v>5.350172471498384</v>
      </c>
      <c r="P46" s="102">
        <f>TrAvia_ene!P$9</f>
        <v>5.3272279231744095</v>
      </c>
      <c r="Q46" s="102">
        <f>TrAvia_ene!Q$9</f>
        <v>5.5638174621421443</v>
      </c>
      <c r="R46" s="102">
        <f>TrAvia_ene!R$9</f>
        <v>4.9750505258796682</v>
      </c>
      <c r="S46" s="102">
        <f>TrAvia_ene!S$9</f>
        <v>6.2646056500585692</v>
      </c>
      <c r="T46" s="102">
        <f>TrAvia_ene!T$9</f>
        <v>7.0189954475488534</v>
      </c>
      <c r="U46" s="102">
        <f>TrAvia_ene!U$9</f>
        <v>7.1119766807954363</v>
      </c>
      <c r="V46" s="102">
        <f>TrAvia_ene!V$9</f>
        <v>3.15538146659858</v>
      </c>
      <c r="W46" s="102">
        <f>TrAvia_ene!W$9</f>
        <v>4.9460138928542774</v>
      </c>
      <c r="X46" s="102">
        <f>TrAvia_ene!X$9</f>
        <v>5.5093257175489052</v>
      </c>
      <c r="Y46" s="102">
        <f>TrAvia_ene!Y$9</f>
        <v>4.9494444604770447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180.72860489532724</v>
      </c>
      <c r="C47" s="28">
        <f t="shared" si="38"/>
        <v>199.89856761367628</v>
      </c>
      <c r="D47" s="28">
        <f t="shared" si="38"/>
        <v>237.68323767405064</v>
      </c>
      <c r="E47" s="28">
        <f t="shared" si="38"/>
        <v>227.82277303422498</v>
      </c>
      <c r="F47" s="28">
        <f t="shared" si="38"/>
        <v>229.35459756747917</v>
      </c>
      <c r="G47" s="28">
        <f t="shared" si="38"/>
        <v>230.68821012793785</v>
      </c>
      <c r="H47" s="28">
        <f t="shared" si="38"/>
        <v>233.46822701334037</v>
      </c>
      <c r="I47" s="28">
        <f t="shared" si="38"/>
        <v>238.35709787483842</v>
      </c>
      <c r="J47" s="28">
        <f t="shared" si="38"/>
        <v>225.52652873426521</v>
      </c>
      <c r="K47" s="28">
        <f t="shared" si="38"/>
        <v>191.2933116990763</v>
      </c>
      <c r="L47" s="28">
        <f t="shared" si="38"/>
        <v>224.18881460807637</v>
      </c>
      <c r="M47" s="28">
        <f t="shared" si="38"/>
        <v>221.71052940734089</v>
      </c>
      <c r="N47" s="28">
        <f t="shared" si="38"/>
        <v>217.37303162657125</v>
      </c>
      <c r="O47" s="28">
        <f t="shared" si="38"/>
        <v>206.39430335245055</v>
      </c>
      <c r="P47" s="28">
        <f t="shared" si="38"/>
        <v>197.0913504982976</v>
      </c>
      <c r="Q47" s="28">
        <f t="shared" si="38"/>
        <v>192.43035491616922</v>
      </c>
      <c r="R47" s="28">
        <f t="shared" ref="R47:V47" si="39">R48+R51+R52+R56</f>
        <v>185.55804312448768</v>
      </c>
      <c r="S47" s="28">
        <f t="shared" si="39"/>
        <v>181.89282228152328</v>
      </c>
      <c r="T47" s="28">
        <f t="shared" si="39"/>
        <v>189.35655968436419</v>
      </c>
      <c r="U47" s="28">
        <f t="shared" si="39"/>
        <v>191.95604038438026</v>
      </c>
      <c r="V47" s="28">
        <f t="shared" si="39"/>
        <v>183.56195347066677</v>
      </c>
      <c r="W47" s="28">
        <f t="shared" ref="W47:Y47" si="40">W48+W51+W52+W56</f>
        <v>217.36130944753256</v>
      </c>
      <c r="X47" s="28">
        <f t="shared" si="40"/>
        <v>230.34062683421095</v>
      </c>
      <c r="Y47" s="28">
        <f t="shared" si="40"/>
        <v>236.72412822349636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132.97604213175927</v>
      </c>
      <c r="C48" s="137">
        <f t="shared" si="41"/>
        <v>153.84055727763433</v>
      </c>
      <c r="D48" s="137">
        <f t="shared" si="41"/>
        <v>179.49015712723553</v>
      </c>
      <c r="E48" s="137">
        <f t="shared" si="41"/>
        <v>174.50932400316583</v>
      </c>
      <c r="F48" s="137">
        <f t="shared" si="41"/>
        <v>183.13047808472902</v>
      </c>
      <c r="G48" s="137">
        <f t="shared" si="41"/>
        <v>181.55193294995709</v>
      </c>
      <c r="H48" s="137">
        <f t="shared" si="41"/>
        <v>183.6133127964458</v>
      </c>
      <c r="I48" s="137">
        <f t="shared" si="41"/>
        <v>195.07275664762156</v>
      </c>
      <c r="J48" s="137">
        <f t="shared" si="41"/>
        <v>193.48120405125599</v>
      </c>
      <c r="K48" s="137">
        <f t="shared" si="41"/>
        <v>149.31528524973871</v>
      </c>
      <c r="L48" s="137">
        <f t="shared" si="41"/>
        <v>167.29627048465457</v>
      </c>
      <c r="M48" s="137">
        <f t="shared" si="41"/>
        <v>183.99347368051434</v>
      </c>
      <c r="N48" s="137">
        <f t="shared" si="41"/>
        <v>184.09319203267995</v>
      </c>
      <c r="O48" s="137">
        <f t="shared" si="41"/>
        <v>177.57754723784981</v>
      </c>
      <c r="P48" s="137">
        <f t="shared" si="41"/>
        <v>172.64093497050328</v>
      </c>
      <c r="Q48" s="137">
        <f t="shared" si="41"/>
        <v>169.01436595347855</v>
      </c>
      <c r="R48" s="137">
        <f t="shared" ref="R48:V48" si="42">R49+R50</f>
        <v>167.23515194247159</v>
      </c>
      <c r="S48" s="137">
        <f t="shared" si="42"/>
        <v>161.78104308297969</v>
      </c>
      <c r="T48" s="137">
        <f t="shared" si="42"/>
        <v>171.07957088369616</v>
      </c>
      <c r="U48" s="137">
        <f t="shared" si="42"/>
        <v>174.29492071844447</v>
      </c>
      <c r="V48" s="137">
        <f t="shared" si="42"/>
        <v>166.7653651342745</v>
      </c>
      <c r="W48" s="137">
        <f t="shared" ref="W48:Y48" si="43">W49+W50</f>
        <v>198.90954385301458</v>
      </c>
      <c r="X48" s="137">
        <f t="shared" si="43"/>
        <v>215.0191437690527</v>
      </c>
      <c r="Y48" s="137">
        <f t="shared" si="43"/>
        <v>220.46721854811608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83.353927042713536</v>
      </c>
      <c r="C49" s="102">
        <f>TrRoad_ene!C$43</f>
        <v>101.11311834481849</v>
      </c>
      <c r="D49" s="102">
        <f>TrRoad_ene!D$43</f>
        <v>108.62891160275842</v>
      </c>
      <c r="E49" s="102">
        <f>TrRoad_ene!E$43</f>
        <v>89.637416084206635</v>
      </c>
      <c r="F49" s="102">
        <f>TrRoad_ene!F$43</f>
        <v>87.022200262171467</v>
      </c>
      <c r="G49" s="102">
        <f>TrRoad_ene!G$43</f>
        <v>80.566483793145864</v>
      </c>
      <c r="H49" s="102">
        <f>TrRoad_ene!H$43</f>
        <v>76.318305899574142</v>
      </c>
      <c r="I49" s="102">
        <f>TrRoad_ene!I$43</f>
        <v>72.650070094158366</v>
      </c>
      <c r="J49" s="102">
        <f>TrRoad_ene!J$43</f>
        <v>70.433614248833905</v>
      </c>
      <c r="K49" s="102">
        <f>TrRoad_ene!K$43</f>
        <v>63.151122514296368</v>
      </c>
      <c r="L49" s="102">
        <f>TrRoad_ene!L$43</f>
        <v>67.711189232161885</v>
      </c>
      <c r="M49" s="102">
        <f>TrRoad_ene!M$43</f>
        <v>70.766311548454084</v>
      </c>
      <c r="N49" s="102">
        <f>TrRoad_ene!N$43</f>
        <v>72.617960695753737</v>
      </c>
      <c r="O49" s="102">
        <f>TrRoad_ene!O$43</f>
        <v>73.312942167332949</v>
      </c>
      <c r="P49" s="102">
        <f>TrRoad_ene!P$43</f>
        <v>75.500604916402622</v>
      </c>
      <c r="Q49" s="102">
        <f>TrRoad_ene!Q$43</f>
        <v>75.075907667721012</v>
      </c>
      <c r="R49" s="102">
        <f>TrRoad_ene!R$43</f>
        <v>78.125422627111973</v>
      </c>
      <c r="S49" s="102">
        <f>TrRoad_ene!S$43</f>
        <v>84.970090345325858</v>
      </c>
      <c r="T49" s="102">
        <f>TrRoad_ene!T$43</f>
        <v>93.536160853038027</v>
      </c>
      <c r="U49" s="102">
        <f>TrRoad_ene!U$43</f>
        <v>102.70401170579379</v>
      </c>
      <c r="V49" s="102">
        <f>TrRoad_ene!V$43</f>
        <v>103.27826332316963</v>
      </c>
      <c r="W49" s="102">
        <f>TrRoad_ene!W$43</f>
        <v>114.9191145092779</v>
      </c>
      <c r="X49" s="102">
        <f>TrRoad_ene!X$43</f>
        <v>120.31058185018875</v>
      </c>
      <c r="Y49" s="102">
        <f>TrRoad_ene!Y$43</f>
        <v>126.10432870533975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49.622115089045735</v>
      </c>
      <c r="C50" s="102">
        <f>TrRoad_ene!C$52</f>
        <v>52.727438932815843</v>
      </c>
      <c r="D50" s="102">
        <f>TrRoad_ene!D$52</f>
        <v>70.861245524477113</v>
      </c>
      <c r="E50" s="102">
        <f>TrRoad_ene!E$52</f>
        <v>84.871907918959209</v>
      </c>
      <c r="F50" s="102">
        <f>TrRoad_ene!F$52</f>
        <v>96.108277822557568</v>
      </c>
      <c r="G50" s="102">
        <f>TrRoad_ene!G$52</f>
        <v>100.98544915681123</v>
      </c>
      <c r="H50" s="102">
        <f>TrRoad_ene!H$52</f>
        <v>107.29500689687166</v>
      </c>
      <c r="I50" s="102">
        <f>TrRoad_ene!I$52</f>
        <v>122.42268655346319</v>
      </c>
      <c r="J50" s="102">
        <f>TrRoad_ene!J$52</f>
        <v>123.0475898024221</v>
      </c>
      <c r="K50" s="102">
        <f>TrRoad_ene!K$52</f>
        <v>86.164162735442332</v>
      </c>
      <c r="L50" s="102">
        <f>TrRoad_ene!L$52</f>
        <v>99.585081252492685</v>
      </c>
      <c r="M50" s="102">
        <f>TrRoad_ene!M$52</f>
        <v>113.22716213206027</v>
      </c>
      <c r="N50" s="102">
        <f>TrRoad_ene!N$52</f>
        <v>111.47523133692621</v>
      </c>
      <c r="O50" s="102">
        <f>TrRoad_ene!O$52</f>
        <v>104.26460507051686</v>
      </c>
      <c r="P50" s="102">
        <f>TrRoad_ene!P$52</f>
        <v>97.140330054100644</v>
      </c>
      <c r="Q50" s="102">
        <f>TrRoad_ene!Q$52</f>
        <v>93.93845828575752</v>
      </c>
      <c r="R50" s="102">
        <f>TrRoad_ene!R$52</f>
        <v>89.109729315359601</v>
      </c>
      <c r="S50" s="102">
        <f>TrRoad_ene!S$52</f>
        <v>76.810952737653849</v>
      </c>
      <c r="T50" s="102">
        <f>TrRoad_ene!T$52</f>
        <v>77.543410030658137</v>
      </c>
      <c r="U50" s="102">
        <f>TrRoad_ene!U$52</f>
        <v>71.590909012650684</v>
      </c>
      <c r="V50" s="102">
        <f>TrRoad_ene!V$52</f>
        <v>63.487101811104878</v>
      </c>
      <c r="W50" s="102">
        <f>TrRoad_ene!W$52</f>
        <v>83.990429343736679</v>
      </c>
      <c r="X50" s="102">
        <f>TrRoad_ene!X$52</f>
        <v>94.70856191886395</v>
      </c>
      <c r="Y50" s="102">
        <f>TrRoad_ene!Y$52</f>
        <v>94.362889842776326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40.41044049491321</v>
      </c>
      <c r="C51" s="110">
        <f>TrRail_ene!C$17</f>
        <v>38.740752373860516</v>
      </c>
      <c r="D51" s="110">
        <f>TrRail_ene!D$17</f>
        <v>49.886142255743771</v>
      </c>
      <c r="E51" s="110">
        <f>TrRail_ene!E$17</f>
        <v>43.950432982199139</v>
      </c>
      <c r="F51" s="110">
        <f>TrRail_ene!F$17</f>
        <v>37.79155703481149</v>
      </c>
      <c r="G51" s="110">
        <f>TrRail_ene!G$17</f>
        <v>40.571021790553964</v>
      </c>
      <c r="H51" s="110">
        <f>TrRail_ene!H$17</f>
        <v>42.320194353484808</v>
      </c>
      <c r="I51" s="110">
        <f>TrRail_ene!I$17</f>
        <v>34.694880304526123</v>
      </c>
      <c r="J51" s="110">
        <f>TrRail_ene!J$17</f>
        <v>24.378067967847741</v>
      </c>
      <c r="K51" s="110">
        <f>TrRail_ene!K$17</f>
        <v>33.550065413780878</v>
      </c>
      <c r="L51" s="110">
        <f>TrRail_ene!L$17</f>
        <v>48.430172864776168</v>
      </c>
      <c r="M51" s="110">
        <f>TrRail_ene!M$17</f>
        <v>32.25482984773943</v>
      </c>
      <c r="N51" s="110">
        <f>TrRail_ene!N$17</f>
        <v>28.674065817325896</v>
      </c>
      <c r="O51" s="110">
        <f>TrRail_ene!O$17</f>
        <v>24.156304700844192</v>
      </c>
      <c r="P51" s="110">
        <f>TrRail_ene!P$17</f>
        <v>17.784814748501709</v>
      </c>
      <c r="Q51" s="110">
        <f>TrRail_ene!Q$17</f>
        <v>16.771023314199919</v>
      </c>
      <c r="R51" s="110">
        <f>TrRail_ene!R$17</f>
        <v>12.732492673494324</v>
      </c>
      <c r="S51" s="110">
        <f>TrRail_ene!S$17</f>
        <v>12.841267225660015</v>
      </c>
      <c r="T51" s="110">
        <f>TrRail_ene!T$17</f>
        <v>11.095045216625502</v>
      </c>
      <c r="U51" s="110">
        <f>TrRail_ene!U$17</f>
        <v>11.531106254822182</v>
      </c>
      <c r="V51" s="110">
        <f>TrRail_ene!V$17</f>
        <v>9.6101356745003699</v>
      </c>
      <c r="W51" s="110">
        <f>TrRail_ene!W$17</f>
        <v>11.238094518997414</v>
      </c>
      <c r="X51" s="110">
        <f>TrRail_ene!X$17</f>
        <v>8.56453634902876</v>
      </c>
      <c r="Y51" s="110">
        <f>TrRail_ene!Y$17</f>
        <v>9.1366377956503815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0.26989526951459053</v>
      </c>
      <c r="C52" s="110">
        <f t="shared" si="44"/>
        <v>0.2450309630412647</v>
      </c>
      <c r="D52" s="110">
        <f t="shared" si="44"/>
        <v>0.22439314919687078</v>
      </c>
      <c r="E52" s="110">
        <f t="shared" si="44"/>
        <v>0.27015276425124507</v>
      </c>
      <c r="F52" s="110">
        <f t="shared" si="44"/>
        <v>0.35001730606417758</v>
      </c>
      <c r="G52" s="110">
        <f t="shared" si="44"/>
        <v>0.48271024555233155</v>
      </c>
      <c r="H52" s="110">
        <f t="shared" si="44"/>
        <v>0.46249286426958275</v>
      </c>
      <c r="I52" s="110">
        <f t="shared" si="44"/>
        <v>0.50691578081627053</v>
      </c>
      <c r="J52" s="110">
        <f t="shared" si="44"/>
        <v>0.59502971602130161</v>
      </c>
      <c r="K52" s="110">
        <f t="shared" si="44"/>
        <v>0.34541589368225878</v>
      </c>
      <c r="L52" s="110">
        <f t="shared" si="44"/>
        <v>0.37982611677116573</v>
      </c>
      <c r="M52" s="110">
        <f t="shared" si="44"/>
        <v>0.41063516541559275</v>
      </c>
      <c r="N52" s="110">
        <f t="shared" si="44"/>
        <v>0.56450120562816375</v>
      </c>
      <c r="O52" s="110">
        <f t="shared" si="44"/>
        <v>0.61917884281931834</v>
      </c>
      <c r="P52" s="110">
        <f t="shared" si="44"/>
        <v>0.60369192288678364</v>
      </c>
      <c r="Q52" s="110">
        <f t="shared" si="44"/>
        <v>0.58305679208492522</v>
      </c>
      <c r="R52" s="110">
        <f t="shared" si="44"/>
        <v>0.53880779485022834</v>
      </c>
      <c r="S52" s="110">
        <f t="shared" si="44"/>
        <v>0.65692641828339726</v>
      </c>
      <c r="T52" s="110">
        <f t="shared" si="44"/>
        <v>0.69269164939075722</v>
      </c>
      <c r="U52" s="110">
        <f t="shared" si="44"/>
        <v>0.74497471807835303</v>
      </c>
      <c r="V52" s="110">
        <f t="shared" si="44"/>
        <v>0.71027037470360366</v>
      </c>
      <c r="W52" s="110">
        <f t="shared" ref="W52:Y52" si="45">W53+W54+W55</f>
        <v>1.2527940333881447</v>
      </c>
      <c r="X52" s="110">
        <f t="shared" si="45"/>
        <v>0.95264748999017268</v>
      </c>
      <c r="Y52" s="110">
        <f t="shared" si="45"/>
        <v>0.59559432169034521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0.21932766487896926</v>
      </c>
      <c r="C54" s="102">
        <f>TrAvia_ene!C$12</f>
        <v>0.19818008709925761</v>
      </c>
      <c r="D54" s="102">
        <f>TrAvia_ene!D$12</f>
        <v>0.18992091966218103</v>
      </c>
      <c r="E54" s="102">
        <f>TrAvia_ene!E$12</f>
        <v>0.2257101852348658</v>
      </c>
      <c r="F54" s="102">
        <f>TrAvia_ene!F$12</f>
        <v>0.30111701116287343</v>
      </c>
      <c r="G54" s="102">
        <f>TrAvia_ene!G$12</f>
        <v>0.37346263289921888</v>
      </c>
      <c r="H54" s="102">
        <f>TrAvia_ene!H$12</f>
        <v>0.40178883773042501</v>
      </c>
      <c r="I54" s="102">
        <f>TrAvia_ene!I$12</f>
        <v>0.47274034732336406</v>
      </c>
      <c r="J54" s="102">
        <f>TrAvia_ene!J$12</f>
        <v>0.5752115894639851</v>
      </c>
      <c r="K54" s="102">
        <f>TrAvia_ene!K$12</f>
        <v>0.34065956300083089</v>
      </c>
      <c r="L54" s="102">
        <f>TrAvia_ene!L$12</f>
        <v>0.36690355631481897</v>
      </c>
      <c r="M54" s="102">
        <f>TrAvia_ene!M$12</f>
        <v>0.40440838554765857</v>
      </c>
      <c r="N54" s="102">
        <f>TrAvia_ene!N$12</f>
        <v>0.55776202288456667</v>
      </c>
      <c r="O54" s="102">
        <f>TrAvia_ene!O$12</f>
        <v>0.6124199747989264</v>
      </c>
      <c r="P54" s="102">
        <f>TrAvia_ene!P$12</f>
        <v>0.59684192100442024</v>
      </c>
      <c r="Q54" s="102">
        <f>TrAvia_ene!Q$12</f>
        <v>0.57550284379292571</v>
      </c>
      <c r="R54" s="102">
        <f>TrAvia_ene!R$12</f>
        <v>0.49281570577702133</v>
      </c>
      <c r="S54" s="102">
        <f>TrAvia_ene!S$12</f>
        <v>0.63787192611006094</v>
      </c>
      <c r="T54" s="102">
        <f>TrAvia_ene!T$12</f>
        <v>0.68212016378270401</v>
      </c>
      <c r="U54" s="102">
        <f>TrAvia_ene!U$12</f>
        <v>0.71475042844883729</v>
      </c>
      <c r="V54" s="102">
        <f>TrAvia_ene!V$12</f>
        <v>0.69052730465769785</v>
      </c>
      <c r="W54" s="102">
        <f>TrAvia_ene!W$12</f>
        <v>1.1101145234668379</v>
      </c>
      <c r="X54" s="102">
        <f>TrAvia_ene!X$12</f>
        <v>0.87022645391690567</v>
      </c>
      <c r="Y54" s="102">
        <f>TrAvia_ene!Y$12</f>
        <v>0.59248958947463337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5.0567604635621238E-2</v>
      </c>
      <c r="C55" s="102">
        <f>TrAvia_ene!C$13</f>
        <v>4.6850875942007097E-2</v>
      </c>
      <c r="D55" s="102">
        <f>TrAvia_ene!D$13</f>
        <v>3.4472229534689765E-2</v>
      </c>
      <c r="E55" s="102">
        <f>TrAvia_ene!E$13</f>
        <v>4.444257901637929E-2</v>
      </c>
      <c r="F55" s="102">
        <f>TrAvia_ene!F$13</f>
        <v>4.8900294901304181E-2</v>
      </c>
      <c r="G55" s="102">
        <f>TrAvia_ene!G$13</f>
        <v>0.10924761265311267</v>
      </c>
      <c r="H55" s="102">
        <f>TrAvia_ene!H$13</f>
        <v>6.0704026539157761E-2</v>
      </c>
      <c r="I55" s="102">
        <f>TrAvia_ene!I$13</f>
        <v>3.4175433492906512E-2</v>
      </c>
      <c r="J55" s="102">
        <f>TrAvia_ene!J$13</f>
        <v>1.9818126557316518E-2</v>
      </c>
      <c r="K55" s="102">
        <f>TrAvia_ene!K$13</f>
        <v>4.7563306814278842E-3</v>
      </c>
      <c r="L55" s="102">
        <f>TrAvia_ene!L$13</f>
        <v>1.2922560456346781E-2</v>
      </c>
      <c r="M55" s="102">
        <f>TrAvia_ene!M$13</f>
        <v>6.2267798679341993E-3</v>
      </c>
      <c r="N55" s="102">
        <f>TrAvia_ene!N$13</f>
        <v>6.7391827435971377E-3</v>
      </c>
      <c r="O55" s="102">
        <f>TrAvia_ene!O$13</f>
        <v>6.7588680203919853E-3</v>
      </c>
      <c r="P55" s="102">
        <f>TrAvia_ene!P$13</f>
        <v>6.8500018823633435E-3</v>
      </c>
      <c r="Q55" s="102">
        <f>TrAvia_ene!Q$13</f>
        <v>7.5539482919995118E-3</v>
      </c>
      <c r="R55" s="102">
        <f>TrAvia_ene!R$13</f>
        <v>4.5992089073207003E-2</v>
      </c>
      <c r="S55" s="102">
        <f>TrAvia_ene!S$13</f>
        <v>1.9054492173336296E-2</v>
      </c>
      <c r="T55" s="102">
        <f>TrAvia_ene!T$13</f>
        <v>1.0571485608053174E-2</v>
      </c>
      <c r="U55" s="102">
        <f>TrAvia_ene!U$13</f>
        <v>3.0224289629515722E-2</v>
      </c>
      <c r="V55" s="102">
        <f>TrAvia_ene!V$13</f>
        <v>1.9743070045905836E-2</v>
      </c>
      <c r="W55" s="102">
        <f>TrAvia_ene!W$13</f>
        <v>0.14267950992130674</v>
      </c>
      <c r="X55" s="102">
        <f>TrAvia_ene!X$13</f>
        <v>8.2421036073267021E-2</v>
      </c>
      <c r="Y55" s="102">
        <f>TrAvia_ene!Y$13</f>
        <v>3.1047322157118566E-3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7.0722269991401543</v>
      </c>
      <c r="C56" s="110">
        <f t="shared" si="46"/>
        <v>7.0722269991401543</v>
      </c>
      <c r="D56" s="110">
        <f t="shared" si="46"/>
        <v>8.082545141874462</v>
      </c>
      <c r="E56" s="110">
        <f t="shared" si="46"/>
        <v>9.0928632846087698</v>
      </c>
      <c r="F56" s="110">
        <f t="shared" si="46"/>
        <v>8.082545141874462</v>
      </c>
      <c r="G56" s="110">
        <f t="shared" si="46"/>
        <v>8.082545141874462</v>
      </c>
      <c r="H56" s="110">
        <f t="shared" si="46"/>
        <v>7.0722269991401543</v>
      </c>
      <c r="I56" s="110">
        <f t="shared" si="46"/>
        <v>8.082545141874462</v>
      </c>
      <c r="J56" s="110">
        <f t="shared" si="46"/>
        <v>7.0722269991401543</v>
      </c>
      <c r="K56" s="110">
        <f t="shared" si="46"/>
        <v>8.082545141874462</v>
      </c>
      <c r="L56" s="110">
        <f t="shared" si="46"/>
        <v>8.082545141874462</v>
      </c>
      <c r="M56" s="110">
        <f t="shared" si="46"/>
        <v>5.0515907136715388</v>
      </c>
      <c r="N56" s="110">
        <f t="shared" si="46"/>
        <v>4.041272570937231</v>
      </c>
      <c r="O56" s="110">
        <f t="shared" si="46"/>
        <v>4.041272570937231</v>
      </c>
      <c r="P56" s="110">
        <f t="shared" si="46"/>
        <v>6.0619088564058474</v>
      </c>
      <c r="Q56" s="110">
        <f t="shared" si="46"/>
        <v>6.0619088564058474</v>
      </c>
      <c r="R56" s="110">
        <f t="shared" ref="R56:V56" si="47">R57+R58</f>
        <v>5.0515907136715388</v>
      </c>
      <c r="S56" s="110">
        <f t="shared" si="47"/>
        <v>6.6135855546001716</v>
      </c>
      <c r="T56" s="110">
        <f t="shared" si="47"/>
        <v>6.4892519346517634</v>
      </c>
      <c r="U56" s="110">
        <f t="shared" si="47"/>
        <v>5.385038693035253</v>
      </c>
      <c r="V56" s="110">
        <f t="shared" si="47"/>
        <v>6.4761822871883057</v>
      </c>
      <c r="W56" s="110">
        <f t="shared" ref="W56:Y56" si="48">W57+W58</f>
        <v>5.9608770421324158</v>
      </c>
      <c r="X56" s="110">
        <f t="shared" si="48"/>
        <v>5.8042992261392952</v>
      </c>
      <c r="Y56" s="110">
        <f t="shared" si="48"/>
        <v>6.5246775580395528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7.0722269991401543</v>
      </c>
      <c r="C57" s="102">
        <f>TrNavi_ene!C4</f>
        <v>7.0722269991401543</v>
      </c>
      <c r="D57" s="102">
        <f>TrNavi_ene!D4</f>
        <v>8.082545141874462</v>
      </c>
      <c r="E57" s="102">
        <f>TrNavi_ene!E4</f>
        <v>9.0928632846087698</v>
      </c>
      <c r="F57" s="102">
        <f>TrNavi_ene!F4</f>
        <v>8.082545141874462</v>
      </c>
      <c r="G57" s="102">
        <f>TrNavi_ene!G4</f>
        <v>8.082545141874462</v>
      </c>
      <c r="H57" s="102">
        <f>TrNavi_ene!H4</f>
        <v>7.0722269991401543</v>
      </c>
      <c r="I57" s="102">
        <f>TrNavi_ene!I4</f>
        <v>8.082545141874462</v>
      </c>
      <c r="J57" s="102">
        <f>TrNavi_ene!J4</f>
        <v>7.0722269991401543</v>
      </c>
      <c r="K57" s="102">
        <f>TrNavi_ene!K4</f>
        <v>8.082545141874462</v>
      </c>
      <c r="L57" s="102">
        <f>TrNavi_ene!L4</f>
        <v>8.082545141874462</v>
      </c>
      <c r="M57" s="102">
        <f>TrNavi_ene!M4</f>
        <v>5.0515907136715388</v>
      </c>
      <c r="N57" s="102">
        <f>TrNavi_ene!N4</f>
        <v>4.041272570937231</v>
      </c>
      <c r="O57" s="102">
        <f>TrNavi_ene!O4</f>
        <v>4.041272570937231</v>
      </c>
      <c r="P57" s="102">
        <f>TrNavi_ene!P4</f>
        <v>6.0619088564058474</v>
      </c>
      <c r="Q57" s="102">
        <f>TrNavi_ene!Q4</f>
        <v>6.0619088564058474</v>
      </c>
      <c r="R57" s="102">
        <f>TrNavi_ene!R4</f>
        <v>5.0515907136715388</v>
      </c>
      <c r="S57" s="102">
        <f>TrNavi_ene!S4</f>
        <v>6.6135855546001716</v>
      </c>
      <c r="T57" s="102">
        <f>TrNavi_ene!T4</f>
        <v>6.4892519346517634</v>
      </c>
      <c r="U57" s="102">
        <f>TrNavi_ene!U4</f>
        <v>5.385038693035253</v>
      </c>
      <c r="V57" s="102">
        <f>TrNavi_ene!V4</f>
        <v>6.4761822871883057</v>
      </c>
      <c r="W57" s="102">
        <f>TrNavi_ene!W4</f>
        <v>5.9608770421324158</v>
      </c>
      <c r="X57" s="102">
        <f>TrNavi_ene!X4</f>
        <v>5.8042992261392952</v>
      </c>
      <c r="Y57" s="102">
        <f>TrNavi_ene!Y4</f>
        <v>6.5246775580395528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104.06758383490973</v>
      </c>
      <c r="C59" s="28">
        <f t="shared" ref="C59:W59" si="49">C60+C61</f>
        <v>99.512725709372305</v>
      </c>
      <c r="D59" s="28">
        <f t="shared" si="49"/>
        <v>116.82906276870162</v>
      </c>
      <c r="E59" s="28">
        <f t="shared" si="49"/>
        <v>110.82923473774719</v>
      </c>
      <c r="F59" s="28">
        <f t="shared" si="49"/>
        <v>148.18237317282893</v>
      </c>
      <c r="G59" s="28">
        <f t="shared" si="49"/>
        <v>118.47712811693893</v>
      </c>
      <c r="H59" s="28">
        <f t="shared" si="49"/>
        <v>208.55786758383485</v>
      </c>
      <c r="I59" s="28">
        <f t="shared" si="49"/>
        <v>241.82433361994833</v>
      </c>
      <c r="J59" s="28">
        <f t="shared" si="49"/>
        <v>245.88228718830607</v>
      </c>
      <c r="K59" s="28">
        <f t="shared" si="49"/>
        <v>219.02166809974204</v>
      </c>
      <c r="L59" s="28">
        <f t="shared" si="49"/>
        <v>215.60137575236456</v>
      </c>
      <c r="M59" s="28">
        <f t="shared" si="49"/>
        <v>182.55898538263108</v>
      </c>
      <c r="N59" s="28">
        <f t="shared" si="49"/>
        <v>391.33224419604466</v>
      </c>
      <c r="O59" s="28">
        <f t="shared" si="49"/>
        <v>407.62012037833188</v>
      </c>
      <c r="P59" s="28">
        <f t="shared" si="49"/>
        <v>313.74368013757521</v>
      </c>
      <c r="Q59" s="28">
        <f t="shared" si="49"/>
        <v>284.98374892519348</v>
      </c>
      <c r="R59" s="28">
        <f t="shared" si="49"/>
        <v>268.58314703353403</v>
      </c>
      <c r="S59" s="28">
        <f t="shared" si="49"/>
        <v>321.46569217540844</v>
      </c>
      <c r="T59" s="28">
        <f t="shared" si="49"/>
        <v>306.38194325021493</v>
      </c>
      <c r="U59" s="28">
        <f t="shared" si="49"/>
        <v>183.57394668959586</v>
      </c>
      <c r="V59" s="28">
        <f t="shared" si="49"/>
        <v>293.49234737747207</v>
      </c>
      <c r="W59" s="28">
        <f t="shared" si="49"/>
        <v>302.14256233877899</v>
      </c>
      <c r="X59" s="28">
        <f t="shared" ref="X59:Y59" si="50">X60+X61</f>
        <v>309.61289767841788</v>
      </c>
      <c r="Y59" s="28">
        <f t="shared" si="50"/>
        <v>234.96268271711094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59.21253212619996</v>
      </c>
      <c r="C60" s="102">
        <f>MBunk_ene!C$4</f>
        <v>56.624733063302159</v>
      </c>
      <c r="D60" s="102">
        <f>MBunk_ene!D$4</f>
        <v>66.259468210711105</v>
      </c>
      <c r="E60" s="102">
        <f>MBunk_ene!E$4</f>
        <v>64.895592230760144</v>
      </c>
      <c r="F60" s="102">
        <f>MBunk_ene!F$4</f>
        <v>79.347862987600962</v>
      </c>
      <c r="G60" s="102">
        <f>MBunk_ene!G$4</f>
        <v>57.403861856524856</v>
      </c>
      <c r="H60" s="102">
        <f>MBunk_ene!H$4</f>
        <v>102.18001050898965</v>
      </c>
      <c r="I60" s="102">
        <f>MBunk_ene!I$4</f>
        <v>117.87188638403241</v>
      </c>
      <c r="J60" s="102">
        <f>MBunk_ene!J$4</f>
        <v>117.3384986503592</v>
      </c>
      <c r="K60" s="102">
        <f>MBunk_ene!K$4</f>
        <v>100.12296589776822</v>
      </c>
      <c r="L60" s="102">
        <f>MBunk_ene!L$4</f>
        <v>96.788036062703</v>
      </c>
      <c r="M60" s="102">
        <f>MBunk_ene!M$4</f>
        <v>84.753744988630061</v>
      </c>
      <c r="N60" s="102">
        <f>MBunk_ene!N$4</f>
        <v>147.57556563593738</v>
      </c>
      <c r="O60" s="102">
        <f>MBunk_ene!O$4</f>
        <v>201.46660565840509</v>
      </c>
      <c r="P60" s="102">
        <f>MBunk_ene!P$4</f>
        <v>155.01346129644162</v>
      </c>
      <c r="Q60" s="102">
        <f>MBunk_ene!Q$4</f>
        <v>131.25701965003589</v>
      </c>
      <c r="R60" s="102">
        <f>MBunk_ene!R$4</f>
        <v>121.24780907396135</v>
      </c>
      <c r="S60" s="102">
        <f>MBunk_ene!S$4</f>
        <v>149.04734229715453</v>
      </c>
      <c r="T60" s="102">
        <f>MBunk_ene!T$4</f>
        <v>142.76684642019885</v>
      </c>
      <c r="U60" s="102">
        <f>MBunk_ene!U$4</f>
        <v>81.831593971724956</v>
      </c>
      <c r="V60" s="102">
        <f>MBunk_ene!V$4</f>
        <v>104.49256777070089</v>
      </c>
      <c r="W60" s="102">
        <f>MBunk_ene!W$4</f>
        <v>118.28383924647817</v>
      </c>
      <c r="X60" s="102">
        <f>MBunk_ene!X$4</f>
        <v>155.85458808017643</v>
      </c>
      <c r="Y60" s="102">
        <f>MBunk_ene!Y$4</f>
        <v>141.7118448175855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44.855051708709759</v>
      </c>
      <c r="C61" s="86">
        <f>MBunk_ene!C$10</f>
        <v>42.887992646070145</v>
      </c>
      <c r="D61" s="86">
        <f>MBunk_ene!D$10</f>
        <v>50.569594557990506</v>
      </c>
      <c r="E61" s="86">
        <f>MBunk_ene!E$10</f>
        <v>45.933642506987042</v>
      </c>
      <c r="F61" s="86">
        <f>MBunk_ene!F$10</f>
        <v>68.834510185227956</v>
      </c>
      <c r="G61" s="86">
        <f>MBunk_ene!G$10</f>
        <v>61.07326626041408</v>
      </c>
      <c r="H61" s="86">
        <f>MBunk_ene!H$10</f>
        <v>106.3778570748452</v>
      </c>
      <c r="I61" s="86">
        <f>MBunk_ene!I$10</f>
        <v>123.95244723591594</v>
      </c>
      <c r="J61" s="86">
        <f>MBunk_ene!J$10</f>
        <v>128.54378853794685</v>
      </c>
      <c r="K61" s="86">
        <f>MBunk_ene!K$10</f>
        <v>118.8987022019738</v>
      </c>
      <c r="L61" s="86">
        <f>MBunk_ene!L$10</f>
        <v>118.81333968966155</v>
      </c>
      <c r="M61" s="86">
        <f>MBunk_ene!M$10</f>
        <v>97.805240394001032</v>
      </c>
      <c r="N61" s="86">
        <f>MBunk_ene!N$10</f>
        <v>243.75667856010728</v>
      </c>
      <c r="O61" s="86">
        <f>MBunk_ene!O$10</f>
        <v>206.15351471992682</v>
      </c>
      <c r="P61" s="86">
        <f>MBunk_ene!P$10</f>
        <v>158.73021884113359</v>
      </c>
      <c r="Q61" s="86">
        <f>MBunk_ene!Q$10</f>
        <v>153.72672927515757</v>
      </c>
      <c r="R61" s="86">
        <f>MBunk_ene!R$10</f>
        <v>147.33533795957268</v>
      </c>
      <c r="S61" s="86">
        <f>MBunk_ene!S$10</f>
        <v>172.41834987825391</v>
      </c>
      <c r="T61" s="86">
        <f>MBunk_ene!T$10</f>
        <v>163.61509683001609</v>
      </c>
      <c r="U61" s="86">
        <f>MBunk_ene!U$10</f>
        <v>101.74235271787092</v>
      </c>
      <c r="V61" s="86">
        <f>MBunk_ene!V$10</f>
        <v>188.9997796067712</v>
      </c>
      <c r="W61" s="86">
        <f>MBunk_ene!W$10</f>
        <v>183.85872309230083</v>
      </c>
      <c r="X61" s="86">
        <f>MBunk_ene!X$10</f>
        <v>153.75830959824142</v>
      </c>
      <c r="Y61" s="86">
        <f>MBunk_ene!Y$10</f>
        <v>93.250837899525436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1145.0496028216194</v>
      </c>
      <c r="C64" s="28">
        <f t="shared" si="51"/>
        <v>1390.6937284581475</v>
      </c>
      <c r="D64" s="28">
        <f t="shared" si="51"/>
        <v>1381.8950625849097</v>
      </c>
      <c r="E64" s="28">
        <f t="shared" si="51"/>
        <v>1350.0560988777652</v>
      </c>
      <c r="F64" s="28">
        <f t="shared" si="51"/>
        <v>1418.2933137981659</v>
      </c>
      <c r="G64" s="28">
        <f t="shared" si="51"/>
        <v>1570.3094616820208</v>
      </c>
      <c r="H64" s="28">
        <f t="shared" si="51"/>
        <v>1723.0154497615508</v>
      </c>
      <c r="I64" s="28">
        <f t="shared" si="51"/>
        <v>1839.1907313359006</v>
      </c>
      <c r="J64" s="28">
        <f t="shared" si="51"/>
        <v>1812.1717545684619</v>
      </c>
      <c r="K64" s="28">
        <f t="shared" si="51"/>
        <v>1638.9616489757848</v>
      </c>
      <c r="L64" s="28">
        <f t="shared" si="51"/>
        <v>1644.118517116864</v>
      </c>
      <c r="M64" s="28">
        <f t="shared" si="51"/>
        <v>1683.280833712731</v>
      </c>
      <c r="N64" s="28">
        <f t="shared" si="51"/>
        <v>1769.9291652852457</v>
      </c>
      <c r="O64" s="28">
        <f t="shared" si="51"/>
        <v>1717.5749427540013</v>
      </c>
      <c r="P64" s="28">
        <f t="shared" si="51"/>
        <v>1750.2310858793589</v>
      </c>
      <c r="Q64" s="28">
        <f t="shared" si="51"/>
        <v>1836.0595955146769</v>
      </c>
      <c r="R64" s="28">
        <f t="shared" ref="R64:V64" si="52">R65+R69+R73</f>
        <v>1895.5310260136268</v>
      </c>
      <c r="S64" s="28">
        <f t="shared" si="52"/>
        <v>2028.7500687747258</v>
      </c>
      <c r="T64" s="28">
        <f t="shared" si="52"/>
        <v>2087.649607667699</v>
      </c>
      <c r="U64" s="28">
        <f t="shared" si="52"/>
        <v>2058.9432290055011</v>
      </c>
      <c r="V64" s="28">
        <f t="shared" si="52"/>
        <v>1790.1641931355175</v>
      </c>
      <c r="W64" s="28">
        <f t="shared" ref="W64:Y64" si="53">W65+W69+W73</f>
        <v>1873.8237474896698</v>
      </c>
      <c r="X64" s="28">
        <f t="shared" si="53"/>
        <v>1935.7953582336745</v>
      </c>
      <c r="Y64" s="28">
        <f t="shared" si="53"/>
        <v>1883.2540248229398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1074.6176625821756</v>
      </c>
      <c r="C65" s="137">
        <f t="shared" si="54"/>
        <v>1335.1351925512849</v>
      </c>
      <c r="D65" s="137">
        <f t="shared" si="54"/>
        <v>1323.8196221400478</v>
      </c>
      <c r="E65" s="137">
        <f t="shared" si="54"/>
        <v>1283.8470758615108</v>
      </c>
      <c r="F65" s="137">
        <f t="shared" si="54"/>
        <v>1318.1159998065079</v>
      </c>
      <c r="G65" s="137">
        <f t="shared" si="54"/>
        <v>1413.7204813982078</v>
      </c>
      <c r="H65" s="137">
        <f t="shared" si="54"/>
        <v>1561.7874272962199</v>
      </c>
      <c r="I65" s="137">
        <f t="shared" si="54"/>
        <v>1654.4503448950286</v>
      </c>
      <c r="J65" s="137">
        <f t="shared" si="54"/>
        <v>1604.7545880480029</v>
      </c>
      <c r="K65" s="137">
        <f t="shared" si="54"/>
        <v>1523.9750769793063</v>
      </c>
      <c r="L65" s="137">
        <f t="shared" si="54"/>
        <v>1537.519422273512</v>
      </c>
      <c r="M65" s="137">
        <f t="shared" si="54"/>
        <v>1541.3952261194531</v>
      </c>
      <c r="N65" s="137">
        <f t="shared" si="54"/>
        <v>1586.7751566020686</v>
      </c>
      <c r="O65" s="137">
        <f t="shared" si="54"/>
        <v>1569.456423683413</v>
      </c>
      <c r="P65" s="137">
        <f t="shared" si="54"/>
        <v>1601.0345740190596</v>
      </c>
      <c r="Q65" s="137">
        <f t="shared" si="54"/>
        <v>1679.8276527652247</v>
      </c>
      <c r="R65" s="137">
        <f t="shared" ref="R65:V65" si="55">R66+R67+R68</f>
        <v>1751.661604836607</v>
      </c>
      <c r="S65" s="137">
        <f t="shared" si="55"/>
        <v>1842.0817955921189</v>
      </c>
      <c r="T65" s="137">
        <f t="shared" si="55"/>
        <v>1869.3309492995322</v>
      </c>
      <c r="U65" s="137">
        <f t="shared" si="55"/>
        <v>1840.5292074828574</v>
      </c>
      <c r="V65" s="137">
        <f t="shared" si="55"/>
        <v>1704.872135286096</v>
      </c>
      <c r="W65" s="137">
        <f t="shared" ref="W65:Y65" si="56">W66+W67+W68</f>
        <v>1739.3904221259977</v>
      </c>
      <c r="X65" s="137">
        <f t="shared" si="56"/>
        <v>1753.437788439659</v>
      </c>
      <c r="Y65" s="137">
        <f t="shared" si="56"/>
        <v>1725.1143145950082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1.2556606354924043</v>
      </c>
      <c r="C66" s="102">
        <f>TrRoad_emi!C$19</f>
        <v>1.2690024028415774</v>
      </c>
      <c r="D66" s="102">
        <f>TrRoad_emi!D$19</f>
        <v>1.3434904883616807</v>
      </c>
      <c r="E66" s="102">
        <f>TrRoad_emi!E$19</f>
        <v>1.4641461729053287</v>
      </c>
      <c r="F66" s="102">
        <f>TrRoad_emi!F$19</f>
        <v>1.6218182312005096</v>
      </c>
      <c r="G66" s="102">
        <f>TrRoad_emi!G$19</f>
        <v>1.7947247609113572</v>
      </c>
      <c r="H66" s="102">
        <f>TrRoad_emi!H$19</f>
        <v>2.16696199961665</v>
      </c>
      <c r="I66" s="102">
        <f>TrRoad_emi!I$19</f>
        <v>2.508850287726633</v>
      </c>
      <c r="J66" s="102">
        <f>TrRoad_emi!J$19</f>
        <v>2.9222254762961088</v>
      </c>
      <c r="K66" s="102">
        <f>TrRoad_emi!K$19</f>
        <v>3.0448158640670333</v>
      </c>
      <c r="L66" s="102">
        <f>TrRoad_emi!L$19</f>
        <v>3.1311916939677538</v>
      </c>
      <c r="M66" s="102">
        <f>TrRoad_emi!M$19</f>
        <v>3.5919020050912733</v>
      </c>
      <c r="N66" s="102">
        <f>TrRoad_emi!N$19</f>
        <v>5.1823098388886448</v>
      </c>
      <c r="O66" s="102">
        <f>TrRoad_emi!O$19</f>
        <v>5.6004643404754058</v>
      </c>
      <c r="P66" s="102">
        <f>TrRoad_emi!P$19</f>
        <v>5.9620303054187458</v>
      </c>
      <c r="Q66" s="102">
        <f>TrRoad_emi!Q$19</f>
        <v>6.3844266020239919</v>
      </c>
      <c r="R66" s="102">
        <f>TrRoad_emi!R$19</f>
        <v>6.8673735553728656</v>
      </c>
      <c r="S66" s="102">
        <f>TrRoad_emi!S$19</f>
        <v>6.4989846563631657</v>
      </c>
      <c r="T66" s="102">
        <f>TrRoad_emi!T$19</f>
        <v>6.1232068207549499</v>
      </c>
      <c r="U66" s="102">
        <f>TrRoad_emi!U$19</f>
        <v>6.455103773000527</v>
      </c>
      <c r="V66" s="102">
        <f>TrRoad_emi!V$19</f>
        <v>5.7726329167527473</v>
      </c>
      <c r="W66" s="102">
        <f>TrRoad_emi!W$19</f>
        <v>6.0432864941993234</v>
      </c>
      <c r="X66" s="102">
        <f>TrRoad_emi!X$19</f>
        <v>6.2045119574646215</v>
      </c>
      <c r="Y66" s="102">
        <f>TrRoad_emi!Y$19</f>
        <v>6.7154761574173305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812.69629037888444</v>
      </c>
      <c r="C67" s="102">
        <f>TrRoad_emi!C$20</f>
        <v>1023.73742112169</v>
      </c>
      <c r="D67" s="102">
        <f>TrRoad_emi!D$20</f>
        <v>979.99208627243934</v>
      </c>
      <c r="E67" s="102">
        <f>TrRoad_emi!E$20</f>
        <v>978.9203013343772</v>
      </c>
      <c r="F67" s="102">
        <f>TrRoad_emi!F$20</f>
        <v>1002.5239230513433</v>
      </c>
      <c r="G67" s="102">
        <f>TrRoad_emi!G$20</f>
        <v>1082.330533399517</v>
      </c>
      <c r="H67" s="102">
        <f>TrRoad_emi!H$20</f>
        <v>1224.0251484784724</v>
      </c>
      <c r="I67" s="102">
        <f>TrRoad_emi!I$20</f>
        <v>1363.4408621257362</v>
      </c>
      <c r="J67" s="102">
        <f>TrRoad_emi!J$20</f>
        <v>1339.9914885030826</v>
      </c>
      <c r="K67" s="102">
        <f>TrRoad_emi!K$20</f>
        <v>1292.0565861052607</v>
      </c>
      <c r="L67" s="102">
        <f>TrRoad_emi!L$20</f>
        <v>1290.7078896625212</v>
      </c>
      <c r="M67" s="102">
        <f>TrRoad_emi!M$20</f>
        <v>1295.3255804633477</v>
      </c>
      <c r="N67" s="102">
        <f>TrRoad_emi!N$20</f>
        <v>1335.3471346558258</v>
      </c>
      <c r="O67" s="102">
        <f>TrRoad_emi!O$20</f>
        <v>1319.2116183167286</v>
      </c>
      <c r="P67" s="102">
        <f>TrRoad_emi!P$20</f>
        <v>1340.6531199837445</v>
      </c>
      <c r="Q67" s="102">
        <f>TrRoad_emi!Q$20</f>
        <v>1415.5063494681624</v>
      </c>
      <c r="R67" s="102">
        <f>TrRoad_emi!R$20</f>
        <v>1457.5898651697635</v>
      </c>
      <c r="S67" s="102">
        <f>TrRoad_emi!S$20</f>
        <v>1511.0632961409503</v>
      </c>
      <c r="T67" s="102">
        <f>TrRoad_emi!T$20</f>
        <v>1545.0667022795367</v>
      </c>
      <c r="U67" s="102">
        <f>TrRoad_emi!U$20</f>
        <v>1539.998896913281</v>
      </c>
      <c r="V67" s="102">
        <f>TrRoad_emi!V$20</f>
        <v>1423.9833360455241</v>
      </c>
      <c r="W67" s="102">
        <f>TrRoad_emi!W$20</f>
        <v>1437.7254496156975</v>
      </c>
      <c r="X67" s="102">
        <f>TrRoad_emi!X$20</f>
        <v>1465.454544762265</v>
      </c>
      <c r="Y67" s="102">
        <f>TrRoad_emi!Y$20</f>
        <v>1504.4948191756102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260.66571156779878</v>
      </c>
      <c r="C68" s="102">
        <f>TrRoad_emi!C$27</f>
        <v>310.12876902675328</v>
      </c>
      <c r="D68" s="102">
        <f>TrRoad_emi!D$27</f>
        <v>342.48404537924677</v>
      </c>
      <c r="E68" s="102">
        <f>TrRoad_emi!E$27</f>
        <v>303.4626283542284</v>
      </c>
      <c r="F68" s="102">
        <f>TrRoad_emi!F$27</f>
        <v>313.97025852396411</v>
      </c>
      <c r="G68" s="102">
        <f>TrRoad_emi!G$27</f>
        <v>329.59522323777941</v>
      </c>
      <c r="H68" s="102">
        <f>TrRoad_emi!H$27</f>
        <v>335.59531681813075</v>
      </c>
      <c r="I68" s="102">
        <f>TrRoad_emi!I$27</f>
        <v>288.50063248156596</v>
      </c>
      <c r="J68" s="102">
        <f>TrRoad_emi!J$27</f>
        <v>261.8408740686242</v>
      </c>
      <c r="K68" s="102">
        <f>TrRoad_emi!K$27</f>
        <v>228.8736750099786</v>
      </c>
      <c r="L68" s="102">
        <f>TrRoad_emi!L$27</f>
        <v>243.68034091702299</v>
      </c>
      <c r="M68" s="102">
        <f>TrRoad_emi!M$27</f>
        <v>242.47774365101409</v>
      </c>
      <c r="N68" s="102">
        <f>TrRoad_emi!N$27</f>
        <v>246.24571210735425</v>
      </c>
      <c r="O68" s="102">
        <f>TrRoad_emi!O$27</f>
        <v>244.64434102620902</v>
      </c>
      <c r="P68" s="102">
        <f>TrRoad_emi!P$27</f>
        <v>254.41942372989647</v>
      </c>
      <c r="Q68" s="102">
        <f>TrRoad_emi!Q$27</f>
        <v>257.93687669503839</v>
      </c>
      <c r="R68" s="102">
        <f>TrRoad_emi!R$27</f>
        <v>287.20436611147062</v>
      </c>
      <c r="S68" s="102">
        <f>TrRoad_emi!S$27</f>
        <v>324.51951479480533</v>
      </c>
      <c r="T68" s="102">
        <f>TrRoad_emi!T$27</f>
        <v>318.14104019924054</v>
      </c>
      <c r="U68" s="102">
        <f>TrRoad_emi!U$27</f>
        <v>294.07520679657586</v>
      </c>
      <c r="V68" s="102">
        <f>TrRoad_emi!V$27</f>
        <v>275.11616632381896</v>
      </c>
      <c r="W68" s="102">
        <f>TrRoad_emi!W$27</f>
        <v>295.62168601610085</v>
      </c>
      <c r="X68" s="102">
        <f>TrRoad_emi!X$27</f>
        <v>281.77873171992951</v>
      </c>
      <c r="Y68" s="102">
        <f>TrRoad_emi!Y$27</f>
        <v>213.90401926198078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9.4103796922999674</v>
      </c>
      <c r="C69" s="110">
        <f t="shared" si="57"/>
        <v>5.1871615091904966</v>
      </c>
      <c r="D69" s="110">
        <f t="shared" si="57"/>
        <v>5.0882244063061099</v>
      </c>
      <c r="E69" s="110">
        <f t="shared" si="57"/>
        <v>4.6967004478853047</v>
      </c>
      <c r="F69" s="110">
        <f t="shared" si="57"/>
        <v>4.9975329739285543</v>
      </c>
      <c r="G69" s="110">
        <f t="shared" si="57"/>
        <v>5.7777592617757145</v>
      </c>
      <c r="H69" s="110">
        <f t="shared" si="57"/>
        <v>6.6199534180948838</v>
      </c>
      <c r="I69" s="110">
        <f t="shared" si="57"/>
        <v>8.3358610794884491</v>
      </c>
      <c r="J69" s="110">
        <f t="shared" si="57"/>
        <v>5.8642036288713655</v>
      </c>
      <c r="K69" s="110">
        <f t="shared" si="57"/>
        <v>5.6186963190564319</v>
      </c>
      <c r="L69" s="110">
        <f t="shared" si="57"/>
        <v>6.4708212170685551</v>
      </c>
      <c r="M69" s="110">
        <f t="shared" si="57"/>
        <v>6.5026294895720653</v>
      </c>
      <c r="N69" s="110">
        <f t="shared" si="57"/>
        <v>5.0739391358907495</v>
      </c>
      <c r="O69" s="110">
        <f t="shared" si="57"/>
        <v>6.5522061575726029</v>
      </c>
      <c r="P69" s="110">
        <f t="shared" si="57"/>
        <v>7.5126563697310322</v>
      </c>
      <c r="Q69" s="110">
        <f t="shared" si="57"/>
        <v>7.523431974787866</v>
      </c>
      <c r="R69" s="110">
        <f t="shared" ref="R69:V69" si="58">R70+R71+R72</f>
        <v>7.5149253588889531</v>
      </c>
      <c r="S69" s="110">
        <f t="shared" si="58"/>
        <v>9.0706568632885283</v>
      </c>
      <c r="T69" s="110">
        <f t="shared" si="58"/>
        <v>11.469779453090977</v>
      </c>
      <c r="U69" s="110">
        <f t="shared" si="58"/>
        <v>14.511272970242054</v>
      </c>
      <c r="V69" s="110">
        <f t="shared" si="58"/>
        <v>15.177076012879384</v>
      </c>
      <c r="W69" s="110">
        <f t="shared" ref="W69:Y69" si="59">W70+W71+W72</f>
        <v>8.6438138080854525</v>
      </c>
      <c r="X69" s="110">
        <f t="shared" si="59"/>
        <v>12.609596417489819</v>
      </c>
      <c r="Y69" s="110">
        <f t="shared" si="59"/>
        <v>14.727793573983693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9.4103796922999674</v>
      </c>
      <c r="C71" s="102">
        <f>TrRail_emi!C$11</f>
        <v>5.1871615091904966</v>
      </c>
      <c r="D71" s="102">
        <f>TrRail_emi!D$11</f>
        <v>5.0882244063061099</v>
      </c>
      <c r="E71" s="102">
        <f>TrRail_emi!E$11</f>
        <v>4.6967004478853047</v>
      </c>
      <c r="F71" s="102">
        <f>TrRail_emi!F$11</f>
        <v>4.9975329739285543</v>
      </c>
      <c r="G71" s="102">
        <f>TrRail_emi!G$11</f>
        <v>5.7777592617757145</v>
      </c>
      <c r="H71" s="102">
        <f>TrRail_emi!H$11</f>
        <v>6.6199534180948838</v>
      </c>
      <c r="I71" s="102">
        <f>TrRail_emi!I$11</f>
        <v>8.3358610794884491</v>
      </c>
      <c r="J71" s="102">
        <f>TrRail_emi!J$11</f>
        <v>5.8642036288713655</v>
      </c>
      <c r="K71" s="102">
        <f>TrRail_emi!K$11</f>
        <v>5.6186963190564319</v>
      </c>
      <c r="L71" s="102">
        <f>TrRail_emi!L$11</f>
        <v>6.4708212170685551</v>
      </c>
      <c r="M71" s="102">
        <f>TrRail_emi!M$11</f>
        <v>6.5026294895720653</v>
      </c>
      <c r="N71" s="102">
        <f>TrRail_emi!N$11</f>
        <v>5.0739391358907495</v>
      </c>
      <c r="O71" s="102">
        <f>TrRail_emi!O$11</f>
        <v>6.5522061575726029</v>
      </c>
      <c r="P71" s="102">
        <f>TrRail_emi!P$11</f>
        <v>7.5126563697310322</v>
      </c>
      <c r="Q71" s="102">
        <f>TrRail_emi!Q$11</f>
        <v>7.523431974787866</v>
      </c>
      <c r="R71" s="102">
        <f>TrRail_emi!R$11</f>
        <v>7.5149253588889531</v>
      </c>
      <c r="S71" s="102">
        <f>TrRail_emi!S$11</f>
        <v>9.0706568632885283</v>
      </c>
      <c r="T71" s="102">
        <f>TrRail_emi!T$11</f>
        <v>11.469779453090977</v>
      </c>
      <c r="U71" s="102">
        <f>TrRail_emi!U$11</f>
        <v>14.511272970242054</v>
      </c>
      <c r="V71" s="102">
        <f>TrRail_emi!V$11</f>
        <v>15.177076012879384</v>
      </c>
      <c r="W71" s="102">
        <f>TrRail_emi!W$11</f>
        <v>8.6438138080854525</v>
      </c>
      <c r="X71" s="102">
        <f>TrRail_emi!X$11</f>
        <v>12.609596417489819</v>
      </c>
      <c r="Y71" s="102">
        <f>TrRail_emi!Y$11</f>
        <v>14.727793573983693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61.021560547143771</v>
      </c>
      <c r="C73" s="110">
        <f t="shared" si="60"/>
        <v>50.371374397672028</v>
      </c>
      <c r="D73" s="110">
        <f t="shared" si="60"/>
        <v>52.98721603855568</v>
      </c>
      <c r="E73" s="110">
        <f t="shared" si="60"/>
        <v>61.512322568369058</v>
      </c>
      <c r="F73" s="110">
        <f t="shared" si="60"/>
        <v>95.179781017729198</v>
      </c>
      <c r="G73" s="110">
        <f t="shared" si="60"/>
        <v>150.81122102203713</v>
      </c>
      <c r="H73" s="110">
        <f t="shared" si="60"/>
        <v>154.6080690472362</v>
      </c>
      <c r="I73" s="110">
        <f t="shared" si="60"/>
        <v>176.40452536138363</v>
      </c>
      <c r="J73" s="110">
        <f t="shared" si="60"/>
        <v>201.5529628915877</v>
      </c>
      <c r="K73" s="110">
        <f t="shared" si="60"/>
        <v>109.36787567742206</v>
      </c>
      <c r="L73" s="110">
        <f t="shared" si="60"/>
        <v>100.12827362628349</v>
      </c>
      <c r="M73" s="110">
        <f t="shared" si="60"/>
        <v>135.38297810370588</v>
      </c>
      <c r="N73" s="110">
        <f t="shared" si="60"/>
        <v>178.08006954728643</v>
      </c>
      <c r="O73" s="110">
        <f t="shared" si="60"/>
        <v>141.56631291301565</v>
      </c>
      <c r="P73" s="110">
        <f t="shared" si="60"/>
        <v>141.68385549056822</v>
      </c>
      <c r="Q73" s="110">
        <f t="shared" si="60"/>
        <v>148.70851077466426</v>
      </c>
      <c r="R73" s="110">
        <f t="shared" ref="R73:V73" si="61">R74+R75+R76</f>
        <v>136.35449581813069</v>
      </c>
      <c r="S73" s="110">
        <f t="shared" si="61"/>
        <v>177.59761631931843</v>
      </c>
      <c r="T73" s="110">
        <f t="shared" si="61"/>
        <v>206.84887891507586</v>
      </c>
      <c r="U73" s="110">
        <f t="shared" si="61"/>
        <v>203.90274855240136</v>
      </c>
      <c r="V73" s="110">
        <f t="shared" si="61"/>
        <v>70.114981836542327</v>
      </c>
      <c r="W73" s="110">
        <f t="shared" ref="W73:Y73" si="62">W74+W75+W76</f>
        <v>125.78951155558659</v>
      </c>
      <c r="X73" s="110">
        <f t="shared" si="62"/>
        <v>169.74797337652566</v>
      </c>
      <c r="Y73" s="110">
        <f t="shared" si="62"/>
        <v>143.41191665394783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56.38919350254767</v>
      </c>
      <c r="C75" s="102">
        <f>TrAvia_emi!C$8</f>
        <v>46.542471867027352</v>
      </c>
      <c r="D75" s="102">
        <f>TrAvia_emi!D$8</f>
        <v>48.699847701193292</v>
      </c>
      <c r="E75" s="102">
        <f>TrAvia_emi!E$8</f>
        <v>55.728229261689798</v>
      </c>
      <c r="F75" s="102">
        <f>TrAvia_emi!F$8</f>
        <v>84.24208869742003</v>
      </c>
      <c r="G75" s="102">
        <f>TrAvia_emi!G$8</f>
        <v>135.46732790343637</v>
      </c>
      <c r="H75" s="102">
        <f>TrAvia_emi!H$8</f>
        <v>139.36783985273217</v>
      </c>
      <c r="I75" s="102">
        <f>TrAvia_emi!I$8</f>
        <v>159.39036311466072</v>
      </c>
      <c r="J75" s="102">
        <f>TrAvia_emi!J$8</f>
        <v>181.20788485832105</v>
      </c>
      <c r="K75" s="102">
        <f>TrAvia_emi!K$8</f>
        <v>96.727202873649205</v>
      </c>
      <c r="L75" s="102">
        <f>TrAvia_emi!L$8</f>
        <v>88.492319492101146</v>
      </c>
      <c r="M75" s="102">
        <f>TrAvia_emi!M$8</f>
        <v>122.22144731286799</v>
      </c>
      <c r="N75" s="102">
        <f>TrAvia_emi!N$8</f>
        <v>159.08897180920729</v>
      </c>
      <c r="O75" s="102">
        <f>TrAvia_emi!O$8</f>
        <v>125.46063950047731</v>
      </c>
      <c r="P75" s="102">
        <f>TrAvia_emi!P$8</f>
        <v>125.6472522629394</v>
      </c>
      <c r="Q75" s="102">
        <f>TrAvia_emi!Q$8</f>
        <v>131.95969988125711</v>
      </c>
      <c r="R75" s="102">
        <f>TrAvia_emi!R$8</f>
        <v>121.37805544961029</v>
      </c>
      <c r="S75" s="102">
        <f>TrAvia_emi!S$8</f>
        <v>158.73921629657514</v>
      </c>
      <c r="T75" s="102">
        <f>TrAvia_emi!T$8</f>
        <v>185.71953234456143</v>
      </c>
      <c r="U75" s="102">
        <f>TrAvia_emi!U$8</f>
        <v>182.49349972001738</v>
      </c>
      <c r="V75" s="102">
        <f>TrAvia_emi!V$8</f>
        <v>60.616307978131118</v>
      </c>
      <c r="W75" s="102">
        <f>TrAvia_emi!W$8</f>
        <v>110.90048043059953</v>
      </c>
      <c r="X75" s="102">
        <f>TrAvia_emi!X$8</f>
        <v>153.16319948319159</v>
      </c>
      <c r="Y75" s="102">
        <f>TrAvia_emi!Y$8</f>
        <v>128.51255845968473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4.6323670445960987</v>
      </c>
      <c r="C76" s="102">
        <f>TrAvia_emi!C$9</f>
        <v>3.8289025306446773</v>
      </c>
      <c r="D76" s="102">
        <f>TrAvia_emi!D$9</f>
        <v>4.2873683373623903</v>
      </c>
      <c r="E76" s="102">
        <f>TrAvia_emi!E$9</f>
        <v>5.7840933066792592</v>
      </c>
      <c r="F76" s="102">
        <f>TrAvia_emi!F$9</f>
        <v>10.937692320309162</v>
      </c>
      <c r="G76" s="102">
        <f>TrAvia_emi!G$9</f>
        <v>15.343893118600754</v>
      </c>
      <c r="H76" s="102">
        <f>TrAvia_emi!H$9</f>
        <v>15.240229194504039</v>
      </c>
      <c r="I76" s="102">
        <f>TrAvia_emi!I$9</f>
        <v>17.014162246722911</v>
      </c>
      <c r="J76" s="102">
        <f>TrAvia_emi!J$9</f>
        <v>20.345078033266638</v>
      </c>
      <c r="K76" s="102">
        <f>TrAvia_emi!K$9</f>
        <v>12.640672803772855</v>
      </c>
      <c r="L76" s="102">
        <f>TrAvia_emi!L$9</f>
        <v>11.635954134182347</v>
      </c>
      <c r="M76" s="102">
        <f>TrAvia_emi!M$9</f>
        <v>13.161530790837896</v>
      </c>
      <c r="N76" s="102">
        <f>TrAvia_emi!N$9</f>
        <v>18.991097738079141</v>
      </c>
      <c r="O76" s="102">
        <f>TrAvia_emi!O$9</f>
        <v>16.10567341253833</v>
      </c>
      <c r="P76" s="102">
        <f>TrAvia_emi!P$9</f>
        <v>16.036603227628824</v>
      </c>
      <c r="Q76" s="102">
        <f>TrAvia_emi!Q$9</f>
        <v>16.748810893407153</v>
      </c>
      <c r="R76" s="102">
        <f>TrAvia_emi!R$9</f>
        <v>14.976440368520409</v>
      </c>
      <c r="S76" s="102">
        <f>TrAvia_emi!S$9</f>
        <v>18.858400022743297</v>
      </c>
      <c r="T76" s="102">
        <f>TrAvia_emi!T$9</f>
        <v>21.129346570514436</v>
      </c>
      <c r="U76" s="102">
        <f>TrAvia_emi!U$9</f>
        <v>21.40924883238397</v>
      </c>
      <c r="V76" s="102">
        <f>TrAvia_emi!V$9</f>
        <v>9.4986738584112036</v>
      </c>
      <c r="W76" s="102">
        <f>TrAvia_emi!W$9</f>
        <v>14.889031124987051</v>
      </c>
      <c r="X76" s="102">
        <f>TrAvia_emi!X$9</f>
        <v>16.58477389333407</v>
      </c>
      <c r="Y76" s="102">
        <f>TrAvia_emi!Y$9</f>
        <v>14.89935819426309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556.26284045838077</v>
      </c>
      <c r="C77" s="28">
        <f t="shared" si="63"/>
        <v>615.2902496618525</v>
      </c>
      <c r="D77" s="28">
        <f t="shared" si="63"/>
        <v>732.66716121509035</v>
      </c>
      <c r="E77" s="28">
        <f t="shared" si="63"/>
        <v>702.47218456223504</v>
      </c>
      <c r="F77" s="28">
        <f t="shared" si="63"/>
        <v>707.1234204818345</v>
      </c>
      <c r="G77" s="28">
        <f t="shared" si="63"/>
        <v>711.54824439797972</v>
      </c>
      <c r="H77" s="28">
        <f t="shared" si="63"/>
        <v>718.96552771844904</v>
      </c>
      <c r="I77" s="28">
        <f t="shared" si="63"/>
        <v>735.5317487040985</v>
      </c>
      <c r="J77" s="28">
        <f t="shared" si="63"/>
        <v>692.32942103153823</v>
      </c>
      <c r="K77" s="28">
        <f t="shared" si="63"/>
        <v>588.67376034421477</v>
      </c>
      <c r="L77" s="28">
        <f t="shared" si="63"/>
        <v>688.47311488313608</v>
      </c>
      <c r="M77" s="28">
        <f t="shared" si="63"/>
        <v>683.87100852726962</v>
      </c>
      <c r="N77" s="28">
        <f t="shared" si="63"/>
        <v>671.35379631475428</v>
      </c>
      <c r="O77" s="28">
        <f t="shared" si="63"/>
        <v>637.61118672599878</v>
      </c>
      <c r="P77" s="28">
        <f t="shared" si="63"/>
        <v>608.58200652064079</v>
      </c>
      <c r="Q77" s="28">
        <f t="shared" si="63"/>
        <v>594.50564048532328</v>
      </c>
      <c r="R77" s="28">
        <f t="shared" si="63"/>
        <v>573.39638526637304</v>
      </c>
      <c r="S77" s="28">
        <f t="shared" si="63"/>
        <v>560.65231018527413</v>
      </c>
      <c r="T77" s="28">
        <f t="shared" si="63"/>
        <v>572.29065012486467</v>
      </c>
      <c r="U77" s="28">
        <f t="shared" si="63"/>
        <v>572.24267298585107</v>
      </c>
      <c r="V77" s="28">
        <f t="shared" si="63"/>
        <v>535.44458893748003</v>
      </c>
      <c r="W77" s="28">
        <f t="shared" si="63"/>
        <v>629.04670116989894</v>
      </c>
      <c r="X77" s="28">
        <f t="shared" si="63"/>
        <v>683.40950008467019</v>
      </c>
      <c r="Y77" s="28">
        <f t="shared" si="63"/>
        <v>709.0580926553049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408.1392519378245</v>
      </c>
      <c r="C78" s="137">
        <f t="shared" si="64"/>
        <v>472.42158220871511</v>
      </c>
      <c r="D78" s="137">
        <f t="shared" si="64"/>
        <v>552.14852285995221</v>
      </c>
      <c r="E78" s="137">
        <f t="shared" si="64"/>
        <v>537.09642165848936</v>
      </c>
      <c r="F78" s="137">
        <f t="shared" si="64"/>
        <v>563.7500039534923</v>
      </c>
      <c r="G78" s="137">
        <f t="shared" si="64"/>
        <v>559.15540192179253</v>
      </c>
      <c r="H78" s="137">
        <f t="shared" si="64"/>
        <v>564.33955458378011</v>
      </c>
      <c r="I78" s="137">
        <f t="shared" si="64"/>
        <v>601.29228654497058</v>
      </c>
      <c r="J78" s="137">
        <f t="shared" si="64"/>
        <v>592.96621123199725</v>
      </c>
      <c r="K78" s="137">
        <f t="shared" si="64"/>
        <v>458.47215802069331</v>
      </c>
      <c r="L78" s="137">
        <f t="shared" si="64"/>
        <v>512.00360204648814</v>
      </c>
      <c r="M78" s="137">
        <f t="shared" si="64"/>
        <v>566.89472920054754</v>
      </c>
      <c r="N78" s="137">
        <f t="shared" si="64"/>
        <v>568.15779227793143</v>
      </c>
      <c r="O78" s="137">
        <f t="shared" si="64"/>
        <v>548.26657311658698</v>
      </c>
      <c r="P78" s="137">
        <f t="shared" si="64"/>
        <v>532.78218354093997</v>
      </c>
      <c r="Q78" s="137">
        <f t="shared" si="64"/>
        <v>521.91314123477537</v>
      </c>
      <c r="R78" s="137">
        <f t="shared" ref="R78:V78" si="65">R79+R80</f>
        <v>516.60073256339274</v>
      </c>
      <c r="S78" s="137">
        <f t="shared" si="65"/>
        <v>498.31765752788112</v>
      </c>
      <c r="T78" s="137">
        <f t="shared" si="65"/>
        <v>515.65158001303143</v>
      </c>
      <c r="U78" s="137">
        <f t="shared" si="65"/>
        <v>517.51910262849447</v>
      </c>
      <c r="V78" s="137">
        <f t="shared" si="65"/>
        <v>483.39996022690161</v>
      </c>
      <c r="W78" s="137">
        <f t="shared" ref="W78:Y78" si="66">W79+W80</f>
        <v>571.91699105357088</v>
      </c>
      <c r="X78" s="137">
        <f t="shared" si="66"/>
        <v>635.9635909586857</v>
      </c>
      <c r="Y78" s="137">
        <f t="shared" si="66"/>
        <v>658.67721040323636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254.19066918980531</v>
      </c>
      <c r="C79" s="102">
        <f>TrRoad_emi!C$34</f>
        <v>308.83898438769529</v>
      </c>
      <c r="D79" s="102">
        <f>TrRoad_emi!D$34</f>
        <v>332.30726255339852</v>
      </c>
      <c r="E79" s="102">
        <f>TrRoad_emi!E$34</f>
        <v>273.7882189388414</v>
      </c>
      <c r="F79" s="102">
        <f>TrRoad_emi!F$34</f>
        <v>265.58187600116662</v>
      </c>
      <c r="G79" s="102">
        <f>TrRoad_emi!G$34</f>
        <v>245.9945605508502</v>
      </c>
      <c r="H79" s="102">
        <f>TrRoad_emi!H$34</f>
        <v>232.43972353048215</v>
      </c>
      <c r="I79" s="102">
        <f>TrRoad_emi!I$34</f>
        <v>221.96435142218954</v>
      </c>
      <c r="J79" s="102">
        <f>TrRoad_emi!J$34</f>
        <v>214.00245837560598</v>
      </c>
      <c r="K79" s="102">
        <f>TrRoad_emi!K$34</f>
        <v>192.42117594184887</v>
      </c>
      <c r="L79" s="102">
        <f>TrRoad_emi!L$34</f>
        <v>205.61889916548989</v>
      </c>
      <c r="M79" s="102">
        <f>TrRoad_emi!M$34</f>
        <v>216.15592855071441</v>
      </c>
      <c r="N79" s="102">
        <f>TrRoad_emi!N$34</f>
        <v>222.31493884390235</v>
      </c>
      <c r="O79" s="102">
        <f>TrRoad_emi!O$34</f>
        <v>224.79410217124013</v>
      </c>
      <c r="P79" s="102">
        <f>TrRoad_emi!P$34</f>
        <v>231.41219734289308</v>
      </c>
      <c r="Q79" s="102">
        <f>TrRoad_emi!Q$34</f>
        <v>230.47670220602546</v>
      </c>
      <c r="R79" s="102">
        <f>TrRoad_emi!R$34</f>
        <v>240.14503307251005</v>
      </c>
      <c r="S79" s="102">
        <f>TrRoad_emi!S$34</f>
        <v>260.74311952809853</v>
      </c>
      <c r="T79" s="102">
        <f>TrRoad_emi!T$34</f>
        <v>280.97855930117771</v>
      </c>
      <c r="U79" s="102">
        <f>TrRoad_emi!U$34</f>
        <v>304.18959066529112</v>
      </c>
      <c r="V79" s="102">
        <f>TrRoad_emi!V$34</f>
        <v>298.96982461675316</v>
      </c>
      <c r="W79" s="102">
        <f>TrRoad_emi!W$34</f>
        <v>330.17070281705844</v>
      </c>
      <c r="X79" s="102">
        <f>TrRoad_emi!X$34</f>
        <v>355.37744944596176</v>
      </c>
      <c r="Y79" s="102">
        <f>TrRoad_emi!Y$34</f>
        <v>376.21835388173338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153.94858274801919</v>
      </c>
      <c r="C80" s="102">
        <f>TrRoad_emi!C$40</f>
        <v>163.58259782101982</v>
      </c>
      <c r="D80" s="102">
        <f>TrRoad_emi!D$40</f>
        <v>219.84126030655369</v>
      </c>
      <c r="E80" s="102">
        <f>TrRoad_emi!E$40</f>
        <v>263.30820271964797</v>
      </c>
      <c r="F80" s="102">
        <f>TrRoad_emi!F$40</f>
        <v>298.16812795232568</v>
      </c>
      <c r="G80" s="102">
        <f>TrRoad_emi!G$40</f>
        <v>313.16084137094231</v>
      </c>
      <c r="H80" s="102">
        <f>TrRoad_emi!H$40</f>
        <v>331.89983105329799</v>
      </c>
      <c r="I80" s="102">
        <f>TrRoad_emi!I$40</f>
        <v>379.32793512278101</v>
      </c>
      <c r="J80" s="102">
        <f>TrRoad_emi!J$40</f>
        <v>378.96375285639124</v>
      </c>
      <c r="K80" s="102">
        <f>TrRoad_emi!K$40</f>
        <v>266.05098207884441</v>
      </c>
      <c r="L80" s="102">
        <f>TrRoad_emi!L$40</f>
        <v>306.38470288099819</v>
      </c>
      <c r="M80" s="102">
        <f>TrRoad_emi!M$40</f>
        <v>350.73880064983314</v>
      </c>
      <c r="N80" s="102">
        <f>TrRoad_emi!N$40</f>
        <v>345.84285343402905</v>
      </c>
      <c r="O80" s="102">
        <f>TrRoad_emi!O$40</f>
        <v>323.47247094534686</v>
      </c>
      <c r="P80" s="102">
        <f>TrRoad_emi!P$40</f>
        <v>301.36998619804689</v>
      </c>
      <c r="Q80" s="102">
        <f>TrRoad_emi!Q$40</f>
        <v>291.43643902874993</v>
      </c>
      <c r="R80" s="102">
        <f>TrRoad_emi!R$40</f>
        <v>276.45569949088275</v>
      </c>
      <c r="S80" s="102">
        <f>TrRoad_emi!S$40</f>
        <v>237.57453799978262</v>
      </c>
      <c r="T80" s="102">
        <f>TrRoad_emi!T$40</f>
        <v>234.67302071185372</v>
      </c>
      <c r="U80" s="102">
        <f>TrRoad_emi!U$40</f>
        <v>213.32951196320329</v>
      </c>
      <c r="V80" s="102">
        <f>TrRoad_emi!V$40</f>
        <v>184.43013561014845</v>
      </c>
      <c r="W80" s="102">
        <f>TrRoad_emi!W$40</f>
        <v>241.74628823651238</v>
      </c>
      <c r="X80" s="102">
        <f>TrRoad_emi!X$40</f>
        <v>280.586141512724</v>
      </c>
      <c r="Y80" s="102">
        <f>TrRoad_emi!Y$40</f>
        <v>282.45885652150304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125.37011030770003</v>
      </c>
      <c r="C81" s="110">
        <f>TrRail_emi!C$15</f>
        <v>120.1900384908095</v>
      </c>
      <c r="D81" s="110">
        <f>TrRail_emi!D$15</f>
        <v>154.76770559369388</v>
      </c>
      <c r="E81" s="110">
        <f>TrRail_emi!E$15</f>
        <v>136.35264955211471</v>
      </c>
      <c r="F81" s="110">
        <f>TrRail_emi!F$15</f>
        <v>117.24523702607142</v>
      </c>
      <c r="G81" s="110">
        <f>TrRail_emi!G$15</f>
        <v>125.86830073822429</v>
      </c>
      <c r="H81" s="110">
        <f>TrRail_emi!H$15</f>
        <v>131.29496658190513</v>
      </c>
      <c r="I81" s="110">
        <f>TrRail_emi!I$15</f>
        <v>107.63804892051158</v>
      </c>
      <c r="J81" s="110">
        <f>TrRail_emi!J$15</f>
        <v>75.630976371128625</v>
      </c>
      <c r="K81" s="110">
        <f>TrRail_emi!K$15</f>
        <v>104.08635368094357</v>
      </c>
      <c r="L81" s="110">
        <f>TrRail_emi!L$15</f>
        <v>150.25067878293146</v>
      </c>
      <c r="M81" s="110">
        <f>TrRail_emi!M$15</f>
        <v>100.06799051042795</v>
      </c>
      <c r="N81" s="110">
        <f>TrRail_emi!N$15</f>
        <v>88.95896086410923</v>
      </c>
      <c r="O81" s="110">
        <f>TrRail_emi!O$15</f>
        <v>74.942973842427406</v>
      </c>
      <c r="P81" s="110">
        <f>TrRail_emi!P$15</f>
        <v>55.175943630268975</v>
      </c>
      <c r="Q81" s="110">
        <f>TrRail_emi!Q$15</f>
        <v>52.030738025212138</v>
      </c>
      <c r="R81" s="110">
        <f>TrRail_emi!R$15</f>
        <v>39.501524641111054</v>
      </c>
      <c r="S81" s="110">
        <f>TrRail_emi!S$15</f>
        <v>39.838988856711474</v>
      </c>
      <c r="T81" s="110">
        <f>TrRail_emi!T$15</f>
        <v>34.421476866909032</v>
      </c>
      <c r="U81" s="110">
        <f>TrRail_emi!U$15</f>
        <v>35.774320829757933</v>
      </c>
      <c r="V81" s="110">
        <f>TrRail_emi!V$15</f>
        <v>29.814665587120633</v>
      </c>
      <c r="W81" s="110">
        <f>TrRail_emi!W$15</f>
        <v>34.865275711914535</v>
      </c>
      <c r="X81" s="110">
        <f>TrRail_emi!X$15</f>
        <v>26.570778582510187</v>
      </c>
      <c r="Y81" s="110">
        <f>TrRail_emi!Y$15</f>
        <v>28.345676866016301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0.81246821285625137</v>
      </c>
      <c r="C82" s="110">
        <f t="shared" si="67"/>
        <v>0.7376189623279793</v>
      </c>
      <c r="D82" s="110">
        <f t="shared" si="67"/>
        <v>0.67549276144431281</v>
      </c>
      <c r="E82" s="110">
        <f t="shared" si="67"/>
        <v>0.81324335163095418</v>
      </c>
      <c r="F82" s="110">
        <f t="shared" si="67"/>
        <v>1.0527395022708079</v>
      </c>
      <c r="G82" s="110">
        <f t="shared" si="67"/>
        <v>1.4491017379628972</v>
      </c>
      <c r="H82" s="110">
        <f t="shared" si="67"/>
        <v>1.3899965527638245</v>
      </c>
      <c r="I82" s="110">
        <f t="shared" si="67"/>
        <v>1.5259732386164033</v>
      </c>
      <c r="J82" s="110">
        <f t="shared" si="67"/>
        <v>1.7912234284123121</v>
      </c>
      <c r="K82" s="110">
        <f t="shared" si="67"/>
        <v>1.0398086425779254</v>
      </c>
      <c r="L82" s="110">
        <f t="shared" si="67"/>
        <v>1.143394053716515</v>
      </c>
      <c r="M82" s="110">
        <f t="shared" si="67"/>
        <v>1.2361388162940803</v>
      </c>
      <c r="N82" s="110">
        <f t="shared" si="67"/>
        <v>1.699323172713554</v>
      </c>
      <c r="O82" s="110">
        <f t="shared" si="67"/>
        <v>1.8639197669843486</v>
      </c>
      <c r="P82" s="110">
        <f t="shared" si="67"/>
        <v>1.8172993494317755</v>
      </c>
      <c r="Q82" s="110">
        <f t="shared" si="67"/>
        <v>1.7551812253357377</v>
      </c>
      <c r="R82" s="110">
        <f t="shared" si="67"/>
        <v>1.6219780618693558</v>
      </c>
      <c r="S82" s="110">
        <f t="shared" si="67"/>
        <v>1.9775516406815596</v>
      </c>
      <c r="T82" s="110">
        <f t="shared" si="67"/>
        <v>2.085216044924171</v>
      </c>
      <c r="U82" s="110">
        <f t="shared" si="67"/>
        <v>2.2426042475986727</v>
      </c>
      <c r="V82" s="110">
        <f t="shared" si="67"/>
        <v>2.1381334434577068</v>
      </c>
      <c r="W82" s="110">
        <f t="shared" ref="W82:Y82" si="68">W83+W84+W85</f>
        <v>3.7712974044134402</v>
      </c>
      <c r="X82" s="110">
        <f t="shared" si="68"/>
        <v>2.8677635034743241</v>
      </c>
      <c r="Y82" s="110">
        <f t="shared" si="68"/>
        <v>1.7929230660522064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0.6602440873996781</v>
      </c>
      <c r="C84" s="102">
        <f>TrAvia_emi!C$12</f>
        <v>0.59658333945169661</v>
      </c>
      <c r="D84" s="102">
        <f>TrAvia_emi!D$12</f>
        <v>0.57172069173152451</v>
      </c>
      <c r="E84" s="102">
        <f>TrAvia_emi!E$12</f>
        <v>0.67945744714622069</v>
      </c>
      <c r="F84" s="102">
        <f>TrAvia_emi!F$12</f>
        <v>0.90566313997843684</v>
      </c>
      <c r="G84" s="102">
        <f>TrAvia_emi!G$12</f>
        <v>1.1211391417209655</v>
      </c>
      <c r="H84" s="102">
        <f>TrAvia_emi!H$12</f>
        <v>1.2075539808950191</v>
      </c>
      <c r="I84" s="102">
        <f>TrAvia_emi!I$12</f>
        <v>1.4230946167587186</v>
      </c>
      <c r="J84" s="102">
        <f>TrAvia_emi!J$12</f>
        <v>1.7315647397100578</v>
      </c>
      <c r="K84" s="102">
        <f>TrAvia_emi!K$12</f>
        <v>1.0254906165693807</v>
      </c>
      <c r="L84" s="102">
        <f>TrAvia_emi!L$12</f>
        <v>1.104493151087218</v>
      </c>
      <c r="M84" s="102">
        <f>TrAvia_emi!M$12</f>
        <v>1.2173942835712632</v>
      </c>
      <c r="N84" s="102">
        <f>TrAvia_emi!N$12</f>
        <v>1.6790361489000223</v>
      </c>
      <c r="O84" s="102">
        <f>TrAvia_emi!O$12</f>
        <v>1.8435734844009768</v>
      </c>
      <c r="P84" s="102">
        <f>TrAvia_emi!P$12</f>
        <v>1.7966787257452799</v>
      </c>
      <c r="Q84" s="102">
        <f>TrAvia_emi!Q$12</f>
        <v>1.7324415052960074</v>
      </c>
      <c r="R84" s="102">
        <f>TrAvia_emi!R$12</f>
        <v>1.4835276530050612</v>
      </c>
      <c r="S84" s="102">
        <f>TrAvia_emi!S$12</f>
        <v>1.9201917275908373</v>
      </c>
      <c r="T84" s="102">
        <f>TrAvia_emi!T$12</f>
        <v>2.0533926045405808</v>
      </c>
      <c r="U84" s="102">
        <f>TrAvia_emi!U$12</f>
        <v>2.1516197904634771</v>
      </c>
      <c r="V84" s="102">
        <f>TrAvia_emi!V$12</f>
        <v>2.078700698062272</v>
      </c>
      <c r="W84" s="102">
        <f>TrAvia_emi!W$12</f>
        <v>3.3417879630458391</v>
      </c>
      <c r="X84" s="102">
        <f>TrAvia_emi!X$12</f>
        <v>2.6196507003094367</v>
      </c>
      <c r="Y84" s="102">
        <f>TrAvia_emi!Y$12</f>
        <v>1.7835768620997126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0.15222412545657327</v>
      </c>
      <c r="C85" s="102">
        <f>TrAvia_emi!C$13</f>
        <v>0.14103562287628266</v>
      </c>
      <c r="D85" s="102">
        <f>TrAvia_emi!D$13</f>
        <v>0.10377206971278834</v>
      </c>
      <c r="E85" s="102">
        <f>TrAvia_emi!E$13</f>
        <v>0.13378590448473351</v>
      </c>
      <c r="F85" s="102">
        <f>TrAvia_emi!F$13</f>
        <v>0.14707636229237098</v>
      </c>
      <c r="G85" s="102">
        <f>TrAvia_emi!G$13</f>
        <v>0.32796259624193158</v>
      </c>
      <c r="H85" s="102">
        <f>TrAvia_emi!H$13</f>
        <v>0.18244257186880539</v>
      </c>
      <c r="I85" s="102">
        <f>TrAvia_emi!I$13</f>
        <v>0.10287862185768465</v>
      </c>
      <c r="J85" s="102">
        <f>TrAvia_emi!J$13</f>
        <v>5.9658688702254249E-2</v>
      </c>
      <c r="K85" s="102">
        <f>TrAvia_emi!K$13</f>
        <v>1.4318026008544628E-2</v>
      </c>
      <c r="L85" s="102">
        <f>TrAvia_emi!L$13</f>
        <v>3.8900902629296928E-2</v>
      </c>
      <c r="M85" s="102">
        <f>TrAvia_emi!M$13</f>
        <v>1.8744532722817103E-2</v>
      </c>
      <c r="N85" s="102">
        <f>TrAvia_emi!N$13</f>
        <v>2.0287023813531709E-2</v>
      </c>
      <c r="O85" s="102">
        <f>TrAvia_emi!O$13</f>
        <v>2.0346282583371785E-2</v>
      </c>
      <c r="P85" s="102">
        <f>TrAvia_emi!P$13</f>
        <v>2.0620623686495695E-2</v>
      </c>
      <c r="Q85" s="102">
        <f>TrAvia_emi!Q$13</f>
        <v>2.2739720039730422E-2</v>
      </c>
      <c r="R85" s="102">
        <f>TrAvia_emi!R$13</f>
        <v>0.13845040886429458</v>
      </c>
      <c r="S85" s="102">
        <f>TrAvia_emi!S$13</f>
        <v>5.7359913090722262E-2</v>
      </c>
      <c r="T85" s="102">
        <f>TrAvia_emi!T$13</f>
        <v>3.1823440383590071E-2</v>
      </c>
      <c r="U85" s="102">
        <f>TrAvia_emi!U$13</f>
        <v>9.098445713519579E-2</v>
      </c>
      <c r="V85" s="102">
        <f>TrAvia_emi!V$13</f>
        <v>5.9432745395434798E-2</v>
      </c>
      <c r="W85" s="102">
        <f>TrAvia_emi!W$13</f>
        <v>0.42950944136760105</v>
      </c>
      <c r="X85" s="102">
        <f>TrAvia_emi!X$13</f>
        <v>0.24811280316488757</v>
      </c>
      <c r="Y85" s="102">
        <f>TrAvia_emi!Y$13</f>
        <v>9.3462039524937913E-3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21.941009999999999</v>
      </c>
      <c r="C86" s="110">
        <f t="shared" si="69"/>
        <v>21.941009999999999</v>
      </c>
      <c r="D86" s="110">
        <f t="shared" si="69"/>
        <v>25.07544</v>
      </c>
      <c r="E86" s="110">
        <f t="shared" si="69"/>
        <v>28.209869999999999</v>
      </c>
      <c r="F86" s="110">
        <f t="shared" si="69"/>
        <v>25.07544</v>
      </c>
      <c r="G86" s="110">
        <f t="shared" si="69"/>
        <v>25.07544</v>
      </c>
      <c r="H86" s="110">
        <f t="shared" si="69"/>
        <v>21.941009999999999</v>
      </c>
      <c r="I86" s="110">
        <f t="shared" si="69"/>
        <v>25.07544</v>
      </c>
      <c r="J86" s="110">
        <f t="shared" si="69"/>
        <v>21.941009999999999</v>
      </c>
      <c r="K86" s="110">
        <f t="shared" si="69"/>
        <v>25.07544</v>
      </c>
      <c r="L86" s="110">
        <f t="shared" si="69"/>
        <v>25.07544</v>
      </c>
      <c r="M86" s="110">
        <f t="shared" si="69"/>
        <v>15.67215</v>
      </c>
      <c r="N86" s="110">
        <f t="shared" si="69"/>
        <v>12.53772</v>
      </c>
      <c r="O86" s="110">
        <f t="shared" si="69"/>
        <v>12.53772</v>
      </c>
      <c r="P86" s="110">
        <f t="shared" si="69"/>
        <v>18.806580000000004</v>
      </c>
      <c r="Q86" s="110">
        <f t="shared" si="69"/>
        <v>18.806580000000004</v>
      </c>
      <c r="R86" s="110">
        <f t="shared" ref="R86:V86" si="70">R87+R88</f>
        <v>15.67215</v>
      </c>
      <c r="S86" s="110">
        <f t="shared" si="70"/>
        <v>20.518112160000001</v>
      </c>
      <c r="T86" s="110">
        <f t="shared" si="70"/>
        <v>20.132377200000004</v>
      </c>
      <c r="U86" s="110">
        <f t="shared" si="70"/>
        <v>16.70664528</v>
      </c>
      <c r="V86" s="110">
        <f t="shared" si="70"/>
        <v>20.09182968</v>
      </c>
      <c r="W86" s="110">
        <f t="shared" ref="W86:Y86" si="71">W87+W88</f>
        <v>18.493137000000001</v>
      </c>
      <c r="X86" s="110">
        <f t="shared" si="71"/>
        <v>18.007367040000002</v>
      </c>
      <c r="Y86" s="110">
        <f t="shared" si="71"/>
        <v>20.242282320000001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21.941009999999999</v>
      </c>
      <c r="C87" s="102">
        <f>TrNavi_emi!C$4</f>
        <v>21.941009999999999</v>
      </c>
      <c r="D87" s="102">
        <f>TrNavi_emi!D$4</f>
        <v>25.07544</v>
      </c>
      <c r="E87" s="102">
        <f>TrNavi_emi!E$4</f>
        <v>28.209869999999999</v>
      </c>
      <c r="F87" s="102">
        <f>TrNavi_emi!F$4</f>
        <v>25.07544</v>
      </c>
      <c r="G87" s="102">
        <f>TrNavi_emi!G$4</f>
        <v>25.07544</v>
      </c>
      <c r="H87" s="102">
        <f>TrNavi_emi!H$4</f>
        <v>21.941009999999999</v>
      </c>
      <c r="I87" s="102">
        <f>TrNavi_emi!I$4</f>
        <v>25.07544</v>
      </c>
      <c r="J87" s="102">
        <f>TrNavi_emi!J$4</f>
        <v>21.941009999999999</v>
      </c>
      <c r="K87" s="102">
        <f>TrNavi_emi!K$4</f>
        <v>25.07544</v>
      </c>
      <c r="L87" s="102">
        <f>TrNavi_emi!L$4</f>
        <v>25.07544</v>
      </c>
      <c r="M87" s="102">
        <f>TrNavi_emi!M$4</f>
        <v>15.67215</v>
      </c>
      <c r="N87" s="102">
        <f>TrNavi_emi!N$4</f>
        <v>12.53772</v>
      </c>
      <c r="O87" s="102">
        <f>TrNavi_emi!O$4</f>
        <v>12.53772</v>
      </c>
      <c r="P87" s="102">
        <f>TrNavi_emi!P$4</f>
        <v>18.806580000000004</v>
      </c>
      <c r="Q87" s="102">
        <f>TrNavi_emi!Q$4</f>
        <v>18.806580000000004</v>
      </c>
      <c r="R87" s="102">
        <f>TrNavi_emi!R$4</f>
        <v>15.67215</v>
      </c>
      <c r="S87" s="102">
        <f>TrNavi_emi!S$4</f>
        <v>20.518112160000001</v>
      </c>
      <c r="T87" s="102">
        <f>TrNavi_emi!T$4</f>
        <v>20.132377200000004</v>
      </c>
      <c r="U87" s="102">
        <f>TrNavi_emi!U$4</f>
        <v>16.70664528</v>
      </c>
      <c r="V87" s="102">
        <f>TrNavi_emi!V$4</f>
        <v>20.09182968</v>
      </c>
      <c r="W87" s="102">
        <f>TrNavi_emi!W$4</f>
        <v>18.493137000000001</v>
      </c>
      <c r="X87" s="102">
        <f>TrNavi_emi!X$4</f>
        <v>18.007367040000002</v>
      </c>
      <c r="Y87" s="102">
        <f>TrNavi_emi!Y$4</f>
        <v>20.242282320000001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331.37688384</v>
      </c>
      <c r="C89" s="28">
        <f t="shared" si="72"/>
        <v>316.19771711999999</v>
      </c>
      <c r="D89" s="28">
        <f t="shared" si="72"/>
        <v>371.75438808000001</v>
      </c>
      <c r="E89" s="28">
        <f t="shared" si="72"/>
        <v>353.00939615999999</v>
      </c>
      <c r="F89" s="28">
        <f t="shared" si="72"/>
        <v>473.21780904000019</v>
      </c>
      <c r="G89" s="28">
        <f t="shared" si="72"/>
        <v>377.65344096000001</v>
      </c>
      <c r="H89" s="28">
        <f t="shared" si="72"/>
        <v>669.56757192000009</v>
      </c>
      <c r="I89" s="28">
        <f t="shared" si="72"/>
        <v>779.32458287999987</v>
      </c>
      <c r="J89" s="28">
        <f t="shared" si="72"/>
        <v>794.01020903999995</v>
      </c>
      <c r="K89" s="28">
        <f t="shared" si="72"/>
        <v>707.66408808000006</v>
      </c>
      <c r="L89" s="28">
        <f t="shared" si="72"/>
        <v>695.74280615999999</v>
      </c>
      <c r="M89" s="28">
        <f t="shared" si="72"/>
        <v>588.24742104000006</v>
      </c>
      <c r="N89" s="28">
        <f t="shared" si="72"/>
        <v>1256.1399561600003</v>
      </c>
      <c r="O89" s="28">
        <f t="shared" si="72"/>
        <v>1315.3433140800003</v>
      </c>
      <c r="P89" s="28">
        <f t="shared" si="72"/>
        <v>1009.73299896</v>
      </c>
      <c r="Q89" s="28">
        <f t="shared" si="72"/>
        <v>910.67126903999997</v>
      </c>
      <c r="R89" s="28">
        <f t="shared" si="72"/>
        <v>854.87154408000026</v>
      </c>
      <c r="S89" s="28">
        <f t="shared" si="72"/>
        <v>1013.2586481600001</v>
      </c>
      <c r="T89" s="28">
        <f t="shared" si="72"/>
        <v>955.94796871095127</v>
      </c>
      <c r="U89" s="28">
        <f t="shared" si="72"/>
        <v>567.39295263198483</v>
      </c>
      <c r="V89" s="28">
        <f t="shared" si="72"/>
        <v>915.12209551361343</v>
      </c>
      <c r="W89" s="28">
        <f t="shared" si="72"/>
        <v>941.01803690592908</v>
      </c>
      <c r="X89" s="28">
        <f t="shared" ref="X89:Y89" si="73">X90+X91</f>
        <v>937.73059363194943</v>
      </c>
      <c r="Y89" s="28">
        <f t="shared" si="73"/>
        <v>736.60363914399011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186.76578541406775</v>
      </c>
      <c r="C90" s="102">
        <f>MBunk_emi!C$4</f>
        <v>178.0125185351429</v>
      </c>
      <c r="D90" s="102">
        <f>MBunk_emi!D$4</f>
        <v>208.75414232410466</v>
      </c>
      <c r="E90" s="102">
        <f>MBunk_emi!E$4</f>
        <v>204.90740045235376</v>
      </c>
      <c r="F90" s="102">
        <f>MBunk_emi!F$4</f>
        <v>251.17079971990358</v>
      </c>
      <c r="G90" s="102">
        <f>MBunk_emi!G$4</f>
        <v>180.83238850342755</v>
      </c>
      <c r="H90" s="102">
        <f>MBunk_emi!H$4</f>
        <v>325.91500149454083</v>
      </c>
      <c r="I90" s="102">
        <f>MBunk_emi!I$4</f>
        <v>378.38665857900446</v>
      </c>
      <c r="J90" s="102">
        <f>MBunk_emi!J$4</f>
        <v>377.94645235682924</v>
      </c>
      <c r="K90" s="102">
        <f>MBunk_emi!K$4</f>
        <v>322.7561767205014</v>
      </c>
      <c r="L90" s="102">
        <f>MBunk_emi!L$4</f>
        <v>311.27425882246655</v>
      </c>
      <c r="M90" s="102">
        <f>MBunk_emi!M$4</f>
        <v>271.90783257147933</v>
      </c>
      <c r="N90" s="102">
        <f>MBunk_emi!N$4</f>
        <v>469.11543817042406</v>
      </c>
      <c r="O90" s="102">
        <f>MBunk_emi!O$4</f>
        <v>648.2017281691061</v>
      </c>
      <c r="P90" s="102">
        <f>MBunk_emi!P$4</f>
        <v>496.49945649501569</v>
      </c>
      <c r="Q90" s="102">
        <f>MBunk_emi!Q$4</f>
        <v>414.86352738073811</v>
      </c>
      <c r="R90" s="102">
        <f>MBunk_emi!R$4</f>
        <v>380.31910322832977</v>
      </c>
      <c r="S90" s="102">
        <f>MBunk_emi!S$4</f>
        <v>464.13048443085643</v>
      </c>
      <c r="T90" s="102">
        <f>MBunk_emi!T$4</f>
        <v>437.61928677604948</v>
      </c>
      <c r="U90" s="102">
        <f>MBunk_emi!U$4</f>
        <v>249.71277499073801</v>
      </c>
      <c r="V90" s="102">
        <f>MBunk_emi!V$4</f>
        <v>319.57124427158237</v>
      </c>
      <c r="W90" s="102">
        <f>MBunk_emi!W$4</f>
        <v>362.36892086655871</v>
      </c>
      <c r="X90" s="102">
        <f>MBunk_emi!X$4</f>
        <v>467.38679931248947</v>
      </c>
      <c r="Y90" s="102">
        <f>MBunk_emi!Y$4</f>
        <v>441.57199523115196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144.61109842593225</v>
      </c>
      <c r="C91" s="86">
        <f>MBunk_emi!C$5</f>
        <v>138.18519858485712</v>
      </c>
      <c r="D91" s="86">
        <f>MBunk_emi!D$5</f>
        <v>163.00024575589538</v>
      </c>
      <c r="E91" s="86">
        <f>MBunk_emi!E$5</f>
        <v>148.10199570764624</v>
      </c>
      <c r="F91" s="86">
        <f>MBunk_emi!F$5</f>
        <v>222.04700932009661</v>
      </c>
      <c r="G91" s="86">
        <f>MBunk_emi!G$5</f>
        <v>196.82105245657249</v>
      </c>
      <c r="H91" s="86">
        <f>MBunk_emi!H$5</f>
        <v>343.6525704254592</v>
      </c>
      <c r="I91" s="86">
        <f>MBunk_emi!I$5</f>
        <v>400.93792430099541</v>
      </c>
      <c r="J91" s="86">
        <f>MBunk_emi!J$5</f>
        <v>416.06375668317071</v>
      </c>
      <c r="K91" s="86">
        <f>MBunk_emi!K$5</f>
        <v>384.90791135949866</v>
      </c>
      <c r="L91" s="86">
        <f>MBunk_emi!L$5</f>
        <v>384.46854733753344</v>
      </c>
      <c r="M91" s="86">
        <f>MBunk_emi!M$5</f>
        <v>316.33958846852067</v>
      </c>
      <c r="N91" s="86">
        <f>MBunk_emi!N$5</f>
        <v>787.02451798957622</v>
      </c>
      <c r="O91" s="86">
        <f>MBunk_emi!O$5</f>
        <v>667.14158591089404</v>
      </c>
      <c r="P91" s="86">
        <f>MBunk_emi!P$5</f>
        <v>513.23354246498434</v>
      </c>
      <c r="Q91" s="86">
        <f>MBunk_emi!Q$5</f>
        <v>495.80774165926192</v>
      </c>
      <c r="R91" s="86">
        <f>MBunk_emi!R$5</f>
        <v>474.5524408516705</v>
      </c>
      <c r="S91" s="86">
        <f>MBunk_emi!S$5</f>
        <v>549.12816372914369</v>
      </c>
      <c r="T91" s="86">
        <f>MBunk_emi!T$5</f>
        <v>518.32868193490174</v>
      </c>
      <c r="U91" s="86">
        <f>MBunk_emi!U$5</f>
        <v>317.68017764124676</v>
      </c>
      <c r="V91" s="86">
        <f>MBunk_emi!V$5</f>
        <v>595.55085124203106</v>
      </c>
      <c r="W91" s="86">
        <f>MBunk_emi!W$5</f>
        <v>578.64911603937037</v>
      </c>
      <c r="X91" s="86">
        <f>MBunk_emi!X$5</f>
        <v>470.3437943194599</v>
      </c>
      <c r="Y91" s="86">
        <f>MBunk_emi!Y$5</f>
        <v>295.03164391283815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0.91343598374204082</v>
      </c>
      <c r="C97" s="139">
        <f t="shared" si="75"/>
        <v>0.92897491859572801</v>
      </c>
      <c r="D97" s="139">
        <f t="shared" si="75"/>
        <v>0.92803277504099901</v>
      </c>
      <c r="E97" s="139">
        <f t="shared" si="75"/>
        <v>0.92470087757024444</v>
      </c>
      <c r="F97" s="139">
        <f t="shared" si="75"/>
        <v>0.90970472830640758</v>
      </c>
      <c r="G97" s="139">
        <f t="shared" si="75"/>
        <v>0.89718393652844308</v>
      </c>
      <c r="H97" s="139">
        <f t="shared" si="75"/>
        <v>0.89611269075122169</v>
      </c>
      <c r="I97" s="139">
        <f t="shared" si="75"/>
        <v>0.89012010010927678</v>
      </c>
      <c r="J97" s="139">
        <f t="shared" si="75"/>
        <v>0.89165761313045566</v>
      </c>
      <c r="K97" s="139">
        <f t="shared" si="75"/>
        <v>0.92042477044198479</v>
      </c>
      <c r="L97" s="139">
        <f t="shared" si="75"/>
        <v>0.91116351782414606</v>
      </c>
      <c r="M97" s="139">
        <f t="shared" si="75"/>
        <v>0.89466813829376524</v>
      </c>
      <c r="N97" s="139">
        <f t="shared" si="75"/>
        <v>0.88231606860442702</v>
      </c>
      <c r="O97" s="139">
        <f t="shared" si="75"/>
        <v>0.90446486421282135</v>
      </c>
      <c r="P97" s="139">
        <f t="shared" si="75"/>
        <v>0.90306147672251158</v>
      </c>
      <c r="Q97" s="139">
        <f t="shared" si="75"/>
        <v>0.89852853884413275</v>
      </c>
      <c r="R97" s="139">
        <f t="shared" si="75"/>
        <v>0.9032942968019636</v>
      </c>
      <c r="S97" s="139">
        <f t="shared" si="75"/>
        <v>0.89142519660232578</v>
      </c>
      <c r="T97" s="139">
        <f t="shared" si="75"/>
        <v>0.87706692198052039</v>
      </c>
      <c r="U97" s="139">
        <f t="shared" si="75"/>
        <v>0.87473933723393227</v>
      </c>
      <c r="V97" s="139">
        <f t="shared" si="75"/>
        <v>0.94222295628077235</v>
      </c>
      <c r="W97" s="139">
        <f t="shared" si="75"/>
        <v>0.91173916217603312</v>
      </c>
      <c r="X97" s="139">
        <f t="shared" si="75"/>
        <v>0.86816309078532927</v>
      </c>
      <c r="Y97" s="139">
        <f t="shared" si="75"/>
        <v>0.87032559963373413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9.1447776131281489E-4</v>
      </c>
      <c r="C98" s="140">
        <f t="shared" si="76"/>
        <v>9.4738660741817754E-4</v>
      </c>
      <c r="D98" s="140">
        <f t="shared" si="76"/>
        <v>9.9843018976200713E-4</v>
      </c>
      <c r="E98" s="140">
        <f t="shared" si="76"/>
        <v>1.0356263847152354E-3</v>
      </c>
      <c r="F98" s="140">
        <f t="shared" si="76"/>
        <v>1.1065343544894839E-3</v>
      </c>
      <c r="G98" s="140">
        <f t="shared" si="76"/>
        <v>9.9259749266513136E-4</v>
      </c>
      <c r="H98" s="140">
        <f t="shared" si="76"/>
        <v>1.2021864586352364E-3</v>
      </c>
      <c r="I98" s="140">
        <f t="shared" si="76"/>
        <v>1.4194307310027758E-3</v>
      </c>
      <c r="J98" s="140">
        <f t="shared" si="76"/>
        <v>1.6583309841121836E-3</v>
      </c>
      <c r="K98" s="140">
        <f t="shared" si="76"/>
        <v>1.8440398528270852E-3</v>
      </c>
      <c r="L98" s="140">
        <f t="shared" si="76"/>
        <v>1.9956434202111906E-3</v>
      </c>
      <c r="M98" s="140">
        <f t="shared" si="76"/>
        <v>2.2503556764246883E-3</v>
      </c>
      <c r="N98" s="140">
        <f t="shared" si="76"/>
        <v>3.2838770368981709E-3</v>
      </c>
      <c r="O98" s="140">
        <f t="shared" si="76"/>
        <v>3.5460768668070502E-3</v>
      </c>
      <c r="P98" s="140">
        <f t="shared" si="76"/>
        <v>3.6834571469070527E-3</v>
      </c>
      <c r="Q98" s="140">
        <f t="shared" si="76"/>
        <v>3.7030089202340871E-3</v>
      </c>
      <c r="R98" s="140">
        <f t="shared" si="76"/>
        <v>3.7741974490193642E-3</v>
      </c>
      <c r="S98" s="140">
        <f t="shared" si="76"/>
        <v>3.5166298374585065E-3</v>
      </c>
      <c r="T98" s="140">
        <f t="shared" si="76"/>
        <v>3.2845973611741091E-3</v>
      </c>
      <c r="U98" s="140">
        <f t="shared" si="76"/>
        <v>3.292219428453202E-3</v>
      </c>
      <c r="V98" s="140">
        <f t="shared" si="76"/>
        <v>4.0607834456467254E-3</v>
      </c>
      <c r="W98" s="140">
        <f t="shared" si="76"/>
        <v>3.8826507226112686E-3</v>
      </c>
      <c r="X98" s="140">
        <f t="shared" si="76"/>
        <v>3.4074762875898859E-3</v>
      </c>
      <c r="Y98" s="140">
        <f t="shared" si="76"/>
        <v>3.4632784702984835E-3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0.6548000989400794</v>
      </c>
      <c r="C99" s="140">
        <f t="shared" si="77"/>
        <v>0.6816588090316088</v>
      </c>
      <c r="D99" s="140">
        <f t="shared" si="77"/>
        <v>0.6969946292157847</v>
      </c>
      <c r="E99" s="140">
        <f t="shared" si="77"/>
        <v>0.71065393301810442</v>
      </c>
      <c r="F99" s="140">
        <f t="shared" si="77"/>
        <v>0.69041798184656067</v>
      </c>
      <c r="G99" s="140">
        <f t="shared" si="77"/>
        <v>0.70369978689491808</v>
      </c>
      <c r="H99" s="140">
        <f t="shared" si="77"/>
        <v>0.69390971198987017</v>
      </c>
      <c r="I99" s="140">
        <f t="shared" si="77"/>
        <v>0.70103389554174811</v>
      </c>
      <c r="J99" s="140">
        <f t="shared" si="77"/>
        <v>0.72145390739879622</v>
      </c>
      <c r="K99" s="140">
        <f t="shared" si="77"/>
        <v>0.76463434843714573</v>
      </c>
      <c r="L99" s="140">
        <f t="shared" si="77"/>
        <v>0.75508556298657525</v>
      </c>
      <c r="M99" s="140">
        <f t="shared" si="77"/>
        <v>0.74401129521065534</v>
      </c>
      <c r="N99" s="140">
        <f t="shared" si="77"/>
        <v>0.74871407215507191</v>
      </c>
      <c r="O99" s="140">
        <f t="shared" si="77"/>
        <v>0.76897828357954756</v>
      </c>
      <c r="P99" s="140">
        <f t="shared" si="77"/>
        <v>0.77087222870806038</v>
      </c>
      <c r="Q99" s="140">
        <f t="shared" si="77"/>
        <v>0.75113886279269892</v>
      </c>
      <c r="R99" s="140">
        <f t="shared" si="77"/>
        <v>0.73203069072699822</v>
      </c>
      <c r="S99" s="140">
        <f t="shared" si="77"/>
        <v>0.72819879550510835</v>
      </c>
      <c r="T99" s="140">
        <f t="shared" si="77"/>
        <v>0.72041311519026019</v>
      </c>
      <c r="U99" s="140">
        <f t="shared" si="77"/>
        <v>0.71214788816576113</v>
      </c>
      <c r="V99" s="140">
        <f t="shared" si="77"/>
        <v>0.84323148449208163</v>
      </c>
      <c r="W99" s="140">
        <f t="shared" si="77"/>
        <v>0.8265931522794101</v>
      </c>
      <c r="X99" s="140">
        <f t="shared" si="77"/>
        <v>0.75837322837897836</v>
      </c>
      <c r="Y99" s="140">
        <f t="shared" si="77"/>
        <v>0.74229499076158323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0.25772140704064866</v>
      </c>
      <c r="C100" s="140">
        <f t="shared" si="78"/>
        <v>0.24636872295670098</v>
      </c>
      <c r="D100" s="140">
        <f t="shared" si="78"/>
        <v>0.23003971563545234</v>
      </c>
      <c r="E100" s="140">
        <f t="shared" si="78"/>
        <v>0.21301131816742483</v>
      </c>
      <c r="F100" s="140">
        <f t="shared" si="78"/>
        <v>0.21818021210535751</v>
      </c>
      <c r="G100" s="140">
        <f t="shared" si="78"/>
        <v>0.19249155214085992</v>
      </c>
      <c r="H100" s="140">
        <f t="shared" si="78"/>
        <v>0.20100079230271622</v>
      </c>
      <c r="I100" s="140">
        <f t="shared" si="78"/>
        <v>0.18766677383652589</v>
      </c>
      <c r="J100" s="140">
        <f t="shared" si="78"/>
        <v>0.1685453747475473</v>
      </c>
      <c r="K100" s="140">
        <f t="shared" si="78"/>
        <v>0.15394638215201201</v>
      </c>
      <c r="L100" s="140">
        <f t="shared" si="78"/>
        <v>0.15408231141735956</v>
      </c>
      <c r="M100" s="140">
        <f t="shared" si="78"/>
        <v>0.14840648740668522</v>
      </c>
      <c r="N100" s="140">
        <f t="shared" si="78"/>
        <v>0.13031811941245705</v>
      </c>
      <c r="O100" s="140">
        <f t="shared" si="78"/>
        <v>0.13194050376646663</v>
      </c>
      <c r="P100" s="140">
        <f t="shared" si="78"/>
        <v>0.12850579086754421</v>
      </c>
      <c r="Q100" s="140">
        <f t="shared" si="78"/>
        <v>0.14368666713119982</v>
      </c>
      <c r="R100" s="140">
        <f t="shared" si="78"/>
        <v>0.16748940862594591</v>
      </c>
      <c r="S100" s="140">
        <f t="shared" si="78"/>
        <v>0.15970977125975888</v>
      </c>
      <c r="T100" s="140">
        <f t="shared" si="78"/>
        <v>0.15336920942908613</v>
      </c>
      <c r="U100" s="140">
        <f t="shared" si="78"/>
        <v>0.15929922963971796</v>
      </c>
      <c r="V100" s="140">
        <f t="shared" si="78"/>
        <v>9.493068834304394E-2</v>
      </c>
      <c r="W100" s="140">
        <f t="shared" si="78"/>
        <v>8.1263359174011701E-2</v>
      </c>
      <c r="X100" s="140">
        <f t="shared" si="78"/>
        <v>0.10638238611876101</v>
      </c>
      <c r="Y100" s="140">
        <f t="shared" si="78"/>
        <v>0.12456733040185244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3.5836014659606549E-2</v>
      </c>
      <c r="C101" s="124">
        <f t="shared" si="79"/>
        <v>2.7054409187454487E-2</v>
      </c>
      <c r="D101" s="124">
        <f t="shared" si="79"/>
        <v>2.6592788586441669E-2</v>
      </c>
      <c r="E101" s="124">
        <f t="shared" si="79"/>
        <v>2.5512579793780108E-2</v>
      </c>
      <c r="F101" s="124">
        <f t="shared" si="79"/>
        <v>2.442487267149486E-2</v>
      </c>
      <c r="G101" s="124">
        <f t="shared" si="79"/>
        <v>2.291329852987482E-2</v>
      </c>
      <c r="H101" s="124">
        <f t="shared" si="79"/>
        <v>2.3414045781600685E-2</v>
      </c>
      <c r="I101" s="124">
        <f t="shared" si="79"/>
        <v>2.4760517190534535E-2</v>
      </c>
      <c r="J101" s="124">
        <f t="shared" si="79"/>
        <v>2.376311138210966E-2</v>
      </c>
      <c r="K101" s="124">
        <f t="shared" si="79"/>
        <v>2.3364822551715514E-2</v>
      </c>
      <c r="L101" s="124">
        <f t="shared" si="79"/>
        <v>2.3837303614017879E-2</v>
      </c>
      <c r="M101" s="124">
        <f t="shared" si="79"/>
        <v>2.2063440429218949E-2</v>
      </c>
      <c r="N101" s="124">
        <f t="shared" si="79"/>
        <v>2.2679148787411816E-2</v>
      </c>
      <c r="O101" s="124">
        <f t="shared" si="79"/>
        <v>2.0428623894737062E-2</v>
      </c>
      <c r="P101" s="124">
        <f t="shared" si="79"/>
        <v>2.2017726591370027E-2</v>
      </c>
      <c r="Q101" s="124">
        <f t="shared" si="79"/>
        <v>2.077919955283607E-2</v>
      </c>
      <c r="R101" s="124">
        <f t="shared" si="79"/>
        <v>2.1265910162481649E-2</v>
      </c>
      <c r="S101" s="124">
        <f t="shared" si="79"/>
        <v>2.3692323874872665E-2</v>
      </c>
      <c r="T101" s="124">
        <f t="shared" si="79"/>
        <v>2.7049792270899223E-2</v>
      </c>
      <c r="U101" s="124">
        <f t="shared" si="79"/>
        <v>2.4218131027383294E-2</v>
      </c>
      <c r="V101" s="124">
        <f t="shared" si="79"/>
        <v>2.3599672395032925E-2</v>
      </c>
      <c r="W101" s="124">
        <f t="shared" si="79"/>
        <v>2.2443135353495278E-2</v>
      </c>
      <c r="X101" s="124">
        <f t="shared" si="79"/>
        <v>2.5375640394224422E-2</v>
      </c>
      <c r="Y101" s="124">
        <f t="shared" si="79"/>
        <v>2.5977717338644929E-2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1.0259859816409094E-2</v>
      </c>
      <c r="C102" s="140">
        <f t="shared" si="80"/>
        <v>8.7695652706245453E-3</v>
      </c>
      <c r="D102" s="140">
        <f t="shared" si="80"/>
        <v>9.1226050320668654E-3</v>
      </c>
      <c r="E102" s="140">
        <f t="shared" si="80"/>
        <v>8.6521358228213909E-3</v>
      </c>
      <c r="F102" s="140">
        <f t="shared" si="80"/>
        <v>7.3698783675928787E-3</v>
      </c>
      <c r="G102" s="140">
        <f t="shared" si="80"/>
        <v>5.3367503226092608E-3</v>
      </c>
      <c r="H102" s="140">
        <f t="shared" si="80"/>
        <v>5.4837425459887184E-3</v>
      </c>
      <c r="I102" s="140">
        <f t="shared" si="80"/>
        <v>5.5521884526906432E-3</v>
      </c>
      <c r="J102" s="140">
        <f t="shared" si="80"/>
        <v>4.9365998937982184E-3</v>
      </c>
      <c r="K102" s="140">
        <f t="shared" si="80"/>
        <v>5.2320651459203437E-3</v>
      </c>
      <c r="L102" s="140">
        <f t="shared" si="80"/>
        <v>5.3713497469204431E-3</v>
      </c>
      <c r="M102" s="140">
        <f t="shared" si="80"/>
        <v>4.6476507398261167E-3</v>
      </c>
      <c r="N102" s="140">
        <f t="shared" si="80"/>
        <v>6.400640276314486E-3</v>
      </c>
      <c r="O102" s="140">
        <f t="shared" si="80"/>
        <v>5.1805246306812691E-3</v>
      </c>
      <c r="P102" s="140">
        <f t="shared" si="80"/>
        <v>3.8060998962353293E-3</v>
      </c>
      <c r="Q102" s="140">
        <f t="shared" si="80"/>
        <v>3.3589423253993834E-3</v>
      </c>
      <c r="R102" s="140">
        <f t="shared" si="80"/>
        <v>3.2513924205487391E-3</v>
      </c>
      <c r="S102" s="140">
        <f t="shared" si="80"/>
        <v>3.3180553907068409E-3</v>
      </c>
      <c r="T102" s="140">
        <f t="shared" si="80"/>
        <v>4.5304400413467925E-3</v>
      </c>
      <c r="U102" s="140">
        <f t="shared" si="80"/>
        <v>4.4130888393815685E-3</v>
      </c>
      <c r="V102" s="140">
        <f t="shared" si="80"/>
        <v>5.4288055579000578E-3</v>
      </c>
      <c r="W102" s="140">
        <f t="shared" si="80"/>
        <v>4.1462610053094144E-3</v>
      </c>
      <c r="X102" s="140">
        <f t="shared" si="80"/>
        <v>4.6736172167579377E-3</v>
      </c>
      <c r="Y102" s="140">
        <f t="shared" si="80"/>
        <v>5.3345529178667837E-3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2.5576154843197453E-2</v>
      </c>
      <c r="C103" s="140">
        <f t="shared" si="81"/>
        <v>1.8284843916829937E-2</v>
      </c>
      <c r="D103" s="140">
        <f t="shared" si="81"/>
        <v>1.74701835543748E-2</v>
      </c>
      <c r="E103" s="140">
        <f t="shared" si="81"/>
        <v>1.6860443970958719E-2</v>
      </c>
      <c r="F103" s="140">
        <f t="shared" si="81"/>
        <v>1.7054994303901984E-2</v>
      </c>
      <c r="G103" s="140">
        <f t="shared" si="81"/>
        <v>1.757654820726556E-2</v>
      </c>
      <c r="H103" s="140">
        <f t="shared" si="81"/>
        <v>1.7930303235611966E-2</v>
      </c>
      <c r="I103" s="140">
        <f t="shared" si="81"/>
        <v>1.9208328737843894E-2</v>
      </c>
      <c r="J103" s="140">
        <f t="shared" si="81"/>
        <v>1.8826511488311441E-2</v>
      </c>
      <c r="K103" s="140">
        <f t="shared" si="81"/>
        <v>1.8132757405795171E-2</v>
      </c>
      <c r="L103" s="140">
        <f t="shared" si="81"/>
        <v>1.8465953867097436E-2</v>
      </c>
      <c r="M103" s="140">
        <f t="shared" si="81"/>
        <v>1.7415789689392832E-2</v>
      </c>
      <c r="N103" s="140">
        <f t="shared" si="81"/>
        <v>1.6278508511097328E-2</v>
      </c>
      <c r="O103" s="140">
        <f t="shared" si="81"/>
        <v>1.5248099264055792E-2</v>
      </c>
      <c r="P103" s="140">
        <f t="shared" si="81"/>
        <v>1.8211626695134698E-2</v>
      </c>
      <c r="Q103" s="140">
        <f t="shared" si="81"/>
        <v>1.7420257227436689E-2</v>
      </c>
      <c r="R103" s="140">
        <f t="shared" si="81"/>
        <v>1.8014517741932912E-2</v>
      </c>
      <c r="S103" s="140">
        <f t="shared" si="81"/>
        <v>2.0374268484165823E-2</v>
      </c>
      <c r="T103" s="140">
        <f t="shared" si="81"/>
        <v>2.2519352229552432E-2</v>
      </c>
      <c r="U103" s="140">
        <f t="shared" si="81"/>
        <v>1.9805042188001727E-2</v>
      </c>
      <c r="V103" s="140">
        <f t="shared" si="81"/>
        <v>1.8170866837132867E-2</v>
      </c>
      <c r="W103" s="140">
        <f t="shared" si="81"/>
        <v>1.8296874348185863E-2</v>
      </c>
      <c r="X103" s="140">
        <f t="shared" si="81"/>
        <v>2.0702023177466486E-2</v>
      </c>
      <c r="Y103" s="140">
        <f t="shared" si="81"/>
        <v>2.0643164420778147E-2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5.0728001598352529E-2</v>
      </c>
      <c r="C105" s="124">
        <f t="shared" si="83"/>
        <v>4.3970672216817504E-2</v>
      </c>
      <c r="D105" s="124">
        <f t="shared" si="83"/>
        <v>4.5374436372559279E-2</v>
      </c>
      <c r="E105" s="124">
        <f t="shared" si="83"/>
        <v>4.9786542635975525E-2</v>
      </c>
      <c r="F105" s="124">
        <f t="shared" si="83"/>
        <v>6.5870399022097639E-2</v>
      </c>
      <c r="G105" s="124">
        <f t="shared" si="83"/>
        <v>7.9902764941682136E-2</v>
      </c>
      <c r="H105" s="124">
        <f t="shared" si="83"/>
        <v>8.0473263467177605E-2</v>
      </c>
      <c r="I105" s="124">
        <f t="shared" si="83"/>
        <v>8.5119382700188637E-2</v>
      </c>
      <c r="J105" s="124">
        <f t="shared" si="83"/>
        <v>8.4579275487434755E-2</v>
      </c>
      <c r="K105" s="124">
        <f t="shared" si="83"/>
        <v>5.6210407006299715E-2</v>
      </c>
      <c r="L105" s="124">
        <f t="shared" si="83"/>
        <v>6.4999178561836041E-2</v>
      </c>
      <c r="M105" s="124">
        <f t="shared" si="83"/>
        <v>8.3268421277015753E-2</v>
      </c>
      <c r="N105" s="124">
        <f t="shared" si="83"/>
        <v>9.5004782608161156E-2</v>
      </c>
      <c r="O105" s="124">
        <f t="shared" si="83"/>
        <v>7.5106511892441663E-2</v>
      </c>
      <c r="P105" s="124">
        <f t="shared" si="83"/>
        <v>7.4920796686118438E-2</v>
      </c>
      <c r="Q105" s="124">
        <f t="shared" si="83"/>
        <v>8.0692261603031182E-2</v>
      </c>
      <c r="R105" s="124">
        <f t="shared" si="83"/>
        <v>7.5439793035554814E-2</v>
      </c>
      <c r="S105" s="124">
        <f t="shared" si="83"/>
        <v>8.4882479522801577E-2</v>
      </c>
      <c r="T105" s="124">
        <f t="shared" si="83"/>
        <v>9.588328574858028E-2</v>
      </c>
      <c r="U105" s="124">
        <f t="shared" si="83"/>
        <v>0.10104253173868431</v>
      </c>
      <c r="V105" s="124">
        <f t="shared" si="83"/>
        <v>3.4177371324194683E-2</v>
      </c>
      <c r="W105" s="124">
        <f t="shared" si="83"/>
        <v>6.5817702470471584E-2</v>
      </c>
      <c r="X105" s="124">
        <f t="shared" si="83"/>
        <v>0.10646126882044624</v>
      </c>
      <c r="Y105" s="124">
        <f t="shared" si="83"/>
        <v>0.10369668302762089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4.3349475963604479E-2</v>
      </c>
      <c r="C107" s="140">
        <f t="shared" si="85"/>
        <v>3.7690942029121308E-2</v>
      </c>
      <c r="D107" s="140">
        <f t="shared" si="85"/>
        <v>3.823921777985731E-2</v>
      </c>
      <c r="E107" s="140">
        <f t="shared" si="85"/>
        <v>4.15692541572747E-2</v>
      </c>
      <c r="F107" s="140">
        <f t="shared" si="85"/>
        <v>5.3471157054235149E-2</v>
      </c>
      <c r="G107" s="140">
        <f t="shared" si="85"/>
        <v>6.5579829007865367E-2</v>
      </c>
      <c r="H107" s="140">
        <f t="shared" si="85"/>
        <v>6.6328604203663821E-2</v>
      </c>
      <c r="I107" s="140">
        <f t="shared" si="85"/>
        <v>6.7068198583222813E-2</v>
      </c>
      <c r="J107" s="140">
        <f t="shared" si="85"/>
        <v>6.2643091414925273E-2</v>
      </c>
      <c r="K107" s="140">
        <f t="shared" si="85"/>
        <v>4.0677504306112111E-2</v>
      </c>
      <c r="L107" s="140">
        <f t="shared" si="85"/>
        <v>4.4902022317450566E-2</v>
      </c>
      <c r="M107" s="140">
        <f t="shared" si="85"/>
        <v>6.6269118690763476E-2</v>
      </c>
      <c r="N107" s="140">
        <f t="shared" si="85"/>
        <v>6.8943489986841133E-2</v>
      </c>
      <c r="O107" s="140">
        <f t="shared" si="85"/>
        <v>5.8769900255638836E-2</v>
      </c>
      <c r="P107" s="140">
        <f t="shared" si="85"/>
        <v>5.8224970075857606E-2</v>
      </c>
      <c r="Q107" s="140">
        <f t="shared" si="85"/>
        <v>6.0144219062039456E-2</v>
      </c>
      <c r="R107" s="140">
        <f t="shared" si="85"/>
        <v>6.0849564374123491E-2</v>
      </c>
      <c r="S107" s="140">
        <f t="shared" si="85"/>
        <v>6.8042614978912341E-2</v>
      </c>
      <c r="T107" s="140">
        <f t="shared" si="85"/>
        <v>7.4880816935137706E-2</v>
      </c>
      <c r="U107" s="140">
        <f t="shared" si="85"/>
        <v>7.3451425444316071E-2</v>
      </c>
      <c r="V107" s="140">
        <f t="shared" si="85"/>
        <v>2.6029275990357061E-2</v>
      </c>
      <c r="W107" s="140">
        <f t="shared" si="85"/>
        <v>3.9885510009559352E-2</v>
      </c>
      <c r="X107" s="140">
        <f t="shared" si="85"/>
        <v>7.5135526917974413E-2</v>
      </c>
      <c r="Y107" s="140">
        <f t="shared" si="85"/>
        <v>7.0379239671236646E-2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7.3785256347480557E-3</v>
      </c>
      <c r="C108" s="140">
        <f t="shared" si="86"/>
        <v>6.2797301876961927E-3</v>
      </c>
      <c r="D108" s="140">
        <f t="shared" si="86"/>
        <v>7.1352185927019661E-3</v>
      </c>
      <c r="E108" s="140">
        <f t="shared" si="86"/>
        <v>8.2172884787008287E-3</v>
      </c>
      <c r="F108" s="140">
        <f t="shared" si="86"/>
        <v>1.2399241967862488E-2</v>
      </c>
      <c r="G108" s="140">
        <f t="shared" si="86"/>
        <v>1.4322935933816781E-2</v>
      </c>
      <c r="H108" s="140">
        <f t="shared" si="86"/>
        <v>1.4144659263513786E-2</v>
      </c>
      <c r="I108" s="140">
        <f t="shared" si="86"/>
        <v>1.8051184116965827E-2</v>
      </c>
      <c r="J108" s="140">
        <f t="shared" si="86"/>
        <v>2.1936184072509482E-2</v>
      </c>
      <c r="K108" s="140">
        <f t="shared" si="86"/>
        <v>1.5532902700187604E-2</v>
      </c>
      <c r="L108" s="140">
        <f t="shared" si="86"/>
        <v>2.0097156244385475E-2</v>
      </c>
      <c r="M108" s="140">
        <f t="shared" si="86"/>
        <v>1.699930258625227E-2</v>
      </c>
      <c r="N108" s="140">
        <f t="shared" si="86"/>
        <v>2.6061292621320033E-2</v>
      </c>
      <c r="O108" s="140">
        <f t="shared" si="86"/>
        <v>1.6336611636802823E-2</v>
      </c>
      <c r="P108" s="140">
        <f t="shared" si="86"/>
        <v>1.6695826610260835E-2</v>
      </c>
      <c r="Q108" s="140">
        <f t="shared" si="86"/>
        <v>2.054804254099173E-2</v>
      </c>
      <c r="R108" s="140">
        <f t="shared" si="86"/>
        <v>1.459022866143132E-2</v>
      </c>
      <c r="S108" s="140">
        <f t="shared" si="86"/>
        <v>1.6839864543889239E-2</v>
      </c>
      <c r="T108" s="140">
        <f t="shared" si="86"/>
        <v>2.1002468813442567E-2</v>
      </c>
      <c r="U108" s="140">
        <f t="shared" si="86"/>
        <v>2.7591106294368235E-2</v>
      </c>
      <c r="V108" s="140">
        <f t="shared" si="86"/>
        <v>8.1480953338376218E-3</v>
      </c>
      <c r="W108" s="140">
        <f t="shared" si="86"/>
        <v>2.5932192460912228E-2</v>
      </c>
      <c r="X108" s="140">
        <f t="shared" si="86"/>
        <v>3.1325741902471824E-2</v>
      </c>
      <c r="Y108" s="140">
        <f t="shared" si="86"/>
        <v>3.3317443356384244E-2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0.16058649557935273</v>
      </c>
      <c r="C110" s="139">
        <f t="shared" si="88"/>
        <v>0.14305704036837877</v>
      </c>
      <c r="D110" s="139">
        <f t="shared" si="88"/>
        <v>0.14733024273766718</v>
      </c>
      <c r="E110" s="139">
        <f t="shared" si="88"/>
        <v>0.20376678882802673</v>
      </c>
      <c r="F110" s="139">
        <f t="shared" si="88"/>
        <v>0.19135906523081278</v>
      </c>
      <c r="G110" s="139">
        <f t="shared" si="88"/>
        <v>0.2122743846155879</v>
      </c>
      <c r="H110" s="139">
        <f t="shared" si="88"/>
        <v>0.22718747183339683</v>
      </c>
      <c r="I110" s="139">
        <f t="shared" si="88"/>
        <v>0.26919798014057778</v>
      </c>
      <c r="J110" s="139">
        <f t="shared" si="88"/>
        <v>0.33232650254170143</v>
      </c>
      <c r="K110" s="139">
        <f t="shared" si="88"/>
        <v>0.27575247576390333</v>
      </c>
      <c r="L110" s="139">
        <f t="shared" si="88"/>
        <v>0.26209361055544772</v>
      </c>
      <c r="M110" s="139">
        <f t="shared" si="88"/>
        <v>0.29876476016291031</v>
      </c>
      <c r="N110" s="139">
        <f t="shared" si="88"/>
        <v>0.34729757679204221</v>
      </c>
      <c r="O110" s="139">
        <f t="shared" si="88"/>
        <v>0.38046035534102868</v>
      </c>
      <c r="P110" s="139">
        <f t="shared" si="88"/>
        <v>0.46747758792197119</v>
      </c>
      <c r="Q110" s="139">
        <f t="shared" si="88"/>
        <v>0.49653372803534257</v>
      </c>
      <c r="R110" s="139">
        <f t="shared" si="88"/>
        <v>0.59078459005202788</v>
      </c>
      <c r="S110" s="139">
        <f t="shared" si="88"/>
        <v>0.58020743528736096</v>
      </c>
      <c r="T110" s="139">
        <f t="shared" si="88"/>
        <v>0.56355801558285601</v>
      </c>
      <c r="U110" s="139">
        <f t="shared" si="88"/>
        <v>0.60724281376991296</v>
      </c>
      <c r="V110" s="139">
        <f t="shared" si="88"/>
        <v>0.64228438378865194</v>
      </c>
      <c r="W110" s="139">
        <f t="shared" si="88"/>
        <v>0.62550951002643762</v>
      </c>
      <c r="X110" s="139">
        <f t="shared" si="88"/>
        <v>0.7473849178957449</v>
      </c>
      <c r="Y110" s="139">
        <f t="shared" si="88"/>
        <v>0.81532700915309431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2.5575626541260599E-2</v>
      </c>
      <c r="C111" s="140">
        <f t="shared" si="89"/>
        <v>2.496623346941958E-2</v>
      </c>
      <c r="D111" s="140">
        <f t="shared" si="89"/>
        <v>2.1588158220490494E-2</v>
      </c>
      <c r="E111" s="140">
        <f t="shared" si="89"/>
        <v>1.9145612018798913E-2</v>
      </c>
      <c r="F111" s="140">
        <f t="shared" si="89"/>
        <v>1.7162783437841472E-2</v>
      </c>
      <c r="G111" s="140">
        <f t="shared" si="89"/>
        <v>1.5450714300885727E-2</v>
      </c>
      <c r="H111" s="140">
        <f t="shared" si="89"/>
        <v>1.5014653704022614E-2</v>
      </c>
      <c r="I111" s="140">
        <f t="shared" si="89"/>
        <v>1.6824859871079997E-2</v>
      </c>
      <c r="J111" s="140">
        <f t="shared" si="89"/>
        <v>2.2218040045071157E-2</v>
      </c>
      <c r="K111" s="140">
        <f t="shared" si="89"/>
        <v>2.3549692140584975E-2</v>
      </c>
      <c r="L111" s="140">
        <f t="shared" si="89"/>
        <v>2.1416668435013247E-2</v>
      </c>
      <c r="M111" s="140">
        <f t="shared" si="89"/>
        <v>2.2477290469749674E-2</v>
      </c>
      <c r="N111" s="140">
        <f t="shared" si="89"/>
        <v>2.6820285140548794E-2</v>
      </c>
      <c r="O111" s="140">
        <f t="shared" si="89"/>
        <v>3.0077338071054317E-2</v>
      </c>
      <c r="P111" s="140">
        <f t="shared" si="89"/>
        <v>3.950374763803078E-2</v>
      </c>
      <c r="Q111" s="140">
        <f t="shared" si="89"/>
        <v>4.1405829267000899E-2</v>
      </c>
      <c r="R111" s="140">
        <f t="shared" si="89"/>
        <v>4.969946561070971E-2</v>
      </c>
      <c r="S111" s="140">
        <f t="shared" si="89"/>
        <v>5.6695815131732635E-2</v>
      </c>
      <c r="T111" s="140">
        <f t="shared" si="89"/>
        <v>5.8779056287680341E-2</v>
      </c>
      <c r="U111" s="140">
        <f t="shared" si="89"/>
        <v>7.0061296963862985E-2</v>
      </c>
      <c r="V111" s="140">
        <f t="shared" si="89"/>
        <v>8.1836029622196951E-2</v>
      </c>
      <c r="W111" s="140">
        <f t="shared" si="89"/>
        <v>7.4284177711135144E-2</v>
      </c>
      <c r="X111" s="140">
        <f t="shared" si="89"/>
        <v>8.7119962597477785E-2</v>
      </c>
      <c r="Y111" s="140">
        <f t="shared" si="89"/>
        <v>0.10784312042683872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0.13501086903809212</v>
      </c>
      <c r="C112" s="140">
        <f t="shared" si="90"/>
        <v>0.11809080689895919</v>
      </c>
      <c r="D112" s="140">
        <f t="shared" si="90"/>
        <v>0.12574208451717669</v>
      </c>
      <c r="E112" s="140">
        <f t="shared" si="90"/>
        <v>0.18462117680922785</v>
      </c>
      <c r="F112" s="140">
        <f t="shared" si="90"/>
        <v>0.17419628179297131</v>
      </c>
      <c r="G112" s="140">
        <f t="shared" si="90"/>
        <v>0.19682367031470216</v>
      </c>
      <c r="H112" s="140">
        <f t="shared" si="90"/>
        <v>0.21217281812937422</v>
      </c>
      <c r="I112" s="140">
        <f t="shared" si="90"/>
        <v>0.25237312026949776</v>
      </c>
      <c r="J112" s="140">
        <f t="shared" si="90"/>
        <v>0.31010846249663027</v>
      </c>
      <c r="K112" s="140">
        <f t="shared" si="90"/>
        <v>0.25220278362331838</v>
      </c>
      <c r="L112" s="140">
        <f t="shared" si="90"/>
        <v>0.2406769421204345</v>
      </c>
      <c r="M112" s="140">
        <f t="shared" si="90"/>
        <v>0.27628746969316065</v>
      </c>
      <c r="N112" s="140">
        <f t="shared" si="90"/>
        <v>0.32047729165149347</v>
      </c>
      <c r="O112" s="140">
        <f t="shared" si="90"/>
        <v>0.35038301726997434</v>
      </c>
      <c r="P112" s="140">
        <f t="shared" si="90"/>
        <v>0.42797384028394042</v>
      </c>
      <c r="Q112" s="140">
        <f t="shared" si="90"/>
        <v>0.45512789876834164</v>
      </c>
      <c r="R112" s="140">
        <f t="shared" si="90"/>
        <v>0.54108512444131818</v>
      </c>
      <c r="S112" s="140">
        <f t="shared" si="90"/>
        <v>0.52351162015562835</v>
      </c>
      <c r="T112" s="140">
        <f t="shared" si="90"/>
        <v>0.50477895929517558</v>
      </c>
      <c r="U112" s="140">
        <f t="shared" si="90"/>
        <v>0.53718151680604997</v>
      </c>
      <c r="V112" s="140">
        <f t="shared" si="90"/>
        <v>0.56044835416645489</v>
      </c>
      <c r="W112" s="140">
        <f t="shared" si="90"/>
        <v>0.55122533231530246</v>
      </c>
      <c r="X112" s="140">
        <f t="shared" si="90"/>
        <v>0.66026495529826701</v>
      </c>
      <c r="Y112" s="140">
        <f t="shared" si="90"/>
        <v>0.70748388872625556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0.83557483397133747</v>
      </c>
      <c r="C113" s="124">
        <f t="shared" si="91"/>
        <v>0.85319023234736557</v>
      </c>
      <c r="D113" s="124">
        <f t="shared" si="91"/>
        <v>0.84914959457634176</v>
      </c>
      <c r="E113" s="124">
        <f t="shared" si="91"/>
        <v>0.79244125502046014</v>
      </c>
      <c r="F113" s="124">
        <f t="shared" si="91"/>
        <v>0.80379875870650952</v>
      </c>
      <c r="G113" s="124">
        <f t="shared" si="91"/>
        <v>0.78420819098846162</v>
      </c>
      <c r="H113" s="124">
        <f t="shared" si="91"/>
        <v>0.77043310255821651</v>
      </c>
      <c r="I113" s="124">
        <f t="shared" si="91"/>
        <v>0.72475350332821964</v>
      </c>
      <c r="J113" s="124">
        <f t="shared" si="91"/>
        <v>0.66495858393897578</v>
      </c>
      <c r="K113" s="124">
        <f t="shared" si="91"/>
        <v>0.72240466490346233</v>
      </c>
      <c r="L113" s="124">
        <f t="shared" si="91"/>
        <v>0.73597168891946574</v>
      </c>
      <c r="M113" s="124">
        <f t="shared" si="91"/>
        <v>0.69824108654391459</v>
      </c>
      <c r="N113" s="124">
        <f t="shared" si="91"/>
        <v>0.64902014017418075</v>
      </c>
      <c r="O113" s="124">
        <f t="shared" si="91"/>
        <v>0.61528060206339197</v>
      </c>
      <c r="P113" s="124">
        <f t="shared" si="91"/>
        <v>0.52741229081890051</v>
      </c>
      <c r="Q113" s="124">
        <f t="shared" si="91"/>
        <v>0.50020489646134192</v>
      </c>
      <c r="R113" s="124">
        <f t="shared" si="91"/>
        <v>0.40647460956682591</v>
      </c>
      <c r="S113" s="124">
        <f t="shared" si="91"/>
        <v>0.4179033382734148</v>
      </c>
      <c r="T113" s="124">
        <f t="shared" si="91"/>
        <v>0.43343329351556553</v>
      </c>
      <c r="U113" s="124">
        <f t="shared" si="91"/>
        <v>0.38872604725219528</v>
      </c>
      <c r="V113" s="124">
        <f t="shared" si="91"/>
        <v>0.35224107755499839</v>
      </c>
      <c r="W113" s="124">
        <f t="shared" si="91"/>
        <v>0.36922188768139463</v>
      </c>
      <c r="X113" s="124">
        <f t="shared" si="91"/>
        <v>0.24784026051184224</v>
      </c>
      <c r="Y113" s="124">
        <f t="shared" si="91"/>
        <v>0.18140009252010075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3.9323919118652281E-4</v>
      </c>
      <c r="C114" s="124">
        <f t="shared" si="92"/>
        <v>3.7267015248340407E-4</v>
      </c>
      <c r="D114" s="124">
        <f t="shared" si="92"/>
        <v>2.3608954528801261E-4</v>
      </c>
      <c r="E114" s="124">
        <f t="shared" si="92"/>
        <v>2.2539686495656253E-4</v>
      </c>
      <c r="F114" s="124">
        <f t="shared" si="92"/>
        <v>1.9373917177133938E-4</v>
      </c>
      <c r="G114" s="124">
        <f t="shared" si="92"/>
        <v>2.9575061048824861E-4</v>
      </c>
      <c r="H114" s="124">
        <f t="shared" si="92"/>
        <v>2.0863531346507818E-4</v>
      </c>
      <c r="I114" s="124">
        <f t="shared" si="92"/>
        <v>2.0509469084505313E-4</v>
      </c>
      <c r="J114" s="124">
        <f t="shared" si="92"/>
        <v>2.4898347869822205E-4</v>
      </c>
      <c r="K114" s="124">
        <f t="shared" si="92"/>
        <v>1.7806095824344188E-4</v>
      </c>
      <c r="L114" s="124">
        <f t="shared" si="92"/>
        <v>3.1252490282384542E-4</v>
      </c>
      <c r="M114" s="124">
        <f t="shared" si="92"/>
        <v>2.9282543467688843E-4</v>
      </c>
      <c r="N114" s="124">
        <f t="shared" si="92"/>
        <v>4.7172756555718785E-4</v>
      </c>
      <c r="O114" s="124">
        <f t="shared" si="92"/>
        <v>4.5829717381173115E-4</v>
      </c>
      <c r="P114" s="124">
        <f t="shared" si="92"/>
        <v>7.0033249830091238E-4</v>
      </c>
      <c r="Q114" s="124">
        <f t="shared" si="92"/>
        <v>7.7976866376536279E-4</v>
      </c>
      <c r="R114" s="124">
        <f t="shared" si="92"/>
        <v>1.3414159988084299E-3</v>
      </c>
      <c r="S114" s="124">
        <f t="shared" si="92"/>
        <v>1.0570146301035104E-3</v>
      </c>
      <c r="T114" s="124">
        <f t="shared" si="92"/>
        <v>1.0545565628075249E-3</v>
      </c>
      <c r="U114" s="124">
        <f t="shared" si="92"/>
        <v>1.3418041108463445E-3</v>
      </c>
      <c r="V114" s="124">
        <f t="shared" si="92"/>
        <v>1.0223255222334871E-3</v>
      </c>
      <c r="W114" s="124">
        <f t="shared" si="92"/>
        <v>1.5984602419711184E-3</v>
      </c>
      <c r="X114" s="124">
        <f t="shared" si="92"/>
        <v>1.5268807600597517E-3</v>
      </c>
      <c r="Y114" s="124">
        <f t="shared" si="92"/>
        <v>1.1812682068261025E-3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1.3285973218390179E-4</v>
      </c>
      <c r="C116" s="140">
        <f t="shared" si="96"/>
        <v>1.2771778926651779E-4</v>
      </c>
      <c r="D116" s="140">
        <f t="shared" si="96"/>
        <v>9.5466178974748931E-5</v>
      </c>
      <c r="E116" s="140">
        <f t="shared" si="96"/>
        <v>9.2536806592523089E-5</v>
      </c>
      <c r="F116" s="140">
        <f t="shared" si="96"/>
        <v>8.5201300860103852E-5</v>
      </c>
      <c r="G116" s="140">
        <f t="shared" si="96"/>
        <v>9.3010999918272699E-5</v>
      </c>
      <c r="H116" s="140">
        <f t="shared" si="96"/>
        <v>9.4585152538504549E-5</v>
      </c>
      <c r="I116" s="140">
        <f t="shared" si="96"/>
        <v>1.2934251067125939E-4</v>
      </c>
      <c r="J116" s="140">
        <f t="shared" si="96"/>
        <v>1.8445099959998879E-4</v>
      </c>
      <c r="K116" s="140">
        <f t="shared" si="96"/>
        <v>1.5539233584999342E-4</v>
      </c>
      <c r="L116" s="140">
        <f t="shared" si="96"/>
        <v>2.1201408399689964E-4</v>
      </c>
      <c r="M116" s="140">
        <f t="shared" si="96"/>
        <v>2.4898103335932811E-4</v>
      </c>
      <c r="N116" s="140">
        <f t="shared" si="96"/>
        <v>3.8987933556464962E-4</v>
      </c>
      <c r="O116" s="140">
        <f t="shared" si="96"/>
        <v>4.0872411330305185E-4</v>
      </c>
      <c r="P116" s="140">
        <f t="shared" si="96"/>
        <v>6.3091866160529795E-4</v>
      </c>
      <c r="Q116" s="140">
        <f t="shared" si="96"/>
        <v>6.8518551640254469E-4</v>
      </c>
      <c r="R116" s="140">
        <f t="shared" si="94"/>
        <v>8.2058632727243311E-4</v>
      </c>
      <c r="S116" s="140">
        <f t="shared" si="94"/>
        <v>8.555815877455147E-4</v>
      </c>
      <c r="T116" s="140">
        <f t="shared" si="94"/>
        <v>9.4199786172024038E-4</v>
      </c>
      <c r="U116" s="140">
        <f t="shared" si="94"/>
        <v>1.1233573439146287E-3</v>
      </c>
      <c r="V116" s="140">
        <f t="shared" si="94"/>
        <v>9.3227162732416129E-4</v>
      </c>
      <c r="W116" s="140">
        <f t="shared" si="95"/>
        <v>8.8833236544244207E-4</v>
      </c>
      <c r="X116" s="140">
        <f t="shared" si="95"/>
        <v>1.0186112717041028E-3</v>
      </c>
      <c r="Y116" s="140">
        <f t="shared" si="95"/>
        <v>1.1323709707165587E-3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2.6037945900262105E-4</v>
      </c>
      <c r="C117" s="140">
        <f t="shared" si="97"/>
        <v>2.449523632168863E-4</v>
      </c>
      <c r="D117" s="140">
        <f t="shared" si="97"/>
        <v>1.4062336631326367E-4</v>
      </c>
      <c r="E117" s="140">
        <f t="shared" si="97"/>
        <v>1.3286005836403948E-4</v>
      </c>
      <c r="F117" s="140">
        <f t="shared" si="97"/>
        <v>1.0853787091123552E-4</v>
      </c>
      <c r="G117" s="140">
        <f t="shared" si="97"/>
        <v>2.0273961056997588E-4</v>
      </c>
      <c r="H117" s="140">
        <f t="shared" si="97"/>
        <v>1.1405016092657364E-4</v>
      </c>
      <c r="I117" s="140">
        <f t="shared" si="97"/>
        <v>7.5752180173793761E-5</v>
      </c>
      <c r="J117" s="140">
        <f t="shared" si="97"/>
        <v>6.4532479098233279E-5</v>
      </c>
      <c r="K117" s="140">
        <f t="shared" si="97"/>
        <v>2.266862239344849E-5</v>
      </c>
      <c r="L117" s="140">
        <f t="shared" si="97"/>
        <v>1.0051081882694579E-4</v>
      </c>
      <c r="M117" s="140">
        <f t="shared" si="97"/>
        <v>4.3844401317560315E-5</v>
      </c>
      <c r="N117" s="140">
        <f t="shared" si="97"/>
        <v>8.1848229992538191E-5</v>
      </c>
      <c r="O117" s="140">
        <f t="shared" si="97"/>
        <v>4.9573060508679293E-5</v>
      </c>
      <c r="P117" s="140">
        <f t="shared" si="97"/>
        <v>6.9413836695614533E-5</v>
      </c>
      <c r="Q117" s="140">
        <f t="shared" si="97"/>
        <v>9.4583147362818209E-5</v>
      </c>
      <c r="R117" s="140">
        <f t="shared" ref="R117:V120" si="98">IF(R25=0,0,R25/R$17)</f>
        <v>5.2082967153599695E-4</v>
      </c>
      <c r="S117" s="140">
        <f t="shared" si="98"/>
        <v>2.014330423579955E-4</v>
      </c>
      <c r="T117" s="140">
        <f t="shared" si="98"/>
        <v>1.1255870108728454E-4</v>
      </c>
      <c r="U117" s="140">
        <f t="shared" si="98"/>
        <v>2.1844676693171585E-4</v>
      </c>
      <c r="V117" s="140">
        <f t="shared" si="98"/>
        <v>9.0053894909325734E-5</v>
      </c>
      <c r="W117" s="140">
        <f t="shared" si="95"/>
        <v>7.1012787652867642E-4</v>
      </c>
      <c r="X117" s="140">
        <f t="shared" si="95"/>
        <v>5.0826948835564878E-4</v>
      </c>
      <c r="Y117" s="140">
        <f t="shared" si="95"/>
        <v>4.8897236109543886E-5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3.4454312581232338E-3</v>
      </c>
      <c r="C118" s="124">
        <f t="shared" si="99"/>
        <v>3.3800571317723141E-3</v>
      </c>
      <c r="D118" s="124">
        <f t="shared" si="99"/>
        <v>3.2840731407029543E-3</v>
      </c>
      <c r="E118" s="124">
        <f t="shared" si="99"/>
        <v>3.5665592865564079E-3</v>
      </c>
      <c r="F118" s="124">
        <f t="shared" si="99"/>
        <v>4.6484368909063614E-3</v>
      </c>
      <c r="G118" s="124">
        <f t="shared" si="99"/>
        <v>3.2216737854622326E-3</v>
      </c>
      <c r="H118" s="124">
        <f t="shared" si="99"/>
        <v>2.1707902949216632E-3</v>
      </c>
      <c r="I118" s="124">
        <f t="shared" si="99"/>
        <v>5.8434218403573468E-3</v>
      </c>
      <c r="J118" s="124">
        <f t="shared" si="99"/>
        <v>2.4659300406244472E-3</v>
      </c>
      <c r="K118" s="124">
        <f t="shared" si="99"/>
        <v>1.6647983743907772E-3</v>
      </c>
      <c r="L118" s="124">
        <f t="shared" si="99"/>
        <v>1.6221756222628354E-3</v>
      </c>
      <c r="M118" s="124">
        <f t="shared" si="99"/>
        <v>2.7013278584981522E-3</v>
      </c>
      <c r="N118" s="124">
        <f t="shared" si="99"/>
        <v>3.2105554682197919E-3</v>
      </c>
      <c r="O118" s="124">
        <f t="shared" si="99"/>
        <v>3.8007454217677001E-3</v>
      </c>
      <c r="P118" s="124">
        <f t="shared" si="99"/>
        <v>4.4097887608273182E-3</v>
      </c>
      <c r="Q118" s="124">
        <f t="shared" si="99"/>
        <v>2.4816068395502699E-3</v>
      </c>
      <c r="R118" s="124">
        <f t="shared" si="98"/>
        <v>1.3993843823377561E-3</v>
      </c>
      <c r="S118" s="124">
        <f t="shared" si="98"/>
        <v>8.322118091208219E-4</v>
      </c>
      <c r="T118" s="124">
        <f t="shared" si="98"/>
        <v>1.9541343387711042E-3</v>
      </c>
      <c r="U118" s="124">
        <f t="shared" si="98"/>
        <v>2.6893348670454665E-3</v>
      </c>
      <c r="V118" s="124">
        <f t="shared" si="98"/>
        <v>4.4522131341162147E-3</v>
      </c>
      <c r="W118" s="124">
        <f t="shared" si="95"/>
        <v>3.6701420501964619E-3</v>
      </c>
      <c r="X118" s="124">
        <f t="shared" si="95"/>
        <v>3.2479408323530926E-3</v>
      </c>
      <c r="Y118" s="124">
        <f t="shared" si="95"/>
        <v>2.0916301199788534E-3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3.4454312581232338E-3</v>
      </c>
      <c r="C119" s="140">
        <f t="shared" si="100"/>
        <v>3.3800571317723141E-3</v>
      </c>
      <c r="D119" s="140">
        <f t="shared" si="100"/>
        <v>3.2840731407029543E-3</v>
      </c>
      <c r="E119" s="140">
        <f t="shared" si="100"/>
        <v>3.5665592865564079E-3</v>
      </c>
      <c r="F119" s="140">
        <f t="shared" si="100"/>
        <v>4.6484368909063614E-3</v>
      </c>
      <c r="G119" s="140">
        <f t="shared" si="100"/>
        <v>3.2216737854622326E-3</v>
      </c>
      <c r="H119" s="140">
        <f t="shared" si="100"/>
        <v>2.1707902949216632E-3</v>
      </c>
      <c r="I119" s="140">
        <f t="shared" si="100"/>
        <v>5.8434218403573468E-3</v>
      </c>
      <c r="J119" s="140">
        <f t="shared" si="100"/>
        <v>2.4659300406244472E-3</v>
      </c>
      <c r="K119" s="140">
        <f t="shared" si="100"/>
        <v>1.6647983743907772E-3</v>
      </c>
      <c r="L119" s="140">
        <f t="shared" si="100"/>
        <v>1.6221756222628354E-3</v>
      </c>
      <c r="M119" s="140">
        <f t="shared" si="100"/>
        <v>2.7013278584981522E-3</v>
      </c>
      <c r="N119" s="140">
        <f t="shared" si="100"/>
        <v>3.2105554682197919E-3</v>
      </c>
      <c r="O119" s="140">
        <f t="shared" si="100"/>
        <v>3.8007454217677001E-3</v>
      </c>
      <c r="P119" s="140">
        <f t="shared" si="100"/>
        <v>4.4097887608273182E-3</v>
      </c>
      <c r="Q119" s="140">
        <f t="shared" si="100"/>
        <v>2.4816068395502699E-3</v>
      </c>
      <c r="R119" s="140">
        <f t="shared" si="98"/>
        <v>1.3993843823377561E-3</v>
      </c>
      <c r="S119" s="140">
        <f t="shared" si="98"/>
        <v>8.322118091208219E-4</v>
      </c>
      <c r="T119" s="140">
        <f t="shared" si="98"/>
        <v>1.9541343387711042E-3</v>
      </c>
      <c r="U119" s="140">
        <f t="shared" si="98"/>
        <v>2.6893348670454665E-3</v>
      </c>
      <c r="V119" s="140">
        <f t="shared" si="98"/>
        <v>4.4522131341162147E-3</v>
      </c>
      <c r="W119" s="140">
        <f t="shared" si="95"/>
        <v>3.6701420501964619E-3</v>
      </c>
      <c r="X119" s="140">
        <f t="shared" si="95"/>
        <v>3.2479408323530926E-3</v>
      </c>
      <c r="Y119" s="140">
        <f t="shared" si="95"/>
        <v>2.0916301199788534E-3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0.39895947468227883</v>
      </c>
      <c r="C122" s="140">
        <f t="shared" si="103"/>
        <v>0.39385299129478279</v>
      </c>
      <c r="D122" s="140">
        <f t="shared" si="103"/>
        <v>0.39372752088728746</v>
      </c>
      <c r="E122" s="140">
        <f t="shared" si="103"/>
        <v>0.47969370776063941</v>
      </c>
      <c r="F122" s="140">
        <f t="shared" si="103"/>
        <v>0.35344008524395798</v>
      </c>
      <c r="G122" s="140">
        <f t="shared" si="103"/>
        <v>0.27729044984353229</v>
      </c>
      <c r="H122" s="140">
        <f t="shared" si="103"/>
        <v>0.28665941573574433</v>
      </c>
      <c r="I122" s="140">
        <f t="shared" si="103"/>
        <v>0.23394898326749566</v>
      </c>
      <c r="J122" s="140">
        <f t="shared" si="103"/>
        <v>0.20843018034985683</v>
      </c>
      <c r="K122" s="140">
        <f t="shared" si="103"/>
        <v>0.19474346268662662</v>
      </c>
      <c r="L122" s="140">
        <f t="shared" si="103"/>
        <v>0.18611797811232533</v>
      </c>
      <c r="M122" s="140">
        <f t="shared" si="103"/>
        <v>0.20055060806936126</v>
      </c>
      <c r="N122" s="140">
        <f t="shared" si="103"/>
        <v>0.13192780105856192</v>
      </c>
      <c r="O122" s="140">
        <f t="shared" si="103"/>
        <v>0.22644961102289263</v>
      </c>
      <c r="P122" s="140">
        <f t="shared" si="103"/>
        <v>0.22809904584512997</v>
      </c>
      <c r="Q122" s="140">
        <f t="shared" si="103"/>
        <v>0.19859886246627431</v>
      </c>
      <c r="R122" s="140">
        <f t="shared" si="103"/>
        <v>0.19232688122914418</v>
      </c>
      <c r="S122" s="140">
        <f t="shared" si="103"/>
        <v>0.19730805598309964</v>
      </c>
      <c r="T122" s="140">
        <f t="shared" si="103"/>
        <v>0.2049319632227958</v>
      </c>
      <c r="U122" s="140">
        <f t="shared" si="103"/>
        <v>0.18169983964792763</v>
      </c>
      <c r="V122" s="140">
        <f t="shared" si="103"/>
        <v>0.14550304937390718</v>
      </c>
      <c r="W122" s="140">
        <f t="shared" si="103"/>
        <v>0.17550439285481095</v>
      </c>
      <c r="X122" s="140">
        <f t="shared" si="103"/>
        <v>0.25238559193722848</v>
      </c>
      <c r="Y122" s="140">
        <f t="shared" si="103"/>
        <v>0.40991760535487365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0.60104052531772123</v>
      </c>
      <c r="C123" s="127">
        <f t="shared" si="104"/>
        <v>0.60614700870521721</v>
      </c>
      <c r="D123" s="127">
        <f t="shared" si="104"/>
        <v>0.60627247911271265</v>
      </c>
      <c r="E123" s="127">
        <f t="shared" si="104"/>
        <v>0.52030629223936053</v>
      </c>
      <c r="F123" s="127">
        <f t="shared" si="104"/>
        <v>0.64655991475604202</v>
      </c>
      <c r="G123" s="127">
        <f t="shared" si="104"/>
        <v>0.72270955015646776</v>
      </c>
      <c r="H123" s="127">
        <f t="shared" si="104"/>
        <v>0.71334058426425562</v>
      </c>
      <c r="I123" s="127">
        <f t="shared" si="104"/>
        <v>0.76605101673250431</v>
      </c>
      <c r="J123" s="127">
        <f t="shared" si="104"/>
        <v>0.79156981965014317</v>
      </c>
      <c r="K123" s="127">
        <f t="shared" si="104"/>
        <v>0.80525653731337343</v>
      </c>
      <c r="L123" s="127">
        <f t="shared" si="104"/>
        <v>0.81388202188767467</v>
      </c>
      <c r="M123" s="127">
        <f t="shared" si="104"/>
        <v>0.7994493919306388</v>
      </c>
      <c r="N123" s="127">
        <f t="shared" si="104"/>
        <v>0.86807219894143806</v>
      </c>
      <c r="O123" s="127">
        <f t="shared" si="104"/>
        <v>0.77355038897710737</v>
      </c>
      <c r="P123" s="127">
        <f t="shared" si="104"/>
        <v>0.77190095415487003</v>
      </c>
      <c r="Q123" s="127">
        <f t="shared" si="104"/>
        <v>0.80140113753372577</v>
      </c>
      <c r="R123" s="127">
        <f t="shared" si="104"/>
        <v>0.80767311877085579</v>
      </c>
      <c r="S123" s="127">
        <f t="shared" si="104"/>
        <v>0.80269194401690025</v>
      </c>
      <c r="T123" s="127">
        <f t="shared" si="104"/>
        <v>0.79506803677720417</v>
      </c>
      <c r="U123" s="127">
        <f t="shared" si="104"/>
        <v>0.81830016035207231</v>
      </c>
      <c r="V123" s="127">
        <f t="shared" si="104"/>
        <v>0.85449695062609288</v>
      </c>
      <c r="W123" s="127">
        <f t="shared" si="104"/>
        <v>0.8244956071451891</v>
      </c>
      <c r="X123" s="127">
        <f t="shared" si="104"/>
        <v>0.74761440806277146</v>
      </c>
      <c r="Y123" s="127">
        <f t="shared" si="104"/>
        <v>0.59008239464512635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0.93651414200255922</v>
      </c>
      <c r="C127" s="139">
        <f t="shared" ref="C127:Y127" si="107">IF(C35=0,0,C35/C$34)</f>
        <v>0.95786073958193563</v>
      </c>
      <c r="D127" s="139">
        <f t="shared" si="107"/>
        <v>0.9556540944349049</v>
      </c>
      <c r="E127" s="139">
        <f t="shared" si="107"/>
        <v>0.94847896442647617</v>
      </c>
      <c r="F127" s="139">
        <f t="shared" si="107"/>
        <v>0.92780067001025557</v>
      </c>
      <c r="G127" s="139">
        <f t="shared" si="107"/>
        <v>0.8989802920600003</v>
      </c>
      <c r="H127" s="139">
        <f t="shared" si="107"/>
        <v>0.9053542549507686</v>
      </c>
      <c r="I127" s="139">
        <f t="shared" si="107"/>
        <v>0.89887583072150368</v>
      </c>
      <c r="J127" s="139">
        <f t="shared" si="107"/>
        <v>0.88552632100102924</v>
      </c>
      <c r="K127" s="139">
        <f t="shared" si="107"/>
        <v>0.92888658500687715</v>
      </c>
      <c r="L127" s="139">
        <f t="shared" si="107"/>
        <v>0.93453994192031153</v>
      </c>
      <c r="M127" s="139">
        <f t="shared" si="107"/>
        <v>0.91526556969263839</v>
      </c>
      <c r="N127" s="139">
        <f t="shared" si="107"/>
        <v>0.89612551017926467</v>
      </c>
      <c r="O127" s="139">
        <f t="shared" si="107"/>
        <v>0.91311604993555651</v>
      </c>
      <c r="P127" s="139">
        <f t="shared" si="107"/>
        <v>0.91414258979387786</v>
      </c>
      <c r="Q127" s="139">
        <f t="shared" si="107"/>
        <v>0.91391691280700216</v>
      </c>
      <c r="R127" s="139">
        <f t="shared" si="107"/>
        <v>0.92318536157505648</v>
      </c>
      <c r="S127" s="139">
        <f t="shared" si="107"/>
        <v>0.90718981602309345</v>
      </c>
      <c r="T127" s="139">
        <f t="shared" si="107"/>
        <v>0.89712532546039703</v>
      </c>
      <c r="U127" s="139">
        <f t="shared" si="107"/>
        <v>0.89696395943612794</v>
      </c>
      <c r="V127" s="139">
        <f t="shared" si="107"/>
        <v>0.95379983313834349</v>
      </c>
      <c r="W127" s="139">
        <f t="shared" si="107"/>
        <v>0.93121197576805692</v>
      </c>
      <c r="X127" s="139">
        <f t="shared" si="107"/>
        <v>0.90835905360107383</v>
      </c>
      <c r="Y127" s="139">
        <f t="shared" si="107"/>
        <v>0.91688761429462151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1.1132462659253137E-3</v>
      </c>
      <c r="C128" s="140">
        <f t="shared" ref="C128:Y128" si="108">IF(C36=0,0,C36/C$34)</f>
        <v>9.2770284026309335E-4</v>
      </c>
      <c r="D128" s="140">
        <f t="shared" si="108"/>
        <v>9.9179955728305219E-4</v>
      </c>
      <c r="E128" s="140">
        <f t="shared" si="108"/>
        <v>1.1065447996804307E-3</v>
      </c>
      <c r="F128" s="140">
        <f t="shared" si="108"/>
        <v>1.1711208331974306E-3</v>
      </c>
      <c r="G128" s="140">
        <f t="shared" si="108"/>
        <v>1.1722982506684944E-3</v>
      </c>
      <c r="H128" s="140">
        <f t="shared" si="108"/>
        <v>1.2903659737951161E-3</v>
      </c>
      <c r="I128" s="140">
        <f t="shared" si="108"/>
        <v>1.4011869868945331E-3</v>
      </c>
      <c r="J128" s="140">
        <f t="shared" si="108"/>
        <v>1.6542088828699444E-3</v>
      </c>
      <c r="K128" s="140">
        <f t="shared" si="108"/>
        <v>1.9056107579438133E-3</v>
      </c>
      <c r="L128" s="140">
        <f t="shared" si="108"/>
        <v>1.9626793392589843E-3</v>
      </c>
      <c r="M128" s="140">
        <f t="shared" si="108"/>
        <v>2.212053288157659E-3</v>
      </c>
      <c r="N128" s="140">
        <f t="shared" si="108"/>
        <v>3.0459028333549749E-3</v>
      </c>
      <c r="O128" s="140">
        <f t="shared" si="108"/>
        <v>3.3929568010536578E-3</v>
      </c>
      <c r="P128" s="140">
        <f t="shared" si="108"/>
        <v>3.5601073790128518E-3</v>
      </c>
      <c r="Q128" s="140">
        <f t="shared" si="108"/>
        <v>3.6158919123162408E-3</v>
      </c>
      <c r="R128" s="140">
        <f t="shared" si="108"/>
        <v>3.7576126858313943E-3</v>
      </c>
      <c r="S128" s="140">
        <f t="shared" si="108"/>
        <v>3.3096542549250446E-3</v>
      </c>
      <c r="T128" s="140">
        <f t="shared" si="108"/>
        <v>3.0164347114662272E-3</v>
      </c>
      <c r="U128" s="140">
        <f t="shared" si="108"/>
        <v>3.2054604911098059E-3</v>
      </c>
      <c r="V128" s="140">
        <f t="shared" si="108"/>
        <v>3.2418038252165909E-3</v>
      </c>
      <c r="W128" s="140">
        <f t="shared" si="108"/>
        <v>3.2016286796362156E-3</v>
      </c>
      <c r="X128" s="140">
        <f t="shared" si="108"/>
        <v>3.2158123759383661E-3</v>
      </c>
      <c r="Y128" s="140">
        <f t="shared" si="108"/>
        <v>3.5747596532830451E-3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0.71744313040889462</v>
      </c>
      <c r="C129" s="140">
        <f t="shared" ref="C129:Y129" si="109">IF(C37=0,0,C37/C$34)</f>
        <v>0.74358456981878995</v>
      </c>
      <c r="D129" s="140">
        <f t="shared" si="109"/>
        <v>0.71706986002565409</v>
      </c>
      <c r="E129" s="140">
        <f t="shared" si="109"/>
        <v>0.73190187139328766</v>
      </c>
      <c r="F129" s="140">
        <f t="shared" si="109"/>
        <v>0.71376193200537352</v>
      </c>
      <c r="G129" s="140">
        <f t="shared" si="109"/>
        <v>0.69576078029352861</v>
      </c>
      <c r="H129" s="140">
        <f t="shared" si="109"/>
        <v>0.7160738377915673</v>
      </c>
      <c r="I129" s="140">
        <f t="shared" si="109"/>
        <v>0.74630222830924031</v>
      </c>
      <c r="J129" s="140">
        <f t="shared" si="109"/>
        <v>0.74456192630593809</v>
      </c>
      <c r="K129" s="140">
        <f t="shared" si="109"/>
        <v>0.79227207599757299</v>
      </c>
      <c r="L129" s="140">
        <f t="shared" si="109"/>
        <v>0.78753922767628926</v>
      </c>
      <c r="M129" s="140">
        <f t="shared" si="109"/>
        <v>0.77193509236269042</v>
      </c>
      <c r="N129" s="140">
        <f t="shared" si="109"/>
        <v>0.75658789329255727</v>
      </c>
      <c r="O129" s="140">
        <f t="shared" si="109"/>
        <v>0.76969579137947652</v>
      </c>
      <c r="P129" s="140">
        <f t="shared" si="109"/>
        <v>0.76812651578333258</v>
      </c>
      <c r="Q129" s="140">
        <f t="shared" si="109"/>
        <v>0.77164119545485343</v>
      </c>
      <c r="R129" s="140">
        <f t="shared" si="109"/>
        <v>0.76999877805199624</v>
      </c>
      <c r="S129" s="140">
        <f t="shared" si="109"/>
        <v>0.74628012041375225</v>
      </c>
      <c r="T129" s="140">
        <f t="shared" si="109"/>
        <v>0.74168861801296992</v>
      </c>
      <c r="U129" s="140">
        <f t="shared" si="109"/>
        <v>0.75090522770905221</v>
      </c>
      <c r="V129" s="140">
        <f t="shared" si="109"/>
        <v>0.79486153363031142</v>
      </c>
      <c r="W129" s="140">
        <f t="shared" si="109"/>
        <v>0.7670392755069223</v>
      </c>
      <c r="X129" s="140">
        <f t="shared" si="109"/>
        <v>0.7588801591876172</v>
      </c>
      <c r="Y129" s="140">
        <f t="shared" si="109"/>
        <v>0.79611124238300779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0.21795776532773936</v>
      </c>
      <c r="C130" s="140">
        <f t="shared" ref="C130:Y130" si="110">IF(C38=0,0,C38/C$34)</f>
        <v>0.21334846692288265</v>
      </c>
      <c r="D130" s="140">
        <f t="shared" si="110"/>
        <v>0.23759243485196771</v>
      </c>
      <c r="E130" s="140">
        <f t="shared" si="110"/>
        <v>0.2154705482335082</v>
      </c>
      <c r="F130" s="140">
        <f t="shared" si="110"/>
        <v>0.21286761717168468</v>
      </c>
      <c r="G130" s="140">
        <f t="shared" si="110"/>
        <v>0.20204721351580321</v>
      </c>
      <c r="H130" s="140">
        <f t="shared" si="110"/>
        <v>0.18799005118540607</v>
      </c>
      <c r="I130" s="140">
        <f t="shared" si="110"/>
        <v>0.1511724154253688</v>
      </c>
      <c r="J130" s="140">
        <f t="shared" si="110"/>
        <v>0.13931018581222113</v>
      </c>
      <c r="K130" s="140">
        <f t="shared" si="110"/>
        <v>0.13470889825136034</v>
      </c>
      <c r="L130" s="140">
        <f t="shared" si="110"/>
        <v>0.14503803490476333</v>
      </c>
      <c r="M130" s="140">
        <f t="shared" si="110"/>
        <v>0.1411184240417904</v>
      </c>
      <c r="N130" s="140">
        <f t="shared" si="110"/>
        <v>0.13649171405335245</v>
      </c>
      <c r="O130" s="140">
        <f t="shared" si="110"/>
        <v>0.14002730175502634</v>
      </c>
      <c r="P130" s="140">
        <f t="shared" si="110"/>
        <v>0.14245596663153248</v>
      </c>
      <c r="Q130" s="140">
        <f t="shared" si="110"/>
        <v>0.13865982543983255</v>
      </c>
      <c r="R130" s="140">
        <f t="shared" si="110"/>
        <v>0.14942897083722886</v>
      </c>
      <c r="S130" s="140">
        <f t="shared" si="110"/>
        <v>0.15760004135441627</v>
      </c>
      <c r="T130" s="140">
        <f t="shared" si="110"/>
        <v>0.15242027273596079</v>
      </c>
      <c r="U130" s="140">
        <f t="shared" si="110"/>
        <v>0.14285327123596597</v>
      </c>
      <c r="V130" s="140">
        <f t="shared" si="110"/>
        <v>0.15569649568281546</v>
      </c>
      <c r="W130" s="140">
        <f t="shared" si="110"/>
        <v>0.16097107158149832</v>
      </c>
      <c r="X130" s="140">
        <f t="shared" si="110"/>
        <v>0.14626308203751831</v>
      </c>
      <c r="Y130" s="140">
        <f t="shared" si="110"/>
        <v>0.11720161225833069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1.1341584406088746E-2</v>
      </c>
      <c r="C131" s="124">
        <f t="shared" ref="C131:Y131" si="111">IF(C39=0,0,C39/C$34)</f>
        <v>6.6469242012641193E-3</v>
      </c>
      <c r="D131" s="124">
        <f t="shared" si="111"/>
        <v>6.6438733278205075E-3</v>
      </c>
      <c r="E131" s="124">
        <f t="shared" si="111"/>
        <v>6.7135024588648529E-3</v>
      </c>
      <c r="F131" s="124">
        <f t="shared" si="111"/>
        <v>5.8970781776269575E-3</v>
      </c>
      <c r="G131" s="124">
        <f t="shared" si="111"/>
        <v>5.81092619538052E-3</v>
      </c>
      <c r="H131" s="124">
        <f t="shared" si="111"/>
        <v>5.7664653161854356E-3</v>
      </c>
      <c r="I131" s="124">
        <f t="shared" si="111"/>
        <v>6.1653260681556318E-3</v>
      </c>
      <c r="J131" s="124">
        <f t="shared" si="111"/>
        <v>4.9217564718957996E-3</v>
      </c>
      <c r="K131" s="124">
        <f t="shared" si="111"/>
        <v>5.1607497162023007E-3</v>
      </c>
      <c r="L131" s="124">
        <f t="shared" si="111"/>
        <v>5.8912259078713431E-3</v>
      </c>
      <c r="M131" s="124">
        <f t="shared" si="111"/>
        <v>5.5099255232448274E-3</v>
      </c>
      <c r="N131" s="124">
        <f t="shared" si="111"/>
        <v>4.4814884063284809E-3</v>
      </c>
      <c r="O131" s="124">
        <f t="shared" si="111"/>
        <v>5.3044555114480458E-3</v>
      </c>
      <c r="P131" s="124">
        <f t="shared" si="111"/>
        <v>6.0048571042403314E-3</v>
      </c>
      <c r="Q131" s="124">
        <f t="shared" si="111"/>
        <v>5.7605235228238121E-3</v>
      </c>
      <c r="R131" s="124">
        <f t="shared" si="111"/>
        <v>5.4425702732582614E-3</v>
      </c>
      <c r="S131" s="124">
        <f t="shared" si="111"/>
        <v>5.9503101759749389E-3</v>
      </c>
      <c r="T131" s="124">
        <f t="shared" si="111"/>
        <v>6.3980623830887347E-3</v>
      </c>
      <c r="U131" s="124">
        <f t="shared" si="111"/>
        <v>8.0095740700453465E-3</v>
      </c>
      <c r="V131" s="124">
        <f t="shared" si="111"/>
        <v>9.313428759588252E-3</v>
      </c>
      <c r="W131" s="124">
        <f t="shared" si="111"/>
        <v>5.8865187571591473E-3</v>
      </c>
      <c r="X131" s="124">
        <f t="shared" si="111"/>
        <v>7.6488396291809219E-3</v>
      </c>
      <c r="Y131" s="124">
        <f t="shared" si="111"/>
        <v>1.0321340346250344E-2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1.3976645969365625E-3</v>
      </c>
      <c r="C132" s="140">
        <f t="shared" ref="C132:Y132" si="112">IF(C40=0,0,C40/C$34)</f>
        <v>1.0161356690876961E-3</v>
      </c>
      <c r="D132" s="140">
        <f t="shared" si="112"/>
        <v>1.12670155516022E-3</v>
      </c>
      <c r="E132" s="140">
        <f t="shared" si="112"/>
        <v>1.1640722893416406E-3</v>
      </c>
      <c r="F132" s="140">
        <f t="shared" si="112"/>
        <v>8.8242486885278543E-4</v>
      </c>
      <c r="G132" s="140">
        <f t="shared" si="112"/>
        <v>6.4136018328816644E-4</v>
      </c>
      <c r="H132" s="140">
        <f t="shared" si="112"/>
        <v>5.9116080808371688E-4</v>
      </c>
      <c r="I132" s="140">
        <f t="shared" si="112"/>
        <v>5.5520140449696355E-4</v>
      </c>
      <c r="J132" s="140">
        <f t="shared" si="112"/>
        <v>4.2145200570600138E-4</v>
      </c>
      <c r="K132" s="140">
        <f t="shared" si="112"/>
        <v>5.1930867489059242E-4</v>
      </c>
      <c r="L132" s="140">
        <f t="shared" si="112"/>
        <v>5.5581365002670515E-4</v>
      </c>
      <c r="M132" s="140">
        <f t="shared" si="112"/>
        <v>4.7979765058424052E-4</v>
      </c>
      <c r="N132" s="140">
        <f t="shared" si="112"/>
        <v>6.3019344377136333E-4</v>
      </c>
      <c r="O132" s="140">
        <f t="shared" si="112"/>
        <v>5.5765526716310555E-4</v>
      </c>
      <c r="P132" s="140">
        <f t="shared" si="112"/>
        <v>4.1666174466387264E-4</v>
      </c>
      <c r="Q132" s="140">
        <f t="shared" si="112"/>
        <v>3.7402509551667784E-4</v>
      </c>
      <c r="R132" s="140">
        <f t="shared" si="112"/>
        <v>3.6458151912109187E-4</v>
      </c>
      <c r="S132" s="140">
        <f t="shared" si="112"/>
        <v>3.415888854917332E-4</v>
      </c>
      <c r="T132" s="140">
        <f t="shared" si="112"/>
        <v>4.8588534626335119E-4</v>
      </c>
      <c r="U132" s="140">
        <f t="shared" si="112"/>
        <v>5.1389804630567386E-4</v>
      </c>
      <c r="V132" s="140">
        <f t="shared" si="112"/>
        <v>8.9290016185168675E-4</v>
      </c>
      <c r="W132" s="140">
        <f t="shared" si="112"/>
        <v>6.3368887310241793E-4</v>
      </c>
      <c r="X132" s="140">
        <f t="shared" si="112"/>
        <v>6.239624542606748E-4</v>
      </c>
      <c r="Y132" s="140">
        <f t="shared" si="112"/>
        <v>7.6295059030424936E-4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9.9439198091521835E-3</v>
      </c>
      <c r="C133" s="140">
        <f t="shared" ref="C133:Y133" si="113">IF(C41=0,0,C41/C$34)</f>
        <v>5.6307885321764239E-3</v>
      </c>
      <c r="D133" s="140">
        <f t="shared" si="113"/>
        <v>5.5171717726602868E-3</v>
      </c>
      <c r="E133" s="140">
        <f t="shared" si="113"/>
        <v>5.5494301695232125E-3</v>
      </c>
      <c r="F133" s="140">
        <f t="shared" si="113"/>
        <v>5.0146533087741729E-3</v>
      </c>
      <c r="G133" s="140">
        <f t="shared" si="113"/>
        <v>5.1695660120923536E-3</v>
      </c>
      <c r="H133" s="140">
        <f t="shared" si="113"/>
        <v>5.1753045081017182E-3</v>
      </c>
      <c r="I133" s="140">
        <f t="shared" si="113"/>
        <v>5.610124663658669E-3</v>
      </c>
      <c r="J133" s="140">
        <f t="shared" si="113"/>
        <v>4.5003044661897978E-3</v>
      </c>
      <c r="K133" s="140">
        <f t="shared" si="113"/>
        <v>4.641441041311708E-3</v>
      </c>
      <c r="L133" s="140">
        <f t="shared" si="113"/>
        <v>5.3354122578446383E-3</v>
      </c>
      <c r="M133" s="140">
        <f t="shared" si="113"/>
        <v>5.0301278726605867E-3</v>
      </c>
      <c r="N133" s="140">
        <f t="shared" si="113"/>
        <v>3.8512949625571181E-3</v>
      </c>
      <c r="O133" s="140">
        <f t="shared" si="113"/>
        <v>4.746800244284941E-3</v>
      </c>
      <c r="P133" s="140">
        <f t="shared" si="113"/>
        <v>5.5881953595764587E-3</v>
      </c>
      <c r="Q133" s="140">
        <f t="shared" si="113"/>
        <v>5.3864984273071341E-3</v>
      </c>
      <c r="R133" s="140">
        <f t="shared" si="113"/>
        <v>5.0779887541371697E-3</v>
      </c>
      <c r="S133" s="140">
        <f t="shared" si="113"/>
        <v>5.6087212904832066E-3</v>
      </c>
      <c r="T133" s="140">
        <f t="shared" si="113"/>
        <v>5.9121770368253833E-3</v>
      </c>
      <c r="U133" s="140">
        <f t="shared" si="113"/>
        <v>7.495676023739674E-3</v>
      </c>
      <c r="V133" s="140">
        <f t="shared" si="113"/>
        <v>8.4205285977365651E-3</v>
      </c>
      <c r="W133" s="140">
        <f t="shared" si="113"/>
        <v>5.2528298840567294E-3</v>
      </c>
      <c r="X133" s="140">
        <f t="shared" si="113"/>
        <v>7.0248771749202472E-3</v>
      </c>
      <c r="Y133" s="140">
        <f t="shared" si="113"/>
        <v>9.5583897559460944E-3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5.2144273591352056E-2</v>
      </c>
      <c r="C135" s="124">
        <f t="shared" ref="C135:Y135" si="115">IF(C43=0,0,C43/C$34)</f>
        <v>3.5492336216800223E-2</v>
      </c>
      <c r="D135" s="124">
        <f t="shared" si="115"/>
        <v>3.7702032237274655E-2</v>
      </c>
      <c r="E135" s="124">
        <f t="shared" si="115"/>
        <v>4.4807533114659022E-2</v>
      </c>
      <c r="F135" s="124">
        <f t="shared" si="115"/>
        <v>6.6302251812117519E-2</v>
      </c>
      <c r="G135" s="124">
        <f t="shared" si="115"/>
        <v>9.520878174461915E-2</v>
      </c>
      <c r="H135" s="124">
        <f t="shared" si="115"/>
        <v>8.887927973304606E-2</v>
      </c>
      <c r="I135" s="124">
        <f t="shared" si="115"/>
        <v>9.4958843210340552E-2</v>
      </c>
      <c r="J135" s="124">
        <f t="shared" si="115"/>
        <v>0.10955192252707516</v>
      </c>
      <c r="K135" s="124">
        <f t="shared" si="115"/>
        <v>6.5952665276920508E-2</v>
      </c>
      <c r="L135" s="124">
        <f t="shared" si="115"/>
        <v>5.9568832171816931E-2</v>
      </c>
      <c r="M135" s="124">
        <f t="shared" si="115"/>
        <v>7.9224504784116814E-2</v>
      </c>
      <c r="N135" s="124">
        <f t="shared" si="115"/>
        <v>9.9393001414406643E-2</v>
      </c>
      <c r="O135" s="124">
        <f t="shared" si="115"/>
        <v>8.1579494552995624E-2</v>
      </c>
      <c r="P135" s="124">
        <f t="shared" si="115"/>
        <v>7.9852553101881926E-2</v>
      </c>
      <c r="Q135" s="124">
        <f t="shared" si="115"/>
        <v>8.0322563670173944E-2</v>
      </c>
      <c r="R135" s="124">
        <f t="shared" si="115"/>
        <v>7.1372068151685203E-2</v>
      </c>
      <c r="S135" s="124">
        <f t="shared" si="115"/>
        <v>8.685987380093152E-2</v>
      </c>
      <c r="T135" s="124">
        <f t="shared" si="115"/>
        <v>9.6476612156514097E-2</v>
      </c>
      <c r="U135" s="124">
        <f t="shared" si="115"/>
        <v>9.5026466493826747E-2</v>
      </c>
      <c r="V135" s="124">
        <f t="shared" si="115"/>
        <v>3.6886738102068321E-2</v>
      </c>
      <c r="W135" s="124">
        <f t="shared" si="115"/>
        <v>6.2901505474784E-2</v>
      </c>
      <c r="X135" s="124">
        <f t="shared" si="115"/>
        <v>8.3992106769745348E-2</v>
      </c>
      <c r="Y135" s="124">
        <f t="shared" si="115"/>
        <v>7.279104535912824E-2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4.8185813460487899E-2</v>
      </c>
      <c r="C137" s="140">
        <f t="shared" ref="C137:Y137" si="117">IF(C45=0,0,C45/C$34)</f>
        <v>3.2794440882713834E-2</v>
      </c>
      <c r="D137" s="140">
        <f t="shared" si="117"/>
        <v>3.4651437936364611E-2</v>
      </c>
      <c r="E137" s="140">
        <f t="shared" si="117"/>
        <v>4.0594215497050806E-2</v>
      </c>
      <c r="F137" s="140">
        <f t="shared" si="117"/>
        <v>5.8683053462317579E-2</v>
      </c>
      <c r="G137" s="140">
        <f t="shared" si="117"/>
        <v>8.5522013338784453E-2</v>
      </c>
      <c r="H137" s="140">
        <f t="shared" si="117"/>
        <v>8.0118154895763363E-2</v>
      </c>
      <c r="I137" s="140">
        <f t="shared" si="117"/>
        <v>8.5800091971776613E-2</v>
      </c>
      <c r="J137" s="140">
        <f t="shared" si="117"/>
        <v>9.8493576469882299E-2</v>
      </c>
      <c r="K137" s="140">
        <f t="shared" si="117"/>
        <v>5.8329896185553676E-2</v>
      </c>
      <c r="L137" s="140">
        <f t="shared" si="117"/>
        <v>5.2646309952317484E-2</v>
      </c>
      <c r="M137" s="140">
        <f t="shared" si="117"/>
        <v>7.1522533873813021E-2</v>
      </c>
      <c r="N137" s="140">
        <f t="shared" si="117"/>
        <v>8.8793375026453028E-2</v>
      </c>
      <c r="O137" s="140">
        <f t="shared" si="117"/>
        <v>7.2298383323957632E-2</v>
      </c>
      <c r="P137" s="140">
        <f t="shared" si="117"/>
        <v>7.0814376477070298E-2</v>
      </c>
      <c r="Q137" s="140">
        <f t="shared" si="117"/>
        <v>7.1275956839285004E-2</v>
      </c>
      <c r="R137" s="140">
        <f t="shared" si="117"/>
        <v>6.3532946190665421E-2</v>
      </c>
      <c r="S137" s="140">
        <f t="shared" si="117"/>
        <v>7.7636561686664218E-2</v>
      </c>
      <c r="T137" s="140">
        <f t="shared" si="117"/>
        <v>8.662165048161416E-2</v>
      </c>
      <c r="U137" s="140">
        <f t="shared" si="117"/>
        <v>8.5048939063363013E-2</v>
      </c>
      <c r="V137" s="140">
        <f t="shared" si="117"/>
        <v>3.1889587910273375E-2</v>
      </c>
      <c r="W137" s="140">
        <f t="shared" si="117"/>
        <v>5.5456190986789167E-2</v>
      </c>
      <c r="X137" s="140">
        <f t="shared" si="117"/>
        <v>7.5785881553075779E-2</v>
      </c>
      <c r="Y137" s="140">
        <f t="shared" si="117"/>
        <v>6.5228634344446021E-2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3.9584601308641594E-3</v>
      </c>
      <c r="C138" s="140">
        <f t="shared" ref="C138:Y138" si="118">IF(C46=0,0,C46/C$34)</f>
        <v>2.6978953340863919E-3</v>
      </c>
      <c r="D138" s="140">
        <f t="shared" si="118"/>
        <v>3.0505943009100488E-3</v>
      </c>
      <c r="E138" s="140">
        <f t="shared" si="118"/>
        <v>4.2133176176082114E-3</v>
      </c>
      <c r="F138" s="140">
        <f t="shared" si="118"/>
        <v>7.6191983497999414E-3</v>
      </c>
      <c r="G138" s="140">
        <f t="shared" si="118"/>
        <v>9.6867684058346976E-3</v>
      </c>
      <c r="H138" s="140">
        <f t="shared" si="118"/>
        <v>8.7611248372826966E-3</v>
      </c>
      <c r="I138" s="140">
        <f t="shared" si="118"/>
        <v>9.1587512385639426E-3</v>
      </c>
      <c r="J138" s="140">
        <f t="shared" si="118"/>
        <v>1.1058346057192846E-2</v>
      </c>
      <c r="K138" s="140">
        <f t="shared" si="118"/>
        <v>7.6227690913668314E-3</v>
      </c>
      <c r="L138" s="140">
        <f t="shared" si="118"/>
        <v>6.9225222194994442E-3</v>
      </c>
      <c r="M138" s="140">
        <f t="shared" si="118"/>
        <v>7.7019709103037879E-3</v>
      </c>
      <c r="N138" s="140">
        <f t="shared" si="118"/>
        <v>1.0599626387953628E-2</v>
      </c>
      <c r="O138" s="140">
        <f t="shared" si="118"/>
        <v>9.281111229038002E-3</v>
      </c>
      <c r="P138" s="140">
        <f t="shared" si="118"/>
        <v>9.0381766248116228E-3</v>
      </c>
      <c r="Q138" s="140">
        <f t="shared" si="118"/>
        <v>9.046606830888938E-3</v>
      </c>
      <c r="R138" s="140">
        <f t="shared" si="118"/>
        <v>7.8391219610197821E-3</v>
      </c>
      <c r="S138" s="140">
        <f t="shared" si="118"/>
        <v>9.2233121142673066E-3</v>
      </c>
      <c r="T138" s="140">
        <f t="shared" si="118"/>
        <v>9.8549616748999473E-3</v>
      </c>
      <c r="U138" s="140">
        <f t="shared" si="118"/>
        <v>9.9775274304637375E-3</v>
      </c>
      <c r="V138" s="140">
        <f t="shared" si="118"/>
        <v>4.9971501917949494E-3</v>
      </c>
      <c r="W138" s="140">
        <f t="shared" si="118"/>
        <v>7.4453144879948335E-3</v>
      </c>
      <c r="X138" s="140">
        <f t="shared" si="118"/>
        <v>8.2062252166695739E-3</v>
      </c>
      <c r="Y138" s="140">
        <f t="shared" si="118"/>
        <v>7.5624110146822222E-3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0.73577750577322909</v>
      </c>
      <c r="C140" s="139">
        <f t="shared" ref="C140:Y140" si="121">IF(C48=0,0,C48/C$47)</f>
        <v>0.76959309470864445</v>
      </c>
      <c r="D140" s="139">
        <f t="shared" si="121"/>
        <v>0.75516539947752315</v>
      </c>
      <c r="E140" s="139">
        <f t="shared" si="121"/>
        <v>0.7659871824005493</v>
      </c>
      <c r="F140" s="139">
        <f t="shared" si="121"/>
        <v>0.79846002664433002</v>
      </c>
      <c r="G140" s="139">
        <f t="shared" si="121"/>
        <v>0.78700135065103605</v>
      </c>
      <c r="H140" s="139">
        <f t="shared" si="121"/>
        <v>0.78645953303938931</v>
      </c>
      <c r="I140" s="139">
        <f t="shared" si="121"/>
        <v>0.81840548650266953</v>
      </c>
      <c r="J140" s="139">
        <f t="shared" si="121"/>
        <v>0.8579088461882558</v>
      </c>
      <c r="K140" s="139">
        <f t="shared" si="121"/>
        <v>0.78055674776871831</v>
      </c>
      <c r="L140" s="139">
        <f t="shared" si="121"/>
        <v>0.74622933698596638</v>
      </c>
      <c r="M140" s="139">
        <f t="shared" si="121"/>
        <v>0.82988153143809273</v>
      </c>
      <c r="N140" s="139">
        <f t="shared" si="121"/>
        <v>0.84689986911042725</v>
      </c>
      <c r="O140" s="139">
        <f t="shared" si="121"/>
        <v>0.86038008003839317</v>
      </c>
      <c r="P140" s="139">
        <f t="shared" si="121"/>
        <v>0.87594374148851595</v>
      </c>
      <c r="Q140" s="139">
        <f t="shared" si="121"/>
        <v>0.87831447396700135</v>
      </c>
      <c r="R140" s="139">
        <f t="shared" si="121"/>
        <v>0.90125520363607425</v>
      </c>
      <c r="S140" s="139">
        <f t="shared" si="121"/>
        <v>0.8894306056375566</v>
      </c>
      <c r="T140" s="139">
        <f t="shared" si="121"/>
        <v>0.90347844916947329</v>
      </c>
      <c r="U140" s="139">
        <f t="shared" si="121"/>
        <v>0.90799393636912662</v>
      </c>
      <c r="V140" s="139">
        <f t="shared" si="121"/>
        <v>0.90849635221889069</v>
      </c>
      <c r="W140" s="139">
        <f t="shared" si="121"/>
        <v>0.91511016545945156</v>
      </c>
      <c r="X140" s="139">
        <f t="shared" si="121"/>
        <v>0.93348336645716445</v>
      </c>
      <c r="Y140" s="139">
        <f t="shared" si="121"/>
        <v>0.93132550620259635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0.4612104823748831</v>
      </c>
      <c r="C141" s="140">
        <f t="shared" ref="C141:Y141" si="122">IF(C49=0,0,C49/C$47)</f>
        <v>0.50582212545029126</v>
      </c>
      <c r="D141" s="140">
        <f t="shared" si="122"/>
        <v>0.45703227819425701</v>
      </c>
      <c r="E141" s="140">
        <f t="shared" si="122"/>
        <v>0.39345239674850563</v>
      </c>
      <c r="F141" s="140">
        <f t="shared" si="122"/>
        <v>0.37942208782873155</v>
      </c>
      <c r="G141" s="140">
        <f t="shared" si="122"/>
        <v>0.34924404566867256</v>
      </c>
      <c r="H141" s="140">
        <f t="shared" si="122"/>
        <v>0.32688947389493522</v>
      </c>
      <c r="I141" s="140">
        <f t="shared" si="122"/>
        <v>0.30479507739394862</v>
      </c>
      <c r="J141" s="140">
        <f t="shared" si="122"/>
        <v>0.31230744624205542</v>
      </c>
      <c r="K141" s="140">
        <f t="shared" si="122"/>
        <v>0.33012718507189348</v>
      </c>
      <c r="L141" s="140">
        <f t="shared" si="122"/>
        <v>0.30202750904648656</v>
      </c>
      <c r="M141" s="140">
        <f t="shared" si="122"/>
        <v>0.31918335920996177</v>
      </c>
      <c r="N141" s="140">
        <f t="shared" si="122"/>
        <v>0.33407069935200306</v>
      </c>
      <c r="O141" s="140">
        <f t="shared" si="122"/>
        <v>0.35520816697222324</v>
      </c>
      <c r="P141" s="140">
        <f t="shared" si="122"/>
        <v>0.38307416700691171</v>
      </c>
      <c r="Q141" s="140">
        <f t="shared" si="122"/>
        <v>0.39014586706149995</v>
      </c>
      <c r="R141" s="140">
        <f t="shared" si="122"/>
        <v>0.42102956741518865</v>
      </c>
      <c r="S141" s="140">
        <f t="shared" si="122"/>
        <v>0.4671437238673114</v>
      </c>
      <c r="T141" s="140">
        <f t="shared" si="122"/>
        <v>0.49396842131559715</v>
      </c>
      <c r="U141" s="140">
        <f t="shared" si="122"/>
        <v>0.53503922825317329</v>
      </c>
      <c r="V141" s="140">
        <f t="shared" si="122"/>
        <v>0.56263436605708983</v>
      </c>
      <c r="W141" s="140">
        <f t="shared" si="122"/>
        <v>0.52870087506082808</v>
      </c>
      <c r="X141" s="140">
        <f t="shared" si="122"/>
        <v>0.52231594358203692</v>
      </c>
      <c r="Y141" s="140">
        <f t="shared" si="122"/>
        <v>0.53270585322963759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0.27456702339834593</v>
      </c>
      <c r="C142" s="140">
        <f t="shared" ref="C142:Y142" si="123">IF(C50=0,0,C50/C$47)</f>
        <v>0.26377096925835319</v>
      </c>
      <c r="D142" s="140">
        <f t="shared" si="123"/>
        <v>0.29813312128326613</v>
      </c>
      <c r="E142" s="140">
        <f t="shared" si="123"/>
        <v>0.37253478565204373</v>
      </c>
      <c r="F142" s="140">
        <f t="shared" si="123"/>
        <v>0.41903793881559853</v>
      </c>
      <c r="G142" s="140">
        <f t="shared" si="123"/>
        <v>0.43775730498236343</v>
      </c>
      <c r="H142" s="140">
        <f t="shared" si="123"/>
        <v>0.45957005914445404</v>
      </c>
      <c r="I142" s="140">
        <f t="shared" si="123"/>
        <v>0.51361040910872091</v>
      </c>
      <c r="J142" s="140">
        <f t="shared" si="123"/>
        <v>0.54560139994620038</v>
      </c>
      <c r="K142" s="140">
        <f t="shared" si="123"/>
        <v>0.45042956269682477</v>
      </c>
      <c r="L142" s="140">
        <f t="shared" si="123"/>
        <v>0.44420182793947982</v>
      </c>
      <c r="M142" s="140">
        <f t="shared" si="123"/>
        <v>0.51069817222813096</v>
      </c>
      <c r="N142" s="140">
        <f t="shared" si="123"/>
        <v>0.51282916975842419</v>
      </c>
      <c r="O142" s="140">
        <f t="shared" si="123"/>
        <v>0.50517191306616993</v>
      </c>
      <c r="P142" s="140">
        <f t="shared" si="123"/>
        <v>0.49286957448160418</v>
      </c>
      <c r="Q142" s="140">
        <f t="shared" si="123"/>
        <v>0.48816860690550135</v>
      </c>
      <c r="R142" s="140">
        <f t="shared" si="123"/>
        <v>0.48022563622088549</v>
      </c>
      <c r="S142" s="140">
        <f t="shared" si="123"/>
        <v>0.42228688177024526</v>
      </c>
      <c r="T142" s="140">
        <f t="shared" si="123"/>
        <v>0.40951002785387614</v>
      </c>
      <c r="U142" s="140">
        <f t="shared" si="123"/>
        <v>0.37295470811595333</v>
      </c>
      <c r="V142" s="140">
        <f t="shared" si="123"/>
        <v>0.34586198616180086</v>
      </c>
      <c r="W142" s="140">
        <f t="shared" si="123"/>
        <v>0.38640929039862354</v>
      </c>
      <c r="X142" s="140">
        <f t="shared" si="123"/>
        <v>0.41116742287512748</v>
      </c>
      <c r="Y142" s="140">
        <f t="shared" si="123"/>
        <v>0.39861965297295882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0.22359736865294658</v>
      </c>
      <c r="C143" s="124">
        <f t="shared" ref="C143:Y143" si="124">IF(C51=0,0,C51/C$47)</f>
        <v>0.19380205089178451</v>
      </c>
      <c r="D143" s="124">
        <f t="shared" si="124"/>
        <v>0.20988498281967888</v>
      </c>
      <c r="E143" s="124">
        <f t="shared" si="124"/>
        <v>0.19291501194920768</v>
      </c>
      <c r="F143" s="124">
        <f t="shared" si="124"/>
        <v>0.16477348802084821</v>
      </c>
      <c r="G143" s="124">
        <f t="shared" si="124"/>
        <v>0.17586950702011861</v>
      </c>
      <c r="H143" s="124">
        <f t="shared" si="124"/>
        <v>0.18126746793287052</v>
      </c>
      <c r="I143" s="124">
        <f t="shared" si="124"/>
        <v>0.14555841052715135</v>
      </c>
      <c r="J143" s="124">
        <f t="shared" si="124"/>
        <v>0.10809401494656126</v>
      </c>
      <c r="K143" s="124">
        <f t="shared" si="124"/>
        <v>0.17538545972040318</v>
      </c>
      <c r="L143" s="124">
        <f t="shared" si="124"/>
        <v>0.21602403736975501</v>
      </c>
      <c r="M143" s="124">
        <f t="shared" si="124"/>
        <v>0.14548172310065968</v>
      </c>
      <c r="N143" s="124">
        <f t="shared" si="124"/>
        <v>0.13191179054164157</v>
      </c>
      <c r="O143" s="124">
        <f t="shared" si="124"/>
        <v>0.11703959028168294</v>
      </c>
      <c r="P143" s="124">
        <f t="shared" si="124"/>
        <v>9.0236404101636761E-2</v>
      </c>
      <c r="Q143" s="124">
        <f t="shared" si="124"/>
        <v>8.7153730613374822E-2</v>
      </c>
      <c r="R143" s="124">
        <f t="shared" si="124"/>
        <v>6.8617304101187979E-2</v>
      </c>
      <c r="S143" s="124">
        <f t="shared" si="124"/>
        <v>7.0597987675319246E-2</v>
      </c>
      <c r="T143" s="124">
        <f t="shared" si="124"/>
        <v>5.85934030229514E-2</v>
      </c>
      <c r="U143" s="124">
        <f t="shared" si="124"/>
        <v>6.0071598850090079E-2</v>
      </c>
      <c r="V143" s="124">
        <f t="shared" si="124"/>
        <v>5.2353635885859492E-2</v>
      </c>
      <c r="W143" s="124">
        <f t="shared" si="124"/>
        <v>5.1702368501373538E-2</v>
      </c>
      <c r="X143" s="124">
        <f t="shared" si="124"/>
        <v>3.7182048459011692E-2</v>
      </c>
      <c r="Y143" s="124">
        <f t="shared" si="124"/>
        <v>3.8596140850603471E-2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1.4933732801783429E-3</v>
      </c>
      <c r="C144" s="124">
        <f t="shared" ref="C144:Y144" si="125">IF(C52=0,0,C52/C$47)</f>
        <v>1.2257764823748573E-3</v>
      </c>
      <c r="D144" s="124">
        <f t="shared" si="125"/>
        <v>9.4408487276075666E-4</v>
      </c>
      <c r="E144" s="124">
        <f t="shared" si="125"/>
        <v>1.1858022824200328E-3</v>
      </c>
      <c r="F144" s="124">
        <f t="shared" si="125"/>
        <v>1.5260967505183664E-3</v>
      </c>
      <c r="G144" s="124">
        <f t="shared" si="125"/>
        <v>2.0924790447011759E-3</v>
      </c>
      <c r="H144" s="124">
        <f t="shared" si="125"/>
        <v>1.9809670471483726E-3</v>
      </c>
      <c r="I144" s="124">
        <f t="shared" si="125"/>
        <v>2.1267073031844539E-3</v>
      </c>
      <c r="J144" s="124">
        <f t="shared" si="125"/>
        <v>2.6384023172831119E-3</v>
      </c>
      <c r="K144" s="124">
        <f t="shared" si="125"/>
        <v>1.8056872486249434E-3</v>
      </c>
      <c r="L144" s="124">
        <f t="shared" si="125"/>
        <v>1.6942242075509977E-3</v>
      </c>
      <c r="M144" s="124">
        <f t="shared" si="125"/>
        <v>1.8521229754548433E-3</v>
      </c>
      <c r="N144" s="124">
        <f t="shared" si="125"/>
        <v>2.5969238290696971E-3</v>
      </c>
      <c r="O144" s="124">
        <f t="shared" si="125"/>
        <v>2.9999802938454828E-3</v>
      </c>
      <c r="P144" s="124">
        <f t="shared" si="125"/>
        <v>3.063005663924344E-3</v>
      </c>
      <c r="Q144" s="124">
        <f t="shared" si="125"/>
        <v>3.0299626705928458E-3</v>
      </c>
      <c r="R144" s="124">
        <f t="shared" si="125"/>
        <v>2.9037156556385516E-3</v>
      </c>
      <c r="S144" s="124">
        <f t="shared" si="125"/>
        <v>3.6116126521289786E-3</v>
      </c>
      <c r="T144" s="124">
        <f t="shared" si="125"/>
        <v>3.6581338958914088E-3</v>
      </c>
      <c r="U144" s="124">
        <f t="shared" si="125"/>
        <v>3.8809652282188493E-3</v>
      </c>
      <c r="V144" s="124">
        <f t="shared" si="125"/>
        <v>3.8693768576455304E-3</v>
      </c>
      <c r="W144" s="124">
        <f t="shared" si="125"/>
        <v>5.7636478017747154E-3</v>
      </c>
      <c r="X144" s="124">
        <f t="shared" si="125"/>
        <v>4.1358205153962978E-3</v>
      </c>
      <c r="Y144" s="124">
        <f t="shared" si="125"/>
        <v>2.5159848561276854E-3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1.2135747133443402E-3</v>
      </c>
      <c r="C146" s="140">
        <f t="shared" ref="C146:Y146" si="127">IF(C54=0,0,C54/C$47)</f>
        <v>9.9140323747721982E-4</v>
      </c>
      <c r="D146" s="140">
        <f t="shared" si="127"/>
        <v>7.9905054105090508E-4</v>
      </c>
      <c r="E146" s="140">
        <f t="shared" si="127"/>
        <v>9.9072705607423277E-4</v>
      </c>
      <c r="F146" s="140">
        <f t="shared" si="127"/>
        <v>1.3128884895114465E-3</v>
      </c>
      <c r="G146" s="140">
        <f t="shared" si="127"/>
        <v>1.6189064568670392E-3</v>
      </c>
      <c r="H146" s="140">
        <f t="shared" si="127"/>
        <v>1.7209572491740676E-3</v>
      </c>
      <c r="I146" s="140">
        <f t="shared" si="127"/>
        <v>1.983328172470033E-3</v>
      </c>
      <c r="J146" s="140">
        <f t="shared" si="127"/>
        <v>2.5505273933504689E-3</v>
      </c>
      <c r="K146" s="140">
        <f t="shared" si="127"/>
        <v>1.7808231765924091E-3</v>
      </c>
      <c r="L146" s="140">
        <f t="shared" si="127"/>
        <v>1.6365827927509874E-3</v>
      </c>
      <c r="M146" s="140">
        <f t="shared" si="127"/>
        <v>1.8240377966201749E-3</v>
      </c>
      <c r="N146" s="140">
        <f t="shared" si="127"/>
        <v>2.5659209825198339E-3</v>
      </c>
      <c r="O146" s="140">
        <f t="shared" si="127"/>
        <v>2.96723293643005E-3</v>
      </c>
      <c r="P146" s="140">
        <f t="shared" si="127"/>
        <v>3.0282501971570564E-3</v>
      </c>
      <c r="Q146" s="140">
        <f t="shared" si="127"/>
        <v>2.990707178415999E-3</v>
      </c>
      <c r="R146" s="140">
        <f t="shared" si="127"/>
        <v>2.6558574205613915E-3</v>
      </c>
      <c r="S146" s="140">
        <f t="shared" si="127"/>
        <v>3.5068559501638791E-3</v>
      </c>
      <c r="T146" s="140">
        <f t="shared" si="127"/>
        <v>3.6023054333038191E-3</v>
      </c>
      <c r="U146" s="140">
        <f t="shared" si="127"/>
        <v>3.7235110029233422E-3</v>
      </c>
      <c r="V146" s="140">
        <f t="shared" si="127"/>
        <v>3.7618215082247108E-3</v>
      </c>
      <c r="W146" s="140">
        <f t="shared" si="127"/>
        <v>5.1072314860837794E-3</v>
      </c>
      <c r="X146" s="140">
        <f t="shared" si="127"/>
        <v>3.7779981146932296E-3</v>
      </c>
      <c r="Y146" s="140">
        <f t="shared" si="127"/>
        <v>2.502869453658949E-3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2.7979856683400242E-4</v>
      </c>
      <c r="C147" s="140">
        <f t="shared" ref="C147:Y147" si="128">IF(C55=0,0,C55/C$47)</f>
        <v>2.343732448976375E-4</v>
      </c>
      <c r="D147" s="140">
        <f t="shared" si="128"/>
        <v>1.4503433170985164E-4</v>
      </c>
      <c r="E147" s="140">
        <f t="shared" si="128"/>
        <v>1.9507522634580013E-4</v>
      </c>
      <c r="F147" s="140">
        <f t="shared" si="128"/>
        <v>2.1320826100691993E-4</v>
      </c>
      <c r="G147" s="140">
        <f t="shared" si="128"/>
        <v>4.7357258783413685E-4</v>
      </c>
      <c r="H147" s="140">
        <f t="shared" si="128"/>
        <v>2.6000979797430481E-4</v>
      </c>
      <c r="I147" s="140">
        <f t="shared" si="128"/>
        <v>1.4337913071442107E-4</v>
      </c>
      <c r="J147" s="140">
        <f t="shared" si="128"/>
        <v>8.7874923932642721E-5</v>
      </c>
      <c r="K147" s="140">
        <f t="shared" si="128"/>
        <v>2.4864072032534378E-5</v>
      </c>
      <c r="L147" s="140">
        <f t="shared" si="128"/>
        <v>5.7641414800010488E-5</v>
      </c>
      <c r="M147" s="140">
        <f t="shared" si="128"/>
        <v>2.8085178834668506E-5</v>
      </c>
      <c r="N147" s="140">
        <f t="shared" si="128"/>
        <v>3.1002846549863147E-5</v>
      </c>
      <c r="O147" s="140">
        <f t="shared" si="128"/>
        <v>3.2747357415432933E-5</v>
      </c>
      <c r="P147" s="140">
        <f t="shared" si="128"/>
        <v>3.4755466767287238E-5</v>
      </c>
      <c r="Q147" s="140">
        <f t="shared" si="128"/>
        <v>3.9255492176846685E-5</v>
      </c>
      <c r="R147" s="140">
        <f t="shared" si="128"/>
        <v>2.4785823507715967E-4</v>
      </c>
      <c r="S147" s="140">
        <f t="shared" si="128"/>
        <v>1.0475670196509923E-4</v>
      </c>
      <c r="T147" s="140">
        <f t="shared" si="128"/>
        <v>5.5828462587589444E-5</v>
      </c>
      <c r="U147" s="140">
        <f t="shared" si="128"/>
        <v>1.5745422529550739E-4</v>
      </c>
      <c r="V147" s="140">
        <f t="shared" si="128"/>
        <v>1.0755534942081983E-4</v>
      </c>
      <c r="W147" s="140">
        <f t="shared" si="128"/>
        <v>6.564163156909359E-4</v>
      </c>
      <c r="X147" s="140">
        <f t="shared" si="128"/>
        <v>3.5782240070306859E-4</v>
      </c>
      <c r="Y147" s="140">
        <f t="shared" si="128"/>
        <v>1.3115402468736148E-5</v>
      </c>
      <c r="DA147" s="175"/>
    </row>
    <row r="148" spans="1:105" ht="11.45" customHeight="1" x14ac:dyDescent="0.25">
      <c r="A148" s="109" t="s">
        <v>141</v>
      </c>
      <c r="B148" s="124">
        <f t="shared" si="119"/>
        <v>3.9131752293645947E-2</v>
      </c>
      <c r="C148" s="124">
        <f t="shared" ref="C148:Y148" si="129">IF(C56=0,0,C56/C$47)</f>
        <v>3.537907791719614E-2</v>
      </c>
      <c r="D148" s="124">
        <f t="shared" si="129"/>
        <v>3.400553283003719E-2</v>
      </c>
      <c r="E148" s="124">
        <f t="shared" si="129"/>
        <v>3.991200336782303E-2</v>
      </c>
      <c r="F148" s="124">
        <f t="shared" si="129"/>
        <v>3.5240388584303263E-2</v>
      </c>
      <c r="G148" s="124">
        <f t="shared" si="129"/>
        <v>3.5036663284144197E-2</v>
      </c>
      <c r="H148" s="124">
        <f t="shared" si="129"/>
        <v>3.0292031980591719E-2</v>
      </c>
      <c r="I148" s="124">
        <f t="shared" si="129"/>
        <v>3.3909395666994635E-2</v>
      </c>
      <c r="J148" s="124">
        <f t="shared" si="129"/>
        <v>3.1358736547899703E-2</v>
      </c>
      <c r="K148" s="124">
        <f t="shared" si="129"/>
        <v>4.2252105262253613E-2</v>
      </c>
      <c r="L148" s="124">
        <f t="shared" si="129"/>
        <v>3.6052401436727562E-2</v>
      </c>
      <c r="M148" s="124">
        <f t="shared" si="129"/>
        <v>2.2784622485792862E-2</v>
      </c>
      <c r="N148" s="124">
        <f t="shared" si="129"/>
        <v>1.859141651886146E-2</v>
      </c>
      <c r="O148" s="124">
        <f t="shared" si="129"/>
        <v>1.9580349386078385E-2</v>
      </c>
      <c r="P148" s="124">
        <f t="shared" si="129"/>
        <v>3.0756848745923063E-2</v>
      </c>
      <c r="Q148" s="124">
        <f t="shared" si="129"/>
        <v>3.1501832749031046E-2</v>
      </c>
      <c r="R148" s="124">
        <f t="shared" si="129"/>
        <v>2.7223776607099234E-2</v>
      </c>
      <c r="S148" s="124">
        <f t="shared" si="129"/>
        <v>3.6359794034995195E-2</v>
      </c>
      <c r="T148" s="124">
        <f t="shared" si="129"/>
        <v>3.4270013911683897E-2</v>
      </c>
      <c r="U148" s="124">
        <f t="shared" si="129"/>
        <v>2.8053499552564438E-2</v>
      </c>
      <c r="V148" s="124">
        <f t="shared" si="129"/>
        <v>3.5280635037604355E-2</v>
      </c>
      <c r="W148" s="124">
        <f t="shared" si="129"/>
        <v>2.7423818237400126E-2</v>
      </c>
      <c r="X148" s="124">
        <f t="shared" si="129"/>
        <v>2.5198764568427498E-2</v>
      </c>
      <c r="Y148" s="124">
        <f t="shared" si="129"/>
        <v>2.7562368090672463E-2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3.9131752293645947E-2</v>
      </c>
      <c r="C149" s="140">
        <f t="shared" ref="C149:Y149" si="130">IF(C57=0,0,C57/C$47)</f>
        <v>3.537907791719614E-2</v>
      </c>
      <c r="D149" s="140">
        <f t="shared" si="130"/>
        <v>3.400553283003719E-2</v>
      </c>
      <c r="E149" s="140">
        <f t="shared" si="130"/>
        <v>3.991200336782303E-2</v>
      </c>
      <c r="F149" s="140">
        <f t="shared" si="130"/>
        <v>3.5240388584303263E-2</v>
      </c>
      <c r="G149" s="140">
        <f t="shared" si="130"/>
        <v>3.5036663284144197E-2</v>
      </c>
      <c r="H149" s="140">
        <f t="shared" si="130"/>
        <v>3.0292031980591719E-2</v>
      </c>
      <c r="I149" s="140">
        <f t="shared" si="130"/>
        <v>3.3909395666994635E-2</v>
      </c>
      <c r="J149" s="140">
        <f t="shared" si="130"/>
        <v>3.1358736547899703E-2</v>
      </c>
      <c r="K149" s="140">
        <f t="shared" si="130"/>
        <v>4.2252105262253613E-2</v>
      </c>
      <c r="L149" s="140">
        <f t="shared" si="130"/>
        <v>3.6052401436727562E-2</v>
      </c>
      <c r="M149" s="140">
        <f t="shared" si="130"/>
        <v>2.2784622485792862E-2</v>
      </c>
      <c r="N149" s="140">
        <f t="shared" si="130"/>
        <v>1.859141651886146E-2</v>
      </c>
      <c r="O149" s="140">
        <f t="shared" si="130"/>
        <v>1.9580349386078385E-2</v>
      </c>
      <c r="P149" s="140">
        <f t="shared" si="130"/>
        <v>3.0756848745923063E-2</v>
      </c>
      <c r="Q149" s="140">
        <f t="shared" si="130"/>
        <v>3.1501832749031046E-2</v>
      </c>
      <c r="R149" s="140">
        <f t="shared" si="130"/>
        <v>2.7223776607099234E-2</v>
      </c>
      <c r="S149" s="140">
        <f t="shared" si="130"/>
        <v>3.6359794034995195E-2</v>
      </c>
      <c r="T149" s="140">
        <f t="shared" si="130"/>
        <v>3.4270013911683897E-2</v>
      </c>
      <c r="U149" s="140">
        <f t="shared" si="130"/>
        <v>2.8053499552564438E-2</v>
      </c>
      <c r="V149" s="140">
        <f t="shared" si="130"/>
        <v>3.5280635037604355E-2</v>
      </c>
      <c r="W149" s="140">
        <f t="shared" si="130"/>
        <v>2.7423818237400126E-2</v>
      </c>
      <c r="X149" s="140">
        <f t="shared" si="130"/>
        <v>2.5198764568427498E-2</v>
      </c>
      <c r="Y149" s="140">
        <f t="shared" si="130"/>
        <v>2.7562368090672463E-2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0.56898152089447251</v>
      </c>
      <c r="C152" s="140">
        <f t="shared" si="133"/>
        <v>0.56902001889361509</v>
      </c>
      <c r="D152" s="140">
        <f t="shared" si="133"/>
        <v>0.56714884670342447</v>
      </c>
      <c r="E152" s="140">
        <f t="shared" si="133"/>
        <v>0.58554579379999494</v>
      </c>
      <c r="F152" s="140">
        <f t="shared" si="133"/>
        <v>0.53547437045737889</v>
      </c>
      <c r="G152" s="140">
        <f t="shared" si="133"/>
        <v>0.48451429207387836</v>
      </c>
      <c r="H152" s="140">
        <f t="shared" si="133"/>
        <v>0.48993601484689109</v>
      </c>
      <c r="I152" s="140">
        <f t="shared" si="133"/>
        <v>0.4874277316081852</v>
      </c>
      <c r="J152" s="140">
        <f t="shared" si="133"/>
        <v>0.47721411734102215</v>
      </c>
      <c r="K152" s="140">
        <f t="shared" si="133"/>
        <v>0.4571372630226358</v>
      </c>
      <c r="L152" s="140">
        <f t="shared" si="133"/>
        <v>0.44892123589170324</v>
      </c>
      <c r="M152" s="140">
        <f t="shared" si="133"/>
        <v>0.46425403170921464</v>
      </c>
      <c r="N152" s="140">
        <f t="shared" si="133"/>
        <v>0.37711067213262101</v>
      </c>
      <c r="O152" s="140">
        <f t="shared" si="133"/>
        <v>0.49425088602450296</v>
      </c>
      <c r="P152" s="140">
        <f t="shared" si="133"/>
        <v>0.49407676109513632</v>
      </c>
      <c r="Q152" s="140">
        <f t="shared" si="133"/>
        <v>0.4605772088586359</v>
      </c>
      <c r="R152" s="140">
        <f t="shared" si="133"/>
        <v>0.4514349109880037</v>
      </c>
      <c r="S152" s="140">
        <f t="shared" si="133"/>
        <v>0.46364929734345189</v>
      </c>
      <c r="T152" s="140">
        <f t="shared" si="133"/>
        <v>0.46597669857980017</v>
      </c>
      <c r="U152" s="140">
        <f t="shared" si="133"/>
        <v>0.44576910529735209</v>
      </c>
      <c r="V152" s="140">
        <f t="shared" si="133"/>
        <v>0.35603166046543927</v>
      </c>
      <c r="W152" s="140">
        <f t="shared" si="133"/>
        <v>0.39148353787326318</v>
      </c>
      <c r="X152" s="140">
        <f t="shared" si="133"/>
        <v>0.50338532163494087</v>
      </c>
      <c r="Y152" s="140">
        <f t="shared" si="133"/>
        <v>0.60312490127720808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0.43101847910552737</v>
      </c>
      <c r="C153" s="127">
        <f t="shared" si="134"/>
        <v>0.43097998110638497</v>
      </c>
      <c r="D153" s="127">
        <f t="shared" si="134"/>
        <v>0.43285115329657547</v>
      </c>
      <c r="E153" s="127">
        <f t="shared" si="134"/>
        <v>0.41445420620000512</v>
      </c>
      <c r="F153" s="127">
        <f t="shared" si="134"/>
        <v>0.464525629542621</v>
      </c>
      <c r="G153" s="127">
        <f t="shared" si="134"/>
        <v>0.51548570792612169</v>
      </c>
      <c r="H153" s="127">
        <f t="shared" si="134"/>
        <v>0.51006398515310891</v>
      </c>
      <c r="I153" s="127">
        <f t="shared" si="134"/>
        <v>0.51257226839181491</v>
      </c>
      <c r="J153" s="127">
        <f t="shared" si="134"/>
        <v>0.52278588265897774</v>
      </c>
      <c r="K153" s="127">
        <f t="shared" si="134"/>
        <v>0.54286273697736409</v>
      </c>
      <c r="L153" s="127">
        <f t="shared" si="134"/>
        <v>0.5510787641082967</v>
      </c>
      <c r="M153" s="127">
        <f t="shared" si="134"/>
        <v>0.53574596829078547</v>
      </c>
      <c r="N153" s="127">
        <f t="shared" si="134"/>
        <v>0.62288932786737894</v>
      </c>
      <c r="O153" s="127">
        <f t="shared" si="134"/>
        <v>0.50574911397549716</v>
      </c>
      <c r="P153" s="127">
        <f t="shared" si="134"/>
        <v>0.50592323890486368</v>
      </c>
      <c r="Q153" s="127">
        <f t="shared" si="134"/>
        <v>0.53942279114136404</v>
      </c>
      <c r="R153" s="127">
        <f t="shared" si="134"/>
        <v>0.5485650890119963</v>
      </c>
      <c r="S153" s="127">
        <f t="shared" si="134"/>
        <v>0.53635070265654805</v>
      </c>
      <c r="T153" s="127">
        <f t="shared" si="134"/>
        <v>0.53402330142019983</v>
      </c>
      <c r="U153" s="127">
        <f t="shared" si="134"/>
        <v>0.55423089470264797</v>
      </c>
      <c r="V153" s="127">
        <f t="shared" si="134"/>
        <v>0.64396833953456079</v>
      </c>
      <c r="W153" s="127">
        <f t="shared" si="134"/>
        <v>0.60851646212673682</v>
      </c>
      <c r="X153" s="127">
        <f t="shared" si="134"/>
        <v>0.49661467836505901</v>
      </c>
      <c r="Y153" s="127">
        <f t="shared" si="134"/>
        <v>0.39687509872279192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0.93849005312443579</v>
      </c>
      <c r="C157" s="139">
        <f t="shared" ref="C157:W157" si="138">IF(C65=0,0,C65/C$64)</f>
        <v>0.96004976885280136</v>
      </c>
      <c r="D157" s="139">
        <f t="shared" si="138"/>
        <v>0.9579740589446577</v>
      </c>
      <c r="E157" s="139">
        <f t="shared" si="138"/>
        <v>0.95095831716082713</v>
      </c>
      <c r="F157" s="139">
        <f t="shared" si="138"/>
        <v>0.92936770341010444</v>
      </c>
      <c r="G157" s="139">
        <f t="shared" si="138"/>
        <v>0.9002814514560179</v>
      </c>
      <c r="H157" s="139">
        <f t="shared" si="138"/>
        <v>0.90642682717230227</v>
      </c>
      <c r="I157" s="139">
        <f t="shared" si="138"/>
        <v>0.8995534376651162</v>
      </c>
      <c r="J157" s="139">
        <f t="shared" si="138"/>
        <v>0.88554221419820556</v>
      </c>
      <c r="K157" s="139">
        <f t="shared" si="138"/>
        <v>0.92984181657433196</v>
      </c>
      <c r="L157" s="139">
        <f t="shared" si="138"/>
        <v>0.93516337555136542</v>
      </c>
      <c r="M157" s="139">
        <f t="shared" si="138"/>
        <v>0.91570889137950462</v>
      </c>
      <c r="N157" s="139">
        <f t="shared" si="138"/>
        <v>0.89651901766720721</v>
      </c>
      <c r="O157" s="139">
        <f t="shared" si="138"/>
        <v>0.91376299491590662</v>
      </c>
      <c r="P157" s="139">
        <f t="shared" si="138"/>
        <v>0.91475610674270513</v>
      </c>
      <c r="Q157" s="139">
        <f t="shared" si="138"/>
        <v>0.91490911126680619</v>
      </c>
      <c r="R157" s="139">
        <f t="shared" si="138"/>
        <v>0.92410072997877402</v>
      </c>
      <c r="S157" s="139">
        <f t="shared" si="138"/>
        <v>0.90798853143337355</v>
      </c>
      <c r="T157" s="139">
        <f t="shared" si="138"/>
        <v>0.89542370636992563</v>
      </c>
      <c r="U157" s="139">
        <f t="shared" si="138"/>
        <v>0.89391935705379266</v>
      </c>
      <c r="V157" s="139">
        <f t="shared" si="138"/>
        <v>0.95235517603553987</v>
      </c>
      <c r="W157" s="139">
        <f t="shared" si="138"/>
        <v>0.9282572197391723</v>
      </c>
      <c r="X157" s="139">
        <f t="shared" ref="X157:Y157" si="139">IF(X65=0,0,X65/X$64)</f>
        <v>0.90579708282780025</v>
      </c>
      <c r="Y157" s="139">
        <f t="shared" si="139"/>
        <v>0.9160284761675741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1.0965993371799948E-3</v>
      </c>
      <c r="C158" s="140">
        <f t="shared" ref="C158:W158" si="140">IF(C66=0,0,C66/C$64)</f>
        <v>9.1249595570443219E-4</v>
      </c>
      <c r="D158" s="140">
        <f t="shared" si="140"/>
        <v>9.7220876225479001E-4</v>
      </c>
      <c r="E158" s="140">
        <f t="shared" si="140"/>
        <v>1.0845076542540721E-3</v>
      </c>
      <c r="F158" s="140">
        <f t="shared" si="140"/>
        <v>1.1434998779323773E-3</v>
      </c>
      <c r="G158" s="140">
        <f t="shared" si="140"/>
        <v>1.1429115118423577E-3</v>
      </c>
      <c r="H158" s="140">
        <f t="shared" si="140"/>
        <v>1.2576567435402493E-3</v>
      </c>
      <c r="I158" s="140">
        <f t="shared" si="140"/>
        <v>1.3641055519588898E-3</v>
      </c>
      <c r="J158" s="140">
        <f t="shared" si="140"/>
        <v>1.6125543668414517E-3</v>
      </c>
      <c r="K158" s="140">
        <f t="shared" si="140"/>
        <v>1.8577712699804727E-3</v>
      </c>
      <c r="L158" s="140">
        <f t="shared" si="140"/>
        <v>1.9044805233740874E-3</v>
      </c>
      <c r="M158" s="140">
        <f t="shared" si="140"/>
        <v>2.133869722242835E-3</v>
      </c>
      <c r="N158" s="140">
        <f t="shared" si="140"/>
        <v>2.9279758424984497E-3</v>
      </c>
      <c r="O158" s="140">
        <f t="shared" si="140"/>
        <v>3.2606812087602336E-3</v>
      </c>
      <c r="P158" s="140">
        <f t="shared" si="140"/>
        <v>3.4064246450195325E-3</v>
      </c>
      <c r="Q158" s="140">
        <f t="shared" si="140"/>
        <v>3.4772436677004133E-3</v>
      </c>
      <c r="R158" s="140">
        <f t="shared" si="140"/>
        <v>3.6229285942183764E-3</v>
      </c>
      <c r="S158" s="140">
        <f t="shared" si="140"/>
        <v>3.2034427287971757E-3</v>
      </c>
      <c r="T158" s="140">
        <f t="shared" si="140"/>
        <v>2.9330625207722163E-3</v>
      </c>
      <c r="U158" s="140">
        <f t="shared" si="140"/>
        <v>3.1351538410888747E-3</v>
      </c>
      <c r="V158" s="140">
        <f t="shared" si="140"/>
        <v>3.2246388006688009E-3</v>
      </c>
      <c r="W158" s="140">
        <f t="shared" si="140"/>
        <v>3.2251093531584347E-3</v>
      </c>
      <c r="X158" s="140">
        <f t="shared" ref="X158:Y158" si="141">IF(X66=0,0,X66/X$64)</f>
        <v>3.205148690472095E-3</v>
      </c>
      <c r="Y158" s="140">
        <f t="shared" si="141"/>
        <v>3.565889714771064E-3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0.70974767239449421</v>
      </c>
      <c r="C159" s="140">
        <f t="shared" ref="C159:W159" si="142">IF(C67=0,0,C67/C$64)</f>
        <v>0.7361343480398812</v>
      </c>
      <c r="D159" s="140">
        <f t="shared" si="142"/>
        <v>0.70916534316238955</v>
      </c>
      <c r="E159" s="140">
        <f t="shared" si="142"/>
        <v>0.72509601797147927</v>
      </c>
      <c r="F159" s="140">
        <f t="shared" si="142"/>
        <v>0.7068523226458715</v>
      </c>
      <c r="G159" s="140">
        <f t="shared" si="142"/>
        <v>0.68924664839005034</v>
      </c>
      <c r="H159" s="140">
        <f t="shared" si="142"/>
        <v>0.71039708242190513</v>
      </c>
      <c r="I159" s="140">
        <f t="shared" si="142"/>
        <v>0.74132651872130606</v>
      </c>
      <c r="J159" s="140">
        <f t="shared" si="142"/>
        <v>0.73943956201998018</v>
      </c>
      <c r="K159" s="140">
        <f t="shared" si="142"/>
        <v>0.78833851110103093</v>
      </c>
      <c r="L159" s="140">
        <f t="shared" si="142"/>
        <v>0.78504552818121298</v>
      </c>
      <c r="M159" s="140">
        <f t="shared" si="142"/>
        <v>0.76952434467296271</v>
      </c>
      <c r="N159" s="140">
        <f t="shared" si="142"/>
        <v>0.75446360275136681</v>
      </c>
      <c r="O159" s="140">
        <f t="shared" si="142"/>
        <v>0.76806640891108524</v>
      </c>
      <c r="P159" s="140">
        <f t="shared" si="142"/>
        <v>0.76598634934550236</v>
      </c>
      <c r="Q159" s="140">
        <f t="shared" si="142"/>
        <v>0.77094793269571038</v>
      </c>
      <c r="R159" s="140">
        <f t="shared" si="142"/>
        <v>0.76896122783868637</v>
      </c>
      <c r="S159" s="140">
        <f t="shared" si="142"/>
        <v>0.74482476644033579</v>
      </c>
      <c r="T159" s="140">
        <f t="shared" si="142"/>
        <v>0.74009867202076574</v>
      </c>
      <c r="U159" s="140">
        <f t="shared" si="142"/>
        <v>0.74795597820204218</v>
      </c>
      <c r="V159" s="140">
        <f t="shared" si="142"/>
        <v>0.79544845188271895</v>
      </c>
      <c r="W159" s="140">
        <f t="shared" si="142"/>
        <v>0.76726824043178776</v>
      </c>
      <c r="X159" s="140">
        <f t="shared" ref="X159:Y159" si="143">IF(X67=0,0,X67/X$64)</f>
        <v>0.75702968215577593</v>
      </c>
      <c r="Y159" s="140">
        <f t="shared" si="143"/>
        <v>0.79888044806757297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0.22764578139276154</v>
      </c>
      <c r="C160" s="140">
        <f t="shared" ref="C160:W160" si="144">IF(C68=0,0,C68/C$64)</f>
        <v>0.22300292485721562</v>
      </c>
      <c r="D160" s="140">
        <f t="shared" si="144"/>
        <v>0.24783650702001334</v>
      </c>
      <c r="E160" s="140">
        <f t="shared" si="144"/>
        <v>0.22477779153509389</v>
      </c>
      <c r="F160" s="140">
        <f t="shared" si="144"/>
        <v>0.22137188088630058</v>
      </c>
      <c r="G160" s="140">
        <f t="shared" si="144"/>
        <v>0.20989189155412519</v>
      </c>
      <c r="H160" s="140">
        <f t="shared" si="144"/>
        <v>0.1947720880068568</v>
      </c>
      <c r="I160" s="140">
        <f t="shared" si="144"/>
        <v>0.15686281339185132</v>
      </c>
      <c r="J160" s="140">
        <f t="shared" si="144"/>
        <v>0.14449009781138389</v>
      </c>
      <c r="K160" s="140">
        <f t="shared" si="144"/>
        <v>0.13964553420332054</v>
      </c>
      <c r="L160" s="140">
        <f t="shared" si="144"/>
        <v>0.14821336684677835</v>
      </c>
      <c r="M160" s="140">
        <f t="shared" si="144"/>
        <v>0.14405067698429896</v>
      </c>
      <c r="N160" s="140">
        <f t="shared" si="144"/>
        <v>0.1391274390733421</v>
      </c>
      <c r="O160" s="140">
        <f t="shared" si="144"/>
        <v>0.14243590479606111</v>
      </c>
      <c r="P160" s="140">
        <f t="shared" si="144"/>
        <v>0.14536333275218336</v>
      </c>
      <c r="Q160" s="140">
        <f t="shared" si="144"/>
        <v>0.14048393490339542</v>
      </c>
      <c r="R160" s="140">
        <f t="shared" si="144"/>
        <v>0.15151657354586923</v>
      </c>
      <c r="S160" s="140">
        <f t="shared" si="144"/>
        <v>0.15996032226424056</v>
      </c>
      <c r="T160" s="140">
        <f t="shared" si="144"/>
        <v>0.15239197182838765</v>
      </c>
      <c r="U160" s="140">
        <f t="shared" si="144"/>
        <v>0.14282822501066159</v>
      </c>
      <c r="V160" s="140">
        <f t="shared" si="144"/>
        <v>0.15368208535215203</v>
      </c>
      <c r="W160" s="140">
        <f t="shared" si="144"/>
        <v>0.15776386995422609</v>
      </c>
      <c r="X160" s="140">
        <f t="shared" ref="X160:Y160" si="145">IF(X68=0,0,X68/X$64)</f>
        <v>0.14556225198155234</v>
      </c>
      <c r="Y160" s="140">
        <f t="shared" si="145"/>
        <v>0.11358213838523014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8.2183161926880789E-3</v>
      </c>
      <c r="C161" s="124">
        <f t="shared" ref="C161:W161" si="146">IF(C69=0,0,C69/C$64)</f>
        <v>3.7299093272977271E-3</v>
      </c>
      <c r="D161" s="124">
        <f t="shared" si="146"/>
        <v>3.6820628020685668E-3</v>
      </c>
      <c r="E161" s="124">
        <f t="shared" si="146"/>
        <v>3.4788928043726769E-3</v>
      </c>
      <c r="F161" s="124">
        <f t="shared" si="146"/>
        <v>3.5236244331895241E-3</v>
      </c>
      <c r="G161" s="124">
        <f t="shared" si="146"/>
        <v>3.6793762011641498E-3</v>
      </c>
      <c r="H161" s="124">
        <f t="shared" si="146"/>
        <v>3.8420743232517288E-3</v>
      </c>
      <c r="I161" s="124">
        <f t="shared" si="146"/>
        <v>4.532352701361036E-3</v>
      </c>
      <c r="J161" s="124">
        <f t="shared" si="146"/>
        <v>3.2360087359753747E-3</v>
      </c>
      <c r="K161" s="124">
        <f t="shared" si="146"/>
        <v>3.4282048775013444E-3</v>
      </c>
      <c r="L161" s="124">
        <f t="shared" si="146"/>
        <v>3.9357389079321516E-3</v>
      </c>
      <c r="M161" s="124">
        <f t="shared" si="146"/>
        <v>3.863068692601656E-3</v>
      </c>
      <c r="N161" s="124">
        <f t="shared" si="146"/>
        <v>2.8667470062696109E-3</v>
      </c>
      <c r="O161" s="124">
        <f t="shared" si="146"/>
        <v>3.8148007370593312E-3</v>
      </c>
      <c r="P161" s="124">
        <f t="shared" si="146"/>
        <v>4.2923796922258927E-3</v>
      </c>
      <c r="Q161" s="124">
        <f t="shared" si="146"/>
        <v>4.0975968281023734E-3</v>
      </c>
      <c r="R161" s="124">
        <f t="shared" si="146"/>
        <v>3.9645488550472978E-3</v>
      </c>
      <c r="S161" s="124">
        <f t="shared" si="146"/>
        <v>4.4710568358806262E-3</v>
      </c>
      <c r="T161" s="124">
        <f t="shared" si="146"/>
        <v>5.494111373366385E-3</v>
      </c>
      <c r="U161" s="124">
        <f t="shared" si="146"/>
        <v>7.0479228207040974E-3</v>
      </c>
      <c r="V161" s="124">
        <f t="shared" si="146"/>
        <v>8.4780357416804064E-3</v>
      </c>
      <c r="W161" s="124">
        <f t="shared" si="146"/>
        <v>4.6129278805786432E-3</v>
      </c>
      <c r="X161" s="124">
        <f t="shared" ref="X161:Y161" si="147">IF(X69=0,0,X69/X$64)</f>
        <v>6.5139098323882252E-3</v>
      </c>
      <c r="Y161" s="124">
        <f t="shared" si="147"/>
        <v>7.8203967069011698E-3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8.2183161926880789E-3</v>
      </c>
      <c r="C163" s="140">
        <f t="shared" ref="C163:W163" si="150">IF(C71=0,0,C71/C$64)</f>
        <v>3.7299093272977271E-3</v>
      </c>
      <c r="D163" s="140">
        <f t="shared" si="150"/>
        <v>3.6820628020685668E-3</v>
      </c>
      <c r="E163" s="140">
        <f t="shared" si="150"/>
        <v>3.4788928043726769E-3</v>
      </c>
      <c r="F163" s="140">
        <f t="shared" si="150"/>
        <v>3.5236244331895241E-3</v>
      </c>
      <c r="G163" s="140">
        <f t="shared" si="150"/>
        <v>3.6793762011641498E-3</v>
      </c>
      <c r="H163" s="140">
        <f t="shared" si="150"/>
        <v>3.8420743232517288E-3</v>
      </c>
      <c r="I163" s="140">
        <f t="shared" si="150"/>
        <v>4.532352701361036E-3</v>
      </c>
      <c r="J163" s="140">
        <f t="shared" si="150"/>
        <v>3.2360087359753747E-3</v>
      </c>
      <c r="K163" s="140">
        <f t="shared" si="150"/>
        <v>3.4282048775013444E-3</v>
      </c>
      <c r="L163" s="140">
        <f t="shared" si="150"/>
        <v>3.9357389079321516E-3</v>
      </c>
      <c r="M163" s="140">
        <f t="shared" si="150"/>
        <v>3.863068692601656E-3</v>
      </c>
      <c r="N163" s="140">
        <f t="shared" si="150"/>
        <v>2.8667470062696109E-3</v>
      </c>
      <c r="O163" s="140">
        <f t="shared" si="150"/>
        <v>3.8148007370593312E-3</v>
      </c>
      <c r="P163" s="140">
        <f t="shared" si="150"/>
        <v>4.2923796922258927E-3</v>
      </c>
      <c r="Q163" s="140">
        <f t="shared" si="150"/>
        <v>4.0975968281023734E-3</v>
      </c>
      <c r="R163" s="140">
        <f t="shared" si="150"/>
        <v>3.9645488550472978E-3</v>
      </c>
      <c r="S163" s="140">
        <f t="shared" si="150"/>
        <v>4.4710568358806262E-3</v>
      </c>
      <c r="T163" s="140">
        <f t="shared" si="150"/>
        <v>5.494111373366385E-3</v>
      </c>
      <c r="U163" s="140">
        <f t="shared" si="150"/>
        <v>7.0479228207040974E-3</v>
      </c>
      <c r="V163" s="140">
        <f t="shared" si="150"/>
        <v>8.4780357416804064E-3</v>
      </c>
      <c r="W163" s="140">
        <f t="shared" si="150"/>
        <v>4.6129278805786432E-3</v>
      </c>
      <c r="X163" s="140">
        <f t="shared" ref="X163:Y163" si="151">IF(X71=0,0,X71/X$64)</f>
        <v>6.5139098323882252E-3</v>
      </c>
      <c r="Y163" s="140">
        <f t="shared" si="151"/>
        <v>7.8203967069011698E-3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5.3291630682876158E-2</v>
      </c>
      <c r="C165" s="124">
        <f t="shared" ref="C165:W165" si="154">IF(C73=0,0,C73/C$64)</f>
        <v>3.6220321819900939E-2</v>
      </c>
      <c r="D165" s="124">
        <f t="shared" si="154"/>
        <v>3.8343878253273601E-2</v>
      </c>
      <c r="E165" s="124">
        <f t="shared" si="154"/>
        <v>4.5562790034800189E-2</v>
      </c>
      <c r="F165" s="124">
        <f t="shared" si="154"/>
        <v>6.7108672156705962E-2</v>
      </c>
      <c r="G165" s="124">
        <f t="shared" si="154"/>
        <v>9.6039172342817863E-2</v>
      </c>
      <c r="H165" s="124">
        <f t="shared" si="154"/>
        <v>8.9731098504446091E-2</v>
      </c>
      <c r="I165" s="124">
        <f t="shared" si="154"/>
        <v>9.5914209633522776E-2</v>
      </c>
      <c r="J165" s="124">
        <f t="shared" si="154"/>
        <v>0.11122177706581909</v>
      </c>
      <c r="K165" s="124">
        <f t="shared" si="154"/>
        <v>6.6729978548166716E-2</v>
      </c>
      <c r="L165" s="124">
        <f t="shared" si="154"/>
        <v>6.0900885540702394E-2</v>
      </c>
      <c r="M165" s="124">
        <f t="shared" si="154"/>
        <v>8.0428039927893796E-2</v>
      </c>
      <c r="N165" s="124">
        <f t="shared" si="154"/>
        <v>0.10061423532652317</v>
      </c>
      <c r="O165" s="124">
        <f t="shared" si="154"/>
        <v>8.2422204347034081E-2</v>
      </c>
      <c r="P165" s="124">
        <f t="shared" si="154"/>
        <v>8.0951513565068911E-2</v>
      </c>
      <c r="Q165" s="124">
        <f t="shared" si="154"/>
        <v>8.09932919050914E-2</v>
      </c>
      <c r="R165" s="124">
        <f t="shared" si="154"/>
        <v>7.1934721166178606E-2</v>
      </c>
      <c r="S165" s="124">
        <f t="shared" si="154"/>
        <v>8.7540411730745837E-2</v>
      </c>
      <c r="T165" s="124">
        <f t="shared" si="154"/>
        <v>9.9082182256707979E-2</v>
      </c>
      <c r="U165" s="124">
        <f t="shared" si="154"/>
        <v>9.9032720125503071E-2</v>
      </c>
      <c r="V165" s="124">
        <f t="shared" si="154"/>
        <v>3.9166788222779823E-2</v>
      </c>
      <c r="W165" s="124">
        <f t="shared" si="154"/>
        <v>6.7129852380249044E-2</v>
      </c>
      <c r="X165" s="124">
        <f t="shared" ref="X165:Y165" si="155">IF(X73=0,0,X73/X$64)</f>
        <v>8.768900733981147E-2</v>
      </c>
      <c r="Y165" s="124">
        <f t="shared" si="155"/>
        <v>7.6151127125524756E-2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4.9246070531437244E-2</v>
      </c>
      <c r="C167" s="140">
        <f t="shared" ref="C167:W167" si="158">IF(C75=0,0,C75/C$64)</f>
        <v>3.3467089780169407E-2</v>
      </c>
      <c r="D167" s="140">
        <f t="shared" si="158"/>
        <v>3.5241350099404496E-2</v>
      </c>
      <c r="E167" s="140">
        <f t="shared" si="158"/>
        <v>4.1278454508678501E-2</v>
      </c>
      <c r="F167" s="140">
        <f t="shared" si="158"/>
        <v>5.9396803099791201E-2</v>
      </c>
      <c r="G167" s="140">
        <f t="shared" si="158"/>
        <v>8.6267918018103226E-2</v>
      </c>
      <c r="H167" s="140">
        <f t="shared" si="158"/>
        <v>8.0886007070928689E-2</v>
      </c>
      <c r="I167" s="140">
        <f t="shared" si="158"/>
        <v>8.6663313597109715E-2</v>
      </c>
      <c r="J167" s="140">
        <f t="shared" si="158"/>
        <v>9.999487322407398E-2</v>
      </c>
      <c r="K167" s="140">
        <f t="shared" si="158"/>
        <v>5.9017368059890656E-2</v>
      </c>
      <c r="L167" s="140">
        <f t="shared" si="158"/>
        <v>5.38235647678744E-2</v>
      </c>
      <c r="M167" s="140">
        <f t="shared" si="158"/>
        <v>7.2609064907660156E-2</v>
      </c>
      <c r="N167" s="140">
        <f t="shared" si="158"/>
        <v>8.9884372171226495E-2</v>
      </c>
      <c r="O167" s="140">
        <f t="shared" si="158"/>
        <v>7.3045219965372041E-2</v>
      </c>
      <c r="P167" s="140">
        <f t="shared" si="158"/>
        <v>7.1788950200145224E-2</v>
      </c>
      <c r="Q167" s="140">
        <f t="shared" si="158"/>
        <v>7.1871141984509876E-2</v>
      </c>
      <c r="R167" s="140">
        <f t="shared" si="158"/>
        <v>6.4033800441068434E-2</v>
      </c>
      <c r="S167" s="140">
        <f t="shared" si="158"/>
        <v>7.8244835941002094E-2</v>
      </c>
      <c r="T167" s="140">
        <f t="shared" si="158"/>
        <v>8.8961064951912791E-2</v>
      </c>
      <c r="U167" s="140">
        <f t="shared" si="158"/>
        <v>8.8634546668955191E-2</v>
      </c>
      <c r="V167" s="140">
        <f t="shared" si="158"/>
        <v>3.3860753226194369E-2</v>
      </c>
      <c r="W167" s="140">
        <f t="shared" si="158"/>
        <v>5.9184051103616887E-2</v>
      </c>
      <c r="X167" s="140">
        <f t="shared" ref="X167:Y167" si="159">IF(X75=0,0,X75/X$64)</f>
        <v>7.9121586293577059E-2</v>
      </c>
      <c r="Y167" s="140">
        <f t="shared" si="159"/>
        <v>6.8239630323778153E-2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4.0455601514389136E-3</v>
      </c>
      <c r="C168" s="140">
        <f t="shared" ref="C168:W168" si="160">IF(C76=0,0,C76/C$64)</f>
        <v>2.753232039731534E-3</v>
      </c>
      <c r="D168" s="140">
        <f t="shared" si="160"/>
        <v>3.1025281538691043E-3</v>
      </c>
      <c r="E168" s="140">
        <f t="shared" si="160"/>
        <v>4.2843355261216846E-3</v>
      </c>
      <c r="F168" s="140">
        <f t="shared" si="160"/>
        <v>7.7118690569147538E-3</v>
      </c>
      <c r="G168" s="140">
        <f t="shared" si="160"/>
        <v>9.7712543247146337E-3</v>
      </c>
      <c r="H168" s="140">
        <f t="shared" si="160"/>
        <v>8.8450914335174088E-3</v>
      </c>
      <c r="I168" s="140">
        <f t="shared" si="160"/>
        <v>9.2508960364130546E-3</v>
      </c>
      <c r="J168" s="140">
        <f t="shared" si="160"/>
        <v>1.1226903841745108E-2</v>
      </c>
      <c r="K168" s="140">
        <f t="shared" si="160"/>
        <v>7.7126104882760541E-3</v>
      </c>
      <c r="L168" s="140">
        <f t="shared" si="160"/>
        <v>7.0773207728279984E-3</v>
      </c>
      <c r="M168" s="140">
        <f t="shared" si="160"/>
        <v>7.8189750202336383E-3</v>
      </c>
      <c r="N168" s="140">
        <f t="shared" si="160"/>
        <v>1.0729863155296665E-2</v>
      </c>
      <c r="O168" s="140">
        <f t="shared" si="160"/>
        <v>9.3769843816620332E-3</v>
      </c>
      <c r="P168" s="140">
        <f t="shared" si="160"/>
        <v>9.1625633649236905E-3</v>
      </c>
      <c r="Q168" s="140">
        <f t="shared" si="160"/>
        <v>9.1221499205815237E-3</v>
      </c>
      <c r="R168" s="140">
        <f t="shared" si="160"/>
        <v>7.9009207251101703E-3</v>
      </c>
      <c r="S168" s="140">
        <f t="shared" si="160"/>
        <v>9.295575789743743E-3</v>
      </c>
      <c r="T168" s="140">
        <f t="shared" si="160"/>
        <v>1.012111730479519E-2</v>
      </c>
      <c r="U168" s="140">
        <f t="shared" si="160"/>
        <v>1.0398173456547873E-2</v>
      </c>
      <c r="V168" s="140">
        <f t="shared" si="160"/>
        <v>5.3060349965854464E-3</v>
      </c>
      <c r="W168" s="140">
        <f t="shared" si="160"/>
        <v>7.9458012766321466E-3</v>
      </c>
      <c r="X168" s="140">
        <f t="shared" ref="X168:Y168" si="161">IF(X76=0,0,X76/X$64)</f>
        <v>8.5674210462344143E-3</v>
      </c>
      <c r="Y168" s="140">
        <f t="shared" si="161"/>
        <v>7.911496801746595E-3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0.73371654953888876</v>
      </c>
      <c r="C170" s="139">
        <f t="shared" ref="C170:W170" si="165">IF(C78=0,0,C78/C$77)</f>
        <v>0.7678028092730963</v>
      </c>
      <c r="D170" s="139">
        <f t="shared" si="165"/>
        <v>0.7536143996739838</v>
      </c>
      <c r="E170" s="139">
        <f t="shared" si="165"/>
        <v>0.76458033992220753</v>
      </c>
      <c r="F170" s="139">
        <f t="shared" si="165"/>
        <v>0.79724414101480701</v>
      </c>
      <c r="G170" s="139">
        <f t="shared" si="165"/>
        <v>0.78582922004800626</v>
      </c>
      <c r="H170" s="139">
        <f t="shared" si="165"/>
        <v>0.78493270237120283</v>
      </c>
      <c r="I170" s="139">
        <f t="shared" si="165"/>
        <v>0.81749331365282518</v>
      </c>
      <c r="J170" s="139">
        <f t="shared" si="165"/>
        <v>0.85647986813633536</v>
      </c>
      <c r="K170" s="139">
        <f t="shared" si="165"/>
        <v>0.77882214038657205</v>
      </c>
      <c r="L170" s="139">
        <f t="shared" si="165"/>
        <v>0.74367987794759061</v>
      </c>
      <c r="M170" s="139">
        <f t="shared" si="165"/>
        <v>0.828949790431045</v>
      </c>
      <c r="N170" s="139">
        <f t="shared" si="165"/>
        <v>0.8462867051571108</v>
      </c>
      <c r="O170" s="139">
        <f t="shared" si="165"/>
        <v>0.85987602559456666</v>
      </c>
      <c r="P170" s="139">
        <f t="shared" si="165"/>
        <v>0.87544846517388786</v>
      </c>
      <c r="Q170" s="139">
        <f t="shared" si="165"/>
        <v>0.87789434732480054</v>
      </c>
      <c r="R170" s="139">
        <f t="shared" si="165"/>
        <v>0.90094870814960626</v>
      </c>
      <c r="S170" s="139">
        <f t="shared" si="165"/>
        <v>0.88881762988402957</v>
      </c>
      <c r="T170" s="139">
        <f t="shared" si="165"/>
        <v>0.90103093576755888</v>
      </c>
      <c r="U170" s="139">
        <f t="shared" si="165"/>
        <v>0.90436999381430316</v>
      </c>
      <c r="V170" s="139">
        <f t="shared" si="165"/>
        <v>0.90280109317407764</v>
      </c>
      <c r="W170" s="139">
        <f t="shared" si="165"/>
        <v>0.90918049485025765</v>
      </c>
      <c r="X170" s="139">
        <f t="shared" ref="X170:Y170" si="166">IF(X78=0,0,X78/X$77)</f>
        <v>0.93057470064418735</v>
      </c>
      <c r="Y170" s="139">
        <f t="shared" si="166"/>
        <v>0.92894674953444156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0.45696144107045328</v>
      </c>
      <c r="C171" s="140">
        <f t="shared" ref="C171:W171" si="167">IF(C79=0,0,C79/C$77)</f>
        <v>0.50194031931665606</v>
      </c>
      <c r="D171" s="140">
        <f t="shared" si="167"/>
        <v>0.45355828696114103</v>
      </c>
      <c r="E171" s="140">
        <f t="shared" si="167"/>
        <v>0.38974955159179731</v>
      </c>
      <c r="F171" s="140">
        <f t="shared" si="167"/>
        <v>0.37558065297879528</v>
      </c>
      <c r="G171" s="140">
        <f t="shared" si="167"/>
        <v>0.34571733187112147</v>
      </c>
      <c r="H171" s="140">
        <f t="shared" si="167"/>
        <v>0.32329745247745295</v>
      </c>
      <c r="I171" s="140">
        <f t="shared" si="167"/>
        <v>0.30177399114757303</v>
      </c>
      <c r="J171" s="140">
        <f t="shared" si="167"/>
        <v>0.30910496055006936</v>
      </c>
      <c r="K171" s="140">
        <f t="shared" si="167"/>
        <v>0.32687235087450572</v>
      </c>
      <c r="L171" s="140">
        <f t="shared" si="167"/>
        <v>0.29865930087973352</v>
      </c>
      <c r="M171" s="140">
        <f t="shared" si="167"/>
        <v>0.31607704648309431</v>
      </c>
      <c r="N171" s="140">
        <f t="shared" si="167"/>
        <v>0.33114423432808487</v>
      </c>
      <c r="O171" s="140">
        <f t="shared" si="167"/>
        <v>0.35255670987441612</v>
      </c>
      <c r="P171" s="140">
        <f t="shared" si="167"/>
        <v>0.38024817504203429</v>
      </c>
      <c r="Q171" s="140">
        <f t="shared" si="167"/>
        <v>0.38767790666860008</v>
      </c>
      <c r="R171" s="140">
        <f t="shared" si="167"/>
        <v>0.41881155731553826</v>
      </c>
      <c r="S171" s="140">
        <f t="shared" si="167"/>
        <v>0.4650709803406195</v>
      </c>
      <c r="T171" s="140">
        <f t="shared" si="167"/>
        <v>0.49097178023067944</v>
      </c>
      <c r="U171" s="140">
        <f t="shared" si="167"/>
        <v>0.53157446136983977</v>
      </c>
      <c r="V171" s="140">
        <f t="shared" si="167"/>
        <v>0.55835810239490846</v>
      </c>
      <c r="W171" s="140">
        <f t="shared" si="167"/>
        <v>0.52487470676343762</v>
      </c>
      <c r="X171" s="140">
        <f t="shared" ref="X171:Y171" si="168">IF(X79=0,0,X79/X$77)</f>
        <v>0.52000659838930052</v>
      </c>
      <c r="Y171" s="140">
        <f t="shared" si="168"/>
        <v>0.53058890065390563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0.27675510846843548</v>
      </c>
      <c r="C172" s="140">
        <f t="shared" ref="C172:W172" si="169">IF(C80=0,0,C80/C$77)</f>
        <v>0.26586248995644018</v>
      </c>
      <c r="D172" s="140">
        <f t="shared" si="169"/>
        <v>0.30005611271284277</v>
      </c>
      <c r="E172" s="140">
        <f t="shared" si="169"/>
        <v>0.37483078833041017</v>
      </c>
      <c r="F172" s="140">
        <f t="shared" si="169"/>
        <v>0.42166348803601167</v>
      </c>
      <c r="G172" s="140">
        <f t="shared" si="169"/>
        <v>0.44011188817688474</v>
      </c>
      <c r="H172" s="140">
        <f t="shared" si="169"/>
        <v>0.46163524989374988</v>
      </c>
      <c r="I172" s="140">
        <f t="shared" si="169"/>
        <v>0.5157193225052521</v>
      </c>
      <c r="J172" s="140">
        <f t="shared" si="169"/>
        <v>0.54737490758626595</v>
      </c>
      <c r="K172" s="140">
        <f t="shared" si="169"/>
        <v>0.45194978951206627</v>
      </c>
      <c r="L172" s="140">
        <f t="shared" si="169"/>
        <v>0.44502057706785697</v>
      </c>
      <c r="M172" s="140">
        <f t="shared" si="169"/>
        <v>0.51287274394795068</v>
      </c>
      <c r="N172" s="140">
        <f t="shared" si="169"/>
        <v>0.51514247082902587</v>
      </c>
      <c r="O172" s="140">
        <f t="shared" si="169"/>
        <v>0.50731931572015054</v>
      </c>
      <c r="P172" s="140">
        <f t="shared" si="169"/>
        <v>0.49520029013185352</v>
      </c>
      <c r="Q172" s="140">
        <f t="shared" si="169"/>
        <v>0.49021644065620046</v>
      </c>
      <c r="R172" s="140">
        <f t="shared" si="169"/>
        <v>0.48213715083406816</v>
      </c>
      <c r="S172" s="140">
        <f t="shared" si="169"/>
        <v>0.42374664954341013</v>
      </c>
      <c r="T172" s="140">
        <f t="shared" si="169"/>
        <v>0.41005915553687944</v>
      </c>
      <c r="U172" s="140">
        <f t="shared" si="169"/>
        <v>0.3727955324444634</v>
      </c>
      <c r="V172" s="140">
        <f t="shared" si="169"/>
        <v>0.34444299077916918</v>
      </c>
      <c r="W172" s="140">
        <f t="shared" si="169"/>
        <v>0.38430578808682003</v>
      </c>
      <c r="X172" s="140">
        <f t="shared" ref="X172:Y172" si="170">IF(X80=0,0,X80/X$77)</f>
        <v>0.41056810225488688</v>
      </c>
      <c r="Y172" s="140">
        <f t="shared" si="170"/>
        <v>0.39835784888053599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0.22537926532067198</v>
      </c>
      <c r="C173" s="124">
        <f t="shared" ref="C173:W173" si="171">IF(C81=0,0,C81/C$77)</f>
        <v>0.1953387666338981</v>
      </c>
      <c r="D173" s="124">
        <f t="shared" si="171"/>
        <v>0.21123876404808384</v>
      </c>
      <c r="E173" s="124">
        <f t="shared" si="171"/>
        <v>0.19410398382832286</v>
      </c>
      <c r="F173" s="124">
        <f t="shared" si="171"/>
        <v>0.16580590266149073</v>
      </c>
      <c r="G173" s="124">
        <f t="shared" si="171"/>
        <v>0.17689355813774482</v>
      </c>
      <c r="H173" s="124">
        <f t="shared" si="171"/>
        <v>0.18261649762062163</v>
      </c>
      <c r="I173" s="124">
        <f t="shared" si="171"/>
        <v>0.1463404524823767</v>
      </c>
      <c r="J173" s="124">
        <f t="shared" si="171"/>
        <v>0.10924131500643441</v>
      </c>
      <c r="K173" s="124">
        <f t="shared" si="171"/>
        <v>0.17681500466418146</v>
      </c>
      <c r="L173" s="124">
        <f t="shared" si="171"/>
        <v>0.21823753975990123</v>
      </c>
      <c r="M173" s="124">
        <f t="shared" si="171"/>
        <v>0.14632582645362674</v>
      </c>
      <c r="N173" s="124">
        <f t="shared" si="171"/>
        <v>0.13250682628508165</v>
      </c>
      <c r="O173" s="124">
        <f t="shared" si="171"/>
        <v>0.11753710631591023</v>
      </c>
      <c r="P173" s="124">
        <f t="shared" si="171"/>
        <v>9.0663120235378855E-2</v>
      </c>
      <c r="Q173" s="124">
        <f t="shared" si="171"/>
        <v>8.751933452260767E-2</v>
      </c>
      <c r="R173" s="124">
        <f t="shared" si="171"/>
        <v>6.8890431917809358E-2</v>
      </c>
      <c r="S173" s="124">
        <f t="shared" si="171"/>
        <v>7.1058280030178084E-2</v>
      </c>
      <c r="T173" s="124">
        <f t="shared" si="171"/>
        <v>6.0146844718498925E-2</v>
      </c>
      <c r="U173" s="124">
        <f t="shared" si="171"/>
        <v>6.2515996304669974E-2</v>
      </c>
      <c r="V173" s="124">
        <f t="shared" si="171"/>
        <v>5.5682074677949306E-2</v>
      </c>
      <c r="W173" s="124">
        <f t="shared" si="171"/>
        <v>5.5425575950199264E-2</v>
      </c>
      <c r="X173" s="124">
        <f t="shared" ref="X173:Y173" si="172">IF(X81=0,0,X81/X$77)</f>
        <v>3.8879732545740488E-2</v>
      </c>
      <c r="Y173" s="124">
        <f t="shared" si="172"/>
        <v>3.997652260037883E-2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1.4605832958152446E-3</v>
      </c>
      <c r="C174" s="124">
        <f t="shared" ref="C174:W174" si="173">IF(C82=0,0,C82/C$77)</f>
        <v>1.1988146451749487E-3</v>
      </c>
      <c r="D174" s="124">
        <f t="shared" si="173"/>
        <v>9.2196402022992705E-4</v>
      </c>
      <c r="E174" s="124">
        <f t="shared" si="173"/>
        <v>1.157687620240436E-3</v>
      </c>
      <c r="F174" s="124">
        <f t="shared" si="173"/>
        <v>1.4887634488947776E-3</v>
      </c>
      <c r="G174" s="124">
        <f t="shared" si="173"/>
        <v>2.0365474152619686E-3</v>
      </c>
      <c r="H174" s="124">
        <f t="shared" si="173"/>
        <v>1.9333285104430695E-3</v>
      </c>
      <c r="I174" s="124">
        <f t="shared" si="173"/>
        <v>2.0746531217788345E-3</v>
      </c>
      <c r="J174" s="124">
        <f t="shared" si="173"/>
        <v>2.5872415269359399E-3</v>
      </c>
      <c r="K174" s="124">
        <f t="shared" si="173"/>
        <v>1.7663580621801774E-3</v>
      </c>
      <c r="L174" s="124">
        <f t="shared" si="173"/>
        <v>1.660767906544323E-3</v>
      </c>
      <c r="M174" s="124">
        <f t="shared" si="173"/>
        <v>1.8075613688554085E-3</v>
      </c>
      <c r="N174" s="124">
        <f t="shared" si="173"/>
        <v>2.5311887443574556E-3</v>
      </c>
      <c r="O174" s="124">
        <f t="shared" si="173"/>
        <v>2.9232858610200836E-3</v>
      </c>
      <c r="P174" s="124">
        <f t="shared" si="173"/>
        <v>2.9861207363352099E-3</v>
      </c>
      <c r="Q174" s="124">
        <f t="shared" si="173"/>
        <v>2.9523373805215702E-3</v>
      </c>
      <c r="R174" s="124">
        <f t="shared" si="173"/>
        <v>2.8287204167076513E-3</v>
      </c>
      <c r="S174" s="124">
        <f t="shared" si="173"/>
        <v>3.5272335541220805E-3</v>
      </c>
      <c r="T174" s="124">
        <f t="shared" si="173"/>
        <v>3.643631159218153E-3</v>
      </c>
      <c r="U174" s="124">
        <f t="shared" si="173"/>
        <v>3.9189741581088311E-3</v>
      </c>
      <c r="V174" s="124">
        <f t="shared" si="173"/>
        <v>3.99319273671353E-3</v>
      </c>
      <c r="W174" s="124">
        <f t="shared" si="173"/>
        <v>5.9952582175529954E-3</v>
      </c>
      <c r="X174" s="124">
        <f t="shared" ref="X174:Y174" si="174">IF(X82=0,0,X82/X$77)</f>
        <v>4.1962593483395039E-3</v>
      </c>
      <c r="Y174" s="124">
        <f t="shared" si="174"/>
        <v>2.5285982694845314E-3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1.1869282637244167E-3</v>
      </c>
      <c r="C176" s="140">
        <f t="shared" ref="C176:W176" si="177">IF(C84=0,0,C84/C$77)</f>
        <v>9.6959660872175907E-4</v>
      </c>
      <c r="D176" s="140">
        <f t="shared" si="177"/>
        <v>7.8032798792749972E-4</v>
      </c>
      <c r="E176" s="140">
        <f t="shared" si="177"/>
        <v>9.6723751072029052E-4</v>
      </c>
      <c r="F176" s="140">
        <f t="shared" si="177"/>
        <v>1.2807709570152792E-3</v>
      </c>
      <c r="G176" s="140">
        <f t="shared" si="177"/>
        <v>1.5756333467866663E-3</v>
      </c>
      <c r="H176" s="140">
        <f t="shared" si="177"/>
        <v>1.6795714597430658E-3</v>
      </c>
      <c r="I176" s="140">
        <f t="shared" si="177"/>
        <v>1.9347833989029125E-3</v>
      </c>
      <c r="J176" s="140">
        <f t="shared" si="177"/>
        <v>2.5010705700331324E-3</v>
      </c>
      <c r="K176" s="140">
        <f t="shared" si="177"/>
        <v>1.7420355477875322E-3</v>
      </c>
      <c r="L176" s="140">
        <f t="shared" si="177"/>
        <v>1.604264752262256E-3</v>
      </c>
      <c r="M176" s="140">
        <f t="shared" si="177"/>
        <v>1.7801519122633185E-3</v>
      </c>
      <c r="N176" s="140">
        <f t="shared" si="177"/>
        <v>2.5009706627365687E-3</v>
      </c>
      <c r="O176" s="140">
        <f t="shared" si="177"/>
        <v>2.8913756891050554E-3</v>
      </c>
      <c r="P176" s="140">
        <f t="shared" si="177"/>
        <v>2.9522376713323733E-3</v>
      </c>
      <c r="Q176" s="140">
        <f t="shared" si="177"/>
        <v>2.9140875835622568E-3</v>
      </c>
      <c r="R176" s="140">
        <f t="shared" si="177"/>
        <v>2.5872636994666155E-3</v>
      </c>
      <c r="S176" s="140">
        <f t="shared" si="177"/>
        <v>3.4249243117473066E-3</v>
      </c>
      <c r="T176" s="140">
        <f t="shared" si="177"/>
        <v>3.5880240295600905E-3</v>
      </c>
      <c r="U176" s="140">
        <f t="shared" si="177"/>
        <v>3.7599778765829242E-3</v>
      </c>
      <c r="V176" s="140">
        <f t="shared" si="177"/>
        <v>3.8821957323113164E-3</v>
      </c>
      <c r="W176" s="140">
        <f t="shared" si="177"/>
        <v>5.3124640139290023E-3</v>
      </c>
      <c r="X176" s="140">
        <f t="shared" ref="X176:Y176" si="178">IF(X84=0,0,X84/X$77)</f>
        <v>3.8332079082671199E-3</v>
      </c>
      <c r="Y176" s="140">
        <f t="shared" si="178"/>
        <v>2.5154171154305751E-3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2.7365503209082791E-4</v>
      </c>
      <c r="C177" s="140">
        <f t="shared" ref="C177:W177" si="179">IF(C85=0,0,C85/C$77)</f>
        <v>2.2921803645318964E-4</v>
      </c>
      <c r="D177" s="140">
        <f t="shared" si="179"/>
        <v>1.4163603230242741E-4</v>
      </c>
      <c r="E177" s="140">
        <f t="shared" si="179"/>
        <v>1.9045010952014547E-4</v>
      </c>
      <c r="F177" s="140">
        <f t="shared" si="179"/>
        <v>2.0799249187949823E-4</v>
      </c>
      <c r="G177" s="140">
        <f t="shared" si="179"/>
        <v>4.6091406847530234E-4</v>
      </c>
      <c r="H177" s="140">
        <f t="shared" si="179"/>
        <v>2.5375705070000367E-4</v>
      </c>
      <c r="I177" s="140">
        <f t="shared" si="179"/>
        <v>1.3986972287592211E-4</v>
      </c>
      <c r="J177" s="140">
        <f t="shared" si="179"/>
        <v>8.6170956902807355E-5</v>
      </c>
      <c r="K177" s="140">
        <f t="shared" si="179"/>
        <v>2.4322514392645017E-5</v>
      </c>
      <c r="L177" s="140">
        <f t="shared" si="179"/>
        <v>5.6503154282066788E-5</v>
      </c>
      <c r="M177" s="140">
        <f t="shared" si="179"/>
        <v>2.740945659209014E-5</v>
      </c>
      <c r="N177" s="140">
        <f t="shared" si="179"/>
        <v>3.0218081620887174E-5</v>
      </c>
      <c r="O177" s="140">
        <f t="shared" si="179"/>
        <v>3.1910171915028225E-5</v>
      </c>
      <c r="P177" s="140">
        <f t="shared" si="179"/>
        <v>3.3883065002836759E-5</v>
      </c>
      <c r="Q177" s="140">
        <f t="shared" si="179"/>
        <v>3.8249796959313802E-5</v>
      </c>
      <c r="R177" s="140">
        <f t="shared" si="179"/>
        <v>2.4145671724103566E-4</v>
      </c>
      <c r="S177" s="140">
        <f t="shared" si="179"/>
        <v>1.0230924237477414E-4</v>
      </c>
      <c r="T177" s="140">
        <f t="shared" si="179"/>
        <v>5.5607129658062219E-5</v>
      </c>
      <c r="U177" s="140">
        <f t="shared" si="179"/>
        <v>1.5899628152590679E-4</v>
      </c>
      <c r="V177" s="140">
        <f t="shared" si="179"/>
        <v>1.1099700440221337E-4</v>
      </c>
      <c r="W177" s="140">
        <f t="shared" si="179"/>
        <v>6.8279420362399301E-4</v>
      </c>
      <c r="X177" s="140">
        <f t="shared" ref="X177:Y177" si="180">IF(X85=0,0,X85/X$77)</f>
        <v>3.6305144007238406E-4</v>
      </c>
      <c r="Y177" s="140">
        <f t="shared" si="180"/>
        <v>1.3181154053956013E-5</v>
      </c>
      <c r="DA177" s="175"/>
    </row>
    <row r="178" spans="1:105" ht="11.45" customHeight="1" x14ac:dyDescent="0.25">
      <c r="A178" s="109" t="s">
        <v>141</v>
      </c>
      <c r="B178" s="124">
        <f t="shared" si="162"/>
        <v>3.9443601844624046E-2</v>
      </c>
      <c r="C178" s="124">
        <f t="shared" ref="C178:W178" si="181">IF(C86=0,0,C86/C$77)</f>
        <v>3.5659609447830851E-2</v>
      </c>
      <c r="D178" s="124">
        <f t="shared" si="181"/>
        <v>3.4224872257702516E-2</v>
      </c>
      <c r="E178" s="124">
        <f t="shared" si="181"/>
        <v>4.0157988629229154E-2</v>
      </c>
      <c r="F178" s="124">
        <f t="shared" si="181"/>
        <v>3.546119287480759E-2</v>
      </c>
      <c r="G178" s="124">
        <f t="shared" si="181"/>
        <v>3.5240674398986961E-2</v>
      </c>
      <c r="H178" s="124">
        <f t="shared" si="181"/>
        <v>3.0517471497732533E-2</v>
      </c>
      <c r="I178" s="124">
        <f t="shared" si="181"/>
        <v>3.4091580743019358E-2</v>
      </c>
      <c r="J178" s="124">
        <f t="shared" si="181"/>
        <v>3.169157533029425E-2</v>
      </c>
      <c r="K178" s="124">
        <f t="shared" si="181"/>
        <v>4.2596496887066369E-2</v>
      </c>
      <c r="L178" s="124">
        <f t="shared" si="181"/>
        <v>3.6421814385963924E-2</v>
      </c>
      <c r="M178" s="124">
        <f t="shared" si="181"/>
        <v>2.2916821746472773E-2</v>
      </c>
      <c r="N178" s="124">
        <f t="shared" si="181"/>
        <v>1.8675279813450071E-2</v>
      </c>
      <c r="O178" s="124">
        <f t="shared" si="181"/>
        <v>1.966358222850291E-2</v>
      </c>
      <c r="P178" s="124">
        <f t="shared" si="181"/>
        <v>3.0902293854398005E-2</v>
      </c>
      <c r="Q178" s="124">
        <f t="shared" si="181"/>
        <v>3.1633980772070212E-2</v>
      </c>
      <c r="R178" s="124">
        <f t="shared" si="181"/>
        <v>2.7332139515876885E-2</v>
      </c>
      <c r="S178" s="124">
        <f t="shared" si="181"/>
        <v>3.6596856531670316E-2</v>
      </c>
      <c r="T178" s="124">
        <f t="shared" si="181"/>
        <v>3.5178588354724025E-2</v>
      </c>
      <c r="U178" s="124">
        <f t="shared" si="181"/>
        <v>2.919503572291799E-2</v>
      </c>
      <c r="V178" s="124">
        <f t="shared" si="181"/>
        <v>3.7523639411259371E-2</v>
      </c>
      <c r="W178" s="124">
        <f t="shared" si="181"/>
        <v>2.9398670981989932E-2</v>
      </c>
      <c r="X178" s="124">
        <f t="shared" ref="X178:Y178" si="182">IF(X86=0,0,X86/X$77)</f>
        <v>2.6349307461732682E-2</v>
      </c>
      <c r="Y178" s="124">
        <f t="shared" si="182"/>
        <v>2.8548129595695061E-2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3.9443601844624046E-2</v>
      </c>
      <c r="C179" s="140">
        <f t="shared" ref="C179:W179" si="183">IF(C87=0,0,C87/C$77)</f>
        <v>3.5659609447830851E-2</v>
      </c>
      <c r="D179" s="140">
        <f t="shared" si="183"/>
        <v>3.4224872257702516E-2</v>
      </c>
      <c r="E179" s="140">
        <f t="shared" si="183"/>
        <v>4.0157988629229154E-2</v>
      </c>
      <c r="F179" s="140">
        <f t="shared" si="183"/>
        <v>3.546119287480759E-2</v>
      </c>
      <c r="G179" s="140">
        <f t="shared" si="183"/>
        <v>3.5240674398986961E-2</v>
      </c>
      <c r="H179" s="140">
        <f t="shared" si="183"/>
        <v>3.0517471497732533E-2</v>
      </c>
      <c r="I179" s="140">
        <f t="shared" si="183"/>
        <v>3.4091580743019358E-2</v>
      </c>
      <c r="J179" s="140">
        <f t="shared" si="183"/>
        <v>3.169157533029425E-2</v>
      </c>
      <c r="K179" s="140">
        <f t="shared" si="183"/>
        <v>4.2596496887066369E-2</v>
      </c>
      <c r="L179" s="140">
        <f t="shared" si="183"/>
        <v>3.6421814385963924E-2</v>
      </c>
      <c r="M179" s="140">
        <f t="shared" si="183"/>
        <v>2.2916821746472773E-2</v>
      </c>
      <c r="N179" s="140">
        <f t="shared" si="183"/>
        <v>1.8675279813450071E-2</v>
      </c>
      <c r="O179" s="140">
        <f t="shared" si="183"/>
        <v>1.966358222850291E-2</v>
      </c>
      <c r="P179" s="140">
        <f t="shared" si="183"/>
        <v>3.0902293854398005E-2</v>
      </c>
      <c r="Q179" s="140">
        <f t="shared" si="183"/>
        <v>3.1633980772070212E-2</v>
      </c>
      <c r="R179" s="140">
        <f t="shared" si="183"/>
        <v>2.7332139515876885E-2</v>
      </c>
      <c r="S179" s="140">
        <f t="shared" si="183"/>
        <v>3.6596856531670316E-2</v>
      </c>
      <c r="T179" s="140">
        <f t="shared" si="183"/>
        <v>3.5178588354724025E-2</v>
      </c>
      <c r="U179" s="140">
        <f t="shared" si="183"/>
        <v>2.919503572291799E-2</v>
      </c>
      <c r="V179" s="140">
        <f t="shared" si="183"/>
        <v>3.7523639411259371E-2</v>
      </c>
      <c r="W179" s="140">
        <f t="shared" si="183"/>
        <v>2.9398670981989932E-2</v>
      </c>
      <c r="X179" s="140">
        <f t="shared" ref="X179:Y179" si="184">IF(X87=0,0,X87/X$77)</f>
        <v>2.6349307461732682E-2</v>
      </c>
      <c r="Y179" s="140">
        <f t="shared" si="184"/>
        <v>2.8548129595695061E-2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0.56360535246098997</v>
      </c>
      <c r="C182" s="140">
        <f t="shared" ref="C182:W182" si="189">IF(C90=0,0,C90/C$89)</f>
        <v>0.56297850647538195</v>
      </c>
      <c r="D182" s="140">
        <f t="shared" si="189"/>
        <v>0.56153780296248079</v>
      </c>
      <c r="E182" s="140">
        <f t="shared" si="189"/>
        <v>0.58045877158318004</v>
      </c>
      <c r="F182" s="140">
        <f t="shared" si="189"/>
        <v>0.53077207772345825</v>
      </c>
      <c r="G182" s="140">
        <f t="shared" si="189"/>
        <v>0.47883156590272086</v>
      </c>
      <c r="H182" s="140">
        <f t="shared" si="189"/>
        <v>0.48675445938932232</v>
      </c>
      <c r="I182" s="140">
        <f t="shared" si="189"/>
        <v>0.48553153190763432</v>
      </c>
      <c r="J182" s="140">
        <f t="shared" si="189"/>
        <v>0.47599696836868932</v>
      </c>
      <c r="K182" s="140">
        <f t="shared" si="189"/>
        <v>0.45608669728626167</v>
      </c>
      <c r="L182" s="140">
        <f t="shared" si="189"/>
        <v>0.44739845826143232</v>
      </c>
      <c r="M182" s="140">
        <f t="shared" si="189"/>
        <v>0.46223378606701948</v>
      </c>
      <c r="N182" s="140">
        <f t="shared" si="189"/>
        <v>0.37345793824161316</v>
      </c>
      <c r="O182" s="140">
        <f t="shared" si="189"/>
        <v>0.49280041281274339</v>
      </c>
      <c r="P182" s="140">
        <f t="shared" si="189"/>
        <v>0.49171360845530238</v>
      </c>
      <c r="Q182" s="140">
        <f t="shared" si="189"/>
        <v>0.45555794004358319</v>
      </c>
      <c r="R182" s="140">
        <f t="shared" si="189"/>
        <v>0.4448845044171208</v>
      </c>
      <c r="S182" s="140">
        <f t="shared" si="189"/>
        <v>0.4580572643260255</v>
      </c>
      <c r="T182" s="140">
        <f t="shared" si="189"/>
        <v>0.45778567568500356</v>
      </c>
      <c r="U182" s="140">
        <f t="shared" si="189"/>
        <v>0.44010552798089392</v>
      </c>
      <c r="V182" s="140">
        <f t="shared" si="189"/>
        <v>0.34921159246212125</v>
      </c>
      <c r="W182" s="140">
        <f t="shared" si="189"/>
        <v>0.38508180146900173</v>
      </c>
      <c r="X182" s="140">
        <f t="shared" ref="X182:Y182" si="190">IF(X90=0,0,X90/X$89)</f>
        <v>0.49842332380587173</v>
      </c>
      <c r="Y182" s="140">
        <f t="shared" si="190"/>
        <v>0.59947028736418473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0.43639464753900997</v>
      </c>
      <c r="C183" s="127">
        <f t="shared" ref="C183:W183" si="191">IF(C91=0,0,C91/C$89)</f>
        <v>0.43702149352461817</v>
      </c>
      <c r="D183" s="127">
        <f t="shared" si="191"/>
        <v>0.43846219703751926</v>
      </c>
      <c r="E183" s="127">
        <f t="shared" si="191"/>
        <v>0.41954122841681996</v>
      </c>
      <c r="F183" s="127">
        <f t="shared" si="191"/>
        <v>0.46922792227654181</v>
      </c>
      <c r="G183" s="127">
        <f t="shared" si="191"/>
        <v>0.5211684340972792</v>
      </c>
      <c r="H183" s="127">
        <f t="shared" si="191"/>
        <v>0.51324554061067762</v>
      </c>
      <c r="I183" s="127">
        <f t="shared" si="191"/>
        <v>0.51446846809236568</v>
      </c>
      <c r="J183" s="127">
        <f t="shared" si="191"/>
        <v>0.52400303163131068</v>
      </c>
      <c r="K183" s="127">
        <f t="shared" si="191"/>
        <v>0.54391330271373828</v>
      </c>
      <c r="L183" s="127">
        <f t="shared" si="191"/>
        <v>0.55260154173856768</v>
      </c>
      <c r="M183" s="127">
        <f t="shared" si="191"/>
        <v>0.53776621393298041</v>
      </c>
      <c r="N183" s="127">
        <f t="shared" si="191"/>
        <v>0.62654206175838678</v>
      </c>
      <c r="O183" s="127">
        <f t="shared" si="191"/>
        <v>0.50719958718725655</v>
      </c>
      <c r="P183" s="127">
        <f t="shared" si="191"/>
        <v>0.50828639154469768</v>
      </c>
      <c r="Q183" s="127">
        <f t="shared" si="191"/>
        <v>0.54444205995641692</v>
      </c>
      <c r="R183" s="127">
        <f t="shared" si="191"/>
        <v>0.5551154955828792</v>
      </c>
      <c r="S183" s="127">
        <f t="shared" si="191"/>
        <v>0.54194273567397455</v>
      </c>
      <c r="T183" s="127">
        <f t="shared" si="191"/>
        <v>0.54221432431499639</v>
      </c>
      <c r="U183" s="127">
        <f t="shared" si="191"/>
        <v>0.55989447201910603</v>
      </c>
      <c r="V183" s="127">
        <f t="shared" si="191"/>
        <v>0.6507884075378787</v>
      </c>
      <c r="W183" s="127">
        <f t="shared" si="191"/>
        <v>0.61491819853099827</v>
      </c>
      <c r="X183" s="127">
        <f t="shared" ref="X183:Y183" si="192">IF(X91=0,0,X91/X$89)</f>
        <v>0.50157667619412816</v>
      </c>
      <c r="Y183" s="127">
        <f t="shared" si="192"/>
        <v>0.40052971263581533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38.094328938374751</v>
      </c>
      <c r="C186" s="32">
        <f t="shared" si="193"/>
        <v>47.196747053894185</v>
      </c>
      <c r="D186" s="32">
        <f t="shared" si="193"/>
        <v>46.093760073381141</v>
      </c>
      <c r="E186" s="32">
        <f t="shared" si="193"/>
        <v>42.290388006019143</v>
      </c>
      <c r="F186" s="32">
        <f t="shared" si="193"/>
        <v>42.17735013210973</v>
      </c>
      <c r="G186" s="32">
        <f t="shared" si="193"/>
        <v>37.396090005585492</v>
      </c>
      <c r="H186" s="32">
        <f t="shared" si="193"/>
        <v>40.381035734751379</v>
      </c>
      <c r="I186" s="32">
        <f t="shared" si="193"/>
        <v>43.261564162392531</v>
      </c>
      <c r="J186" s="32">
        <f t="shared" si="193"/>
        <v>41.993045097222378</v>
      </c>
      <c r="K186" s="32">
        <f t="shared" si="193"/>
        <v>40.115372008172976</v>
      </c>
      <c r="L186" s="32">
        <f t="shared" si="193"/>
        <v>41.744698566953161</v>
      </c>
      <c r="M186" s="32">
        <f t="shared" si="193"/>
        <v>40.684625457364277</v>
      </c>
      <c r="N186" s="32">
        <f t="shared" si="193"/>
        <v>41.228274030840595</v>
      </c>
      <c r="O186" s="32">
        <f t="shared" si="193"/>
        <v>39.41655391918767</v>
      </c>
      <c r="P186" s="32">
        <f t="shared" si="193"/>
        <v>38.336385393747221</v>
      </c>
      <c r="Q186" s="32">
        <f t="shared" si="193"/>
        <v>37.460682664440327</v>
      </c>
      <c r="R186" s="32">
        <f t="shared" si="193"/>
        <v>36.179755881892198</v>
      </c>
      <c r="S186" s="32">
        <f t="shared" si="193"/>
        <v>37.810095298113005</v>
      </c>
      <c r="T186" s="32">
        <f t="shared" si="193"/>
        <v>38.462708183605876</v>
      </c>
      <c r="U186" s="32">
        <f t="shared" si="193"/>
        <v>36.012817350956027</v>
      </c>
      <c r="V186" s="32">
        <f t="shared" si="193"/>
        <v>43.626398795841283</v>
      </c>
      <c r="W186" s="32">
        <f t="shared" si="193"/>
        <v>41.913235993223132</v>
      </c>
      <c r="X186" s="32">
        <f t="shared" si="193"/>
        <v>36.383497493188756</v>
      </c>
      <c r="Y186" s="32">
        <f t="shared" si="193"/>
        <v>33.114048947696638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39.056790421955121</v>
      </c>
      <c r="C187" s="141">
        <f t="shared" si="194"/>
        <v>48.664296671477992</v>
      </c>
      <c r="D187" s="141">
        <f t="shared" si="194"/>
        <v>47.465662557101801</v>
      </c>
      <c r="E187" s="141">
        <f t="shared" si="194"/>
        <v>43.377858066427386</v>
      </c>
      <c r="F187" s="141">
        <f t="shared" si="194"/>
        <v>43.016346397012477</v>
      </c>
      <c r="G187" s="141">
        <f t="shared" si="194"/>
        <v>37.470965034445321</v>
      </c>
      <c r="H187" s="141">
        <f t="shared" si="194"/>
        <v>40.797483284304619</v>
      </c>
      <c r="I187" s="141">
        <f t="shared" si="194"/>
        <v>43.687109660829179</v>
      </c>
      <c r="J187" s="141">
        <f t="shared" si="194"/>
        <v>41.704288938912562</v>
      </c>
      <c r="K187" s="141">
        <f t="shared" si="194"/>
        <v>40.484167862039264</v>
      </c>
      <c r="L187" s="141">
        <f t="shared" si="194"/>
        <v>42.815682817725182</v>
      </c>
      <c r="M187" s="141">
        <f t="shared" si="194"/>
        <v>41.62128425404957</v>
      </c>
      <c r="N187" s="141">
        <f t="shared" si="194"/>
        <v>41.873552363310303</v>
      </c>
      <c r="O187" s="141">
        <f t="shared" si="194"/>
        <v>39.793572355168465</v>
      </c>
      <c r="P187" s="141">
        <f t="shared" si="194"/>
        <v>38.806796137916443</v>
      </c>
      <c r="Q187" s="141">
        <f t="shared" si="194"/>
        <v>38.102241578624998</v>
      </c>
      <c r="R187" s="141">
        <f t="shared" si="194"/>
        <v>36.976455108566469</v>
      </c>
      <c r="S187" s="141">
        <f t="shared" si="194"/>
        <v>38.478756858173917</v>
      </c>
      <c r="T187" s="141">
        <f t="shared" si="194"/>
        <v>39.342345187739362</v>
      </c>
      <c r="U187" s="141">
        <f t="shared" si="194"/>
        <v>36.927799936045396</v>
      </c>
      <c r="V187" s="141">
        <f t="shared" si="194"/>
        <v>44.162426328637089</v>
      </c>
      <c r="W187" s="141">
        <f t="shared" si="194"/>
        <v>42.808413764886033</v>
      </c>
      <c r="X187" s="141">
        <f t="shared" si="194"/>
        <v>38.068053917972975</v>
      </c>
      <c r="Y187" s="141">
        <f t="shared" si="194"/>
        <v>34.885635160066883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46.374413066858274</v>
      </c>
      <c r="C188" s="97">
        <f t="shared" si="195"/>
        <v>46.216144444344948</v>
      </c>
      <c r="D188" s="97">
        <f t="shared" si="195"/>
        <v>45.787648754078411</v>
      </c>
      <c r="E188" s="97">
        <f t="shared" si="195"/>
        <v>45.186381512861537</v>
      </c>
      <c r="F188" s="97">
        <f t="shared" si="195"/>
        <v>44.639168434643956</v>
      </c>
      <c r="G188" s="97">
        <f t="shared" si="195"/>
        <v>44.166312346488418</v>
      </c>
      <c r="H188" s="97">
        <f t="shared" si="195"/>
        <v>43.342955765681083</v>
      </c>
      <c r="I188" s="97">
        <f t="shared" si="195"/>
        <v>42.705529345713991</v>
      </c>
      <c r="J188" s="97">
        <f t="shared" si="195"/>
        <v>41.888663291045525</v>
      </c>
      <c r="K188" s="97">
        <f t="shared" si="195"/>
        <v>41.454789786943216</v>
      </c>
      <c r="L188" s="97">
        <f t="shared" si="195"/>
        <v>41.055158737868432</v>
      </c>
      <c r="M188" s="97">
        <f t="shared" si="195"/>
        <v>39.99214900260116</v>
      </c>
      <c r="N188" s="97">
        <f t="shared" si="195"/>
        <v>38.240566036384969</v>
      </c>
      <c r="O188" s="97">
        <f t="shared" si="195"/>
        <v>37.714541933950422</v>
      </c>
      <c r="P188" s="97">
        <f t="shared" si="195"/>
        <v>37.052595722353317</v>
      </c>
      <c r="Q188" s="97">
        <f t="shared" si="195"/>
        <v>36.579382441139842</v>
      </c>
      <c r="R188" s="97">
        <f t="shared" si="195"/>
        <v>36.020773027496055</v>
      </c>
      <c r="S188" s="97">
        <f t="shared" si="195"/>
        <v>35.584735546963202</v>
      </c>
      <c r="T188" s="97">
        <f t="shared" si="195"/>
        <v>35.322517588747132</v>
      </c>
      <c r="U188" s="97">
        <f t="shared" si="195"/>
        <v>35.063781652694942</v>
      </c>
      <c r="V188" s="97">
        <f t="shared" si="195"/>
        <v>34.82781792966523</v>
      </c>
      <c r="W188" s="97">
        <f t="shared" si="195"/>
        <v>34.561599278241154</v>
      </c>
      <c r="X188" s="97">
        <f t="shared" si="195"/>
        <v>34.336996546284112</v>
      </c>
      <c r="Y188" s="97">
        <f t="shared" si="195"/>
        <v>34.179973441426341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41.738714836197254</v>
      </c>
      <c r="C189" s="97">
        <f t="shared" si="196"/>
        <v>51.484367824385863</v>
      </c>
      <c r="D189" s="97">
        <f t="shared" si="196"/>
        <v>47.421378441702011</v>
      </c>
      <c r="E189" s="97">
        <f t="shared" si="196"/>
        <v>43.554834055586838</v>
      </c>
      <c r="F189" s="97">
        <f t="shared" si="196"/>
        <v>43.603422432082915</v>
      </c>
      <c r="G189" s="97">
        <f t="shared" si="196"/>
        <v>36.974194460142002</v>
      </c>
      <c r="H189" s="97">
        <f t="shared" si="196"/>
        <v>41.670843818660892</v>
      </c>
      <c r="I189" s="97">
        <f t="shared" si="196"/>
        <v>46.055122212865967</v>
      </c>
      <c r="J189" s="97">
        <f t="shared" si="196"/>
        <v>43.338073615501209</v>
      </c>
      <c r="K189" s="97">
        <f t="shared" si="196"/>
        <v>41.565343128111763</v>
      </c>
      <c r="L189" s="97">
        <f t="shared" si="196"/>
        <v>43.538890531777106</v>
      </c>
      <c r="M189" s="97">
        <f t="shared" si="196"/>
        <v>42.211577045049921</v>
      </c>
      <c r="N189" s="97">
        <f t="shared" si="196"/>
        <v>41.661849500567897</v>
      </c>
      <c r="O189" s="97">
        <f t="shared" si="196"/>
        <v>39.453332181314508</v>
      </c>
      <c r="P189" s="97">
        <f t="shared" si="196"/>
        <v>38.199837850661687</v>
      </c>
      <c r="Q189" s="97">
        <f t="shared" si="196"/>
        <v>38.483171868210519</v>
      </c>
      <c r="R189" s="97">
        <f t="shared" si="196"/>
        <v>38.056283940239808</v>
      </c>
      <c r="S189" s="97">
        <f t="shared" si="196"/>
        <v>38.74892769131651</v>
      </c>
      <c r="T189" s="97">
        <f t="shared" si="196"/>
        <v>39.598602907445347</v>
      </c>
      <c r="U189" s="97">
        <f t="shared" si="196"/>
        <v>37.972748726413037</v>
      </c>
      <c r="V189" s="97">
        <f t="shared" si="196"/>
        <v>41.12387510591774</v>
      </c>
      <c r="W189" s="97">
        <f t="shared" si="196"/>
        <v>38.893496857236599</v>
      </c>
      <c r="X189" s="97">
        <f t="shared" si="196"/>
        <v>36.407817860937961</v>
      </c>
      <c r="Y189" s="97">
        <f t="shared" si="196"/>
        <v>35.514811464691441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32.216783628526535</v>
      </c>
      <c r="C190" s="97">
        <f t="shared" si="197"/>
        <v>40.871071241722028</v>
      </c>
      <c r="D190" s="97">
        <f t="shared" si="197"/>
        <v>47.607121479284487</v>
      </c>
      <c r="E190" s="97">
        <f t="shared" si="197"/>
        <v>42.778633394036461</v>
      </c>
      <c r="F190" s="97">
        <f t="shared" si="197"/>
        <v>41.150349679294195</v>
      </c>
      <c r="G190" s="97">
        <f t="shared" si="197"/>
        <v>39.252505878728755</v>
      </c>
      <c r="H190" s="97">
        <f t="shared" si="197"/>
        <v>37.767179361476771</v>
      </c>
      <c r="I190" s="97">
        <f t="shared" si="197"/>
        <v>34.848764199491818</v>
      </c>
      <c r="J190" s="97">
        <f t="shared" si="197"/>
        <v>34.709103848607164</v>
      </c>
      <c r="K190" s="97">
        <f t="shared" si="197"/>
        <v>35.102465485862773</v>
      </c>
      <c r="L190" s="97">
        <f t="shared" si="197"/>
        <v>39.294380984736719</v>
      </c>
      <c r="M190" s="97">
        <f t="shared" si="197"/>
        <v>38.686652636285785</v>
      </c>
      <c r="N190" s="97">
        <f t="shared" si="197"/>
        <v>43.181391930006917</v>
      </c>
      <c r="O190" s="97">
        <f t="shared" si="197"/>
        <v>41.832443656230303</v>
      </c>
      <c r="P190" s="97">
        <f t="shared" si="197"/>
        <v>42.498060216246117</v>
      </c>
      <c r="Q190" s="97">
        <f t="shared" si="197"/>
        <v>36.150130160409148</v>
      </c>
      <c r="R190" s="97">
        <f t="shared" si="197"/>
        <v>32.278480955456871</v>
      </c>
      <c r="S190" s="97">
        <f t="shared" si="197"/>
        <v>37.310632502912192</v>
      </c>
      <c r="T190" s="97">
        <f t="shared" si="197"/>
        <v>38.224729026979453</v>
      </c>
      <c r="U190" s="97">
        <f t="shared" si="197"/>
        <v>32.294875352772799</v>
      </c>
      <c r="V190" s="97">
        <f t="shared" si="197"/>
        <v>71.55196628542312</v>
      </c>
      <c r="W190" s="97">
        <f t="shared" si="197"/>
        <v>83.024115417505527</v>
      </c>
      <c r="X190" s="97">
        <f t="shared" si="197"/>
        <v>50.022965951500005</v>
      </c>
      <c r="Y190" s="97">
        <f t="shared" si="197"/>
        <v>31.156001437545534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12.056308469336637</v>
      </c>
      <c r="C191" s="130">
        <f t="shared" si="198"/>
        <v>11.595640401526252</v>
      </c>
      <c r="D191" s="130">
        <f t="shared" si="198"/>
        <v>11.515945465254132</v>
      </c>
      <c r="E191" s="130">
        <f t="shared" si="198"/>
        <v>11.128495281922694</v>
      </c>
      <c r="F191" s="130">
        <f t="shared" si="198"/>
        <v>10.183190487804222</v>
      </c>
      <c r="G191" s="130">
        <f t="shared" si="198"/>
        <v>9.4838339724390437</v>
      </c>
      <c r="H191" s="130">
        <f t="shared" si="198"/>
        <v>9.9451348207011776</v>
      </c>
      <c r="I191" s="130">
        <f t="shared" si="198"/>
        <v>10.772054849546869</v>
      </c>
      <c r="J191" s="130">
        <f t="shared" si="198"/>
        <v>8.6974949600862281</v>
      </c>
      <c r="K191" s="130">
        <f t="shared" si="198"/>
        <v>8.8605592551922872</v>
      </c>
      <c r="L191" s="130">
        <f t="shared" si="198"/>
        <v>10.316915608244084</v>
      </c>
      <c r="M191" s="130">
        <f t="shared" si="198"/>
        <v>10.160213087815485</v>
      </c>
      <c r="N191" s="130">
        <f t="shared" si="198"/>
        <v>8.146868024636797</v>
      </c>
      <c r="O191" s="130">
        <f t="shared" si="198"/>
        <v>10.234823341810573</v>
      </c>
      <c r="P191" s="130">
        <f t="shared" si="198"/>
        <v>10.455417148869868</v>
      </c>
      <c r="Q191" s="130">
        <f t="shared" si="198"/>
        <v>10.385055647636529</v>
      </c>
      <c r="R191" s="130">
        <f t="shared" si="198"/>
        <v>9.2594609095982605</v>
      </c>
      <c r="S191" s="130">
        <f t="shared" si="198"/>
        <v>9.4959783597063119</v>
      </c>
      <c r="T191" s="130">
        <f t="shared" si="198"/>
        <v>9.0975488431382061</v>
      </c>
      <c r="U191" s="130">
        <f t="shared" si="198"/>
        <v>11.910387623113891</v>
      </c>
      <c r="V191" s="130">
        <f t="shared" si="198"/>
        <v>17.21682192961169</v>
      </c>
      <c r="W191" s="130">
        <f t="shared" si="198"/>
        <v>10.993252322426576</v>
      </c>
      <c r="X191" s="130">
        <f t="shared" si="198"/>
        <v>10.966877412774455</v>
      </c>
      <c r="Y191" s="130">
        <f t="shared" si="198"/>
        <v>13.156712923468833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5.1894563721102784</v>
      </c>
      <c r="C192" s="97">
        <f t="shared" si="199"/>
        <v>5.4687201322302323</v>
      </c>
      <c r="D192" s="97">
        <f t="shared" si="199"/>
        <v>5.6928816906253985</v>
      </c>
      <c r="E192" s="97">
        <f t="shared" si="199"/>
        <v>5.6898169182068807</v>
      </c>
      <c r="F192" s="97">
        <f t="shared" si="199"/>
        <v>5.050061995940518</v>
      </c>
      <c r="G192" s="97">
        <f t="shared" si="199"/>
        <v>4.4941887272921113</v>
      </c>
      <c r="H192" s="97">
        <f t="shared" si="199"/>
        <v>4.3531740441890152</v>
      </c>
      <c r="I192" s="97">
        <f t="shared" si="199"/>
        <v>4.3260205211615359</v>
      </c>
      <c r="J192" s="97">
        <f t="shared" si="199"/>
        <v>3.5850693721726881</v>
      </c>
      <c r="K192" s="97">
        <f t="shared" si="199"/>
        <v>3.9816516230787449</v>
      </c>
      <c r="L192" s="97">
        <f t="shared" si="199"/>
        <v>4.3196355428289444</v>
      </c>
      <c r="M192" s="97">
        <f t="shared" si="199"/>
        <v>4.2000547808102899</v>
      </c>
      <c r="N192" s="97">
        <f t="shared" si="199"/>
        <v>4.0592482737063484</v>
      </c>
      <c r="O192" s="97">
        <f t="shared" si="199"/>
        <v>4.2429773958169461</v>
      </c>
      <c r="P192" s="97">
        <f t="shared" si="199"/>
        <v>4.1967645773209368</v>
      </c>
      <c r="Q192" s="97">
        <f t="shared" si="199"/>
        <v>4.1713236055701826</v>
      </c>
      <c r="R192" s="97">
        <f t="shared" si="199"/>
        <v>4.0568681520837018</v>
      </c>
      <c r="S192" s="97">
        <f t="shared" si="199"/>
        <v>3.8924932806704202</v>
      </c>
      <c r="T192" s="97">
        <f t="shared" si="199"/>
        <v>4.1250885374176454</v>
      </c>
      <c r="U192" s="97">
        <f t="shared" si="199"/>
        <v>4.1936424015458647</v>
      </c>
      <c r="V192" s="97">
        <f t="shared" si="199"/>
        <v>7.1754307886615321</v>
      </c>
      <c r="W192" s="97">
        <f t="shared" si="199"/>
        <v>6.4057596110352053</v>
      </c>
      <c r="X192" s="97">
        <f t="shared" si="199"/>
        <v>4.8574659278975725</v>
      </c>
      <c r="Y192" s="97">
        <f t="shared" si="199"/>
        <v>4.7359888599833866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14.810942241672269</v>
      </c>
      <c r="C193" s="97">
        <f t="shared" si="200"/>
        <v>14.534163008221784</v>
      </c>
      <c r="D193" s="97">
        <f t="shared" si="200"/>
        <v>14.556641101172161</v>
      </c>
      <c r="E193" s="97">
        <f t="shared" si="200"/>
        <v>13.919417275469316</v>
      </c>
      <c r="F193" s="97">
        <f t="shared" si="200"/>
        <v>12.40134031278574</v>
      </c>
      <c r="G193" s="97">
        <f t="shared" si="200"/>
        <v>10.99883512953406</v>
      </c>
      <c r="H193" s="97">
        <f t="shared" si="200"/>
        <v>11.655360957019685</v>
      </c>
      <c r="I193" s="97">
        <f t="shared" si="200"/>
        <v>12.635288129868469</v>
      </c>
      <c r="J193" s="97">
        <f t="shared" si="200"/>
        <v>10.038051314884854</v>
      </c>
      <c r="K193" s="97">
        <f t="shared" si="200"/>
        <v>10.268329844125867</v>
      </c>
      <c r="L193" s="97">
        <f t="shared" si="200"/>
        <v>12.061395692697046</v>
      </c>
      <c r="M193" s="97">
        <f t="shared" si="200"/>
        <v>11.75076595157134</v>
      </c>
      <c r="N193" s="97">
        <f t="shared" si="200"/>
        <v>9.7541027165760514</v>
      </c>
      <c r="O193" s="97">
        <f t="shared" si="200"/>
        <v>12.270546284645828</v>
      </c>
      <c r="P193" s="97">
        <f t="shared" si="200"/>
        <v>11.763430831662371</v>
      </c>
      <c r="Q193" s="97">
        <f t="shared" si="200"/>
        <v>11.583176162293139</v>
      </c>
      <c r="R193" s="97">
        <f t="shared" si="200"/>
        <v>10.198463046725111</v>
      </c>
      <c r="S193" s="97">
        <f t="shared" si="200"/>
        <v>10.408534993957502</v>
      </c>
      <c r="T193" s="97">
        <f t="shared" si="200"/>
        <v>10.097907691981154</v>
      </c>
      <c r="U193" s="97">
        <f t="shared" si="200"/>
        <v>13.629883188454516</v>
      </c>
      <c r="V193" s="97">
        <f t="shared" si="200"/>
        <v>20.216830708699746</v>
      </c>
      <c r="W193" s="97">
        <f t="shared" si="200"/>
        <v>12.032825627649011</v>
      </c>
      <c r="X193" s="97">
        <f t="shared" si="200"/>
        <v>12.346117038544866</v>
      </c>
      <c r="Y193" s="97">
        <f t="shared" si="200"/>
        <v>15.332774558583395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39.15788219234885</v>
      </c>
      <c r="C195" s="130">
        <f t="shared" si="202"/>
        <v>38.096365834848484</v>
      </c>
      <c r="D195" s="130">
        <f t="shared" si="202"/>
        <v>38.299724848478583</v>
      </c>
      <c r="E195" s="130">
        <f t="shared" si="202"/>
        <v>38.06104743738954</v>
      </c>
      <c r="F195" s="130">
        <f t="shared" si="202"/>
        <v>42.453868972144186</v>
      </c>
      <c r="G195" s="130">
        <f t="shared" si="202"/>
        <v>44.559611598453991</v>
      </c>
      <c r="H195" s="130">
        <f t="shared" si="202"/>
        <v>44.599127913371461</v>
      </c>
      <c r="I195" s="130">
        <f t="shared" si="202"/>
        <v>48.262428109944643</v>
      </c>
      <c r="J195" s="130">
        <f t="shared" si="202"/>
        <v>54.39179747821705</v>
      </c>
      <c r="K195" s="130">
        <f t="shared" si="202"/>
        <v>47.068075885265571</v>
      </c>
      <c r="L195" s="130">
        <f t="shared" si="202"/>
        <v>38.257144136556271</v>
      </c>
      <c r="M195" s="130">
        <f t="shared" si="202"/>
        <v>38.708783651175679</v>
      </c>
      <c r="N195" s="130">
        <f t="shared" si="202"/>
        <v>43.132585397957349</v>
      </c>
      <c r="O195" s="130">
        <f t="shared" si="202"/>
        <v>42.813631797375862</v>
      </c>
      <c r="P195" s="130">
        <f t="shared" si="202"/>
        <v>40.859926559691942</v>
      </c>
      <c r="Q195" s="130">
        <f t="shared" si="202"/>
        <v>37.289053605230201</v>
      </c>
      <c r="R195" s="130">
        <f t="shared" si="202"/>
        <v>34.228938052583736</v>
      </c>
      <c r="S195" s="130">
        <f t="shared" si="202"/>
        <v>38.690906821508158</v>
      </c>
      <c r="T195" s="130">
        <f t="shared" si="202"/>
        <v>38.700715676859971</v>
      </c>
      <c r="U195" s="130">
        <f t="shared" si="202"/>
        <v>33.868616734577927</v>
      </c>
      <c r="V195" s="130">
        <f t="shared" si="202"/>
        <v>47.084824969537195</v>
      </c>
      <c r="W195" s="130">
        <f t="shared" si="202"/>
        <v>40.056178571052897</v>
      </c>
      <c r="X195" s="130">
        <f t="shared" si="202"/>
        <v>28.704585620322529</v>
      </c>
      <c r="Y195" s="130">
        <f t="shared" si="202"/>
        <v>23.24477667558698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42.344369506753367</v>
      </c>
      <c r="C197" s="97">
        <f t="shared" si="204"/>
        <v>41.0653289036781</v>
      </c>
      <c r="D197" s="97">
        <f t="shared" si="204"/>
        <v>41.769030831948349</v>
      </c>
      <c r="E197" s="97">
        <f t="shared" si="204"/>
        <v>41.298434599645091</v>
      </c>
      <c r="F197" s="97">
        <f t="shared" si="204"/>
        <v>46.288425930095791</v>
      </c>
      <c r="G197" s="97">
        <f t="shared" si="204"/>
        <v>48.767875071654878</v>
      </c>
      <c r="H197" s="97">
        <f t="shared" si="204"/>
        <v>48.776151928574116</v>
      </c>
      <c r="I197" s="97">
        <f t="shared" si="204"/>
        <v>55.344354886321881</v>
      </c>
      <c r="J197" s="97">
        <f t="shared" si="204"/>
        <v>66.025560122676808</v>
      </c>
      <c r="K197" s="97">
        <f t="shared" si="204"/>
        <v>57.523821202816599</v>
      </c>
      <c r="L197" s="97">
        <f t="shared" si="204"/>
        <v>48.944440054045664</v>
      </c>
      <c r="M197" s="97">
        <f t="shared" si="204"/>
        <v>43.909856655801676</v>
      </c>
      <c r="N197" s="97">
        <f t="shared" si="204"/>
        <v>53.09852458023984</v>
      </c>
      <c r="O197" s="97">
        <f t="shared" si="204"/>
        <v>48.490011250026704</v>
      </c>
      <c r="P197" s="97">
        <f t="shared" si="204"/>
        <v>46.625480863381767</v>
      </c>
      <c r="Q197" s="97">
        <f t="shared" si="204"/>
        <v>44.394058853879486</v>
      </c>
      <c r="R197" s="97">
        <f t="shared" si="204"/>
        <v>37.775233188245451</v>
      </c>
      <c r="S197" s="97">
        <f t="shared" si="204"/>
        <v>43.141284280452076</v>
      </c>
      <c r="T197" s="97">
        <f t="shared" si="204"/>
        <v>44.493415018997105</v>
      </c>
      <c r="U197" s="97">
        <f t="shared" si="204"/>
        <v>41.699012508660509</v>
      </c>
      <c r="V197" s="97">
        <f t="shared" si="204"/>
        <v>53.448581517366314</v>
      </c>
      <c r="W197" s="97">
        <f t="shared" si="204"/>
        <v>58.275509566192646</v>
      </c>
      <c r="X197" s="97">
        <f t="shared" si="204"/>
        <v>36.698424095909282</v>
      </c>
      <c r="Y197" s="97">
        <f t="shared" si="204"/>
        <v>30.690644010412022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20.436993754475207</v>
      </c>
      <c r="C198" s="97">
        <f t="shared" si="205"/>
        <v>20.276648813708071</v>
      </c>
      <c r="D198" s="97">
        <f t="shared" si="205"/>
        <v>19.70694519873485</v>
      </c>
      <c r="E198" s="97">
        <f t="shared" si="205"/>
        <v>21.683896981722924</v>
      </c>
      <c r="F198" s="97">
        <f t="shared" si="205"/>
        <v>25.917519583731764</v>
      </c>
      <c r="G198" s="97">
        <f t="shared" si="205"/>
        <v>25.291411261051731</v>
      </c>
      <c r="H198" s="97">
        <f t="shared" si="205"/>
        <v>25.011793394240051</v>
      </c>
      <c r="I198" s="97">
        <f t="shared" si="205"/>
        <v>21.949912082616652</v>
      </c>
      <c r="J198" s="97">
        <f t="shared" si="205"/>
        <v>21.169298322142794</v>
      </c>
      <c r="K198" s="97">
        <f t="shared" si="205"/>
        <v>19.68661130085427</v>
      </c>
      <c r="L198" s="97">
        <f t="shared" si="205"/>
        <v>14.379079301668442</v>
      </c>
      <c r="M198" s="97">
        <f t="shared" si="205"/>
        <v>18.433215138051569</v>
      </c>
      <c r="N198" s="97">
        <f t="shared" si="205"/>
        <v>16.768327945083584</v>
      </c>
      <c r="O198" s="97">
        <f t="shared" si="205"/>
        <v>22.393225065424257</v>
      </c>
      <c r="P198" s="97">
        <f t="shared" si="205"/>
        <v>20.753151696759428</v>
      </c>
      <c r="Q198" s="97">
        <f t="shared" si="205"/>
        <v>16.492669168161665</v>
      </c>
      <c r="R198" s="97">
        <f t="shared" si="205"/>
        <v>19.43886730355414</v>
      </c>
      <c r="S198" s="97">
        <f t="shared" si="205"/>
        <v>20.708854818623465</v>
      </c>
      <c r="T198" s="97">
        <f t="shared" si="205"/>
        <v>18.047807542496507</v>
      </c>
      <c r="U198" s="97">
        <f t="shared" si="205"/>
        <v>13.022996219647291</v>
      </c>
      <c r="V198" s="97">
        <f t="shared" si="205"/>
        <v>26.755659841707221</v>
      </c>
      <c r="W198" s="97">
        <f t="shared" si="205"/>
        <v>12.033584265944993</v>
      </c>
      <c r="X198" s="97">
        <f t="shared" si="205"/>
        <v>9.5311764851028293</v>
      </c>
      <c r="Y198" s="97">
        <f t="shared" si="205"/>
        <v>7.5162444436122007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18.638888426226178</v>
      </c>
      <c r="C199" s="32">
        <f t="shared" si="206"/>
        <v>19.931226521937365</v>
      </c>
      <c r="D199" s="32">
        <f t="shared" si="206"/>
        <v>20.813511901465649</v>
      </c>
      <c r="E199" s="32">
        <f t="shared" si="206"/>
        <v>18.669717082262945</v>
      </c>
      <c r="F199" s="32">
        <f t="shared" si="206"/>
        <v>17.577702214756943</v>
      </c>
      <c r="G199" s="32">
        <f t="shared" si="206"/>
        <v>17.004190614418295</v>
      </c>
      <c r="H199" s="32">
        <f t="shared" si="206"/>
        <v>17.265468466755024</v>
      </c>
      <c r="I199" s="32">
        <f t="shared" si="206"/>
        <v>20.492306254796734</v>
      </c>
      <c r="J199" s="32">
        <f t="shared" si="206"/>
        <v>25.234023420462684</v>
      </c>
      <c r="K199" s="32">
        <f t="shared" si="206"/>
        <v>23.237124724440019</v>
      </c>
      <c r="L199" s="32">
        <f t="shared" si="206"/>
        <v>24.856375493214664</v>
      </c>
      <c r="M199" s="32">
        <f t="shared" si="206"/>
        <v>24.686238391262673</v>
      </c>
      <c r="N199" s="32">
        <f t="shared" si="206"/>
        <v>27.506234247682567</v>
      </c>
      <c r="O199" s="32">
        <f t="shared" si="206"/>
        <v>26.893352653356654</v>
      </c>
      <c r="P199" s="32">
        <f t="shared" si="206"/>
        <v>31.925184480005523</v>
      </c>
      <c r="Q199" s="32">
        <f t="shared" si="206"/>
        <v>30.880527993860028</v>
      </c>
      <c r="R199" s="32">
        <f t="shared" si="206"/>
        <v>32.232749201286488</v>
      </c>
      <c r="S199" s="32">
        <f t="shared" si="206"/>
        <v>32.694029092224326</v>
      </c>
      <c r="T199" s="32">
        <f t="shared" si="206"/>
        <v>31.713074695815578</v>
      </c>
      <c r="U199" s="32">
        <f t="shared" si="206"/>
        <v>34.625667204084877</v>
      </c>
      <c r="V199" s="32">
        <f t="shared" si="206"/>
        <v>37.396217633665785</v>
      </c>
      <c r="W199" s="32">
        <f t="shared" si="206"/>
        <v>37.784629464744697</v>
      </c>
      <c r="X199" s="32">
        <f t="shared" si="206"/>
        <v>44.391664821968796</v>
      </c>
      <c r="Y199" s="32">
        <f t="shared" si="206"/>
        <v>55.696211104387082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85.399925984794208</v>
      </c>
      <c r="C200" s="141">
        <f t="shared" si="207"/>
        <v>107.22250551848614</v>
      </c>
      <c r="D200" s="141">
        <f t="shared" si="207"/>
        <v>106.68307970948614</v>
      </c>
      <c r="E200" s="141">
        <f t="shared" si="207"/>
        <v>70.182015755901361</v>
      </c>
      <c r="F200" s="141">
        <f t="shared" si="207"/>
        <v>73.34427852588081</v>
      </c>
      <c r="G200" s="141">
        <f t="shared" si="207"/>
        <v>63.042561656740602</v>
      </c>
      <c r="H200" s="141">
        <f t="shared" si="207"/>
        <v>59.768226471695726</v>
      </c>
      <c r="I200" s="141">
        <f t="shared" si="207"/>
        <v>62.299932047263624</v>
      </c>
      <c r="J200" s="141">
        <f t="shared" si="207"/>
        <v>65.14223738330962</v>
      </c>
      <c r="K200" s="141">
        <f t="shared" si="207"/>
        <v>65.775998754529667</v>
      </c>
      <c r="L200" s="141">
        <f t="shared" si="207"/>
        <v>70.770731743007246</v>
      </c>
      <c r="M200" s="141">
        <f t="shared" si="207"/>
        <v>68.571183932187836</v>
      </c>
      <c r="N200" s="141">
        <f t="shared" si="207"/>
        <v>67.075118690021583</v>
      </c>
      <c r="O200" s="141">
        <f t="shared" si="207"/>
        <v>60.817124789928116</v>
      </c>
      <c r="P200" s="141">
        <f t="shared" si="207"/>
        <v>59.820334201336834</v>
      </c>
      <c r="Q200" s="141">
        <f t="shared" si="207"/>
        <v>54.624314863903592</v>
      </c>
      <c r="R200" s="141">
        <f t="shared" si="207"/>
        <v>49.171785172320853</v>
      </c>
      <c r="S200" s="141">
        <f t="shared" si="207"/>
        <v>50.11840305325785</v>
      </c>
      <c r="T200" s="141">
        <f t="shared" si="207"/>
        <v>50.841401865144114</v>
      </c>
      <c r="U200" s="141">
        <f t="shared" si="207"/>
        <v>51.774833972686778</v>
      </c>
      <c r="V200" s="141">
        <f t="shared" si="207"/>
        <v>52.896081805016458</v>
      </c>
      <c r="W200" s="141">
        <f t="shared" si="207"/>
        <v>55.278293882126846</v>
      </c>
      <c r="X200" s="141">
        <f t="shared" si="207"/>
        <v>55.445165842147695</v>
      </c>
      <c r="Y200" s="141">
        <f t="shared" si="207"/>
        <v>63.62024245246127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336.11887114956642</v>
      </c>
      <c r="C201" s="97">
        <f t="shared" si="208"/>
        <v>403.81162719263614</v>
      </c>
      <c r="D201" s="97">
        <f t="shared" si="208"/>
        <v>440.63262203263582</v>
      </c>
      <c r="E201" s="97">
        <f t="shared" si="208"/>
        <v>383.67250550257927</v>
      </c>
      <c r="F201" s="97">
        <f t="shared" si="208"/>
        <v>388.59480443305006</v>
      </c>
      <c r="G201" s="97">
        <f t="shared" si="208"/>
        <v>384.35843209917357</v>
      </c>
      <c r="H201" s="97">
        <f t="shared" si="208"/>
        <v>375.89277880815013</v>
      </c>
      <c r="I201" s="97">
        <f t="shared" si="208"/>
        <v>371.23364585326186</v>
      </c>
      <c r="J201" s="97">
        <f t="shared" si="208"/>
        <v>354.70155769231252</v>
      </c>
      <c r="K201" s="97">
        <f t="shared" si="208"/>
        <v>325.74551415147835</v>
      </c>
      <c r="L201" s="97">
        <f t="shared" si="208"/>
        <v>350.53580798152348</v>
      </c>
      <c r="M201" s="97">
        <f t="shared" si="208"/>
        <v>350.55099308279284</v>
      </c>
      <c r="N201" s="97">
        <f t="shared" si="208"/>
        <v>342.61481052528842</v>
      </c>
      <c r="O201" s="97">
        <f t="shared" si="208"/>
        <v>317.60584920012292</v>
      </c>
      <c r="P201" s="97">
        <f t="shared" si="208"/>
        <v>309.58362642653162</v>
      </c>
      <c r="Q201" s="97">
        <f t="shared" si="208"/>
        <v>290.97135796488527</v>
      </c>
      <c r="R201" s="97">
        <f t="shared" si="208"/>
        <v>273.06008799208337</v>
      </c>
      <c r="S201" s="97">
        <f t="shared" si="208"/>
        <v>269.3816194878147</v>
      </c>
      <c r="T201" s="97">
        <f t="shared" si="208"/>
        <v>266.51087023047285</v>
      </c>
      <c r="U201" s="97">
        <f t="shared" si="208"/>
        <v>264.42688133764329</v>
      </c>
      <c r="V201" s="97">
        <f t="shared" si="208"/>
        <v>257.10432554444924</v>
      </c>
      <c r="W201" s="97">
        <f t="shared" si="208"/>
        <v>268.92357534793257</v>
      </c>
      <c r="X201" s="97">
        <f t="shared" si="208"/>
        <v>266.14421778155611</v>
      </c>
      <c r="Y201" s="97">
        <f t="shared" si="208"/>
        <v>275.11905757723878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37.90527496863168</v>
      </c>
      <c r="C202" s="97">
        <f t="shared" si="209"/>
        <v>44.518951781720361</v>
      </c>
      <c r="D202" s="97">
        <f t="shared" si="209"/>
        <v>49.348611420567913</v>
      </c>
      <c r="E202" s="97">
        <f t="shared" si="209"/>
        <v>37.672379580875315</v>
      </c>
      <c r="F202" s="97">
        <f t="shared" si="209"/>
        <v>42.284048943938664</v>
      </c>
      <c r="G202" s="97">
        <f t="shared" si="209"/>
        <v>37.819174110879935</v>
      </c>
      <c r="H202" s="97">
        <f t="shared" si="209"/>
        <v>37.397308639154076</v>
      </c>
      <c r="I202" s="97">
        <f t="shared" si="209"/>
        <v>41.704369260355925</v>
      </c>
      <c r="J202" s="97">
        <f t="shared" si="209"/>
        <v>44.396461785138335</v>
      </c>
      <c r="K202" s="97">
        <f t="shared" si="209"/>
        <v>41.501080113349531</v>
      </c>
      <c r="L202" s="97">
        <f t="shared" si="209"/>
        <v>45.875800700970409</v>
      </c>
      <c r="M202" s="97">
        <f t="shared" si="209"/>
        <v>45.630794764623559</v>
      </c>
      <c r="N202" s="97">
        <f t="shared" si="209"/>
        <v>44.015596860945479</v>
      </c>
      <c r="O202" s="97">
        <f t="shared" si="209"/>
        <v>38.774043658033072</v>
      </c>
      <c r="P202" s="97">
        <f t="shared" si="209"/>
        <v>36.766153930033759</v>
      </c>
      <c r="Q202" s="97">
        <f t="shared" si="209"/>
        <v>33.122347305151806</v>
      </c>
      <c r="R202" s="97">
        <f t="shared" si="209"/>
        <v>28.607314807108082</v>
      </c>
      <c r="S202" s="97">
        <f t="shared" si="209"/>
        <v>26.372403336065016</v>
      </c>
      <c r="T202" s="97">
        <f t="shared" si="209"/>
        <v>25.727740554299316</v>
      </c>
      <c r="U202" s="97">
        <f t="shared" si="209"/>
        <v>24.039929151326621</v>
      </c>
      <c r="V202" s="97">
        <f t="shared" si="209"/>
        <v>23.077826903346011</v>
      </c>
      <c r="W202" s="97">
        <f t="shared" si="209"/>
        <v>26.487048042805636</v>
      </c>
      <c r="X202" s="97">
        <f t="shared" si="209"/>
        <v>27.644063607374182</v>
      </c>
      <c r="Y202" s="97">
        <f t="shared" si="209"/>
        <v>31.381074108006757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4.9877117372146644</v>
      </c>
      <c r="C203" s="130">
        <f t="shared" si="210"/>
        <v>4.5273755257520767</v>
      </c>
      <c r="D203" s="130">
        <f t="shared" si="210"/>
        <v>5.1444923435850027</v>
      </c>
      <c r="E203" s="130">
        <f t="shared" si="210"/>
        <v>4.5450292639295906</v>
      </c>
      <c r="F203" s="130">
        <f t="shared" si="210"/>
        <v>3.6033139811986548</v>
      </c>
      <c r="G203" s="130">
        <f t="shared" si="210"/>
        <v>3.8134243623041604</v>
      </c>
      <c r="H203" s="130">
        <f t="shared" si="210"/>
        <v>4.0622186939417171</v>
      </c>
      <c r="I203" s="130">
        <f t="shared" si="210"/>
        <v>4.1156441642379749</v>
      </c>
      <c r="J203" s="130">
        <f t="shared" si="210"/>
        <v>4.1019801392979538</v>
      </c>
      <c r="K203" s="130">
        <f t="shared" si="210"/>
        <v>5.6415109153826934</v>
      </c>
      <c r="L203" s="130">
        <f t="shared" si="210"/>
        <v>7.2958982923736304</v>
      </c>
      <c r="M203" s="130">
        <f t="shared" si="210"/>
        <v>5.1434906470641728</v>
      </c>
      <c r="N203" s="130">
        <f t="shared" si="210"/>
        <v>5.5905762950528164</v>
      </c>
      <c r="O203" s="130">
        <f t="shared" si="210"/>
        <v>5.1156934986963565</v>
      </c>
      <c r="P203" s="130">
        <f t="shared" si="210"/>
        <v>5.46216669180028</v>
      </c>
      <c r="Q203" s="130">
        <f t="shared" si="210"/>
        <v>5.3805015444978892</v>
      </c>
      <c r="R203" s="130">
        <f t="shared" si="210"/>
        <v>5.4412361852539846</v>
      </c>
      <c r="S203" s="130">
        <f t="shared" si="210"/>
        <v>5.5231256884559219</v>
      </c>
      <c r="T203" s="130">
        <f t="shared" si="210"/>
        <v>4.2871117529464842</v>
      </c>
      <c r="U203" s="130">
        <f t="shared" si="210"/>
        <v>5.3508613711471842</v>
      </c>
      <c r="V203" s="130">
        <f t="shared" si="210"/>
        <v>5.5582045543668999</v>
      </c>
      <c r="W203" s="130">
        <f t="shared" si="210"/>
        <v>5.2910049524469942</v>
      </c>
      <c r="X203" s="130">
        <f t="shared" si="210"/>
        <v>6.6598260878917248</v>
      </c>
      <c r="Y203" s="130">
        <f t="shared" si="210"/>
        <v>11.850373275811132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70.78342792834404</v>
      </c>
      <c r="C204" s="130">
        <f t="shared" si="211"/>
        <v>65.557245657243314</v>
      </c>
      <c r="D204" s="130">
        <f t="shared" si="211"/>
        <v>83.229952902947957</v>
      </c>
      <c r="E204" s="130">
        <f t="shared" si="211"/>
        <v>98.220501569753964</v>
      </c>
      <c r="F204" s="130">
        <f t="shared" si="211"/>
        <v>138.4607665360549</v>
      </c>
      <c r="G204" s="130">
        <f t="shared" si="211"/>
        <v>120.30714822206082</v>
      </c>
      <c r="H204" s="130">
        <f t="shared" si="211"/>
        <v>163.9335331980887</v>
      </c>
      <c r="I204" s="130">
        <f t="shared" si="211"/>
        <v>212.49276220462369</v>
      </c>
      <c r="J204" s="130">
        <f t="shared" si="211"/>
        <v>267.3972836069965</v>
      </c>
      <c r="K204" s="130">
        <f t="shared" si="211"/>
        <v>235.64390657868495</v>
      </c>
      <c r="L204" s="130">
        <f t="shared" si="211"/>
        <v>134.74853585129574</v>
      </c>
      <c r="M204" s="130">
        <f t="shared" si="211"/>
        <v>156.1406349570141</v>
      </c>
      <c r="N204" s="130">
        <f t="shared" si="211"/>
        <v>151.42552689582044</v>
      </c>
      <c r="O204" s="130">
        <f t="shared" si="211"/>
        <v>176.0419496469562</v>
      </c>
      <c r="P204" s="130">
        <f t="shared" si="211"/>
        <v>139.62942048431154</v>
      </c>
      <c r="Q204" s="130">
        <f t="shared" si="211"/>
        <v>119.99308438194444</v>
      </c>
      <c r="R204" s="130">
        <f t="shared" si="211"/>
        <v>69.773089454118718</v>
      </c>
      <c r="S204" s="130">
        <f t="shared" si="211"/>
        <v>111.70911523427753</v>
      </c>
      <c r="T204" s="130">
        <f t="shared" si="211"/>
        <v>110.00896260969274</v>
      </c>
      <c r="U204" s="130">
        <f t="shared" si="211"/>
        <v>100.14949971957547</v>
      </c>
      <c r="V204" s="130">
        <f t="shared" si="211"/>
        <v>141.54010237272968</v>
      </c>
      <c r="W204" s="130">
        <f t="shared" si="211"/>
        <v>136.24192259345716</v>
      </c>
      <c r="X204" s="130">
        <f t="shared" si="211"/>
        <v>120.24249888125516</v>
      </c>
      <c r="Y204" s="130">
        <f t="shared" si="211"/>
        <v>118.62744029896466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170.25236546168</v>
      </c>
      <c r="C206" s="97">
        <f t="shared" si="213"/>
        <v>154.71519366426068</v>
      </c>
      <c r="D206" s="97">
        <f t="shared" si="213"/>
        <v>174.20879440911256</v>
      </c>
      <c r="E206" s="97">
        <f t="shared" si="213"/>
        <v>199.88364115586083</v>
      </c>
      <c r="F206" s="97">
        <f t="shared" si="213"/>
        <v>270.85927887071136</v>
      </c>
      <c r="G206" s="97">
        <f t="shared" si="213"/>
        <v>295.96707920211884</v>
      </c>
      <c r="H206" s="97">
        <f t="shared" si="213"/>
        <v>314.14162075969011</v>
      </c>
      <c r="I206" s="97">
        <f t="shared" si="213"/>
        <v>314.22745780249744</v>
      </c>
      <c r="J206" s="97">
        <f t="shared" si="213"/>
        <v>348.92772670200964</v>
      </c>
      <c r="K206" s="97">
        <f t="shared" si="213"/>
        <v>266.3014880386267</v>
      </c>
      <c r="L206" s="97">
        <f t="shared" si="213"/>
        <v>191.87176462742599</v>
      </c>
      <c r="M206" s="97">
        <f t="shared" si="213"/>
        <v>180.85165474052013</v>
      </c>
      <c r="N206" s="97">
        <f t="shared" si="213"/>
        <v>181.02735171644156</v>
      </c>
      <c r="O206" s="97">
        <f t="shared" si="213"/>
        <v>195.23888893949558</v>
      </c>
      <c r="P206" s="97">
        <f t="shared" si="213"/>
        <v>153.23282077259816</v>
      </c>
      <c r="Q206" s="97">
        <f t="shared" si="213"/>
        <v>134.78775387636082</v>
      </c>
      <c r="R206" s="97">
        <f t="shared" si="213"/>
        <v>104.32246225193329</v>
      </c>
      <c r="S206" s="97">
        <f t="shared" si="213"/>
        <v>134.00621530322184</v>
      </c>
      <c r="T206" s="97">
        <f t="shared" si="213"/>
        <v>121.27435308068033</v>
      </c>
      <c r="U206" s="97">
        <f t="shared" si="213"/>
        <v>114.77118435767321</v>
      </c>
      <c r="V206" s="97">
        <f t="shared" si="213"/>
        <v>150.89796975196461</v>
      </c>
      <c r="W206" s="97">
        <f t="shared" si="213"/>
        <v>217.23271243893055</v>
      </c>
      <c r="X206" s="97">
        <f t="shared" si="213"/>
        <v>164.64732981495081</v>
      </c>
      <c r="Y206" s="97">
        <f t="shared" si="213"/>
        <v>123.10483848724854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20.028977281900193</v>
      </c>
      <c r="C207" s="97">
        <f t="shared" si="214"/>
        <v>19.070427300185706</v>
      </c>
      <c r="D207" s="97">
        <f t="shared" si="214"/>
        <v>21.466374104851667</v>
      </c>
      <c r="E207" s="97">
        <f t="shared" si="214"/>
        <v>27.412296294913084</v>
      </c>
      <c r="F207" s="97">
        <f t="shared" si="214"/>
        <v>34.529066124493696</v>
      </c>
      <c r="G207" s="97">
        <f t="shared" si="214"/>
        <v>39.719512781226364</v>
      </c>
      <c r="H207" s="97">
        <f t="shared" si="214"/>
        <v>39.361548738742066</v>
      </c>
      <c r="I207" s="97">
        <f t="shared" si="214"/>
        <v>38.786594001724851</v>
      </c>
      <c r="J207" s="97">
        <f t="shared" si="214"/>
        <v>34.361579154773104</v>
      </c>
      <c r="K207" s="97">
        <f t="shared" si="214"/>
        <v>25.487633652781859</v>
      </c>
      <c r="L207" s="97">
        <f t="shared" si="214"/>
        <v>14.254750552734491</v>
      </c>
      <c r="M207" s="97">
        <f t="shared" si="214"/>
        <v>15.813134611013334</v>
      </c>
      <c r="N207" s="97">
        <f t="shared" si="214"/>
        <v>10.418937093975485</v>
      </c>
      <c r="O207" s="97">
        <f t="shared" si="214"/>
        <v>17.765419814751215</v>
      </c>
      <c r="P207" s="97">
        <f t="shared" si="214"/>
        <v>15.984920889763291</v>
      </c>
      <c r="Q207" s="97">
        <f t="shared" si="214"/>
        <v>12.816557271347579</v>
      </c>
      <c r="R207" s="97">
        <f t="shared" si="214"/>
        <v>15.339280316258689</v>
      </c>
      <c r="S207" s="97">
        <f t="shared" si="214"/>
        <v>17.002764896761647</v>
      </c>
      <c r="T207" s="97">
        <f t="shared" si="214"/>
        <v>15.729501025601097</v>
      </c>
      <c r="U207" s="97">
        <f t="shared" si="214"/>
        <v>24.957831519033036</v>
      </c>
      <c r="V207" s="97">
        <f t="shared" si="214"/>
        <v>44.663956607938154</v>
      </c>
      <c r="W207" s="97">
        <f t="shared" si="214"/>
        <v>34.926733737361339</v>
      </c>
      <c r="X207" s="97">
        <f t="shared" si="214"/>
        <v>31.251791503738996</v>
      </c>
      <c r="Y207" s="97">
        <f t="shared" si="214"/>
        <v>14.939049376558758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211.69261850874506</v>
      </c>
      <c r="C208" s="130">
        <f t="shared" si="215"/>
        <v>208.6202654613615</v>
      </c>
      <c r="D208" s="130">
        <f t="shared" si="215"/>
        <v>215.51729573299369</v>
      </c>
      <c r="E208" s="130">
        <f t="shared" si="215"/>
        <v>208.92567631562821</v>
      </c>
      <c r="F208" s="130">
        <f t="shared" si="215"/>
        <v>133.25878591124038</v>
      </c>
      <c r="G208" s="130">
        <f t="shared" si="215"/>
        <v>184.92564444767342</v>
      </c>
      <c r="H208" s="130">
        <f t="shared" si="215"/>
        <v>240.92890233495109</v>
      </c>
      <c r="I208" s="130">
        <f t="shared" si="215"/>
        <v>118.91691887174055</v>
      </c>
      <c r="J208" s="130">
        <f t="shared" si="215"/>
        <v>320.89600250193541</v>
      </c>
      <c r="K208" s="130">
        <f t="shared" si="215"/>
        <v>589.75156088102608</v>
      </c>
      <c r="L208" s="130">
        <f t="shared" si="215"/>
        <v>552.4260229563572</v>
      </c>
      <c r="M208" s="130">
        <f t="shared" si="215"/>
        <v>208.21856946010217</v>
      </c>
      <c r="N208" s="130">
        <f t="shared" si="215"/>
        <v>159.28080446701998</v>
      </c>
      <c r="O208" s="130">
        <f t="shared" si="215"/>
        <v>138.54683297121022</v>
      </c>
      <c r="P208" s="130">
        <f t="shared" si="215"/>
        <v>222.66782458146662</v>
      </c>
      <c r="Q208" s="130">
        <f t="shared" si="215"/>
        <v>392.00134870705165</v>
      </c>
      <c r="R208" s="130">
        <f t="shared" si="215"/>
        <v>627.0594232462189</v>
      </c>
      <c r="S208" s="130">
        <f t="shared" si="215"/>
        <v>1428.420206177143</v>
      </c>
      <c r="T208" s="130">
        <f t="shared" si="215"/>
        <v>556.15803348061058</v>
      </c>
      <c r="U208" s="130">
        <f t="shared" si="215"/>
        <v>361.1938220561575</v>
      </c>
      <c r="V208" s="130">
        <f t="shared" si="215"/>
        <v>296.33853240543181</v>
      </c>
      <c r="W208" s="130">
        <f t="shared" si="215"/>
        <v>282.33207228401534</v>
      </c>
      <c r="X208" s="130">
        <f t="shared" si="215"/>
        <v>344.4074779647122</v>
      </c>
      <c r="Y208" s="130">
        <f t="shared" si="215"/>
        <v>733.93448346901607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211.69261850874506</v>
      </c>
      <c r="C209" s="97">
        <f t="shared" si="216"/>
        <v>208.6202654613615</v>
      </c>
      <c r="D209" s="97">
        <f t="shared" si="216"/>
        <v>215.51729573299369</v>
      </c>
      <c r="E209" s="97">
        <f t="shared" si="216"/>
        <v>208.92567631562821</v>
      </c>
      <c r="F209" s="97">
        <f t="shared" si="216"/>
        <v>133.25878591124038</v>
      </c>
      <c r="G209" s="97">
        <f t="shared" si="216"/>
        <v>184.92564444767342</v>
      </c>
      <c r="H209" s="97">
        <f t="shared" si="216"/>
        <v>240.92890233495109</v>
      </c>
      <c r="I209" s="97">
        <f t="shared" si="216"/>
        <v>118.91691887174055</v>
      </c>
      <c r="J209" s="97">
        <f t="shared" si="216"/>
        <v>320.89600250193541</v>
      </c>
      <c r="K209" s="97">
        <f t="shared" si="216"/>
        <v>589.75156088102608</v>
      </c>
      <c r="L209" s="97">
        <f t="shared" si="216"/>
        <v>552.4260229563572</v>
      </c>
      <c r="M209" s="97">
        <f t="shared" si="216"/>
        <v>208.21856946010217</v>
      </c>
      <c r="N209" s="97">
        <f t="shared" si="216"/>
        <v>159.28080446701998</v>
      </c>
      <c r="O209" s="97">
        <f t="shared" si="216"/>
        <v>138.54683297121022</v>
      </c>
      <c r="P209" s="97">
        <f t="shared" si="216"/>
        <v>222.66782458146662</v>
      </c>
      <c r="Q209" s="97">
        <f t="shared" si="216"/>
        <v>392.00134870705165</v>
      </c>
      <c r="R209" s="97">
        <f t="shared" si="216"/>
        <v>627.0594232462189</v>
      </c>
      <c r="S209" s="97">
        <f t="shared" si="216"/>
        <v>1428.420206177143</v>
      </c>
      <c r="T209" s="97">
        <f t="shared" si="216"/>
        <v>556.15803348061058</v>
      </c>
      <c r="U209" s="97">
        <f t="shared" si="216"/>
        <v>361.1938220561575</v>
      </c>
      <c r="V209" s="97">
        <f t="shared" si="216"/>
        <v>296.33853240543181</v>
      </c>
      <c r="W209" s="97">
        <f t="shared" si="216"/>
        <v>282.33207228401534</v>
      </c>
      <c r="X209" s="97">
        <f t="shared" si="216"/>
        <v>344.4074779647122</v>
      </c>
      <c r="Y209" s="97">
        <f t="shared" si="216"/>
        <v>733.93448346901607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1.47179175070331</v>
      </c>
      <c r="C211" s="32">
        <f t="shared" si="218"/>
        <v>1.4943317162362717</v>
      </c>
      <c r="D211" s="32">
        <f t="shared" si="218"/>
        <v>1.4890403016784841</v>
      </c>
      <c r="E211" s="32">
        <f t="shared" si="218"/>
        <v>1.6889145757519404</v>
      </c>
      <c r="F211" s="32">
        <f t="shared" si="218"/>
        <v>1.7592712857463344</v>
      </c>
      <c r="G211" s="32">
        <f t="shared" si="218"/>
        <v>1.3126208218778932</v>
      </c>
      <c r="H211" s="32">
        <f t="shared" si="218"/>
        <v>2.2911364234059866</v>
      </c>
      <c r="I211" s="32">
        <f t="shared" si="218"/>
        <v>2.6728008921524147</v>
      </c>
      <c r="J211" s="32">
        <f t="shared" si="218"/>
        <v>3.2546246233194664</v>
      </c>
      <c r="K211" s="32">
        <f t="shared" si="218"/>
        <v>2.519699469023716</v>
      </c>
      <c r="L211" s="32">
        <f t="shared" si="218"/>
        <v>1.9843129174675604</v>
      </c>
      <c r="M211" s="32">
        <f t="shared" si="218"/>
        <v>1.6982606556801159</v>
      </c>
      <c r="N211" s="32">
        <f t="shared" si="218"/>
        <v>3.4400267903481754</v>
      </c>
      <c r="O211" s="32">
        <f t="shared" si="218"/>
        <v>4.2605054583326991</v>
      </c>
      <c r="P211" s="32">
        <f t="shared" si="218"/>
        <v>3.6088211261483534</v>
      </c>
      <c r="Q211" s="32">
        <f t="shared" si="218"/>
        <v>4.2456788120449396</v>
      </c>
      <c r="R211" s="32">
        <f t="shared" si="218"/>
        <v>4.2951852886224389</v>
      </c>
      <c r="S211" s="32">
        <f t="shared" si="218"/>
        <v>5.0204281088398819</v>
      </c>
      <c r="T211" s="32">
        <f t="shared" si="218"/>
        <v>4.673873091118562</v>
      </c>
      <c r="U211" s="32">
        <f t="shared" si="218"/>
        <v>2.5061316112127381</v>
      </c>
      <c r="V211" s="32">
        <f t="shared" si="218"/>
        <v>3.783485407723548</v>
      </c>
      <c r="W211" s="32">
        <f t="shared" si="218"/>
        <v>3.8397925172542862</v>
      </c>
      <c r="X211" s="32">
        <f t="shared" si="218"/>
        <v>5.2971716964864122</v>
      </c>
      <c r="Y211" s="32">
        <f t="shared" si="218"/>
        <v>8.6343266857448864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2.0990159700355768</v>
      </c>
      <c r="C212" s="97">
        <f t="shared" si="219"/>
        <v>2.1589391986353439</v>
      </c>
      <c r="D212" s="97">
        <f t="shared" si="219"/>
        <v>2.1449033785820348</v>
      </c>
      <c r="E212" s="97">
        <f t="shared" si="219"/>
        <v>2.0616005795358849</v>
      </c>
      <c r="F212" s="97">
        <f t="shared" si="219"/>
        <v>2.6653589208720523</v>
      </c>
      <c r="G212" s="97">
        <f t="shared" si="219"/>
        <v>2.293564558867673</v>
      </c>
      <c r="H212" s="97">
        <f t="shared" si="219"/>
        <v>3.9158324727378542</v>
      </c>
      <c r="I212" s="97">
        <f t="shared" si="219"/>
        <v>5.5687238204945544</v>
      </c>
      <c r="J212" s="97">
        <f t="shared" si="219"/>
        <v>7.4516694956879013</v>
      </c>
      <c r="K212" s="97">
        <f t="shared" si="219"/>
        <v>5.914696714428862</v>
      </c>
      <c r="L212" s="97">
        <f t="shared" si="219"/>
        <v>4.786212575164531</v>
      </c>
      <c r="M212" s="97">
        <f t="shared" si="219"/>
        <v>3.9312987573687552</v>
      </c>
      <c r="N212" s="97">
        <f t="shared" si="219"/>
        <v>9.8331875817938705</v>
      </c>
      <c r="O212" s="97">
        <f t="shared" si="219"/>
        <v>9.299016183694345</v>
      </c>
      <c r="P212" s="97">
        <f t="shared" si="219"/>
        <v>7.8169316612998418</v>
      </c>
      <c r="Q212" s="97">
        <f t="shared" si="219"/>
        <v>9.8462945491139457</v>
      </c>
      <c r="R212" s="97">
        <f t="shared" si="219"/>
        <v>10.081776276172615</v>
      </c>
      <c r="S212" s="97">
        <f t="shared" si="219"/>
        <v>11.797379247537194</v>
      </c>
      <c r="T212" s="97">
        <f t="shared" si="219"/>
        <v>10.627507385037001</v>
      </c>
      <c r="U212" s="97">
        <f t="shared" si="219"/>
        <v>6.1483601100165055</v>
      </c>
      <c r="V212" s="97">
        <f t="shared" si="219"/>
        <v>9.2578169176166902</v>
      </c>
      <c r="W212" s="97">
        <f t="shared" si="219"/>
        <v>8.5651164332823946</v>
      </c>
      <c r="X212" s="97">
        <f t="shared" si="219"/>
        <v>10.565256351299622</v>
      </c>
      <c r="Y212" s="97">
        <f t="shared" si="219"/>
        <v>12.703961386158923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1.055452028984007</v>
      </c>
      <c r="C213" s="98">
        <f t="shared" si="220"/>
        <v>1.0624931668076332</v>
      </c>
      <c r="D213" s="98">
        <f t="shared" si="220"/>
        <v>1.0631074872966269</v>
      </c>
      <c r="E213" s="98">
        <f t="shared" si="220"/>
        <v>1.3453186330310083</v>
      </c>
      <c r="F213" s="98">
        <f t="shared" si="220"/>
        <v>1.2639611316701032</v>
      </c>
      <c r="G213" s="98">
        <f t="shared" si="220"/>
        <v>0.93625063271656017</v>
      </c>
      <c r="H213" s="98">
        <f t="shared" si="220"/>
        <v>1.6382443399841429</v>
      </c>
      <c r="I213" s="98">
        <f t="shared" si="220"/>
        <v>1.7883973603922756</v>
      </c>
      <c r="J213" s="98">
        <f t="shared" si="220"/>
        <v>2.1494904987379693</v>
      </c>
      <c r="K213" s="98">
        <f t="shared" si="220"/>
        <v>1.6986524004862726</v>
      </c>
      <c r="L213" s="98">
        <f t="shared" si="220"/>
        <v>1.343576440754787</v>
      </c>
      <c r="M213" s="98">
        <f t="shared" si="220"/>
        <v>1.1380786683573165</v>
      </c>
      <c r="N213" s="98">
        <f t="shared" si="220"/>
        <v>2.468407556305471</v>
      </c>
      <c r="O213" s="98">
        <f t="shared" si="220"/>
        <v>2.7855287662498998</v>
      </c>
      <c r="P213" s="98">
        <f t="shared" si="220"/>
        <v>2.3653118485496223</v>
      </c>
      <c r="Q213" s="98">
        <f t="shared" si="220"/>
        <v>2.8577647420504833</v>
      </c>
      <c r="R213" s="98">
        <f t="shared" si="220"/>
        <v>2.917255317054396</v>
      </c>
      <c r="S213" s="98">
        <f t="shared" si="220"/>
        <v>3.3545996865719907</v>
      </c>
      <c r="T213" s="98">
        <f t="shared" si="220"/>
        <v>3.1393000637473643</v>
      </c>
      <c r="U213" s="98">
        <f t="shared" si="220"/>
        <v>1.6973912904128237</v>
      </c>
      <c r="V213" s="98">
        <f t="shared" si="220"/>
        <v>2.8513206675340181</v>
      </c>
      <c r="W213" s="98">
        <f t="shared" si="220"/>
        <v>2.8339471279788606</v>
      </c>
      <c r="X213" s="98">
        <f t="shared" si="220"/>
        <v>3.5187299628316118</v>
      </c>
      <c r="Y213" s="98">
        <f t="shared" si="220"/>
        <v>5.8072385939774964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112.20676607244245</v>
      </c>
      <c r="C216" s="32">
        <f t="shared" si="221"/>
        <v>139.22122629180285</v>
      </c>
      <c r="D216" s="32">
        <f t="shared" si="221"/>
        <v>136.43379709659581</v>
      </c>
      <c r="E216" s="32">
        <f t="shared" si="221"/>
        <v>125.19687819848671</v>
      </c>
      <c r="F216" s="32">
        <f t="shared" si="221"/>
        <v>125.33152532689112</v>
      </c>
      <c r="G216" s="32">
        <f t="shared" si="221"/>
        <v>111.29282239346479</v>
      </c>
      <c r="H216" s="32">
        <f t="shared" si="221"/>
        <v>120.21085406174684</v>
      </c>
      <c r="I216" s="32">
        <f t="shared" si="221"/>
        <v>128.93350430326828</v>
      </c>
      <c r="J216" s="32">
        <f t="shared" si="221"/>
        <v>124.51413268677608</v>
      </c>
      <c r="K216" s="32">
        <f t="shared" si="221"/>
        <v>119.35298786457801</v>
      </c>
      <c r="L216" s="32">
        <f t="shared" si="221"/>
        <v>122.91585704097433</v>
      </c>
      <c r="M216" s="32">
        <f t="shared" si="221"/>
        <v>120.64059665895782</v>
      </c>
      <c r="N216" s="32">
        <f t="shared" si="221"/>
        <v>122.60343396227773</v>
      </c>
      <c r="O216" s="32">
        <f t="shared" si="221"/>
        <v>117.4428395541164</v>
      </c>
      <c r="P216" s="32">
        <f t="shared" si="221"/>
        <v>113.83769702233971</v>
      </c>
      <c r="Q216" s="32">
        <f t="shared" si="221"/>
        <v>111.83437216352809</v>
      </c>
      <c r="R216" s="32">
        <f t="shared" si="221"/>
        <v>108.06037119780625</v>
      </c>
      <c r="S216" s="32">
        <f t="shared" si="221"/>
        <v>112.93524204504411</v>
      </c>
      <c r="T216" s="32">
        <f t="shared" si="221"/>
        <v>112.73984855385096</v>
      </c>
      <c r="U216" s="32">
        <f t="shared" si="221"/>
        <v>104.02412630906746</v>
      </c>
      <c r="V216" s="32">
        <f t="shared" si="221"/>
        <v>123.68378391661176</v>
      </c>
      <c r="W216" s="32">
        <f t="shared" si="221"/>
        <v>118.22454364988015</v>
      </c>
      <c r="X216" s="32">
        <f t="shared" si="221"/>
        <v>104.90806380362714</v>
      </c>
      <c r="Y216" s="32">
        <f t="shared" si="221"/>
        <v>95.285104118902339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115.28441590493146</v>
      </c>
      <c r="C217" s="141">
        <f t="shared" si="222"/>
        <v>143.87827210974987</v>
      </c>
      <c r="D217" s="141">
        <f t="shared" si="222"/>
        <v>140.83558457952483</v>
      </c>
      <c r="E217" s="141">
        <f t="shared" si="222"/>
        <v>128.75191912681825</v>
      </c>
      <c r="F217" s="141">
        <f t="shared" si="222"/>
        <v>128.04052593503235</v>
      </c>
      <c r="G217" s="141">
        <f t="shared" si="222"/>
        <v>111.67705929813964</v>
      </c>
      <c r="H217" s="141">
        <f t="shared" si="222"/>
        <v>121.5944648072303</v>
      </c>
      <c r="I217" s="141">
        <f t="shared" si="222"/>
        <v>130.29991909179029</v>
      </c>
      <c r="J217" s="141">
        <f t="shared" si="222"/>
        <v>123.66015736836948</v>
      </c>
      <c r="K217" s="141">
        <f t="shared" si="222"/>
        <v>120.57411166398911</v>
      </c>
      <c r="L217" s="141">
        <f t="shared" si="222"/>
        <v>126.15343517453165</v>
      </c>
      <c r="M217" s="141">
        <f t="shared" si="222"/>
        <v>123.4778151735887</v>
      </c>
      <c r="N217" s="141">
        <f t="shared" si="222"/>
        <v>124.57702414095651</v>
      </c>
      <c r="O217" s="141">
        <f t="shared" si="222"/>
        <v>118.65018205632188</v>
      </c>
      <c r="P217" s="141">
        <f t="shared" si="222"/>
        <v>115.31189316882889</v>
      </c>
      <c r="Q217" s="141">
        <f t="shared" si="222"/>
        <v>113.8731622000977</v>
      </c>
      <c r="R217" s="141">
        <f t="shared" si="222"/>
        <v>110.54942808696029</v>
      </c>
      <c r="S217" s="141">
        <f t="shared" si="222"/>
        <v>115.03366178384803</v>
      </c>
      <c r="T217" s="141">
        <f t="shared" si="222"/>
        <v>115.09946449663897</v>
      </c>
      <c r="U217" s="141">
        <f t="shared" si="222"/>
        <v>106.30501699206873</v>
      </c>
      <c r="V217" s="141">
        <f t="shared" si="222"/>
        <v>125.01382079417947</v>
      </c>
      <c r="W217" s="141">
        <f t="shared" si="222"/>
        <v>120.36642797206257</v>
      </c>
      <c r="X217" s="141">
        <f t="shared" si="222"/>
        <v>109.45572227964612</v>
      </c>
      <c r="Y217" s="141">
        <f t="shared" si="222"/>
        <v>100.28875258206709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134.55315209142728</v>
      </c>
      <c r="C218" s="97">
        <f t="shared" si="223"/>
        <v>134.09394321679133</v>
      </c>
      <c r="D218" s="97">
        <f t="shared" si="223"/>
        <v>132.85068336787785</v>
      </c>
      <c r="E218" s="97">
        <f t="shared" si="223"/>
        <v>131.10613508780776</v>
      </c>
      <c r="F218" s="97">
        <f t="shared" si="223"/>
        <v>129.51842238870199</v>
      </c>
      <c r="G218" s="97">
        <f t="shared" si="223"/>
        <v>128.14645295686847</v>
      </c>
      <c r="H218" s="97">
        <f t="shared" si="223"/>
        <v>125.75752302942922</v>
      </c>
      <c r="I218" s="97">
        <f t="shared" si="223"/>
        <v>123.90806061339228</v>
      </c>
      <c r="J218" s="97">
        <f t="shared" si="223"/>
        <v>121.07704090509465</v>
      </c>
      <c r="K218" s="97">
        <f t="shared" si="223"/>
        <v>120.24173528636456</v>
      </c>
      <c r="L218" s="97">
        <f t="shared" si="223"/>
        <v>117.30094333365247</v>
      </c>
      <c r="M218" s="97">
        <f t="shared" si="223"/>
        <v>114.39583492546431</v>
      </c>
      <c r="N218" s="97">
        <f t="shared" si="223"/>
        <v>109.31587535566871</v>
      </c>
      <c r="O218" s="97">
        <f t="shared" si="223"/>
        <v>107.99079501690544</v>
      </c>
      <c r="P218" s="97">
        <f t="shared" si="223"/>
        <v>105.27597341393741</v>
      </c>
      <c r="Q218" s="97">
        <f t="shared" si="223"/>
        <v>105.01604797978625</v>
      </c>
      <c r="R218" s="97">
        <f t="shared" si="223"/>
        <v>103.72933954902248</v>
      </c>
      <c r="S218" s="97">
        <f t="shared" si="223"/>
        <v>102.87735606986938</v>
      </c>
      <c r="T218" s="97">
        <f t="shared" si="223"/>
        <v>100.67383853484982</v>
      </c>
      <c r="U218" s="97">
        <f t="shared" si="223"/>
        <v>99.061331193533164</v>
      </c>
      <c r="V218" s="97">
        <f t="shared" si="223"/>
        <v>98.216399364660802</v>
      </c>
      <c r="W218" s="97">
        <f t="shared" si="223"/>
        <v>98.202776592194283</v>
      </c>
      <c r="X218" s="97">
        <f t="shared" si="223"/>
        <v>98.678879892656823</v>
      </c>
      <c r="Y218" s="97">
        <f t="shared" si="223"/>
        <v>98.108245023450294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121.62260081472168</v>
      </c>
      <c r="C219" s="97">
        <f t="shared" si="224"/>
        <v>150.34724893414645</v>
      </c>
      <c r="D219" s="97">
        <f t="shared" si="224"/>
        <v>138.81616368524527</v>
      </c>
      <c r="E219" s="97">
        <f t="shared" si="224"/>
        <v>127.74116011522918</v>
      </c>
      <c r="F219" s="97">
        <f t="shared" si="224"/>
        <v>128.31485000017193</v>
      </c>
      <c r="G219" s="97">
        <f t="shared" si="224"/>
        <v>109.00700306168972</v>
      </c>
      <c r="H219" s="97">
        <f t="shared" si="224"/>
        <v>123.06707706399278</v>
      </c>
      <c r="I219" s="97">
        <f t="shared" si="224"/>
        <v>136.34408621257361</v>
      </c>
      <c r="J219" s="97">
        <f t="shared" si="224"/>
        <v>127.61823700029356</v>
      </c>
      <c r="K219" s="97">
        <f t="shared" si="224"/>
        <v>123.05300820050103</v>
      </c>
      <c r="L219" s="97">
        <f t="shared" si="224"/>
        <v>127.79286036262586</v>
      </c>
      <c r="M219" s="97">
        <f t="shared" si="224"/>
        <v>124.77750900092813</v>
      </c>
      <c r="N219" s="97">
        <f t="shared" si="224"/>
        <v>123.5449311519164</v>
      </c>
      <c r="O219" s="97">
        <f t="shared" si="224"/>
        <v>117.30357274688853</v>
      </c>
      <c r="P219" s="97">
        <f t="shared" si="224"/>
        <v>113.11618023414937</v>
      </c>
      <c r="Q219" s="97">
        <f t="shared" si="224"/>
        <v>114.78367355835969</v>
      </c>
      <c r="R219" s="97">
        <f t="shared" si="224"/>
        <v>113.51195621927589</v>
      </c>
      <c r="S219" s="97">
        <f t="shared" si="224"/>
        <v>115.51373855368136</v>
      </c>
      <c r="T219" s="97">
        <f t="shared" si="224"/>
        <v>115.82050692746108</v>
      </c>
      <c r="U219" s="97">
        <f t="shared" si="224"/>
        <v>109.25464842774508</v>
      </c>
      <c r="V219" s="97">
        <f t="shared" si="224"/>
        <v>116.67504860628745</v>
      </c>
      <c r="W219" s="97">
        <f t="shared" si="224"/>
        <v>109.73952219656459</v>
      </c>
      <c r="X219" s="97">
        <f t="shared" si="224"/>
        <v>104.72220698849652</v>
      </c>
      <c r="Y219" s="97">
        <f t="shared" si="224"/>
        <v>102.54872741977505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99.112437858478614</v>
      </c>
      <c r="C220" s="97">
        <f t="shared" si="225"/>
        <v>126.01737871871325</v>
      </c>
      <c r="D220" s="97">
        <f t="shared" si="225"/>
        <v>146.98886067778832</v>
      </c>
      <c r="E220" s="97">
        <f t="shared" si="225"/>
        <v>132.11259397223702</v>
      </c>
      <c r="F220" s="97">
        <f t="shared" si="225"/>
        <v>127.16494877438805</v>
      </c>
      <c r="G220" s="97">
        <f t="shared" si="225"/>
        <v>121.3531749770911</v>
      </c>
      <c r="H220" s="97">
        <f t="shared" si="225"/>
        <v>116.4857052475289</v>
      </c>
      <c r="I220" s="97">
        <f t="shared" si="225"/>
        <v>107.77012793483975</v>
      </c>
      <c r="J220" s="97">
        <f t="shared" si="225"/>
        <v>106.74312028888063</v>
      </c>
      <c r="K220" s="97">
        <f t="shared" si="225"/>
        <v>108.26569300377417</v>
      </c>
      <c r="L220" s="97">
        <f t="shared" si="225"/>
        <v>118.23403246823047</v>
      </c>
      <c r="M220" s="97">
        <f t="shared" si="225"/>
        <v>117.09973010067883</v>
      </c>
      <c r="N220" s="97">
        <f t="shared" si="225"/>
        <v>130.89125185103612</v>
      </c>
      <c r="O220" s="97">
        <f t="shared" si="225"/>
        <v>126.78500260479322</v>
      </c>
      <c r="P220" s="97">
        <f t="shared" si="225"/>
        <v>128.7710609793225</v>
      </c>
      <c r="Q220" s="97">
        <f t="shared" si="225"/>
        <v>109.34161792922356</v>
      </c>
      <c r="R220" s="97">
        <f t="shared" si="225"/>
        <v>97.755059942638027</v>
      </c>
      <c r="S220" s="97">
        <f t="shared" si="225"/>
        <v>113.1124136614867</v>
      </c>
      <c r="T220" s="97">
        <f t="shared" si="225"/>
        <v>112.02149302790158</v>
      </c>
      <c r="U220" s="97">
        <f t="shared" si="225"/>
        <v>93.268381476871511</v>
      </c>
      <c r="V220" s="97">
        <f t="shared" si="225"/>
        <v>200.23010649477365</v>
      </c>
      <c r="W220" s="97">
        <f t="shared" si="225"/>
        <v>229.51994255908448</v>
      </c>
      <c r="X220" s="97">
        <f t="shared" si="225"/>
        <v>143.5449473866172</v>
      </c>
      <c r="Y220" s="97">
        <f t="shared" si="225"/>
        <v>86.882217409415432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25.732512147388483</v>
      </c>
      <c r="C221" s="130">
        <f t="shared" si="226"/>
        <v>19.194008152446433</v>
      </c>
      <c r="D221" s="130">
        <f t="shared" si="226"/>
        <v>18.890753318381694</v>
      </c>
      <c r="E221" s="130">
        <f t="shared" si="226"/>
        <v>17.071833668534882</v>
      </c>
      <c r="F221" s="130">
        <f t="shared" si="226"/>
        <v>18.080799471521544</v>
      </c>
      <c r="G221" s="130">
        <f t="shared" si="226"/>
        <v>17.871200933423179</v>
      </c>
      <c r="H221" s="130">
        <f t="shared" si="226"/>
        <v>19.725725322094409</v>
      </c>
      <c r="I221" s="130">
        <f t="shared" si="226"/>
        <v>23.600965683715881</v>
      </c>
      <c r="J221" s="130">
        <f t="shared" si="226"/>
        <v>16.956063313752512</v>
      </c>
      <c r="K221" s="130">
        <f t="shared" si="226"/>
        <v>17.512073726905449</v>
      </c>
      <c r="L221" s="130">
        <f t="shared" si="226"/>
        <v>20.294439706406383</v>
      </c>
      <c r="M221" s="130">
        <f t="shared" si="226"/>
        <v>21.122857675125598</v>
      </c>
      <c r="N221" s="130">
        <f t="shared" si="226"/>
        <v>15.497628705748454</v>
      </c>
      <c r="O221" s="130">
        <f t="shared" si="226"/>
        <v>21.931043089437157</v>
      </c>
      <c r="P221" s="130">
        <f t="shared" si="226"/>
        <v>22.19278256911311</v>
      </c>
      <c r="Q221" s="130">
        <f t="shared" si="226"/>
        <v>22.053408144278009</v>
      </c>
      <c r="R221" s="130">
        <f t="shared" si="226"/>
        <v>20.145416661454327</v>
      </c>
      <c r="S221" s="130">
        <f t="shared" si="226"/>
        <v>21.312383226908818</v>
      </c>
      <c r="T221" s="130">
        <f t="shared" si="226"/>
        <v>22.898707611802497</v>
      </c>
      <c r="U221" s="130">
        <f t="shared" si="226"/>
        <v>30.272939430731022</v>
      </c>
      <c r="V221" s="130">
        <f t="shared" si="226"/>
        <v>44.43263123144078</v>
      </c>
      <c r="W221" s="130">
        <f t="shared" si="226"/>
        <v>24.299692755998318</v>
      </c>
      <c r="X221" s="130">
        <f t="shared" si="226"/>
        <v>26.929829462069197</v>
      </c>
      <c r="Y221" s="130">
        <f t="shared" si="226"/>
        <v>28.684864984641063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36.055094606513286</v>
      </c>
      <c r="C223" s="97">
        <f t="shared" si="228"/>
        <v>28.399616254074736</v>
      </c>
      <c r="D223" s="97">
        <f t="shared" si="228"/>
        <v>28.755153468811024</v>
      </c>
      <c r="E223" s="97">
        <f t="shared" si="228"/>
        <v>25.832446609641199</v>
      </c>
      <c r="F223" s="97">
        <f t="shared" si="228"/>
        <v>25.893953232790437</v>
      </c>
      <c r="G223" s="97">
        <f t="shared" si="228"/>
        <v>23.297416378127881</v>
      </c>
      <c r="H223" s="97">
        <f t="shared" si="228"/>
        <v>25.75857361126414</v>
      </c>
      <c r="I223" s="97">
        <f t="shared" si="228"/>
        <v>30.422850655067332</v>
      </c>
      <c r="J223" s="97">
        <f t="shared" si="228"/>
        <v>21.402203025077977</v>
      </c>
      <c r="K223" s="97">
        <f t="shared" si="228"/>
        <v>22.565045458057959</v>
      </c>
      <c r="L223" s="97">
        <f t="shared" si="228"/>
        <v>26.197656749265406</v>
      </c>
      <c r="M223" s="97">
        <f t="shared" si="228"/>
        <v>26.759792138156648</v>
      </c>
      <c r="N223" s="97">
        <f t="shared" si="228"/>
        <v>21.591230365492553</v>
      </c>
      <c r="O223" s="97">
        <f t="shared" si="228"/>
        <v>29.382090392702256</v>
      </c>
      <c r="P223" s="97">
        <f t="shared" si="228"/>
        <v>26.830915606182259</v>
      </c>
      <c r="Q223" s="97">
        <f t="shared" si="228"/>
        <v>26.305706205551981</v>
      </c>
      <c r="R223" s="97">
        <f t="shared" si="228"/>
        <v>23.781409363572639</v>
      </c>
      <c r="S223" s="97">
        <f t="shared" si="228"/>
        <v>24.783215473465923</v>
      </c>
      <c r="T223" s="97">
        <f t="shared" si="228"/>
        <v>27.505466314366853</v>
      </c>
      <c r="U223" s="97">
        <f t="shared" si="228"/>
        <v>37.018553495515441</v>
      </c>
      <c r="V223" s="97">
        <f t="shared" si="228"/>
        <v>57.707513356955836</v>
      </c>
      <c r="W223" s="97">
        <f t="shared" si="228"/>
        <v>29.806254510639491</v>
      </c>
      <c r="X223" s="97">
        <f t="shared" si="228"/>
        <v>33.009414705470732</v>
      </c>
      <c r="Y223" s="97">
        <f t="shared" si="228"/>
        <v>36.097533269567876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117.87733301614391</v>
      </c>
      <c r="C225" s="130">
        <f t="shared" si="230"/>
        <v>114.6818405592101</v>
      </c>
      <c r="D225" s="130">
        <f t="shared" si="230"/>
        <v>115.29401406884369</v>
      </c>
      <c r="E225" s="130">
        <f t="shared" si="230"/>
        <v>114.57552126241015</v>
      </c>
      <c r="F225" s="130">
        <f t="shared" si="230"/>
        <v>127.68758606184596</v>
      </c>
      <c r="G225" s="130">
        <f t="shared" si="230"/>
        <v>133.76846919084306</v>
      </c>
      <c r="H225" s="130">
        <f t="shared" si="230"/>
        <v>134.04019574175362</v>
      </c>
      <c r="I225" s="130">
        <f t="shared" si="230"/>
        <v>145.28483135370504</v>
      </c>
      <c r="J225" s="130">
        <f t="shared" si="230"/>
        <v>163.73612835321359</v>
      </c>
      <c r="K225" s="130">
        <f t="shared" si="230"/>
        <v>141.68946186371306</v>
      </c>
      <c r="L225" s="130">
        <f t="shared" si="230"/>
        <v>115.16583296000144</v>
      </c>
      <c r="M225" s="130">
        <f t="shared" si="230"/>
        <v>116.52540754594371</v>
      </c>
      <c r="N225" s="130">
        <f t="shared" si="230"/>
        <v>129.84241864325668</v>
      </c>
      <c r="O225" s="130">
        <f t="shared" si="230"/>
        <v>128.88226968505316</v>
      </c>
      <c r="P225" s="130">
        <f t="shared" si="230"/>
        <v>123.00101283396505</v>
      </c>
      <c r="Q225" s="130">
        <f t="shared" si="230"/>
        <v>112.25158112711766</v>
      </c>
      <c r="R225" s="130">
        <f t="shared" si="230"/>
        <v>103.03968712592295</v>
      </c>
      <c r="S225" s="130">
        <f t="shared" si="230"/>
        <v>116.4715927611288</v>
      </c>
      <c r="T225" s="130">
        <f t="shared" si="230"/>
        <v>116.50112044863582</v>
      </c>
      <c r="U225" s="130">
        <f t="shared" si="230"/>
        <v>101.95500854737391</v>
      </c>
      <c r="V225" s="130">
        <f t="shared" si="230"/>
        <v>141.73988178618762</v>
      </c>
      <c r="W225" s="130">
        <f t="shared" si="230"/>
        <v>120.58148286928343</v>
      </c>
      <c r="X225" s="130">
        <f t="shared" si="230"/>
        <v>86.409678175044618</v>
      </c>
      <c r="Y225" s="130">
        <f t="shared" si="230"/>
        <v>69.973965078464957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127.4696450943791</v>
      </c>
      <c r="C227" s="97">
        <f t="shared" si="232"/>
        <v>123.61933739976811</v>
      </c>
      <c r="D227" s="97">
        <f t="shared" si="232"/>
        <v>125.73769778849778</v>
      </c>
      <c r="E227" s="97">
        <f t="shared" si="232"/>
        <v>124.32105762090994</v>
      </c>
      <c r="F227" s="97">
        <f t="shared" si="232"/>
        <v>139.22070032049598</v>
      </c>
      <c r="G227" s="97">
        <f t="shared" si="232"/>
        <v>146.40172479088409</v>
      </c>
      <c r="H227" s="97">
        <f t="shared" si="232"/>
        <v>146.59400885001193</v>
      </c>
      <c r="I227" s="97">
        <f t="shared" si="232"/>
        <v>166.60362068235978</v>
      </c>
      <c r="J227" s="97">
        <f t="shared" si="232"/>
        <v>198.75735107244711</v>
      </c>
      <c r="K227" s="97">
        <f t="shared" si="232"/>
        <v>173.16448818599383</v>
      </c>
      <c r="L227" s="97">
        <f t="shared" si="232"/>
        <v>147.33789818354219</v>
      </c>
      <c r="M227" s="97">
        <f t="shared" si="232"/>
        <v>132.18224546164097</v>
      </c>
      <c r="N227" s="97">
        <f t="shared" si="232"/>
        <v>159.84297705032213</v>
      </c>
      <c r="O227" s="97">
        <f t="shared" si="232"/>
        <v>145.96992697405895</v>
      </c>
      <c r="P227" s="97">
        <f t="shared" si="232"/>
        <v>140.35711399746211</v>
      </c>
      <c r="Q227" s="97">
        <f t="shared" si="232"/>
        <v>133.63984379317489</v>
      </c>
      <c r="R227" s="97">
        <f t="shared" si="232"/>
        <v>113.71513199872069</v>
      </c>
      <c r="S227" s="97">
        <f t="shared" si="232"/>
        <v>129.86860496926028</v>
      </c>
      <c r="T227" s="97">
        <f t="shared" si="232"/>
        <v>133.93893657110516</v>
      </c>
      <c r="U227" s="97">
        <f t="shared" si="232"/>
        <v>125.52692098573584</v>
      </c>
      <c r="V227" s="97">
        <f t="shared" si="232"/>
        <v>160.89675666867785</v>
      </c>
      <c r="W227" s="97">
        <f t="shared" si="232"/>
        <v>175.42730258179779</v>
      </c>
      <c r="X227" s="97">
        <f t="shared" si="232"/>
        <v>110.47360368141739</v>
      </c>
      <c r="Y227" s="97">
        <f t="shared" si="232"/>
        <v>92.388328018468258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61.521670319439252</v>
      </c>
      <c r="C228" s="97">
        <f t="shared" si="233"/>
        <v>61.038982469074512</v>
      </c>
      <c r="D228" s="97">
        <f t="shared" si="233"/>
        <v>59.323998435647354</v>
      </c>
      <c r="E228" s="97">
        <f t="shared" si="233"/>
        <v>65.275234575932728</v>
      </c>
      <c r="F228" s="97">
        <f t="shared" si="233"/>
        <v>77.951564662545408</v>
      </c>
      <c r="G228" s="97">
        <f t="shared" si="233"/>
        <v>75.925109010248207</v>
      </c>
      <c r="H228" s="97">
        <f t="shared" si="233"/>
        <v>75.171552433227845</v>
      </c>
      <c r="I228" s="97">
        <f t="shared" si="233"/>
        <v>66.076022281492072</v>
      </c>
      <c r="J228" s="97">
        <f t="shared" si="233"/>
        <v>63.726133496691027</v>
      </c>
      <c r="K228" s="97">
        <f t="shared" si="233"/>
        <v>59.262787115785585</v>
      </c>
      <c r="L228" s="97">
        <f t="shared" si="233"/>
        <v>43.285474709342104</v>
      </c>
      <c r="M228" s="97">
        <f t="shared" si="233"/>
        <v>55.489677115655901</v>
      </c>
      <c r="N228" s="97">
        <f t="shared" si="233"/>
        <v>50.477851881702222</v>
      </c>
      <c r="O228" s="97">
        <f t="shared" si="233"/>
        <v>67.410531432117267</v>
      </c>
      <c r="P228" s="97">
        <f t="shared" si="233"/>
        <v>62.473403481750537</v>
      </c>
      <c r="Q228" s="97">
        <f t="shared" si="233"/>
        <v>49.648033729473426</v>
      </c>
      <c r="R228" s="97">
        <f t="shared" si="233"/>
        <v>58.517001081468244</v>
      </c>
      <c r="S228" s="97">
        <f t="shared" si="233"/>
        <v>62.34005618196656</v>
      </c>
      <c r="T228" s="97">
        <f t="shared" si="233"/>
        <v>54.329481085006648</v>
      </c>
      <c r="U228" s="97">
        <f t="shared" si="233"/>
        <v>39.20324533156947</v>
      </c>
      <c r="V228" s="97">
        <f t="shared" si="233"/>
        <v>80.542808973561833</v>
      </c>
      <c r="W228" s="97">
        <f t="shared" si="233"/>
        <v>36.224809424749473</v>
      </c>
      <c r="X228" s="97">
        <f t="shared" si="233"/>
        <v>28.691788259928714</v>
      </c>
      <c r="Y228" s="97">
        <f t="shared" si="233"/>
        <v>22.626219798054699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57.368456005978288</v>
      </c>
      <c r="C229" s="32">
        <f t="shared" si="234"/>
        <v>61.348560368127202</v>
      </c>
      <c r="D229" s="32">
        <f t="shared" si="234"/>
        <v>64.158401867092223</v>
      </c>
      <c r="E229" s="32">
        <f t="shared" si="234"/>
        <v>57.566488061164613</v>
      </c>
      <c r="F229" s="32">
        <f t="shared" si="234"/>
        <v>54.193833679977097</v>
      </c>
      <c r="G229" s="32">
        <f t="shared" si="234"/>
        <v>52.448722769090651</v>
      </c>
      <c r="H229" s="32">
        <f t="shared" si="234"/>
        <v>53.169019212183734</v>
      </c>
      <c r="I229" s="32">
        <f t="shared" si="234"/>
        <v>63.235968171106407</v>
      </c>
      <c r="J229" s="32">
        <f t="shared" si="234"/>
        <v>77.464309511765535</v>
      </c>
      <c r="K229" s="32">
        <f t="shared" si="234"/>
        <v>71.508436283659591</v>
      </c>
      <c r="L229" s="32">
        <f t="shared" si="234"/>
        <v>76.332738947904033</v>
      </c>
      <c r="M229" s="32">
        <f t="shared" si="234"/>
        <v>76.145245742300034</v>
      </c>
      <c r="N229" s="32">
        <f t="shared" si="234"/>
        <v>84.952648662637984</v>
      </c>
      <c r="O229" s="32">
        <f t="shared" si="234"/>
        <v>83.081278028616339</v>
      </c>
      <c r="P229" s="32">
        <f t="shared" si="234"/>
        <v>98.579124757436801</v>
      </c>
      <c r="Q229" s="32">
        <f t="shared" si="234"/>
        <v>95.40411688952355</v>
      </c>
      <c r="R229" s="32">
        <f t="shared" si="234"/>
        <v>99.603022148794125</v>
      </c>
      <c r="S229" s="32">
        <f t="shared" si="234"/>
        <v>100.77353636005512</v>
      </c>
      <c r="T229" s="32">
        <f t="shared" si="234"/>
        <v>95.84614425493983</v>
      </c>
      <c r="U229" s="32">
        <f t="shared" si="234"/>
        <v>103.22303124771253</v>
      </c>
      <c r="V229" s="32">
        <f t="shared" si="234"/>
        <v>109.08361999903478</v>
      </c>
      <c r="W229" s="32">
        <f t="shared" si="234"/>
        <v>109.34925162227131</v>
      </c>
      <c r="X229" s="32">
        <f t="shared" si="234"/>
        <v>131.70792265727255</v>
      </c>
      <c r="Y229" s="32">
        <f t="shared" si="234"/>
        <v>166.82646382593839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262.11535061664239</v>
      </c>
      <c r="C230" s="141">
        <f t="shared" si="235"/>
        <v>329.26444496694586</v>
      </c>
      <c r="D230" s="141">
        <f t="shared" si="235"/>
        <v>328.17902562750157</v>
      </c>
      <c r="E230" s="141">
        <f t="shared" si="235"/>
        <v>216.00283963388975</v>
      </c>
      <c r="F230" s="141">
        <f t="shared" si="235"/>
        <v>225.78348367441563</v>
      </c>
      <c r="G230" s="141">
        <f t="shared" si="235"/>
        <v>194.16256455430104</v>
      </c>
      <c r="H230" s="141">
        <f t="shared" si="235"/>
        <v>183.6989583794066</v>
      </c>
      <c r="I230" s="141">
        <f t="shared" si="235"/>
        <v>192.03331739430863</v>
      </c>
      <c r="J230" s="141">
        <f t="shared" si="235"/>
        <v>199.64288459835919</v>
      </c>
      <c r="K230" s="141">
        <f t="shared" si="235"/>
        <v>201.96501680666628</v>
      </c>
      <c r="L230" s="141">
        <f t="shared" si="235"/>
        <v>216.59101823916109</v>
      </c>
      <c r="M230" s="141">
        <f t="shared" si="235"/>
        <v>211.27185637951968</v>
      </c>
      <c r="N230" s="141">
        <f t="shared" si="235"/>
        <v>207.01065004586252</v>
      </c>
      <c r="O230" s="141">
        <f t="shared" si="235"/>
        <v>187.77146724927061</v>
      </c>
      <c r="P230" s="141">
        <f t="shared" si="235"/>
        <v>184.60979883700466</v>
      </c>
      <c r="Q230" s="141">
        <f t="shared" si="235"/>
        <v>168.6788433491183</v>
      </c>
      <c r="R230" s="141">
        <f t="shared" si="235"/>
        <v>151.89498108752281</v>
      </c>
      <c r="S230" s="141">
        <f t="shared" si="235"/>
        <v>154.3746086228885</v>
      </c>
      <c r="T230" s="141">
        <f t="shared" si="235"/>
        <v>153.24126116531818</v>
      </c>
      <c r="U230" s="141">
        <f t="shared" si="235"/>
        <v>153.73061650814171</v>
      </c>
      <c r="V230" s="141">
        <f t="shared" si="235"/>
        <v>153.32898303023364</v>
      </c>
      <c r="W230" s="141">
        <f t="shared" si="235"/>
        <v>158.93956064271507</v>
      </c>
      <c r="X230" s="141">
        <f t="shared" si="235"/>
        <v>163.99054592155423</v>
      </c>
      <c r="Y230" s="141">
        <f t="shared" si="235"/>
        <v>190.0745339816545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1025.0060652937034</v>
      </c>
      <c r="C231" s="97">
        <f t="shared" si="236"/>
        <v>1233.398542816351</v>
      </c>
      <c r="D231" s="97">
        <f t="shared" si="236"/>
        <v>1347.9415218192551</v>
      </c>
      <c r="E231" s="97">
        <f t="shared" si="236"/>
        <v>1171.8879963995532</v>
      </c>
      <c r="F231" s="97">
        <f t="shared" si="236"/>
        <v>1185.9472278879914</v>
      </c>
      <c r="G231" s="97">
        <f t="shared" si="236"/>
        <v>1173.5659687098544</v>
      </c>
      <c r="H231" s="97">
        <f t="shared" si="236"/>
        <v>1144.8421522647902</v>
      </c>
      <c r="I231" s="97">
        <f t="shared" si="236"/>
        <v>1134.212745027203</v>
      </c>
      <c r="J231" s="97">
        <f t="shared" si="236"/>
        <v>1077.7099279278918</v>
      </c>
      <c r="K231" s="97">
        <f t="shared" si="236"/>
        <v>992.54506325869113</v>
      </c>
      <c r="L231" s="97">
        <f t="shared" si="236"/>
        <v>1064.473800749772</v>
      </c>
      <c r="M231" s="97">
        <f t="shared" si="236"/>
        <v>1070.7591473423552</v>
      </c>
      <c r="N231" s="97">
        <f t="shared" si="236"/>
        <v>1048.8918983564704</v>
      </c>
      <c r="O231" s="97">
        <f t="shared" si="236"/>
        <v>973.85154114151453</v>
      </c>
      <c r="P231" s="97">
        <f t="shared" si="236"/>
        <v>948.8854735941436</v>
      </c>
      <c r="Q231" s="97">
        <f t="shared" si="236"/>
        <v>893.2575190028524</v>
      </c>
      <c r="R231" s="97">
        <f t="shared" si="236"/>
        <v>839.34296489661642</v>
      </c>
      <c r="S231" s="97">
        <f t="shared" si="236"/>
        <v>826.63680270698728</v>
      </c>
      <c r="T231" s="97">
        <f t="shared" si="236"/>
        <v>800.58706357552182</v>
      </c>
      <c r="U231" s="97">
        <f t="shared" si="236"/>
        <v>783.18172249604186</v>
      </c>
      <c r="V231" s="97">
        <f t="shared" si="236"/>
        <v>744.26537243087273</v>
      </c>
      <c r="W231" s="97">
        <f t="shared" si="236"/>
        <v>772.63635606533182</v>
      </c>
      <c r="X231" s="97">
        <f t="shared" si="236"/>
        <v>786.14575580536598</v>
      </c>
      <c r="Y231" s="97">
        <f t="shared" si="236"/>
        <v>820.78735937016086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117.59803768185235</v>
      </c>
      <c r="C232" s="97">
        <f t="shared" si="237"/>
        <v>138.11643296390275</v>
      </c>
      <c r="D232" s="97">
        <f t="shared" si="237"/>
        <v>153.10005982506465</v>
      </c>
      <c r="E232" s="97">
        <f t="shared" si="237"/>
        <v>116.8754986524437</v>
      </c>
      <c r="F232" s="97">
        <f t="shared" si="237"/>
        <v>131.18282838379545</v>
      </c>
      <c r="G232" s="97">
        <f t="shared" si="237"/>
        <v>117.27911776801267</v>
      </c>
      <c r="H232" s="97">
        <f t="shared" si="237"/>
        <v>115.68255390591874</v>
      </c>
      <c r="I232" s="97">
        <f t="shared" si="237"/>
        <v>129.22141085525195</v>
      </c>
      <c r="J232" s="97">
        <f t="shared" si="237"/>
        <v>136.73286732927295</v>
      </c>
      <c r="K232" s="97">
        <f t="shared" si="237"/>
        <v>128.14379866245397</v>
      </c>
      <c r="L232" s="97">
        <f t="shared" si="237"/>
        <v>141.14206054175293</v>
      </c>
      <c r="M232" s="97">
        <f t="shared" si="237"/>
        <v>141.34850619832926</v>
      </c>
      <c r="N232" s="97">
        <f t="shared" si="237"/>
        <v>136.55481519461827</v>
      </c>
      <c r="O232" s="97">
        <f t="shared" si="237"/>
        <v>120.29332199670257</v>
      </c>
      <c r="P232" s="97">
        <f t="shared" si="237"/>
        <v>114.06400715623064</v>
      </c>
      <c r="Q232" s="97">
        <f t="shared" si="237"/>
        <v>102.75939297963231</v>
      </c>
      <c r="R232" s="97">
        <f t="shared" si="237"/>
        <v>88.751871275090494</v>
      </c>
      <c r="S232" s="97">
        <f t="shared" si="237"/>
        <v>81.569246509790716</v>
      </c>
      <c r="T232" s="97">
        <f t="shared" si="237"/>
        <v>77.860988955492274</v>
      </c>
      <c r="U232" s="97">
        <f t="shared" si="237"/>
        <v>71.635161841236837</v>
      </c>
      <c r="V232" s="97">
        <f t="shared" si="237"/>
        <v>67.041125267229532</v>
      </c>
      <c r="W232" s="97">
        <f t="shared" si="237"/>
        <v>76.236609346109233</v>
      </c>
      <c r="X232" s="97">
        <f t="shared" si="237"/>
        <v>81.899048894548741</v>
      </c>
      <c r="Y232" s="97">
        <f t="shared" si="237"/>
        <v>93.933773369305953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15.473970662515431</v>
      </c>
      <c r="C233" s="130">
        <f t="shared" si="238"/>
        <v>14.045814945753126</v>
      </c>
      <c r="D233" s="130">
        <f t="shared" si="238"/>
        <v>15.960369763194169</v>
      </c>
      <c r="E233" s="130">
        <f t="shared" si="238"/>
        <v>14.100584234965329</v>
      </c>
      <c r="F233" s="130">
        <f t="shared" si="238"/>
        <v>11.178989037573553</v>
      </c>
      <c r="G233" s="130">
        <f t="shared" si="238"/>
        <v>11.830839433990439</v>
      </c>
      <c r="H233" s="130">
        <f t="shared" si="238"/>
        <v>12.602703645796231</v>
      </c>
      <c r="I233" s="130">
        <f t="shared" si="238"/>
        <v>12.76845182924218</v>
      </c>
      <c r="J233" s="130">
        <f t="shared" si="238"/>
        <v>12.726060301384592</v>
      </c>
      <c r="K233" s="130">
        <f t="shared" si="238"/>
        <v>17.502329524288477</v>
      </c>
      <c r="L233" s="130">
        <f t="shared" si="238"/>
        <v>22.634932025147851</v>
      </c>
      <c r="M233" s="130">
        <f t="shared" si="238"/>
        <v>15.957262081076056</v>
      </c>
      <c r="N233" s="130">
        <f t="shared" si="238"/>
        <v>17.344309000606206</v>
      </c>
      <c r="O233" s="130">
        <f t="shared" si="238"/>
        <v>15.871023685393352</v>
      </c>
      <c r="P233" s="130">
        <f t="shared" si="238"/>
        <v>16.945928633374994</v>
      </c>
      <c r="Q233" s="130">
        <f t="shared" si="238"/>
        <v>16.692569145079286</v>
      </c>
      <c r="R233" s="130">
        <f t="shared" si="238"/>
        <v>16.880993436372243</v>
      </c>
      <c r="S233" s="130">
        <f t="shared" si="238"/>
        <v>17.135048970628596</v>
      </c>
      <c r="T233" s="130">
        <f t="shared" si="238"/>
        <v>13.300416100042129</v>
      </c>
      <c r="U233" s="130">
        <f t="shared" si="238"/>
        <v>16.600612914040806</v>
      </c>
      <c r="V233" s="130">
        <f t="shared" si="238"/>
        <v>17.243878303713498</v>
      </c>
      <c r="W233" s="130">
        <f t="shared" si="238"/>
        <v>16.414913235364658</v>
      </c>
      <c r="X233" s="130">
        <f t="shared" si="238"/>
        <v>20.661569659805739</v>
      </c>
      <c r="Y233" s="130">
        <f t="shared" si="238"/>
        <v>36.764820837894042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213.08000430023097</v>
      </c>
      <c r="C234" s="130">
        <f t="shared" si="239"/>
        <v>197.34757972865967</v>
      </c>
      <c r="D234" s="130">
        <f t="shared" si="239"/>
        <v>250.547892939311</v>
      </c>
      <c r="E234" s="130">
        <f t="shared" si="239"/>
        <v>295.67407950404481</v>
      </c>
      <c r="F234" s="130">
        <f t="shared" si="239"/>
        <v>416.44546118663777</v>
      </c>
      <c r="G234" s="130">
        <f t="shared" si="239"/>
        <v>361.16344988382468</v>
      </c>
      <c r="H234" s="130">
        <f t="shared" si="239"/>
        <v>492.69310649280789</v>
      </c>
      <c r="I234" s="130">
        <f t="shared" si="239"/>
        <v>639.66891699799123</v>
      </c>
      <c r="J234" s="130">
        <f t="shared" si="239"/>
        <v>804.948502897151</v>
      </c>
      <c r="K234" s="130">
        <f t="shared" si="239"/>
        <v>709.3610198977558</v>
      </c>
      <c r="L234" s="130">
        <f t="shared" si="239"/>
        <v>405.63475715968553</v>
      </c>
      <c r="M234" s="130">
        <f t="shared" si="239"/>
        <v>470.03158990494097</v>
      </c>
      <c r="N234" s="130">
        <f t="shared" si="239"/>
        <v>455.83765672933595</v>
      </c>
      <c r="O234" s="130">
        <f t="shared" si="239"/>
        <v>529.9407006081691</v>
      </c>
      <c r="P234" s="130">
        <f t="shared" si="239"/>
        <v>420.3277290745915</v>
      </c>
      <c r="Q234" s="130">
        <f t="shared" si="239"/>
        <v>361.21628585134374</v>
      </c>
      <c r="R234" s="130">
        <f t="shared" si="239"/>
        <v>210.03857309615663</v>
      </c>
      <c r="S234" s="130">
        <f t="shared" si="239"/>
        <v>336.27897731360594</v>
      </c>
      <c r="T234" s="130">
        <f t="shared" si="239"/>
        <v>331.16099222641412</v>
      </c>
      <c r="U234" s="130">
        <f t="shared" si="239"/>
        <v>301.48096038123549</v>
      </c>
      <c r="V234" s="130">
        <f t="shared" si="239"/>
        <v>426.07947234157029</v>
      </c>
      <c r="W234" s="130">
        <f t="shared" si="239"/>
        <v>410.13031300877208</v>
      </c>
      <c r="X234" s="130">
        <f t="shared" si="239"/>
        <v>361.96710061323199</v>
      </c>
      <c r="Y234" s="130">
        <f t="shared" si="239"/>
        <v>357.10527490442416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512.51226207105765</v>
      </c>
      <c r="C236" s="97">
        <f t="shared" si="241"/>
        <v>465.74057086730568</v>
      </c>
      <c r="D236" s="97">
        <f t="shared" si="241"/>
        <v>524.42233653066</v>
      </c>
      <c r="E236" s="97">
        <f t="shared" si="241"/>
        <v>601.71156390098645</v>
      </c>
      <c r="F236" s="97">
        <f t="shared" si="241"/>
        <v>814.65761116251736</v>
      </c>
      <c r="G236" s="97">
        <f t="shared" si="241"/>
        <v>888.49659356380164</v>
      </c>
      <c r="H236" s="97">
        <f t="shared" si="241"/>
        <v>944.1351503340976</v>
      </c>
      <c r="I236" s="97">
        <f t="shared" si="241"/>
        <v>945.92180711547019</v>
      </c>
      <c r="J236" s="97">
        <f t="shared" si="241"/>
        <v>1050.3803458261455</v>
      </c>
      <c r="K236" s="97">
        <f t="shared" si="241"/>
        <v>801.64981941636768</v>
      </c>
      <c r="L236" s="97">
        <f t="shared" si="241"/>
        <v>577.59333827817522</v>
      </c>
      <c r="M236" s="97">
        <f t="shared" si="241"/>
        <v>544.41940010061126</v>
      </c>
      <c r="N236" s="97">
        <f t="shared" si="241"/>
        <v>544.94830232363995</v>
      </c>
      <c r="O236" s="97">
        <f t="shared" si="241"/>
        <v>587.72942357234206</v>
      </c>
      <c r="P236" s="97">
        <f t="shared" si="241"/>
        <v>461.27817011370348</v>
      </c>
      <c r="Q236" s="97">
        <f t="shared" si="241"/>
        <v>405.75281554134472</v>
      </c>
      <c r="R236" s="97">
        <f t="shared" si="241"/>
        <v>314.04286788364766</v>
      </c>
      <c r="S236" s="97">
        <f t="shared" si="241"/>
        <v>403.40014278446967</v>
      </c>
      <c r="T236" s="97">
        <f t="shared" si="241"/>
        <v>365.07330080282037</v>
      </c>
      <c r="U236" s="97">
        <f t="shared" si="241"/>
        <v>345.49675216679981</v>
      </c>
      <c r="V236" s="97">
        <f t="shared" si="241"/>
        <v>454.24954660566112</v>
      </c>
      <c r="W236" s="97">
        <f t="shared" si="241"/>
        <v>653.93763279586733</v>
      </c>
      <c r="X236" s="97">
        <f t="shared" si="241"/>
        <v>495.63937169738057</v>
      </c>
      <c r="Y236" s="97">
        <f t="shared" si="241"/>
        <v>370.58362786267844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60.293414578295149</v>
      </c>
      <c r="C237" s="97">
        <f t="shared" si="242"/>
        <v>57.407882749680205</v>
      </c>
      <c r="D237" s="97">
        <f t="shared" si="242"/>
        <v>64.620423458476736</v>
      </c>
      <c r="E237" s="97">
        <f t="shared" si="242"/>
        <v>82.51948772970276</v>
      </c>
      <c r="F237" s="97">
        <f t="shared" si="242"/>
        <v>103.85232745923228</v>
      </c>
      <c r="G237" s="97">
        <f t="shared" si="242"/>
        <v>119.23843658312138</v>
      </c>
      <c r="H237" s="97">
        <f t="shared" si="242"/>
        <v>118.2989431517053</v>
      </c>
      <c r="I237" s="97">
        <f t="shared" si="242"/>
        <v>116.75964076005718</v>
      </c>
      <c r="J237" s="97">
        <f t="shared" si="242"/>
        <v>103.43897785614169</v>
      </c>
      <c r="K237" s="97">
        <f t="shared" si="242"/>
        <v>76.725658071198822</v>
      </c>
      <c r="L237" s="97">
        <f t="shared" si="242"/>
        <v>42.911206732601734</v>
      </c>
      <c r="M237" s="97">
        <f t="shared" si="242"/>
        <v>47.602424600371847</v>
      </c>
      <c r="N237" s="97">
        <f t="shared" si="242"/>
        <v>31.364222188215678</v>
      </c>
      <c r="O237" s="97">
        <f t="shared" si="242"/>
        <v>53.479406710207883</v>
      </c>
      <c r="P237" s="97">
        <f t="shared" si="242"/>
        <v>48.119554415726626</v>
      </c>
      <c r="Q237" s="97">
        <f t="shared" si="242"/>
        <v>38.581800266264523</v>
      </c>
      <c r="R237" s="97">
        <f t="shared" si="242"/>
        <v>46.175976657412463</v>
      </c>
      <c r="S237" s="97">
        <f t="shared" si="242"/>
        <v>51.183579594158644</v>
      </c>
      <c r="T237" s="97">
        <f t="shared" si="242"/>
        <v>47.35066164877643</v>
      </c>
      <c r="U237" s="97">
        <f t="shared" si="242"/>
        <v>75.130789833795134</v>
      </c>
      <c r="V237" s="97">
        <f t="shared" si="242"/>
        <v>134.45231948527712</v>
      </c>
      <c r="W237" s="97">
        <f t="shared" si="242"/>
        <v>105.14026789552926</v>
      </c>
      <c r="X237" s="97">
        <f t="shared" si="242"/>
        <v>94.077555480187328</v>
      </c>
      <c r="Y237" s="97">
        <f t="shared" si="242"/>
        <v>44.97115777750912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656.75915948275849</v>
      </c>
      <c r="C238" s="130">
        <f t="shared" si="243"/>
        <v>647.22743362831864</v>
      </c>
      <c r="D238" s="130">
        <f t="shared" si="243"/>
        <v>668.62491000719945</v>
      </c>
      <c r="E238" s="130">
        <f t="shared" si="243"/>
        <v>648.17494600431974</v>
      </c>
      <c r="F238" s="130">
        <f t="shared" si="243"/>
        <v>413.4245626762073</v>
      </c>
      <c r="G238" s="130">
        <f t="shared" si="243"/>
        <v>573.71679593657768</v>
      </c>
      <c r="H238" s="130">
        <f t="shared" si="243"/>
        <v>747.46235606731614</v>
      </c>
      <c r="I238" s="130">
        <f t="shared" si="243"/>
        <v>368.93008474576271</v>
      </c>
      <c r="J238" s="130">
        <f t="shared" si="243"/>
        <v>995.55379100685138</v>
      </c>
      <c r="K238" s="130">
        <f t="shared" si="243"/>
        <v>1829.6563298066399</v>
      </c>
      <c r="L238" s="130">
        <f t="shared" si="243"/>
        <v>1713.8568792290343</v>
      </c>
      <c r="M238" s="130">
        <f t="shared" si="243"/>
        <v>645.98120440212688</v>
      </c>
      <c r="N238" s="130">
        <f t="shared" si="243"/>
        <v>494.1557622576068</v>
      </c>
      <c r="O238" s="130">
        <f t="shared" si="243"/>
        <v>429.83029929034251</v>
      </c>
      <c r="P238" s="130">
        <f t="shared" si="243"/>
        <v>690.80884513664432</v>
      </c>
      <c r="Q238" s="130">
        <f t="shared" si="243"/>
        <v>1216.152353854113</v>
      </c>
      <c r="R238" s="130">
        <f t="shared" si="243"/>
        <v>1945.4009433962267</v>
      </c>
      <c r="S238" s="130">
        <f t="shared" si="243"/>
        <v>4431.5577019438451</v>
      </c>
      <c r="T238" s="130">
        <f t="shared" si="243"/>
        <v>1725.4351388412756</v>
      </c>
      <c r="U238" s="130">
        <f t="shared" si="243"/>
        <v>1120.5745039908779</v>
      </c>
      <c r="V238" s="130">
        <f t="shared" si="243"/>
        <v>919.36623409902086</v>
      </c>
      <c r="W238" s="130">
        <f t="shared" si="243"/>
        <v>875.9123288968882</v>
      </c>
      <c r="X238" s="130">
        <f t="shared" si="243"/>
        <v>1068.4962344983089</v>
      </c>
      <c r="Y238" s="130">
        <f t="shared" si="243"/>
        <v>2276.9721394825647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656.75915948275849</v>
      </c>
      <c r="C239" s="97">
        <f t="shared" si="244"/>
        <v>647.22743362831864</v>
      </c>
      <c r="D239" s="97">
        <f t="shared" si="244"/>
        <v>668.62491000719945</v>
      </c>
      <c r="E239" s="97">
        <f t="shared" si="244"/>
        <v>648.17494600431974</v>
      </c>
      <c r="F239" s="97">
        <f t="shared" si="244"/>
        <v>413.4245626762073</v>
      </c>
      <c r="G239" s="97">
        <f t="shared" si="244"/>
        <v>573.71679593657768</v>
      </c>
      <c r="H239" s="97">
        <f t="shared" si="244"/>
        <v>747.46235606731614</v>
      </c>
      <c r="I239" s="97">
        <f t="shared" si="244"/>
        <v>368.93008474576271</v>
      </c>
      <c r="J239" s="97">
        <f t="shared" si="244"/>
        <v>995.55379100685138</v>
      </c>
      <c r="K239" s="97">
        <f t="shared" si="244"/>
        <v>1829.6563298066399</v>
      </c>
      <c r="L239" s="97">
        <f t="shared" si="244"/>
        <v>1713.8568792290343</v>
      </c>
      <c r="M239" s="97">
        <f t="shared" si="244"/>
        <v>645.98120440212688</v>
      </c>
      <c r="N239" s="97">
        <f t="shared" si="244"/>
        <v>494.1557622576068</v>
      </c>
      <c r="O239" s="97">
        <f t="shared" si="244"/>
        <v>429.83029929034251</v>
      </c>
      <c r="P239" s="97">
        <f t="shared" si="244"/>
        <v>690.80884513664432</v>
      </c>
      <c r="Q239" s="97">
        <f t="shared" si="244"/>
        <v>1216.152353854113</v>
      </c>
      <c r="R239" s="97">
        <f t="shared" si="244"/>
        <v>1945.4009433962267</v>
      </c>
      <c r="S239" s="97">
        <f t="shared" si="244"/>
        <v>4431.5577019438451</v>
      </c>
      <c r="T239" s="97">
        <f t="shared" si="244"/>
        <v>1725.4351388412756</v>
      </c>
      <c r="U239" s="97">
        <f t="shared" si="244"/>
        <v>1120.5745039908779</v>
      </c>
      <c r="V239" s="97">
        <f t="shared" si="244"/>
        <v>919.36623409902086</v>
      </c>
      <c r="W239" s="97">
        <f t="shared" si="244"/>
        <v>875.9123288968882</v>
      </c>
      <c r="X239" s="97">
        <f t="shared" si="244"/>
        <v>1068.4962344983089</v>
      </c>
      <c r="Y239" s="97">
        <f t="shared" si="244"/>
        <v>2276.9721394825647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4.686548356721576</v>
      </c>
      <c r="C241" s="32">
        <f t="shared" si="246"/>
        <v>4.7481794305772826</v>
      </c>
      <c r="D241" s="32">
        <f t="shared" si="246"/>
        <v>4.7381811773400688</v>
      </c>
      <c r="E241" s="32">
        <f t="shared" si="246"/>
        <v>5.3794715443339172</v>
      </c>
      <c r="F241" s="32">
        <f t="shared" si="246"/>
        <v>5.6182019866619131</v>
      </c>
      <c r="G241" s="32">
        <f t="shared" si="246"/>
        <v>4.1840630165229005</v>
      </c>
      <c r="H241" s="32">
        <f t="shared" si="246"/>
        <v>7.3556115131488058</v>
      </c>
      <c r="I241" s="32">
        <f t="shared" si="246"/>
        <v>8.6136056252783355</v>
      </c>
      <c r="J241" s="32">
        <f t="shared" si="246"/>
        <v>10.509928173596082</v>
      </c>
      <c r="K241" s="32">
        <f t="shared" si="246"/>
        <v>8.1412074086218151</v>
      </c>
      <c r="L241" s="32">
        <f t="shared" si="246"/>
        <v>6.4033517071992794</v>
      </c>
      <c r="M241" s="32">
        <f t="shared" si="246"/>
        <v>5.4721899821238473</v>
      </c>
      <c r="N241" s="32">
        <f t="shared" si="246"/>
        <v>11.042164722445989</v>
      </c>
      <c r="O241" s="32">
        <f t="shared" si="246"/>
        <v>13.748161803244392</v>
      </c>
      <c r="P241" s="32">
        <f t="shared" si="246"/>
        <v>11.614403760477749</v>
      </c>
      <c r="Q241" s="32">
        <f t="shared" si="246"/>
        <v>13.567151552617533</v>
      </c>
      <c r="R241" s="32">
        <f t="shared" si="246"/>
        <v>13.671117195361177</v>
      </c>
      <c r="S241" s="32">
        <f t="shared" si="246"/>
        <v>15.824370446261609</v>
      </c>
      <c r="T241" s="32">
        <f t="shared" si="246"/>
        <v>14.583037890776319</v>
      </c>
      <c r="U241" s="32">
        <f t="shared" si="246"/>
        <v>7.7459870543325815</v>
      </c>
      <c r="V241" s="32">
        <f t="shared" si="246"/>
        <v>11.797074525449501</v>
      </c>
      <c r="W241" s="32">
        <f t="shared" si="246"/>
        <v>11.95897058906006</v>
      </c>
      <c r="X241" s="32">
        <f t="shared" si="246"/>
        <v>16.043646749742038</v>
      </c>
      <c r="Y241" s="32">
        <f t="shared" si="246"/>
        <v>27.068453529427561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6.6206316832531726</v>
      </c>
      <c r="C242" s="97">
        <f t="shared" si="247"/>
        <v>6.7871084475344388</v>
      </c>
      <c r="D242" s="97">
        <f t="shared" si="247"/>
        <v>6.7576374706186559</v>
      </c>
      <c r="E242" s="97">
        <f t="shared" si="247"/>
        <v>6.5094901056089176</v>
      </c>
      <c r="F242" s="97">
        <f t="shared" si="247"/>
        <v>8.4370303936304314</v>
      </c>
      <c r="G242" s="97">
        <f t="shared" si="247"/>
        <v>7.2251368453829654</v>
      </c>
      <c r="H242" s="97">
        <f t="shared" si="247"/>
        <v>12.490002103615447</v>
      </c>
      <c r="I242" s="97">
        <f t="shared" si="247"/>
        <v>17.876449284277221</v>
      </c>
      <c r="J242" s="97">
        <f t="shared" si="247"/>
        <v>24.001773351667339</v>
      </c>
      <c r="K242" s="97">
        <f t="shared" si="247"/>
        <v>19.066603559862415</v>
      </c>
      <c r="L242" s="97">
        <f t="shared" si="247"/>
        <v>15.392654221601758</v>
      </c>
      <c r="M242" s="97">
        <f t="shared" si="247"/>
        <v>12.612432930845603</v>
      </c>
      <c r="N242" s="97">
        <f t="shared" si="247"/>
        <v>31.257885281802221</v>
      </c>
      <c r="O242" s="97">
        <f t="shared" si="247"/>
        <v>29.918796422089272</v>
      </c>
      <c r="P242" s="97">
        <f t="shared" si="247"/>
        <v>25.037195407642603</v>
      </c>
      <c r="Q242" s="97">
        <f t="shared" si="247"/>
        <v>31.121143076129783</v>
      </c>
      <c r="R242" s="97">
        <f t="shared" si="247"/>
        <v>31.623599152737629</v>
      </c>
      <c r="S242" s="97">
        <f t="shared" si="247"/>
        <v>36.73680631122869</v>
      </c>
      <c r="T242" s="97">
        <f t="shared" si="247"/>
        <v>32.576206021660006</v>
      </c>
      <c r="U242" s="97">
        <f t="shared" si="247"/>
        <v>18.761996317034679</v>
      </c>
      <c r="V242" s="97">
        <f t="shared" si="247"/>
        <v>28.313325384954567</v>
      </c>
      <c r="W242" s="97">
        <f t="shared" si="247"/>
        <v>26.239696130909802</v>
      </c>
      <c r="X242" s="97">
        <f t="shared" si="247"/>
        <v>31.683772744691925</v>
      </c>
      <c r="Y242" s="97">
        <f t="shared" si="247"/>
        <v>39.585354236596451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3.4027399686983104</v>
      </c>
      <c r="C243" s="98">
        <f t="shared" si="248"/>
        <v>3.4233551209074777</v>
      </c>
      <c r="D243" s="98">
        <f t="shared" si="248"/>
        <v>3.4266990512563154</v>
      </c>
      <c r="E243" s="98">
        <f t="shared" si="248"/>
        <v>4.33765674873852</v>
      </c>
      <c r="F243" s="98">
        <f t="shared" si="248"/>
        <v>4.0772976872932158</v>
      </c>
      <c r="G243" s="98">
        <f t="shared" si="248"/>
        <v>3.0172585515349493</v>
      </c>
      <c r="H243" s="98">
        <f t="shared" si="248"/>
        <v>5.2923314484931296</v>
      </c>
      <c r="I243" s="98">
        <f t="shared" si="248"/>
        <v>5.7847694135182248</v>
      </c>
      <c r="J243" s="98">
        <f t="shared" si="248"/>
        <v>6.9573575046427996</v>
      </c>
      <c r="K243" s="98">
        <f t="shared" si="248"/>
        <v>5.499006595432089</v>
      </c>
      <c r="L243" s="98">
        <f t="shared" si="248"/>
        <v>4.3476842226906518</v>
      </c>
      <c r="M243" s="98">
        <f t="shared" si="248"/>
        <v>3.6809820838090559</v>
      </c>
      <c r="N243" s="98">
        <f t="shared" si="248"/>
        <v>7.9698217036711752</v>
      </c>
      <c r="O243" s="98">
        <f t="shared" si="248"/>
        <v>9.0143603966250812</v>
      </c>
      <c r="P243" s="98">
        <f t="shared" si="248"/>
        <v>7.6479285918488014</v>
      </c>
      <c r="Q243" s="98">
        <f t="shared" si="248"/>
        <v>9.217017038158545</v>
      </c>
      <c r="R243" s="98">
        <f t="shared" si="248"/>
        <v>9.3961886568960136</v>
      </c>
      <c r="S243" s="98">
        <f t="shared" si="248"/>
        <v>10.683927593753014</v>
      </c>
      <c r="T243" s="98">
        <f t="shared" si="248"/>
        <v>9.9452269122259125</v>
      </c>
      <c r="U243" s="98">
        <f t="shared" si="248"/>
        <v>5.299932154707645</v>
      </c>
      <c r="V243" s="98">
        <f t="shared" si="248"/>
        <v>8.9847006924924653</v>
      </c>
      <c r="W243" s="98">
        <f t="shared" si="248"/>
        <v>8.919136241819956</v>
      </c>
      <c r="X243" s="98">
        <f t="shared" si="248"/>
        <v>10.763729168382593</v>
      </c>
      <c r="Y243" s="98">
        <f t="shared" si="248"/>
        <v>18.37323060647779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9321.4477789292177</v>
      </c>
      <c r="C4" s="29">
        <f t="shared" si="0"/>
        <v>9279.6165325981128</v>
      </c>
      <c r="D4" s="29">
        <f t="shared" si="0"/>
        <v>9399.7523856801563</v>
      </c>
      <c r="E4" s="29">
        <f t="shared" si="0"/>
        <v>9971.4791404153384</v>
      </c>
      <c r="F4" s="29">
        <f t="shared" si="0"/>
        <v>10294.521911565083</v>
      </c>
      <c r="G4" s="29">
        <f t="shared" si="0"/>
        <v>12659.005262880863</v>
      </c>
      <c r="H4" s="29">
        <f t="shared" si="0"/>
        <v>12844.231271318136</v>
      </c>
      <c r="I4" s="29">
        <f t="shared" si="0"/>
        <v>12697.247676182704</v>
      </c>
      <c r="J4" s="29">
        <f t="shared" si="0"/>
        <v>12977.135256812122</v>
      </c>
      <c r="K4" s="29">
        <f t="shared" si="0"/>
        <v>12639.322454444087</v>
      </c>
      <c r="L4" s="29">
        <f t="shared" ref="L4" si="1">L5+L6+L13</f>
        <v>12187.693661661879</v>
      </c>
      <c r="M4" s="29">
        <f t="shared" ref="M4:V4" si="2">M5+M6+M13</f>
        <v>12483.175410518197</v>
      </c>
      <c r="N4" s="29">
        <f t="shared" si="2"/>
        <v>12737.301822257876</v>
      </c>
      <c r="O4" s="29">
        <f t="shared" si="2"/>
        <v>13227.593893942869</v>
      </c>
      <c r="P4" s="29">
        <f t="shared" si="2"/>
        <v>13884.383735465815</v>
      </c>
      <c r="Q4" s="29">
        <f t="shared" si="2"/>
        <v>14751.743258112343</v>
      </c>
      <c r="R4" s="29">
        <f t="shared" si="2"/>
        <v>15845.05352174881</v>
      </c>
      <c r="S4" s="29">
        <f t="shared" si="2"/>
        <v>16013.415264946099</v>
      </c>
      <c r="T4" s="29">
        <f t="shared" si="2"/>
        <v>16241.004747282022</v>
      </c>
      <c r="U4" s="29">
        <f t="shared" si="2"/>
        <v>17313.662699665216</v>
      </c>
      <c r="V4" s="29">
        <f t="shared" si="2"/>
        <v>13637.469237045136</v>
      </c>
      <c r="W4" s="29">
        <f t="shared" ref="W4:Y4" si="3">W5+W6+W13</f>
        <v>14450.793725719897</v>
      </c>
      <c r="X4" s="29">
        <f t="shared" si="3"/>
        <v>16019.608220754668</v>
      </c>
      <c r="Y4" s="29">
        <f t="shared" si="3"/>
        <v>17201.473447217657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9.3320789292189712</v>
      </c>
      <c r="C5" s="152">
        <f t="shared" si="4"/>
        <v>9.4635325981126943</v>
      </c>
      <c r="D5" s="152">
        <f t="shared" si="4"/>
        <v>10.112785680156504</v>
      </c>
      <c r="E5" s="152">
        <f t="shared" si="4"/>
        <v>11.16764041533772</v>
      </c>
      <c r="F5" s="152">
        <f t="shared" si="4"/>
        <v>12.521911565083906</v>
      </c>
      <c r="G5" s="152">
        <f t="shared" si="4"/>
        <v>14.005262880865113</v>
      </c>
      <c r="H5" s="152">
        <f t="shared" si="4"/>
        <v>17.23127131813456</v>
      </c>
      <c r="I5" s="152">
        <f t="shared" si="4"/>
        <v>20.247676182702438</v>
      </c>
      <c r="J5" s="152">
        <f t="shared" si="4"/>
        <v>24.135256812120755</v>
      </c>
      <c r="K5" s="152">
        <f t="shared" si="4"/>
        <v>25.322454444087818</v>
      </c>
      <c r="L5" s="152">
        <f t="shared" ref="L5:L7" si="5">IF(L32=0,0,L32*L142)</f>
        <v>26.693661661878945</v>
      </c>
      <c r="M5" s="152">
        <f t="shared" ref="M5:V5" si="6">IF(M32=0,0,M32*M142)</f>
        <v>31.39888797027978</v>
      </c>
      <c r="N5" s="152">
        <f t="shared" si="6"/>
        <v>47.406745104748502</v>
      </c>
      <c r="O5" s="152">
        <f t="shared" si="6"/>
        <v>51.860571445915184</v>
      </c>
      <c r="P5" s="152">
        <f t="shared" si="6"/>
        <v>56.632393053032906</v>
      </c>
      <c r="Q5" s="152">
        <f t="shared" si="6"/>
        <v>60.794771131102571</v>
      </c>
      <c r="R5" s="152">
        <f t="shared" si="6"/>
        <v>66.204736145334707</v>
      </c>
      <c r="S5" s="152">
        <f t="shared" si="6"/>
        <v>63.172158623024551</v>
      </c>
      <c r="T5" s="152">
        <f t="shared" si="6"/>
        <v>60.822224620304972</v>
      </c>
      <c r="U5" s="152">
        <f t="shared" si="6"/>
        <v>65.162699665214305</v>
      </c>
      <c r="V5" s="152">
        <f t="shared" si="6"/>
        <v>58.774633911389301</v>
      </c>
      <c r="W5" s="152">
        <f t="shared" ref="W5:Y5" si="7">IF(W32=0,0,W32*W142)</f>
        <v>61.538855660825362</v>
      </c>
      <c r="X5" s="152">
        <f t="shared" si="7"/>
        <v>62.875784202393746</v>
      </c>
      <c r="Y5" s="152">
        <f t="shared" si="7"/>
        <v>68.449661451106024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6682.1156999999994</v>
      </c>
      <c r="C6" s="116">
        <f t="shared" si="8"/>
        <v>6809.1529999999993</v>
      </c>
      <c r="D6" s="116">
        <f t="shared" si="8"/>
        <v>7059.6395999999995</v>
      </c>
      <c r="E6" s="116">
        <f t="shared" si="8"/>
        <v>7663.3115000000007</v>
      </c>
      <c r="F6" s="116">
        <f t="shared" si="8"/>
        <v>7813</v>
      </c>
      <c r="G6" s="116">
        <f t="shared" si="8"/>
        <v>9928.9999999999982</v>
      </c>
      <c r="H6" s="116">
        <f t="shared" si="8"/>
        <v>9946.0000000000018</v>
      </c>
      <c r="I6" s="116">
        <f t="shared" si="8"/>
        <v>10000.000000000002</v>
      </c>
      <c r="J6" s="116">
        <f t="shared" si="8"/>
        <v>10500.000000000002</v>
      </c>
      <c r="K6" s="116">
        <f t="shared" si="8"/>
        <v>10500</v>
      </c>
      <c r="L6" s="116">
        <f t="shared" ref="L6" si="9">SUM(L7:L12)</f>
        <v>10100</v>
      </c>
      <c r="M6" s="116">
        <f t="shared" ref="M6:V6" si="10">SUM(M7:M12)</f>
        <v>10381.082222547917</v>
      </c>
      <c r="N6" s="116">
        <f t="shared" si="10"/>
        <v>10808.595077153128</v>
      </c>
      <c r="O6" s="116">
        <f t="shared" si="10"/>
        <v>11246.133322496953</v>
      </c>
      <c r="P6" s="116">
        <f t="shared" si="10"/>
        <v>11852.001342412783</v>
      </c>
      <c r="Q6" s="116">
        <f t="shared" si="10"/>
        <v>12331.94848698124</v>
      </c>
      <c r="R6" s="116">
        <f t="shared" si="10"/>
        <v>12840.848785603474</v>
      </c>
      <c r="S6" s="116">
        <f t="shared" si="10"/>
        <v>13081.243106323074</v>
      </c>
      <c r="T6" s="116">
        <f t="shared" si="10"/>
        <v>13340.182522661717</v>
      </c>
      <c r="U6" s="116">
        <f t="shared" si="10"/>
        <v>14095.500000000002</v>
      </c>
      <c r="V6" s="116">
        <f t="shared" si="10"/>
        <v>12204.694603133747</v>
      </c>
      <c r="W6" s="116">
        <f t="shared" ref="W6:Y6" si="11">SUM(W7:W12)</f>
        <v>13101.254870059072</v>
      </c>
      <c r="X6" s="116">
        <f t="shared" si="11"/>
        <v>13993.732436552275</v>
      </c>
      <c r="Y6" s="116">
        <f t="shared" si="11"/>
        <v>14671.023785766551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6130.6342891139439</v>
      </c>
      <c r="C7" s="87">
        <f t="shared" si="12"/>
        <v>6165.520175783734</v>
      </c>
      <c r="D7" s="87">
        <f t="shared" si="12"/>
        <v>6276.4415927038972</v>
      </c>
      <c r="E7" s="87">
        <f t="shared" si="12"/>
        <v>6486.5060522503973</v>
      </c>
      <c r="F7" s="87">
        <f t="shared" si="12"/>
        <v>6209.8110775211189</v>
      </c>
      <c r="G7" s="87">
        <f t="shared" si="12"/>
        <v>7536.2604733402695</v>
      </c>
      <c r="H7" s="87">
        <f t="shared" si="12"/>
        <v>7087.1619571342617</v>
      </c>
      <c r="I7" s="87">
        <f t="shared" si="12"/>
        <v>6810.3327166043982</v>
      </c>
      <c r="J7" s="87">
        <f t="shared" si="12"/>
        <v>7112.8069141277247</v>
      </c>
      <c r="K7" s="87">
        <f t="shared" si="12"/>
        <v>6606.7335849298861</v>
      </c>
      <c r="L7" s="87">
        <f t="shared" si="5"/>
        <v>6167.7815092219989</v>
      </c>
      <c r="M7" s="87">
        <f t="shared" ref="M7:V7" si="13">IF(M34=0,0,M34*M144)</f>
        <v>5859.9271820343693</v>
      </c>
      <c r="N7" s="87">
        <f t="shared" si="13"/>
        <v>5660.4634589838533</v>
      </c>
      <c r="O7" s="87">
        <f t="shared" si="13"/>
        <v>5505.5267586681803</v>
      </c>
      <c r="P7" s="87">
        <f t="shared" si="13"/>
        <v>5750.0277106744734</v>
      </c>
      <c r="Q7" s="87">
        <f t="shared" si="13"/>
        <v>5561.8258070572292</v>
      </c>
      <c r="R7" s="87">
        <f t="shared" si="13"/>
        <v>5892.7382480518409</v>
      </c>
      <c r="S7" s="87">
        <f t="shared" si="13"/>
        <v>6127.0126026102816</v>
      </c>
      <c r="T7" s="87">
        <f t="shared" si="13"/>
        <v>6226.7021042516135</v>
      </c>
      <c r="U7" s="87">
        <f t="shared" si="13"/>
        <v>6598.6663245333648</v>
      </c>
      <c r="V7" s="87">
        <f t="shared" si="13"/>
        <v>4694.8418200863989</v>
      </c>
      <c r="W7" s="87">
        <f t="shared" ref="W7:Y7" si="14">IF(W34=0,0,W34*W144)</f>
        <v>4638.0805864502809</v>
      </c>
      <c r="X7" s="87">
        <f t="shared" si="14"/>
        <v>5309.4225118850973</v>
      </c>
      <c r="Y7" s="87">
        <f t="shared" si="14"/>
        <v>5530.3468343523027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534.98536990702996</v>
      </c>
      <c r="C8" s="87">
        <f t="shared" si="15"/>
        <v>625.14929763806867</v>
      </c>
      <c r="D8" s="87">
        <f t="shared" si="15"/>
        <v>761.30418763775469</v>
      </c>
      <c r="E8" s="87">
        <f t="shared" si="15"/>
        <v>1151.3422170400972</v>
      </c>
      <c r="F8" s="87">
        <f t="shared" si="15"/>
        <v>1577.5929433156027</v>
      </c>
      <c r="G8" s="87">
        <f t="shared" si="15"/>
        <v>2355.1910493847799</v>
      </c>
      <c r="H8" s="87">
        <f t="shared" si="15"/>
        <v>2811.2391102905399</v>
      </c>
      <c r="I8" s="87">
        <f t="shared" si="15"/>
        <v>3151.1533153805694</v>
      </c>
      <c r="J8" s="87">
        <f t="shared" si="15"/>
        <v>3342.1052205016977</v>
      </c>
      <c r="K8" s="87">
        <f t="shared" si="15"/>
        <v>3843.2249647870813</v>
      </c>
      <c r="L8" s="87">
        <f t="shared" ref="L8" si="16">IF(L35=0,0,L35*L145)</f>
        <v>3885.5786783459644</v>
      </c>
      <c r="M8" s="87">
        <f t="shared" ref="M8:V8" si="17">IF(M35=0,0,M35*M145)</f>
        <v>4465.1947991637489</v>
      </c>
      <c r="N8" s="87">
        <f t="shared" si="17"/>
        <v>5058.8070274729716</v>
      </c>
      <c r="O8" s="87">
        <f t="shared" si="17"/>
        <v>5631.7876107748125</v>
      </c>
      <c r="P8" s="87">
        <f t="shared" si="17"/>
        <v>5962.9191082241387</v>
      </c>
      <c r="Q8" s="87">
        <f t="shared" si="17"/>
        <v>6620.403768301333</v>
      </c>
      <c r="R8" s="87">
        <f t="shared" si="17"/>
        <v>6761.416749427327</v>
      </c>
      <c r="S8" s="87">
        <f t="shared" si="17"/>
        <v>6731.8012045474716</v>
      </c>
      <c r="T8" s="87">
        <f t="shared" si="17"/>
        <v>6824.8435568142659</v>
      </c>
      <c r="U8" s="87">
        <f t="shared" si="17"/>
        <v>6981.7933900340431</v>
      </c>
      <c r="V8" s="87">
        <f t="shared" si="17"/>
        <v>6874.2797843542785</v>
      </c>
      <c r="W8" s="87">
        <f t="shared" ref="W8:Y8" si="18">IF(W35=0,0,W35*W145)</f>
        <v>7621.2426802505552</v>
      </c>
      <c r="X8" s="87">
        <f t="shared" si="18"/>
        <v>7834.9062605932477</v>
      </c>
      <c r="Y8" s="87">
        <f t="shared" si="18"/>
        <v>8246.8111313078625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16.496040979025189</v>
      </c>
      <c r="C9" s="87">
        <f t="shared" si="19"/>
        <v>18.483526578197075</v>
      </c>
      <c r="D9" s="87">
        <f t="shared" si="19"/>
        <v>21.893819658347436</v>
      </c>
      <c r="E9" s="87">
        <f t="shared" si="19"/>
        <v>25.46323070950606</v>
      </c>
      <c r="F9" s="87">
        <f t="shared" si="19"/>
        <v>25.595979163278784</v>
      </c>
      <c r="G9" s="87">
        <f t="shared" si="19"/>
        <v>37.548477274950436</v>
      </c>
      <c r="H9" s="87">
        <f t="shared" si="19"/>
        <v>47.598932575199029</v>
      </c>
      <c r="I9" s="87">
        <f t="shared" si="19"/>
        <v>38.513968015032418</v>
      </c>
      <c r="J9" s="87">
        <f t="shared" si="19"/>
        <v>45.060171816389051</v>
      </c>
      <c r="K9" s="87">
        <f t="shared" si="19"/>
        <v>50.014082017484604</v>
      </c>
      <c r="L9" s="87">
        <f t="shared" ref="L9" si="20">IF(L36=0,0,L36*L146)</f>
        <v>46.515563598142535</v>
      </c>
      <c r="M9" s="87">
        <f t="shared" ref="M9:V9" si="21">IF(M36=0,0,M36*M146)</f>
        <v>54.192794545417847</v>
      </c>
      <c r="N9" s="87">
        <f t="shared" si="21"/>
        <v>72.503543139419747</v>
      </c>
      <c r="O9" s="87">
        <f t="shared" si="21"/>
        <v>85.224574928448163</v>
      </c>
      <c r="P9" s="87">
        <f t="shared" si="21"/>
        <v>100.70341456003911</v>
      </c>
      <c r="Q9" s="87">
        <f t="shared" si="21"/>
        <v>106.67835734277963</v>
      </c>
      <c r="R9" s="87">
        <f t="shared" si="21"/>
        <v>126.99575211892785</v>
      </c>
      <c r="S9" s="87">
        <f t="shared" si="21"/>
        <v>149.82568887482876</v>
      </c>
      <c r="T9" s="87">
        <f t="shared" si="21"/>
        <v>177.15837846974864</v>
      </c>
      <c r="U9" s="87">
        <f t="shared" si="21"/>
        <v>215.13342129747789</v>
      </c>
      <c r="V9" s="87">
        <f t="shared" si="21"/>
        <v>200.22439355580249</v>
      </c>
      <c r="W9" s="87">
        <f t="shared" ref="W9:Y9" si="22">IF(W36=0,0,W36*W146)</f>
        <v>214.5853031966289</v>
      </c>
      <c r="X9" s="87">
        <f t="shared" si="22"/>
        <v>227.49013909508739</v>
      </c>
      <c r="Y9" s="87">
        <f t="shared" si="22"/>
        <v>202.78412289490169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7.1116179773249286E-2</v>
      </c>
      <c r="M10" s="87">
        <f t="shared" ref="M10:V10" si="25">IF(M37=0,0,M37*M147)</f>
        <v>0.24230854101865634</v>
      </c>
      <c r="N10" s="87">
        <f t="shared" si="25"/>
        <v>0.46777742249190213</v>
      </c>
      <c r="O10" s="87">
        <f t="shared" si="25"/>
        <v>3.8108299278132436</v>
      </c>
      <c r="P10" s="87">
        <f t="shared" si="25"/>
        <v>7.5381256483907526</v>
      </c>
      <c r="Q10" s="87">
        <f t="shared" si="25"/>
        <v>12.183725844161765</v>
      </c>
      <c r="R10" s="87">
        <f t="shared" si="25"/>
        <v>28.412915968463427</v>
      </c>
      <c r="S10" s="87">
        <f t="shared" si="25"/>
        <v>41.55821063070303</v>
      </c>
      <c r="T10" s="87">
        <f t="shared" si="25"/>
        <v>78.678943142224995</v>
      </c>
      <c r="U10" s="87">
        <f t="shared" si="25"/>
        <v>260.48910833051707</v>
      </c>
      <c r="V10" s="87">
        <f t="shared" si="25"/>
        <v>396.27536714618873</v>
      </c>
      <c r="W10" s="87">
        <f t="shared" ref="W10:Y10" si="26">IF(W37=0,0,W37*W147)</f>
        <v>563.85105531619729</v>
      </c>
      <c r="X10" s="87">
        <f t="shared" si="26"/>
        <v>533.14767137917624</v>
      </c>
      <c r="Y10" s="87">
        <f t="shared" si="26"/>
        <v>552.77424223068317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0.40703606071028964</v>
      </c>
      <c r="Q11" s="87">
        <f t="shared" si="29"/>
        <v>0.69415952678192683</v>
      </c>
      <c r="R11" s="87">
        <f t="shared" si="29"/>
        <v>0.89769438004069713</v>
      </c>
      <c r="S11" s="87">
        <f t="shared" si="29"/>
        <v>1.1826213986875453</v>
      </c>
      <c r="T11" s="87">
        <f t="shared" si="29"/>
        <v>1.8113812377154854</v>
      </c>
      <c r="U11" s="87">
        <f t="shared" si="29"/>
        <v>2.1940089608094651</v>
      </c>
      <c r="V11" s="87">
        <f t="shared" si="29"/>
        <v>3.1933902429918328</v>
      </c>
      <c r="W11" s="87">
        <f t="shared" ref="W11:Y11" si="30">IF(W38=0,0,W38*W148)</f>
        <v>9.7860353702648624</v>
      </c>
      <c r="X11" s="87">
        <f t="shared" si="30"/>
        <v>15.759197485100248</v>
      </c>
      <c r="Y11" s="87">
        <f t="shared" si="30"/>
        <v>28.853705447415948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2.7693554188920246E-2</v>
      </c>
      <c r="K12" s="87">
        <f t="shared" si="31"/>
        <v>2.7368265547584075E-2</v>
      </c>
      <c r="L12" s="87">
        <f t="shared" ref="L12" si="32">IF(L39=0,0,L39*L149)</f>
        <v>5.3132654120285928E-2</v>
      </c>
      <c r="M12" s="87">
        <f t="shared" ref="M12:V12" si="33">IF(M39=0,0,M39*M149)</f>
        <v>1.5251382633639055</v>
      </c>
      <c r="N12" s="87">
        <f t="shared" si="33"/>
        <v>16.353270134391192</v>
      </c>
      <c r="O12" s="87">
        <f t="shared" si="33"/>
        <v>19.783548197697609</v>
      </c>
      <c r="P12" s="87">
        <f t="shared" si="33"/>
        <v>30.405947245029797</v>
      </c>
      <c r="Q12" s="87">
        <f t="shared" si="33"/>
        <v>30.162668908955077</v>
      </c>
      <c r="R12" s="87">
        <f t="shared" si="33"/>
        <v>30.387425656873578</v>
      </c>
      <c r="S12" s="87">
        <f t="shared" si="33"/>
        <v>29.862778261102271</v>
      </c>
      <c r="T12" s="87">
        <f t="shared" si="33"/>
        <v>30.988158746146482</v>
      </c>
      <c r="U12" s="87">
        <f t="shared" si="33"/>
        <v>37.223746843788746</v>
      </c>
      <c r="V12" s="87">
        <f t="shared" si="33"/>
        <v>35.879847748086569</v>
      </c>
      <c r="W12" s="87">
        <f t="shared" ref="W12:Y12" si="34">IF(W39=0,0,W39*W149)</f>
        <v>53.709209475143417</v>
      </c>
      <c r="X12" s="87">
        <f t="shared" si="34"/>
        <v>73.006656114567292</v>
      </c>
      <c r="Y12" s="87">
        <f t="shared" si="34"/>
        <v>109.45374953338504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2630</v>
      </c>
      <c r="C13" s="116">
        <f t="shared" si="35"/>
        <v>2461</v>
      </c>
      <c r="D13" s="116">
        <f t="shared" si="35"/>
        <v>2330</v>
      </c>
      <c r="E13" s="116">
        <f t="shared" si="35"/>
        <v>2297</v>
      </c>
      <c r="F13" s="116">
        <f t="shared" si="35"/>
        <v>2469</v>
      </c>
      <c r="G13" s="116">
        <f t="shared" si="35"/>
        <v>2716</v>
      </c>
      <c r="H13" s="116">
        <f t="shared" si="35"/>
        <v>2881</v>
      </c>
      <c r="I13" s="116">
        <f t="shared" si="35"/>
        <v>2676.9999999999995</v>
      </c>
      <c r="J13" s="116">
        <f t="shared" si="35"/>
        <v>2453</v>
      </c>
      <c r="K13" s="116">
        <f t="shared" si="35"/>
        <v>2114</v>
      </c>
      <c r="L13" s="116">
        <f t="shared" ref="L13" si="36">SUM(L14:L18)</f>
        <v>2061</v>
      </c>
      <c r="M13" s="116">
        <f t="shared" ref="M13:V13" si="37">SUM(M14:M18)</f>
        <v>2070.6943000000001</v>
      </c>
      <c r="N13" s="116">
        <f t="shared" si="37"/>
        <v>1881.3000000000002</v>
      </c>
      <c r="O13" s="116">
        <f t="shared" si="37"/>
        <v>1929.6000000000001</v>
      </c>
      <c r="P13" s="116">
        <f t="shared" si="37"/>
        <v>1975.75</v>
      </c>
      <c r="Q13" s="116">
        <f t="shared" si="37"/>
        <v>2359</v>
      </c>
      <c r="R13" s="116">
        <f t="shared" si="37"/>
        <v>2938.0000000000009</v>
      </c>
      <c r="S13" s="116">
        <f t="shared" si="37"/>
        <v>2869</v>
      </c>
      <c r="T13" s="116">
        <f t="shared" si="37"/>
        <v>2840.0000000000005</v>
      </c>
      <c r="U13" s="116">
        <f t="shared" si="37"/>
        <v>3153</v>
      </c>
      <c r="V13" s="116">
        <f t="shared" si="37"/>
        <v>1373.9999999999998</v>
      </c>
      <c r="W13" s="116">
        <f t="shared" ref="W13:Y13" si="38">SUM(W14:W18)</f>
        <v>1288.0000000000002</v>
      </c>
      <c r="X13" s="116">
        <f t="shared" si="38"/>
        <v>1962.9999999999998</v>
      </c>
      <c r="Y13" s="116">
        <f t="shared" si="38"/>
        <v>2462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335.84969287516697</v>
      </c>
      <c r="C14" s="101">
        <f t="shared" si="39"/>
        <v>292.55141411952599</v>
      </c>
      <c r="D14" s="101">
        <f t="shared" si="39"/>
        <v>250.26881876763736</v>
      </c>
      <c r="E14" s="101">
        <f t="shared" si="39"/>
        <v>210.17093305297138</v>
      </c>
      <c r="F14" s="101">
        <f t="shared" si="39"/>
        <v>188.08570582218329</v>
      </c>
      <c r="G14" s="101">
        <f t="shared" si="39"/>
        <v>155.2293510571163</v>
      </c>
      <c r="H14" s="101">
        <f t="shared" si="39"/>
        <v>157.83752782691391</v>
      </c>
      <c r="I14" s="101">
        <f t="shared" si="39"/>
        <v>88.561602147079299</v>
      </c>
      <c r="J14" s="101">
        <f t="shared" si="39"/>
        <v>62.292629948744931</v>
      </c>
      <c r="K14" s="101">
        <f t="shared" si="39"/>
        <v>42.212097200000308</v>
      </c>
      <c r="L14" s="101">
        <f t="shared" ref="L14" si="40">IF(L41=0,0,L41*L151)</f>
        <v>32.516499747731302</v>
      </c>
      <c r="M14" s="101">
        <f t="shared" ref="M14:V14" si="41">IF(M41=0,0,M41*M151)</f>
        <v>29.087150579988641</v>
      </c>
      <c r="N14" s="101">
        <f t="shared" si="41"/>
        <v>27.371368872801639</v>
      </c>
      <c r="O14" s="101">
        <f t="shared" si="41"/>
        <v>26.017944934985689</v>
      </c>
      <c r="P14" s="101">
        <f t="shared" si="41"/>
        <v>26.40411909730955</v>
      </c>
      <c r="Q14" s="101">
        <f t="shared" si="41"/>
        <v>26.869509849360714</v>
      </c>
      <c r="R14" s="101">
        <f t="shared" si="41"/>
        <v>30.187801886804941</v>
      </c>
      <c r="S14" s="101">
        <f t="shared" si="41"/>
        <v>33.083326922143797</v>
      </c>
      <c r="T14" s="101">
        <f t="shared" si="41"/>
        <v>31.788128988626653</v>
      </c>
      <c r="U14" s="101">
        <f t="shared" si="41"/>
        <v>29.947755063885314</v>
      </c>
      <c r="V14" s="101">
        <f t="shared" si="41"/>
        <v>22.277566401040705</v>
      </c>
      <c r="W14" s="101">
        <f t="shared" ref="W14:Y14" si="42">IF(W41=0,0,W41*W151)</f>
        <v>22.797315252301601</v>
      </c>
      <c r="X14" s="101">
        <f t="shared" si="42"/>
        <v>24.51655105102061</v>
      </c>
      <c r="Y14" s="101">
        <f t="shared" si="42"/>
        <v>18.242091126213118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2294.150307124833</v>
      </c>
      <c r="C15" s="101">
        <f t="shared" si="43"/>
        <v>2168.4485858804742</v>
      </c>
      <c r="D15" s="101">
        <f t="shared" si="43"/>
        <v>2079.7311812323628</v>
      </c>
      <c r="E15" s="101">
        <f t="shared" si="43"/>
        <v>2086.8290669470284</v>
      </c>
      <c r="F15" s="101">
        <f t="shared" si="43"/>
        <v>2280.9142941778168</v>
      </c>
      <c r="G15" s="101">
        <f t="shared" si="43"/>
        <v>2560.7706489428838</v>
      </c>
      <c r="H15" s="101">
        <f t="shared" si="43"/>
        <v>2723.1624721730859</v>
      </c>
      <c r="I15" s="101">
        <f t="shared" si="43"/>
        <v>2588.4383978529204</v>
      </c>
      <c r="J15" s="101">
        <f t="shared" si="43"/>
        <v>2390.7073700512551</v>
      </c>
      <c r="K15" s="101">
        <f t="shared" si="43"/>
        <v>2071.7879027999998</v>
      </c>
      <c r="L15" s="101">
        <f t="shared" ref="L15" si="44">IF(L42=0,0,L42*L152)</f>
        <v>1944.6848436847345</v>
      </c>
      <c r="M15" s="101">
        <f t="shared" ref="M15:V15" si="45">IF(M42=0,0,M42*M152)</f>
        <v>1952.4973262106105</v>
      </c>
      <c r="N15" s="101">
        <f t="shared" si="45"/>
        <v>1775.268254037886</v>
      </c>
      <c r="O15" s="101">
        <f t="shared" si="45"/>
        <v>1817.1503412591301</v>
      </c>
      <c r="P15" s="101">
        <f t="shared" si="45"/>
        <v>1850.297994379109</v>
      </c>
      <c r="Q15" s="101">
        <f t="shared" si="45"/>
        <v>2196.784452970538</v>
      </c>
      <c r="R15" s="101">
        <f t="shared" si="45"/>
        <v>2725.3619210630818</v>
      </c>
      <c r="S15" s="101">
        <f t="shared" si="45"/>
        <v>2628.8710280791906</v>
      </c>
      <c r="T15" s="101">
        <f t="shared" si="45"/>
        <v>2605.0942877816265</v>
      </c>
      <c r="U15" s="101">
        <f t="shared" si="45"/>
        <v>2915.0492090093758</v>
      </c>
      <c r="V15" s="101">
        <f t="shared" si="45"/>
        <v>1230.5761163432931</v>
      </c>
      <c r="W15" s="101">
        <f t="shared" ref="W15:Y15" si="46">IF(W42=0,0,W42*W152)</f>
        <v>1110.0518045070562</v>
      </c>
      <c r="X15" s="101">
        <f t="shared" si="46"/>
        <v>1583.9664040118432</v>
      </c>
      <c r="Y15" s="101">
        <f t="shared" si="46"/>
        <v>1985.703995338652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0.33919695144642853</v>
      </c>
      <c r="U16" s="101">
        <f t="shared" si="49"/>
        <v>0.36361579409113881</v>
      </c>
      <c r="V16" s="101">
        <f t="shared" si="49"/>
        <v>0.15344489546540191</v>
      </c>
      <c r="W16" s="101">
        <f t="shared" ref="W16:Y16" si="50">IF(W43=0,0,W43*W153)</f>
        <v>0.14007013629467444</v>
      </c>
      <c r="X16" s="101">
        <f t="shared" si="50"/>
        <v>0.21144163616185582</v>
      </c>
      <c r="Y16" s="101">
        <f t="shared" si="50"/>
        <v>0.26908378288630608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1.2247057737475395</v>
      </c>
      <c r="M17" s="101">
        <f t="shared" ref="M17:V17" si="53">IF(M44=0,0,M44*M154)</f>
        <v>4.307038519673128</v>
      </c>
      <c r="N17" s="101">
        <f t="shared" si="53"/>
        <v>4.4263106215209218</v>
      </c>
      <c r="O17" s="101">
        <f t="shared" si="53"/>
        <v>16.155004485111643</v>
      </c>
      <c r="P17" s="101">
        <f t="shared" si="53"/>
        <v>32.258051845565923</v>
      </c>
      <c r="Q17" s="101">
        <f t="shared" si="53"/>
        <v>62.377909004729183</v>
      </c>
      <c r="R17" s="101">
        <f t="shared" si="53"/>
        <v>109.71294912167177</v>
      </c>
      <c r="S17" s="101">
        <f t="shared" si="53"/>
        <v>149.00304109185689</v>
      </c>
      <c r="T17" s="101">
        <f t="shared" si="53"/>
        <v>149.10608654104573</v>
      </c>
      <c r="U17" s="101">
        <f t="shared" si="53"/>
        <v>149.69838767262465</v>
      </c>
      <c r="V17" s="101">
        <f t="shared" si="53"/>
        <v>98.555367913490997</v>
      </c>
      <c r="W17" s="101">
        <f t="shared" ref="W17:Y17" si="54">IF(W44=0,0,W44*W154)</f>
        <v>134.30824300958011</v>
      </c>
      <c r="X17" s="101">
        <f t="shared" si="54"/>
        <v>324.56672312160418</v>
      </c>
      <c r="Y17" s="101">
        <f t="shared" si="54"/>
        <v>420.23962692425789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82.573950793786608</v>
      </c>
      <c r="M18" s="101">
        <f t="shared" ref="M18:V18" si="57">IF(M45=0,0,M45*M155)</f>
        <v>84.802784689727844</v>
      </c>
      <c r="N18" s="101">
        <f t="shared" si="57"/>
        <v>74.234066467791422</v>
      </c>
      <c r="O18" s="101">
        <f t="shared" si="57"/>
        <v>70.276709320772525</v>
      </c>
      <c r="P18" s="101">
        <f t="shared" si="57"/>
        <v>66.789834678015467</v>
      </c>
      <c r="Q18" s="101">
        <f t="shared" si="57"/>
        <v>72.968128175372144</v>
      </c>
      <c r="R18" s="101">
        <f t="shared" si="57"/>
        <v>72.737327928442014</v>
      </c>
      <c r="S18" s="101">
        <f t="shared" si="57"/>
        <v>58.04260390680858</v>
      </c>
      <c r="T18" s="101">
        <f t="shared" si="57"/>
        <v>53.67229973725486</v>
      </c>
      <c r="U18" s="101">
        <f t="shared" si="57"/>
        <v>57.941032460023337</v>
      </c>
      <c r="V18" s="101">
        <f t="shared" si="57"/>
        <v>22.437504446709752</v>
      </c>
      <c r="W18" s="101">
        <f t="shared" ref="W18:Y18" si="58">IF(W45=0,0,W45*W155)</f>
        <v>20.70256709476747</v>
      </c>
      <c r="X18" s="101">
        <f t="shared" si="58"/>
        <v>29.738880179370007</v>
      </c>
      <c r="Y18" s="101">
        <f t="shared" si="58"/>
        <v>37.545202827990629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1557.0978616004443</v>
      </c>
      <c r="C19" s="29">
        <f t="shared" si="59"/>
        <v>1434.7786085926784</v>
      </c>
      <c r="D19" s="29">
        <f t="shared" si="59"/>
        <v>1682.461338911605</v>
      </c>
      <c r="E19" s="29">
        <f t="shared" si="59"/>
        <v>2486.5248186960484</v>
      </c>
      <c r="F19" s="29">
        <f t="shared" si="59"/>
        <v>2496.8611289851087</v>
      </c>
      <c r="G19" s="29">
        <f t="shared" si="59"/>
        <v>2879.8311518254318</v>
      </c>
      <c r="H19" s="29">
        <f t="shared" si="59"/>
        <v>3072.0890284974248</v>
      </c>
      <c r="I19" s="29">
        <f t="shared" si="59"/>
        <v>3131.1873101182564</v>
      </c>
      <c r="J19" s="29">
        <f t="shared" si="59"/>
        <v>2970.1344599629706</v>
      </c>
      <c r="K19" s="29">
        <f t="shared" si="59"/>
        <v>2270.0572865030972</v>
      </c>
      <c r="L19" s="29">
        <f t="shared" ref="L19" si="60">L20+L26</f>
        <v>2363.9189021270067</v>
      </c>
      <c r="M19" s="29">
        <f t="shared" ref="M19:V19" si="61">M20+M26</f>
        <v>2683.2477307446111</v>
      </c>
      <c r="N19" s="29">
        <f t="shared" si="61"/>
        <v>2744.5824268077895</v>
      </c>
      <c r="O19" s="29">
        <f t="shared" si="61"/>
        <v>2919.8609413258273</v>
      </c>
      <c r="P19" s="29">
        <f t="shared" si="61"/>
        <v>2885.9908135826695</v>
      </c>
      <c r="Q19" s="29">
        <f t="shared" si="61"/>
        <v>3094.1233107376743</v>
      </c>
      <c r="R19" s="29">
        <f t="shared" si="61"/>
        <v>3401.038855034481</v>
      </c>
      <c r="S19" s="29">
        <f t="shared" si="61"/>
        <v>3227.9768154437124</v>
      </c>
      <c r="T19" s="29">
        <f t="shared" si="61"/>
        <v>3364.9656501896152</v>
      </c>
      <c r="U19" s="29">
        <f t="shared" si="61"/>
        <v>3366.4023106359309</v>
      </c>
      <c r="V19" s="29">
        <f t="shared" si="61"/>
        <v>3152.6978831626639</v>
      </c>
      <c r="W19" s="29">
        <f t="shared" ref="W19:Y19" si="62">W20+W26</f>
        <v>3598.3300113632504</v>
      </c>
      <c r="X19" s="29">
        <f t="shared" si="62"/>
        <v>3878.0503314069233</v>
      </c>
      <c r="Y19" s="29">
        <f t="shared" si="62"/>
        <v>3465.3627532597825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247.98942932788398</v>
      </c>
      <c r="C20" s="152">
        <f t="shared" si="63"/>
        <v>250.39674822583311</v>
      </c>
      <c r="D20" s="152">
        <f t="shared" si="63"/>
        <v>246.52943556846486</v>
      </c>
      <c r="E20" s="152">
        <f t="shared" si="63"/>
        <v>233.63002247656249</v>
      </c>
      <c r="F20" s="152">
        <f t="shared" si="63"/>
        <v>223.94071992067583</v>
      </c>
      <c r="G20" s="152">
        <f t="shared" si="63"/>
        <v>209.61289532047471</v>
      </c>
      <c r="H20" s="152">
        <f t="shared" si="63"/>
        <v>203.03211501311077</v>
      </c>
      <c r="I20" s="152">
        <f t="shared" si="63"/>
        <v>195.69904534696965</v>
      </c>
      <c r="J20" s="152">
        <f t="shared" si="63"/>
        <v>198.57148276166257</v>
      </c>
      <c r="K20" s="152">
        <f t="shared" si="63"/>
        <v>193.86643797320198</v>
      </c>
      <c r="L20" s="152">
        <f t="shared" ref="L20" si="64">SUM(L21:L25)</f>
        <v>193.16482850086146</v>
      </c>
      <c r="M20" s="152">
        <f t="shared" ref="M20:V20" si="65">SUM(M21:M25)</f>
        <v>201.87166188327001</v>
      </c>
      <c r="N20" s="152">
        <f t="shared" si="65"/>
        <v>211.95219373154859</v>
      </c>
      <c r="O20" s="152">
        <f t="shared" si="65"/>
        <v>230.82994961197514</v>
      </c>
      <c r="P20" s="152">
        <f t="shared" si="65"/>
        <v>243.87790074007654</v>
      </c>
      <c r="Q20" s="152">
        <f t="shared" si="65"/>
        <v>258.01820561589864</v>
      </c>
      <c r="R20" s="152">
        <f t="shared" si="65"/>
        <v>286.11073555860349</v>
      </c>
      <c r="S20" s="152">
        <f t="shared" si="65"/>
        <v>315.42645896510186</v>
      </c>
      <c r="T20" s="152">
        <f t="shared" si="65"/>
        <v>350.96565018961508</v>
      </c>
      <c r="U20" s="152">
        <f t="shared" si="65"/>
        <v>388.40231063593092</v>
      </c>
      <c r="V20" s="152">
        <f t="shared" si="65"/>
        <v>401.69788316266374</v>
      </c>
      <c r="W20" s="152">
        <f t="shared" ref="W20:Y20" si="66">SUM(W21:W25)</f>
        <v>427.33001136325015</v>
      </c>
      <c r="X20" s="152">
        <f t="shared" si="66"/>
        <v>452.05033140692314</v>
      </c>
      <c r="Y20" s="152">
        <f t="shared" si="66"/>
        <v>458.36275325978238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49.120679027781797</v>
      </c>
      <c r="C21" s="87">
        <f t="shared" si="67"/>
        <v>53.174572428356726</v>
      </c>
      <c r="D21" s="87">
        <f t="shared" si="67"/>
        <v>51.821901142935367</v>
      </c>
      <c r="E21" s="87">
        <f t="shared" si="67"/>
        <v>48.091471564737851</v>
      </c>
      <c r="F21" s="87">
        <f t="shared" si="67"/>
        <v>48.82718835454083</v>
      </c>
      <c r="G21" s="87">
        <f t="shared" si="67"/>
        <v>44.133710804102336</v>
      </c>
      <c r="H21" s="87">
        <f t="shared" si="67"/>
        <v>43.555629445393244</v>
      </c>
      <c r="I21" s="87">
        <f t="shared" si="67"/>
        <v>37.849656569438409</v>
      </c>
      <c r="J21" s="87">
        <f t="shared" si="67"/>
        <v>38.104143214825839</v>
      </c>
      <c r="K21" s="87">
        <f t="shared" si="67"/>
        <v>35.286262055503634</v>
      </c>
      <c r="L21" s="87">
        <f t="shared" ref="L21" si="68">IF(L48=0,0,L48*L158)</f>
        <v>32.500449797143496</v>
      </c>
      <c r="M21" s="87">
        <f t="shared" ref="M21:V21" si="69">IF(M48=0,0,M48*M158)</f>
        <v>34.047375982413577</v>
      </c>
      <c r="N21" s="87">
        <f t="shared" si="69"/>
        <v>33.01609550077719</v>
      </c>
      <c r="O21" s="87">
        <f t="shared" si="69"/>
        <v>30.411389354776368</v>
      </c>
      <c r="P21" s="87">
        <f t="shared" si="69"/>
        <v>29.877426967640741</v>
      </c>
      <c r="Q21" s="87">
        <f t="shared" si="69"/>
        <v>29.708830951507725</v>
      </c>
      <c r="R21" s="87">
        <f t="shared" si="69"/>
        <v>29.062267822592283</v>
      </c>
      <c r="S21" s="87">
        <f t="shared" si="69"/>
        <v>29.509572094582595</v>
      </c>
      <c r="T21" s="87">
        <f t="shared" si="69"/>
        <v>32.922939649417692</v>
      </c>
      <c r="U21" s="87">
        <f t="shared" si="69"/>
        <v>32.368648310067549</v>
      </c>
      <c r="V21" s="87">
        <f t="shared" si="69"/>
        <v>30.020816612040186</v>
      </c>
      <c r="W21" s="87">
        <f t="shared" ref="W21:Y21" si="70">IF(W48=0,0,W48*W158)</f>
        <v>28.013108764795231</v>
      </c>
      <c r="X21" s="87">
        <f t="shared" si="70"/>
        <v>26.011060433360441</v>
      </c>
      <c r="Y21" s="87">
        <f t="shared" si="70"/>
        <v>23.5104239697772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198.86875030010219</v>
      </c>
      <c r="C22" s="87">
        <f t="shared" si="71"/>
        <v>197.22217579747638</v>
      </c>
      <c r="D22" s="87">
        <f t="shared" si="71"/>
        <v>194.7075344255295</v>
      </c>
      <c r="E22" s="87">
        <f t="shared" si="71"/>
        <v>185.53855091182464</v>
      </c>
      <c r="F22" s="87">
        <f t="shared" si="71"/>
        <v>175.11353156613501</v>
      </c>
      <c r="G22" s="87">
        <f t="shared" si="71"/>
        <v>165.47918451637238</v>
      </c>
      <c r="H22" s="87">
        <f t="shared" si="71"/>
        <v>159.47648556771753</v>
      </c>
      <c r="I22" s="87">
        <f t="shared" si="71"/>
        <v>157.84489444719031</v>
      </c>
      <c r="J22" s="87">
        <f t="shared" si="71"/>
        <v>160.46284208846112</v>
      </c>
      <c r="K22" s="87">
        <f t="shared" si="71"/>
        <v>158.57567496269229</v>
      </c>
      <c r="L22" s="87">
        <f t="shared" ref="L22" si="72">IF(L49=0,0,L49*L159)</f>
        <v>160.65987434488045</v>
      </c>
      <c r="M22" s="87">
        <f t="shared" ref="M22:V22" si="73">IF(M49=0,0,M49*M159)</f>
        <v>167.81977839767424</v>
      </c>
      <c r="N22" s="87">
        <f t="shared" si="73"/>
        <v>178.92684652988828</v>
      </c>
      <c r="O22" s="87">
        <f t="shared" si="73"/>
        <v>200.2840059185921</v>
      </c>
      <c r="P22" s="87">
        <f t="shared" si="73"/>
        <v>213.81882535356411</v>
      </c>
      <c r="Q22" s="87">
        <f t="shared" si="73"/>
        <v>228.06040140207227</v>
      </c>
      <c r="R22" s="87">
        <f t="shared" si="73"/>
        <v>256.77010425634478</v>
      </c>
      <c r="S22" s="87">
        <f t="shared" si="73"/>
        <v>285.42338418290558</v>
      </c>
      <c r="T22" s="87">
        <f t="shared" si="73"/>
        <v>317.41520738555488</v>
      </c>
      <c r="U22" s="87">
        <f t="shared" si="73"/>
        <v>355.27109340182415</v>
      </c>
      <c r="V22" s="87">
        <f t="shared" si="73"/>
        <v>370.71650050057633</v>
      </c>
      <c r="W22" s="87">
        <f t="shared" ref="W22:Y22" si="74">IF(W49=0,0,W49*W159)</f>
        <v>398.34679085732125</v>
      </c>
      <c r="X22" s="87">
        <f t="shared" si="74"/>
        <v>424.95662072902292</v>
      </c>
      <c r="Y22" s="87">
        <f t="shared" si="74"/>
        <v>433.71493236272391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2.4859018382796237E-3</v>
      </c>
      <c r="O24" s="87">
        <f t="shared" si="81"/>
        <v>0.11875785614625355</v>
      </c>
      <c r="P24" s="87">
        <f t="shared" si="81"/>
        <v>0.15003448346383921</v>
      </c>
      <c r="Q24" s="87">
        <f t="shared" si="81"/>
        <v>0.21281982714356784</v>
      </c>
      <c r="R24" s="87">
        <f t="shared" si="81"/>
        <v>0.21289765264438343</v>
      </c>
      <c r="S24" s="87">
        <f t="shared" si="81"/>
        <v>0.42584340025027789</v>
      </c>
      <c r="T24" s="87">
        <f t="shared" si="81"/>
        <v>0.55765471039802283</v>
      </c>
      <c r="U24" s="87">
        <f t="shared" si="81"/>
        <v>0.69278773318361686</v>
      </c>
      <c r="V24" s="87">
        <f t="shared" si="81"/>
        <v>0.88654066928284769</v>
      </c>
      <c r="W24" s="87">
        <f t="shared" ref="W24:Y24" si="82">IF(W51=0,0,W51*W161)</f>
        <v>0.89587680139479986</v>
      </c>
      <c r="X24" s="87">
        <f t="shared" si="82"/>
        <v>0.90509086466244182</v>
      </c>
      <c r="Y24" s="87">
        <f t="shared" si="82"/>
        <v>0.79550895717153058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4.4943303409101729E-3</v>
      </c>
      <c r="J25" s="87">
        <f t="shared" si="83"/>
        <v>4.497458375586438E-3</v>
      </c>
      <c r="K25" s="87">
        <f t="shared" si="83"/>
        <v>4.5009550060472235E-3</v>
      </c>
      <c r="L25" s="87">
        <f t="shared" ref="L25" si="84">IF(L52=0,0,L52*L162)</f>
        <v>4.5043588375279619E-3</v>
      </c>
      <c r="M25" s="87">
        <f t="shared" ref="M25:V25" si="85">IF(M52=0,0,M52*M162)</f>
        <v>4.5075031821983202E-3</v>
      </c>
      <c r="N25" s="87">
        <f t="shared" si="85"/>
        <v>6.7657990448455477E-3</v>
      </c>
      <c r="O25" s="87">
        <f t="shared" si="85"/>
        <v>1.5796482460421944E-2</v>
      </c>
      <c r="P25" s="87">
        <f t="shared" si="85"/>
        <v>3.1613935407883195E-2</v>
      </c>
      <c r="Q25" s="87">
        <f t="shared" si="85"/>
        <v>3.6153435175113248E-2</v>
      </c>
      <c r="R25" s="87">
        <f t="shared" si="85"/>
        <v>6.5465827022094997E-2</v>
      </c>
      <c r="S25" s="87">
        <f t="shared" si="85"/>
        <v>6.7659287363376674E-2</v>
      </c>
      <c r="T25" s="87">
        <f t="shared" si="85"/>
        <v>6.9848444244484761E-2</v>
      </c>
      <c r="U25" s="87">
        <f t="shared" si="85"/>
        <v>6.978119085564953E-2</v>
      </c>
      <c r="V25" s="87">
        <f t="shared" si="85"/>
        <v>7.4025380764412674E-2</v>
      </c>
      <c r="W25" s="87">
        <f t="shared" ref="W25:Y25" si="86">IF(W52=0,0,W52*W162)</f>
        <v>7.4234939738882885E-2</v>
      </c>
      <c r="X25" s="87">
        <f t="shared" si="86"/>
        <v>0.17755937987729953</v>
      </c>
      <c r="Y25" s="87">
        <f t="shared" si="86"/>
        <v>0.34188797010972244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1309.1084322725603</v>
      </c>
      <c r="C26" s="116">
        <f t="shared" si="87"/>
        <v>1184.3818603668453</v>
      </c>
      <c r="D26" s="116">
        <f t="shared" si="87"/>
        <v>1435.9319033431402</v>
      </c>
      <c r="E26" s="116">
        <f t="shared" si="87"/>
        <v>2252.8947962194861</v>
      </c>
      <c r="F26" s="116">
        <f t="shared" si="87"/>
        <v>2272.920409064433</v>
      </c>
      <c r="G26" s="116">
        <f t="shared" si="87"/>
        <v>2670.218256504957</v>
      </c>
      <c r="H26" s="116">
        <f t="shared" si="87"/>
        <v>2869.056913484314</v>
      </c>
      <c r="I26" s="116">
        <f t="shared" si="87"/>
        <v>2935.4882647712866</v>
      </c>
      <c r="J26" s="116">
        <f t="shared" si="87"/>
        <v>2771.5629772013081</v>
      </c>
      <c r="K26" s="116">
        <f t="shared" si="87"/>
        <v>2076.1908485298954</v>
      </c>
      <c r="L26" s="116">
        <f t="shared" ref="L26" si="88">SUM(L27:L28)</f>
        <v>2170.7540736261453</v>
      </c>
      <c r="M26" s="116">
        <f t="shared" ref="M26:V26" si="89">SUM(M27:M28)</f>
        <v>2481.3760688613411</v>
      </c>
      <c r="N26" s="116">
        <f t="shared" si="89"/>
        <v>2532.630233076241</v>
      </c>
      <c r="O26" s="116">
        <f t="shared" si="89"/>
        <v>2689.030991713852</v>
      </c>
      <c r="P26" s="116">
        <f t="shared" si="89"/>
        <v>2642.1129128425928</v>
      </c>
      <c r="Q26" s="116">
        <f t="shared" si="89"/>
        <v>2836.1051051217755</v>
      </c>
      <c r="R26" s="116">
        <f t="shared" si="89"/>
        <v>3114.9281194758773</v>
      </c>
      <c r="S26" s="116">
        <f t="shared" si="89"/>
        <v>2912.5503564786104</v>
      </c>
      <c r="T26" s="116">
        <f t="shared" si="89"/>
        <v>3014</v>
      </c>
      <c r="U26" s="116">
        <f t="shared" si="89"/>
        <v>2978</v>
      </c>
      <c r="V26" s="116">
        <f t="shared" si="89"/>
        <v>2751</v>
      </c>
      <c r="W26" s="116">
        <f t="shared" ref="W26:Y26" si="90">SUM(W27:W28)</f>
        <v>3171</v>
      </c>
      <c r="X26" s="116">
        <f t="shared" si="90"/>
        <v>3426</v>
      </c>
      <c r="Y26" s="116">
        <f t="shared" si="90"/>
        <v>3007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715</v>
      </c>
      <c r="C27" s="101">
        <f t="shared" si="91"/>
        <v>548</v>
      </c>
      <c r="D27" s="101">
        <f t="shared" si="91"/>
        <v>762</v>
      </c>
      <c r="E27" s="101">
        <f t="shared" si="91"/>
        <v>1567.9999999999998</v>
      </c>
      <c r="F27" s="101">
        <f t="shared" si="91"/>
        <v>1478</v>
      </c>
      <c r="G27" s="101">
        <f t="shared" si="91"/>
        <v>1847</v>
      </c>
      <c r="H27" s="101">
        <f t="shared" si="91"/>
        <v>1979</v>
      </c>
      <c r="I27" s="101">
        <f t="shared" si="91"/>
        <v>1941.9999999999998</v>
      </c>
      <c r="J27" s="101">
        <f t="shared" si="91"/>
        <v>1831.9999999999998</v>
      </c>
      <c r="K27" s="101">
        <f t="shared" si="91"/>
        <v>1326</v>
      </c>
      <c r="L27" s="101">
        <f t="shared" ref="L27:V27" si="92">IF(L54=0,0,L54*L164)</f>
        <v>1388</v>
      </c>
      <c r="M27" s="101">
        <f t="shared" si="92"/>
        <v>1561</v>
      </c>
      <c r="N27" s="101">
        <f t="shared" si="92"/>
        <v>1599</v>
      </c>
      <c r="O27" s="101">
        <f t="shared" si="92"/>
        <v>1593</v>
      </c>
      <c r="P27" s="101">
        <f t="shared" si="92"/>
        <v>1540.9999999999998</v>
      </c>
      <c r="Q27" s="101">
        <f t="shared" si="92"/>
        <v>1524</v>
      </c>
      <c r="R27" s="101">
        <f t="shared" si="92"/>
        <v>1792</v>
      </c>
      <c r="S27" s="101">
        <f t="shared" si="92"/>
        <v>1630.9999999999998</v>
      </c>
      <c r="T27" s="101">
        <f t="shared" si="92"/>
        <v>1686</v>
      </c>
      <c r="U27" s="101">
        <f t="shared" si="92"/>
        <v>1710</v>
      </c>
      <c r="V27" s="101">
        <f t="shared" si="92"/>
        <v>1273</v>
      </c>
      <c r="W27" s="101">
        <f t="shared" ref="W27:Y27" si="93">IF(W54=0,0,W54*W164)</f>
        <v>1800.0000000000002</v>
      </c>
      <c r="X27" s="101">
        <f t="shared" si="93"/>
        <v>1797</v>
      </c>
      <c r="Y27" s="101">
        <f t="shared" si="93"/>
        <v>1537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594.10843227256032</v>
      </c>
      <c r="C28" s="88">
        <f t="shared" si="94"/>
        <v>636.38186036684533</v>
      </c>
      <c r="D28" s="88">
        <f t="shared" si="94"/>
        <v>673.93190334314022</v>
      </c>
      <c r="E28" s="88">
        <f t="shared" si="94"/>
        <v>684.89479621948612</v>
      </c>
      <c r="F28" s="88">
        <f t="shared" si="94"/>
        <v>794.92040906443299</v>
      </c>
      <c r="G28" s="88">
        <f t="shared" si="94"/>
        <v>823.21825650495703</v>
      </c>
      <c r="H28" s="88">
        <f t="shared" si="94"/>
        <v>890.05691348431401</v>
      </c>
      <c r="I28" s="88">
        <f t="shared" si="94"/>
        <v>993.48826477128671</v>
      </c>
      <c r="J28" s="88">
        <f t="shared" si="94"/>
        <v>939.56297720130851</v>
      </c>
      <c r="K28" s="88">
        <f t="shared" si="94"/>
        <v>750.19084852989545</v>
      </c>
      <c r="L28" s="88">
        <f t="shared" ref="L28:V28" si="95">IF(L55=0,0,L55*L165)</f>
        <v>782.75407362614533</v>
      </c>
      <c r="M28" s="88">
        <f t="shared" si="95"/>
        <v>920.37606886134108</v>
      </c>
      <c r="N28" s="88">
        <f t="shared" si="95"/>
        <v>933.63023307624098</v>
      </c>
      <c r="O28" s="88">
        <f t="shared" si="95"/>
        <v>1096.030991713852</v>
      </c>
      <c r="P28" s="88">
        <f t="shared" si="95"/>
        <v>1101.1129128425932</v>
      </c>
      <c r="Q28" s="88">
        <f t="shared" si="95"/>
        <v>1312.1051051217755</v>
      </c>
      <c r="R28" s="88">
        <f t="shared" si="95"/>
        <v>1322.9281194758773</v>
      </c>
      <c r="S28" s="88">
        <f t="shared" si="95"/>
        <v>1281.5503564786104</v>
      </c>
      <c r="T28" s="88">
        <f t="shared" si="95"/>
        <v>1328</v>
      </c>
      <c r="U28" s="88">
        <f t="shared" si="95"/>
        <v>1268</v>
      </c>
      <c r="V28" s="88">
        <f t="shared" si="95"/>
        <v>1478</v>
      </c>
      <c r="W28" s="88">
        <f t="shared" ref="W28:Y28" si="96">IF(W55=0,0,W55*W165)</f>
        <v>1371</v>
      </c>
      <c r="X28" s="88">
        <f t="shared" si="96"/>
        <v>1629</v>
      </c>
      <c r="Y28" s="88">
        <f t="shared" si="96"/>
        <v>1470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4103.6744866724066</v>
      </c>
      <c r="C30" s="62">
        <f t="shared" ref="C30:V30" si="98">C31+C46</f>
        <v>4842.233920893751</v>
      </c>
      <c r="D30" s="62">
        <f t="shared" si="98"/>
        <v>4647.1008997282752</v>
      </c>
      <c r="E30" s="62">
        <f t="shared" si="98"/>
        <v>4755.8714737622468</v>
      </c>
      <c r="F30" s="62">
        <f t="shared" si="98"/>
        <v>4863.3904342722963</v>
      </c>
      <c r="G30" s="62">
        <f t="shared" si="98"/>
        <v>5170.1818094619011</v>
      </c>
      <c r="H30" s="62">
        <f t="shared" si="98"/>
        <v>5794.8256671539175</v>
      </c>
      <c r="I30" s="62">
        <f t="shared" si="98"/>
        <v>6370.6286850110046</v>
      </c>
      <c r="J30" s="62">
        <f t="shared" si="98"/>
        <v>6463.9635541988082</v>
      </c>
      <c r="K30" s="62">
        <f t="shared" si="98"/>
        <v>6444.0779057327654</v>
      </c>
      <c r="L30" s="62">
        <f t="shared" si="98"/>
        <v>6385.2441783206077</v>
      </c>
      <c r="M30" s="62">
        <f t="shared" si="98"/>
        <v>6471.1431803643936</v>
      </c>
      <c r="N30" s="62">
        <f t="shared" si="98"/>
        <v>6742.9121422124463</v>
      </c>
      <c r="O30" s="62">
        <f t="shared" si="98"/>
        <v>6922.9081153804373</v>
      </c>
      <c r="P30" s="62">
        <f t="shared" si="98"/>
        <v>7157.781996444427</v>
      </c>
      <c r="Q30" s="62">
        <f t="shared" si="98"/>
        <v>7705.7850510987564</v>
      </c>
      <c r="R30" s="62">
        <f t="shared" si="98"/>
        <v>8253.3970295902618</v>
      </c>
      <c r="S30" s="62">
        <f t="shared" si="98"/>
        <v>8717.5697989502387</v>
      </c>
      <c r="T30" s="62">
        <f t="shared" si="98"/>
        <v>9334.7327397851041</v>
      </c>
      <c r="U30" s="62">
        <f t="shared" si="98"/>
        <v>9620.4144394797313</v>
      </c>
      <c r="V30" s="62">
        <f t="shared" si="98"/>
        <v>9366.331637796322</v>
      </c>
      <c r="W30" s="62">
        <f t="shared" ref="W30:Y30" si="99">W31+W46</f>
        <v>9616.4767563551031</v>
      </c>
      <c r="X30" s="62">
        <f t="shared" si="99"/>
        <v>10039.817588583008</v>
      </c>
      <c r="Y30" s="62">
        <f t="shared" si="99"/>
        <v>10242.610827893262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3153.7259426802589</v>
      </c>
      <c r="C31" s="29">
        <f t="shared" ref="C31:V31" si="101">C32+C33+C40</f>
        <v>3888.6773900272392</v>
      </c>
      <c r="D31" s="29">
        <f t="shared" si="101"/>
        <v>3671.0691712469952</v>
      </c>
      <c r="E31" s="29">
        <f t="shared" si="101"/>
        <v>3757.4717346474963</v>
      </c>
      <c r="F31" s="29">
        <f t="shared" si="101"/>
        <v>3870.8595535501104</v>
      </c>
      <c r="G31" s="29">
        <f t="shared" si="101"/>
        <v>4226.3840696994112</v>
      </c>
      <c r="H31" s="29">
        <f t="shared" si="101"/>
        <v>4856.230201818682</v>
      </c>
      <c r="I31" s="29">
        <f t="shared" si="101"/>
        <v>5444.3309541614253</v>
      </c>
      <c r="J31" s="29">
        <f t="shared" si="101"/>
        <v>5533.8626108225626</v>
      </c>
      <c r="K31" s="29">
        <f t="shared" si="101"/>
        <v>5612.9826143890787</v>
      </c>
      <c r="L31" s="29">
        <f t="shared" si="101"/>
        <v>5576.3329481263963</v>
      </c>
      <c r="M31" s="29">
        <f t="shared" si="101"/>
        <v>5609.8113621915872</v>
      </c>
      <c r="N31" s="29">
        <f t="shared" si="101"/>
        <v>5859.3849014998768</v>
      </c>
      <c r="O31" s="29">
        <f t="shared" si="101"/>
        <v>5972.6599909741408</v>
      </c>
      <c r="P31" s="29">
        <f t="shared" si="101"/>
        <v>6184.0864730258754</v>
      </c>
      <c r="Q31" s="29">
        <f t="shared" si="101"/>
        <v>6680.2845780650468</v>
      </c>
      <c r="R31" s="29">
        <f t="shared" si="101"/>
        <v>7116.1098169203296</v>
      </c>
      <c r="S31" s="29">
        <f t="shared" si="101"/>
        <v>7521.9545268434149</v>
      </c>
      <c r="T31" s="29">
        <f t="shared" si="101"/>
        <v>8013.7837986762379</v>
      </c>
      <c r="U31" s="29">
        <f t="shared" si="101"/>
        <v>8195.7203270023529</v>
      </c>
      <c r="V31" s="29">
        <f t="shared" si="101"/>
        <v>7918.7912851098081</v>
      </c>
      <c r="W31" s="29">
        <f t="shared" ref="W31:Y31" si="102">W32+W33+W40</f>
        <v>8048.8463233792663</v>
      </c>
      <c r="X31" s="29">
        <f t="shared" si="102"/>
        <v>8371.9799659414621</v>
      </c>
      <c r="Y31" s="29">
        <f t="shared" si="102"/>
        <v>8599.1856699391901</v>
      </c>
      <c r="DA31" s="173" t="s">
        <v>475</v>
      </c>
    </row>
    <row r="32" spans="1:105" ht="11.45" customHeight="1" x14ac:dyDescent="0.25">
      <c r="A32" s="136" t="s">
        <v>173</v>
      </c>
      <c r="B32" s="152">
        <v>8.0800909124778855</v>
      </c>
      <c r="C32" s="152">
        <v>8.1940659732177039</v>
      </c>
      <c r="D32" s="152">
        <v>8.7577480748657983</v>
      </c>
      <c r="E32" s="152">
        <v>9.6672002396356405</v>
      </c>
      <c r="F32" s="152">
        <v>10.838065438071112</v>
      </c>
      <c r="G32" s="152">
        <v>12.132934273694707</v>
      </c>
      <c r="H32" s="152">
        <v>14.923502867543842</v>
      </c>
      <c r="I32" s="152">
        <v>17.507822134075287</v>
      </c>
      <c r="J32" s="152">
        <v>20.85836990206364</v>
      </c>
      <c r="K32" s="152">
        <v>21.873882517445967</v>
      </c>
      <c r="L32" s="152">
        <v>23.098032289936718</v>
      </c>
      <c r="M32" s="152">
        <v>27.193287202255934</v>
      </c>
      <c r="N32" s="152">
        <v>41.312004087778789</v>
      </c>
      <c r="O32" s="152">
        <v>45.216495388273813</v>
      </c>
      <c r="P32" s="152">
        <v>49.27</v>
      </c>
      <c r="Q32" s="152">
        <v>52.8</v>
      </c>
      <c r="R32" s="152">
        <v>57.44953600403899</v>
      </c>
      <c r="S32" s="152">
        <v>54.843708896165637</v>
      </c>
      <c r="T32" s="152">
        <v>52.823604752862941</v>
      </c>
      <c r="U32" s="152">
        <v>56.554274431682742</v>
      </c>
      <c r="V32" s="152">
        <v>51.062772362835503</v>
      </c>
      <c r="W32" s="152">
        <v>53.439732913540865</v>
      </c>
      <c r="X32" s="152">
        <v>54.596447647909152</v>
      </c>
      <c r="Y32" s="152">
        <v>59.362735713068226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2959.3531456411456</v>
      </c>
      <c r="C33" s="116">
        <f t="shared" ref="C33:V33" si="104">SUM(C34:C39)</f>
        <v>3700.1605033446531</v>
      </c>
      <c r="D33" s="116">
        <f t="shared" si="104"/>
        <v>3485.510807073872</v>
      </c>
      <c r="E33" s="116">
        <f t="shared" si="104"/>
        <v>3568.8639008428222</v>
      </c>
      <c r="F33" s="116">
        <f t="shared" si="104"/>
        <v>3680.5975118518554</v>
      </c>
      <c r="G33" s="116">
        <f t="shared" si="104"/>
        <v>4030.8813188922668</v>
      </c>
      <c r="H33" s="116">
        <f t="shared" si="104"/>
        <v>4651.2942198188239</v>
      </c>
      <c r="I33" s="116">
        <f t="shared" si="104"/>
        <v>5270.0024663644417</v>
      </c>
      <c r="J33" s="116">
        <f t="shared" si="104"/>
        <v>5367.1664180966654</v>
      </c>
      <c r="K33" s="116">
        <f t="shared" si="104"/>
        <v>5455.0201680592763</v>
      </c>
      <c r="L33" s="116">
        <f t="shared" si="104"/>
        <v>5418.3261406862157</v>
      </c>
      <c r="M33" s="116">
        <f t="shared" si="104"/>
        <v>5450.7113896718265</v>
      </c>
      <c r="N33" s="116">
        <f t="shared" si="104"/>
        <v>5683.8828974120988</v>
      </c>
      <c r="O33" s="116">
        <f t="shared" si="104"/>
        <v>5784.9014330082819</v>
      </c>
      <c r="P33" s="116">
        <f t="shared" si="104"/>
        <v>5985.3839132778157</v>
      </c>
      <c r="Q33" s="116">
        <f t="shared" si="104"/>
        <v>6469.9845780650467</v>
      </c>
      <c r="R33" s="116">
        <f t="shared" si="104"/>
        <v>6872.9002809162903</v>
      </c>
      <c r="S33" s="116">
        <f t="shared" si="104"/>
        <v>7253.090817947249</v>
      </c>
      <c r="T33" s="116">
        <f t="shared" si="104"/>
        <v>7749.3701939233752</v>
      </c>
      <c r="U33" s="116">
        <f t="shared" si="104"/>
        <v>7939.8160525706708</v>
      </c>
      <c r="V33" s="116">
        <f t="shared" si="104"/>
        <v>7673.0585127469722</v>
      </c>
      <c r="W33" s="116">
        <f t="shared" ref="W33:Y33" si="105">SUM(W34:W39)</f>
        <v>7787.1465904657252</v>
      </c>
      <c r="X33" s="116">
        <f t="shared" si="105"/>
        <v>8101.563518293553</v>
      </c>
      <c r="Y33" s="116">
        <f t="shared" si="105"/>
        <v>8389.7929342261214</v>
      </c>
      <c r="DA33" s="176" t="s">
        <v>477</v>
      </c>
    </row>
    <row r="34" spans="1:105" ht="11.45" customHeight="1" x14ac:dyDescent="0.25">
      <c r="A34" s="111" t="s">
        <v>110</v>
      </c>
      <c r="B34" s="87">
        <v>2721.5716462765645</v>
      </c>
      <c r="C34" s="87">
        <v>3359.5483659840188</v>
      </c>
      <c r="D34" s="87">
        <v>3108.7717897073571</v>
      </c>
      <c r="E34" s="87">
        <v>3034.3589654146713</v>
      </c>
      <c r="F34" s="87">
        <v>2943.0285540837363</v>
      </c>
      <c r="G34" s="87">
        <v>3081.2462080723344</v>
      </c>
      <c r="H34" s="87">
        <v>3342.4784557297126</v>
      </c>
      <c r="I34" s="87">
        <v>3623.0422484189949</v>
      </c>
      <c r="J34" s="87">
        <v>3670.5690766236626</v>
      </c>
      <c r="K34" s="87">
        <v>3470.2186616188174</v>
      </c>
      <c r="L34" s="87">
        <v>3347.1905396207526</v>
      </c>
      <c r="M34" s="87">
        <v>3116.790350254912</v>
      </c>
      <c r="N34" s="87">
        <v>3018.7482917209272</v>
      </c>
      <c r="O34" s="87">
        <v>2874.9022978940625</v>
      </c>
      <c r="P34" s="87">
        <v>2948.0087795995059</v>
      </c>
      <c r="Q34" s="87">
        <v>2965.4748949021991</v>
      </c>
      <c r="R34" s="87">
        <v>3204.2773456841969</v>
      </c>
      <c r="S34" s="87">
        <v>3450.0978233391525</v>
      </c>
      <c r="T34" s="87">
        <v>3672.9910663818173</v>
      </c>
      <c r="U34" s="87">
        <v>3771.7277461740041</v>
      </c>
      <c r="V34" s="87">
        <v>3000.9277795133094</v>
      </c>
      <c r="W34" s="87">
        <v>2803.982976998544</v>
      </c>
      <c r="X34" s="87">
        <v>3124.4238198790513</v>
      </c>
      <c r="Y34" s="87">
        <v>3214.634224816702</v>
      </c>
      <c r="DA34" s="171" t="s">
        <v>478</v>
      </c>
    </row>
    <row r="35" spans="1:105" ht="11.45" customHeight="1" x14ac:dyDescent="0.25">
      <c r="A35" s="111" t="s">
        <v>111</v>
      </c>
      <c r="B35" s="87">
        <v>230.43556687629962</v>
      </c>
      <c r="C35" s="87">
        <v>330.51271092521301</v>
      </c>
      <c r="D35" s="87">
        <v>365.8700110024206</v>
      </c>
      <c r="E35" s="87">
        <v>522.58122513170474</v>
      </c>
      <c r="F35" s="87">
        <v>725.44465828494867</v>
      </c>
      <c r="G35" s="87">
        <v>934.30761403305314</v>
      </c>
      <c r="H35" s="87">
        <v>1286.4333475306689</v>
      </c>
      <c r="I35" s="87">
        <v>1626.5516050876849</v>
      </c>
      <c r="J35" s="87">
        <v>1673.423043601349</v>
      </c>
      <c r="K35" s="87">
        <v>1958.66019579049</v>
      </c>
      <c r="L35" s="87">
        <v>2045.9753935727413</v>
      </c>
      <c r="M35" s="87">
        <v>2304.3530901620297</v>
      </c>
      <c r="N35" s="87">
        <v>2617.6782743422641</v>
      </c>
      <c r="O35" s="87">
        <v>2853.4070140942913</v>
      </c>
      <c r="P35" s="87">
        <v>2966.2721684584485</v>
      </c>
      <c r="Q35" s="87">
        <v>3424.9527956861043</v>
      </c>
      <c r="R35" s="87">
        <v>3567.3350277557088</v>
      </c>
      <c r="S35" s="87">
        <v>3677.9613584712638</v>
      </c>
      <c r="T35" s="87">
        <v>3906.1393097107662</v>
      </c>
      <c r="U35" s="87">
        <v>3872.0807494015903</v>
      </c>
      <c r="V35" s="87">
        <v>4263.3896595347887</v>
      </c>
      <c r="W35" s="87">
        <v>4470.5001890532667</v>
      </c>
      <c r="X35" s="87">
        <v>4473.5232847094558</v>
      </c>
      <c r="Y35" s="87">
        <v>4651.1301033294894</v>
      </c>
      <c r="DA35" s="171" t="s">
        <v>479</v>
      </c>
    </row>
    <row r="36" spans="1:105" ht="11.45" customHeight="1" x14ac:dyDescent="0.25">
      <c r="A36" s="111" t="s">
        <v>112</v>
      </c>
      <c r="B36" s="87">
        <v>7.3459324882817087</v>
      </c>
      <c r="C36" s="87">
        <v>10.099426435421169</v>
      </c>
      <c r="D36" s="87">
        <v>10.869006364094085</v>
      </c>
      <c r="E36" s="87">
        <v>11.923710296446146</v>
      </c>
      <c r="F36" s="87">
        <v>12.124299483170493</v>
      </c>
      <c r="G36" s="87">
        <v>15.327496786879063</v>
      </c>
      <c r="H36" s="87">
        <v>22.382416558441545</v>
      </c>
      <c r="I36" s="87">
        <v>20.408612857761899</v>
      </c>
      <c r="J36" s="87">
        <v>23.159704262027766</v>
      </c>
      <c r="K36" s="87">
        <v>26.126652383840742</v>
      </c>
      <c r="L36" s="87">
        <v>25.091490466629374</v>
      </c>
      <c r="M36" s="87">
        <v>28.611228548519513</v>
      </c>
      <c r="N36" s="87">
        <v>38.337122144284166</v>
      </c>
      <c r="O36" s="87">
        <v>44.080040323045878</v>
      </c>
      <c r="P36" s="87">
        <v>51.136255126044638</v>
      </c>
      <c r="Q36" s="87">
        <v>56.277172172791396</v>
      </c>
      <c r="R36" s="87">
        <v>68.347071211237434</v>
      </c>
      <c r="S36" s="87">
        <v>83.530443124425517</v>
      </c>
      <c r="T36" s="87">
        <v>103.47864574644281</v>
      </c>
      <c r="U36" s="87">
        <v>121.84907663367314</v>
      </c>
      <c r="V36" s="87">
        <v>126.57355670658001</v>
      </c>
      <c r="W36" s="87">
        <v>128.24777300884017</v>
      </c>
      <c r="X36" s="87">
        <v>132.42874253320323</v>
      </c>
      <c r="Y36" s="87">
        <v>116.60285206544874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3.9331494936321015E-2</v>
      </c>
      <c r="M37" s="87">
        <v>0.13116185332811986</v>
      </c>
      <c r="N37" s="87">
        <v>0.25359658264313256</v>
      </c>
      <c r="O37" s="87">
        <v>2.0208801997344525</v>
      </c>
      <c r="P37" s="87">
        <v>3.9245688997468098</v>
      </c>
      <c r="Q37" s="87">
        <v>6.5899167364102196</v>
      </c>
      <c r="R37" s="87">
        <v>15.677990020445861</v>
      </c>
      <c r="S37" s="87">
        <v>23.75522806282396</v>
      </c>
      <c r="T37" s="87">
        <v>47.118496011394434</v>
      </c>
      <c r="U37" s="87">
        <v>151.26825252355962</v>
      </c>
      <c r="V37" s="87">
        <v>256.84252820241261</v>
      </c>
      <c r="W37" s="87">
        <v>345.50800836631822</v>
      </c>
      <c r="X37" s="87">
        <v>318.20797358709888</v>
      </c>
      <c r="Y37" s="87">
        <v>325.88688623842876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0.21191488964900454</v>
      </c>
      <c r="Q38" s="87">
        <v>0.37545604208345007</v>
      </c>
      <c r="R38" s="87">
        <v>0.49533963875125309</v>
      </c>
      <c r="S38" s="87">
        <v>0.67600218131247414</v>
      </c>
      <c r="T38" s="87">
        <v>1.0847827413000273</v>
      </c>
      <c r="U38" s="87">
        <v>1.2740797634485881</v>
      </c>
      <c r="V38" s="87">
        <v>2.0697688818098103</v>
      </c>
      <c r="W38" s="87">
        <v>5.996536778115046</v>
      </c>
      <c r="X38" s="87">
        <v>9.4058411323833457</v>
      </c>
      <c r="Y38" s="87">
        <v>17.010641065245412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1.4593609625970842E-2</v>
      </c>
      <c r="K39" s="87">
        <v>1.4658266129295336E-2</v>
      </c>
      <c r="L39" s="87">
        <v>2.9385531156883173E-2</v>
      </c>
      <c r="M39" s="87">
        <v>0.82555885303703802</v>
      </c>
      <c r="N39" s="87">
        <v>8.8656126219802758</v>
      </c>
      <c r="O39" s="87">
        <v>10.491200497147615</v>
      </c>
      <c r="P39" s="87">
        <v>15.83022630442103</v>
      </c>
      <c r="Q39" s="87">
        <v>16.314342525457448</v>
      </c>
      <c r="R39" s="87">
        <v>16.767506605949709</v>
      </c>
      <c r="S39" s="87">
        <v>17.069962768270067</v>
      </c>
      <c r="T39" s="87">
        <v>18.557893331655006</v>
      </c>
      <c r="U39" s="87">
        <v>21.616148074393905</v>
      </c>
      <c r="V39" s="87">
        <v>23.255219908071005</v>
      </c>
      <c r="W39" s="87">
        <v>32.911106260641454</v>
      </c>
      <c r="X39" s="87">
        <v>43.573856452360772</v>
      </c>
      <c r="Y39" s="87">
        <v>64.528226710806379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186.29270612663532</v>
      </c>
      <c r="C40" s="116">
        <f t="shared" ref="C40:V40" si="107">SUM(C41:C45)</f>
        <v>180.32282070936839</v>
      </c>
      <c r="D40" s="116">
        <f t="shared" si="107"/>
        <v>176.80061609825708</v>
      </c>
      <c r="E40" s="116">
        <f t="shared" si="107"/>
        <v>178.94063356503835</v>
      </c>
      <c r="F40" s="116">
        <f t="shared" si="107"/>
        <v>179.42397626018385</v>
      </c>
      <c r="G40" s="116">
        <f t="shared" si="107"/>
        <v>183.36981653344924</v>
      </c>
      <c r="H40" s="116">
        <f t="shared" si="107"/>
        <v>190.01247913231435</v>
      </c>
      <c r="I40" s="116">
        <f t="shared" si="107"/>
        <v>156.8206656629086</v>
      </c>
      <c r="J40" s="116">
        <f t="shared" si="107"/>
        <v>145.83782282383379</v>
      </c>
      <c r="K40" s="116">
        <f t="shared" si="107"/>
        <v>136.08856381235603</v>
      </c>
      <c r="L40" s="116">
        <f t="shared" si="107"/>
        <v>134.90877515024351</v>
      </c>
      <c r="M40" s="116">
        <f t="shared" si="107"/>
        <v>131.90668531750489</v>
      </c>
      <c r="N40" s="116">
        <f t="shared" si="107"/>
        <v>134.19</v>
      </c>
      <c r="O40" s="116">
        <f t="shared" si="107"/>
        <v>142.54206257758548</v>
      </c>
      <c r="P40" s="116">
        <f t="shared" si="107"/>
        <v>149.43255974805933</v>
      </c>
      <c r="Q40" s="116">
        <f t="shared" si="107"/>
        <v>157.5</v>
      </c>
      <c r="R40" s="116">
        <f t="shared" si="107"/>
        <v>185.76</v>
      </c>
      <c r="S40" s="116">
        <f t="shared" si="107"/>
        <v>214.02000000000004</v>
      </c>
      <c r="T40" s="116">
        <f t="shared" si="107"/>
        <v>211.59</v>
      </c>
      <c r="U40" s="116">
        <f t="shared" si="107"/>
        <v>199.35</v>
      </c>
      <c r="V40" s="116">
        <f t="shared" si="107"/>
        <v>194.67000000000004</v>
      </c>
      <c r="W40" s="116">
        <f t="shared" ref="W40:Y40" si="108">SUM(W41:W45)</f>
        <v>208.26000000000005</v>
      </c>
      <c r="X40" s="116">
        <f t="shared" si="108"/>
        <v>215.82</v>
      </c>
      <c r="Y40" s="116">
        <f t="shared" si="108"/>
        <v>150.03</v>
      </c>
      <c r="DA40" s="176" t="s">
        <v>484</v>
      </c>
    </row>
    <row r="41" spans="1:105" ht="11.45" customHeight="1" x14ac:dyDescent="0.25">
      <c r="A41" s="111" t="s">
        <v>110</v>
      </c>
      <c r="B41" s="101">
        <v>51.32974861275811</v>
      </c>
      <c r="C41" s="101">
        <v>44.836061545988628</v>
      </c>
      <c r="D41" s="101">
        <v>38.462228305494676</v>
      </c>
      <c r="E41" s="101">
        <v>32.365271100646758</v>
      </c>
      <c r="F41" s="101">
        <v>28.806598186310968</v>
      </c>
      <c r="G41" s="101">
        <v>23.628156259586071</v>
      </c>
      <c r="H41" s="101">
        <v>23.975951661073974</v>
      </c>
      <c r="I41" s="101">
        <v>13.304417935967853</v>
      </c>
      <c r="J41" s="101">
        <v>9.3716460834496758</v>
      </c>
      <c r="K41" s="101">
        <v>6.3982330934886473</v>
      </c>
      <c r="L41" s="101">
        <v>4.9360336946953991</v>
      </c>
      <c r="M41" s="101">
        <v>4.4046240604191524</v>
      </c>
      <c r="N41" s="101">
        <v>4.1857249554490412</v>
      </c>
      <c r="O41" s="101">
        <v>3.9900808767590985</v>
      </c>
      <c r="P41" s="101">
        <v>4.0568506505268846</v>
      </c>
      <c r="Q41" s="101">
        <v>4.0859535383093366</v>
      </c>
      <c r="R41" s="101">
        <v>4.5681564066056941</v>
      </c>
      <c r="S41" s="101">
        <v>5.0775657826818641</v>
      </c>
      <c r="T41" s="101">
        <v>4.8782947555930907</v>
      </c>
      <c r="U41" s="101">
        <v>4.5318236015725972</v>
      </c>
      <c r="V41" s="101">
        <v>4.1790714467740262</v>
      </c>
      <c r="W41" s="101">
        <v>4.2996051537987086</v>
      </c>
      <c r="X41" s="101">
        <v>4.5423275542244825</v>
      </c>
      <c r="Y41" s="101">
        <v>3.236431816726002</v>
      </c>
      <c r="DA41" s="175" t="s">
        <v>485</v>
      </c>
    </row>
    <row r="42" spans="1:105" ht="11.45" customHeight="1" x14ac:dyDescent="0.25">
      <c r="A42" s="111" t="s">
        <v>111</v>
      </c>
      <c r="B42" s="101">
        <v>134.9629575138772</v>
      </c>
      <c r="C42" s="101">
        <v>135.48675916337976</v>
      </c>
      <c r="D42" s="101">
        <v>138.3383877927624</v>
      </c>
      <c r="E42" s="101">
        <v>146.57536246439159</v>
      </c>
      <c r="F42" s="101">
        <v>150.61737807387289</v>
      </c>
      <c r="G42" s="101">
        <v>159.74166027386318</v>
      </c>
      <c r="H42" s="101">
        <v>166.03652747124039</v>
      </c>
      <c r="I42" s="101">
        <v>143.51624772694075</v>
      </c>
      <c r="J42" s="101">
        <v>136.46617674038413</v>
      </c>
      <c r="K42" s="101">
        <v>129.69033071886739</v>
      </c>
      <c r="L42" s="101">
        <v>124.60343915507593</v>
      </c>
      <c r="M42" s="101">
        <v>121.93699153214831</v>
      </c>
      <c r="N42" s="101">
        <v>124.48832090989288</v>
      </c>
      <c r="O42" s="101">
        <v>132.26106022584173</v>
      </c>
      <c r="P42" s="101">
        <v>137.98904833145551</v>
      </c>
      <c r="Q42" s="101">
        <v>144.5106067424953</v>
      </c>
      <c r="R42" s="101">
        <v>169.82298624962002</v>
      </c>
      <c r="S42" s="101">
        <v>193.68788831658668</v>
      </c>
      <c r="T42" s="101">
        <v>191.76027567886553</v>
      </c>
      <c r="U42" s="101">
        <v>181.84280199977951</v>
      </c>
      <c r="V42" s="101">
        <v>173.41843357110727</v>
      </c>
      <c r="W42" s="101">
        <v>178.94888074170228</v>
      </c>
      <c r="X42" s="101">
        <v>172.63842786657463</v>
      </c>
      <c r="Y42" s="101">
        <v>119.27882617713037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2.4968194519433953E-2</v>
      </c>
      <c r="U43" s="101">
        <v>2.2682606744528162E-2</v>
      </c>
      <c r="V43" s="101">
        <v>2.1624158845342707E-2</v>
      </c>
      <c r="W43" s="101">
        <v>2.2580382297023104E-2</v>
      </c>
      <c r="X43" s="101">
        <v>2.3045281490860544E-2</v>
      </c>
      <c r="Y43" s="101">
        <v>1.6163535875097324E-2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7.8471610378201273E-2</v>
      </c>
      <c r="M44" s="101">
        <v>0.26898235016859035</v>
      </c>
      <c r="N44" s="101">
        <v>0.31038913462539985</v>
      </c>
      <c r="O44" s="101">
        <v>1.1758399801271033</v>
      </c>
      <c r="P44" s="101">
        <v>2.4056978328456062</v>
      </c>
      <c r="Q44" s="101">
        <v>4.1033927864030044</v>
      </c>
      <c r="R44" s="101">
        <v>6.8364427146715387</v>
      </c>
      <c r="S44" s="101">
        <v>10.978128661913951</v>
      </c>
      <c r="T44" s="101">
        <v>10.975658115183162</v>
      </c>
      <c r="U44" s="101">
        <v>9.3382897911661864</v>
      </c>
      <c r="V44" s="101">
        <v>13.888874728342135</v>
      </c>
      <c r="W44" s="101">
        <v>21.651520823951014</v>
      </c>
      <c r="X44" s="101">
        <v>35.374922520831831</v>
      </c>
      <c r="Y44" s="101">
        <v>25.24328375745247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5.2908306900939879</v>
      </c>
      <c r="M45" s="101">
        <v>5.2960873747688444</v>
      </c>
      <c r="N45" s="101">
        <v>5.2055650000326761</v>
      </c>
      <c r="O45" s="101">
        <v>5.1150814948575558</v>
      </c>
      <c r="P45" s="101">
        <v>4.9809629332313232</v>
      </c>
      <c r="Q45" s="101">
        <v>4.8000469327923705</v>
      </c>
      <c r="R45" s="101">
        <v>4.5324146291027612</v>
      </c>
      <c r="S45" s="101">
        <v>4.2764172388175323</v>
      </c>
      <c r="T45" s="101">
        <v>3.9508032558387938</v>
      </c>
      <c r="U45" s="101">
        <v>3.6144020007371802</v>
      </c>
      <c r="V45" s="101">
        <v>3.161996094931252</v>
      </c>
      <c r="W45" s="101">
        <v>3.3374128982509887</v>
      </c>
      <c r="X45" s="101">
        <v>3.2412767768782094</v>
      </c>
      <c r="Y45" s="101">
        <v>2.255294712816065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949.94854399214762</v>
      </c>
      <c r="C46" s="29">
        <f t="shared" ref="C46:V46" si="110">C47+C53</f>
        <v>953.55653086651182</v>
      </c>
      <c r="D46" s="29">
        <f t="shared" si="110"/>
        <v>976.0317284812802</v>
      </c>
      <c r="E46" s="29">
        <f t="shared" si="110"/>
        <v>998.39973911475056</v>
      </c>
      <c r="F46" s="29">
        <f t="shared" si="110"/>
        <v>992.53088072218577</v>
      </c>
      <c r="G46" s="29">
        <f t="shared" si="110"/>
        <v>943.79773976248987</v>
      </c>
      <c r="H46" s="29">
        <f t="shared" si="110"/>
        <v>938.59546533523519</v>
      </c>
      <c r="I46" s="29">
        <f t="shared" si="110"/>
        <v>926.2977308495789</v>
      </c>
      <c r="J46" s="29">
        <f t="shared" si="110"/>
        <v>930.10094337624537</v>
      </c>
      <c r="K46" s="29">
        <f t="shared" si="110"/>
        <v>831.09529134368722</v>
      </c>
      <c r="L46" s="29">
        <f t="shared" si="110"/>
        <v>808.91123019421161</v>
      </c>
      <c r="M46" s="29">
        <f t="shared" si="110"/>
        <v>861.33181817280592</v>
      </c>
      <c r="N46" s="29">
        <f t="shared" si="110"/>
        <v>883.52724071256944</v>
      </c>
      <c r="O46" s="29">
        <f t="shared" si="110"/>
        <v>950.24812440629671</v>
      </c>
      <c r="P46" s="29">
        <f t="shared" si="110"/>
        <v>973.69552341855149</v>
      </c>
      <c r="Q46" s="29">
        <f t="shared" si="110"/>
        <v>1025.5004730337098</v>
      </c>
      <c r="R46" s="29">
        <f t="shared" si="110"/>
        <v>1137.2872126699331</v>
      </c>
      <c r="S46" s="29">
        <f t="shared" si="110"/>
        <v>1195.6152721068236</v>
      </c>
      <c r="T46" s="29">
        <f t="shared" si="110"/>
        <v>1320.9489411088662</v>
      </c>
      <c r="U46" s="29">
        <f t="shared" si="110"/>
        <v>1424.6941124773778</v>
      </c>
      <c r="V46" s="29">
        <f t="shared" si="110"/>
        <v>1447.5403526865139</v>
      </c>
      <c r="W46" s="29">
        <f t="shared" ref="W46:Y46" si="111">W47+W53</f>
        <v>1567.6304329758364</v>
      </c>
      <c r="X46" s="29">
        <f t="shared" si="111"/>
        <v>1667.8376226415453</v>
      </c>
      <c r="Y46" s="29">
        <f t="shared" si="111"/>
        <v>1643.4251579540717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807.8001113264296</v>
      </c>
      <c r="C47" s="152">
        <f t="shared" ref="C47:V47" si="113">SUM(C48:C52)</f>
        <v>828.55103005214505</v>
      </c>
      <c r="D47" s="152">
        <f t="shared" si="113"/>
        <v>818.66060795328292</v>
      </c>
      <c r="E47" s="152">
        <f t="shared" si="113"/>
        <v>770.35094796438239</v>
      </c>
      <c r="F47" s="152">
        <f t="shared" si="113"/>
        <v>741.72300714411506</v>
      </c>
      <c r="G47" s="152">
        <f t="shared" si="113"/>
        <v>686.99393116441911</v>
      </c>
      <c r="H47" s="152">
        <f t="shared" si="113"/>
        <v>665.42090013376617</v>
      </c>
      <c r="I47" s="152">
        <f t="shared" si="113"/>
        <v>630.91375505020358</v>
      </c>
      <c r="J47" s="152">
        <f t="shared" si="113"/>
        <v>634.58152349692352</v>
      </c>
      <c r="K47" s="152">
        <f t="shared" si="113"/>
        <v>612.46365066053147</v>
      </c>
      <c r="L47" s="152">
        <f t="shared" si="113"/>
        <v>603.70489509024833</v>
      </c>
      <c r="M47" s="152">
        <f t="shared" si="113"/>
        <v>630.21027246231426</v>
      </c>
      <c r="N47" s="152">
        <f t="shared" si="113"/>
        <v>656.24852522453375</v>
      </c>
      <c r="O47" s="152">
        <f t="shared" si="113"/>
        <v>706.54390094790529</v>
      </c>
      <c r="P47" s="152">
        <f t="shared" si="113"/>
        <v>741.81347254786613</v>
      </c>
      <c r="Q47" s="152">
        <f t="shared" si="113"/>
        <v>778.81586134428346</v>
      </c>
      <c r="R47" s="152">
        <f t="shared" si="113"/>
        <v>864.33986623814894</v>
      </c>
      <c r="S47" s="152">
        <f t="shared" si="113"/>
        <v>955.15460478192051</v>
      </c>
      <c r="T47" s="152">
        <f t="shared" si="113"/>
        <v>1070.0738274488656</v>
      </c>
      <c r="U47" s="152">
        <f t="shared" si="113"/>
        <v>1184.5222589387122</v>
      </c>
      <c r="V47" s="152">
        <f t="shared" si="113"/>
        <v>1218.9172469718389</v>
      </c>
      <c r="W47" s="152">
        <f t="shared" ref="W47:Y47" si="114">SUM(W48:W52)</f>
        <v>1298.0246795157616</v>
      </c>
      <c r="X47" s="152">
        <f t="shared" si="114"/>
        <v>1375.425877210831</v>
      </c>
      <c r="Y47" s="152">
        <f t="shared" si="114"/>
        <v>1386.190588765214</v>
      </c>
      <c r="DA47" s="174" t="s">
        <v>491</v>
      </c>
    </row>
    <row r="48" spans="1:105" ht="11.45" customHeight="1" x14ac:dyDescent="0.25">
      <c r="A48" s="111" t="s">
        <v>110</v>
      </c>
      <c r="B48" s="87">
        <v>201.8778845852369</v>
      </c>
      <c r="C48" s="87">
        <v>224.07319597159324</v>
      </c>
      <c r="D48" s="87">
        <v>218.358383527755</v>
      </c>
      <c r="E48" s="87">
        <v>200.88769134787731</v>
      </c>
      <c r="F48" s="87">
        <v>206.70751682135381</v>
      </c>
      <c r="G48" s="87">
        <v>183.70796068650458</v>
      </c>
      <c r="H48" s="87">
        <v>182.52995953466197</v>
      </c>
      <c r="I48" s="87">
        <v>154.96542425197617</v>
      </c>
      <c r="J48" s="87">
        <v>152.50362951033517</v>
      </c>
      <c r="K48" s="87">
        <v>137.99492752953239</v>
      </c>
      <c r="L48" s="87">
        <v>124.90428693911956</v>
      </c>
      <c r="M48" s="87">
        <v>131.90124098585903</v>
      </c>
      <c r="N48" s="87">
        <v>126.81317029040217</v>
      </c>
      <c r="O48" s="87">
        <v>115.33958189003806</v>
      </c>
      <c r="P48" s="87">
        <v>112.70805028461845</v>
      </c>
      <c r="Q48" s="87">
        <v>111.18790625382007</v>
      </c>
      <c r="R48" s="87">
        <v>107.40507014327834</v>
      </c>
      <c r="S48" s="87">
        <v>108.78584873277578</v>
      </c>
      <c r="T48" s="87">
        <v>123.84461936528488</v>
      </c>
      <c r="U48" s="87">
        <v>119.8251541806121</v>
      </c>
      <c r="V48" s="87">
        <v>108.68408300300685</v>
      </c>
      <c r="W48" s="87">
        <v>99.76164947935915</v>
      </c>
      <c r="X48" s="87">
        <v>91.115614299549549</v>
      </c>
      <c r="Y48" s="87">
        <v>80.323804251205118</v>
      </c>
      <c r="DA48" s="171" t="s">
        <v>492</v>
      </c>
    </row>
    <row r="49" spans="1:105" ht="11.45" customHeight="1" x14ac:dyDescent="0.25">
      <c r="A49" s="111" t="s">
        <v>111</v>
      </c>
      <c r="B49" s="87">
        <v>605.92222674119273</v>
      </c>
      <c r="C49" s="87">
        <v>604.47783408055182</v>
      </c>
      <c r="D49" s="87">
        <v>600.30222442552792</v>
      </c>
      <c r="E49" s="87">
        <v>569.46325661650508</v>
      </c>
      <c r="F49" s="87">
        <v>535.01549032276125</v>
      </c>
      <c r="G49" s="87">
        <v>503.28597047791453</v>
      </c>
      <c r="H49" s="87">
        <v>482.89094059910417</v>
      </c>
      <c r="I49" s="87">
        <v>475.93153354256157</v>
      </c>
      <c r="J49" s="87">
        <v>482.06108211612872</v>
      </c>
      <c r="K49" s="87">
        <v>474.45189492058552</v>
      </c>
      <c r="L49" s="87">
        <v>478.78376403136764</v>
      </c>
      <c r="M49" s="87">
        <v>498.29217265750475</v>
      </c>
      <c r="N49" s="87">
        <v>529.40070423526765</v>
      </c>
      <c r="O49" s="87">
        <v>590.69949423835214</v>
      </c>
      <c r="P49" s="87">
        <v>628.42484004558889</v>
      </c>
      <c r="Q49" s="87">
        <v>666.6961508132913</v>
      </c>
      <c r="R49" s="87">
        <v>755.88313164168937</v>
      </c>
      <c r="S49" s="87">
        <v>844.41288747558838</v>
      </c>
      <c r="T49" s="87">
        <v>943.73794361799412</v>
      </c>
      <c r="U49" s="87">
        <v>1061.646550362567</v>
      </c>
      <c r="V49" s="87">
        <v>1106.4543655835412</v>
      </c>
      <c r="W49" s="87">
        <v>1194.4370895092029</v>
      </c>
      <c r="X49" s="87">
        <v>1280.0604854031178</v>
      </c>
      <c r="Y49" s="87">
        <v>1301.3401318923668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7.5436838945467048E-3</v>
      </c>
      <c r="S50" s="87">
        <v>9.9526230608777203E-2</v>
      </c>
      <c r="T50" s="87">
        <v>0.12432008683231982</v>
      </c>
      <c r="U50" s="87">
        <v>0.16567530569020728</v>
      </c>
      <c r="V50" s="87">
        <v>0.15526058700443315</v>
      </c>
      <c r="W50" s="87">
        <v>0.15730707585368492</v>
      </c>
      <c r="X50" s="87">
        <v>0.15136543970263711</v>
      </c>
      <c r="Y50" s="87">
        <v>0.24749195318439338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9.3412232300977005E-3</v>
      </c>
      <c r="O51" s="87">
        <v>0.44572439911699246</v>
      </c>
      <c r="P51" s="87">
        <v>0.56228329589610992</v>
      </c>
      <c r="Q51" s="87">
        <v>0.79649687421282778</v>
      </c>
      <c r="R51" s="87">
        <v>0.79916740028106148</v>
      </c>
      <c r="S51" s="87">
        <v>1.6032415222257457</v>
      </c>
      <c r="T51" s="87">
        <v>2.105716158599654</v>
      </c>
      <c r="U51" s="87">
        <v>2.6239652354604339</v>
      </c>
      <c r="V51" s="87">
        <v>3.3469952753770529</v>
      </c>
      <c r="W51" s="87">
        <v>3.3911119996643428</v>
      </c>
      <c r="X51" s="87">
        <v>3.4347647486326438</v>
      </c>
      <c r="Y51" s="87">
        <v>3.0010793973284584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1.6797255665932705E-2</v>
      </c>
      <c r="J52" s="87">
        <v>1.6811870459619599E-2</v>
      </c>
      <c r="K52" s="87">
        <v>1.6828210413560019E-2</v>
      </c>
      <c r="L52" s="87">
        <v>1.6844119761140662E-2</v>
      </c>
      <c r="M52" s="87">
        <v>1.6858818950534388E-2</v>
      </c>
      <c r="N52" s="87">
        <v>2.5309475633913368E-2</v>
      </c>
      <c r="O52" s="87">
        <v>5.9100420398048102E-2</v>
      </c>
      <c r="P52" s="87">
        <v>0.11829892176267949</v>
      </c>
      <c r="Q52" s="87">
        <v>0.13530740295925534</v>
      </c>
      <c r="R52" s="87">
        <v>0.24495336900563314</v>
      </c>
      <c r="S52" s="87">
        <v>0.25310082072174189</v>
      </c>
      <c r="T52" s="87">
        <v>0.26122822015450992</v>
      </c>
      <c r="U52" s="87">
        <v>0.26091385438239612</v>
      </c>
      <c r="V52" s="87">
        <v>0.2765425229093158</v>
      </c>
      <c r="W52" s="87">
        <v>0.27752145168150777</v>
      </c>
      <c r="X52" s="87">
        <v>0.66364731982810277</v>
      </c>
      <c r="Y52" s="87">
        <v>1.278081271129117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142.14843266571802</v>
      </c>
      <c r="C53" s="116">
        <f t="shared" ref="C53:V53" si="116">SUM(C54:C55)</f>
        <v>125.00550081436683</v>
      </c>
      <c r="D53" s="116">
        <f t="shared" si="116"/>
        <v>157.37112052799733</v>
      </c>
      <c r="E53" s="116">
        <f t="shared" si="116"/>
        <v>228.0487911503682</v>
      </c>
      <c r="F53" s="116">
        <f t="shared" si="116"/>
        <v>250.80787357807071</v>
      </c>
      <c r="G53" s="116">
        <f t="shared" si="116"/>
        <v>256.80380859807076</v>
      </c>
      <c r="H53" s="116">
        <f t="shared" si="116"/>
        <v>273.17456520146902</v>
      </c>
      <c r="I53" s="116">
        <f t="shared" si="116"/>
        <v>295.38397579937532</v>
      </c>
      <c r="J53" s="116">
        <f t="shared" si="116"/>
        <v>295.51941987932184</v>
      </c>
      <c r="K53" s="116">
        <f t="shared" si="116"/>
        <v>218.63164068315575</v>
      </c>
      <c r="L53" s="116">
        <f t="shared" si="116"/>
        <v>205.20633510396326</v>
      </c>
      <c r="M53" s="116">
        <f t="shared" si="116"/>
        <v>231.1215457104916</v>
      </c>
      <c r="N53" s="116">
        <f t="shared" si="116"/>
        <v>227.27871548803571</v>
      </c>
      <c r="O53" s="116">
        <f t="shared" si="116"/>
        <v>243.70422345839143</v>
      </c>
      <c r="P53" s="116">
        <f t="shared" si="116"/>
        <v>231.88205087068539</v>
      </c>
      <c r="Q53" s="116">
        <f t="shared" si="116"/>
        <v>246.68461168942633</v>
      </c>
      <c r="R53" s="116">
        <f t="shared" si="116"/>
        <v>272.94734643178424</v>
      </c>
      <c r="S53" s="116">
        <f t="shared" si="116"/>
        <v>240.460667324903</v>
      </c>
      <c r="T53" s="116">
        <f t="shared" si="116"/>
        <v>250.87511366000058</v>
      </c>
      <c r="U53" s="116">
        <f t="shared" si="116"/>
        <v>240.17185353866554</v>
      </c>
      <c r="V53" s="116">
        <f t="shared" si="116"/>
        <v>228.62310571467503</v>
      </c>
      <c r="W53" s="116">
        <f t="shared" ref="W53:Y53" si="117">SUM(W54:W55)</f>
        <v>269.60575346007482</v>
      </c>
      <c r="X53" s="116">
        <f t="shared" si="117"/>
        <v>292.41174543071435</v>
      </c>
      <c r="Y53" s="116">
        <f t="shared" si="117"/>
        <v>257.23456918885768</v>
      </c>
      <c r="DA53" s="176" t="s">
        <v>497</v>
      </c>
    </row>
    <row r="54" spans="1:105" ht="11.45" customHeight="1" x14ac:dyDescent="0.25">
      <c r="A54" s="128" t="s">
        <v>27</v>
      </c>
      <c r="B54" s="101">
        <v>100.4783163265306</v>
      </c>
      <c r="C54" s="101">
        <v>80.33163265306122</v>
      </c>
      <c r="D54" s="101">
        <v>110.36989795918365</v>
      </c>
      <c r="E54" s="101">
        <v>180</v>
      </c>
      <c r="F54" s="101">
        <v>194</v>
      </c>
      <c r="G54" s="101">
        <v>198</v>
      </c>
      <c r="H54" s="101">
        <v>210</v>
      </c>
      <c r="I54" s="101">
        <v>225</v>
      </c>
      <c r="J54" s="101">
        <v>228</v>
      </c>
      <c r="K54" s="101">
        <v>164</v>
      </c>
      <c r="L54" s="101">
        <v>150</v>
      </c>
      <c r="M54" s="101">
        <v>166</v>
      </c>
      <c r="N54" s="101">
        <v>161</v>
      </c>
      <c r="O54" s="101">
        <v>166</v>
      </c>
      <c r="P54" s="101">
        <v>154</v>
      </c>
      <c r="Q54" s="101">
        <v>153</v>
      </c>
      <c r="R54" s="101">
        <v>178</v>
      </c>
      <c r="S54" s="101">
        <v>149</v>
      </c>
      <c r="T54" s="101">
        <v>157</v>
      </c>
      <c r="U54" s="101">
        <v>150</v>
      </c>
      <c r="V54" s="101">
        <v>122</v>
      </c>
      <c r="W54" s="101">
        <v>172</v>
      </c>
      <c r="X54" s="101">
        <v>176</v>
      </c>
      <c r="Y54" s="101">
        <v>151</v>
      </c>
      <c r="DA54" s="175" t="s">
        <v>498</v>
      </c>
    </row>
    <row r="55" spans="1:105" ht="11.45" customHeight="1" x14ac:dyDescent="0.25">
      <c r="A55" s="138" t="s">
        <v>116</v>
      </c>
      <c r="B55" s="88">
        <v>41.670116339187416</v>
      </c>
      <c r="C55" s="88">
        <v>44.673868161305613</v>
      </c>
      <c r="D55" s="88">
        <v>47.001222568813681</v>
      </c>
      <c r="E55" s="88">
        <v>48.04879115036821</v>
      </c>
      <c r="F55" s="88">
        <v>56.807873578070726</v>
      </c>
      <c r="G55" s="88">
        <v>58.803808598070781</v>
      </c>
      <c r="H55" s="88">
        <v>63.174565201468994</v>
      </c>
      <c r="I55" s="88">
        <v>70.383975799375349</v>
      </c>
      <c r="J55" s="88">
        <v>67.519419879321873</v>
      </c>
      <c r="K55" s="88">
        <v>54.631640683155759</v>
      </c>
      <c r="L55" s="88">
        <v>55.206335103963248</v>
      </c>
      <c r="M55" s="88">
        <v>65.121545710491617</v>
      </c>
      <c r="N55" s="88">
        <v>66.278715488035715</v>
      </c>
      <c r="O55" s="88">
        <v>77.704223458391411</v>
      </c>
      <c r="P55" s="88">
        <v>77.88205087068539</v>
      </c>
      <c r="Q55" s="88">
        <v>93.684611689426333</v>
      </c>
      <c r="R55" s="88">
        <v>94.947346431784226</v>
      </c>
      <c r="S55" s="88">
        <v>91.460667324902985</v>
      </c>
      <c r="T55" s="88">
        <v>93.875113660000594</v>
      </c>
      <c r="U55" s="88">
        <v>90.171853538665545</v>
      </c>
      <c r="V55" s="88">
        <v>106.62310571467505</v>
      </c>
      <c r="W55" s="88">
        <v>97.605753460074808</v>
      </c>
      <c r="X55" s="88">
        <v>116.41174543071435</v>
      </c>
      <c r="Y55" s="88">
        <v>106.23456918885771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485783</v>
      </c>
      <c r="C57" s="54">
        <f t="shared" si="118"/>
        <v>477251</v>
      </c>
      <c r="D57" s="54">
        <f t="shared" si="118"/>
        <v>471186</v>
      </c>
      <c r="E57" s="54">
        <f t="shared" si="118"/>
        <v>507680</v>
      </c>
      <c r="F57" s="54">
        <f t="shared" si="118"/>
        <v>543906</v>
      </c>
      <c r="G57" s="54">
        <f t="shared" si="118"/>
        <v>566494</v>
      </c>
      <c r="H57" s="54">
        <f t="shared" si="118"/>
        <v>579906</v>
      </c>
      <c r="I57" s="54">
        <f t="shared" si="118"/>
        <v>600686</v>
      </c>
      <c r="J57" s="54">
        <f t="shared" si="118"/>
        <v>634094</v>
      </c>
      <c r="K57" s="54">
        <f t="shared" si="118"/>
        <v>627025</v>
      </c>
      <c r="L57" s="54">
        <f t="shared" ref="L57" si="119">L58+L73</f>
        <v>635232</v>
      </c>
      <c r="M57" s="54">
        <f t="shared" ref="M57:V57" si="120">M58+M73</f>
        <v>663237</v>
      </c>
      <c r="N57" s="54">
        <f t="shared" si="120"/>
        <v>707362</v>
      </c>
      <c r="O57" s="54">
        <f t="shared" si="120"/>
        <v>741461</v>
      </c>
      <c r="P57" s="54">
        <f t="shared" si="120"/>
        <v>773961</v>
      </c>
      <c r="Q57" s="54">
        <f t="shared" si="120"/>
        <v>806210</v>
      </c>
      <c r="R57" s="54">
        <f t="shared" si="120"/>
        <v>842493</v>
      </c>
      <c r="S57" s="54">
        <f t="shared" si="120"/>
        <v>875227</v>
      </c>
      <c r="T57" s="54">
        <f t="shared" si="120"/>
        <v>905727</v>
      </c>
      <c r="U57" s="54">
        <f t="shared" si="120"/>
        <v>967755</v>
      </c>
      <c r="V57" s="54">
        <f t="shared" si="120"/>
        <v>988978</v>
      </c>
      <c r="W57" s="54">
        <f t="shared" ref="W57:Y57" si="121">W58+W73</f>
        <v>1013575</v>
      </c>
      <c r="X57" s="54">
        <f t="shared" si="121"/>
        <v>1045187</v>
      </c>
      <c r="Y57" s="54">
        <f t="shared" si="121"/>
        <v>1067967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425150</v>
      </c>
      <c r="C58" s="28">
        <f t="shared" si="122"/>
        <v>419862</v>
      </c>
      <c r="D58" s="28">
        <f t="shared" si="122"/>
        <v>413547</v>
      </c>
      <c r="E58" s="28">
        <f t="shared" si="122"/>
        <v>447604</v>
      </c>
      <c r="F58" s="28">
        <f t="shared" si="122"/>
        <v>485513</v>
      </c>
      <c r="G58" s="28">
        <f t="shared" si="122"/>
        <v>509355</v>
      </c>
      <c r="H58" s="28">
        <f t="shared" si="122"/>
        <v>522781</v>
      </c>
      <c r="I58" s="28">
        <f t="shared" si="122"/>
        <v>543249</v>
      </c>
      <c r="J58" s="28">
        <f t="shared" si="122"/>
        <v>573862</v>
      </c>
      <c r="K58" s="28">
        <f t="shared" si="122"/>
        <v>568436</v>
      </c>
      <c r="L58" s="28">
        <f t="shared" ref="L58" si="123">L59+L60+L67</f>
        <v>576661</v>
      </c>
      <c r="M58" s="28">
        <f t="shared" ref="M58:V58" si="124">M59+M60+M67</f>
        <v>601487</v>
      </c>
      <c r="N58" s="28">
        <f t="shared" si="124"/>
        <v>641796</v>
      </c>
      <c r="O58" s="28">
        <f t="shared" si="124"/>
        <v>671871</v>
      </c>
      <c r="P58" s="28">
        <f t="shared" si="124"/>
        <v>699976</v>
      </c>
      <c r="Q58" s="28">
        <f t="shared" si="124"/>
        <v>726970</v>
      </c>
      <c r="R58" s="28">
        <f t="shared" si="124"/>
        <v>756888</v>
      </c>
      <c r="S58" s="28">
        <f t="shared" si="124"/>
        <v>782712</v>
      </c>
      <c r="T58" s="28">
        <f t="shared" si="124"/>
        <v>806070</v>
      </c>
      <c r="U58" s="28">
        <f t="shared" si="124"/>
        <v>858014</v>
      </c>
      <c r="V58" s="28">
        <f t="shared" si="124"/>
        <v>874631</v>
      </c>
      <c r="W58" s="28">
        <f t="shared" ref="W58:Y58" si="125">W59+W60+W67</f>
        <v>894919</v>
      </c>
      <c r="X58" s="28">
        <f t="shared" si="125"/>
        <v>921871</v>
      </c>
      <c r="Y58" s="28">
        <f t="shared" si="125"/>
        <v>941251</v>
      </c>
      <c r="DA58" s="173" t="s">
        <v>501</v>
      </c>
    </row>
    <row r="59" spans="1:105" ht="11.45" customHeight="1" x14ac:dyDescent="0.25">
      <c r="A59" s="136" t="s">
        <v>173</v>
      </c>
      <c r="B59" s="137">
        <v>6700</v>
      </c>
      <c r="C59" s="137">
        <v>6800</v>
      </c>
      <c r="D59" s="137">
        <v>7300</v>
      </c>
      <c r="E59" s="137">
        <v>8100</v>
      </c>
      <c r="F59" s="137">
        <v>9100</v>
      </c>
      <c r="G59" s="137">
        <v>10234</v>
      </c>
      <c r="H59" s="137">
        <v>12594</v>
      </c>
      <c r="I59" s="137">
        <v>14780</v>
      </c>
      <c r="J59" s="137">
        <v>17622</v>
      </c>
      <c r="K59" s="137">
        <v>18600</v>
      </c>
      <c r="L59" s="137">
        <v>19700</v>
      </c>
      <c r="M59" s="137">
        <v>23217</v>
      </c>
      <c r="N59" s="137">
        <v>35273</v>
      </c>
      <c r="O59" s="137">
        <v>38700</v>
      </c>
      <c r="P59" s="137">
        <v>42300</v>
      </c>
      <c r="Q59" s="137">
        <v>45500</v>
      </c>
      <c r="R59" s="137">
        <v>48800</v>
      </c>
      <c r="S59" s="137">
        <v>51700</v>
      </c>
      <c r="T59" s="137">
        <v>54500</v>
      </c>
      <c r="U59" s="137">
        <v>57867</v>
      </c>
      <c r="V59" s="137">
        <v>60657</v>
      </c>
      <c r="W59" s="137">
        <v>63608</v>
      </c>
      <c r="X59" s="137">
        <v>67165</v>
      </c>
      <c r="Y59" s="137">
        <v>70254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412391</v>
      </c>
      <c r="C60" s="110">
        <f t="shared" si="126"/>
        <v>407300</v>
      </c>
      <c r="D60" s="110">
        <f t="shared" si="126"/>
        <v>400700</v>
      </c>
      <c r="E60" s="110">
        <f t="shared" si="126"/>
        <v>434000</v>
      </c>
      <c r="F60" s="110">
        <f t="shared" si="126"/>
        <v>471000</v>
      </c>
      <c r="G60" s="110">
        <f t="shared" si="126"/>
        <v>493700</v>
      </c>
      <c r="H60" s="110">
        <f t="shared" si="126"/>
        <v>504686</v>
      </c>
      <c r="I60" s="110">
        <f t="shared" si="126"/>
        <v>523800</v>
      </c>
      <c r="J60" s="110">
        <f t="shared" si="126"/>
        <v>551800</v>
      </c>
      <c r="K60" s="110">
        <f t="shared" si="126"/>
        <v>545600</v>
      </c>
      <c r="L60" s="110">
        <f t="shared" ref="L60" si="127">SUM(L61:L66)</f>
        <v>552680</v>
      </c>
      <c r="M60" s="110">
        <f t="shared" ref="M60:V60" si="128">SUM(M61:M66)</f>
        <v>574000</v>
      </c>
      <c r="N60" s="110">
        <f t="shared" si="128"/>
        <v>602100</v>
      </c>
      <c r="O60" s="110">
        <f t="shared" si="128"/>
        <v>628565</v>
      </c>
      <c r="P60" s="110">
        <f t="shared" si="128"/>
        <v>652950</v>
      </c>
      <c r="Q60" s="110">
        <f t="shared" si="128"/>
        <v>676596</v>
      </c>
      <c r="R60" s="110">
        <f t="shared" si="128"/>
        <v>703151</v>
      </c>
      <c r="S60" s="110">
        <f t="shared" si="128"/>
        <v>725944</v>
      </c>
      <c r="T60" s="110">
        <f t="shared" si="128"/>
        <v>746464</v>
      </c>
      <c r="U60" s="110">
        <f t="shared" si="128"/>
        <v>794926</v>
      </c>
      <c r="V60" s="110">
        <f t="shared" si="128"/>
        <v>808689</v>
      </c>
      <c r="W60" s="110">
        <f t="shared" ref="W60:Y60" si="129">SUM(W61:W66)</f>
        <v>825937</v>
      </c>
      <c r="X60" s="110">
        <f t="shared" si="129"/>
        <v>849296</v>
      </c>
      <c r="Y60" s="110">
        <f t="shared" si="129"/>
        <v>865775</v>
      </c>
      <c r="DA60" s="176" t="s">
        <v>503</v>
      </c>
    </row>
    <row r="61" spans="1:105" ht="11.45" customHeight="1" x14ac:dyDescent="0.25">
      <c r="A61" s="111" t="s">
        <v>110</v>
      </c>
      <c r="B61" s="84">
        <v>379547</v>
      </c>
      <c r="C61" s="84">
        <v>363526</v>
      </c>
      <c r="D61" s="84">
        <v>354487</v>
      </c>
      <c r="E61" s="84">
        <v>379778</v>
      </c>
      <c r="F61" s="84">
        <v>403236</v>
      </c>
      <c r="G61" s="84">
        <v>413971</v>
      </c>
      <c r="H61" s="84">
        <v>409751</v>
      </c>
      <c r="I61" s="84">
        <v>406614</v>
      </c>
      <c r="J61" s="84">
        <v>422297</v>
      </c>
      <c r="K61" s="84">
        <v>415834</v>
      </c>
      <c r="L61" s="84">
        <v>414234</v>
      </c>
      <c r="M61" s="84">
        <v>418388</v>
      </c>
      <c r="N61" s="84">
        <v>422219</v>
      </c>
      <c r="O61" s="84">
        <v>424062</v>
      </c>
      <c r="P61" s="84">
        <v>426330</v>
      </c>
      <c r="Q61" s="84">
        <v>431242</v>
      </c>
      <c r="R61" s="84">
        <v>439631</v>
      </c>
      <c r="S61" s="84">
        <v>445229</v>
      </c>
      <c r="T61" s="84">
        <v>447667</v>
      </c>
      <c r="U61" s="84">
        <v>468342</v>
      </c>
      <c r="V61" s="84">
        <v>466077</v>
      </c>
      <c r="W61" s="84">
        <v>465835</v>
      </c>
      <c r="X61" s="84">
        <v>472653</v>
      </c>
      <c r="Y61" s="84">
        <v>477198</v>
      </c>
      <c r="DA61" s="171" t="s">
        <v>504</v>
      </c>
    </row>
    <row r="62" spans="1:105" ht="11.45" customHeight="1" x14ac:dyDescent="0.25">
      <c r="A62" s="111" t="s">
        <v>111</v>
      </c>
      <c r="B62" s="84">
        <v>32244</v>
      </c>
      <c r="C62" s="84">
        <v>43144</v>
      </c>
      <c r="D62" s="84">
        <v>45521</v>
      </c>
      <c r="E62" s="84">
        <v>53399</v>
      </c>
      <c r="F62" s="84">
        <v>66873</v>
      </c>
      <c r="G62" s="84">
        <v>78623</v>
      </c>
      <c r="H62" s="84">
        <v>93468</v>
      </c>
      <c r="I62" s="84">
        <v>115919</v>
      </c>
      <c r="J62" s="84">
        <v>127935</v>
      </c>
      <c r="K62" s="84">
        <v>127979</v>
      </c>
      <c r="L62" s="84">
        <v>136656</v>
      </c>
      <c r="M62" s="84">
        <v>153401</v>
      </c>
      <c r="N62" s="84">
        <v>176313</v>
      </c>
      <c r="O62" s="84">
        <v>200257</v>
      </c>
      <c r="P62" s="84">
        <v>221229</v>
      </c>
      <c r="Q62" s="84">
        <v>239465</v>
      </c>
      <c r="R62" s="84">
        <v>256381</v>
      </c>
      <c r="S62" s="84">
        <v>272267</v>
      </c>
      <c r="T62" s="84">
        <v>288120</v>
      </c>
      <c r="U62" s="84">
        <v>308978</v>
      </c>
      <c r="V62" s="84">
        <v>318254</v>
      </c>
      <c r="W62" s="84">
        <v>330598</v>
      </c>
      <c r="X62" s="84">
        <v>347765</v>
      </c>
      <c r="Y62" s="84">
        <v>358719</v>
      </c>
      <c r="DA62" s="171" t="s">
        <v>505</v>
      </c>
    </row>
    <row r="63" spans="1:105" ht="11.45" customHeight="1" x14ac:dyDescent="0.25">
      <c r="A63" s="111" t="s">
        <v>112</v>
      </c>
      <c r="B63" s="84">
        <v>600</v>
      </c>
      <c r="C63" s="84">
        <v>630</v>
      </c>
      <c r="D63" s="84">
        <v>692</v>
      </c>
      <c r="E63" s="84">
        <v>823</v>
      </c>
      <c r="F63" s="84">
        <v>891</v>
      </c>
      <c r="G63" s="84">
        <v>1106</v>
      </c>
      <c r="H63" s="84">
        <v>1467</v>
      </c>
      <c r="I63" s="84">
        <v>1267</v>
      </c>
      <c r="J63" s="84">
        <v>1567</v>
      </c>
      <c r="K63" s="84">
        <v>1786</v>
      </c>
      <c r="L63" s="84">
        <v>1786</v>
      </c>
      <c r="M63" s="84">
        <v>2148</v>
      </c>
      <c r="N63" s="84">
        <v>2954</v>
      </c>
      <c r="O63" s="84">
        <v>3421</v>
      </c>
      <c r="P63" s="84">
        <v>4065</v>
      </c>
      <c r="Q63" s="84">
        <v>4365</v>
      </c>
      <c r="R63" s="84">
        <v>5079</v>
      </c>
      <c r="S63" s="84">
        <v>5947</v>
      </c>
      <c r="T63" s="84">
        <v>6938</v>
      </c>
      <c r="U63" s="84">
        <v>8341</v>
      </c>
      <c r="V63" s="84">
        <v>8965</v>
      </c>
      <c r="W63" s="84">
        <v>8965</v>
      </c>
      <c r="X63" s="84">
        <v>8965</v>
      </c>
      <c r="Y63" s="84">
        <v>7612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2</v>
      </c>
      <c r="M64" s="84">
        <v>7</v>
      </c>
      <c r="N64" s="84">
        <v>14</v>
      </c>
      <c r="O64" s="84">
        <v>117</v>
      </c>
      <c r="P64" s="84">
        <v>233</v>
      </c>
      <c r="Q64" s="84">
        <v>383</v>
      </c>
      <c r="R64" s="84">
        <v>873</v>
      </c>
      <c r="S64" s="84">
        <v>1267</v>
      </c>
      <c r="T64" s="84">
        <v>2352</v>
      </c>
      <c r="U64" s="84">
        <v>7644</v>
      </c>
      <c r="V64" s="84">
        <v>13346</v>
      </c>
      <c r="W64" s="84">
        <v>17439</v>
      </c>
      <c r="X64" s="84">
        <v>15554</v>
      </c>
      <c r="Y64" s="84">
        <v>15361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26</v>
      </c>
      <c r="Q65" s="84">
        <v>42</v>
      </c>
      <c r="R65" s="84">
        <v>57</v>
      </c>
      <c r="S65" s="84">
        <v>80</v>
      </c>
      <c r="T65" s="84">
        <v>129</v>
      </c>
      <c r="U65" s="84">
        <v>155</v>
      </c>
      <c r="V65" s="84">
        <v>278</v>
      </c>
      <c r="W65" s="84">
        <v>840</v>
      </c>
      <c r="X65" s="84">
        <v>1370</v>
      </c>
      <c r="Y65" s="84">
        <v>2462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</v>
      </c>
      <c r="K66" s="84">
        <v>1</v>
      </c>
      <c r="L66" s="84">
        <v>2</v>
      </c>
      <c r="M66" s="84">
        <v>56</v>
      </c>
      <c r="N66" s="84">
        <v>600</v>
      </c>
      <c r="O66" s="84">
        <v>708</v>
      </c>
      <c r="P66" s="84">
        <v>1067</v>
      </c>
      <c r="Q66" s="84">
        <v>1099</v>
      </c>
      <c r="R66" s="84">
        <v>1130</v>
      </c>
      <c r="S66" s="84">
        <v>1154</v>
      </c>
      <c r="T66" s="84">
        <v>1258</v>
      </c>
      <c r="U66" s="84">
        <v>1466</v>
      </c>
      <c r="V66" s="84">
        <v>1769</v>
      </c>
      <c r="W66" s="84">
        <v>2260</v>
      </c>
      <c r="X66" s="84">
        <v>2989</v>
      </c>
      <c r="Y66" s="84">
        <v>4423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6059</v>
      </c>
      <c r="C67" s="110">
        <f t="shared" si="130"/>
        <v>5762</v>
      </c>
      <c r="D67" s="110">
        <f t="shared" si="130"/>
        <v>5547</v>
      </c>
      <c r="E67" s="110">
        <f t="shared" si="130"/>
        <v>5504</v>
      </c>
      <c r="F67" s="110">
        <f t="shared" si="130"/>
        <v>5413</v>
      </c>
      <c r="G67" s="110">
        <f t="shared" si="130"/>
        <v>5421</v>
      </c>
      <c r="H67" s="110">
        <f t="shared" si="130"/>
        <v>5501</v>
      </c>
      <c r="I67" s="110">
        <f t="shared" si="130"/>
        <v>4669</v>
      </c>
      <c r="J67" s="110">
        <f t="shared" si="130"/>
        <v>4440</v>
      </c>
      <c r="K67" s="110">
        <f t="shared" si="130"/>
        <v>4236</v>
      </c>
      <c r="L67" s="110">
        <f t="shared" ref="L67" si="131">SUM(L68:L72)</f>
        <v>4281</v>
      </c>
      <c r="M67" s="110">
        <f t="shared" ref="M67:V67" si="132">SUM(M68:M72)</f>
        <v>4270</v>
      </c>
      <c r="N67" s="110">
        <f t="shared" si="132"/>
        <v>4423</v>
      </c>
      <c r="O67" s="110">
        <f t="shared" si="132"/>
        <v>4606</v>
      </c>
      <c r="P67" s="110">
        <f t="shared" si="132"/>
        <v>4726</v>
      </c>
      <c r="Q67" s="110">
        <f t="shared" si="132"/>
        <v>4874</v>
      </c>
      <c r="R67" s="110">
        <f t="shared" si="132"/>
        <v>4937</v>
      </c>
      <c r="S67" s="110">
        <f t="shared" si="132"/>
        <v>5068</v>
      </c>
      <c r="T67" s="110">
        <f t="shared" si="132"/>
        <v>5106</v>
      </c>
      <c r="U67" s="110">
        <f t="shared" si="132"/>
        <v>5221</v>
      </c>
      <c r="V67" s="110">
        <f t="shared" si="132"/>
        <v>5285</v>
      </c>
      <c r="W67" s="110">
        <f t="shared" ref="W67:Y67" si="133">SUM(W68:W72)</f>
        <v>5374</v>
      </c>
      <c r="X67" s="110">
        <f t="shared" si="133"/>
        <v>5410</v>
      </c>
      <c r="Y67" s="110">
        <f t="shared" si="133"/>
        <v>5222</v>
      </c>
      <c r="DA67" s="176" t="s">
        <v>510</v>
      </c>
    </row>
    <row r="68" spans="1:105" ht="11.45" customHeight="1" x14ac:dyDescent="0.25">
      <c r="A68" s="111" t="s">
        <v>110</v>
      </c>
      <c r="B68" s="102">
        <v>2583</v>
      </c>
      <c r="C68" s="102">
        <v>2259</v>
      </c>
      <c r="D68" s="102">
        <v>1939</v>
      </c>
      <c r="E68" s="102">
        <v>1630</v>
      </c>
      <c r="F68" s="102">
        <v>1450</v>
      </c>
      <c r="G68" s="102">
        <v>1141</v>
      </c>
      <c r="H68" s="102">
        <v>1141</v>
      </c>
      <c r="I68" s="102">
        <v>639</v>
      </c>
      <c r="J68" s="102">
        <v>470</v>
      </c>
      <c r="K68" s="102">
        <v>335</v>
      </c>
      <c r="L68" s="102">
        <v>269</v>
      </c>
      <c r="M68" s="102">
        <v>250</v>
      </c>
      <c r="N68" s="102">
        <v>240</v>
      </c>
      <c r="O68" s="102">
        <v>231</v>
      </c>
      <c r="P68" s="102">
        <v>225</v>
      </c>
      <c r="Q68" s="102">
        <v>217</v>
      </c>
      <c r="R68" s="102">
        <v>211</v>
      </c>
      <c r="S68" s="102">
        <v>212</v>
      </c>
      <c r="T68" s="102">
        <v>212</v>
      </c>
      <c r="U68" s="102">
        <v>219</v>
      </c>
      <c r="V68" s="102">
        <v>214</v>
      </c>
      <c r="W68" s="102">
        <v>213</v>
      </c>
      <c r="X68" s="102">
        <v>214</v>
      </c>
      <c r="Y68" s="102">
        <v>211</v>
      </c>
      <c r="DA68" s="175" t="s">
        <v>511</v>
      </c>
    </row>
    <row r="69" spans="1:105" ht="11.45" customHeight="1" x14ac:dyDescent="0.25">
      <c r="A69" s="111" t="s">
        <v>111</v>
      </c>
      <c r="B69" s="102">
        <v>3476</v>
      </c>
      <c r="C69" s="102">
        <v>3503</v>
      </c>
      <c r="D69" s="102">
        <v>3608</v>
      </c>
      <c r="E69" s="102">
        <v>3874</v>
      </c>
      <c r="F69" s="102">
        <v>3963</v>
      </c>
      <c r="G69" s="102">
        <v>4280</v>
      </c>
      <c r="H69" s="102">
        <v>4360</v>
      </c>
      <c r="I69" s="102">
        <v>4030</v>
      </c>
      <c r="J69" s="102">
        <v>3970</v>
      </c>
      <c r="K69" s="102">
        <v>3901</v>
      </c>
      <c r="L69" s="102">
        <v>3896</v>
      </c>
      <c r="M69" s="102">
        <v>3899</v>
      </c>
      <c r="N69" s="102">
        <v>4063</v>
      </c>
      <c r="O69" s="102">
        <v>4235</v>
      </c>
      <c r="P69" s="102">
        <v>4334</v>
      </c>
      <c r="Q69" s="102">
        <v>4454</v>
      </c>
      <c r="R69" s="102">
        <v>4486</v>
      </c>
      <c r="S69" s="102">
        <v>4561</v>
      </c>
      <c r="T69" s="102">
        <v>4601</v>
      </c>
      <c r="U69" s="102">
        <v>4731</v>
      </c>
      <c r="V69" s="102">
        <v>4704</v>
      </c>
      <c r="W69" s="102">
        <v>4651</v>
      </c>
      <c r="X69" s="102">
        <v>4433</v>
      </c>
      <c r="Y69" s="102">
        <v>4264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1</v>
      </c>
      <c r="V70" s="102">
        <v>1</v>
      </c>
      <c r="W70" s="102">
        <v>1</v>
      </c>
      <c r="X70" s="102">
        <v>1</v>
      </c>
      <c r="Y70" s="102">
        <v>1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2</v>
      </c>
      <c r="M71" s="102">
        <v>7</v>
      </c>
      <c r="N71" s="102">
        <v>8</v>
      </c>
      <c r="O71" s="102">
        <v>30</v>
      </c>
      <c r="P71" s="102">
        <v>60</v>
      </c>
      <c r="Q71" s="102">
        <v>100</v>
      </c>
      <c r="R71" s="102">
        <v>142</v>
      </c>
      <c r="S71" s="102">
        <v>202</v>
      </c>
      <c r="T71" s="102">
        <v>206</v>
      </c>
      <c r="U71" s="102">
        <v>191</v>
      </c>
      <c r="V71" s="102">
        <v>295</v>
      </c>
      <c r="W71" s="102">
        <v>436</v>
      </c>
      <c r="X71" s="102">
        <v>691</v>
      </c>
      <c r="Y71" s="102">
        <v>696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114</v>
      </c>
      <c r="M72" s="102">
        <v>114</v>
      </c>
      <c r="N72" s="102">
        <v>112</v>
      </c>
      <c r="O72" s="102">
        <v>110</v>
      </c>
      <c r="P72" s="102">
        <v>107</v>
      </c>
      <c r="Q72" s="102">
        <v>103</v>
      </c>
      <c r="R72" s="102">
        <v>98</v>
      </c>
      <c r="S72" s="102">
        <v>93</v>
      </c>
      <c r="T72" s="102">
        <v>86</v>
      </c>
      <c r="U72" s="102">
        <v>79</v>
      </c>
      <c r="V72" s="102">
        <v>71</v>
      </c>
      <c r="W72" s="102">
        <v>73</v>
      </c>
      <c r="X72" s="102">
        <v>71</v>
      </c>
      <c r="Y72" s="102">
        <v>50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60633</v>
      </c>
      <c r="C73" s="28">
        <f t="shared" si="134"/>
        <v>57389</v>
      </c>
      <c r="D73" s="28">
        <f t="shared" si="134"/>
        <v>57639</v>
      </c>
      <c r="E73" s="28">
        <f t="shared" si="134"/>
        <v>60076</v>
      </c>
      <c r="F73" s="28">
        <f t="shared" si="134"/>
        <v>58393</v>
      </c>
      <c r="G73" s="28">
        <f t="shared" si="134"/>
        <v>57139</v>
      </c>
      <c r="H73" s="28">
        <f t="shared" si="134"/>
        <v>57125</v>
      </c>
      <c r="I73" s="28">
        <f t="shared" si="134"/>
        <v>57437</v>
      </c>
      <c r="J73" s="28">
        <f t="shared" si="134"/>
        <v>60232</v>
      </c>
      <c r="K73" s="28">
        <f t="shared" si="134"/>
        <v>58589</v>
      </c>
      <c r="L73" s="28">
        <f t="shared" ref="L73" si="135">L74+L80</f>
        <v>58571</v>
      </c>
      <c r="M73" s="28">
        <f t="shared" ref="M73:V73" si="136">M74+M80</f>
        <v>61750</v>
      </c>
      <c r="N73" s="28">
        <f t="shared" si="136"/>
        <v>65566</v>
      </c>
      <c r="O73" s="28">
        <f t="shared" si="136"/>
        <v>69590</v>
      </c>
      <c r="P73" s="28">
        <f t="shared" si="136"/>
        <v>73985</v>
      </c>
      <c r="Q73" s="28">
        <f t="shared" si="136"/>
        <v>79240</v>
      </c>
      <c r="R73" s="28">
        <f t="shared" si="136"/>
        <v>85605</v>
      </c>
      <c r="S73" s="28">
        <f t="shared" si="136"/>
        <v>92515</v>
      </c>
      <c r="T73" s="28">
        <f t="shared" si="136"/>
        <v>99657</v>
      </c>
      <c r="U73" s="28">
        <f t="shared" si="136"/>
        <v>109741</v>
      </c>
      <c r="V73" s="28">
        <f t="shared" si="136"/>
        <v>114347</v>
      </c>
      <c r="W73" s="28">
        <f t="shared" ref="W73:Y73" si="137">W74+W80</f>
        <v>118656</v>
      </c>
      <c r="X73" s="28">
        <f t="shared" si="137"/>
        <v>123316</v>
      </c>
      <c r="Y73" s="28">
        <f t="shared" si="137"/>
        <v>126716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53598</v>
      </c>
      <c r="C74" s="137">
        <f t="shared" si="138"/>
        <v>52063</v>
      </c>
      <c r="D74" s="137">
        <f t="shared" si="138"/>
        <v>50346</v>
      </c>
      <c r="E74" s="137">
        <f t="shared" si="138"/>
        <v>48721</v>
      </c>
      <c r="F74" s="137">
        <f t="shared" si="138"/>
        <v>46847</v>
      </c>
      <c r="G74" s="137">
        <f t="shared" si="138"/>
        <v>45141</v>
      </c>
      <c r="H74" s="137">
        <f t="shared" si="138"/>
        <v>44036</v>
      </c>
      <c r="I74" s="137">
        <f t="shared" si="138"/>
        <v>43724</v>
      </c>
      <c r="J74" s="137">
        <f t="shared" si="138"/>
        <v>45882</v>
      </c>
      <c r="K74" s="137">
        <f t="shared" si="138"/>
        <v>46226</v>
      </c>
      <c r="L74" s="137">
        <f t="shared" ref="L74" si="139">SUM(L75:L79)</f>
        <v>47069</v>
      </c>
      <c r="M74" s="137">
        <f t="shared" ref="M74:V74" si="140">SUM(M75:M79)</f>
        <v>49341</v>
      </c>
      <c r="N74" s="137">
        <f t="shared" si="140"/>
        <v>52398</v>
      </c>
      <c r="O74" s="137">
        <f t="shared" si="140"/>
        <v>57420</v>
      </c>
      <c r="P74" s="137">
        <f t="shared" si="140"/>
        <v>61232</v>
      </c>
      <c r="Q74" s="137">
        <f t="shared" si="140"/>
        <v>65986</v>
      </c>
      <c r="R74" s="137">
        <f t="shared" si="140"/>
        <v>71435</v>
      </c>
      <c r="S74" s="137">
        <f t="shared" si="140"/>
        <v>77118</v>
      </c>
      <c r="T74" s="137">
        <f t="shared" si="140"/>
        <v>83313</v>
      </c>
      <c r="U74" s="137">
        <f t="shared" si="140"/>
        <v>90759</v>
      </c>
      <c r="V74" s="137">
        <f t="shared" si="140"/>
        <v>94746</v>
      </c>
      <c r="W74" s="137">
        <f t="shared" ref="W74:Y74" si="141">SUM(W75:W79)</f>
        <v>99088</v>
      </c>
      <c r="X74" s="137">
        <f t="shared" si="141"/>
        <v>103030</v>
      </c>
      <c r="Y74" s="137">
        <f t="shared" si="141"/>
        <v>106314</v>
      </c>
      <c r="DA74" s="174" t="s">
        <v>517</v>
      </c>
    </row>
    <row r="75" spans="1:105" ht="11.45" customHeight="1" x14ac:dyDescent="0.25">
      <c r="A75" s="111" t="s">
        <v>110</v>
      </c>
      <c r="B75" s="84">
        <v>14032</v>
      </c>
      <c r="C75" s="84">
        <v>13744</v>
      </c>
      <c r="D75" s="84">
        <v>13398</v>
      </c>
      <c r="E75" s="84">
        <v>12873</v>
      </c>
      <c r="F75" s="84">
        <v>12389</v>
      </c>
      <c r="G75" s="84">
        <v>11981</v>
      </c>
      <c r="H75" s="84">
        <v>11509</v>
      </c>
      <c r="I75" s="84">
        <v>10978</v>
      </c>
      <c r="J75" s="84">
        <v>12103</v>
      </c>
      <c r="K75" s="84">
        <v>12295</v>
      </c>
      <c r="L75" s="84">
        <v>12142</v>
      </c>
      <c r="M75" s="84">
        <v>12319</v>
      </c>
      <c r="N75" s="84">
        <v>12363</v>
      </c>
      <c r="O75" s="84">
        <v>11979</v>
      </c>
      <c r="P75" s="84">
        <v>12024</v>
      </c>
      <c r="Q75" s="84">
        <v>12341</v>
      </c>
      <c r="R75" s="84">
        <v>12697</v>
      </c>
      <c r="S75" s="84">
        <v>13022</v>
      </c>
      <c r="T75" s="84">
        <v>13401</v>
      </c>
      <c r="U75" s="84">
        <v>14047</v>
      </c>
      <c r="V75" s="84">
        <v>14243</v>
      </c>
      <c r="W75" s="84">
        <v>14194</v>
      </c>
      <c r="X75" s="84">
        <v>14079</v>
      </c>
      <c r="Y75" s="84">
        <v>14063</v>
      </c>
      <c r="DA75" s="171" t="s">
        <v>518</v>
      </c>
    </row>
    <row r="76" spans="1:105" ht="11.45" customHeight="1" x14ac:dyDescent="0.25">
      <c r="A76" s="111" t="s">
        <v>111</v>
      </c>
      <c r="B76" s="84">
        <v>39566</v>
      </c>
      <c r="C76" s="84">
        <v>38319</v>
      </c>
      <c r="D76" s="84">
        <v>36948</v>
      </c>
      <c r="E76" s="84">
        <v>35848</v>
      </c>
      <c r="F76" s="84">
        <v>34458</v>
      </c>
      <c r="G76" s="84">
        <v>33160</v>
      </c>
      <c r="H76" s="84">
        <v>32527</v>
      </c>
      <c r="I76" s="84">
        <v>32744</v>
      </c>
      <c r="J76" s="84">
        <v>33777</v>
      </c>
      <c r="K76" s="84">
        <v>33929</v>
      </c>
      <c r="L76" s="84">
        <v>34925</v>
      </c>
      <c r="M76" s="84">
        <v>37020</v>
      </c>
      <c r="N76" s="84">
        <v>40031</v>
      </c>
      <c r="O76" s="84">
        <v>45386</v>
      </c>
      <c r="P76" s="84">
        <v>49133</v>
      </c>
      <c r="Q76" s="84">
        <v>53542</v>
      </c>
      <c r="R76" s="84">
        <v>58622</v>
      </c>
      <c r="S76" s="84">
        <v>63883</v>
      </c>
      <c r="T76" s="84">
        <v>69645</v>
      </c>
      <c r="U76" s="84">
        <v>76390</v>
      </c>
      <c r="V76" s="84">
        <v>80100</v>
      </c>
      <c r="W76" s="84">
        <v>84491</v>
      </c>
      <c r="X76" s="84">
        <v>88503</v>
      </c>
      <c r="Y76" s="84">
        <v>91752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1</v>
      </c>
      <c r="S77" s="84">
        <v>13</v>
      </c>
      <c r="T77" s="84">
        <v>16</v>
      </c>
      <c r="U77" s="84">
        <v>21</v>
      </c>
      <c r="V77" s="84">
        <v>20</v>
      </c>
      <c r="W77" s="84">
        <v>20</v>
      </c>
      <c r="X77" s="84">
        <v>19</v>
      </c>
      <c r="Y77" s="84">
        <v>32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</v>
      </c>
      <c r="O78" s="84">
        <v>48</v>
      </c>
      <c r="P78" s="84">
        <v>61</v>
      </c>
      <c r="Q78" s="84">
        <v>87</v>
      </c>
      <c r="R78" s="84">
        <v>86</v>
      </c>
      <c r="S78" s="84">
        <v>170</v>
      </c>
      <c r="T78" s="84">
        <v>220</v>
      </c>
      <c r="U78" s="84">
        <v>270</v>
      </c>
      <c r="V78" s="84">
        <v>350</v>
      </c>
      <c r="W78" s="84">
        <v>350</v>
      </c>
      <c r="X78" s="84">
        <v>350</v>
      </c>
      <c r="Y78" s="84">
        <v>315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</v>
      </c>
      <c r="J79" s="84">
        <v>2</v>
      </c>
      <c r="K79" s="84">
        <v>2</v>
      </c>
      <c r="L79" s="84">
        <v>2</v>
      </c>
      <c r="M79" s="84">
        <v>2</v>
      </c>
      <c r="N79" s="84">
        <v>3</v>
      </c>
      <c r="O79" s="84">
        <v>7</v>
      </c>
      <c r="P79" s="84">
        <v>14</v>
      </c>
      <c r="Q79" s="84">
        <v>16</v>
      </c>
      <c r="R79" s="84">
        <v>29</v>
      </c>
      <c r="S79" s="84">
        <v>30</v>
      </c>
      <c r="T79" s="84">
        <v>31</v>
      </c>
      <c r="U79" s="84">
        <v>31</v>
      </c>
      <c r="V79" s="84">
        <v>33</v>
      </c>
      <c r="W79" s="84">
        <v>33</v>
      </c>
      <c r="X79" s="84">
        <v>79</v>
      </c>
      <c r="Y79" s="84">
        <v>152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7035</v>
      </c>
      <c r="C80" s="110">
        <f t="shared" si="142"/>
        <v>5326</v>
      </c>
      <c r="D80" s="110">
        <f t="shared" si="142"/>
        <v>7293</v>
      </c>
      <c r="E80" s="110">
        <f t="shared" si="142"/>
        <v>11355</v>
      </c>
      <c r="F80" s="110">
        <f t="shared" si="142"/>
        <v>11546</v>
      </c>
      <c r="G80" s="110">
        <f t="shared" si="142"/>
        <v>11998</v>
      </c>
      <c r="H80" s="110">
        <f t="shared" si="142"/>
        <v>13089</v>
      </c>
      <c r="I80" s="110">
        <f t="shared" si="142"/>
        <v>13713</v>
      </c>
      <c r="J80" s="110">
        <f t="shared" si="142"/>
        <v>14350</v>
      </c>
      <c r="K80" s="110">
        <f t="shared" si="142"/>
        <v>12363</v>
      </c>
      <c r="L80" s="110">
        <f t="shared" ref="L80" si="143">SUM(L81:L82)</f>
        <v>11502</v>
      </c>
      <c r="M80" s="110">
        <f t="shared" ref="M80:V80" si="144">SUM(M81:M82)</f>
        <v>12409</v>
      </c>
      <c r="N80" s="110">
        <f t="shared" si="144"/>
        <v>13168</v>
      </c>
      <c r="O80" s="110">
        <f t="shared" si="144"/>
        <v>12170</v>
      </c>
      <c r="P80" s="110">
        <f t="shared" si="144"/>
        <v>12753</v>
      </c>
      <c r="Q80" s="110">
        <f t="shared" si="144"/>
        <v>13254</v>
      </c>
      <c r="R80" s="110">
        <f t="shared" si="144"/>
        <v>14170</v>
      </c>
      <c r="S80" s="110">
        <f t="shared" si="144"/>
        <v>15397</v>
      </c>
      <c r="T80" s="110">
        <f t="shared" si="144"/>
        <v>16344</v>
      </c>
      <c r="U80" s="110">
        <f t="shared" si="144"/>
        <v>18982</v>
      </c>
      <c r="V80" s="110">
        <f t="shared" si="144"/>
        <v>19601</v>
      </c>
      <c r="W80" s="110">
        <f t="shared" ref="W80:Y80" si="145">SUM(W81:W82)</f>
        <v>19568</v>
      </c>
      <c r="X80" s="110">
        <f t="shared" si="145"/>
        <v>20286</v>
      </c>
      <c r="Y80" s="110">
        <f t="shared" si="145"/>
        <v>20402</v>
      </c>
      <c r="DA80" s="176" t="s">
        <v>523</v>
      </c>
    </row>
    <row r="81" spans="1:105" ht="11.45" customHeight="1" x14ac:dyDescent="0.25">
      <c r="A81" s="128" t="s">
        <v>27</v>
      </c>
      <c r="B81" s="102">
        <v>6545</v>
      </c>
      <c r="C81" s="102">
        <v>4800</v>
      </c>
      <c r="D81" s="102">
        <v>6740</v>
      </c>
      <c r="E81" s="102">
        <v>10790</v>
      </c>
      <c r="F81" s="102">
        <v>10878</v>
      </c>
      <c r="G81" s="102">
        <v>11306</v>
      </c>
      <c r="H81" s="102">
        <v>12346</v>
      </c>
      <c r="I81" s="102">
        <v>12885</v>
      </c>
      <c r="J81" s="102">
        <v>13556</v>
      </c>
      <c r="K81" s="102">
        <v>11720</v>
      </c>
      <c r="L81" s="102">
        <v>10853</v>
      </c>
      <c r="M81" s="102">
        <v>11643</v>
      </c>
      <c r="N81" s="102">
        <v>12388</v>
      </c>
      <c r="O81" s="102">
        <v>11256</v>
      </c>
      <c r="P81" s="102">
        <v>11837</v>
      </c>
      <c r="Q81" s="102">
        <v>12152</v>
      </c>
      <c r="R81" s="102">
        <v>13053</v>
      </c>
      <c r="S81" s="102">
        <v>14321</v>
      </c>
      <c r="T81" s="102">
        <v>15240</v>
      </c>
      <c r="U81" s="102">
        <v>17921</v>
      </c>
      <c r="V81" s="102">
        <v>18347</v>
      </c>
      <c r="W81" s="102">
        <v>18420</v>
      </c>
      <c r="X81" s="102">
        <v>18916</v>
      </c>
      <c r="Y81" s="102">
        <v>19152</v>
      </c>
      <c r="DA81" s="175" t="s">
        <v>524</v>
      </c>
    </row>
    <row r="82" spans="1:105" ht="11.45" customHeight="1" x14ac:dyDescent="0.25">
      <c r="A82" s="138" t="s">
        <v>116</v>
      </c>
      <c r="B82" s="86">
        <v>490</v>
      </c>
      <c r="C82" s="86">
        <v>526</v>
      </c>
      <c r="D82" s="86">
        <v>553</v>
      </c>
      <c r="E82" s="86">
        <v>565</v>
      </c>
      <c r="F82" s="86">
        <v>668</v>
      </c>
      <c r="G82" s="86">
        <v>692</v>
      </c>
      <c r="H82" s="86">
        <v>743</v>
      </c>
      <c r="I82" s="86">
        <v>828</v>
      </c>
      <c r="J82" s="86">
        <v>794</v>
      </c>
      <c r="K82" s="86">
        <v>643</v>
      </c>
      <c r="L82" s="86">
        <v>649</v>
      </c>
      <c r="M82" s="86">
        <v>766</v>
      </c>
      <c r="N82" s="86">
        <v>780</v>
      </c>
      <c r="O82" s="86">
        <v>914</v>
      </c>
      <c r="P82" s="86">
        <v>916</v>
      </c>
      <c r="Q82" s="86">
        <v>1102</v>
      </c>
      <c r="R82" s="86">
        <v>1117</v>
      </c>
      <c r="S82" s="86">
        <v>1076</v>
      </c>
      <c r="T82" s="86">
        <v>1104</v>
      </c>
      <c r="U82" s="86">
        <v>1061</v>
      </c>
      <c r="V82" s="86">
        <v>1254</v>
      </c>
      <c r="W82" s="86">
        <v>1148</v>
      </c>
      <c r="X82" s="86">
        <v>1370</v>
      </c>
      <c r="Y82" s="86">
        <v>1250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485783</v>
      </c>
      <c r="C84" s="54">
        <f t="shared" si="146"/>
        <v>477251</v>
      </c>
      <c r="D84" s="54">
        <f t="shared" ref="D84:V84" si="147">D85+D100</f>
        <v>471186</v>
      </c>
      <c r="E84" s="54">
        <f t="shared" si="147"/>
        <v>507680</v>
      </c>
      <c r="F84" s="54">
        <f t="shared" si="147"/>
        <v>543906</v>
      </c>
      <c r="G84" s="54">
        <f t="shared" si="147"/>
        <v>566494</v>
      </c>
      <c r="H84" s="54">
        <f t="shared" si="147"/>
        <v>579906</v>
      </c>
      <c r="I84" s="54">
        <f t="shared" si="147"/>
        <v>600686</v>
      </c>
      <c r="J84" s="54">
        <f t="shared" si="147"/>
        <v>634094</v>
      </c>
      <c r="K84" s="54">
        <f t="shared" si="147"/>
        <v>627025</v>
      </c>
      <c r="L84" s="54">
        <f t="shared" si="147"/>
        <v>635232</v>
      </c>
      <c r="M84" s="54">
        <f t="shared" si="147"/>
        <v>663237</v>
      </c>
      <c r="N84" s="54">
        <f t="shared" si="147"/>
        <v>707362</v>
      </c>
      <c r="O84" s="54">
        <f t="shared" si="147"/>
        <v>741461</v>
      </c>
      <c r="P84" s="54">
        <f t="shared" si="147"/>
        <v>773961</v>
      </c>
      <c r="Q84" s="54">
        <f t="shared" si="147"/>
        <v>806210</v>
      </c>
      <c r="R84" s="54">
        <f t="shared" si="147"/>
        <v>842493</v>
      </c>
      <c r="S84" s="54">
        <f t="shared" si="147"/>
        <v>875227</v>
      </c>
      <c r="T84" s="54">
        <f t="shared" si="147"/>
        <v>905727</v>
      </c>
      <c r="U84" s="54">
        <f t="shared" si="147"/>
        <v>967755</v>
      </c>
      <c r="V84" s="54">
        <f t="shared" si="147"/>
        <v>988978</v>
      </c>
      <c r="W84" s="54">
        <f t="shared" ref="W84:Y84" si="148">W85+W100</f>
        <v>1013575</v>
      </c>
      <c r="X84" s="54">
        <f t="shared" si="148"/>
        <v>1045187</v>
      </c>
      <c r="Y84" s="54">
        <f t="shared" si="148"/>
        <v>1067967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425150</v>
      </c>
      <c r="C85" s="28">
        <f t="shared" si="149"/>
        <v>419862</v>
      </c>
      <c r="D85" s="28">
        <f t="shared" ref="D85:V85" si="150">D86+D87+D94</f>
        <v>413547</v>
      </c>
      <c r="E85" s="28">
        <f t="shared" si="150"/>
        <v>447604</v>
      </c>
      <c r="F85" s="28">
        <f t="shared" si="150"/>
        <v>485513</v>
      </c>
      <c r="G85" s="28">
        <f t="shared" si="150"/>
        <v>509355</v>
      </c>
      <c r="H85" s="28">
        <f t="shared" si="150"/>
        <v>522781</v>
      </c>
      <c r="I85" s="28">
        <f t="shared" si="150"/>
        <v>543249</v>
      </c>
      <c r="J85" s="28">
        <f t="shared" si="150"/>
        <v>573862</v>
      </c>
      <c r="K85" s="28">
        <f t="shared" si="150"/>
        <v>568436</v>
      </c>
      <c r="L85" s="28">
        <f t="shared" si="150"/>
        <v>576661</v>
      </c>
      <c r="M85" s="28">
        <f t="shared" si="150"/>
        <v>601487</v>
      </c>
      <c r="N85" s="28">
        <f t="shared" si="150"/>
        <v>641796</v>
      </c>
      <c r="O85" s="28">
        <f t="shared" si="150"/>
        <v>671871</v>
      </c>
      <c r="P85" s="28">
        <f t="shared" si="150"/>
        <v>699976</v>
      </c>
      <c r="Q85" s="28">
        <f t="shared" si="150"/>
        <v>726970</v>
      </c>
      <c r="R85" s="28">
        <f t="shared" si="150"/>
        <v>756888</v>
      </c>
      <c r="S85" s="28">
        <f t="shared" si="150"/>
        <v>782712</v>
      </c>
      <c r="T85" s="28">
        <f t="shared" si="150"/>
        <v>806070</v>
      </c>
      <c r="U85" s="28">
        <f t="shared" si="150"/>
        <v>858014</v>
      </c>
      <c r="V85" s="28">
        <f t="shared" si="150"/>
        <v>874631</v>
      </c>
      <c r="W85" s="28">
        <f t="shared" ref="W85:Y85" si="151">W86+W87+W94</f>
        <v>894919</v>
      </c>
      <c r="X85" s="28">
        <f t="shared" si="151"/>
        <v>921871</v>
      </c>
      <c r="Y85" s="28">
        <f t="shared" si="151"/>
        <v>941251</v>
      </c>
      <c r="DA85" s="173"/>
    </row>
    <row r="86" spans="1:105" ht="11.45" hidden="1" customHeight="1" x14ac:dyDescent="0.25">
      <c r="A86" s="136" t="s">
        <v>173</v>
      </c>
      <c r="B86" s="137">
        <v>6700</v>
      </c>
      <c r="C86" s="137">
        <v>6800</v>
      </c>
      <c r="D86" s="137">
        <v>7300</v>
      </c>
      <c r="E86" s="137">
        <v>8100</v>
      </c>
      <c r="F86" s="137">
        <v>9100</v>
      </c>
      <c r="G86" s="137">
        <v>10234</v>
      </c>
      <c r="H86" s="137">
        <v>12594</v>
      </c>
      <c r="I86" s="137">
        <v>14780</v>
      </c>
      <c r="J86" s="137">
        <v>17622</v>
      </c>
      <c r="K86" s="137">
        <v>18600</v>
      </c>
      <c r="L86" s="137">
        <v>19700</v>
      </c>
      <c r="M86" s="137">
        <v>23217</v>
      </c>
      <c r="N86" s="137">
        <v>35273</v>
      </c>
      <c r="O86" s="137">
        <v>38700</v>
      </c>
      <c r="P86" s="137">
        <v>42300</v>
      </c>
      <c r="Q86" s="137">
        <v>45500</v>
      </c>
      <c r="R86" s="137">
        <v>48800</v>
      </c>
      <c r="S86" s="137">
        <v>51700</v>
      </c>
      <c r="T86" s="137">
        <v>54500</v>
      </c>
      <c r="U86" s="137">
        <v>57867</v>
      </c>
      <c r="V86" s="137">
        <v>60657</v>
      </c>
      <c r="W86" s="137">
        <v>63608</v>
      </c>
      <c r="X86" s="137">
        <v>67165</v>
      </c>
      <c r="Y86" s="137">
        <v>70254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412391</v>
      </c>
      <c r="C87" s="110">
        <f t="shared" si="152"/>
        <v>407300</v>
      </c>
      <c r="D87" s="110">
        <f t="shared" ref="D87:V87" si="153">SUM(D88:D93)</f>
        <v>400700</v>
      </c>
      <c r="E87" s="110">
        <f t="shared" si="153"/>
        <v>434000</v>
      </c>
      <c r="F87" s="110">
        <f t="shared" si="153"/>
        <v>471000</v>
      </c>
      <c r="G87" s="110">
        <f t="shared" si="153"/>
        <v>493700</v>
      </c>
      <c r="H87" s="110">
        <f t="shared" si="153"/>
        <v>504686</v>
      </c>
      <c r="I87" s="110">
        <f t="shared" si="153"/>
        <v>523800</v>
      </c>
      <c r="J87" s="110">
        <f t="shared" si="153"/>
        <v>551800</v>
      </c>
      <c r="K87" s="110">
        <f t="shared" si="153"/>
        <v>545600</v>
      </c>
      <c r="L87" s="110">
        <f t="shared" si="153"/>
        <v>552680</v>
      </c>
      <c r="M87" s="110">
        <f t="shared" si="153"/>
        <v>574000</v>
      </c>
      <c r="N87" s="110">
        <f t="shared" si="153"/>
        <v>602100</v>
      </c>
      <c r="O87" s="110">
        <f t="shared" si="153"/>
        <v>628565</v>
      </c>
      <c r="P87" s="110">
        <f t="shared" si="153"/>
        <v>652950</v>
      </c>
      <c r="Q87" s="110">
        <f t="shared" si="153"/>
        <v>676596</v>
      </c>
      <c r="R87" s="110">
        <f t="shared" si="153"/>
        <v>703151</v>
      </c>
      <c r="S87" s="110">
        <f t="shared" si="153"/>
        <v>725944</v>
      </c>
      <c r="T87" s="110">
        <f t="shared" si="153"/>
        <v>746464</v>
      </c>
      <c r="U87" s="110">
        <f t="shared" si="153"/>
        <v>794926</v>
      </c>
      <c r="V87" s="110">
        <f t="shared" si="153"/>
        <v>808689</v>
      </c>
      <c r="W87" s="110">
        <f t="shared" ref="W87:Y87" si="154">SUM(W88:W93)</f>
        <v>825937</v>
      </c>
      <c r="X87" s="110">
        <f t="shared" si="154"/>
        <v>849296</v>
      </c>
      <c r="Y87" s="110">
        <f t="shared" si="154"/>
        <v>865775</v>
      </c>
      <c r="DA87" s="176"/>
    </row>
    <row r="88" spans="1:105" ht="11.45" hidden="1" customHeight="1" x14ac:dyDescent="0.25">
      <c r="A88" s="111" t="s">
        <v>110</v>
      </c>
      <c r="B88" s="84">
        <v>379547</v>
      </c>
      <c r="C88" s="84">
        <v>363526</v>
      </c>
      <c r="D88" s="84">
        <v>354487</v>
      </c>
      <c r="E88" s="84">
        <v>379778</v>
      </c>
      <c r="F88" s="84">
        <v>403236</v>
      </c>
      <c r="G88" s="84">
        <v>413971</v>
      </c>
      <c r="H88" s="84">
        <v>409751</v>
      </c>
      <c r="I88" s="84">
        <v>406614</v>
      </c>
      <c r="J88" s="84">
        <v>422297</v>
      </c>
      <c r="K88" s="84">
        <v>415834</v>
      </c>
      <c r="L88" s="84">
        <v>414234</v>
      </c>
      <c r="M88" s="84">
        <v>418388</v>
      </c>
      <c r="N88" s="84">
        <v>422219</v>
      </c>
      <c r="O88" s="84">
        <v>424062</v>
      </c>
      <c r="P88" s="84">
        <v>426330</v>
      </c>
      <c r="Q88" s="84">
        <v>431242</v>
      </c>
      <c r="R88" s="84">
        <v>439631</v>
      </c>
      <c r="S88" s="84">
        <v>445229</v>
      </c>
      <c r="T88" s="84">
        <v>447667</v>
      </c>
      <c r="U88" s="84">
        <v>468342</v>
      </c>
      <c r="V88" s="84">
        <v>466077</v>
      </c>
      <c r="W88" s="84">
        <v>465835</v>
      </c>
      <c r="X88" s="84">
        <v>472653</v>
      </c>
      <c r="Y88" s="84">
        <v>477198</v>
      </c>
      <c r="DA88" s="171"/>
    </row>
    <row r="89" spans="1:105" ht="11.45" hidden="1" customHeight="1" x14ac:dyDescent="0.25">
      <c r="A89" s="111" t="s">
        <v>111</v>
      </c>
      <c r="B89" s="84">
        <v>32244</v>
      </c>
      <c r="C89" s="84">
        <v>43144</v>
      </c>
      <c r="D89" s="84">
        <v>45521</v>
      </c>
      <c r="E89" s="84">
        <v>53399</v>
      </c>
      <c r="F89" s="84">
        <v>66873</v>
      </c>
      <c r="G89" s="84">
        <v>78623</v>
      </c>
      <c r="H89" s="84">
        <v>93468</v>
      </c>
      <c r="I89" s="84">
        <v>115919</v>
      </c>
      <c r="J89" s="84">
        <v>127935</v>
      </c>
      <c r="K89" s="84">
        <v>127979</v>
      </c>
      <c r="L89" s="84">
        <v>136656</v>
      </c>
      <c r="M89" s="84">
        <v>153401</v>
      </c>
      <c r="N89" s="84">
        <v>176313</v>
      </c>
      <c r="O89" s="84">
        <v>200257</v>
      </c>
      <c r="P89" s="84">
        <v>221229</v>
      </c>
      <c r="Q89" s="84">
        <v>239465</v>
      </c>
      <c r="R89" s="84">
        <v>256381</v>
      </c>
      <c r="S89" s="84">
        <v>272267</v>
      </c>
      <c r="T89" s="84">
        <v>288120</v>
      </c>
      <c r="U89" s="84">
        <v>308978</v>
      </c>
      <c r="V89" s="84">
        <v>318254</v>
      </c>
      <c r="W89" s="84">
        <v>330598</v>
      </c>
      <c r="X89" s="84">
        <v>347765</v>
      </c>
      <c r="Y89" s="84">
        <v>358719</v>
      </c>
      <c r="DA89" s="171"/>
    </row>
    <row r="90" spans="1:105" ht="11.45" hidden="1" customHeight="1" x14ac:dyDescent="0.25">
      <c r="A90" s="111" t="s">
        <v>112</v>
      </c>
      <c r="B90" s="84">
        <v>600</v>
      </c>
      <c r="C90" s="84">
        <v>630</v>
      </c>
      <c r="D90" s="84">
        <v>692</v>
      </c>
      <c r="E90" s="84">
        <v>823</v>
      </c>
      <c r="F90" s="84">
        <v>891</v>
      </c>
      <c r="G90" s="84">
        <v>1106</v>
      </c>
      <c r="H90" s="84">
        <v>1467</v>
      </c>
      <c r="I90" s="84">
        <v>1267</v>
      </c>
      <c r="J90" s="84">
        <v>1567</v>
      </c>
      <c r="K90" s="84">
        <v>1786</v>
      </c>
      <c r="L90" s="84">
        <v>1786</v>
      </c>
      <c r="M90" s="84">
        <v>2148</v>
      </c>
      <c r="N90" s="84">
        <v>2954</v>
      </c>
      <c r="O90" s="84">
        <v>3421</v>
      </c>
      <c r="P90" s="84">
        <v>4065</v>
      </c>
      <c r="Q90" s="84">
        <v>4365</v>
      </c>
      <c r="R90" s="84">
        <v>5079</v>
      </c>
      <c r="S90" s="84">
        <v>5947</v>
      </c>
      <c r="T90" s="84">
        <v>6938</v>
      </c>
      <c r="U90" s="84">
        <v>8341</v>
      </c>
      <c r="V90" s="84">
        <v>8965</v>
      </c>
      <c r="W90" s="84">
        <v>8965</v>
      </c>
      <c r="X90" s="84">
        <v>8965</v>
      </c>
      <c r="Y90" s="84">
        <v>7612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2</v>
      </c>
      <c r="M91" s="84">
        <v>7</v>
      </c>
      <c r="N91" s="84">
        <v>14</v>
      </c>
      <c r="O91" s="84">
        <v>117</v>
      </c>
      <c r="P91" s="84">
        <v>233</v>
      </c>
      <c r="Q91" s="84">
        <v>383</v>
      </c>
      <c r="R91" s="84">
        <v>873</v>
      </c>
      <c r="S91" s="84">
        <v>1267</v>
      </c>
      <c r="T91" s="84">
        <v>2352</v>
      </c>
      <c r="U91" s="84">
        <v>7644</v>
      </c>
      <c r="V91" s="84">
        <v>13346</v>
      </c>
      <c r="W91" s="84">
        <v>17439</v>
      </c>
      <c r="X91" s="84">
        <v>15554</v>
      </c>
      <c r="Y91" s="84">
        <v>15361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26</v>
      </c>
      <c r="Q92" s="84">
        <v>42</v>
      </c>
      <c r="R92" s="84">
        <v>57</v>
      </c>
      <c r="S92" s="84">
        <v>80</v>
      </c>
      <c r="T92" s="84">
        <v>129</v>
      </c>
      <c r="U92" s="84">
        <v>155</v>
      </c>
      <c r="V92" s="84">
        <v>278</v>
      </c>
      <c r="W92" s="84">
        <v>840</v>
      </c>
      <c r="X92" s="84">
        <v>1370</v>
      </c>
      <c r="Y92" s="84">
        <v>2462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</v>
      </c>
      <c r="K93" s="84">
        <v>1</v>
      </c>
      <c r="L93" s="84">
        <v>2</v>
      </c>
      <c r="M93" s="84">
        <v>56</v>
      </c>
      <c r="N93" s="84">
        <v>600</v>
      </c>
      <c r="O93" s="84">
        <v>708</v>
      </c>
      <c r="P93" s="84">
        <v>1067</v>
      </c>
      <c r="Q93" s="84">
        <v>1099</v>
      </c>
      <c r="R93" s="84">
        <v>1130</v>
      </c>
      <c r="S93" s="84">
        <v>1154</v>
      </c>
      <c r="T93" s="84">
        <v>1258</v>
      </c>
      <c r="U93" s="84">
        <v>1466</v>
      </c>
      <c r="V93" s="84">
        <v>1769</v>
      </c>
      <c r="W93" s="84">
        <v>2260</v>
      </c>
      <c r="X93" s="84">
        <v>2989</v>
      </c>
      <c r="Y93" s="84">
        <v>4423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6059</v>
      </c>
      <c r="C94" s="110">
        <f t="shared" si="155"/>
        <v>5762</v>
      </c>
      <c r="D94" s="110">
        <f t="shared" ref="D94:V94" si="156">SUM(D95:D99)</f>
        <v>5547</v>
      </c>
      <c r="E94" s="110">
        <f t="shared" si="156"/>
        <v>5504</v>
      </c>
      <c r="F94" s="110">
        <f t="shared" si="156"/>
        <v>5413</v>
      </c>
      <c r="G94" s="110">
        <f t="shared" si="156"/>
        <v>5421</v>
      </c>
      <c r="H94" s="110">
        <f t="shared" si="156"/>
        <v>5501</v>
      </c>
      <c r="I94" s="110">
        <f t="shared" si="156"/>
        <v>4669</v>
      </c>
      <c r="J94" s="110">
        <f t="shared" si="156"/>
        <v>4440</v>
      </c>
      <c r="K94" s="110">
        <f t="shared" si="156"/>
        <v>4236</v>
      </c>
      <c r="L94" s="110">
        <f t="shared" si="156"/>
        <v>4281</v>
      </c>
      <c r="M94" s="110">
        <f t="shared" si="156"/>
        <v>4270</v>
      </c>
      <c r="N94" s="110">
        <f t="shared" si="156"/>
        <v>4423</v>
      </c>
      <c r="O94" s="110">
        <f t="shared" si="156"/>
        <v>4606</v>
      </c>
      <c r="P94" s="110">
        <f t="shared" si="156"/>
        <v>4726</v>
      </c>
      <c r="Q94" s="110">
        <f t="shared" si="156"/>
        <v>4874</v>
      </c>
      <c r="R94" s="110">
        <f t="shared" si="156"/>
        <v>4937</v>
      </c>
      <c r="S94" s="110">
        <f t="shared" si="156"/>
        <v>5068</v>
      </c>
      <c r="T94" s="110">
        <f t="shared" si="156"/>
        <v>5106</v>
      </c>
      <c r="U94" s="110">
        <f t="shared" si="156"/>
        <v>5221</v>
      </c>
      <c r="V94" s="110">
        <f t="shared" si="156"/>
        <v>5285</v>
      </c>
      <c r="W94" s="110">
        <f t="shared" ref="W94:Y94" si="157">SUM(W95:W99)</f>
        <v>5374</v>
      </c>
      <c r="X94" s="110">
        <f t="shared" si="157"/>
        <v>5410</v>
      </c>
      <c r="Y94" s="110">
        <f t="shared" si="157"/>
        <v>5222</v>
      </c>
      <c r="DA94" s="176"/>
    </row>
    <row r="95" spans="1:105" ht="11.45" hidden="1" customHeight="1" x14ac:dyDescent="0.25">
      <c r="A95" s="111" t="s">
        <v>110</v>
      </c>
      <c r="B95" s="102">
        <v>2583</v>
      </c>
      <c r="C95" s="102">
        <v>2259</v>
      </c>
      <c r="D95" s="102">
        <v>1939</v>
      </c>
      <c r="E95" s="102">
        <v>1630</v>
      </c>
      <c r="F95" s="102">
        <v>1450</v>
      </c>
      <c r="G95" s="102">
        <v>1141</v>
      </c>
      <c r="H95" s="102">
        <v>1141</v>
      </c>
      <c r="I95" s="102">
        <v>639</v>
      </c>
      <c r="J95" s="102">
        <v>470</v>
      </c>
      <c r="K95" s="102">
        <v>335</v>
      </c>
      <c r="L95" s="102">
        <v>269</v>
      </c>
      <c r="M95" s="102">
        <v>250</v>
      </c>
      <c r="N95" s="102">
        <v>240</v>
      </c>
      <c r="O95" s="102">
        <v>231</v>
      </c>
      <c r="P95" s="102">
        <v>225</v>
      </c>
      <c r="Q95" s="102">
        <v>217</v>
      </c>
      <c r="R95" s="102">
        <v>211</v>
      </c>
      <c r="S95" s="102">
        <v>212</v>
      </c>
      <c r="T95" s="102">
        <v>212</v>
      </c>
      <c r="U95" s="102">
        <v>219</v>
      </c>
      <c r="V95" s="102">
        <v>214</v>
      </c>
      <c r="W95" s="102">
        <v>213</v>
      </c>
      <c r="X95" s="102">
        <v>214</v>
      </c>
      <c r="Y95" s="102">
        <v>211</v>
      </c>
      <c r="DA95" s="175"/>
    </row>
    <row r="96" spans="1:105" ht="11.45" hidden="1" customHeight="1" x14ac:dyDescent="0.25">
      <c r="A96" s="111" t="s">
        <v>111</v>
      </c>
      <c r="B96" s="102">
        <v>3476</v>
      </c>
      <c r="C96" s="102">
        <v>3503</v>
      </c>
      <c r="D96" s="102">
        <v>3608</v>
      </c>
      <c r="E96" s="102">
        <v>3874</v>
      </c>
      <c r="F96" s="102">
        <v>3963</v>
      </c>
      <c r="G96" s="102">
        <v>4280</v>
      </c>
      <c r="H96" s="102">
        <v>4360</v>
      </c>
      <c r="I96" s="102">
        <v>4030</v>
      </c>
      <c r="J96" s="102">
        <v>3970</v>
      </c>
      <c r="K96" s="102">
        <v>3901</v>
      </c>
      <c r="L96" s="102">
        <v>3896</v>
      </c>
      <c r="M96" s="102">
        <v>3899</v>
      </c>
      <c r="N96" s="102">
        <v>4063</v>
      </c>
      <c r="O96" s="102">
        <v>4235</v>
      </c>
      <c r="P96" s="102">
        <v>4334</v>
      </c>
      <c r="Q96" s="102">
        <v>4454</v>
      </c>
      <c r="R96" s="102">
        <v>4486</v>
      </c>
      <c r="S96" s="102">
        <v>4561</v>
      </c>
      <c r="T96" s="102">
        <v>4601</v>
      </c>
      <c r="U96" s="102">
        <v>4731</v>
      </c>
      <c r="V96" s="102">
        <v>4704</v>
      </c>
      <c r="W96" s="102">
        <v>4651</v>
      </c>
      <c r="X96" s="102">
        <v>4433</v>
      </c>
      <c r="Y96" s="102">
        <v>4264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1</v>
      </c>
      <c r="U97" s="102">
        <v>1</v>
      </c>
      <c r="V97" s="102">
        <v>1</v>
      </c>
      <c r="W97" s="102">
        <v>1</v>
      </c>
      <c r="X97" s="102">
        <v>1</v>
      </c>
      <c r="Y97" s="102">
        <v>1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2</v>
      </c>
      <c r="M98" s="102">
        <v>7</v>
      </c>
      <c r="N98" s="102">
        <v>8</v>
      </c>
      <c r="O98" s="102">
        <v>30</v>
      </c>
      <c r="P98" s="102">
        <v>60</v>
      </c>
      <c r="Q98" s="102">
        <v>100</v>
      </c>
      <c r="R98" s="102">
        <v>142</v>
      </c>
      <c r="S98" s="102">
        <v>202</v>
      </c>
      <c r="T98" s="102">
        <v>206</v>
      </c>
      <c r="U98" s="102">
        <v>191</v>
      </c>
      <c r="V98" s="102">
        <v>295</v>
      </c>
      <c r="W98" s="102">
        <v>436</v>
      </c>
      <c r="X98" s="102">
        <v>691</v>
      </c>
      <c r="Y98" s="102">
        <v>696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114</v>
      </c>
      <c r="M99" s="102">
        <v>114</v>
      </c>
      <c r="N99" s="102">
        <v>112</v>
      </c>
      <c r="O99" s="102">
        <v>110</v>
      </c>
      <c r="P99" s="102">
        <v>107</v>
      </c>
      <c r="Q99" s="102">
        <v>103</v>
      </c>
      <c r="R99" s="102">
        <v>98</v>
      </c>
      <c r="S99" s="102">
        <v>93</v>
      </c>
      <c r="T99" s="102">
        <v>86</v>
      </c>
      <c r="U99" s="102">
        <v>79</v>
      </c>
      <c r="V99" s="102">
        <v>71</v>
      </c>
      <c r="W99" s="102">
        <v>73</v>
      </c>
      <c r="X99" s="102">
        <v>71</v>
      </c>
      <c r="Y99" s="102">
        <v>50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60633</v>
      </c>
      <c r="C100" s="28">
        <f t="shared" si="158"/>
        <v>57389</v>
      </c>
      <c r="D100" s="28">
        <f t="shared" ref="D100:V100" si="159">D101+D107</f>
        <v>57639</v>
      </c>
      <c r="E100" s="28">
        <f t="shared" si="159"/>
        <v>60076</v>
      </c>
      <c r="F100" s="28">
        <f t="shared" si="159"/>
        <v>58393</v>
      </c>
      <c r="G100" s="28">
        <f t="shared" si="159"/>
        <v>57139</v>
      </c>
      <c r="H100" s="28">
        <f t="shared" si="159"/>
        <v>57125</v>
      </c>
      <c r="I100" s="28">
        <f t="shared" si="159"/>
        <v>57437</v>
      </c>
      <c r="J100" s="28">
        <f t="shared" si="159"/>
        <v>60232</v>
      </c>
      <c r="K100" s="28">
        <f t="shared" si="159"/>
        <v>58589</v>
      </c>
      <c r="L100" s="28">
        <f t="shared" si="159"/>
        <v>58571</v>
      </c>
      <c r="M100" s="28">
        <f t="shared" si="159"/>
        <v>61750</v>
      </c>
      <c r="N100" s="28">
        <f t="shared" si="159"/>
        <v>65566</v>
      </c>
      <c r="O100" s="28">
        <f t="shared" si="159"/>
        <v>69590</v>
      </c>
      <c r="P100" s="28">
        <f t="shared" si="159"/>
        <v>73985</v>
      </c>
      <c r="Q100" s="28">
        <f t="shared" si="159"/>
        <v>79240</v>
      </c>
      <c r="R100" s="28">
        <f t="shared" si="159"/>
        <v>85605</v>
      </c>
      <c r="S100" s="28">
        <f t="shared" si="159"/>
        <v>92515</v>
      </c>
      <c r="T100" s="28">
        <f t="shared" si="159"/>
        <v>99657</v>
      </c>
      <c r="U100" s="28">
        <f t="shared" si="159"/>
        <v>109741</v>
      </c>
      <c r="V100" s="28">
        <f t="shared" si="159"/>
        <v>114347</v>
      </c>
      <c r="W100" s="28">
        <f t="shared" ref="W100:Y100" si="160">W101+W107</f>
        <v>118656</v>
      </c>
      <c r="X100" s="28">
        <f t="shared" si="160"/>
        <v>123316</v>
      </c>
      <c r="Y100" s="28">
        <f t="shared" si="160"/>
        <v>126716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53598</v>
      </c>
      <c r="C101" s="137">
        <f t="shared" si="161"/>
        <v>52063</v>
      </c>
      <c r="D101" s="137">
        <f t="shared" ref="D101:V101" si="162">SUM(D102:D106)</f>
        <v>50346</v>
      </c>
      <c r="E101" s="137">
        <f t="shared" si="162"/>
        <v>48721</v>
      </c>
      <c r="F101" s="137">
        <f t="shared" si="162"/>
        <v>46847</v>
      </c>
      <c r="G101" s="137">
        <f t="shared" si="162"/>
        <v>45141</v>
      </c>
      <c r="H101" s="137">
        <f t="shared" si="162"/>
        <v>44036</v>
      </c>
      <c r="I101" s="137">
        <f t="shared" si="162"/>
        <v>43724</v>
      </c>
      <c r="J101" s="137">
        <f t="shared" si="162"/>
        <v>45882</v>
      </c>
      <c r="K101" s="137">
        <f t="shared" si="162"/>
        <v>46226</v>
      </c>
      <c r="L101" s="137">
        <f t="shared" si="162"/>
        <v>47069</v>
      </c>
      <c r="M101" s="137">
        <f t="shared" si="162"/>
        <v>49341</v>
      </c>
      <c r="N101" s="137">
        <f t="shared" si="162"/>
        <v>52398</v>
      </c>
      <c r="O101" s="137">
        <f t="shared" si="162"/>
        <v>57420</v>
      </c>
      <c r="P101" s="137">
        <f t="shared" si="162"/>
        <v>61232</v>
      </c>
      <c r="Q101" s="137">
        <f t="shared" si="162"/>
        <v>65986</v>
      </c>
      <c r="R101" s="137">
        <f t="shared" si="162"/>
        <v>71435</v>
      </c>
      <c r="S101" s="137">
        <f t="shared" si="162"/>
        <v>77118</v>
      </c>
      <c r="T101" s="137">
        <f t="shared" si="162"/>
        <v>83313</v>
      </c>
      <c r="U101" s="137">
        <f t="shared" si="162"/>
        <v>90759</v>
      </c>
      <c r="V101" s="137">
        <f t="shared" si="162"/>
        <v>94746</v>
      </c>
      <c r="W101" s="137">
        <f t="shared" ref="W101:Y101" si="163">SUM(W102:W106)</f>
        <v>99088</v>
      </c>
      <c r="X101" s="137">
        <f t="shared" si="163"/>
        <v>103030</v>
      </c>
      <c r="Y101" s="137">
        <f t="shared" si="163"/>
        <v>106314</v>
      </c>
      <c r="DA101" s="174"/>
    </row>
    <row r="102" spans="1:105" ht="11.45" hidden="1" customHeight="1" x14ac:dyDescent="0.25">
      <c r="A102" s="111" t="s">
        <v>110</v>
      </c>
      <c r="B102" s="84">
        <v>14032</v>
      </c>
      <c r="C102" s="84">
        <v>13744</v>
      </c>
      <c r="D102" s="84">
        <v>13398</v>
      </c>
      <c r="E102" s="84">
        <v>12873</v>
      </c>
      <c r="F102" s="84">
        <v>12389</v>
      </c>
      <c r="G102" s="84">
        <v>11981</v>
      </c>
      <c r="H102" s="84">
        <v>11509</v>
      </c>
      <c r="I102" s="84">
        <v>10978</v>
      </c>
      <c r="J102" s="84">
        <v>12103</v>
      </c>
      <c r="K102" s="84">
        <v>12295</v>
      </c>
      <c r="L102" s="84">
        <v>12142</v>
      </c>
      <c r="M102" s="84">
        <v>12319</v>
      </c>
      <c r="N102" s="84">
        <v>12363</v>
      </c>
      <c r="O102" s="84">
        <v>11979</v>
      </c>
      <c r="P102" s="84">
        <v>12024</v>
      </c>
      <c r="Q102" s="84">
        <v>12341</v>
      </c>
      <c r="R102" s="84">
        <v>12697</v>
      </c>
      <c r="S102" s="84">
        <v>13022</v>
      </c>
      <c r="T102" s="84">
        <v>13401</v>
      </c>
      <c r="U102" s="84">
        <v>14047</v>
      </c>
      <c r="V102" s="84">
        <v>14243</v>
      </c>
      <c r="W102" s="84">
        <v>14194</v>
      </c>
      <c r="X102" s="84">
        <v>14079</v>
      </c>
      <c r="Y102" s="84">
        <v>14063</v>
      </c>
      <c r="DA102" s="171"/>
    </row>
    <row r="103" spans="1:105" ht="11.45" hidden="1" customHeight="1" x14ac:dyDescent="0.25">
      <c r="A103" s="111" t="s">
        <v>111</v>
      </c>
      <c r="B103" s="84">
        <v>39566</v>
      </c>
      <c r="C103" s="84">
        <v>38319</v>
      </c>
      <c r="D103" s="84">
        <v>36948</v>
      </c>
      <c r="E103" s="84">
        <v>35848</v>
      </c>
      <c r="F103" s="84">
        <v>34458</v>
      </c>
      <c r="G103" s="84">
        <v>33160</v>
      </c>
      <c r="H103" s="84">
        <v>32527</v>
      </c>
      <c r="I103" s="84">
        <v>32744</v>
      </c>
      <c r="J103" s="84">
        <v>33777</v>
      </c>
      <c r="K103" s="84">
        <v>33929</v>
      </c>
      <c r="L103" s="84">
        <v>34925</v>
      </c>
      <c r="M103" s="84">
        <v>37020</v>
      </c>
      <c r="N103" s="84">
        <v>40031</v>
      </c>
      <c r="O103" s="84">
        <v>45386</v>
      </c>
      <c r="P103" s="84">
        <v>49133</v>
      </c>
      <c r="Q103" s="84">
        <v>53542</v>
      </c>
      <c r="R103" s="84">
        <v>58622</v>
      </c>
      <c r="S103" s="84">
        <v>63883</v>
      </c>
      <c r="T103" s="84">
        <v>69645</v>
      </c>
      <c r="U103" s="84">
        <v>76390</v>
      </c>
      <c r="V103" s="84">
        <v>80100</v>
      </c>
      <c r="W103" s="84">
        <v>84491</v>
      </c>
      <c r="X103" s="84">
        <v>88503</v>
      </c>
      <c r="Y103" s="84">
        <v>91752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1</v>
      </c>
      <c r="S104" s="84">
        <v>13</v>
      </c>
      <c r="T104" s="84">
        <v>16</v>
      </c>
      <c r="U104" s="84">
        <v>21</v>
      </c>
      <c r="V104" s="84">
        <v>20</v>
      </c>
      <c r="W104" s="84">
        <v>20</v>
      </c>
      <c r="X104" s="84">
        <v>19</v>
      </c>
      <c r="Y104" s="84">
        <v>32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1</v>
      </c>
      <c r="O105" s="84">
        <v>48</v>
      </c>
      <c r="P105" s="84">
        <v>61</v>
      </c>
      <c r="Q105" s="84">
        <v>87</v>
      </c>
      <c r="R105" s="84">
        <v>86</v>
      </c>
      <c r="S105" s="84">
        <v>170</v>
      </c>
      <c r="T105" s="84">
        <v>220</v>
      </c>
      <c r="U105" s="84">
        <v>270</v>
      </c>
      <c r="V105" s="84">
        <v>350</v>
      </c>
      <c r="W105" s="84">
        <v>350</v>
      </c>
      <c r="X105" s="84">
        <v>350</v>
      </c>
      <c r="Y105" s="84">
        <v>315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2</v>
      </c>
      <c r="J106" s="84">
        <v>2</v>
      </c>
      <c r="K106" s="84">
        <v>2</v>
      </c>
      <c r="L106" s="84">
        <v>2</v>
      </c>
      <c r="M106" s="84">
        <v>2</v>
      </c>
      <c r="N106" s="84">
        <v>3</v>
      </c>
      <c r="O106" s="84">
        <v>7</v>
      </c>
      <c r="P106" s="84">
        <v>14</v>
      </c>
      <c r="Q106" s="84">
        <v>16</v>
      </c>
      <c r="R106" s="84">
        <v>29</v>
      </c>
      <c r="S106" s="84">
        <v>30</v>
      </c>
      <c r="T106" s="84">
        <v>31</v>
      </c>
      <c r="U106" s="84">
        <v>31</v>
      </c>
      <c r="V106" s="84">
        <v>33</v>
      </c>
      <c r="W106" s="84">
        <v>33</v>
      </c>
      <c r="X106" s="84">
        <v>79</v>
      </c>
      <c r="Y106" s="84">
        <v>152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7035</v>
      </c>
      <c r="C107" s="110">
        <f t="shared" si="164"/>
        <v>5326</v>
      </c>
      <c r="D107" s="110">
        <f t="shared" ref="D107:V107" si="165">SUM(D108:D109)</f>
        <v>7293</v>
      </c>
      <c r="E107" s="110">
        <f t="shared" si="165"/>
        <v>11355</v>
      </c>
      <c r="F107" s="110">
        <f t="shared" si="165"/>
        <v>11546</v>
      </c>
      <c r="G107" s="110">
        <f t="shared" si="165"/>
        <v>11998</v>
      </c>
      <c r="H107" s="110">
        <f t="shared" si="165"/>
        <v>13089</v>
      </c>
      <c r="I107" s="110">
        <f t="shared" si="165"/>
        <v>13713</v>
      </c>
      <c r="J107" s="110">
        <f t="shared" si="165"/>
        <v>14350</v>
      </c>
      <c r="K107" s="110">
        <f t="shared" si="165"/>
        <v>12363</v>
      </c>
      <c r="L107" s="110">
        <f t="shared" si="165"/>
        <v>11502</v>
      </c>
      <c r="M107" s="110">
        <f t="shared" si="165"/>
        <v>12409</v>
      </c>
      <c r="N107" s="110">
        <f t="shared" si="165"/>
        <v>13168</v>
      </c>
      <c r="O107" s="110">
        <f t="shared" si="165"/>
        <v>12170</v>
      </c>
      <c r="P107" s="110">
        <f t="shared" si="165"/>
        <v>12753</v>
      </c>
      <c r="Q107" s="110">
        <f t="shared" si="165"/>
        <v>13254</v>
      </c>
      <c r="R107" s="110">
        <f t="shared" si="165"/>
        <v>14170</v>
      </c>
      <c r="S107" s="110">
        <f t="shared" si="165"/>
        <v>15397</v>
      </c>
      <c r="T107" s="110">
        <f t="shared" si="165"/>
        <v>16344</v>
      </c>
      <c r="U107" s="110">
        <f t="shared" si="165"/>
        <v>18982</v>
      </c>
      <c r="V107" s="110">
        <f t="shared" si="165"/>
        <v>19601</v>
      </c>
      <c r="W107" s="110">
        <f t="shared" ref="W107:Y107" si="166">SUM(W108:W109)</f>
        <v>19568</v>
      </c>
      <c r="X107" s="110">
        <f t="shared" si="166"/>
        <v>20286</v>
      </c>
      <c r="Y107" s="110">
        <f t="shared" si="166"/>
        <v>20402</v>
      </c>
      <c r="DA107" s="176"/>
    </row>
    <row r="108" spans="1:105" ht="11.45" hidden="1" customHeight="1" x14ac:dyDescent="0.25">
      <c r="A108" s="128" t="s">
        <v>27</v>
      </c>
      <c r="B108" s="102">
        <v>6545</v>
      </c>
      <c r="C108" s="102">
        <v>4800</v>
      </c>
      <c r="D108" s="102">
        <v>6740</v>
      </c>
      <c r="E108" s="102">
        <v>10790</v>
      </c>
      <c r="F108" s="102">
        <v>10878</v>
      </c>
      <c r="G108" s="102">
        <v>11306</v>
      </c>
      <c r="H108" s="102">
        <v>12346</v>
      </c>
      <c r="I108" s="102">
        <v>12885</v>
      </c>
      <c r="J108" s="102">
        <v>13556</v>
      </c>
      <c r="K108" s="102">
        <v>11720</v>
      </c>
      <c r="L108" s="102">
        <v>10853</v>
      </c>
      <c r="M108" s="102">
        <v>11643</v>
      </c>
      <c r="N108" s="102">
        <v>12388</v>
      </c>
      <c r="O108" s="102">
        <v>11256</v>
      </c>
      <c r="P108" s="102">
        <v>11837</v>
      </c>
      <c r="Q108" s="102">
        <v>12152</v>
      </c>
      <c r="R108" s="102">
        <v>13053</v>
      </c>
      <c r="S108" s="102">
        <v>14321</v>
      </c>
      <c r="T108" s="102">
        <v>15240</v>
      </c>
      <c r="U108" s="102">
        <v>17921</v>
      </c>
      <c r="V108" s="102">
        <v>18347</v>
      </c>
      <c r="W108" s="102">
        <v>18420</v>
      </c>
      <c r="X108" s="102">
        <v>18916</v>
      </c>
      <c r="Y108" s="102">
        <v>19152</v>
      </c>
      <c r="DA108" s="175"/>
    </row>
    <row r="109" spans="1:105" ht="11.45" hidden="1" customHeight="1" x14ac:dyDescent="0.25">
      <c r="A109" s="138" t="s">
        <v>116</v>
      </c>
      <c r="B109" s="86">
        <v>490</v>
      </c>
      <c r="C109" s="86">
        <v>526</v>
      </c>
      <c r="D109" s="86">
        <v>553</v>
      </c>
      <c r="E109" s="86">
        <v>565</v>
      </c>
      <c r="F109" s="86">
        <v>668</v>
      </c>
      <c r="G109" s="86">
        <v>692</v>
      </c>
      <c r="H109" s="86">
        <v>743</v>
      </c>
      <c r="I109" s="86">
        <v>828</v>
      </c>
      <c r="J109" s="86">
        <v>794</v>
      </c>
      <c r="K109" s="86">
        <v>643</v>
      </c>
      <c r="L109" s="86">
        <v>649</v>
      </c>
      <c r="M109" s="86">
        <v>766</v>
      </c>
      <c r="N109" s="86">
        <v>780</v>
      </c>
      <c r="O109" s="86">
        <v>914</v>
      </c>
      <c r="P109" s="86">
        <v>916</v>
      </c>
      <c r="Q109" s="86">
        <v>1102</v>
      </c>
      <c r="R109" s="86">
        <v>1117</v>
      </c>
      <c r="S109" s="86">
        <v>1076</v>
      </c>
      <c r="T109" s="86">
        <v>1104</v>
      </c>
      <c r="U109" s="86">
        <v>1061</v>
      </c>
      <c r="V109" s="86">
        <v>1254</v>
      </c>
      <c r="W109" s="86">
        <v>1148</v>
      </c>
      <c r="X109" s="86">
        <v>1370</v>
      </c>
      <c r="Y109" s="86">
        <v>1250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27741</v>
      </c>
      <c r="C111" s="54">
        <f t="shared" si="167"/>
        <v>37936</v>
      </c>
      <c r="D111" s="54">
        <f t="shared" si="167"/>
        <v>33684</v>
      </c>
      <c r="E111" s="54">
        <f t="shared" si="167"/>
        <v>55661</v>
      </c>
      <c r="F111" s="54">
        <f t="shared" si="167"/>
        <v>58167</v>
      </c>
      <c r="G111" s="54">
        <f t="shared" si="167"/>
        <v>55249</v>
      </c>
      <c r="H111" s="54">
        <f t="shared" si="167"/>
        <v>60680</v>
      </c>
      <c r="I111" s="54">
        <f t="shared" si="167"/>
        <v>71035</v>
      </c>
      <c r="J111" s="54">
        <f t="shared" si="167"/>
        <v>59142</v>
      </c>
      <c r="K111" s="54">
        <f t="shared" si="167"/>
        <v>34905</v>
      </c>
      <c r="L111" s="54">
        <f t="shared" ref="L111" si="168">L112+L127</f>
        <v>41139</v>
      </c>
      <c r="M111" s="54">
        <f t="shared" ref="M111:V111" si="169">M112+M127</f>
        <v>59095</v>
      </c>
      <c r="N111" s="54">
        <f t="shared" si="169"/>
        <v>77521</v>
      </c>
      <c r="O111" s="54">
        <f t="shared" si="169"/>
        <v>72564</v>
      </c>
      <c r="P111" s="54">
        <f t="shared" si="169"/>
        <v>71197</v>
      </c>
      <c r="Q111" s="54">
        <f t="shared" si="169"/>
        <v>69928</v>
      </c>
      <c r="R111" s="54">
        <f t="shared" si="169"/>
        <v>74313</v>
      </c>
      <c r="S111" s="54">
        <f t="shared" si="169"/>
        <v>77008</v>
      </c>
      <c r="T111" s="54">
        <f t="shared" si="169"/>
        <v>79612</v>
      </c>
      <c r="U111" s="54">
        <f t="shared" si="169"/>
        <v>96015</v>
      </c>
      <c r="V111" s="54">
        <f t="shared" si="169"/>
        <v>73126</v>
      </c>
      <c r="W111" s="54">
        <f t="shared" ref="W111:Y111" si="170">W112+W127</f>
        <v>83954</v>
      </c>
      <c r="X111" s="54">
        <f t="shared" si="170"/>
        <v>87164</v>
      </c>
      <c r="Y111" s="54">
        <f t="shared" si="170"/>
        <v>87508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26124</v>
      </c>
      <c r="C112" s="28">
        <f t="shared" si="171"/>
        <v>36108</v>
      </c>
      <c r="D112" s="28">
        <f t="shared" si="171"/>
        <v>29949</v>
      </c>
      <c r="E112" s="28">
        <f t="shared" si="171"/>
        <v>49373</v>
      </c>
      <c r="F112" s="28">
        <f t="shared" si="171"/>
        <v>54342</v>
      </c>
      <c r="G112" s="28">
        <f t="shared" si="171"/>
        <v>51661</v>
      </c>
      <c r="H112" s="28">
        <f t="shared" si="171"/>
        <v>55718</v>
      </c>
      <c r="I112" s="28">
        <f t="shared" si="171"/>
        <v>65039</v>
      </c>
      <c r="J112" s="28">
        <f t="shared" si="171"/>
        <v>52567</v>
      </c>
      <c r="K112" s="28">
        <f t="shared" si="171"/>
        <v>29771</v>
      </c>
      <c r="L112" s="28">
        <f t="shared" ref="L112" si="172">L113+L114+L121</f>
        <v>35851</v>
      </c>
      <c r="M112" s="28">
        <f t="shared" ref="M112:V112" si="173">M113+M114+M121</f>
        <v>52000</v>
      </c>
      <c r="N112" s="28">
        <f t="shared" si="173"/>
        <v>69871</v>
      </c>
      <c r="O112" s="28">
        <f t="shared" si="173"/>
        <v>63765</v>
      </c>
      <c r="P112" s="28">
        <f t="shared" si="173"/>
        <v>62080</v>
      </c>
      <c r="Q112" s="28">
        <f t="shared" si="173"/>
        <v>60181</v>
      </c>
      <c r="R112" s="28">
        <f t="shared" si="173"/>
        <v>63551</v>
      </c>
      <c r="S112" s="28">
        <f t="shared" si="173"/>
        <v>65867</v>
      </c>
      <c r="T112" s="28">
        <f t="shared" si="173"/>
        <v>67909</v>
      </c>
      <c r="U112" s="28">
        <f t="shared" si="173"/>
        <v>81666</v>
      </c>
      <c r="V112" s="28">
        <f t="shared" si="173"/>
        <v>62587</v>
      </c>
      <c r="W112" s="28">
        <f t="shared" ref="W112:Y112" si="174">W113+W114+W121</f>
        <v>73321</v>
      </c>
      <c r="X112" s="28">
        <f t="shared" si="174"/>
        <v>75928</v>
      </c>
      <c r="Y112" s="28">
        <f t="shared" si="174"/>
        <v>76799</v>
      </c>
      <c r="DA112" s="173" t="s">
        <v>527</v>
      </c>
    </row>
    <row r="113" spans="1:105" ht="11.45" customHeight="1" x14ac:dyDescent="0.25">
      <c r="A113" s="136" t="s">
        <v>173</v>
      </c>
      <c r="B113" s="137">
        <v>56</v>
      </c>
      <c r="C113" s="137">
        <v>211</v>
      </c>
      <c r="D113" s="137">
        <v>632</v>
      </c>
      <c r="E113" s="137">
        <v>956</v>
      </c>
      <c r="F113" s="137">
        <v>1178</v>
      </c>
      <c r="G113" s="137">
        <v>1335</v>
      </c>
      <c r="H113" s="137">
        <v>2640</v>
      </c>
      <c r="I113" s="137">
        <v>2494</v>
      </c>
      <c r="J113" s="137">
        <v>3217</v>
      </c>
      <c r="K113" s="137">
        <v>1304</v>
      </c>
      <c r="L113" s="137">
        <v>1448</v>
      </c>
      <c r="M113" s="137">
        <v>4004</v>
      </c>
      <c r="N113" s="137">
        <v>13024</v>
      </c>
      <c r="O113" s="137">
        <v>4154</v>
      </c>
      <c r="P113" s="137">
        <v>4389</v>
      </c>
      <c r="Q113" s="137">
        <v>4027</v>
      </c>
      <c r="R113" s="137">
        <v>4181</v>
      </c>
      <c r="S113" s="137">
        <v>3814</v>
      </c>
      <c r="T113" s="137">
        <v>3755</v>
      </c>
      <c r="U113" s="137">
        <v>3987</v>
      </c>
      <c r="V113" s="137">
        <v>4179</v>
      </c>
      <c r="W113" s="137">
        <v>4382</v>
      </c>
      <c r="X113" s="137">
        <v>4737</v>
      </c>
      <c r="Y113" s="137">
        <v>4301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25707</v>
      </c>
      <c r="C114" s="110">
        <f t="shared" si="175"/>
        <v>35478</v>
      </c>
      <c r="D114" s="110">
        <f t="shared" si="175"/>
        <v>28820</v>
      </c>
      <c r="E114" s="110">
        <f t="shared" si="175"/>
        <v>47766</v>
      </c>
      <c r="F114" s="110">
        <f t="shared" si="175"/>
        <v>52700</v>
      </c>
      <c r="G114" s="110">
        <f t="shared" si="175"/>
        <v>49648</v>
      </c>
      <c r="H114" s="110">
        <f t="shared" si="175"/>
        <v>52651</v>
      </c>
      <c r="I114" s="110">
        <f t="shared" si="175"/>
        <v>62305</v>
      </c>
      <c r="J114" s="110">
        <f t="shared" si="175"/>
        <v>49206</v>
      </c>
      <c r="K114" s="110">
        <f t="shared" si="175"/>
        <v>28350</v>
      </c>
      <c r="L114" s="110">
        <f t="shared" ref="L114" si="176">SUM(L115:L120)</f>
        <v>33993</v>
      </c>
      <c r="M114" s="110">
        <f t="shared" ref="M114:V114" si="177">SUM(M115:M120)</f>
        <v>47694</v>
      </c>
      <c r="N114" s="110">
        <f t="shared" si="177"/>
        <v>56390</v>
      </c>
      <c r="O114" s="110">
        <f t="shared" si="177"/>
        <v>59122</v>
      </c>
      <c r="P114" s="110">
        <f t="shared" si="177"/>
        <v>57260</v>
      </c>
      <c r="Q114" s="110">
        <f t="shared" si="177"/>
        <v>55682</v>
      </c>
      <c r="R114" s="110">
        <f t="shared" si="177"/>
        <v>58983</v>
      </c>
      <c r="S114" s="110">
        <f t="shared" si="177"/>
        <v>61590</v>
      </c>
      <c r="T114" s="110">
        <f t="shared" si="177"/>
        <v>63769</v>
      </c>
      <c r="U114" s="110">
        <f t="shared" si="177"/>
        <v>77119</v>
      </c>
      <c r="V114" s="110">
        <f t="shared" si="177"/>
        <v>57960</v>
      </c>
      <c r="W114" s="110">
        <f t="shared" ref="W114:Y114" si="178">SUM(W115:W120)</f>
        <v>68488</v>
      </c>
      <c r="X114" s="110">
        <f t="shared" si="178"/>
        <v>70707</v>
      </c>
      <c r="Y114" s="110">
        <f t="shared" si="178"/>
        <v>72241</v>
      </c>
      <c r="DA114" s="176" t="s">
        <v>529</v>
      </c>
    </row>
    <row r="115" spans="1:105" ht="11.45" customHeight="1" x14ac:dyDescent="0.25">
      <c r="A115" s="111" t="s">
        <v>110</v>
      </c>
      <c r="B115" s="84">
        <v>22342</v>
      </c>
      <c r="C115" s="84">
        <v>23108</v>
      </c>
      <c r="D115" s="84">
        <v>24056</v>
      </c>
      <c r="E115" s="84">
        <v>37974</v>
      </c>
      <c r="F115" s="84">
        <v>36925</v>
      </c>
      <c r="G115" s="84">
        <v>32043</v>
      </c>
      <c r="H115" s="84">
        <v>34015</v>
      </c>
      <c r="I115" s="84">
        <v>35981</v>
      </c>
      <c r="J115" s="84">
        <v>32612</v>
      </c>
      <c r="K115" s="84">
        <v>20372</v>
      </c>
      <c r="L115" s="84">
        <v>20743</v>
      </c>
      <c r="M115" s="84">
        <v>25393</v>
      </c>
      <c r="N115" s="84">
        <v>26214</v>
      </c>
      <c r="O115" s="84">
        <v>27766</v>
      </c>
      <c r="P115" s="84">
        <v>27721</v>
      </c>
      <c r="Q115" s="84">
        <v>28904</v>
      </c>
      <c r="R115" s="84">
        <v>32174</v>
      </c>
      <c r="S115" s="84">
        <v>35220</v>
      </c>
      <c r="T115" s="84">
        <v>35941</v>
      </c>
      <c r="U115" s="84">
        <v>38730</v>
      </c>
      <c r="V115" s="84">
        <v>30900</v>
      </c>
      <c r="W115" s="84">
        <v>36709</v>
      </c>
      <c r="X115" s="84">
        <v>36240</v>
      </c>
      <c r="Y115" s="84">
        <v>39697</v>
      </c>
      <c r="DA115" s="171" t="s">
        <v>530</v>
      </c>
    </row>
    <row r="116" spans="1:105" ht="11.45" customHeight="1" x14ac:dyDescent="0.25">
      <c r="A116" s="111" t="s">
        <v>111</v>
      </c>
      <c r="B116" s="84">
        <v>3365</v>
      </c>
      <c r="C116" s="84">
        <v>12340</v>
      </c>
      <c r="D116" s="84">
        <v>4702</v>
      </c>
      <c r="E116" s="84">
        <v>9661</v>
      </c>
      <c r="F116" s="84">
        <v>15707</v>
      </c>
      <c r="G116" s="84">
        <v>17390</v>
      </c>
      <c r="H116" s="84">
        <v>18275</v>
      </c>
      <c r="I116" s="84">
        <v>26324</v>
      </c>
      <c r="J116" s="84">
        <v>16293</v>
      </c>
      <c r="K116" s="84">
        <v>7759</v>
      </c>
      <c r="L116" s="84">
        <v>13247</v>
      </c>
      <c r="M116" s="84">
        <v>21878</v>
      </c>
      <c r="N116" s="84">
        <v>28819</v>
      </c>
      <c r="O116" s="84">
        <v>30656</v>
      </c>
      <c r="P116" s="84">
        <v>28393</v>
      </c>
      <c r="Q116" s="84">
        <v>26271</v>
      </c>
      <c r="R116" s="84">
        <v>25530</v>
      </c>
      <c r="S116" s="84">
        <v>25046</v>
      </c>
      <c r="T116" s="84">
        <v>25568</v>
      </c>
      <c r="U116" s="84">
        <v>31342</v>
      </c>
      <c r="V116" s="84">
        <v>20134</v>
      </c>
      <c r="W116" s="84">
        <v>26306</v>
      </c>
      <c r="X116" s="84">
        <v>32647</v>
      </c>
      <c r="Y116" s="84">
        <v>29643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30</v>
      </c>
      <c r="D117" s="84">
        <v>62</v>
      </c>
      <c r="E117" s="84">
        <v>131</v>
      </c>
      <c r="F117" s="84">
        <v>68</v>
      </c>
      <c r="G117" s="84">
        <v>215</v>
      </c>
      <c r="H117" s="84">
        <v>361</v>
      </c>
      <c r="I117" s="84">
        <v>0</v>
      </c>
      <c r="J117" s="84">
        <v>300</v>
      </c>
      <c r="K117" s="84">
        <v>219</v>
      </c>
      <c r="L117" s="84">
        <v>0</v>
      </c>
      <c r="M117" s="84">
        <v>362</v>
      </c>
      <c r="N117" s="84">
        <v>806</v>
      </c>
      <c r="O117" s="84">
        <v>467</v>
      </c>
      <c r="P117" s="84">
        <v>644</v>
      </c>
      <c r="Q117" s="84">
        <v>300</v>
      </c>
      <c r="R117" s="84">
        <v>714</v>
      </c>
      <c r="S117" s="84">
        <v>868</v>
      </c>
      <c r="T117" s="84">
        <v>991</v>
      </c>
      <c r="U117" s="84">
        <v>1403</v>
      </c>
      <c r="V117" s="84">
        <v>624</v>
      </c>
      <c r="W117" s="84">
        <v>233</v>
      </c>
      <c r="X117" s="84">
        <v>261</v>
      </c>
      <c r="Y117" s="84">
        <v>285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2</v>
      </c>
      <c r="M118" s="84">
        <v>5</v>
      </c>
      <c r="N118" s="84">
        <v>7</v>
      </c>
      <c r="O118" s="84">
        <v>103</v>
      </c>
      <c r="P118" s="84">
        <v>116</v>
      </c>
      <c r="Q118" s="84">
        <v>153</v>
      </c>
      <c r="R118" s="84">
        <v>500</v>
      </c>
      <c r="S118" s="84">
        <v>402</v>
      </c>
      <c r="T118" s="84">
        <v>1107</v>
      </c>
      <c r="U118" s="84">
        <v>5398</v>
      </c>
      <c r="V118" s="84">
        <v>5816</v>
      </c>
      <c r="W118" s="84">
        <v>4175</v>
      </c>
      <c r="X118" s="84">
        <v>285</v>
      </c>
      <c r="Y118" s="84">
        <v>66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26</v>
      </c>
      <c r="Q119" s="84">
        <v>17</v>
      </c>
      <c r="R119" s="84">
        <v>16</v>
      </c>
      <c r="S119" s="84">
        <v>25</v>
      </c>
      <c r="T119" s="84">
        <v>51</v>
      </c>
      <c r="U119" s="84">
        <v>30</v>
      </c>
      <c r="V119" s="84">
        <v>126</v>
      </c>
      <c r="W119" s="84">
        <v>562</v>
      </c>
      <c r="X119" s="84">
        <v>530</v>
      </c>
      <c r="Y119" s="84">
        <v>1092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</v>
      </c>
      <c r="K120" s="84">
        <v>0</v>
      </c>
      <c r="L120" s="84">
        <v>1</v>
      </c>
      <c r="M120" s="84">
        <v>56</v>
      </c>
      <c r="N120" s="84">
        <v>544</v>
      </c>
      <c r="O120" s="84">
        <v>130</v>
      </c>
      <c r="P120" s="84">
        <v>360</v>
      </c>
      <c r="Q120" s="84">
        <v>37</v>
      </c>
      <c r="R120" s="84">
        <v>49</v>
      </c>
      <c r="S120" s="84">
        <v>29</v>
      </c>
      <c r="T120" s="84">
        <v>111</v>
      </c>
      <c r="U120" s="84">
        <v>216</v>
      </c>
      <c r="V120" s="84">
        <v>360</v>
      </c>
      <c r="W120" s="84">
        <v>503</v>
      </c>
      <c r="X120" s="84">
        <v>744</v>
      </c>
      <c r="Y120" s="84">
        <v>1458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361</v>
      </c>
      <c r="C121" s="110">
        <f t="shared" si="179"/>
        <v>419</v>
      </c>
      <c r="D121" s="110">
        <f t="shared" si="179"/>
        <v>497</v>
      </c>
      <c r="E121" s="110">
        <f t="shared" si="179"/>
        <v>651</v>
      </c>
      <c r="F121" s="110">
        <f t="shared" si="179"/>
        <v>464</v>
      </c>
      <c r="G121" s="110">
        <f t="shared" si="179"/>
        <v>678</v>
      </c>
      <c r="H121" s="110">
        <f t="shared" si="179"/>
        <v>427</v>
      </c>
      <c r="I121" s="110">
        <f t="shared" si="179"/>
        <v>240</v>
      </c>
      <c r="J121" s="110">
        <f t="shared" si="179"/>
        <v>144</v>
      </c>
      <c r="K121" s="110">
        <f t="shared" si="179"/>
        <v>117</v>
      </c>
      <c r="L121" s="110">
        <f t="shared" ref="L121" si="180">SUM(L122:L126)</f>
        <v>410</v>
      </c>
      <c r="M121" s="110">
        <f t="shared" ref="M121:V121" si="181">SUM(M122:M126)</f>
        <v>302</v>
      </c>
      <c r="N121" s="110">
        <f t="shared" si="181"/>
        <v>457</v>
      </c>
      <c r="O121" s="110">
        <f t="shared" si="181"/>
        <v>489</v>
      </c>
      <c r="P121" s="110">
        <f t="shared" si="181"/>
        <v>431</v>
      </c>
      <c r="Q121" s="110">
        <f t="shared" si="181"/>
        <v>472</v>
      </c>
      <c r="R121" s="110">
        <f t="shared" si="181"/>
        <v>387</v>
      </c>
      <c r="S121" s="110">
        <f t="shared" si="181"/>
        <v>463</v>
      </c>
      <c r="T121" s="110">
        <f t="shared" si="181"/>
        <v>385</v>
      </c>
      <c r="U121" s="110">
        <f t="shared" si="181"/>
        <v>560</v>
      </c>
      <c r="V121" s="110">
        <f t="shared" si="181"/>
        <v>448</v>
      </c>
      <c r="W121" s="110">
        <f t="shared" ref="W121:Y121" si="182">SUM(W122:W126)</f>
        <v>451</v>
      </c>
      <c r="X121" s="110">
        <f t="shared" si="182"/>
        <v>484</v>
      </c>
      <c r="Y121" s="110">
        <f t="shared" si="182"/>
        <v>257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1</v>
      </c>
      <c r="T122" s="102">
        <v>0</v>
      </c>
      <c r="U122" s="102">
        <v>7</v>
      </c>
      <c r="V122" s="102">
        <v>0</v>
      </c>
      <c r="W122" s="102">
        <v>1</v>
      </c>
      <c r="X122" s="102">
        <v>1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361</v>
      </c>
      <c r="C123" s="102">
        <v>419</v>
      </c>
      <c r="D123" s="102">
        <v>497</v>
      </c>
      <c r="E123" s="102">
        <v>651</v>
      </c>
      <c r="F123" s="102">
        <v>464</v>
      </c>
      <c r="G123" s="102">
        <v>678</v>
      </c>
      <c r="H123" s="102">
        <v>427</v>
      </c>
      <c r="I123" s="102">
        <v>240</v>
      </c>
      <c r="J123" s="102">
        <v>144</v>
      </c>
      <c r="K123" s="102">
        <v>117</v>
      </c>
      <c r="L123" s="102">
        <v>294</v>
      </c>
      <c r="M123" s="102">
        <v>297</v>
      </c>
      <c r="N123" s="102">
        <v>456</v>
      </c>
      <c r="O123" s="102">
        <v>467</v>
      </c>
      <c r="P123" s="102">
        <v>401</v>
      </c>
      <c r="Q123" s="102">
        <v>432</v>
      </c>
      <c r="R123" s="102">
        <v>343</v>
      </c>
      <c r="S123" s="102">
        <v>401</v>
      </c>
      <c r="T123" s="102">
        <v>379</v>
      </c>
      <c r="U123" s="102">
        <v>477</v>
      </c>
      <c r="V123" s="102">
        <v>327</v>
      </c>
      <c r="W123" s="102">
        <v>305</v>
      </c>
      <c r="X123" s="102">
        <v>225</v>
      </c>
      <c r="Y123" s="102">
        <v>245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1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2</v>
      </c>
      <c r="M125" s="102">
        <v>5</v>
      </c>
      <c r="N125" s="102">
        <v>1</v>
      </c>
      <c r="O125" s="102">
        <v>22</v>
      </c>
      <c r="P125" s="102">
        <v>30</v>
      </c>
      <c r="Q125" s="102">
        <v>40</v>
      </c>
      <c r="R125" s="102">
        <v>44</v>
      </c>
      <c r="S125" s="102">
        <v>61</v>
      </c>
      <c r="T125" s="102">
        <v>5</v>
      </c>
      <c r="U125" s="102">
        <v>76</v>
      </c>
      <c r="V125" s="102">
        <v>121</v>
      </c>
      <c r="W125" s="102">
        <v>143</v>
      </c>
      <c r="X125" s="102">
        <v>258</v>
      </c>
      <c r="Y125" s="102">
        <v>12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114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0</v>
      </c>
      <c r="V126" s="102">
        <v>0</v>
      </c>
      <c r="W126" s="102">
        <v>2</v>
      </c>
      <c r="X126" s="102">
        <v>0</v>
      </c>
      <c r="Y126" s="102">
        <v>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1617</v>
      </c>
      <c r="C127" s="28">
        <f t="shared" si="183"/>
        <v>1828</v>
      </c>
      <c r="D127" s="28">
        <f t="shared" si="183"/>
        <v>3735</v>
      </c>
      <c r="E127" s="28">
        <f t="shared" si="183"/>
        <v>6288</v>
      </c>
      <c r="F127" s="28">
        <f t="shared" si="183"/>
        <v>3825</v>
      </c>
      <c r="G127" s="28">
        <f t="shared" si="183"/>
        <v>3588</v>
      </c>
      <c r="H127" s="28">
        <f t="shared" si="183"/>
        <v>4962</v>
      </c>
      <c r="I127" s="28">
        <f t="shared" si="183"/>
        <v>5996</v>
      </c>
      <c r="J127" s="28">
        <f t="shared" si="183"/>
        <v>6575</v>
      </c>
      <c r="K127" s="28">
        <f t="shared" si="183"/>
        <v>5134</v>
      </c>
      <c r="L127" s="28">
        <f t="shared" ref="L127" si="184">L128+L134</f>
        <v>5288</v>
      </c>
      <c r="M127" s="28">
        <f t="shared" ref="M127:V127" si="185">M128+M134</f>
        <v>7095</v>
      </c>
      <c r="N127" s="28">
        <f t="shared" si="185"/>
        <v>7650</v>
      </c>
      <c r="O127" s="28">
        <f t="shared" si="185"/>
        <v>8799</v>
      </c>
      <c r="P127" s="28">
        <f t="shared" si="185"/>
        <v>9117</v>
      </c>
      <c r="Q127" s="28">
        <f t="shared" si="185"/>
        <v>9747</v>
      </c>
      <c r="R127" s="28">
        <f t="shared" si="185"/>
        <v>10762</v>
      </c>
      <c r="S127" s="28">
        <f t="shared" si="185"/>
        <v>11141</v>
      </c>
      <c r="T127" s="28">
        <f t="shared" si="185"/>
        <v>11703</v>
      </c>
      <c r="U127" s="28">
        <f t="shared" si="185"/>
        <v>14349</v>
      </c>
      <c r="V127" s="28">
        <f t="shared" si="185"/>
        <v>10539</v>
      </c>
      <c r="W127" s="28">
        <f t="shared" ref="W127:Y127" si="186">W128+W134</f>
        <v>10633</v>
      </c>
      <c r="X127" s="28">
        <f t="shared" si="186"/>
        <v>11236</v>
      </c>
      <c r="Y127" s="28">
        <f t="shared" si="186"/>
        <v>10709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1302</v>
      </c>
      <c r="C128" s="137">
        <f t="shared" si="187"/>
        <v>1513</v>
      </c>
      <c r="D128" s="137">
        <f t="shared" si="187"/>
        <v>1742</v>
      </c>
      <c r="E128" s="137">
        <f t="shared" si="187"/>
        <v>2195</v>
      </c>
      <c r="F128" s="137">
        <f t="shared" si="187"/>
        <v>2242</v>
      </c>
      <c r="G128" s="137">
        <f t="shared" si="187"/>
        <v>2630</v>
      </c>
      <c r="H128" s="137">
        <f t="shared" si="187"/>
        <v>3369</v>
      </c>
      <c r="I128" s="137">
        <f t="shared" si="187"/>
        <v>4215</v>
      </c>
      <c r="J128" s="137">
        <f t="shared" si="187"/>
        <v>5333</v>
      </c>
      <c r="K128" s="137">
        <f t="shared" si="187"/>
        <v>4878</v>
      </c>
      <c r="L128" s="137">
        <f t="shared" ref="L128" si="188">SUM(L129:L133)</f>
        <v>5084</v>
      </c>
      <c r="M128" s="137">
        <f t="shared" ref="M128:V128" si="189">SUM(M129:M133)</f>
        <v>6136</v>
      </c>
      <c r="N128" s="137">
        <f t="shared" si="189"/>
        <v>6840</v>
      </c>
      <c r="O128" s="137">
        <f t="shared" si="189"/>
        <v>8445</v>
      </c>
      <c r="P128" s="137">
        <f t="shared" si="189"/>
        <v>7701</v>
      </c>
      <c r="Q128" s="137">
        <f t="shared" si="189"/>
        <v>8288</v>
      </c>
      <c r="R128" s="137">
        <f t="shared" si="189"/>
        <v>8991</v>
      </c>
      <c r="S128" s="137">
        <f t="shared" si="189"/>
        <v>9441</v>
      </c>
      <c r="T128" s="137">
        <f t="shared" si="189"/>
        <v>10085</v>
      </c>
      <c r="U128" s="137">
        <f t="shared" si="189"/>
        <v>11457</v>
      </c>
      <c r="V128" s="137">
        <f t="shared" si="189"/>
        <v>9111</v>
      </c>
      <c r="W128" s="137">
        <f t="shared" ref="W128:Y128" si="190">SUM(W129:W133)</f>
        <v>9301</v>
      </c>
      <c r="X128" s="137">
        <f t="shared" si="190"/>
        <v>9621</v>
      </c>
      <c r="Y128" s="137">
        <f t="shared" si="190"/>
        <v>9505</v>
      </c>
      <c r="DA128" s="174" t="s">
        <v>543</v>
      </c>
    </row>
    <row r="129" spans="1:105" ht="11.45" customHeight="1" x14ac:dyDescent="0.25">
      <c r="A129" s="111" t="s">
        <v>110</v>
      </c>
      <c r="B129" s="84">
        <v>286</v>
      </c>
      <c r="C129" s="84">
        <v>513</v>
      </c>
      <c r="D129" s="84">
        <v>563</v>
      </c>
      <c r="E129" s="84">
        <v>480</v>
      </c>
      <c r="F129" s="84">
        <v>599</v>
      </c>
      <c r="G129" s="84">
        <v>734</v>
      </c>
      <c r="H129" s="84">
        <v>707</v>
      </c>
      <c r="I129" s="84">
        <v>662</v>
      </c>
      <c r="J129" s="84">
        <v>1849</v>
      </c>
      <c r="K129" s="84">
        <v>1452</v>
      </c>
      <c r="L129" s="84">
        <v>1070</v>
      </c>
      <c r="M129" s="84">
        <v>1222</v>
      </c>
      <c r="N129" s="84">
        <v>1108</v>
      </c>
      <c r="O129" s="84">
        <v>707</v>
      </c>
      <c r="P129" s="84">
        <v>936</v>
      </c>
      <c r="Q129" s="84">
        <v>1174</v>
      </c>
      <c r="R129" s="84">
        <v>1233</v>
      </c>
      <c r="S129" s="84">
        <v>1214</v>
      </c>
      <c r="T129" s="84">
        <v>1258</v>
      </c>
      <c r="U129" s="84">
        <v>1492</v>
      </c>
      <c r="V129" s="84">
        <v>1159</v>
      </c>
      <c r="W129" s="84">
        <v>941</v>
      </c>
      <c r="X129" s="84">
        <v>926</v>
      </c>
      <c r="Y129" s="84">
        <v>1012</v>
      </c>
      <c r="DA129" s="171" t="s">
        <v>544</v>
      </c>
    </row>
    <row r="130" spans="1:105" ht="11.45" customHeight="1" x14ac:dyDescent="0.25">
      <c r="A130" s="111" t="s">
        <v>111</v>
      </c>
      <c r="B130" s="84">
        <v>1016</v>
      </c>
      <c r="C130" s="84">
        <v>1000</v>
      </c>
      <c r="D130" s="84">
        <v>1179</v>
      </c>
      <c r="E130" s="84">
        <v>1715</v>
      </c>
      <c r="F130" s="84">
        <v>1643</v>
      </c>
      <c r="G130" s="84">
        <v>1896</v>
      </c>
      <c r="H130" s="84">
        <v>2662</v>
      </c>
      <c r="I130" s="84">
        <v>3551</v>
      </c>
      <c r="J130" s="84">
        <v>3484</v>
      </c>
      <c r="K130" s="84">
        <v>3426</v>
      </c>
      <c r="L130" s="84">
        <v>4014</v>
      </c>
      <c r="M130" s="84">
        <v>4914</v>
      </c>
      <c r="N130" s="84">
        <v>5730</v>
      </c>
      <c r="O130" s="84">
        <v>7687</v>
      </c>
      <c r="P130" s="84">
        <v>6745</v>
      </c>
      <c r="Q130" s="84">
        <v>7086</v>
      </c>
      <c r="R130" s="84">
        <v>7744</v>
      </c>
      <c r="S130" s="84">
        <v>8129</v>
      </c>
      <c r="T130" s="84">
        <v>8771</v>
      </c>
      <c r="U130" s="84">
        <v>9906</v>
      </c>
      <c r="V130" s="84">
        <v>7854</v>
      </c>
      <c r="W130" s="84">
        <v>8344</v>
      </c>
      <c r="X130" s="84">
        <v>8613</v>
      </c>
      <c r="Y130" s="84">
        <v>8358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1</v>
      </c>
      <c r="S131" s="84">
        <v>12</v>
      </c>
      <c r="T131" s="84">
        <v>4</v>
      </c>
      <c r="U131" s="84">
        <v>5</v>
      </c>
      <c r="V131" s="84">
        <v>0</v>
      </c>
      <c r="W131" s="84">
        <v>0</v>
      </c>
      <c r="X131" s="84">
        <v>0</v>
      </c>
      <c r="Y131" s="84">
        <v>13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1</v>
      </c>
      <c r="O132" s="84">
        <v>47</v>
      </c>
      <c r="P132" s="84">
        <v>13</v>
      </c>
      <c r="Q132" s="84">
        <v>26</v>
      </c>
      <c r="R132" s="84">
        <v>0</v>
      </c>
      <c r="S132" s="84">
        <v>85</v>
      </c>
      <c r="T132" s="84">
        <v>51</v>
      </c>
      <c r="U132" s="84">
        <v>51</v>
      </c>
      <c r="V132" s="84">
        <v>82</v>
      </c>
      <c r="W132" s="84">
        <v>2</v>
      </c>
      <c r="X132" s="84">
        <v>3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2</v>
      </c>
      <c r="J133" s="84">
        <v>0</v>
      </c>
      <c r="K133" s="84">
        <v>0</v>
      </c>
      <c r="L133" s="84">
        <v>0</v>
      </c>
      <c r="M133" s="84">
        <v>0</v>
      </c>
      <c r="N133" s="84">
        <v>1</v>
      </c>
      <c r="O133" s="84">
        <v>4</v>
      </c>
      <c r="P133" s="84">
        <v>7</v>
      </c>
      <c r="Q133" s="84">
        <v>2</v>
      </c>
      <c r="R133" s="84">
        <v>13</v>
      </c>
      <c r="S133" s="84">
        <v>1</v>
      </c>
      <c r="T133" s="84">
        <v>1</v>
      </c>
      <c r="U133" s="84">
        <v>3</v>
      </c>
      <c r="V133" s="84">
        <v>16</v>
      </c>
      <c r="W133" s="84">
        <v>14</v>
      </c>
      <c r="X133" s="84">
        <v>79</v>
      </c>
      <c r="Y133" s="84">
        <v>122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315</v>
      </c>
      <c r="C134" s="110">
        <f t="shared" si="191"/>
        <v>315</v>
      </c>
      <c r="D134" s="110">
        <f t="shared" si="191"/>
        <v>1993</v>
      </c>
      <c r="E134" s="110">
        <f t="shared" si="191"/>
        <v>4093</v>
      </c>
      <c r="F134" s="110">
        <f t="shared" si="191"/>
        <v>1583</v>
      </c>
      <c r="G134" s="110">
        <f t="shared" si="191"/>
        <v>958</v>
      </c>
      <c r="H134" s="110">
        <f t="shared" si="191"/>
        <v>1593</v>
      </c>
      <c r="I134" s="110">
        <f t="shared" si="191"/>
        <v>1781</v>
      </c>
      <c r="J134" s="110">
        <f t="shared" si="191"/>
        <v>1242</v>
      </c>
      <c r="K134" s="110">
        <f t="shared" si="191"/>
        <v>256</v>
      </c>
      <c r="L134" s="110">
        <f t="shared" ref="L134" si="192">SUM(L135:L136)</f>
        <v>204</v>
      </c>
      <c r="M134" s="110">
        <f t="shared" ref="M134:V134" si="193">SUM(M135:M136)</f>
        <v>959</v>
      </c>
      <c r="N134" s="110">
        <f t="shared" si="193"/>
        <v>810</v>
      </c>
      <c r="O134" s="110">
        <f t="shared" si="193"/>
        <v>354</v>
      </c>
      <c r="P134" s="110">
        <f t="shared" si="193"/>
        <v>1416</v>
      </c>
      <c r="Q134" s="110">
        <f t="shared" si="193"/>
        <v>1459</v>
      </c>
      <c r="R134" s="110">
        <f t="shared" si="193"/>
        <v>1771</v>
      </c>
      <c r="S134" s="110">
        <f t="shared" si="193"/>
        <v>1700</v>
      </c>
      <c r="T134" s="110">
        <f t="shared" si="193"/>
        <v>1618</v>
      </c>
      <c r="U134" s="110">
        <f t="shared" si="193"/>
        <v>2892</v>
      </c>
      <c r="V134" s="110">
        <f t="shared" si="193"/>
        <v>1428</v>
      </c>
      <c r="W134" s="110">
        <f t="shared" ref="W134:Y134" si="194">SUM(W135:W136)</f>
        <v>1332</v>
      </c>
      <c r="X134" s="110">
        <f t="shared" si="194"/>
        <v>1615</v>
      </c>
      <c r="Y134" s="110">
        <f t="shared" si="194"/>
        <v>1204</v>
      </c>
      <c r="DA134" s="176" t="s">
        <v>549</v>
      </c>
    </row>
    <row r="135" spans="1:105" ht="11.45" customHeight="1" x14ac:dyDescent="0.25">
      <c r="A135" s="128" t="s">
        <v>27</v>
      </c>
      <c r="B135" s="102">
        <v>266</v>
      </c>
      <c r="C135" s="102">
        <v>257</v>
      </c>
      <c r="D135" s="102">
        <v>1940</v>
      </c>
      <c r="E135" s="102">
        <v>4050</v>
      </c>
      <c r="F135" s="102">
        <v>1445</v>
      </c>
      <c r="G135" s="102">
        <v>894</v>
      </c>
      <c r="H135" s="102">
        <v>1496</v>
      </c>
      <c r="I135" s="102">
        <v>1647</v>
      </c>
      <c r="J135" s="102">
        <v>1222</v>
      </c>
      <c r="K135" s="102">
        <v>256</v>
      </c>
      <c r="L135" s="102">
        <v>152</v>
      </c>
      <c r="M135" s="102">
        <v>790</v>
      </c>
      <c r="N135" s="102">
        <v>745</v>
      </c>
      <c r="O135" s="102">
        <v>166</v>
      </c>
      <c r="P135" s="102">
        <v>1358</v>
      </c>
      <c r="Q135" s="102">
        <v>1212</v>
      </c>
      <c r="R135" s="102">
        <v>1691</v>
      </c>
      <c r="S135" s="102">
        <v>1670</v>
      </c>
      <c r="T135" s="102">
        <v>1515</v>
      </c>
      <c r="U135" s="102">
        <v>2857</v>
      </c>
      <c r="V135" s="102">
        <v>1152</v>
      </c>
      <c r="W135" s="102">
        <v>1332</v>
      </c>
      <c r="X135" s="102">
        <v>1309</v>
      </c>
      <c r="Y135" s="102">
        <v>1204</v>
      </c>
      <c r="DA135" s="175" t="s">
        <v>550</v>
      </c>
    </row>
    <row r="136" spans="1:105" ht="11.45" customHeight="1" x14ac:dyDescent="0.25">
      <c r="A136" s="138" t="s">
        <v>116</v>
      </c>
      <c r="B136" s="86">
        <v>49</v>
      </c>
      <c r="C136" s="86">
        <v>58</v>
      </c>
      <c r="D136" s="86">
        <v>53</v>
      </c>
      <c r="E136" s="86">
        <v>43</v>
      </c>
      <c r="F136" s="86">
        <v>138</v>
      </c>
      <c r="G136" s="86">
        <v>64</v>
      </c>
      <c r="H136" s="86">
        <v>97</v>
      </c>
      <c r="I136" s="86">
        <v>134</v>
      </c>
      <c r="J136" s="86">
        <v>20</v>
      </c>
      <c r="K136" s="86">
        <v>0</v>
      </c>
      <c r="L136" s="86">
        <v>52</v>
      </c>
      <c r="M136" s="86">
        <v>169</v>
      </c>
      <c r="N136" s="86">
        <v>65</v>
      </c>
      <c r="O136" s="86">
        <v>188</v>
      </c>
      <c r="P136" s="86">
        <v>58</v>
      </c>
      <c r="Q136" s="86">
        <v>247</v>
      </c>
      <c r="R136" s="86">
        <v>80</v>
      </c>
      <c r="S136" s="86">
        <v>30</v>
      </c>
      <c r="T136" s="86">
        <v>103</v>
      </c>
      <c r="U136" s="86">
        <v>35</v>
      </c>
      <c r="V136" s="86">
        <v>276</v>
      </c>
      <c r="W136" s="86">
        <v>0</v>
      </c>
      <c r="X136" s="86">
        <v>306</v>
      </c>
      <c r="Y136" s="86">
        <v>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2.9556936615130209</v>
      </c>
      <c r="C141" s="32">
        <f t="shared" si="195"/>
        <v>2.3863168892323854</v>
      </c>
      <c r="D141" s="32">
        <f t="shared" si="195"/>
        <v>2.5604944900799111</v>
      </c>
      <c r="E141" s="32">
        <f t="shared" si="195"/>
        <v>2.6537735596168903</v>
      </c>
      <c r="F141" s="32">
        <f t="shared" si="195"/>
        <v>2.6594924897555612</v>
      </c>
      <c r="G141" s="32">
        <f t="shared" si="195"/>
        <v>2.9952330536257192</v>
      </c>
      <c r="H141" s="32">
        <f t="shared" si="195"/>
        <v>2.644897531115372</v>
      </c>
      <c r="I141" s="32">
        <f t="shared" si="195"/>
        <v>2.332196147347994</v>
      </c>
      <c r="J141" s="32">
        <f t="shared" si="195"/>
        <v>2.3450410986772181</v>
      </c>
      <c r="K141" s="32">
        <f t="shared" si="195"/>
        <v>2.2518014614979811</v>
      </c>
      <c r="L141" s="32">
        <f t="shared" ref="L141" si="196">IF(L4=0,0,L4/L31)</f>
        <v>2.1856108261535652</v>
      </c>
      <c r="M141" s="32">
        <f t="shared" ref="M141:V141" si="197">IF(M4=0,0,M4/M31)</f>
        <v>2.2252397816174323</v>
      </c>
      <c r="N141" s="32">
        <f t="shared" si="197"/>
        <v>2.1738291708737889</v>
      </c>
      <c r="O141" s="32">
        <f t="shared" si="197"/>
        <v>2.2146905924550122</v>
      </c>
      <c r="P141" s="32">
        <f t="shared" si="197"/>
        <v>2.2451794288497688</v>
      </c>
      <c r="Q141" s="32">
        <f t="shared" si="197"/>
        <v>2.2082507243104912</v>
      </c>
      <c r="R141" s="32">
        <f t="shared" si="197"/>
        <v>2.2266454466558732</v>
      </c>
      <c r="S141" s="32">
        <f t="shared" si="197"/>
        <v>2.1288901983918431</v>
      </c>
      <c r="T141" s="32">
        <f t="shared" si="197"/>
        <v>2.0266337544525226</v>
      </c>
      <c r="U141" s="32">
        <f t="shared" si="197"/>
        <v>2.1125248311148535</v>
      </c>
      <c r="V141" s="32">
        <f t="shared" si="197"/>
        <v>1.7221655106238891</v>
      </c>
      <c r="W141" s="32">
        <f t="shared" ref="W141:Y141" si="198">IF(W4=0,0,W4/W31)</f>
        <v>1.7953869592148961</v>
      </c>
      <c r="X141" s="32">
        <f t="shared" si="198"/>
        <v>1.9134790438970191</v>
      </c>
      <c r="Y141" s="32">
        <f t="shared" si="198"/>
        <v>2.0003607443144436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1.1549472685768511</v>
      </c>
      <c r="C142" s="141">
        <v>1.1549251164250129</v>
      </c>
      <c r="D142" s="141">
        <v>1.1547244330057382</v>
      </c>
      <c r="E142" s="141">
        <v>1.1552093820866829</v>
      </c>
      <c r="F142" s="141">
        <v>1.155364085651108</v>
      </c>
      <c r="G142" s="141">
        <v>1.1543178727366703</v>
      </c>
      <c r="H142" s="141">
        <v>1.1546398637822313</v>
      </c>
      <c r="I142" s="141">
        <v>1.1564931393319677</v>
      </c>
      <c r="J142" s="141">
        <v>1.1571017737935942</v>
      </c>
      <c r="K142" s="141">
        <v>1.1576570562583652</v>
      </c>
      <c r="L142" s="141">
        <v>1.1556682113354202</v>
      </c>
      <c r="M142" s="141">
        <v>1.1546558434345868</v>
      </c>
      <c r="N142" s="141">
        <v>1.1475295413899493</v>
      </c>
      <c r="O142" s="141">
        <v>1.1469392088128176</v>
      </c>
      <c r="P142" s="141">
        <v>1.149429532231234</v>
      </c>
      <c r="Q142" s="141">
        <v>1.1514161199072457</v>
      </c>
      <c r="R142" s="141">
        <v>1.1523981001461907</v>
      </c>
      <c r="S142" s="141">
        <v>1.1518578866106044</v>
      </c>
      <c r="T142" s="141">
        <v>1.1514213182698123</v>
      </c>
      <c r="U142" s="141">
        <v>1.1522152891189594</v>
      </c>
      <c r="V142" s="141">
        <v>1.1510270827787377</v>
      </c>
      <c r="W142" s="141">
        <v>1.1515561980893114</v>
      </c>
      <c r="X142" s="141">
        <v>1.1516460669360356</v>
      </c>
      <c r="Y142" s="141">
        <v>1.1530745783341212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2.2579649575928915</v>
      </c>
      <c r="C143" s="130">
        <f t="shared" si="199"/>
        <v>1.8402317936870745</v>
      </c>
      <c r="D143" s="130">
        <f t="shared" si="199"/>
        <v>2.0254246768285453</v>
      </c>
      <c r="E143" s="130">
        <f t="shared" si="199"/>
        <v>2.1472691906772443</v>
      </c>
      <c r="F143" s="130">
        <f t="shared" si="199"/>
        <v>2.1227531602793941</v>
      </c>
      <c r="G143" s="130">
        <f t="shared" si="199"/>
        <v>2.4632330288326632</v>
      </c>
      <c r="H143" s="130">
        <f t="shared" si="199"/>
        <v>2.1383295766629478</v>
      </c>
      <c r="I143" s="130">
        <f t="shared" si="199"/>
        <v>1.8975323187843953</v>
      </c>
      <c r="J143" s="130">
        <f t="shared" si="199"/>
        <v>1.9563395620819171</v>
      </c>
      <c r="K143" s="130">
        <f t="shared" si="199"/>
        <v>1.9248324802684584</v>
      </c>
      <c r="L143" s="130">
        <f t="shared" ref="L143" si="200">IF(L6=0,0,L6/L33)</f>
        <v>1.8640443077353892</v>
      </c>
      <c r="M143" s="130">
        <f t="shared" ref="M143:V143" si="201">IF(M6=0,0,M6/M33)</f>
        <v>1.9045371292668893</v>
      </c>
      <c r="N143" s="130">
        <f t="shared" si="201"/>
        <v>1.9016217033736458</v>
      </c>
      <c r="O143" s="130">
        <f t="shared" si="201"/>
        <v>1.9440492552435253</v>
      </c>
      <c r="P143" s="130">
        <f t="shared" si="201"/>
        <v>1.9801572487473393</v>
      </c>
      <c r="Q143" s="130">
        <f t="shared" si="201"/>
        <v>1.9060244020966908</v>
      </c>
      <c r="R143" s="130">
        <f t="shared" si="201"/>
        <v>1.8683304370438998</v>
      </c>
      <c r="S143" s="130">
        <f t="shared" si="201"/>
        <v>1.8035405090964094</v>
      </c>
      <c r="T143" s="130">
        <f t="shared" si="201"/>
        <v>1.7214537683491162</v>
      </c>
      <c r="U143" s="130">
        <f t="shared" si="201"/>
        <v>1.7752930177061605</v>
      </c>
      <c r="V143" s="130">
        <f t="shared" si="201"/>
        <v>1.5905905816902781</v>
      </c>
      <c r="W143" s="130">
        <f t="shared" ref="W143:Y143" si="202">IF(W6=0,0,W6/W33)</f>
        <v>1.6824204755692838</v>
      </c>
      <c r="X143" s="130">
        <f t="shared" si="202"/>
        <v>1.7272878753532008</v>
      </c>
      <c r="Y143" s="130">
        <f t="shared" si="202"/>
        <v>1.7486753130600132</v>
      </c>
      <c r="DA143" s="176" t="s">
        <v>554</v>
      </c>
    </row>
    <row r="144" spans="1:105" ht="11.45" customHeight="1" x14ac:dyDescent="0.25">
      <c r="A144" s="111" t="s">
        <v>110</v>
      </c>
      <c r="B144" s="96">
        <v>2.2526080830910273</v>
      </c>
      <c r="C144" s="96">
        <v>1.8352229240723672</v>
      </c>
      <c r="D144" s="96">
        <v>2.018945750049645</v>
      </c>
      <c r="E144" s="96">
        <v>2.1376857933365705</v>
      </c>
      <c r="F144" s="96">
        <v>2.1100070772009354</v>
      </c>
      <c r="G144" s="96">
        <v>2.4458481940185646</v>
      </c>
      <c r="H144" s="96">
        <v>2.1203313801425923</v>
      </c>
      <c r="I144" s="96">
        <v>1.8797276569370003</v>
      </c>
      <c r="J144" s="96">
        <v>1.9377940492732455</v>
      </c>
      <c r="K144" s="96">
        <v>1.9038378353506751</v>
      </c>
      <c r="L144" s="96">
        <v>1.8426741579882777</v>
      </c>
      <c r="M144" s="96">
        <v>1.8801159280909301</v>
      </c>
      <c r="N144" s="96">
        <v>1.8751028280522646</v>
      </c>
      <c r="O144" s="96">
        <v>1.9150309082507311</v>
      </c>
      <c r="P144" s="96">
        <v>1.9504784892315106</v>
      </c>
      <c r="Q144" s="96">
        <v>1.8755261818666171</v>
      </c>
      <c r="R144" s="96">
        <v>1.8390225352960474</v>
      </c>
      <c r="S144" s="96">
        <v>1.7758953271302598</v>
      </c>
      <c r="T144" s="96">
        <v>1.6952674242100461</v>
      </c>
      <c r="U144" s="96">
        <v>1.74950759137559</v>
      </c>
      <c r="V144" s="96">
        <v>1.564463447650116</v>
      </c>
      <c r="W144" s="96">
        <v>1.6541044023794333</v>
      </c>
      <c r="X144" s="96">
        <v>1.6993285219834962</v>
      </c>
      <c r="Y144" s="96">
        <v>1.7203658169438056</v>
      </c>
      <c r="DA144" s="171" t="s">
        <v>555</v>
      </c>
    </row>
    <row r="145" spans="1:105" ht="11.45" customHeight="1" x14ac:dyDescent="0.25">
      <c r="A145" s="111" t="s">
        <v>111</v>
      </c>
      <c r="B145" s="96">
        <v>2.3216267226413709</v>
      </c>
      <c r="C145" s="96">
        <v>1.8914531180603362</v>
      </c>
      <c r="D145" s="96">
        <v>2.080805107671746</v>
      </c>
      <c r="E145" s="96">
        <v>2.2031832788289085</v>
      </c>
      <c r="F145" s="96">
        <v>2.1746565024618834</v>
      </c>
      <c r="G145" s="96">
        <v>2.5207876014392192</v>
      </c>
      <c r="H145" s="96">
        <v>2.1852971362152278</v>
      </c>
      <c r="I145" s="96">
        <v>1.9373214508067793</v>
      </c>
      <c r="J145" s="96">
        <v>1.9971669646123686</v>
      </c>
      <c r="K145" s="96">
        <v>1.9621703514713051</v>
      </c>
      <c r="L145" s="96">
        <v>1.8991326535754933</v>
      </c>
      <c r="M145" s="96">
        <v>1.9377216183695964</v>
      </c>
      <c r="N145" s="96">
        <v>1.9325549197767944</v>
      </c>
      <c r="O145" s="96">
        <v>1.9737063738039544</v>
      </c>
      <c r="P145" s="96">
        <v>2.010240048647669</v>
      </c>
      <c r="Q145" s="96">
        <v>1.9329912449129387</v>
      </c>
      <c r="R145" s="96">
        <v>1.8953691472261542</v>
      </c>
      <c r="S145" s="96">
        <v>1.8303077570520017</v>
      </c>
      <c r="T145" s="96">
        <v>1.7472094607193152</v>
      </c>
      <c r="U145" s="96">
        <v>1.803111515975756</v>
      </c>
      <c r="V145" s="96">
        <v>1.6123977241865299</v>
      </c>
      <c r="W145" s="96">
        <v>1.704785227145809</v>
      </c>
      <c r="X145" s="96">
        <v>1.751394988235119</v>
      </c>
      <c r="Y145" s="96">
        <v>1.7730768540326192</v>
      </c>
      <c r="DA145" s="171" t="s">
        <v>556</v>
      </c>
    </row>
    <row r="146" spans="1:105" ht="11.45" customHeight="1" x14ac:dyDescent="0.25">
      <c r="A146" s="111" t="s">
        <v>112</v>
      </c>
      <c r="B146" s="96">
        <v>2.2456020396783947</v>
      </c>
      <c r="C146" s="96">
        <v>1.8301560684051135</v>
      </c>
      <c r="D146" s="96">
        <v>2.0143349746002519</v>
      </c>
      <c r="E146" s="96">
        <v>2.1355123595291778</v>
      </c>
      <c r="F146" s="96">
        <v>2.1111305604755204</v>
      </c>
      <c r="G146" s="96">
        <v>2.4497462173401594</v>
      </c>
      <c r="H146" s="96">
        <v>2.1266216921178271</v>
      </c>
      <c r="I146" s="96">
        <v>1.8871428589221637</v>
      </c>
      <c r="J146" s="96">
        <v>1.9456281179837385</v>
      </c>
      <c r="K146" s="96">
        <v>1.9142935452541239</v>
      </c>
      <c r="L146" s="96">
        <v>1.8538382030356577</v>
      </c>
      <c r="M146" s="96">
        <v>1.894109316330705</v>
      </c>
      <c r="N146" s="96">
        <v>1.8912098531169896</v>
      </c>
      <c r="O146" s="96">
        <v>1.9334051036221749</v>
      </c>
      <c r="P146" s="96">
        <v>1.9693153969100292</v>
      </c>
      <c r="Q146" s="96">
        <v>1.8955884459730539</v>
      </c>
      <c r="R146" s="96">
        <v>1.8581008647236308</v>
      </c>
      <c r="S146" s="96">
        <v>1.7936656776937119</v>
      </c>
      <c r="T146" s="96">
        <v>1.7120283822021187</v>
      </c>
      <c r="U146" s="96">
        <v>1.7655728483216551</v>
      </c>
      <c r="V146" s="96">
        <v>1.5818817039325064</v>
      </c>
      <c r="W146" s="96">
        <v>1.6732088063769923</v>
      </c>
      <c r="X146" s="96">
        <v>1.717830546024024</v>
      </c>
      <c r="Y146" s="96">
        <v>1.7391008822072356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1.8081229785033273</v>
      </c>
      <c r="M147" s="96">
        <v>1.8474010153888827</v>
      </c>
      <c r="N147" s="96">
        <v>1.8445730522724362</v>
      </c>
      <c r="O147" s="96">
        <v>1.8857277775862191</v>
      </c>
      <c r="P147" s="96">
        <v>1.9207525312849185</v>
      </c>
      <c r="Q147" s="96">
        <v>1.8488436700337898</v>
      </c>
      <c r="R147" s="96">
        <v>1.8122805239325825</v>
      </c>
      <c r="S147" s="96">
        <v>1.749434293823517</v>
      </c>
      <c r="T147" s="96">
        <v>1.6698101552986422</v>
      </c>
      <c r="U147" s="96">
        <v>1.7220342271749758</v>
      </c>
      <c r="V147" s="96">
        <v>1.5428728642395695</v>
      </c>
      <c r="W147" s="96">
        <v>1.6319478613022047</v>
      </c>
      <c r="X147" s="96">
        <v>1.6754692390926047</v>
      </c>
      <c r="Y147" s="96">
        <v>1.6962150536682128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1.9207525312849185</v>
      </c>
      <c r="Q148" s="96">
        <v>1.8488436700337898</v>
      </c>
      <c r="R148" s="96">
        <v>1.8122805239325825</v>
      </c>
      <c r="S148" s="96">
        <v>1.749434293823517</v>
      </c>
      <c r="T148" s="96">
        <v>1.6698101552986422</v>
      </c>
      <c r="U148" s="96">
        <v>1.7220342271749756</v>
      </c>
      <c r="V148" s="96">
        <v>1.5428728642395695</v>
      </c>
      <c r="W148" s="96">
        <v>1.6319478613022047</v>
      </c>
      <c r="X148" s="96">
        <v>1.6754692390926047</v>
      </c>
      <c r="Y148" s="96">
        <v>1.6962150536682126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1.8976493752194588</v>
      </c>
      <c r="K149" s="96">
        <v>1.8670875058604044</v>
      </c>
      <c r="L149" s="96">
        <v>1.8081229785033273</v>
      </c>
      <c r="M149" s="96">
        <v>1.8474010153888827</v>
      </c>
      <c r="N149" s="96">
        <v>1.844573052272436</v>
      </c>
      <c r="O149" s="96">
        <v>1.8857277775862191</v>
      </c>
      <c r="P149" s="96">
        <v>1.9207525312849185</v>
      </c>
      <c r="Q149" s="96">
        <v>1.8488436700337898</v>
      </c>
      <c r="R149" s="96">
        <v>1.8122805239325825</v>
      </c>
      <c r="S149" s="96">
        <v>1.749434293823517</v>
      </c>
      <c r="T149" s="96">
        <v>1.6698101552986422</v>
      </c>
      <c r="U149" s="96">
        <v>1.7220342271749756</v>
      </c>
      <c r="V149" s="96">
        <v>1.5428728642395695</v>
      </c>
      <c r="W149" s="96">
        <v>1.6319478613022047</v>
      </c>
      <c r="X149" s="96">
        <v>1.6754692390926049</v>
      </c>
      <c r="Y149" s="96">
        <v>1.6962150536682126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14.117568286394516</v>
      </c>
      <c r="C150" s="130">
        <f t="shared" si="203"/>
        <v>13.647745694741911</v>
      </c>
      <c r="D150" s="130">
        <f t="shared" si="203"/>
        <v>13.178687107657479</v>
      </c>
      <c r="E150" s="130">
        <f t="shared" si="203"/>
        <v>12.836659590596145</v>
      </c>
      <c r="F150" s="130">
        <f t="shared" si="203"/>
        <v>13.76070273027328</v>
      </c>
      <c r="G150" s="130">
        <f t="shared" si="203"/>
        <v>14.811597957314657</v>
      </c>
      <c r="H150" s="130">
        <f t="shared" si="203"/>
        <v>15.162162049334814</v>
      </c>
      <c r="I150" s="130">
        <f t="shared" si="203"/>
        <v>17.070454258587979</v>
      </c>
      <c r="J150" s="130">
        <f t="shared" si="203"/>
        <v>16.820053621913466</v>
      </c>
      <c r="K150" s="130">
        <f t="shared" si="203"/>
        <v>15.534001835120119</v>
      </c>
      <c r="L150" s="130">
        <f t="shared" ref="L150" si="204">IF(L13=0,0,L13/L40)</f>
        <v>15.276989934159074</v>
      </c>
      <c r="M150" s="130">
        <f t="shared" ref="M150:V150" si="205">IF(M13=0,0,M13/M40)</f>
        <v>15.698175532314776</v>
      </c>
      <c r="N150" s="130">
        <f t="shared" si="205"/>
        <v>14.019673597138388</v>
      </c>
      <c r="O150" s="130">
        <f t="shared" si="205"/>
        <v>13.53705681752515</v>
      </c>
      <c r="P150" s="130">
        <f t="shared" si="205"/>
        <v>13.221683435866185</v>
      </c>
      <c r="Q150" s="130">
        <f t="shared" si="205"/>
        <v>14.977777777777778</v>
      </c>
      <c r="R150" s="130">
        <f t="shared" si="205"/>
        <v>15.816106804478903</v>
      </c>
      <c r="S150" s="130">
        <f t="shared" si="205"/>
        <v>13.405289225306044</v>
      </c>
      <c r="T150" s="130">
        <f t="shared" si="205"/>
        <v>13.422184413252046</v>
      </c>
      <c r="U150" s="130">
        <f t="shared" si="205"/>
        <v>15.81640331075997</v>
      </c>
      <c r="V150" s="130">
        <f t="shared" si="205"/>
        <v>7.0580983202342402</v>
      </c>
      <c r="W150" s="130">
        <f t="shared" ref="W150:Y150" si="206">IF(W13=0,0,W13/W40)</f>
        <v>6.1845769710938248</v>
      </c>
      <c r="X150" s="130">
        <f t="shared" si="206"/>
        <v>9.095542581781114</v>
      </c>
      <c r="Y150" s="130">
        <f t="shared" si="206"/>
        <v>16.410051323068718</v>
      </c>
      <c r="DA150" s="176" t="s">
        <v>561</v>
      </c>
    </row>
    <row r="151" spans="1:105" ht="11.45" customHeight="1" x14ac:dyDescent="0.25">
      <c r="A151" s="111" t="s">
        <v>110</v>
      </c>
      <c r="B151" s="97">
        <v>6.5429833956305581</v>
      </c>
      <c r="C151" s="97">
        <v>6.5249132959516123</v>
      </c>
      <c r="D151" s="97">
        <v>6.5068725810637495</v>
      </c>
      <c r="E151" s="97">
        <v>6.4937176765613902</v>
      </c>
      <c r="F151" s="97">
        <v>6.5292577973182029</v>
      </c>
      <c r="G151" s="97">
        <v>6.5696768445121023</v>
      </c>
      <c r="H151" s="97">
        <v>6.58316007882057</v>
      </c>
      <c r="I151" s="97">
        <v>6.6565559330226147</v>
      </c>
      <c r="J151" s="97">
        <v>6.646925139304364</v>
      </c>
      <c r="K151" s="97">
        <v>6.5974616090430818</v>
      </c>
      <c r="L151" s="97">
        <v>6.5875765359291947</v>
      </c>
      <c r="M151" s="97">
        <v>6.6037759820121069</v>
      </c>
      <c r="N151" s="97">
        <v>6.5392182152745537</v>
      </c>
      <c r="O151" s="97">
        <v>6.5206560314432753</v>
      </c>
      <c r="P151" s="97">
        <v>6.5085262859948534</v>
      </c>
      <c r="Q151" s="97">
        <v>6.5760683760683758</v>
      </c>
      <c r="R151" s="97">
        <v>6.6083118001722649</v>
      </c>
      <c r="S151" s="97">
        <v>6.5155880471271566</v>
      </c>
      <c r="T151" s="97">
        <v>6.5162378620481558</v>
      </c>
      <c r="U151" s="97">
        <v>6.6083232042599986</v>
      </c>
      <c r="V151" s="97">
        <v>5.3307455220076578</v>
      </c>
      <c r="W151" s="97">
        <v>5.3021880932857597</v>
      </c>
      <c r="X151" s="97">
        <v>5.3973542767120746</v>
      </c>
      <c r="Y151" s="97">
        <v>5.636482447100323</v>
      </c>
      <c r="DA151" s="175" t="s">
        <v>562</v>
      </c>
    </row>
    <row r="152" spans="1:105" ht="11.45" customHeight="1" x14ac:dyDescent="0.25">
      <c r="A152" s="111" t="s">
        <v>111</v>
      </c>
      <c r="B152" s="97">
        <v>16.998370140851005</v>
      </c>
      <c r="C152" s="97">
        <v>16.00487456686156</v>
      </c>
      <c r="D152" s="97">
        <v>15.033652006613671</v>
      </c>
      <c r="E152" s="97">
        <v>14.237243093661078</v>
      </c>
      <c r="F152" s="97">
        <v>15.14376576824424</v>
      </c>
      <c r="G152" s="97">
        <v>16.030700097599244</v>
      </c>
      <c r="H152" s="97">
        <v>16.400984251159866</v>
      </c>
      <c r="I152" s="97">
        <v>18.035856140677382</v>
      </c>
      <c r="J152" s="97">
        <v>17.518680651538897</v>
      </c>
      <c r="K152" s="97">
        <v>15.974883334140465</v>
      </c>
      <c r="L152" s="97">
        <v>15.606991724076456</v>
      </c>
      <c r="M152" s="97">
        <v>16.012346226336415</v>
      </c>
      <c r="N152" s="97">
        <v>14.260520513589869</v>
      </c>
      <c r="O152" s="97">
        <v>13.739118211787082</v>
      </c>
      <c r="P152" s="97">
        <v>13.409020619771326</v>
      </c>
      <c r="Q152" s="97">
        <v>15.201544734256132</v>
      </c>
      <c r="R152" s="97">
        <v>16.048251071601797</v>
      </c>
      <c r="S152" s="97">
        <v>13.572717689927256</v>
      </c>
      <c r="T152" s="97">
        <v>13.585161361283658</v>
      </c>
      <c r="U152" s="97">
        <v>16.030599930003884</v>
      </c>
      <c r="V152" s="97">
        <v>7.0959937245582161</v>
      </c>
      <c r="W152" s="97">
        <v>6.2031782479227848</v>
      </c>
      <c r="X152" s="97">
        <v>9.175051137722523</v>
      </c>
      <c r="Y152" s="97">
        <v>16.647581628526925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13.585161361283658</v>
      </c>
      <c r="U153" s="97">
        <v>16.030599930003884</v>
      </c>
      <c r="V153" s="97">
        <v>7.095993724558217</v>
      </c>
      <c r="W153" s="97">
        <v>6.2031782479227848</v>
      </c>
      <c r="X153" s="97">
        <v>9.175051137722523</v>
      </c>
      <c r="Y153" s="97">
        <v>16.647581628526925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15.606991724076458</v>
      </c>
      <c r="M154" s="97">
        <v>16.012346226336415</v>
      </c>
      <c r="N154" s="97">
        <v>14.260520513589867</v>
      </c>
      <c r="O154" s="97">
        <v>13.73911821178708</v>
      </c>
      <c r="P154" s="97">
        <v>13.409020619771324</v>
      </c>
      <c r="Q154" s="97">
        <v>15.20154473425613</v>
      </c>
      <c r="R154" s="97">
        <v>16.04825107160179</v>
      </c>
      <c r="S154" s="97">
        <v>13.572717689927252</v>
      </c>
      <c r="T154" s="97">
        <v>13.58516136128366</v>
      </c>
      <c r="U154" s="97">
        <v>16.030599930003884</v>
      </c>
      <c r="V154" s="97">
        <v>7.095993724558217</v>
      </c>
      <c r="W154" s="97">
        <v>6.2031782479227831</v>
      </c>
      <c r="X154" s="97">
        <v>9.175051137722523</v>
      </c>
      <c r="Y154" s="97">
        <v>16.647581628526925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15.606991724076458</v>
      </c>
      <c r="M155" s="97">
        <v>16.012346226336415</v>
      </c>
      <c r="N155" s="97">
        <v>14.260520513589869</v>
      </c>
      <c r="O155" s="97">
        <v>13.73911821178708</v>
      </c>
      <c r="P155" s="97">
        <v>13.409020619771324</v>
      </c>
      <c r="Q155" s="97">
        <v>15.20154473425613</v>
      </c>
      <c r="R155" s="97">
        <v>16.04825107160179</v>
      </c>
      <c r="S155" s="97">
        <v>13.572717689927254</v>
      </c>
      <c r="T155" s="97">
        <v>13.585161361283658</v>
      </c>
      <c r="U155" s="97">
        <v>16.030599930003884</v>
      </c>
      <c r="V155" s="97">
        <v>7.095993724558217</v>
      </c>
      <c r="W155" s="97">
        <v>6.2031782479227848</v>
      </c>
      <c r="X155" s="97">
        <v>9.175051137722523</v>
      </c>
      <c r="Y155" s="97">
        <v>16.647581628526925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1.6391391633243193</v>
      </c>
      <c r="C156" s="32">
        <f t="shared" si="207"/>
        <v>1.5046602504928288</v>
      </c>
      <c r="D156" s="32">
        <f t="shared" si="207"/>
        <v>1.7237773013071407</v>
      </c>
      <c r="E156" s="32">
        <f t="shared" si="207"/>
        <v>2.4905102848892682</v>
      </c>
      <c r="F156" s="32">
        <f t="shared" si="207"/>
        <v>2.5156508250588048</v>
      </c>
      <c r="G156" s="32">
        <f t="shared" si="207"/>
        <v>3.0513223654785948</v>
      </c>
      <c r="H156" s="32">
        <f t="shared" si="207"/>
        <v>3.2730703928983682</v>
      </c>
      <c r="I156" s="32">
        <f t="shared" si="207"/>
        <v>3.3803249277598937</v>
      </c>
      <c r="J156" s="32">
        <f t="shared" si="207"/>
        <v>3.1933463578495576</v>
      </c>
      <c r="K156" s="32">
        <f t="shared" si="207"/>
        <v>2.7314043409305619</v>
      </c>
      <c r="L156" s="32">
        <f t="shared" ref="L156" si="208">IF(L19=0,0,L19/L46)</f>
        <v>2.9223464997011517</v>
      </c>
      <c r="M156" s="32">
        <f t="shared" ref="M156:V156" si="209">IF(M19=0,0,M19/M46)</f>
        <v>3.1152311735525378</v>
      </c>
      <c r="N156" s="32">
        <f t="shared" si="209"/>
        <v>3.1063925370249694</v>
      </c>
      <c r="O156" s="32">
        <f t="shared" si="209"/>
        <v>3.0727352849553062</v>
      </c>
      <c r="P156" s="32">
        <f t="shared" si="209"/>
        <v>2.9639561281438707</v>
      </c>
      <c r="Q156" s="32">
        <f t="shared" si="209"/>
        <v>3.0171836991790113</v>
      </c>
      <c r="R156" s="32">
        <f t="shared" si="209"/>
        <v>2.9904836853393344</v>
      </c>
      <c r="S156" s="32">
        <f t="shared" si="209"/>
        <v>2.6998457536893232</v>
      </c>
      <c r="T156" s="32">
        <f t="shared" si="209"/>
        <v>2.547385099809313</v>
      </c>
      <c r="U156" s="32">
        <f t="shared" si="209"/>
        <v>2.3628948004720449</v>
      </c>
      <c r="V156" s="32">
        <f t="shared" si="209"/>
        <v>2.1779689093374981</v>
      </c>
      <c r="W156" s="32">
        <f t="shared" ref="W156:Y156" si="210">IF(W19=0,0,W19/W46)</f>
        <v>2.2953943325357193</v>
      </c>
      <c r="X156" s="32">
        <f t="shared" si="210"/>
        <v>2.3251965771492857</v>
      </c>
      <c r="Y156" s="32">
        <f t="shared" si="210"/>
        <v>2.1086221885357239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0.3069935567608163</v>
      </c>
      <c r="C157" s="141">
        <f t="shared" si="211"/>
        <v>0.30221041208539001</v>
      </c>
      <c r="D157" s="141">
        <f t="shared" si="211"/>
        <v>0.30113753266424798</v>
      </c>
      <c r="E157" s="141">
        <f t="shared" si="211"/>
        <v>0.30327738687661682</v>
      </c>
      <c r="F157" s="141">
        <f t="shared" si="211"/>
        <v>0.30191960848420152</v>
      </c>
      <c r="G157" s="141">
        <f t="shared" si="211"/>
        <v>0.305116080087042</v>
      </c>
      <c r="H157" s="141">
        <f t="shared" si="211"/>
        <v>0.30511833182921705</v>
      </c>
      <c r="I157" s="141">
        <f t="shared" si="211"/>
        <v>0.3101835136426806</v>
      </c>
      <c r="J157" s="141">
        <f t="shared" si="211"/>
        <v>0.31291721458799338</v>
      </c>
      <c r="K157" s="141">
        <f t="shared" si="211"/>
        <v>0.31653541849237971</v>
      </c>
      <c r="L157" s="141">
        <f t="shared" ref="L157" si="212">IF(L20=0,0,L20/L47)</f>
        <v>0.31996564889868101</v>
      </c>
      <c r="M157" s="141">
        <f t="shared" ref="M157:V157" si="213">IF(M20=0,0,M20/M47)</f>
        <v>0.3203242960393694</v>
      </c>
      <c r="N157" s="141">
        <f t="shared" si="213"/>
        <v>0.32297549721582947</v>
      </c>
      <c r="O157" s="141">
        <f t="shared" si="213"/>
        <v>0.32670291159868725</v>
      </c>
      <c r="P157" s="141">
        <f t="shared" si="213"/>
        <v>0.32875906109178965</v>
      </c>
      <c r="Q157" s="141">
        <f t="shared" si="213"/>
        <v>0.33129551980431365</v>
      </c>
      <c r="R157" s="141">
        <f t="shared" si="213"/>
        <v>0.33101647480850116</v>
      </c>
      <c r="S157" s="141">
        <f t="shared" si="213"/>
        <v>0.33023602397553176</v>
      </c>
      <c r="T157" s="141">
        <f t="shared" si="213"/>
        <v>0.32798265053014419</v>
      </c>
      <c r="U157" s="141">
        <f t="shared" si="213"/>
        <v>0.32789785730487236</v>
      </c>
      <c r="V157" s="141">
        <f t="shared" si="213"/>
        <v>0.32955303910958961</v>
      </c>
      <c r="W157" s="141">
        <f t="shared" ref="W157:Y157" si="214">IF(W20=0,0,W20/W47)</f>
        <v>0.32921562903000351</v>
      </c>
      <c r="X157" s="141">
        <f t="shared" si="214"/>
        <v>0.32866208124833102</v>
      </c>
      <c r="Y157" s="141">
        <f t="shared" si="214"/>
        <v>0.33066358765866471</v>
      </c>
      <c r="DA157" s="174" t="s">
        <v>568</v>
      </c>
    </row>
    <row r="158" spans="1:105" ht="11.45" customHeight="1" x14ac:dyDescent="0.25">
      <c r="A158" s="111" t="s">
        <v>110</v>
      </c>
      <c r="B158" s="96">
        <v>0.24331877228009124</v>
      </c>
      <c r="C158" s="96">
        <v>0.23730893915173104</v>
      </c>
      <c r="D158" s="96">
        <v>0.23732498979755642</v>
      </c>
      <c r="E158" s="96">
        <v>0.23939481429679943</v>
      </c>
      <c r="F158" s="96">
        <v>0.23621389829156306</v>
      </c>
      <c r="G158" s="96">
        <v>0.2402384231972178</v>
      </c>
      <c r="H158" s="96">
        <v>0.23862181066841326</v>
      </c>
      <c r="I158" s="96">
        <v>0.24424581645963994</v>
      </c>
      <c r="J158" s="96">
        <v>0.24985728757520176</v>
      </c>
      <c r="K158" s="96">
        <v>0.25570695015548306</v>
      </c>
      <c r="L158" s="96">
        <v>0.26020283685687073</v>
      </c>
      <c r="M158" s="96">
        <v>0.25812779112566314</v>
      </c>
      <c r="N158" s="96">
        <v>0.26035226014120089</v>
      </c>
      <c r="O158" s="96">
        <v>0.26366828157717653</v>
      </c>
      <c r="P158" s="96">
        <v>0.26508689390147483</v>
      </c>
      <c r="Q158" s="96">
        <v>0.26719480519480526</v>
      </c>
      <c r="R158" s="96">
        <v>0.27058562304203354</v>
      </c>
      <c r="S158" s="96">
        <v>0.27126296699739533</v>
      </c>
      <c r="T158" s="96">
        <v>0.26584069472013239</v>
      </c>
      <c r="U158" s="96">
        <v>0.27013233182473839</v>
      </c>
      <c r="V158" s="96">
        <v>0.2762209127826899</v>
      </c>
      <c r="W158" s="96">
        <v>0.28080037680803571</v>
      </c>
      <c r="X158" s="96">
        <v>0.28547313908071881</v>
      </c>
      <c r="Y158" s="96">
        <v>0.29269559863288558</v>
      </c>
      <c r="DA158" s="171" t="s">
        <v>569</v>
      </c>
    </row>
    <row r="159" spans="1:105" ht="11.45" customHeight="1" x14ac:dyDescent="0.25">
      <c r="A159" s="111" t="s">
        <v>111</v>
      </c>
      <c r="B159" s="96">
        <v>0.32820837646057321</v>
      </c>
      <c r="C159" s="96">
        <v>0.32626866475172495</v>
      </c>
      <c r="D159" s="96">
        <v>0.32434918030140408</v>
      </c>
      <c r="E159" s="96">
        <v>0.32581303316075455</v>
      </c>
      <c r="F159" s="96">
        <v>0.32730553550981012</v>
      </c>
      <c r="G159" s="96">
        <v>0.32879753107211646</v>
      </c>
      <c r="H159" s="96">
        <v>0.33025362904895506</v>
      </c>
      <c r="I159" s="96">
        <v>0.3316546253455479</v>
      </c>
      <c r="J159" s="96">
        <v>0.33286827757193965</v>
      </c>
      <c r="K159" s="96">
        <v>0.33422919512047672</v>
      </c>
      <c r="L159" s="96">
        <v>0.33555831758395793</v>
      </c>
      <c r="M159" s="96">
        <v>0.33678991484584925</v>
      </c>
      <c r="N159" s="96">
        <v>0.33797999341227269</v>
      </c>
      <c r="O159" s="96">
        <v>0.33906243000400443</v>
      </c>
      <c r="P159" s="96">
        <v>0.34024566141919643</v>
      </c>
      <c r="Q159" s="96">
        <v>0.34207547339798688</v>
      </c>
      <c r="R159" s="96">
        <v>0.33969550782099117</v>
      </c>
      <c r="S159" s="96">
        <v>0.33801400762154643</v>
      </c>
      <c r="T159" s="96">
        <v>0.33633829129375142</v>
      </c>
      <c r="U159" s="96">
        <v>0.3346415935515395</v>
      </c>
      <c r="V159" s="96">
        <v>0.33504906486139752</v>
      </c>
      <c r="W159" s="96">
        <v>0.33350169243405103</v>
      </c>
      <c r="X159" s="96">
        <v>0.33198167240917148</v>
      </c>
      <c r="Y159" s="96">
        <v>0.3332832990649644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0.26612166062684101</v>
      </c>
      <c r="O161" s="96">
        <v>0.26643786245832668</v>
      </c>
      <c r="P161" s="96">
        <v>0.26683076761995839</v>
      </c>
      <c r="Q161" s="96">
        <v>0.26719480519480526</v>
      </c>
      <c r="R161" s="96">
        <v>0.26639932080501388</v>
      </c>
      <c r="S161" s="96">
        <v>0.26561400409533348</v>
      </c>
      <c r="T161" s="96">
        <v>0.26482900276971566</v>
      </c>
      <c r="U161" s="96">
        <v>0.26402321334949075</v>
      </c>
      <c r="V161" s="96">
        <v>0.26487658223030364</v>
      </c>
      <c r="W161" s="96">
        <v>0.26418378439977064</v>
      </c>
      <c r="X161" s="96">
        <v>0.26350883711111578</v>
      </c>
      <c r="Y161" s="96">
        <v>0.26507427890101393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0.26756337048708101</v>
      </c>
      <c r="J162" s="96">
        <v>0.26751683498804463</v>
      </c>
      <c r="K162" s="96">
        <v>0.26746486378732198</v>
      </c>
      <c r="L162" s="96">
        <v>0.26741432033269591</v>
      </c>
      <c r="M162" s="96">
        <v>0.26736767239886883</v>
      </c>
      <c r="N162" s="96">
        <v>0.26732276648907466</v>
      </c>
      <c r="O162" s="96">
        <v>0.26728206591477394</v>
      </c>
      <c r="P162" s="96">
        <v>0.26723773079947583</v>
      </c>
      <c r="Q162" s="96">
        <v>0.26719480519480526</v>
      </c>
      <c r="R162" s="96">
        <v>0.26725832466745741</v>
      </c>
      <c r="S162" s="96">
        <v>0.26732148544773404</v>
      </c>
      <c r="T162" s="96">
        <v>0.26738475729448818</v>
      </c>
      <c r="U162" s="96">
        <v>0.26744915873029113</v>
      </c>
      <c r="V162" s="96">
        <v>0.2676817293255373</v>
      </c>
      <c r="W162" s="96">
        <v>0.26749261827902659</v>
      </c>
      <c r="X162" s="96">
        <v>0.26755081286742899</v>
      </c>
      <c r="Y162" s="96">
        <v>0.26750096244480803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9.2094468276770414</v>
      </c>
      <c r="C163" s="130">
        <f t="shared" si="215"/>
        <v>9.4746379371388816</v>
      </c>
      <c r="D163" s="130">
        <f t="shared" si="215"/>
        <v>9.1244943705390895</v>
      </c>
      <c r="E163" s="130">
        <f t="shared" si="215"/>
        <v>9.8790034573522387</v>
      </c>
      <c r="F163" s="130">
        <f t="shared" si="215"/>
        <v>9.062396553339962</v>
      </c>
      <c r="G163" s="130">
        <f t="shared" si="215"/>
        <v>10.397891959165504</v>
      </c>
      <c r="H163" s="130">
        <f t="shared" si="215"/>
        <v>10.502650242596177</v>
      </c>
      <c r="I163" s="130">
        <f t="shared" si="215"/>
        <v>9.9378724144639072</v>
      </c>
      <c r="J163" s="130">
        <f t="shared" si="215"/>
        <v>9.3786153828168111</v>
      </c>
      <c r="K163" s="130">
        <f t="shared" si="215"/>
        <v>9.4962963368085518</v>
      </c>
      <c r="L163" s="130">
        <f t="shared" ref="L163" si="216">IF(L26=0,0,L26/L53)</f>
        <v>10.578396970670427</v>
      </c>
      <c r="M163" s="130">
        <f t="shared" ref="M163:V163" si="217">IF(M26=0,0,M26/M53)</f>
        <v>10.736238636832121</v>
      </c>
      <c r="N163" s="130">
        <f t="shared" si="217"/>
        <v>11.143279420767239</v>
      </c>
      <c r="O163" s="130">
        <f t="shared" si="217"/>
        <v>11.03399421460154</v>
      </c>
      <c r="P163" s="130">
        <f t="shared" si="217"/>
        <v>11.394210560592422</v>
      </c>
      <c r="Q163" s="130">
        <f t="shared" si="217"/>
        <v>11.496886999552311</v>
      </c>
      <c r="R163" s="130">
        <f t="shared" si="217"/>
        <v>11.412194183959098</v>
      </c>
      <c r="S163" s="130">
        <f t="shared" si="217"/>
        <v>12.112377416566272</v>
      </c>
      <c r="T163" s="130">
        <f t="shared" si="217"/>
        <v>12.013945727931924</v>
      </c>
      <c r="U163" s="130">
        <f t="shared" si="217"/>
        <v>12.399454624355341</v>
      </c>
      <c r="V163" s="130">
        <f t="shared" si="217"/>
        <v>12.032904510680947</v>
      </c>
      <c r="W163" s="130">
        <f t="shared" ref="W163:Y163" si="218">IF(W26=0,0,W26/W53)</f>
        <v>11.761618434710387</v>
      </c>
      <c r="X163" s="130">
        <f t="shared" si="218"/>
        <v>11.716355630494929</v>
      </c>
      <c r="Y163" s="130">
        <f t="shared" si="218"/>
        <v>11.689719657361863</v>
      </c>
      <c r="DA163" s="176" t="s">
        <v>574</v>
      </c>
    </row>
    <row r="164" spans="1:105" ht="11.45" customHeight="1" x14ac:dyDescent="0.25">
      <c r="A164" s="128" t="s">
        <v>27</v>
      </c>
      <c r="B164" s="97">
        <v>7.1159631862900676</v>
      </c>
      <c r="C164" s="97">
        <v>6.8217211813274057</v>
      </c>
      <c r="D164" s="97">
        <v>6.9040563966254496</v>
      </c>
      <c r="E164" s="97">
        <v>8.7111111111111104</v>
      </c>
      <c r="F164" s="97">
        <v>7.6185567010309274</v>
      </c>
      <c r="G164" s="97">
        <v>9.3282828282828287</v>
      </c>
      <c r="H164" s="97">
        <v>9.4238095238095241</v>
      </c>
      <c r="I164" s="97">
        <v>8.6311111111111103</v>
      </c>
      <c r="J164" s="97">
        <v>8.0350877192982448</v>
      </c>
      <c r="K164" s="97">
        <v>8.0853658536585371</v>
      </c>
      <c r="L164" s="97">
        <v>9.2533333333333339</v>
      </c>
      <c r="M164" s="97">
        <v>9.4036144578313259</v>
      </c>
      <c r="N164" s="97">
        <v>9.9316770186335397</v>
      </c>
      <c r="O164" s="97">
        <v>9.5963855421686741</v>
      </c>
      <c r="P164" s="97">
        <v>10.006493506493506</v>
      </c>
      <c r="Q164" s="97">
        <v>9.9607843137254903</v>
      </c>
      <c r="R164" s="97">
        <v>10.067415730337078</v>
      </c>
      <c r="S164" s="97">
        <v>10.946308724832214</v>
      </c>
      <c r="T164" s="97">
        <v>10.738853503184714</v>
      </c>
      <c r="U164" s="97">
        <v>11.4</v>
      </c>
      <c r="V164" s="97">
        <v>10.434426229508198</v>
      </c>
      <c r="W164" s="97">
        <v>10.465116279069768</v>
      </c>
      <c r="X164" s="97">
        <v>10.210227272727273</v>
      </c>
      <c r="Y164" s="97">
        <v>10.178807947019868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14.138211571635043</v>
      </c>
      <c r="Q165" s="98">
        <v>14.00555631773906</v>
      </c>
      <c r="R165" s="98">
        <v>13.933281647068956</v>
      </c>
      <c r="S165" s="98">
        <v>14.0120381138928</v>
      </c>
      <c r="T165" s="98">
        <v>14.146454243557947</v>
      </c>
      <c r="U165" s="98">
        <v>14.062037656310165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8447.5465108338631</v>
      </c>
      <c r="C167" s="54">
        <f t="shared" si="219"/>
        <v>10146.094866000807</v>
      </c>
      <c r="D167" s="54">
        <f t="shared" si="219"/>
        <v>9862.5614931858654</v>
      </c>
      <c r="E167" s="54">
        <f t="shared" si="219"/>
        <v>9367.8527295978711</v>
      </c>
      <c r="F167" s="54">
        <f t="shared" si="219"/>
        <v>8941.6010014088752</v>
      </c>
      <c r="G167" s="54">
        <f t="shared" si="219"/>
        <v>9126.6311902013094</v>
      </c>
      <c r="H167" s="54">
        <f t="shared" si="219"/>
        <v>9992.6982427391977</v>
      </c>
      <c r="I167" s="54">
        <f t="shared" si="219"/>
        <v>10605.588751878693</v>
      </c>
      <c r="J167" s="54">
        <f t="shared" si="219"/>
        <v>10194.014695295664</v>
      </c>
      <c r="K167" s="54">
        <f t="shared" si="219"/>
        <v>10277.226435521336</v>
      </c>
      <c r="L167" s="54">
        <f t="shared" si="219"/>
        <v>10051.830163342855</v>
      </c>
      <c r="M167" s="54">
        <f>IF(M30=0,0,M30*1000000/M57)</f>
        <v>9756.9091898738952</v>
      </c>
      <c r="N167" s="54">
        <f t="shared" ref="N167:V167" si="220">IF(N30=0,0,N30*1000000/N57)</f>
        <v>9532.4772071618863</v>
      </c>
      <c r="O167" s="54">
        <f t="shared" si="220"/>
        <v>9336.8472723183513</v>
      </c>
      <c r="P167" s="54">
        <f t="shared" si="220"/>
        <v>9248.2463540726567</v>
      </c>
      <c r="Q167" s="54">
        <f t="shared" si="220"/>
        <v>9558.0370512630161</v>
      </c>
      <c r="R167" s="54">
        <f t="shared" si="220"/>
        <v>9796.3983434761612</v>
      </c>
      <c r="S167" s="54">
        <f t="shared" si="220"/>
        <v>9960.3529129588551</v>
      </c>
      <c r="T167" s="54">
        <f t="shared" si="220"/>
        <v>10306.342573187179</v>
      </c>
      <c r="U167" s="54">
        <f t="shared" si="220"/>
        <v>9940.9607178260303</v>
      </c>
      <c r="V167" s="54">
        <f t="shared" si="220"/>
        <v>9470.7178903841359</v>
      </c>
      <c r="W167" s="54">
        <f t="shared" ref="W167:Y191" si="221">IF(W30=0,0,W30*1000000/W57)</f>
        <v>9487.6814802605659</v>
      </c>
      <c r="X167" s="54">
        <f t="shared" si="221"/>
        <v>9605.7620201772588</v>
      </c>
      <c r="Y167" s="54">
        <f t="shared" si="221"/>
        <v>9590.7559202608918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7417.9135427031842</v>
      </c>
      <c r="C168" s="28">
        <f t="shared" si="219"/>
        <v>9261.7988530213242</v>
      </c>
      <c r="D168" s="28">
        <f t="shared" si="219"/>
        <v>8877.0301108386611</v>
      </c>
      <c r="E168" s="28">
        <f t="shared" si="219"/>
        <v>8394.6339502048595</v>
      </c>
      <c r="F168" s="28">
        <f t="shared" si="219"/>
        <v>7972.7207171591908</v>
      </c>
      <c r="G168" s="28">
        <f t="shared" si="219"/>
        <v>8297.5215119109689</v>
      </c>
      <c r="H168" s="28">
        <f t="shared" si="219"/>
        <v>9289.2247457705653</v>
      </c>
      <c r="I168" s="28">
        <f t="shared" si="219"/>
        <v>10021.796550313808</v>
      </c>
      <c r="J168" s="28">
        <f t="shared" si="219"/>
        <v>9643.1940271747608</v>
      </c>
      <c r="K168" s="28">
        <f t="shared" si="219"/>
        <v>9874.4319754362477</v>
      </c>
      <c r="L168" s="28">
        <f t="shared" si="219"/>
        <v>9670.0365520234518</v>
      </c>
      <c r="M168" s="28">
        <f t="shared" ref="M168:M192" si="222">IF(M31=0,0,M31*1000000/M58)</f>
        <v>9326.5712512350019</v>
      </c>
      <c r="N168" s="28">
        <f t="shared" si="219"/>
        <v>9129.668775592052</v>
      </c>
      <c r="O168" s="28">
        <f t="shared" si="219"/>
        <v>8889.5933757732382</v>
      </c>
      <c r="P168" s="28">
        <f t="shared" si="219"/>
        <v>8834.7121515964482</v>
      </c>
      <c r="Q168" s="28">
        <f t="shared" si="219"/>
        <v>9189.2163061268657</v>
      </c>
      <c r="R168" s="28">
        <f t="shared" si="219"/>
        <v>9401.8002887089369</v>
      </c>
      <c r="S168" s="28">
        <f t="shared" si="219"/>
        <v>9610.117804305306</v>
      </c>
      <c r="T168" s="28">
        <f t="shared" si="219"/>
        <v>9941.7963684000624</v>
      </c>
      <c r="U168" s="28">
        <f t="shared" si="219"/>
        <v>9551.9657336621003</v>
      </c>
      <c r="V168" s="28">
        <f t="shared" si="219"/>
        <v>9053.865327332107</v>
      </c>
      <c r="W168" s="28">
        <f t="shared" si="221"/>
        <v>8993.9383602083162</v>
      </c>
      <c r="X168" s="28">
        <f t="shared" si="221"/>
        <v>9081.5091980781071</v>
      </c>
      <c r="Y168" s="28">
        <f t="shared" si="221"/>
        <v>9135.9113243323936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1205.9837182802814</v>
      </c>
      <c r="C169" s="137">
        <f t="shared" si="219"/>
        <v>1205.0097019437801</v>
      </c>
      <c r="D169" s="137">
        <f t="shared" si="219"/>
        <v>1199.6915171049038</v>
      </c>
      <c r="E169" s="137">
        <f t="shared" si="219"/>
        <v>1193.4815110661284</v>
      </c>
      <c r="F169" s="137">
        <f t="shared" si="219"/>
        <v>1190.9962019858365</v>
      </c>
      <c r="G169" s="137">
        <f t="shared" si="219"/>
        <v>1185.5515217602801</v>
      </c>
      <c r="H169" s="137">
        <f t="shared" si="219"/>
        <v>1184.9692605640657</v>
      </c>
      <c r="I169" s="137">
        <f t="shared" si="219"/>
        <v>1184.5617140781656</v>
      </c>
      <c r="J169" s="137">
        <f t="shared" si="219"/>
        <v>1183.6550846705049</v>
      </c>
      <c r="K169" s="137">
        <f t="shared" si="219"/>
        <v>1176.0151891099981</v>
      </c>
      <c r="L169" s="137">
        <f t="shared" si="219"/>
        <v>1172.4889487277521</v>
      </c>
      <c r="M169" s="137">
        <f t="shared" si="222"/>
        <v>1171.2661929730773</v>
      </c>
      <c r="N169" s="137">
        <f t="shared" si="219"/>
        <v>1171.2075550074785</v>
      </c>
      <c r="O169" s="137">
        <f t="shared" si="219"/>
        <v>1168.3848937538453</v>
      </c>
      <c r="P169" s="137">
        <f t="shared" si="219"/>
        <v>1164.775413711584</v>
      </c>
      <c r="Q169" s="137">
        <f t="shared" si="219"/>
        <v>1160.4395604395604</v>
      </c>
      <c r="R169" s="137">
        <f t="shared" si="219"/>
        <v>1177.2445902467007</v>
      </c>
      <c r="S169" s="137">
        <f t="shared" si="219"/>
        <v>1060.8067484751575</v>
      </c>
      <c r="T169" s="137">
        <f t="shared" si="219"/>
        <v>969.24045418097137</v>
      </c>
      <c r="U169" s="137">
        <f t="shared" si="219"/>
        <v>977.31478099232277</v>
      </c>
      <c r="V169" s="137">
        <f t="shared" si="219"/>
        <v>841.82818739528011</v>
      </c>
      <c r="W169" s="137">
        <f t="shared" si="221"/>
        <v>840.14169465383065</v>
      </c>
      <c r="X169" s="137">
        <f t="shared" si="221"/>
        <v>812.87050767377582</v>
      </c>
      <c r="Y169" s="137">
        <f t="shared" si="221"/>
        <v>844.97303659675208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7176.0856702526144</v>
      </c>
      <c r="C170" s="110">
        <f t="shared" si="219"/>
        <v>9084.607177374548</v>
      </c>
      <c r="D170" s="110">
        <f t="shared" si="219"/>
        <v>8698.5545472270333</v>
      </c>
      <c r="E170" s="110">
        <f t="shared" si="219"/>
        <v>8223.1887116194066</v>
      </c>
      <c r="F170" s="110">
        <f t="shared" si="219"/>
        <v>7814.4320846111577</v>
      </c>
      <c r="G170" s="110">
        <f t="shared" si="219"/>
        <v>8164.6370648010261</v>
      </c>
      <c r="H170" s="110">
        <f t="shared" si="219"/>
        <v>9216.2140812680045</v>
      </c>
      <c r="I170" s="110">
        <f t="shared" si="219"/>
        <v>10061.096728454451</v>
      </c>
      <c r="J170" s="110">
        <f t="shared" si="219"/>
        <v>9726.6517181889558</v>
      </c>
      <c r="K170" s="110">
        <f t="shared" si="219"/>
        <v>9998.2041203432491</v>
      </c>
      <c r="L170" s="110">
        <f t="shared" si="219"/>
        <v>9803.7311657491045</v>
      </c>
      <c r="M170" s="110">
        <f t="shared" si="222"/>
        <v>9496.0128739927295</v>
      </c>
      <c r="N170" s="110">
        <f t="shared" si="219"/>
        <v>9440.0978199835554</v>
      </c>
      <c r="O170" s="110">
        <f t="shared" si="219"/>
        <v>9203.34640491959</v>
      </c>
      <c r="P170" s="110">
        <f t="shared" si="219"/>
        <v>9166.6803174482211</v>
      </c>
      <c r="Q170" s="110">
        <f t="shared" si="219"/>
        <v>9562.5522144160568</v>
      </c>
      <c r="R170" s="110">
        <f t="shared" si="219"/>
        <v>9774.430073933323</v>
      </c>
      <c r="S170" s="110">
        <f t="shared" si="219"/>
        <v>9991.2538955446271</v>
      </c>
      <c r="T170" s="110">
        <f t="shared" si="219"/>
        <v>10381.438614485594</v>
      </c>
      <c r="U170" s="110">
        <f t="shared" si="219"/>
        <v>9988.1197150057633</v>
      </c>
      <c r="V170" s="110">
        <f t="shared" si="219"/>
        <v>9488.2686827036996</v>
      </c>
      <c r="W170" s="110">
        <f t="shared" si="221"/>
        <v>9428.2573494900025</v>
      </c>
      <c r="X170" s="110">
        <f t="shared" si="221"/>
        <v>9539.1518602390133</v>
      </c>
      <c r="Y170" s="110">
        <f t="shared" si="221"/>
        <v>9690.5003427289084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7170.5787327434145</v>
      </c>
      <c r="C171" s="84">
        <f t="shared" si="219"/>
        <v>9241.5628207721566</v>
      </c>
      <c r="D171" s="84">
        <f t="shared" si="219"/>
        <v>8769.7765777231798</v>
      </c>
      <c r="E171" s="84">
        <f t="shared" si="219"/>
        <v>7989.8229107917559</v>
      </c>
      <c r="F171" s="84">
        <f t="shared" si="219"/>
        <v>7298.5263073826154</v>
      </c>
      <c r="G171" s="84">
        <f t="shared" si="219"/>
        <v>7443.1450707231525</v>
      </c>
      <c r="H171" s="84">
        <f t="shared" si="219"/>
        <v>8157.3405695891224</v>
      </c>
      <c r="I171" s="84">
        <f t="shared" si="219"/>
        <v>8910.2742365461963</v>
      </c>
      <c r="J171" s="84">
        <f t="shared" si="219"/>
        <v>8691.9136925520725</v>
      </c>
      <c r="K171" s="84">
        <f t="shared" si="219"/>
        <v>8345.2018392407008</v>
      </c>
      <c r="L171" s="84">
        <f t="shared" si="219"/>
        <v>8080.434101548286</v>
      </c>
      <c r="M171" s="84">
        <f t="shared" si="222"/>
        <v>7449.5213778954267</v>
      </c>
      <c r="N171" s="84">
        <f t="shared" si="219"/>
        <v>7149.7215703720749</v>
      </c>
      <c r="O171" s="84">
        <f t="shared" si="219"/>
        <v>6779.4386148583517</v>
      </c>
      <c r="P171" s="84">
        <f t="shared" si="219"/>
        <v>6914.851827456444</v>
      </c>
      <c r="Q171" s="84">
        <f t="shared" si="219"/>
        <v>6876.5910901586567</v>
      </c>
      <c r="R171" s="84">
        <f t="shared" si="219"/>
        <v>7288.5609651826126</v>
      </c>
      <c r="S171" s="84">
        <f t="shared" si="219"/>
        <v>7749.0411076977298</v>
      </c>
      <c r="T171" s="84">
        <f t="shared" si="219"/>
        <v>8204.7393852614041</v>
      </c>
      <c r="U171" s="84">
        <f t="shared" si="219"/>
        <v>8053.362171605374</v>
      </c>
      <c r="V171" s="84">
        <f t="shared" si="219"/>
        <v>6438.6952789202414</v>
      </c>
      <c r="W171" s="84">
        <f t="shared" si="221"/>
        <v>6019.2621357316311</v>
      </c>
      <c r="X171" s="84">
        <f t="shared" si="221"/>
        <v>6610.3966755295132</v>
      </c>
      <c r="Y171" s="84">
        <f t="shared" si="221"/>
        <v>6736.4788302061243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7146.6184988307787</v>
      </c>
      <c r="C172" s="84">
        <f t="shared" si="219"/>
        <v>7660.6877184594159</v>
      </c>
      <c r="D172" s="84">
        <f t="shared" si="219"/>
        <v>8037.3895784895012</v>
      </c>
      <c r="E172" s="84">
        <f t="shared" si="219"/>
        <v>9786.3485295924038</v>
      </c>
      <c r="F172" s="84">
        <f t="shared" si="219"/>
        <v>10848.095020186753</v>
      </c>
      <c r="G172" s="84">
        <f t="shared" si="219"/>
        <v>11883.387991211899</v>
      </c>
      <c r="H172" s="84">
        <f t="shared" si="219"/>
        <v>13763.35588148531</v>
      </c>
      <c r="I172" s="84">
        <f t="shared" si="219"/>
        <v>14031.794659095445</v>
      </c>
      <c r="J172" s="84">
        <f t="shared" si="219"/>
        <v>13080.259847589394</v>
      </c>
      <c r="K172" s="84">
        <f t="shared" si="219"/>
        <v>15304.543681310917</v>
      </c>
      <c r="L172" s="84">
        <f t="shared" si="219"/>
        <v>14971.720184790578</v>
      </c>
      <c r="M172" s="84">
        <f t="shared" si="222"/>
        <v>15021.760550205212</v>
      </c>
      <c r="N172" s="84">
        <f t="shared" si="219"/>
        <v>14846.76838544103</v>
      </c>
      <c r="O172" s="84">
        <f t="shared" si="219"/>
        <v>14248.725458257595</v>
      </c>
      <c r="P172" s="84">
        <f t="shared" si="219"/>
        <v>13408.152495642291</v>
      </c>
      <c r="Q172" s="84">
        <f t="shared" si="219"/>
        <v>14302.519348072179</v>
      </c>
      <c r="R172" s="84">
        <f t="shared" si="219"/>
        <v>13914.194217807515</v>
      </c>
      <c r="S172" s="84">
        <f t="shared" si="219"/>
        <v>13508.656423552116</v>
      </c>
      <c r="T172" s="84">
        <f t="shared" si="219"/>
        <v>13557.334824763177</v>
      </c>
      <c r="U172" s="84">
        <f t="shared" si="219"/>
        <v>12531.89790017927</v>
      </c>
      <c r="V172" s="84">
        <f t="shared" si="219"/>
        <v>13396.185623856381</v>
      </c>
      <c r="W172" s="84">
        <f t="shared" si="221"/>
        <v>13522.465922519999</v>
      </c>
      <c r="X172" s="84">
        <f t="shared" si="221"/>
        <v>12863.638620072335</v>
      </c>
      <c r="Y172" s="84">
        <f t="shared" si="221"/>
        <v>12965.942989720337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12243.220813802849</v>
      </c>
      <c r="C173" s="84">
        <f t="shared" si="219"/>
        <v>16030.835611779634</v>
      </c>
      <c r="D173" s="84">
        <f t="shared" si="219"/>
        <v>15706.656595511686</v>
      </c>
      <c r="E173" s="84">
        <f t="shared" si="219"/>
        <v>14488.104855949145</v>
      </c>
      <c r="F173" s="84">
        <f t="shared" si="219"/>
        <v>13607.519060797411</v>
      </c>
      <c r="G173" s="84">
        <f t="shared" si="219"/>
        <v>13858.496190668231</v>
      </c>
      <c r="H173" s="84">
        <f t="shared" si="219"/>
        <v>15257.27100098265</v>
      </c>
      <c r="I173" s="84">
        <f t="shared" si="219"/>
        <v>16107.823881422177</v>
      </c>
      <c r="J173" s="84">
        <f t="shared" si="219"/>
        <v>14779.645349092385</v>
      </c>
      <c r="K173" s="84">
        <f t="shared" si="219"/>
        <v>14628.584761388995</v>
      </c>
      <c r="L173" s="84">
        <f t="shared" si="219"/>
        <v>14048.986823420702</v>
      </c>
      <c r="M173" s="84">
        <f t="shared" si="222"/>
        <v>13319.938802848936</v>
      </c>
      <c r="N173" s="84">
        <f t="shared" si="219"/>
        <v>12978.037286487532</v>
      </c>
      <c r="O173" s="84">
        <f t="shared" si="219"/>
        <v>12885.133096476433</v>
      </c>
      <c r="P173" s="84">
        <f t="shared" si="219"/>
        <v>12579.644557452555</v>
      </c>
      <c r="Q173" s="84">
        <f t="shared" si="219"/>
        <v>12892.822949093104</v>
      </c>
      <c r="R173" s="84">
        <f t="shared" si="219"/>
        <v>13456.796851986106</v>
      </c>
      <c r="S173" s="84">
        <f t="shared" si="219"/>
        <v>14045.811858823863</v>
      </c>
      <c r="T173" s="84">
        <f t="shared" si="219"/>
        <v>14914.765890233901</v>
      </c>
      <c r="U173" s="84">
        <f t="shared" si="219"/>
        <v>14608.44942257201</v>
      </c>
      <c r="V173" s="84">
        <f t="shared" si="219"/>
        <v>14118.634323098719</v>
      </c>
      <c r="W173" s="84">
        <f t="shared" si="221"/>
        <v>14305.384607790314</v>
      </c>
      <c r="X173" s="84">
        <f t="shared" si="221"/>
        <v>14771.750421997014</v>
      </c>
      <c r="Y173" s="84">
        <f t="shared" si="221"/>
        <v>15318.293755313813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19665.747468160509</v>
      </c>
      <c r="M174" s="84">
        <f t="shared" si="222"/>
        <v>18737.407618302834</v>
      </c>
      <c r="N174" s="84">
        <f t="shared" si="219"/>
        <v>18114.041617366613</v>
      </c>
      <c r="O174" s="84">
        <f t="shared" si="219"/>
        <v>17272.480339610705</v>
      </c>
      <c r="P174" s="84">
        <f t="shared" si="219"/>
        <v>16843.643346552832</v>
      </c>
      <c r="Q174" s="84">
        <f t="shared" si="219"/>
        <v>17206.048920131121</v>
      </c>
      <c r="R174" s="84">
        <f t="shared" si="219"/>
        <v>17958.751455264446</v>
      </c>
      <c r="S174" s="84">
        <f t="shared" si="219"/>
        <v>18749.193419750558</v>
      </c>
      <c r="T174" s="84">
        <f t="shared" si="219"/>
        <v>20033.374154504436</v>
      </c>
      <c r="U174" s="84">
        <f t="shared" si="219"/>
        <v>19789.148681784358</v>
      </c>
      <c r="V174" s="84">
        <f t="shared" si="219"/>
        <v>19244.90695357505</v>
      </c>
      <c r="W174" s="84">
        <f t="shared" si="221"/>
        <v>19812.375042509215</v>
      </c>
      <c r="X174" s="84">
        <f t="shared" si="221"/>
        <v>20458.272700726429</v>
      </c>
      <c r="Y174" s="84">
        <f t="shared" si="221"/>
        <v>21215.212957387459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8150.5726788078664</v>
      </c>
      <c r="Q175" s="84">
        <f t="shared" si="219"/>
        <v>8939.4295734154784</v>
      </c>
      <c r="R175" s="84">
        <f t="shared" si="219"/>
        <v>8690.1691008991766</v>
      </c>
      <c r="S175" s="84">
        <f t="shared" si="219"/>
        <v>8450.0272664059266</v>
      </c>
      <c r="T175" s="84">
        <f t="shared" si="219"/>
        <v>8409.1685372095144</v>
      </c>
      <c r="U175" s="84">
        <f t="shared" si="219"/>
        <v>8219.8694416037943</v>
      </c>
      <c r="V175" s="84">
        <f t="shared" si="219"/>
        <v>7445.2118050712606</v>
      </c>
      <c r="W175" s="84">
        <f t="shared" si="221"/>
        <v>7138.7342596607696</v>
      </c>
      <c r="X175" s="84">
        <f t="shared" si="221"/>
        <v>6865.5774688929541</v>
      </c>
      <c r="Y175" s="84">
        <f t="shared" si="221"/>
        <v>6909.2774432353417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14593.609625970841</v>
      </c>
      <c r="K176" s="84">
        <f t="shared" si="219"/>
        <v>14658.266129295336</v>
      </c>
      <c r="L176" s="84">
        <f t="shared" si="219"/>
        <v>14692.765578441586</v>
      </c>
      <c r="M176" s="84">
        <f t="shared" si="222"/>
        <v>14742.122375661393</v>
      </c>
      <c r="N176" s="84">
        <f t="shared" si="219"/>
        <v>14776.021036633792</v>
      </c>
      <c r="O176" s="84">
        <f t="shared" si="219"/>
        <v>14818.079798231094</v>
      </c>
      <c r="P176" s="84">
        <f t="shared" si="219"/>
        <v>14836.200847629831</v>
      </c>
      <c r="Q176" s="84">
        <f t="shared" si="219"/>
        <v>14844.71567375564</v>
      </c>
      <c r="R176" s="84">
        <f t="shared" si="219"/>
        <v>14838.501421194433</v>
      </c>
      <c r="S176" s="84">
        <f t="shared" si="219"/>
        <v>14791.995466438533</v>
      </c>
      <c r="T176" s="84">
        <f t="shared" si="219"/>
        <v>14751.902489391898</v>
      </c>
      <c r="U176" s="84">
        <f t="shared" si="219"/>
        <v>14744.985043924902</v>
      </c>
      <c r="V176" s="84">
        <f t="shared" si="219"/>
        <v>13145.969422312608</v>
      </c>
      <c r="W176" s="84">
        <f t="shared" si="221"/>
        <v>14562.436398513917</v>
      </c>
      <c r="X176" s="84">
        <f t="shared" si="221"/>
        <v>14578.071747193299</v>
      </c>
      <c r="Y176" s="84">
        <f t="shared" si="221"/>
        <v>14589.244112775577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30746.444318639267</v>
      </c>
      <c r="C177" s="110">
        <f t="shared" si="219"/>
        <v>31295.178880487398</v>
      </c>
      <c r="D177" s="110">
        <f t="shared" si="219"/>
        <v>31873.195618939444</v>
      </c>
      <c r="E177" s="110">
        <f t="shared" si="219"/>
        <v>32511.016272717723</v>
      </c>
      <c r="F177" s="110">
        <f t="shared" si="219"/>
        <v>33146.864263843308</v>
      </c>
      <c r="G177" s="110">
        <f t="shared" si="219"/>
        <v>33825.828543340569</v>
      </c>
      <c r="H177" s="110">
        <f t="shared" si="219"/>
        <v>34541.443216199666</v>
      </c>
      <c r="I177" s="110">
        <f t="shared" si="219"/>
        <v>33587.634539068022</v>
      </c>
      <c r="J177" s="110">
        <f t="shared" si="219"/>
        <v>32846.356491854458</v>
      </c>
      <c r="K177" s="110">
        <f t="shared" si="219"/>
        <v>32126.667566656284</v>
      </c>
      <c r="L177" s="110">
        <f t="shared" si="219"/>
        <v>31513.378918533876</v>
      </c>
      <c r="M177" s="110">
        <f t="shared" si="222"/>
        <v>30891.495390516371</v>
      </c>
      <c r="N177" s="110">
        <f t="shared" si="219"/>
        <v>30339.136332805789</v>
      </c>
      <c r="O177" s="110">
        <f t="shared" si="219"/>
        <v>30947.03920486007</v>
      </c>
      <c r="P177" s="110">
        <f t="shared" si="219"/>
        <v>31619.24666696135</v>
      </c>
      <c r="Q177" s="110">
        <f t="shared" si="219"/>
        <v>32314.320886335659</v>
      </c>
      <c r="R177" s="110">
        <f t="shared" si="219"/>
        <v>37626.088717844847</v>
      </c>
      <c r="S177" s="110">
        <f t="shared" si="219"/>
        <v>42229.676400947123</v>
      </c>
      <c r="T177" s="110">
        <f t="shared" si="219"/>
        <v>41439.482961222093</v>
      </c>
      <c r="U177" s="110">
        <f t="shared" si="219"/>
        <v>38182.340547787782</v>
      </c>
      <c r="V177" s="110">
        <f t="shared" si="219"/>
        <v>36834.437086092723</v>
      </c>
      <c r="W177" s="110">
        <f t="shared" si="221"/>
        <v>38753.256419799043</v>
      </c>
      <c r="X177" s="110">
        <f t="shared" si="221"/>
        <v>39892.79112754159</v>
      </c>
      <c r="Y177" s="110">
        <f t="shared" si="221"/>
        <v>28730.371505170431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19872.144255810341</v>
      </c>
      <c r="C178" s="102">
        <f t="shared" si="219"/>
        <v>19847.747474983898</v>
      </c>
      <c r="D178" s="102">
        <f t="shared" si="219"/>
        <v>19836.115681018397</v>
      </c>
      <c r="E178" s="102">
        <f t="shared" si="219"/>
        <v>19855.994540274085</v>
      </c>
      <c r="F178" s="102">
        <f t="shared" si="219"/>
        <v>19866.619438835151</v>
      </c>
      <c r="G178" s="102">
        <f t="shared" si="219"/>
        <v>20708.287694641604</v>
      </c>
      <c r="H178" s="102">
        <f t="shared" si="219"/>
        <v>21013.103997435563</v>
      </c>
      <c r="I178" s="102">
        <f t="shared" si="219"/>
        <v>20820.685345802587</v>
      </c>
      <c r="J178" s="102">
        <f t="shared" si="219"/>
        <v>19939.672517978037</v>
      </c>
      <c r="K178" s="102">
        <f t="shared" si="219"/>
        <v>19099.203264145217</v>
      </c>
      <c r="L178" s="102">
        <f t="shared" si="219"/>
        <v>18349.56763827286</v>
      </c>
      <c r="M178" s="102">
        <f t="shared" si="222"/>
        <v>17618.49624167661</v>
      </c>
      <c r="N178" s="102">
        <f t="shared" si="219"/>
        <v>17440.520647704339</v>
      </c>
      <c r="O178" s="102">
        <f t="shared" si="219"/>
        <v>17273.077388567526</v>
      </c>
      <c r="P178" s="102">
        <f t="shared" si="219"/>
        <v>18030.447335675042</v>
      </c>
      <c r="Q178" s="102">
        <f t="shared" si="219"/>
        <v>18829.278978384038</v>
      </c>
      <c r="R178" s="102">
        <f t="shared" si="219"/>
        <v>21650.030363060163</v>
      </c>
      <c r="S178" s="102">
        <f t="shared" si="219"/>
        <v>23950.781993782377</v>
      </c>
      <c r="T178" s="102">
        <f t="shared" si="219"/>
        <v>23010.82431883533</v>
      </c>
      <c r="U178" s="102">
        <f t="shared" si="219"/>
        <v>20693.258454669394</v>
      </c>
      <c r="V178" s="102">
        <f t="shared" si="219"/>
        <v>19528.371246607599</v>
      </c>
      <c r="W178" s="102">
        <f t="shared" si="221"/>
        <v>20185.939689195817</v>
      </c>
      <c r="X178" s="102">
        <f t="shared" si="221"/>
        <v>21225.82969263777</v>
      </c>
      <c r="Y178" s="102">
        <f t="shared" si="221"/>
        <v>15338.539415763042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38827.087892369738</v>
      </c>
      <c r="C179" s="102">
        <f t="shared" si="219"/>
        <v>38677.350603305669</v>
      </c>
      <c r="D179" s="102">
        <f t="shared" si="219"/>
        <v>38342.125219723501</v>
      </c>
      <c r="E179" s="102">
        <f t="shared" si="219"/>
        <v>37835.664033141868</v>
      </c>
      <c r="F179" s="102">
        <f t="shared" si="219"/>
        <v>38005.899085004516</v>
      </c>
      <c r="G179" s="102">
        <f t="shared" si="219"/>
        <v>37322.817820996068</v>
      </c>
      <c r="H179" s="102">
        <f t="shared" si="219"/>
        <v>38081.772355789086</v>
      </c>
      <c r="I179" s="102">
        <f t="shared" si="219"/>
        <v>35611.972140680089</v>
      </c>
      <c r="J179" s="102">
        <f t="shared" si="219"/>
        <v>34374.351823774341</v>
      </c>
      <c r="K179" s="102">
        <f t="shared" si="219"/>
        <v>33245.406490353089</v>
      </c>
      <c r="L179" s="102">
        <f t="shared" si="219"/>
        <v>31982.402247196082</v>
      </c>
      <c r="M179" s="102">
        <f t="shared" si="222"/>
        <v>31273.914217016751</v>
      </c>
      <c r="N179" s="102">
        <f t="shared" si="219"/>
        <v>30639.50797683802</v>
      </c>
      <c r="O179" s="102">
        <f t="shared" si="219"/>
        <v>31230.474669620242</v>
      </c>
      <c r="P179" s="102">
        <f t="shared" si="219"/>
        <v>31838.728272140172</v>
      </c>
      <c r="Q179" s="102">
        <f t="shared" si="219"/>
        <v>32445.129488660823</v>
      </c>
      <c r="R179" s="102">
        <f t="shared" si="219"/>
        <v>37856.216283909947</v>
      </c>
      <c r="S179" s="102">
        <f t="shared" si="219"/>
        <v>42466.101362987647</v>
      </c>
      <c r="T179" s="102">
        <f t="shared" si="219"/>
        <v>41677.956026704094</v>
      </c>
      <c r="U179" s="102">
        <f t="shared" si="219"/>
        <v>38436.440921534457</v>
      </c>
      <c r="V179" s="102">
        <f t="shared" si="219"/>
        <v>36866.163599300016</v>
      </c>
      <c r="W179" s="102">
        <f t="shared" si="221"/>
        <v>38475.355996925886</v>
      </c>
      <c r="X179" s="102">
        <f t="shared" si="221"/>
        <v>38943.92688169967</v>
      </c>
      <c r="Y179" s="102">
        <f t="shared" si="221"/>
        <v>27973.45829670037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24968.194519433953</v>
      </c>
      <c r="U180" s="102">
        <f t="shared" si="223"/>
        <v>22682.606744528162</v>
      </c>
      <c r="V180" s="102">
        <f t="shared" si="223"/>
        <v>21624.158845342707</v>
      </c>
      <c r="W180" s="102">
        <f t="shared" si="221"/>
        <v>22580.382297023105</v>
      </c>
      <c r="X180" s="102">
        <f t="shared" si="221"/>
        <v>23045.281490860543</v>
      </c>
      <c r="Y180" s="102">
        <f t="shared" si="221"/>
        <v>16163.535875097325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39235.80518910064</v>
      </c>
      <c r="M181" s="102">
        <f t="shared" si="222"/>
        <v>38426.050024084332</v>
      </c>
      <c r="N181" s="102">
        <f t="shared" si="223"/>
        <v>38798.641828174979</v>
      </c>
      <c r="O181" s="102">
        <f t="shared" si="223"/>
        <v>39194.66600423678</v>
      </c>
      <c r="P181" s="102">
        <f t="shared" si="223"/>
        <v>40094.963880760108</v>
      </c>
      <c r="Q181" s="102">
        <f t="shared" si="223"/>
        <v>41033.927864030047</v>
      </c>
      <c r="R181" s="102">
        <f t="shared" si="223"/>
        <v>48143.962779377034</v>
      </c>
      <c r="S181" s="102">
        <f t="shared" si="223"/>
        <v>54347.171593633422</v>
      </c>
      <c r="T181" s="102">
        <f t="shared" si="223"/>
        <v>53279.893763025058</v>
      </c>
      <c r="U181" s="102">
        <f t="shared" si="223"/>
        <v>48891.569587257523</v>
      </c>
      <c r="V181" s="102">
        <f t="shared" si="223"/>
        <v>47080.93128251571</v>
      </c>
      <c r="W181" s="102">
        <f t="shared" si="221"/>
        <v>49659.451431080306</v>
      </c>
      <c r="X181" s="102">
        <f t="shared" si="221"/>
        <v>51193.80972623999</v>
      </c>
      <c r="Y181" s="102">
        <f t="shared" si="221"/>
        <v>36269.085858408718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46410.795527140239</v>
      </c>
      <c r="M182" s="102">
        <f t="shared" si="222"/>
        <v>46456.90679621794</v>
      </c>
      <c r="N182" s="102">
        <f t="shared" si="223"/>
        <v>46478.258928863179</v>
      </c>
      <c r="O182" s="102">
        <f t="shared" si="223"/>
        <v>46500.740862341423</v>
      </c>
      <c r="P182" s="102">
        <f t="shared" si="223"/>
        <v>46551.055450760032</v>
      </c>
      <c r="Q182" s="102">
        <f t="shared" si="223"/>
        <v>46602.397405751166</v>
      </c>
      <c r="R182" s="102">
        <f t="shared" si="223"/>
        <v>46249.128868395521</v>
      </c>
      <c r="S182" s="102">
        <f t="shared" si="223"/>
        <v>45982.981062554114</v>
      </c>
      <c r="T182" s="102">
        <f t="shared" si="223"/>
        <v>45939.572742311553</v>
      </c>
      <c r="U182" s="102">
        <f t="shared" si="223"/>
        <v>45751.924059964302</v>
      </c>
      <c r="V182" s="102">
        <f t="shared" si="223"/>
        <v>44535.15626663735</v>
      </c>
      <c r="W182" s="102">
        <f t="shared" si="221"/>
        <v>45717.98490754779</v>
      </c>
      <c r="X182" s="102">
        <f t="shared" si="221"/>
        <v>45651.785589833933</v>
      </c>
      <c r="Y182" s="102">
        <f t="shared" si="221"/>
        <v>45105.894256321306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15667.186911288367</v>
      </c>
      <c r="C183" s="28">
        <f t="shared" si="223"/>
        <v>16615.667303255184</v>
      </c>
      <c r="D183" s="28">
        <f t="shared" si="223"/>
        <v>16933.529875280281</v>
      </c>
      <c r="E183" s="28">
        <f t="shared" si="223"/>
        <v>16618.944988260711</v>
      </c>
      <c r="F183" s="28">
        <f t="shared" si="223"/>
        <v>16997.429156271912</v>
      </c>
      <c r="G183" s="28">
        <f t="shared" si="223"/>
        <v>16517.575382181873</v>
      </c>
      <c r="H183" s="28">
        <f t="shared" si="223"/>
        <v>16430.555191864074</v>
      </c>
      <c r="I183" s="28">
        <f t="shared" si="223"/>
        <v>16127.19555077004</v>
      </c>
      <c r="J183" s="28">
        <f t="shared" si="223"/>
        <v>15441.973425691416</v>
      </c>
      <c r="K183" s="28">
        <f t="shared" si="223"/>
        <v>14185.176250553639</v>
      </c>
      <c r="L183" s="28">
        <f t="shared" si="223"/>
        <v>13810.780594393327</v>
      </c>
      <c r="M183" s="28">
        <f t="shared" si="222"/>
        <v>13948.693411705359</v>
      </c>
      <c r="N183" s="28">
        <f t="shared" si="223"/>
        <v>13475.387254256313</v>
      </c>
      <c r="O183" s="28">
        <f t="shared" si="223"/>
        <v>13654.952211615127</v>
      </c>
      <c r="P183" s="28">
        <f t="shared" si="223"/>
        <v>13160.715326330357</v>
      </c>
      <c r="Q183" s="28">
        <f t="shared" si="223"/>
        <v>12941.70208270709</v>
      </c>
      <c r="R183" s="28">
        <f t="shared" si="223"/>
        <v>13285.289558669856</v>
      </c>
      <c r="S183" s="28">
        <f t="shared" si="223"/>
        <v>12923.474810645017</v>
      </c>
      <c r="T183" s="28">
        <f t="shared" si="223"/>
        <v>13254.953902975869</v>
      </c>
      <c r="U183" s="28">
        <f t="shared" si="223"/>
        <v>12982.332150038525</v>
      </c>
      <c r="V183" s="28">
        <f t="shared" si="223"/>
        <v>12659.189595586364</v>
      </c>
      <c r="W183" s="28">
        <f t="shared" si="221"/>
        <v>13211.556372841123</v>
      </c>
      <c r="X183" s="28">
        <f t="shared" si="221"/>
        <v>13524.908549105918</v>
      </c>
      <c r="Y183" s="28">
        <f t="shared" si="221"/>
        <v>12969.357918132451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15071.459967282914</v>
      </c>
      <c r="C184" s="137">
        <f t="shared" si="223"/>
        <v>15914.3927559331</v>
      </c>
      <c r="D184" s="137">
        <f t="shared" si="223"/>
        <v>16260.68819674419</v>
      </c>
      <c r="E184" s="137">
        <f t="shared" si="223"/>
        <v>15811.476528896828</v>
      </c>
      <c r="F184" s="137">
        <f t="shared" si="223"/>
        <v>15832.88166038626</v>
      </c>
      <c r="G184" s="137">
        <f t="shared" si="223"/>
        <v>15218.846085917881</v>
      </c>
      <c r="H184" s="137">
        <f t="shared" si="223"/>
        <v>15110.838862152925</v>
      </c>
      <c r="I184" s="137">
        <f t="shared" si="223"/>
        <v>14429.461052287155</v>
      </c>
      <c r="J184" s="137">
        <f t="shared" si="223"/>
        <v>13830.729338235551</v>
      </c>
      <c r="K184" s="137">
        <f t="shared" si="223"/>
        <v>13249.332640949498</v>
      </c>
      <c r="L184" s="137">
        <f t="shared" si="223"/>
        <v>12825.955407810838</v>
      </c>
      <c r="M184" s="137">
        <f t="shared" si="222"/>
        <v>12772.547626969746</v>
      </c>
      <c r="N184" s="137">
        <f t="shared" si="223"/>
        <v>12524.304844164544</v>
      </c>
      <c r="O184" s="137">
        <f t="shared" si="223"/>
        <v>12304.839793589434</v>
      </c>
      <c r="P184" s="137">
        <f t="shared" si="223"/>
        <v>12114.800636070455</v>
      </c>
      <c r="Q184" s="137">
        <f t="shared" si="223"/>
        <v>11802.743935748242</v>
      </c>
      <c r="R184" s="137">
        <f t="shared" si="223"/>
        <v>12099.669157109945</v>
      </c>
      <c r="S184" s="137">
        <f t="shared" si="223"/>
        <v>12385.624689202528</v>
      </c>
      <c r="T184" s="137">
        <f t="shared" si="223"/>
        <v>12844.019870234724</v>
      </c>
      <c r="U184" s="137">
        <f t="shared" si="223"/>
        <v>13051.292532296655</v>
      </c>
      <c r="V184" s="137">
        <f t="shared" si="223"/>
        <v>12865.105091210595</v>
      </c>
      <c r="W184" s="137">
        <f t="shared" si="221"/>
        <v>13099.716206965139</v>
      </c>
      <c r="X184" s="137">
        <f t="shared" si="221"/>
        <v>13349.761013402222</v>
      </c>
      <c r="Y184" s="137">
        <f t="shared" si="221"/>
        <v>13038.645792324754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14386.96440886808</v>
      </c>
      <c r="C185" s="84">
        <f t="shared" si="223"/>
        <v>16303.346621914525</v>
      </c>
      <c r="D185" s="84">
        <f t="shared" si="223"/>
        <v>16297.834268379982</v>
      </c>
      <c r="E185" s="84">
        <f t="shared" si="223"/>
        <v>15605.35161562008</v>
      </c>
      <c r="F185" s="84">
        <f t="shared" si="223"/>
        <v>16684.762032557413</v>
      </c>
      <c r="G185" s="84">
        <f t="shared" si="223"/>
        <v>15333.274408355277</v>
      </c>
      <c r="H185" s="84">
        <f t="shared" si="223"/>
        <v>15859.758409476233</v>
      </c>
      <c r="I185" s="84">
        <f t="shared" si="223"/>
        <v>14115.997836762266</v>
      </c>
      <c r="J185" s="84">
        <f t="shared" si="223"/>
        <v>12600.481658294239</v>
      </c>
      <c r="K185" s="84">
        <f t="shared" si="223"/>
        <v>11223.662263483726</v>
      </c>
      <c r="L185" s="84">
        <f t="shared" si="223"/>
        <v>10286.961533447502</v>
      </c>
      <c r="M185" s="84">
        <f t="shared" si="222"/>
        <v>10707.138646469602</v>
      </c>
      <c r="N185" s="84">
        <f t="shared" si="223"/>
        <v>10257.475555318464</v>
      </c>
      <c r="O185" s="84">
        <f t="shared" si="223"/>
        <v>9628.4816670872406</v>
      </c>
      <c r="P185" s="84">
        <f t="shared" si="223"/>
        <v>9373.5903430321396</v>
      </c>
      <c r="Q185" s="84">
        <f t="shared" si="223"/>
        <v>9009.635058246502</v>
      </c>
      <c r="R185" s="84">
        <f t="shared" si="223"/>
        <v>8459.090347584337</v>
      </c>
      <c r="S185" s="84">
        <f t="shared" si="223"/>
        <v>8354.0046638592976</v>
      </c>
      <c r="T185" s="84">
        <f t="shared" si="223"/>
        <v>9241.4461133710083</v>
      </c>
      <c r="U185" s="84">
        <f t="shared" si="223"/>
        <v>8530.3021414260766</v>
      </c>
      <c r="V185" s="84">
        <f t="shared" si="223"/>
        <v>7630.701608018454</v>
      </c>
      <c r="W185" s="84">
        <f t="shared" si="221"/>
        <v>7028.4380357446207</v>
      </c>
      <c r="X185" s="84">
        <f t="shared" si="221"/>
        <v>6471.7390652425274</v>
      </c>
      <c r="Y185" s="84">
        <f t="shared" si="221"/>
        <v>5711.71188588531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15314.214900196954</v>
      </c>
      <c r="C186" s="84">
        <f t="shared" si="223"/>
        <v>15774.885411429104</v>
      </c>
      <c r="D186" s="84">
        <f t="shared" si="223"/>
        <v>16247.21837245664</v>
      </c>
      <c r="E186" s="84">
        <f t="shared" si="223"/>
        <v>15885.495888655016</v>
      </c>
      <c r="F186" s="84">
        <f t="shared" si="223"/>
        <v>15526.597316233132</v>
      </c>
      <c r="G186" s="84">
        <f t="shared" si="223"/>
        <v>15177.502125389461</v>
      </c>
      <c r="H186" s="84">
        <f t="shared" si="223"/>
        <v>14845.849312850991</v>
      </c>
      <c r="I186" s="84">
        <f t="shared" si="223"/>
        <v>14534.923452924553</v>
      </c>
      <c r="J186" s="84">
        <f t="shared" si="223"/>
        <v>14271.873822901049</v>
      </c>
      <c r="K186" s="84">
        <f t="shared" si="223"/>
        <v>13983.668688160144</v>
      </c>
      <c r="L186" s="84">
        <f t="shared" si="223"/>
        <v>13708.912355944673</v>
      </c>
      <c r="M186" s="84">
        <f t="shared" si="222"/>
        <v>13460.080298690025</v>
      </c>
      <c r="N186" s="84">
        <f t="shared" si="223"/>
        <v>13224.768410363658</v>
      </c>
      <c r="O186" s="84">
        <f t="shared" si="223"/>
        <v>13015.015516642845</v>
      </c>
      <c r="P186" s="84">
        <f t="shared" si="223"/>
        <v>12790.28026063112</v>
      </c>
      <c r="Q186" s="84">
        <f t="shared" si="223"/>
        <v>12451.835023220861</v>
      </c>
      <c r="R186" s="84">
        <f t="shared" si="223"/>
        <v>12894.188728492536</v>
      </c>
      <c r="S186" s="84">
        <f t="shared" si="223"/>
        <v>13218.115734633444</v>
      </c>
      <c r="T186" s="84">
        <f t="shared" si="223"/>
        <v>13550.691989633055</v>
      </c>
      <c r="U186" s="84">
        <f t="shared" si="223"/>
        <v>13897.716328872459</v>
      </c>
      <c r="V186" s="84">
        <f t="shared" si="223"/>
        <v>13813.412803789528</v>
      </c>
      <c r="W186" s="84">
        <f t="shared" si="221"/>
        <v>14136.855872332</v>
      </c>
      <c r="X186" s="84">
        <f t="shared" si="221"/>
        <v>14463.469999922239</v>
      </c>
      <c r="Y186" s="84">
        <f t="shared" si="221"/>
        <v>14183.234500527147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7543.6838945467043</v>
      </c>
      <c r="S187" s="84">
        <f t="shared" si="223"/>
        <v>7655.8638929828612</v>
      </c>
      <c r="T187" s="84">
        <f t="shared" si="223"/>
        <v>7770.0054270199889</v>
      </c>
      <c r="U187" s="84">
        <f t="shared" si="223"/>
        <v>7889.3002709622515</v>
      </c>
      <c r="V187" s="84">
        <f t="shared" si="223"/>
        <v>7763.0293502216573</v>
      </c>
      <c r="W187" s="84">
        <f t="shared" si="221"/>
        <v>7865.3537926842455</v>
      </c>
      <c r="X187" s="84">
        <f t="shared" si="221"/>
        <v>7966.6020896124801</v>
      </c>
      <c r="Y187" s="84">
        <f t="shared" si="221"/>
        <v>7734.1235370122931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9341.2232300977012</v>
      </c>
      <c r="O188" s="84">
        <f t="shared" si="223"/>
        <v>9285.9249816040101</v>
      </c>
      <c r="P188" s="84">
        <f t="shared" si="223"/>
        <v>9217.7589491165563</v>
      </c>
      <c r="Q188" s="84">
        <f t="shared" si="223"/>
        <v>9155.1364852049173</v>
      </c>
      <c r="R188" s="84">
        <f t="shared" si="223"/>
        <v>9292.6441893146693</v>
      </c>
      <c r="S188" s="84">
        <f t="shared" si="223"/>
        <v>9430.832483680857</v>
      </c>
      <c r="T188" s="84">
        <f t="shared" si="223"/>
        <v>9571.4370845438825</v>
      </c>
      <c r="U188" s="84">
        <f t="shared" si="223"/>
        <v>9718.3897609645701</v>
      </c>
      <c r="V188" s="84">
        <f t="shared" si="223"/>
        <v>9562.8436439344368</v>
      </c>
      <c r="W188" s="84">
        <f t="shared" si="221"/>
        <v>9688.8914276124087</v>
      </c>
      <c r="X188" s="84">
        <f t="shared" si="221"/>
        <v>9813.6135675218393</v>
      </c>
      <c r="Y188" s="84">
        <f t="shared" si="221"/>
        <v>9527.2361819951057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8398.6278329663528</v>
      </c>
      <c r="J189" s="84">
        <f t="shared" si="223"/>
        <v>8405.9352298098001</v>
      </c>
      <c r="K189" s="84">
        <f t="shared" si="223"/>
        <v>8414.1052067800101</v>
      </c>
      <c r="L189" s="84">
        <f t="shared" si="223"/>
        <v>8422.0598805703303</v>
      </c>
      <c r="M189" s="84">
        <f t="shared" si="222"/>
        <v>8429.4094752671936</v>
      </c>
      <c r="N189" s="84">
        <f t="shared" si="223"/>
        <v>8436.4918779711224</v>
      </c>
      <c r="O189" s="84">
        <f t="shared" si="223"/>
        <v>8442.9171997211579</v>
      </c>
      <c r="P189" s="84">
        <f t="shared" si="223"/>
        <v>8449.9229830485347</v>
      </c>
      <c r="Q189" s="84">
        <f t="shared" si="223"/>
        <v>8456.7126849534579</v>
      </c>
      <c r="R189" s="84">
        <f t="shared" si="223"/>
        <v>8446.6678967459702</v>
      </c>
      <c r="S189" s="84">
        <f t="shared" si="223"/>
        <v>8436.6940240580625</v>
      </c>
      <c r="T189" s="84">
        <f t="shared" si="223"/>
        <v>8426.7167791777392</v>
      </c>
      <c r="U189" s="84">
        <f t="shared" si="223"/>
        <v>8416.5759478192304</v>
      </c>
      <c r="V189" s="84">
        <f t="shared" si="223"/>
        <v>8380.0764517974494</v>
      </c>
      <c r="W189" s="84">
        <f t="shared" si="221"/>
        <v>8409.7409600456886</v>
      </c>
      <c r="X189" s="84">
        <f t="shared" si="221"/>
        <v>8400.5989851658578</v>
      </c>
      <c r="Y189" s="84">
        <f t="shared" si="221"/>
        <v>8408.4294153231367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20205.889504721821</v>
      </c>
      <c r="C190" s="110">
        <f t="shared" si="223"/>
        <v>23470.803757860838</v>
      </c>
      <c r="D190" s="110">
        <f t="shared" si="223"/>
        <v>21578.379340188858</v>
      </c>
      <c r="E190" s="110">
        <f t="shared" si="223"/>
        <v>20083.557124647134</v>
      </c>
      <c r="F190" s="110">
        <f t="shared" si="223"/>
        <v>21722.490349737633</v>
      </c>
      <c r="G190" s="110">
        <f t="shared" si="223"/>
        <v>21403.88469728878</v>
      </c>
      <c r="H190" s="110">
        <f t="shared" si="223"/>
        <v>20870.545129610284</v>
      </c>
      <c r="I190" s="110">
        <f t="shared" si="223"/>
        <v>21540.434317755073</v>
      </c>
      <c r="J190" s="110">
        <f t="shared" si="223"/>
        <v>20593.687796468424</v>
      </c>
      <c r="K190" s="110">
        <f t="shared" si="223"/>
        <v>17684.351749830603</v>
      </c>
      <c r="L190" s="110">
        <f t="shared" si="223"/>
        <v>17840.926369671644</v>
      </c>
      <c r="M190" s="110">
        <f t="shared" si="222"/>
        <v>18625.315957006333</v>
      </c>
      <c r="N190" s="110">
        <f t="shared" si="223"/>
        <v>17259.926753344145</v>
      </c>
      <c r="O190" s="110">
        <f t="shared" si="223"/>
        <v>20024.997819095435</v>
      </c>
      <c r="P190" s="110">
        <f t="shared" si="223"/>
        <v>18182.549272381824</v>
      </c>
      <c r="Q190" s="110">
        <f t="shared" si="223"/>
        <v>18612.08779911169</v>
      </c>
      <c r="R190" s="110">
        <f t="shared" si="223"/>
        <v>19262.33919772648</v>
      </c>
      <c r="S190" s="110">
        <f t="shared" si="223"/>
        <v>15617.371392148016</v>
      </c>
      <c r="T190" s="110">
        <f t="shared" si="223"/>
        <v>15349.676557758236</v>
      </c>
      <c r="U190" s="110">
        <f t="shared" si="223"/>
        <v>12652.61055413895</v>
      </c>
      <c r="V190" s="110">
        <f t="shared" si="223"/>
        <v>11663.849074775524</v>
      </c>
      <c r="W190" s="110">
        <f t="shared" si="221"/>
        <v>13777.890099145281</v>
      </c>
      <c r="X190" s="110">
        <f t="shared" si="221"/>
        <v>14414.460486577658</v>
      </c>
      <c r="Y190" s="110">
        <f t="shared" si="221"/>
        <v>12608.301597336422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15351.919988774729</v>
      </c>
      <c r="C191" s="102">
        <f t="shared" si="223"/>
        <v>16735.756802721087</v>
      </c>
      <c r="D191" s="102">
        <f t="shared" si="223"/>
        <v>16375.355780294311</v>
      </c>
      <c r="E191" s="102">
        <f t="shared" si="223"/>
        <v>16682.113067655235</v>
      </c>
      <c r="F191" s="102">
        <f t="shared" si="223"/>
        <v>17834.160691303547</v>
      </c>
      <c r="G191" s="102">
        <f t="shared" si="223"/>
        <v>17512.825048646737</v>
      </c>
      <c r="H191" s="102">
        <f t="shared" si="223"/>
        <v>17009.557751498462</v>
      </c>
      <c r="I191" s="102">
        <f t="shared" si="223"/>
        <v>17462.165308498254</v>
      </c>
      <c r="J191" s="102">
        <f t="shared" si="223"/>
        <v>16819.120684567719</v>
      </c>
      <c r="K191" s="102">
        <f t="shared" si="223"/>
        <v>13993.174061433447</v>
      </c>
      <c r="L191" s="102">
        <f t="shared" si="223"/>
        <v>13821.063300469916</v>
      </c>
      <c r="M191" s="102">
        <f t="shared" si="222"/>
        <v>14257.493773082539</v>
      </c>
      <c r="N191" s="102">
        <f t="shared" si="223"/>
        <v>12996.448175653859</v>
      </c>
      <c r="O191" s="102">
        <f t="shared" si="223"/>
        <v>14747.690120824449</v>
      </c>
      <c r="P191" s="102">
        <f t="shared" si="223"/>
        <v>13010.053222945004</v>
      </c>
      <c r="Q191" s="102">
        <f t="shared" si="223"/>
        <v>12590.520078999341</v>
      </c>
      <c r="R191" s="102">
        <f t="shared" si="223"/>
        <v>13636.711867003754</v>
      </c>
      <c r="S191" s="102">
        <f t="shared" si="223"/>
        <v>10404.301375602263</v>
      </c>
      <c r="T191" s="102">
        <f t="shared" si="223"/>
        <v>10301.837270341208</v>
      </c>
      <c r="U191" s="102">
        <f t="shared" si="223"/>
        <v>8370.0686345628037</v>
      </c>
      <c r="V191" s="102">
        <f t="shared" si="223"/>
        <v>6649.5884885812393</v>
      </c>
      <c r="W191" s="102">
        <f t="shared" si="221"/>
        <v>9337.6764386536379</v>
      </c>
      <c r="X191" s="102">
        <f t="shared" si="221"/>
        <v>9304.2926622964678</v>
      </c>
      <c r="Y191" s="102">
        <f t="shared" si="221"/>
        <v>7884.2940685045951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85041.053753443703</v>
      </c>
      <c r="C192" s="86">
        <f t="shared" si="223"/>
        <v>84931.308291455542</v>
      </c>
      <c r="D192" s="86">
        <f t="shared" si="223"/>
        <v>84993.169202194724</v>
      </c>
      <c r="E192" s="86">
        <f t="shared" si="223"/>
        <v>85042.108230740181</v>
      </c>
      <c r="F192" s="86">
        <f t="shared" si="223"/>
        <v>85041.726913279519</v>
      </c>
      <c r="G192" s="86">
        <f t="shared" si="223"/>
        <v>84976.602020333492</v>
      </c>
      <c r="H192" s="86">
        <f t="shared" si="223"/>
        <v>85026.332707226102</v>
      </c>
      <c r="I192" s="86">
        <f t="shared" si="223"/>
        <v>85004.801690066859</v>
      </c>
      <c r="J192" s="86">
        <f t="shared" si="223"/>
        <v>85037.05274473787</v>
      </c>
      <c r="K192" s="86">
        <f t="shared" si="223"/>
        <v>84963.671357940533</v>
      </c>
      <c r="L192" s="86">
        <f t="shared" si="223"/>
        <v>85063.690452947994</v>
      </c>
      <c r="M192" s="86">
        <f t="shared" si="222"/>
        <v>85015.072729101332</v>
      </c>
      <c r="N192" s="86">
        <f t="shared" si="223"/>
        <v>84972.712164148354</v>
      </c>
      <c r="O192" s="86">
        <f t="shared" si="223"/>
        <v>85015.561770668937</v>
      </c>
      <c r="P192" s="86">
        <f t="shared" si="223"/>
        <v>85024.073002931647</v>
      </c>
      <c r="Q192" s="86">
        <f t="shared" si="223"/>
        <v>85013.259246303394</v>
      </c>
      <c r="R192" s="86">
        <f t="shared" si="223"/>
        <v>85002.100655133603</v>
      </c>
      <c r="S192" s="86">
        <f t="shared" si="223"/>
        <v>85000.620190430287</v>
      </c>
      <c r="T192" s="86">
        <f t="shared" si="223"/>
        <v>85031.805851449812</v>
      </c>
      <c r="U192" s="86">
        <f t="shared" si="223"/>
        <v>84987.609367262528</v>
      </c>
      <c r="V192" s="86">
        <f t="shared" ref="V192:W192" si="224">IF(V55=0,0,V55*1000000/V82)</f>
        <v>85026.400091447416</v>
      </c>
      <c r="W192" s="86">
        <f t="shared" si="224"/>
        <v>85022.433327591294</v>
      </c>
      <c r="X192" s="86">
        <f t="shared" ref="X192:Y192" si="225">IF(X55=0,0,X55*1000000/X82)</f>
        <v>84972.07695672581</v>
      </c>
      <c r="Y192" s="86">
        <f t="shared" si="225"/>
        <v>84987.65535108617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21925.080039819401</v>
      </c>
      <c r="C195" s="28">
        <f t="shared" si="226"/>
        <v>22101.587027637921</v>
      </c>
      <c r="D195" s="28">
        <f t="shared" si="226"/>
        <v>22729.586687075851</v>
      </c>
      <c r="E195" s="28">
        <f t="shared" si="226"/>
        <v>22277.457619715951</v>
      </c>
      <c r="F195" s="28">
        <f t="shared" si="226"/>
        <v>21203.390870203439</v>
      </c>
      <c r="G195" s="28">
        <f t="shared" si="226"/>
        <v>24853.010695646186</v>
      </c>
      <c r="H195" s="28">
        <f t="shared" si="226"/>
        <v>24569.047596064385</v>
      </c>
      <c r="I195" s="28">
        <f t="shared" si="226"/>
        <v>23372.795304147276</v>
      </c>
      <c r="J195" s="28">
        <f t="shared" si="226"/>
        <v>22613.686316243493</v>
      </c>
      <c r="K195" s="28">
        <f t="shared" si="226"/>
        <v>22235.260353749742</v>
      </c>
      <c r="L195" s="28">
        <f t="shared" si="226"/>
        <v>21134.93657740315</v>
      </c>
      <c r="M195" s="28">
        <f>IF(M4=0,0,M4*1000000/M58)</f>
        <v>20753.857374337596</v>
      </c>
      <c r="N195" s="28">
        <f t="shared" ref="N195:V195" si="227">IF(N4=0,0,N4*1000000/N58)</f>
        <v>19846.340304797592</v>
      </c>
      <c r="O195" s="28">
        <f t="shared" si="227"/>
        <v>19687.698820075384</v>
      </c>
      <c r="P195" s="28">
        <f t="shared" si="227"/>
        <v>19835.513982573422</v>
      </c>
      <c r="Q195" s="28">
        <f t="shared" si="227"/>
        <v>20292.093563850423</v>
      </c>
      <c r="R195" s="28">
        <f t="shared" si="227"/>
        <v>20934.475803221627</v>
      </c>
      <c r="S195" s="28">
        <f t="shared" si="227"/>
        <v>20458.885598976507</v>
      </c>
      <c r="T195" s="28">
        <f t="shared" si="227"/>
        <v>20148.380100093073</v>
      </c>
      <c r="U195" s="28">
        <f t="shared" si="227"/>
        <v>20178.764798319393</v>
      </c>
      <c r="V195" s="28">
        <f t="shared" si="227"/>
        <v>15592.254604564823</v>
      </c>
      <c r="W195" s="28">
        <f t="shared" ref="W195:Y195" si="228">IF(W4=0,0,W4*1000000/W58)</f>
        <v>16147.599643900619</v>
      </c>
      <c r="X195" s="28">
        <f t="shared" si="228"/>
        <v>17377.277537480481</v>
      </c>
      <c r="Y195" s="28">
        <f t="shared" si="228"/>
        <v>18275.118376732302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1392.847601375966</v>
      </c>
      <c r="C196" s="137">
        <f t="shared" si="229"/>
        <v>1391.6959703106904</v>
      </c>
      <c r="D196" s="137">
        <f t="shared" si="229"/>
        <v>1385.3131068707542</v>
      </c>
      <c r="E196" s="137">
        <f t="shared" si="229"/>
        <v>1378.7210389305828</v>
      </c>
      <c r="F196" s="137">
        <f t="shared" si="229"/>
        <v>1376.0342379213084</v>
      </c>
      <c r="G196" s="137">
        <f t="shared" si="229"/>
        <v>1368.5033106180488</v>
      </c>
      <c r="H196" s="137">
        <f t="shared" si="229"/>
        <v>1368.212745603824</v>
      </c>
      <c r="I196" s="137">
        <f t="shared" si="229"/>
        <v>1369.9374954467144</v>
      </c>
      <c r="J196" s="137">
        <f t="shared" si="229"/>
        <v>1369.6093980320481</v>
      </c>
      <c r="K196" s="137">
        <f t="shared" si="229"/>
        <v>1361.4222819402053</v>
      </c>
      <c r="L196" s="137">
        <f t="shared" si="229"/>
        <v>1355.0082061867483</v>
      </c>
      <c r="M196" s="137">
        <f>IF(M5=0,0,M5*1000000/M59)</f>
        <v>1352.4093539337459</v>
      </c>
      <c r="N196" s="137">
        <f t="shared" ref="N196:V196" si="230">IF(N5=0,0,N5*1000000/N59)</f>
        <v>1343.9952684701755</v>
      </c>
      <c r="O196" s="137">
        <f t="shared" si="230"/>
        <v>1340.0664456308834</v>
      </c>
      <c r="P196" s="137">
        <f t="shared" si="230"/>
        <v>1338.8272589369481</v>
      </c>
      <c r="Q196" s="137">
        <f t="shared" si="230"/>
        <v>1336.1488160681884</v>
      </c>
      <c r="R196" s="137">
        <f t="shared" si="230"/>
        <v>1356.6544292076785</v>
      </c>
      <c r="S196" s="137">
        <f t="shared" si="230"/>
        <v>1221.8986194008617</v>
      </c>
      <c r="T196" s="137">
        <f t="shared" si="230"/>
        <v>1116.0041214734856</v>
      </c>
      <c r="U196" s="137">
        <f t="shared" si="230"/>
        <v>1126.0770329413017</v>
      </c>
      <c r="V196" s="137">
        <f t="shared" si="230"/>
        <v>968.96704273850173</v>
      </c>
      <c r="W196" s="137">
        <f t="shared" ref="W196:Y196" si="231">IF(W5=0,0,W5*1000000/W59)</f>
        <v>967.47037575187653</v>
      </c>
      <c r="X196" s="137">
        <f t="shared" si="231"/>
        <v>936.13912309080251</v>
      </c>
      <c r="Y196" s="137">
        <f t="shared" si="231"/>
        <v>974.31692787750205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16203.349976114898</v>
      </c>
      <c r="C197" s="110">
        <f t="shared" si="232"/>
        <v>16717.782960962435</v>
      </c>
      <c r="D197" s="110">
        <f t="shared" si="232"/>
        <v>17618.267032692784</v>
      </c>
      <c r="E197" s="110">
        <f t="shared" si="232"/>
        <v>17657.399769585256</v>
      </c>
      <c r="F197" s="110">
        <f t="shared" si="232"/>
        <v>16588.110403397026</v>
      </c>
      <c r="G197" s="110">
        <f t="shared" si="232"/>
        <v>20111.403686449255</v>
      </c>
      <c r="H197" s="110">
        <f t="shared" si="232"/>
        <v>19707.303154832909</v>
      </c>
      <c r="I197" s="110">
        <f t="shared" si="232"/>
        <v>19091.256204658272</v>
      </c>
      <c r="J197" s="110">
        <f t="shared" si="232"/>
        <v>19028.633562885108</v>
      </c>
      <c r="K197" s="110">
        <f t="shared" si="232"/>
        <v>19244.868035190615</v>
      </c>
      <c r="L197" s="110">
        <f t="shared" si="232"/>
        <v>18274.589274082653</v>
      </c>
      <c r="M197" s="110">
        <f>IF(M6=0,0,M6*1000000/M60)</f>
        <v>18085.509098515533</v>
      </c>
      <c r="N197" s="110">
        <f t="shared" ref="N197:V197" si="233">IF(N6=0,0,N6*1000000/N60)</f>
        <v>17951.494896450968</v>
      </c>
      <c r="O197" s="110">
        <f t="shared" si="233"/>
        <v>17891.758724232106</v>
      </c>
      <c r="P197" s="110">
        <f t="shared" si="233"/>
        <v>18151.468477544655</v>
      </c>
      <c r="Q197" s="110">
        <f t="shared" si="233"/>
        <v>18226.457867000754</v>
      </c>
      <c r="R197" s="110">
        <f t="shared" si="233"/>
        <v>18261.865211886881</v>
      </c>
      <c r="S197" s="110">
        <f t="shared" si="233"/>
        <v>18019.631137282042</v>
      </c>
      <c r="T197" s="110">
        <f t="shared" si="233"/>
        <v>17871.166623791258</v>
      </c>
      <c r="U197" s="110">
        <f t="shared" si="233"/>
        <v>17731.839190062976</v>
      </c>
      <c r="V197" s="110">
        <f t="shared" si="233"/>
        <v>15091.950803255328</v>
      </c>
      <c r="W197" s="110">
        <f t="shared" ref="W197:Y209" si="234">IF(W6=0,0,W6*1000000/W60)</f>
        <v>15862.293213718567</v>
      </c>
      <c r="X197" s="110">
        <f t="shared" si="234"/>
        <v>16476.861349343781</v>
      </c>
      <c r="Y197" s="110">
        <f t="shared" si="234"/>
        <v>16945.538720529643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16152.503613818431</v>
      </c>
      <c r="C198" s="84">
        <f t="shared" si="232"/>
        <v>16960.32794293595</v>
      </c>
      <c r="D198" s="84">
        <f t="shared" si="232"/>
        <v>17705.703150479138</v>
      </c>
      <c r="E198" s="84">
        <f t="shared" si="232"/>
        <v>17079.730927674584</v>
      </c>
      <c r="F198" s="84">
        <f t="shared" si="232"/>
        <v>15399.942161714527</v>
      </c>
      <c r="G198" s="84">
        <f t="shared" si="232"/>
        <v>18204.802929046404</v>
      </c>
      <c r="H198" s="84">
        <f t="shared" si="232"/>
        <v>17296.265188210065</v>
      </c>
      <c r="I198" s="84">
        <f t="shared" si="232"/>
        <v>16748.888913329098</v>
      </c>
      <c r="J198" s="84">
        <f t="shared" si="232"/>
        <v>16843.138630224046</v>
      </c>
      <c r="K198" s="84">
        <f t="shared" si="232"/>
        <v>15887.911005184487</v>
      </c>
      <c r="L198" s="84">
        <f t="shared" si="232"/>
        <v>14889.607104250254</v>
      </c>
      <c r="M198" s="84">
        <f t="shared" ref="M198:M219" si="235">IF(M7=0,0,M7*1000000/M61)</f>
        <v>14005.963799235087</v>
      </c>
      <c r="N198" s="84">
        <f t="shared" si="232"/>
        <v>13406.463136390958</v>
      </c>
      <c r="O198" s="84">
        <f t="shared" si="232"/>
        <v>12982.834488042268</v>
      </c>
      <c r="P198" s="84">
        <f t="shared" si="232"/>
        <v>13487.269745676997</v>
      </c>
      <c r="Q198" s="84">
        <f t="shared" si="232"/>
        <v>12897.226631583262</v>
      </c>
      <c r="R198" s="84">
        <f t="shared" si="232"/>
        <v>13403.827864849933</v>
      </c>
      <c r="S198" s="84">
        <f t="shared" si="232"/>
        <v>13761.485892900691</v>
      </c>
      <c r="T198" s="84">
        <f t="shared" si="232"/>
        <v>13909.227403966819</v>
      </c>
      <c r="U198" s="84">
        <f t="shared" si="232"/>
        <v>14089.41825532061</v>
      </c>
      <c r="V198" s="84">
        <f t="shared" si="232"/>
        <v>10073.103414428086</v>
      </c>
      <c r="W198" s="84">
        <f t="shared" si="234"/>
        <v>9956.4879977895198</v>
      </c>
      <c r="X198" s="84">
        <f t="shared" si="234"/>
        <v>11233.235612352186</v>
      </c>
      <c r="Y198" s="84">
        <f t="shared" si="234"/>
        <v>11589.20790605221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16591.780483408696</v>
      </c>
      <c r="C199" s="84">
        <f t="shared" si="232"/>
        <v>14489.831671566584</v>
      </c>
      <c r="D199" s="84">
        <f t="shared" si="232"/>
        <v>16724.241287268615</v>
      </c>
      <c r="E199" s="84">
        <f t="shared" si="232"/>
        <v>21561.119441189858</v>
      </c>
      <c r="F199" s="84">
        <f t="shared" si="232"/>
        <v>23590.880374973498</v>
      </c>
      <c r="G199" s="84">
        <f t="shared" si="232"/>
        <v>29955.497111338667</v>
      </c>
      <c r="H199" s="84">
        <f t="shared" si="232"/>
        <v>30077.022192520861</v>
      </c>
      <c r="I199" s="84">
        <f t="shared" si="232"/>
        <v>27184.096786381608</v>
      </c>
      <c r="J199" s="84">
        <f t="shared" si="232"/>
        <v>26123.462856151153</v>
      </c>
      <c r="K199" s="84">
        <f t="shared" si="232"/>
        <v>30030.121854265788</v>
      </c>
      <c r="L199" s="84">
        <f t="shared" si="232"/>
        <v>28433.282683131107</v>
      </c>
      <c r="M199" s="84">
        <f t="shared" si="235"/>
        <v>29107.990164104202</v>
      </c>
      <c r="N199" s="84">
        <f t="shared" si="232"/>
        <v>28692.195286070637</v>
      </c>
      <c r="O199" s="84">
        <f t="shared" si="232"/>
        <v>28122.800255545688</v>
      </c>
      <c r="P199" s="84">
        <f t="shared" si="232"/>
        <v>26953.605125115326</v>
      </c>
      <c r="Q199" s="84">
        <f t="shared" si="232"/>
        <v>27646.644680021436</v>
      </c>
      <c r="R199" s="84">
        <f t="shared" si="232"/>
        <v>26372.534428944917</v>
      </c>
      <c r="S199" s="84">
        <f t="shared" si="232"/>
        <v>24724.998639377787</v>
      </c>
      <c r="T199" s="84">
        <f t="shared" si="232"/>
        <v>23687.503667965662</v>
      </c>
      <c r="U199" s="84">
        <f t="shared" si="232"/>
        <v>22596.409420845637</v>
      </c>
      <c r="V199" s="84">
        <f t="shared" si="232"/>
        <v>21599.979212686339</v>
      </c>
      <c r="W199" s="84">
        <f t="shared" si="234"/>
        <v>23052.900139294718</v>
      </c>
      <c r="X199" s="84">
        <f t="shared" si="234"/>
        <v>22529.312209662407</v>
      </c>
      <c r="Y199" s="84">
        <f t="shared" si="234"/>
        <v>22989.613405779626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27493.40163170865</v>
      </c>
      <c r="C200" s="84">
        <f t="shared" si="232"/>
        <v>29338.931076503297</v>
      </c>
      <c r="D200" s="84">
        <f t="shared" si="232"/>
        <v>31638.467714374907</v>
      </c>
      <c r="E200" s="84">
        <f t="shared" si="232"/>
        <v>30939.526986034096</v>
      </c>
      <c r="F200" s="84">
        <f t="shared" si="232"/>
        <v>28727.249341502564</v>
      </c>
      <c r="G200" s="84">
        <f t="shared" si="232"/>
        <v>33949.79862111251</v>
      </c>
      <c r="H200" s="84">
        <f t="shared" si="232"/>
        <v>32446.443473209973</v>
      </c>
      <c r="I200" s="84">
        <f t="shared" si="232"/>
        <v>30397.764810601751</v>
      </c>
      <c r="J200" s="84">
        <f t="shared" si="232"/>
        <v>28755.693565021731</v>
      </c>
      <c r="K200" s="84">
        <f t="shared" si="232"/>
        <v>28003.405384929789</v>
      </c>
      <c r="L200" s="84">
        <f t="shared" si="232"/>
        <v>26044.548487201868</v>
      </c>
      <c r="M200" s="84">
        <f t="shared" si="235"/>
        <v>25229.420179431028</v>
      </c>
      <c r="N200" s="84">
        <f t="shared" si="232"/>
        <v>24544.1919903249</v>
      </c>
      <c r="O200" s="84">
        <f t="shared" si="232"/>
        <v>24912.182089578535</v>
      </c>
      <c r="P200" s="84">
        <f t="shared" si="232"/>
        <v>24773.287714646765</v>
      </c>
      <c r="Q200" s="84">
        <f t="shared" si="232"/>
        <v>24439.486218277121</v>
      </c>
      <c r="R200" s="84">
        <f t="shared" si="232"/>
        <v>25004.085867085618</v>
      </c>
      <c r="S200" s="84">
        <f t="shared" si="232"/>
        <v>25193.490646515682</v>
      </c>
      <c r="T200" s="84">
        <f t="shared" si="232"/>
        <v>25534.502517980491</v>
      </c>
      <c r="U200" s="84">
        <f t="shared" si="232"/>
        <v>25792.281656573301</v>
      </c>
      <c r="V200" s="84">
        <f t="shared" si="232"/>
        <v>22334.009320223369</v>
      </c>
      <c r="W200" s="84">
        <f t="shared" si="234"/>
        <v>23935.895504364627</v>
      </c>
      <c r="X200" s="84">
        <f t="shared" si="234"/>
        <v>25375.364093149736</v>
      </c>
      <c r="Y200" s="84">
        <f t="shared" si="234"/>
        <v>26640.05818377584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35558.089886624643</v>
      </c>
      <c r="M201" s="84">
        <f t="shared" si="235"/>
        <v>34615.50585980805</v>
      </c>
      <c r="N201" s="84">
        <f t="shared" si="232"/>
        <v>33412.673035135864</v>
      </c>
      <c r="O201" s="84">
        <f t="shared" si="232"/>
        <v>32571.195964215756</v>
      </c>
      <c r="P201" s="84">
        <f t="shared" si="232"/>
        <v>32352.470593951726</v>
      </c>
      <c r="Q201" s="84">
        <f t="shared" si="232"/>
        <v>31811.294632276149</v>
      </c>
      <c r="R201" s="84">
        <f t="shared" si="232"/>
        <v>32546.295496521681</v>
      </c>
      <c r="S201" s="84">
        <f t="shared" si="232"/>
        <v>32800.48195004186</v>
      </c>
      <c r="T201" s="84">
        <f t="shared" si="232"/>
        <v>33451.93160808886</v>
      </c>
      <c r="U201" s="84">
        <f t="shared" si="232"/>
        <v>34077.591356687219</v>
      </c>
      <c r="V201" s="84">
        <f t="shared" si="232"/>
        <v>29692.444713486344</v>
      </c>
      <c r="W201" s="84">
        <f t="shared" si="234"/>
        <v>32332.763077940093</v>
      </c>
      <c r="X201" s="84">
        <f t="shared" si="234"/>
        <v>34277.206595035117</v>
      </c>
      <c r="Y201" s="84">
        <f t="shared" si="234"/>
        <v>35985.56358509753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0</v>
      </c>
      <c r="O202" s="84">
        <f t="shared" si="232"/>
        <v>0</v>
      </c>
      <c r="P202" s="84">
        <f t="shared" si="232"/>
        <v>15655.233104241908</v>
      </c>
      <c r="Q202" s="84">
        <f t="shared" si="232"/>
        <v>16527.607780522067</v>
      </c>
      <c r="R202" s="84">
        <f t="shared" si="232"/>
        <v>15749.024211240301</v>
      </c>
      <c r="S202" s="84">
        <f t="shared" si="232"/>
        <v>14782.767483594318</v>
      </c>
      <c r="T202" s="84">
        <f t="shared" si="232"/>
        <v>14041.715021050275</v>
      </c>
      <c r="U202" s="84">
        <f t="shared" si="232"/>
        <v>14154.896521351387</v>
      </c>
      <c r="V202" s="84">
        <f t="shared" si="232"/>
        <v>11487.01526256055</v>
      </c>
      <c r="W202" s="84">
        <f t="shared" si="234"/>
        <v>11650.042107458168</v>
      </c>
      <c r="X202" s="84">
        <f t="shared" si="234"/>
        <v>11503.063857737408</v>
      </c>
      <c r="Y202" s="84">
        <f t="shared" si="234"/>
        <v>11719.620409186007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27693.554188920247</v>
      </c>
      <c r="K203" s="84">
        <f t="shared" si="232"/>
        <v>27368.265547584073</v>
      </c>
      <c r="L203" s="84">
        <f t="shared" si="232"/>
        <v>26566.327060142965</v>
      </c>
      <c r="M203" s="84">
        <f t="shared" si="235"/>
        <v>27234.611845784028</v>
      </c>
      <c r="N203" s="84">
        <f t="shared" si="232"/>
        <v>27255.450223985321</v>
      </c>
      <c r="O203" s="84">
        <f t="shared" si="232"/>
        <v>27942.864686013574</v>
      </c>
      <c r="P203" s="84">
        <f t="shared" si="232"/>
        <v>28496.670332736452</v>
      </c>
      <c r="Q203" s="84">
        <f t="shared" si="232"/>
        <v>27445.5586068745</v>
      </c>
      <c r="R203" s="84">
        <f t="shared" si="232"/>
        <v>26891.527129976617</v>
      </c>
      <c r="S203" s="84">
        <f t="shared" si="232"/>
        <v>25877.624143069559</v>
      </c>
      <c r="T203" s="84">
        <f t="shared" si="232"/>
        <v>24632.876586761908</v>
      </c>
      <c r="U203" s="84">
        <f t="shared" si="232"/>
        <v>25391.368924821789</v>
      </c>
      <c r="V203" s="84">
        <f t="shared" si="232"/>
        <v>20282.559495809255</v>
      </c>
      <c r="W203" s="84">
        <f t="shared" si="234"/>
        <v>23765.136935904167</v>
      </c>
      <c r="X203" s="84">
        <f t="shared" si="234"/>
        <v>24425.110777707359</v>
      </c>
      <c r="Y203" s="84">
        <f t="shared" si="234"/>
        <v>24746.495485730284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434065.02723221655</v>
      </c>
      <c r="C204" s="110">
        <f t="shared" si="232"/>
        <v>427108.64283234987</v>
      </c>
      <c r="D204" s="110">
        <f t="shared" si="232"/>
        <v>420046.87218316208</v>
      </c>
      <c r="E204" s="110">
        <f t="shared" si="232"/>
        <v>417332.84883720928</v>
      </c>
      <c r="F204" s="110">
        <f t="shared" si="232"/>
        <v>456124.14557546645</v>
      </c>
      <c r="G204" s="110">
        <f t="shared" si="232"/>
        <v>501014.57295701897</v>
      </c>
      <c r="H204" s="110">
        <f t="shared" si="232"/>
        <v>523722.95946191601</v>
      </c>
      <c r="I204" s="110">
        <f t="shared" si="232"/>
        <v>573356.17905333033</v>
      </c>
      <c r="J204" s="110">
        <f t="shared" si="232"/>
        <v>552477.47747747751</v>
      </c>
      <c r="K204" s="110">
        <f t="shared" si="232"/>
        <v>499055.71293673274</v>
      </c>
      <c r="L204" s="110">
        <f t="shared" si="232"/>
        <v>481429.57252978277</v>
      </c>
      <c r="M204" s="110">
        <f t="shared" si="235"/>
        <v>484940.11709601874</v>
      </c>
      <c r="N204" s="110">
        <f t="shared" si="232"/>
        <v>425344.78860501928</v>
      </c>
      <c r="O204" s="110">
        <f t="shared" si="232"/>
        <v>418931.82805036916</v>
      </c>
      <c r="P204" s="110">
        <f t="shared" si="232"/>
        <v>418059.66991112992</v>
      </c>
      <c r="Q204" s="110">
        <f t="shared" si="232"/>
        <v>483996.71727533854</v>
      </c>
      <c r="R204" s="110">
        <f t="shared" si="232"/>
        <v>595098.23779623269</v>
      </c>
      <c r="S204" s="110">
        <f t="shared" si="232"/>
        <v>566101.02604577737</v>
      </c>
      <c r="T204" s="110">
        <f t="shared" si="232"/>
        <v>556208.3822953389</v>
      </c>
      <c r="U204" s="110">
        <f t="shared" si="232"/>
        <v>603907.29745259532</v>
      </c>
      <c r="V204" s="110">
        <f t="shared" si="232"/>
        <v>259981.07852412484</v>
      </c>
      <c r="W204" s="110">
        <f t="shared" si="234"/>
        <v>239672.49720878308</v>
      </c>
      <c r="X204" s="110">
        <f t="shared" si="234"/>
        <v>362846.58040665428</v>
      </c>
      <c r="Y204" s="110">
        <f t="shared" si="234"/>
        <v>471466.87093067792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130023.10990134222</v>
      </c>
      <c r="C205" s="102">
        <f t="shared" si="232"/>
        <v>129504.83139421247</v>
      </c>
      <c r="D205" s="102">
        <f t="shared" si="232"/>
        <v>129071.07723962731</v>
      </c>
      <c r="E205" s="102">
        <f t="shared" si="232"/>
        <v>128939.22273188429</v>
      </c>
      <c r="F205" s="102">
        <f t="shared" si="232"/>
        <v>129714.27987736778</v>
      </c>
      <c r="G205" s="102">
        <f t="shared" si="232"/>
        <v>136046.75815698187</v>
      </c>
      <c r="H205" s="102">
        <f t="shared" si="232"/>
        <v>138332.62736802272</v>
      </c>
      <c r="I205" s="102">
        <f t="shared" si="232"/>
        <v>138594.05656819922</v>
      </c>
      <c r="J205" s="102">
        <f t="shared" si="232"/>
        <v>132537.51052924452</v>
      </c>
      <c r="K205" s="102">
        <f t="shared" si="232"/>
        <v>126006.26029850838</v>
      </c>
      <c r="L205" s="102">
        <f t="shared" si="232"/>
        <v>120879.18121833197</v>
      </c>
      <c r="M205" s="102">
        <f t="shared" si="235"/>
        <v>116348.60231995456</v>
      </c>
      <c r="N205" s="102">
        <f t="shared" si="232"/>
        <v>114047.37030334017</v>
      </c>
      <c r="O205" s="102">
        <f t="shared" si="232"/>
        <v>112631.79625534931</v>
      </c>
      <c r="P205" s="102">
        <f t="shared" si="232"/>
        <v>117351.64043248689</v>
      </c>
      <c r="Q205" s="102">
        <f t="shared" si="232"/>
        <v>123822.62603392034</v>
      </c>
      <c r="R205" s="102">
        <f t="shared" si="232"/>
        <v>143070.1511222983</v>
      </c>
      <c r="S205" s="102">
        <f t="shared" si="232"/>
        <v>156053.42887803679</v>
      </c>
      <c r="T205" s="102">
        <f t="shared" si="232"/>
        <v>149944.00466333327</v>
      </c>
      <c r="U205" s="102">
        <f t="shared" si="232"/>
        <v>136747.74001774116</v>
      </c>
      <c r="V205" s="102">
        <f t="shared" si="232"/>
        <v>104100.77757495656</v>
      </c>
      <c r="W205" s="102">
        <f t="shared" si="234"/>
        <v>107029.6490718385</v>
      </c>
      <c r="X205" s="102">
        <f t="shared" si="234"/>
        <v>114563.32266832062</v>
      </c>
      <c r="Y205" s="102">
        <f t="shared" si="234"/>
        <v>86455.408181104824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659997.21148585528</v>
      </c>
      <c r="C206" s="102">
        <f t="shared" si="232"/>
        <v>619026.14498443448</v>
      </c>
      <c r="D206" s="102">
        <f t="shared" si="232"/>
        <v>576422.16774732887</v>
      </c>
      <c r="E206" s="102">
        <f t="shared" si="232"/>
        <v>538675.54644992994</v>
      </c>
      <c r="F206" s="102">
        <f t="shared" si="232"/>
        <v>575552.43355483643</v>
      </c>
      <c r="G206" s="102">
        <f t="shared" si="232"/>
        <v>598310.89928572054</v>
      </c>
      <c r="H206" s="102">
        <f t="shared" si="232"/>
        <v>624578.5486635518</v>
      </c>
      <c r="I206" s="102">
        <f t="shared" si="232"/>
        <v>642292.40641511674</v>
      </c>
      <c r="J206" s="102">
        <f t="shared" si="232"/>
        <v>602193.29220434639</v>
      </c>
      <c r="K206" s="102">
        <f t="shared" si="232"/>
        <v>531091.49007946672</v>
      </c>
      <c r="L206" s="102">
        <f t="shared" si="232"/>
        <v>499149.08718807349</v>
      </c>
      <c r="M206" s="102">
        <f t="shared" si="235"/>
        <v>500768.74229561695</v>
      </c>
      <c r="N206" s="102">
        <f t="shared" si="232"/>
        <v>436935.332029999</v>
      </c>
      <c r="O206" s="102">
        <f t="shared" si="232"/>
        <v>429079.18329613458</v>
      </c>
      <c r="P206" s="102">
        <f t="shared" si="232"/>
        <v>426926.16390842386</v>
      </c>
      <c r="Q206" s="102">
        <f t="shared" si="232"/>
        <v>493216.08733061026</v>
      </c>
      <c r="R206" s="102">
        <f t="shared" si="232"/>
        <v>607526.06354504719</v>
      </c>
      <c r="S206" s="102">
        <f t="shared" si="232"/>
        <v>576380.40519166645</v>
      </c>
      <c r="T206" s="102">
        <f t="shared" si="232"/>
        <v>566201.75783125975</v>
      </c>
      <c r="U206" s="102">
        <f t="shared" si="232"/>
        <v>616159.20714634866</v>
      </c>
      <c r="V206" s="102">
        <f t="shared" si="232"/>
        <v>261602.06554916943</v>
      </c>
      <c r="W206" s="102">
        <f t="shared" si="234"/>
        <v>238669.49140121613</v>
      </c>
      <c r="X206" s="102">
        <f t="shared" si="234"/>
        <v>357312.52064332127</v>
      </c>
      <c r="Y206" s="102">
        <f t="shared" si="234"/>
        <v>465690.43042651314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339196.95144642855</v>
      </c>
      <c r="U207" s="102">
        <f t="shared" si="232"/>
        <v>363615.79409113881</v>
      </c>
      <c r="V207" s="102">
        <f t="shared" si="232"/>
        <v>153444.8954654019</v>
      </c>
      <c r="W207" s="102">
        <f t="shared" si="234"/>
        <v>140070.13629467445</v>
      </c>
      <c r="X207" s="102">
        <f t="shared" si="234"/>
        <v>211441.63616185583</v>
      </c>
      <c r="Y207" s="102">
        <f t="shared" si="234"/>
        <v>269083.78288630606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612352.88687376981</v>
      </c>
      <c r="M208" s="102">
        <f t="shared" si="235"/>
        <v>615291.2170961611</v>
      </c>
      <c r="N208" s="102">
        <f t="shared" si="232"/>
        <v>553288.8276901152</v>
      </c>
      <c r="O208" s="102">
        <f t="shared" si="232"/>
        <v>538500.14950372139</v>
      </c>
      <c r="P208" s="102">
        <f t="shared" si="232"/>
        <v>537634.19742609875</v>
      </c>
      <c r="Q208" s="102">
        <f t="shared" si="232"/>
        <v>623779.09004729183</v>
      </c>
      <c r="R208" s="102">
        <f t="shared" si="232"/>
        <v>772626.40226529411</v>
      </c>
      <c r="S208" s="102">
        <f t="shared" si="232"/>
        <v>737638.81728642026</v>
      </c>
      <c r="T208" s="102">
        <f t="shared" si="232"/>
        <v>723815.95408274629</v>
      </c>
      <c r="U208" s="102">
        <f t="shared" si="232"/>
        <v>783761.19200327038</v>
      </c>
      <c r="V208" s="102">
        <f t="shared" si="232"/>
        <v>334085.99292708811</v>
      </c>
      <c r="W208" s="102">
        <f t="shared" si="234"/>
        <v>308046.42892105528</v>
      </c>
      <c r="X208" s="102">
        <f t="shared" si="234"/>
        <v>469705.82217308856</v>
      </c>
      <c r="Y208" s="102">
        <f t="shared" si="234"/>
        <v>603792.56741991069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724332.90169988258</v>
      </c>
      <c r="M209" s="102">
        <f t="shared" si="235"/>
        <v>743884.07622568286</v>
      </c>
      <c r="N209" s="102">
        <f t="shared" si="232"/>
        <v>662804.1648909949</v>
      </c>
      <c r="O209" s="102">
        <f t="shared" si="232"/>
        <v>638879.17564338667</v>
      </c>
      <c r="P209" s="102">
        <f t="shared" si="232"/>
        <v>624204.06241135951</v>
      </c>
      <c r="Q209" s="102">
        <f t="shared" si="232"/>
        <v>708428.42888710811</v>
      </c>
      <c r="R209" s="102">
        <f t="shared" si="232"/>
        <v>742217.63192287774</v>
      </c>
      <c r="S209" s="102">
        <f t="shared" si="232"/>
        <v>624114.02050331805</v>
      </c>
      <c r="T209" s="102">
        <f t="shared" si="232"/>
        <v>624096.50857273093</v>
      </c>
      <c r="U209" s="102">
        <f t="shared" si="232"/>
        <v>733430.79063320684</v>
      </c>
      <c r="V209" s="102">
        <f t="shared" si="232"/>
        <v>316021.18939027819</v>
      </c>
      <c r="W209" s="102">
        <f t="shared" si="234"/>
        <v>283596.80951736262</v>
      </c>
      <c r="X209" s="102">
        <f t="shared" si="234"/>
        <v>418857.46731507056</v>
      </c>
      <c r="Y209" s="102">
        <f t="shared" si="234"/>
        <v>750904.05655981263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25680.699645414945</v>
      </c>
      <c r="C210" s="28">
        <f t="shared" si="232"/>
        <v>25000.934126621454</v>
      </c>
      <c r="D210" s="28">
        <f t="shared" si="232"/>
        <v>29189.634430014488</v>
      </c>
      <c r="E210" s="28">
        <f t="shared" si="232"/>
        <v>41389.65341727226</v>
      </c>
      <c r="F210" s="28">
        <f t="shared" ref="B210:V219" si="236">IF(F19=0,0,F19*1000000/F73)</f>
        <v>42759.596680854018</v>
      </c>
      <c r="G210" s="28">
        <f t="shared" si="236"/>
        <v>50400.447187130187</v>
      </c>
      <c r="H210" s="28">
        <f t="shared" si="236"/>
        <v>53778.363737372856</v>
      </c>
      <c r="I210" s="28">
        <f t="shared" si="236"/>
        <v>54515.161135126429</v>
      </c>
      <c r="J210" s="28">
        <f t="shared" si="236"/>
        <v>49311.569596941335</v>
      </c>
      <c r="K210" s="28">
        <f t="shared" si="236"/>
        <v>38745.451987627319</v>
      </c>
      <c r="L210" s="28">
        <f t="shared" si="236"/>
        <v>40359.886328165929</v>
      </c>
      <c r="M210" s="28">
        <f t="shared" si="235"/>
        <v>43453.404546471436</v>
      </c>
      <c r="N210" s="28">
        <f t="shared" si="236"/>
        <v>41859.842400143207</v>
      </c>
      <c r="O210" s="28">
        <f t="shared" si="236"/>
        <v>41958.053475008295</v>
      </c>
      <c r="P210" s="28">
        <f t="shared" si="236"/>
        <v>39007.782842233821</v>
      </c>
      <c r="Q210" s="28">
        <f t="shared" si="236"/>
        <v>39047.492563574888</v>
      </c>
      <c r="R210" s="28">
        <f t="shared" si="236"/>
        <v>39729.441680211217</v>
      </c>
      <c r="S210" s="28">
        <f t="shared" si="236"/>
        <v>34891.38859043087</v>
      </c>
      <c r="T210" s="28">
        <f t="shared" si="236"/>
        <v>33765.472071100026</v>
      </c>
      <c r="U210" s="28">
        <f t="shared" si="236"/>
        <v>30675.885135327098</v>
      </c>
      <c r="V210" s="28">
        <f t="shared" si="236"/>
        <v>27571.321356595836</v>
      </c>
      <c r="W210" s="28">
        <f t="shared" ref="W210:Y210" si="237">IF(W19=0,0,W19*1000000/W73)</f>
        <v>30325.731622195675</v>
      </c>
      <c r="X210" s="28">
        <f t="shared" si="237"/>
        <v>31448.071064638192</v>
      </c>
      <c r="Y210" s="28">
        <f t="shared" si="237"/>
        <v>27347.475877235567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4626.8411009344372</v>
      </c>
      <c r="C211" s="137">
        <f t="shared" si="236"/>
        <v>4809.4951928592882</v>
      </c>
      <c r="D211" s="137">
        <f t="shared" si="236"/>
        <v>4896.7035229902049</v>
      </c>
      <c r="E211" s="137">
        <f t="shared" si="236"/>
        <v>4795.26328434479</v>
      </c>
      <c r="F211" s="137">
        <f t="shared" si="236"/>
        <v>4780.2574320805143</v>
      </c>
      <c r="G211" s="137">
        <f t="shared" si="236"/>
        <v>4643.5146611832861</v>
      </c>
      <c r="H211" s="137">
        <f t="shared" si="236"/>
        <v>4610.5939461602047</v>
      </c>
      <c r="I211" s="137">
        <f t="shared" si="236"/>
        <v>4475.7809291686408</v>
      </c>
      <c r="J211" s="137">
        <f t="shared" si="236"/>
        <v>4327.8733002411091</v>
      </c>
      <c r="K211" s="137">
        <f t="shared" si="236"/>
        <v>4193.8830522476956</v>
      </c>
      <c r="L211" s="137">
        <f t="shared" si="236"/>
        <v>4103.8651448057417</v>
      </c>
      <c r="M211" s="137">
        <f t="shared" si="235"/>
        <v>4091.3573272384019</v>
      </c>
      <c r="N211" s="137">
        <f t="shared" si="236"/>
        <v>4045.0435843266646</v>
      </c>
      <c r="O211" s="137">
        <f t="shared" si="236"/>
        <v>4020.0269873210577</v>
      </c>
      <c r="P211" s="137">
        <f t="shared" si="236"/>
        <v>3982.8504824287388</v>
      </c>
      <c r="Q211" s="137">
        <f t="shared" si="236"/>
        <v>3910.196187310924</v>
      </c>
      <c r="R211" s="137">
        <f t="shared" si="236"/>
        <v>4005.1898307356823</v>
      </c>
      <c r="S211" s="137">
        <f t="shared" si="236"/>
        <v>4090.1794518154238</v>
      </c>
      <c r="T211" s="137">
        <f t="shared" si="236"/>
        <v>4212.6156805014234</v>
      </c>
      <c r="U211" s="137">
        <f t="shared" si="236"/>
        <v>4279.4908563991548</v>
      </c>
      <c r="V211" s="137">
        <f t="shared" si="236"/>
        <v>4239.7344812727051</v>
      </c>
      <c r="W211" s="137">
        <f t="shared" ref="W211:Y211" si="238">IF(W20=0,0,W20*1000000/W74)</f>
        <v>4312.6313111905592</v>
      </c>
      <c r="X211" s="137">
        <f t="shared" si="238"/>
        <v>4387.5602388326033</v>
      </c>
      <c r="Y211" s="137">
        <f t="shared" si="238"/>
        <v>4311.405395900656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3500.6185168031498</v>
      </c>
      <c r="C212" s="84">
        <f t="shared" si="236"/>
        <v>3868.9298914694937</v>
      </c>
      <c r="D212" s="84">
        <f t="shared" si="236"/>
        <v>3867.8833514655444</v>
      </c>
      <c r="E212" s="84">
        <f t="shared" si="236"/>
        <v>3735.8402520576283</v>
      </c>
      <c r="F212" s="84">
        <f t="shared" si="236"/>
        <v>3941.1726817774502</v>
      </c>
      <c r="G212" s="84">
        <f t="shared" si="236"/>
        <v>3683.6416663135246</v>
      </c>
      <c r="H212" s="84">
        <f t="shared" si="236"/>
        <v>3784.4842684328128</v>
      </c>
      <c r="I212" s="84">
        <f t="shared" si="236"/>
        <v>3447.773416782511</v>
      </c>
      <c r="J212" s="84">
        <f t="shared" si="236"/>
        <v>3148.3221692824786</v>
      </c>
      <c r="K212" s="84">
        <f t="shared" si="236"/>
        <v>2869.968446970609</v>
      </c>
      <c r="L212" s="84">
        <f t="shared" si="236"/>
        <v>2676.696573640545</v>
      </c>
      <c r="M212" s="84">
        <f t="shared" si="235"/>
        <v>2763.8100480894209</v>
      </c>
      <c r="N212" s="84">
        <f t="shared" si="236"/>
        <v>2670.5569441702814</v>
      </c>
      <c r="O212" s="84">
        <f t="shared" si="236"/>
        <v>2538.7252153582408</v>
      </c>
      <c r="P212" s="84">
        <f t="shared" si="236"/>
        <v>2484.81594873925</v>
      </c>
      <c r="Q212" s="84">
        <f t="shared" si="236"/>
        <v>2407.3276842644618</v>
      </c>
      <c r="R212" s="84">
        <f t="shared" si="236"/>
        <v>2288.9082320699599</v>
      </c>
      <c r="S212" s="84">
        <f t="shared" si="236"/>
        <v>2266.1320914285511</v>
      </c>
      <c r="T212" s="84">
        <f t="shared" si="236"/>
        <v>2456.7524549972159</v>
      </c>
      <c r="U212" s="84">
        <f t="shared" si="236"/>
        <v>2304.3104086329859</v>
      </c>
      <c r="V212" s="84">
        <f t="shared" si="236"/>
        <v>2107.7593633391971</v>
      </c>
      <c r="W212" s="84">
        <f t="shared" ref="W212:Y212" si="239">IF(W21=0,0,W21*1000000/W75)</f>
        <v>1973.5880488090199</v>
      </c>
      <c r="X212" s="84">
        <f t="shared" si="239"/>
        <v>1847.5076662661015</v>
      </c>
      <c r="Y212" s="84">
        <f t="shared" si="239"/>
        <v>1671.7929296577686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5026.2536091619622</v>
      </c>
      <c r="C213" s="84">
        <f t="shared" si="236"/>
        <v>5146.8507997984389</v>
      </c>
      <c r="D213" s="84">
        <f t="shared" si="236"/>
        <v>5269.7719612842238</v>
      </c>
      <c r="E213" s="84">
        <f t="shared" si="236"/>
        <v>5175.7015987453869</v>
      </c>
      <c r="F213" s="84">
        <f t="shared" si="236"/>
        <v>5081.9412492348665</v>
      </c>
      <c r="G213" s="84">
        <f t="shared" si="236"/>
        <v>4990.3252266698546</v>
      </c>
      <c r="H213" s="84">
        <f t="shared" si="236"/>
        <v>4902.8956118829747</v>
      </c>
      <c r="I213" s="84">
        <f t="shared" si="236"/>
        <v>4820.5745922059095</v>
      </c>
      <c r="J213" s="84">
        <f t="shared" si="236"/>
        <v>4750.654057153125</v>
      </c>
      <c r="K213" s="84">
        <f t="shared" si="236"/>
        <v>4673.7503304751772</v>
      </c>
      <c r="L213" s="84">
        <f t="shared" si="236"/>
        <v>4600.1395660667276</v>
      </c>
      <c r="M213" s="84">
        <f t="shared" si="235"/>
        <v>4533.2192976141068</v>
      </c>
      <c r="N213" s="84">
        <f t="shared" si="236"/>
        <v>4469.7071402135416</v>
      </c>
      <c r="O213" s="84">
        <f t="shared" si="236"/>
        <v>4412.9027876127457</v>
      </c>
      <c r="P213" s="84">
        <f t="shared" si="236"/>
        <v>4351.8373670153278</v>
      </c>
      <c r="Q213" s="84">
        <f t="shared" si="236"/>
        <v>4259.4673602419089</v>
      </c>
      <c r="R213" s="84">
        <f t="shared" si="236"/>
        <v>4380.097988064972</v>
      </c>
      <c r="S213" s="84">
        <f t="shared" si="236"/>
        <v>4467.9082726688721</v>
      </c>
      <c r="T213" s="84">
        <f t="shared" si="236"/>
        <v>4557.6165896411067</v>
      </c>
      <c r="U213" s="84">
        <f t="shared" si="236"/>
        <v>4650.7539390211296</v>
      </c>
      <c r="V213" s="84">
        <f t="shared" si="236"/>
        <v>4628.1710424541361</v>
      </c>
      <c r="W213" s="84">
        <f t="shared" ref="W213:Y213" si="240">IF(W22=0,0,W22*1000000/W76)</f>
        <v>4714.6653591189743</v>
      </c>
      <c r="X213" s="84">
        <f t="shared" si="240"/>
        <v>4801.6069594140645</v>
      </c>
      <c r="Y213" s="84">
        <f t="shared" si="240"/>
        <v>4727.0351857477099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2485.9018382796235</v>
      </c>
      <c r="O215" s="84">
        <f t="shared" si="236"/>
        <v>2474.122003046949</v>
      </c>
      <c r="P215" s="84">
        <f t="shared" si="236"/>
        <v>2459.5816961285118</v>
      </c>
      <c r="Q215" s="84">
        <f t="shared" si="236"/>
        <v>2446.2049096961823</v>
      </c>
      <c r="R215" s="84">
        <f t="shared" si="236"/>
        <v>2475.5541005160862</v>
      </c>
      <c r="S215" s="84">
        <f t="shared" si="236"/>
        <v>2504.961177942811</v>
      </c>
      <c r="T215" s="84">
        <f t="shared" si="236"/>
        <v>2534.794138172831</v>
      </c>
      <c r="U215" s="84">
        <f t="shared" si="236"/>
        <v>2565.8804932726553</v>
      </c>
      <c r="V215" s="84">
        <f t="shared" si="236"/>
        <v>2532.9733408081361</v>
      </c>
      <c r="W215" s="84">
        <f t="shared" ref="W215:Y215" si="242">IF(W24=0,0,W24*1000000/W78)</f>
        <v>2559.6480039851426</v>
      </c>
      <c r="X215" s="84">
        <f t="shared" si="242"/>
        <v>2585.9738990355481</v>
      </c>
      <c r="Y215" s="84">
        <f t="shared" si="242"/>
        <v>2525.4252608620018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2247.1651704550864</v>
      </c>
      <c r="J216" s="84">
        <f t="shared" si="236"/>
        <v>2248.7291877932189</v>
      </c>
      <c r="K216" s="84">
        <f t="shared" si="236"/>
        <v>2250.4775030236119</v>
      </c>
      <c r="L216" s="84">
        <f t="shared" si="236"/>
        <v>2252.1794187639807</v>
      </c>
      <c r="M216" s="84">
        <f t="shared" si="235"/>
        <v>2253.7515910991601</v>
      </c>
      <c r="N216" s="84">
        <f t="shared" si="236"/>
        <v>2255.2663482818493</v>
      </c>
      <c r="O216" s="84">
        <f t="shared" si="236"/>
        <v>2256.6403514888493</v>
      </c>
      <c r="P216" s="84">
        <f t="shared" si="236"/>
        <v>2258.1382434202283</v>
      </c>
      <c r="Q216" s="84">
        <f t="shared" si="236"/>
        <v>2259.5896984445781</v>
      </c>
      <c r="R216" s="84">
        <f t="shared" si="236"/>
        <v>2257.442311106724</v>
      </c>
      <c r="S216" s="84">
        <f t="shared" si="236"/>
        <v>2255.3095787792222</v>
      </c>
      <c r="T216" s="84">
        <f t="shared" si="236"/>
        <v>2253.1756207898311</v>
      </c>
      <c r="U216" s="84">
        <f t="shared" si="236"/>
        <v>2251.0061566338559</v>
      </c>
      <c r="V216" s="84">
        <f t="shared" si="236"/>
        <v>2243.1933564973538</v>
      </c>
      <c r="W216" s="84">
        <f t="shared" ref="W216:Y216" si="243">IF(W25=0,0,W25*1000000/W79)</f>
        <v>2249.5436284509965</v>
      </c>
      <c r="X216" s="84">
        <f t="shared" si="243"/>
        <v>2247.5870870544245</v>
      </c>
      <c r="Y216" s="84">
        <f t="shared" si="243"/>
        <v>2249.2629612481742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186085.0649996532</v>
      </c>
      <c r="C217" s="110">
        <f t="shared" si="236"/>
        <v>222377.36769937014</v>
      </c>
      <c r="D217" s="110">
        <f t="shared" si="236"/>
        <v>196891.80081491021</v>
      </c>
      <c r="E217" s="110">
        <f t="shared" si="236"/>
        <v>198405.53027032022</v>
      </c>
      <c r="F217" s="110">
        <f t="shared" si="236"/>
        <v>196857.82167542292</v>
      </c>
      <c r="G217" s="110">
        <f t="shared" si="236"/>
        <v>222555.28058884459</v>
      </c>
      <c r="H217" s="110">
        <f t="shared" si="236"/>
        <v>219196.03586861593</v>
      </c>
      <c r="I217" s="110">
        <f t="shared" si="236"/>
        <v>214066.08800198982</v>
      </c>
      <c r="J217" s="110">
        <f t="shared" si="236"/>
        <v>193140.2771568856</v>
      </c>
      <c r="K217" s="110">
        <f t="shared" si="236"/>
        <v>167935.84474075027</v>
      </c>
      <c r="L217" s="110">
        <f t="shared" si="236"/>
        <v>188728.40146288867</v>
      </c>
      <c r="M217" s="110">
        <f t="shared" si="235"/>
        <v>199965.83680081723</v>
      </c>
      <c r="N217" s="110">
        <f t="shared" si="236"/>
        <v>192332.18659448976</v>
      </c>
      <c r="O217" s="110">
        <f t="shared" si="236"/>
        <v>220955.71008330747</v>
      </c>
      <c r="P217" s="110">
        <f t="shared" si="236"/>
        <v>207175.79493786502</v>
      </c>
      <c r="Q217" s="110">
        <f t="shared" si="236"/>
        <v>213981.07025213336</v>
      </c>
      <c r="R217" s="110">
        <f t="shared" si="236"/>
        <v>219825.55536174151</v>
      </c>
      <c r="S217" s="110">
        <f t="shared" si="236"/>
        <v>189163.49655638178</v>
      </c>
      <c r="T217" s="110">
        <f t="shared" si="236"/>
        <v>184410.18110621636</v>
      </c>
      <c r="U217" s="110">
        <f t="shared" si="236"/>
        <v>156885.47044568538</v>
      </c>
      <c r="V217" s="110">
        <f t="shared" si="236"/>
        <v>140349.98214376817</v>
      </c>
      <c r="W217" s="110">
        <f t="shared" ref="W217:Y217" si="244">IF(W26=0,0,W26*1000000/W80)</f>
        <v>162050.28618152085</v>
      </c>
      <c r="X217" s="110">
        <f t="shared" si="244"/>
        <v>168884.9452824608</v>
      </c>
      <c r="Y217" s="110">
        <f t="shared" si="244"/>
        <v>147387.51102833057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109243.6974789916</v>
      </c>
      <c r="C218" s="163">
        <f t="shared" si="236"/>
        <v>114166.66666666667</v>
      </c>
      <c r="D218" s="163">
        <f t="shared" si="236"/>
        <v>113056.37982195846</v>
      </c>
      <c r="E218" s="163">
        <f t="shared" si="236"/>
        <v>145319.74050046338</v>
      </c>
      <c r="F218" s="163">
        <f t="shared" si="236"/>
        <v>135870.56444199302</v>
      </c>
      <c r="G218" s="163">
        <f t="shared" si="236"/>
        <v>163364.58517601274</v>
      </c>
      <c r="H218" s="163">
        <f t="shared" si="236"/>
        <v>160294.83233435929</v>
      </c>
      <c r="I218" s="163">
        <f t="shared" si="236"/>
        <v>150717.88901823823</v>
      </c>
      <c r="J218" s="163">
        <f t="shared" si="236"/>
        <v>135143.11006196516</v>
      </c>
      <c r="K218" s="163">
        <f t="shared" si="236"/>
        <v>113139.93174061434</v>
      </c>
      <c r="L218" s="163">
        <f t="shared" si="236"/>
        <v>127890.90574034829</v>
      </c>
      <c r="M218" s="163">
        <f t="shared" si="235"/>
        <v>134071.97457699905</v>
      </c>
      <c r="N218" s="163">
        <f t="shared" si="236"/>
        <v>129076.52567000323</v>
      </c>
      <c r="O218" s="163">
        <f t="shared" si="236"/>
        <v>141524.52025586355</v>
      </c>
      <c r="P218" s="163">
        <f t="shared" si="236"/>
        <v>130185.01309453406</v>
      </c>
      <c r="Q218" s="163">
        <f t="shared" si="236"/>
        <v>125411.45490454246</v>
      </c>
      <c r="R218" s="163">
        <f t="shared" si="236"/>
        <v>137286.4475599479</v>
      </c>
      <c r="S218" s="163">
        <f t="shared" si="236"/>
        <v>113888.69492353885</v>
      </c>
      <c r="T218" s="163">
        <f t="shared" si="236"/>
        <v>110629.92125984252</v>
      </c>
      <c r="U218" s="163">
        <f t="shared" si="236"/>
        <v>95418.782434015957</v>
      </c>
      <c r="V218" s="163">
        <f t="shared" si="236"/>
        <v>69384.640540687848</v>
      </c>
      <c r="W218" s="163">
        <f t="shared" ref="W218:Y218" si="245">IF(W27=0,0,W27*1000000/W81)</f>
        <v>97719.8697068404</v>
      </c>
      <c r="X218" s="163">
        <f t="shared" si="245"/>
        <v>94998.942694015641</v>
      </c>
      <c r="Y218" s="163">
        <f t="shared" si="245"/>
        <v>80252.715121136178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1212466.1883113477</v>
      </c>
      <c r="C219" s="86">
        <f t="shared" si="236"/>
        <v>1209851.4455643448</v>
      </c>
      <c r="D219" s="86">
        <f t="shared" si="236"/>
        <v>1218683.3695174325</v>
      </c>
      <c r="E219" s="86">
        <f t="shared" si="236"/>
        <v>1212203.1791495329</v>
      </c>
      <c r="F219" s="86">
        <f t="shared" si="236"/>
        <v>1190000.6123719057</v>
      </c>
      <c r="G219" s="86">
        <f t="shared" si="236"/>
        <v>1189621.7579551402</v>
      </c>
      <c r="H219" s="86">
        <f t="shared" si="236"/>
        <v>1197923.1675428182</v>
      </c>
      <c r="I219" s="86">
        <f t="shared" si="236"/>
        <v>1199865.0540716024</v>
      </c>
      <c r="J219" s="86">
        <f t="shared" si="236"/>
        <v>1183328.6866515221</v>
      </c>
      <c r="K219" s="86">
        <f t="shared" si="236"/>
        <v>1166704.2745410504</v>
      </c>
      <c r="L219" s="86">
        <f t="shared" si="236"/>
        <v>1206092.5633684827</v>
      </c>
      <c r="M219" s="86">
        <f t="shared" si="235"/>
        <v>1201535.3379390875</v>
      </c>
      <c r="N219" s="86">
        <f t="shared" si="236"/>
        <v>1196961.837277232</v>
      </c>
      <c r="O219" s="86">
        <f t="shared" si="236"/>
        <v>1199158.6342602319</v>
      </c>
      <c r="P219" s="86">
        <f t="shared" si="236"/>
        <v>1202088.3327975909</v>
      </c>
      <c r="Q219" s="86">
        <f t="shared" si="236"/>
        <v>1190657.9901286531</v>
      </c>
      <c r="R219" s="86">
        <f t="shared" si="236"/>
        <v>1184358.209020481</v>
      </c>
      <c r="S219" s="86">
        <f t="shared" si="236"/>
        <v>1191031.9298128351</v>
      </c>
      <c r="T219" s="86">
        <f t="shared" si="236"/>
        <v>1202898.5507246377</v>
      </c>
      <c r="U219" s="86">
        <f t="shared" si="236"/>
        <v>1195098.9632422244</v>
      </c>
      <c r="V219" s="86">
        <f t="shared" si="236"/>
        <v>1178628.389154705</v>
      </c>
      <c r="W219" s="86">
        <f t="shared" ref="W219:Y219" si="246">IF(W28=0,0,W28*1000000/W82)</f>
        <v>1194250.8710801394</v>
      </c>
      <c r="X219" s="86">
        <f t="shared" si="246"/>
        <v>1189051.0948905109</v>
      </c>
      <c r="Y219" s="86">
        <f t="shared" si="246"/>
        <v>1176000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1.0011405041944004E-3</v>
      </c>
      <c r="C223" s="154">
        <f t="shared" si="251"/>
        <v>1.0198193605165157E-3</v>
      </c>
      <c r="D223" s="154">
        <f t="shared" si="251"/>
        <v>1.0758566040061442E-3</v>
      </c>
      <c r="E223" s="154">
        <f t="shared" si="251"/>
        <v>1.1199582587576428E-3</v>
      </c>
      <c r="F223" s="154">
        <f t="shared" si="251"/>
        <v>1.2163664978959855E-3</v>
      </c>
      <c r="G223" s="154">
        <f t="shared" si="251"/>
        <v>1.1063478203877353E-3</v>
      </c>
      <c r="H223" s="154">
        <f t="shared" si="251"/>
        <v>1.3415572294009468E-3</v>
      </c>
      <c r="I223" s="154">
        <f t="shared" si="251"/>
        <v>1.5946508014238951E-3</v>
      </c>
      <c r="J223" s="154">
        <f t="shared" si="251"/>
        <v>1.8598293332460546E-3</v>
      </c>
      <c r="K223" s="154">
        <f t="shared" si="251"/>
        <v>2.0034661300364436E-3</v>
      </c>
      <c r="L223" s="154">
        <f t="shared" ref="L223" si="252">IF(L5=0,0,L5/L$4)</f>
        <v>2.1902143590831831E-3</v>
      </c>
      <c r="M223" s="154">
        <f t="shared" ref="M223:V223" si="253">IF(M5=0,0,M5/M$4)</f>
        <v>2.515296544164828E-3</v>
      </c>
      <c r="N223" s="154">
        <f t="shared" si="253"/>
        <v>3.7218828419302505E-3</v>
      </c>
      <c r="O223" s="154">
        <f t="shared" si="253"/>
        <v>3.9206352917791785E-3</v>
      </c>
      <c r="P223" s="154">
        <f t="shared" si="253"/>
        <v>4.0788553624006357E-3</v>
      </c>
      <c r="Q223" s="154">
        <f t="shared" si="253"/>
        <v>4.1211923273996821E-3</v>
      </c>
      <c r="R223" s="154">
        <f t="shared" si="253"/>
        <v>4.1782589155954916E-3</v>
      </c>
      <c r="S223" s="154">
        <f t="shared" si="253"/>
        <v>3.9449522527096716E-3</v>
      </c>
      <c r="T223" s="154">
        <f t="shared" si="253"/>
        <v>3.7449791787348466E-3</v>
      </c>
      <c r="U223" s="154">
        <f t="shared" si="253"/>
        <v>3.7636576844294373E-3</v>
      </c>
      <c r="V223" s="154">
        <f t="shared" si="253"/>
        <v>4.3097903936408178E-3</v>
      </c>
      <c r="W223" s="154">
        <f t="shared" ref="W223:Y223" si="254">IF(W5=0,0,W5/W$4)</f>
        <v>4.2585104201782985E-3</v>
      </c>
      <c r="X223" s="154">
        <f t="shared" si="254"/>
        <v>3.9249264611186437E-3</v>
      </c>
      <c r="Y223" s="154">
        <f t="shared" si="254"/>
        <v>3.9792905916543895E-3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0.71685384700697141</v>
      </c>
      <c r="C224" s="156">
        <f t="shared" si="255"/>
        <v>0.73377525634602581</v>
      </c>
      <c r="D224" s="156">
        <f t="shared" si="255"/>
        <v>0.75104527335792914</v>
      </c>
      <c r="E224" s="156">
        <f t="shared" si="255"/>
        <v>0.76852304378192815</v>
      </c>
      <c r="F224" s="156">
        <f t="shared" si="255"/>
        <v>0.75894733792568947</v>
      </c>
      <c r="G224" s="156">
        <f t="shared" si="255"/>
        <v>0.78434282898310559</v>
      </c>
      <c r="H224" s="156">
        <f t="shared" si="255"/>
        <v>0.77435541216156378</v>
      </c>
      <c r="I224" s="156">
        <f t="shared" si="255"/>
        <v>0.78757225621091442</v>
      </c>
      <c r="J224" s="156">
        <f t="shared" si="255"/>
        <v>0.80911540121986547</v>
      </c>
      <c r="K224" s="156">
        <f t="shared" si="255"/>
        <v>0.83074073296611839</v>
      </c>
      <c r="L224" s="156">
        <f t="shared" ref="L224" si="256">IF(L6=0,0,L6/L$4)</f>
        <v>0.82870478044348816</v>
      </c>
      <c r="M224" s="156">
        <f t="shared" ref="M224:V224" si="257">IF(M6=0,0,M6/M$4)</f>
        <v>0.83160589202334867</v>
      </c>
      <c r="N224" s="156">
        <f t="shared" si="257"/>
        <v>0.84857807626616666</v>
      </c>
      <c r="O224" s="156">
        <f t="shared" si="257"/>
        <v>0.85020249432111317</v>
      </c>
      <c r="P224" s="156">
        <f t="shared" si="257"/>
        <v>0.85362098658642072</v>
      </c>
      <c r="Q224" s="156">
        <f t="shared" si="257"/>
        <v>0.83596550395490388</v>
      </c>
      <c r="R224" s="156">
        <f t="shared" si="257"/>
        <v>0.81040109886522083</v>
      </c>
      <c r="S224" s="156">
        <f t="shared" si="257"/>
        <v>0.81689276708875169</v>
      </c>
      <c r="T224" s="156">
        <f t="shared" si="257"/>
        <v>0.82138899226011453</v>
      </c>
      <c r="U224" s="156">
        <f t="shared" si="257"/>
        <v>0.81412582909291387</v>
      </c>
      <c r="V224" s="156">
        <f t="shared" si="257"/>
        <v>0.89493837830120515</v>
      </c>
      <c r="W224" s="156">
        <f t="shared" ref="W224:Y224" si="258">IF(W6=0,0,W6/W$4)</f>
        <v>0.90661143731787686</v>
      </c>
      <c r="X224" s="156">
        <f t="shared" si="258"/>
        <v>0.87353774472600954</v>
      </c>
      <c r="Y224" s="156">
        <f t="shared" si="258"/>
        <v>0.85289343559923891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0.65769121219259652</v>
      </c>
      <c r="C225" s="103">
        <f t="shared" si="259"/>
        <v>0.66441540489577833</v>
      </c>
      <c r="D225" s="103">
        <f t="shared" si="259"/>
        <v>0.66772414157053783</v>
      </c>
      <c r="E225" s="103">
        <f t="shared" si="259"/>
        <v>0.65050590397967956</v>
      </c>
      <c r="F225" s="103">
        <f t="shared" si="259"/>
        <v>0.60321510128070022</v>
      </c>
      <c r="G225" s="103">
        <f t="shared" si="259"/>
        <v>0.59532801486688147</v>
      </c>
      <c r="H225" s="103">
        <f t="shared" si="259"/>
        <v>0.55177782207645842</v>
      </c>
      <c r="I225" s="103">
        <f t="shared" si="259"/>
        <v>0.53636291031631311</v>
      </c>
      <c r="J225" s="103">
        <f t="shared" si="259"/>
        <v>0.5481030114403701</v>
      </c>
      <c r="K225" s="103">
        <f t="shared" si="259"/>
        <v>0.52271263817681191</v>
      </c>
      <c r="L225" s="103">
        <f t="shared" ref="L225" si="260">IF(L7=0,0,L7/L$4)</f>
        <v>0.50606633875477458</v>
      </c>
      <c r="M225" s="103">
        <f t="shared" ref="M225:V225" si="261">IF(M7=0,0,M7/M$4)</f>
        <v>0.46942600655093364</v>
      </c>
      <c r="N225" s="103">
        <f t="shared" si="261"/>
        <v>0.44440051260247615</v>
      </c>
      <c r="O225" s="103">
        <f t="shared" si="261"/>
        <v>0.4162152847154803</v>
      </c>
      <c r="P225" s="103">
        <f t="shared" si="261"/>
        <v>0.41413632900297842</v>
      </c>
      <c r="Q225" s="103">
        <f t="shared" si="261"/>
        <v>0.37702837622249463</v>
      </c>
      <c r="R225" s="103">
        <f t="shared" si="261"/>
        <v>0.37189765499772592</v>
      </c>
      <c r="S225" s="103">
        <f t="shared" si="261"/>
        <v>0.38261748048353661</v>
      </c>
      <c r="T225" s="103">
        <f t="shared" si="261"/>
        <v>0.38339389718445033</v>
      </c>
      <c r="U225" s="103">
        <f t="shared" si="261"/>
        <v>0.38112480524764752</v>
      </c>
      <c r="V225" s="103">
        <f t="shared" si="261"/>
        <v>0.34426048840009277</v>
      </c>
      <c r="W225" s="103">
        <f t="shared" ref="W225:Y225" si="262">IF(W7=0,0,W7/W$4)</f>
        <v>0.3209568051750199</v>
      </c>
      <c r="X225" s="103">
        <f t="shared" si="262"/>
        <v>0.33143273160740105</v>
      </c>
      <c r="Y225" s="103">
        <f t="shared" si="262"/>
        <v>0.32150425086095386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5.7392948240974358E-2</v>
      </c>
      <c r="C226" s="103">
        <f t="shared" si="263"/>
        <v>6.7368009813983012E-2</v>
      </c>
      <c r="D226" s="103">
        <f t="shared" si="263"/>
        <v>8.0991940681070129E-2</v>
      </c>
      <c r="E226" s="103">
        <f t="shared" si="263"/>
        <v>0.11546353362698213</v>
      </c>
      <c r="F226" s="103">
        <f t="shared" si="263"/>
        <v>0.15324586774091001</v>
      </c>
      <c r="G226" s="103">
        <f t="shared" si="263"/>
        <v>0.18604866657973088</v>
      </c>
      <c r="H226" s="103">
        <f t="shared" si="263"/>
        <v>0.21887172933176538</v>
      </c>
      <c r="I226" s="103">
        <f t="shared" si="263"/>
        <v>0.24817609262607776</v>
      </c>
      <c r="J226" s="103">
        <f t="shared" si="263"/>
        <v>0.2575379815624036</v>
      </c>
      <c r="K226" s="103">
        <f t="shared" si="263"/>
        <v>0.30406890706675282</v>
      </c>
      <c r="L226" s="103">
        <f t="shared" ref="L226" si="264">IF(L8=0,0,L8/L$4)</f>
        <v>0.31881164609253382</v>
      </c>
      <c r="M226" s="103">
        <f t="shared" ref="M226:V226" si="265">IF(M8=0,0,M8/M$4)</f>
        <v>0.35769703239140749</v>
      </c>
      <c r="N226" s="103">
        <f t="shared" si="265"/>
        <v>0.39716472908202022</v>
      </c>
      <c r="O226" s="103">
        <f t="shared" si="265"/>
        <v>0.42576054692408571</v>
      </c>
      <c r="P226" s="103">
        <f t="shared" si="265"/>
        <v>0.42946948325784551</v>
      </c>
      <c r="Q226" s="103">
        <f t="shared" si="265"/>
        <v>0.44878789255368934</v>
      </c>
      <c r="R226" s="103">
        <f t="shared" si="265"/>
        <v>0.42672097889392757</v>
      </c>
      <c r="S226" s="103">
        <f t="shared" si="265"/>
        <v>0.42038510168930726</v>
      </c>
      <c r="T226" s="103">
        <f t="shared" si="265"/>
        <v>0.42022298884903797</v>
      </c>
      <c r="U226" s="103">
        <f t="shared" si="265"/>
        <v>0.40325340230689871</v>
      </c>
      <c r="V226" s="103">
        <f t="shared" si="265"/>
        <v>0.50407298193427463</v>
      </c>
      <c r="W226" s="103">
        <f t="shared" ref="W226:Y226" si="266">IF(W8=0,0,W8/W$4)</f>
        <v>0.52739266955877095</v>
      </c>
      <c r="X226" s="103">
        <f t="shared" si="266"/>
        <v>0.48908226422432155</v>
      </c>
      <c r="Y226" s="103">
        <f t="shared" si="266"/>
        <v>0.47942469327485354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1.7696865734005258E-3</v>
      </c>
      <c r="C227" s="103">
        <f t="shared" si="267"/>
        <v>1.9918416362644724E-3</v>
      </c>
      <c r="D227" s="103">
        <f t="shared" si="267"/>
        <v>2.3291911063211715E-3</v>
      </c>
      <c r="E227" s="103">
        <f t="shared" si="267"/>
        <v>2.553606175266536E-3</v>
      </c>
      <c r="F227" s="103">
        <f t="shared" si="267"/>
        <v>2.4863689040793358E-3</v>
      </c>
      <c r="G227" s="103">
        <f t="shared" si="267"/>
        <v>2.9661475364933512E-3</v>
      </c>
      <c r="H227" s="103">
        <f t="shared" si="267"/>
        <v>3.7058607533399079E-3</v>
      </c>
      <c r="I227" s="103">
        <f t="shared" si="267"/>
        <v>3.0332532685234067E-3</v>
      </c>
      <c r="J227" s="103">
        <f t="shared" si="267"/>
        <v>3.4722741903098755E-3</v>
      </c>
      <c r="K227" s="103">
        <f t="shared" si="267"/>
        <v>3.9570223956031164E-3</v>
      </c>
      <c r="L227" s="103">
        <f t="shared" ref="L227" si="268">IF(L9=0,0,L9/L$4)</f>
        <v>3.8166009820597845E-3</v>
      </c>
      <c r="M227" s="103">
        <f t="shared" ref="M227:V227" si="269">IF(M9=0,0,M9/M$4)</f>
        <v>4.3412667661271147E-3</v>
      </c>
      <c r="N227" s="103">
        <f t="shared" si="269"/>
        <v>5.6922214885983926E-3</v>
      </c>
      <c r="O227" s="103">
        <f t="shared" si="269"/>
        <v>6.442938573089539E-3</v>
      </c>
      <c r="P227" s="103">
        <f t="shared" si="269"/>
        <v>7.2529985110398243E-3</v>
      </c>
      <c r="Q227" s="103">
        <f t="shared" si="269"/>
        <v>7.2315763280461519E-3</v>
      </c>
      <c r="R227" s="103">
        <f t="shared" si="269"/>
        <v>8.0148515714771398E-3</v>
      </c>
      <c r="S227" s="103">
        <f t="shared" si="269"/>
        <v>9.3562607598643988E-3</v>
      </c>
      <c r="T227" s="103">
        <f t="shared" si="269"/>
        <v>1.0908092277935981E-2</v>
      </c>
      <c r="U227" s="103">
        <f t="shared" si="269"/>
        <v>1.2425644707843235E-2</v>
      </c>
      <c r="V227" s="103">
        <f t="shared" si="269"/>
        <v>1.4681931821478162E-2</v>
      </c>
      <c r="W227" s="103">
        <f t="shared" ref="W227:Y227" si="270">IF(W9=0,0,W9/W$4)</f>
        <v>1.4849378329627971E-2</v>
      </c>
      <c r="X227" s="103">
        <f t="shared" si="270"/>
        <v>1.4200730502282568E-2</v>
      </c>
      <c r="Y227" s="103">
        <f t="shared" si="270"/>
        <v>1.178876469606748E-2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5.8350810044524939E-6</v>
      </c>
      <c r="M228" s="103">
        <f t="shared" ref="M228:V228" si="273">IF(M10=0,0,M10/M$4)</f>
        <v>1.9410809593726418E-5</v>
      </c>
      <c r="N228" s="103">
        <f t="shared" si="273"/>
        <v>3.6725001026079292E-5</v>
      </c>
      <c r="O228" s="103">
        <f t="shared" si="273"/>
        <v>2.8809698561718655E-4</v>
      </c>
      <c r="P228" s="103">
        <f t="shared" si="273"/>
        <v>5.4292115458719366E-4</v>
      </c>
      <c r="Q228" s="103">
        <f t="shared" si="273"/>
        <v>8.259176987412411E-4</v>
      </c>
      <c r="R228" s="103">
        <f t="shared" si="273"/>
        <v>1.7931726093234116E-3</v>
      </c>
      <c r="S228" s="103">
        <f t="shared" si="273"/>
        <v>2.5952121982170374E-3</v>
      </c>
      <c r="T228" s="103">
        <f t="shared" si="273"/>
        <v>4.8444627882638933E-3</v>
      </c>
      <c r="U228" s="103">
        <f t="shared" si="273"/>
        <v>1.5045291851247282E-2</v>
      </c>
      <c r="V228" s="103">
        <f t="shared" si="273"/>
        <v>2.905783765727861E-2</v>
      </c>
      <c r="W228" s="103">
        <f t="shared" ref="W228:Y228" si="274">IF(W10=0,0,W10/W$4)</f>
        <v>3.9018691015749576E-2</v>
      </c>
      <c r="X228" s="103">
        <f t="shared" si="274"/>
        <v>3.3280943206116693E-2</v>
      </c>
      <c r="Y228" s="103">
        <f t="shared" si="274"/>
        <v>3.2135284452628941E-2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0</v>
      </c>
      <c r="O229" s="103">
        <f t="shared" si="277"/>
        <v>0</v>
      </c>
      <c r="P229" s="103">
        <f t="shared" si="277"/>
        <v>2.9316105667014233E-5</v>
      </c>
      <c r="Q229" s="103">
        <f t="shared" si="277"/>
        <v>4.7056101413654389E-5</v>
      </c>
      <c r="R229" s="103">
        <f t="shared" si="277"/>
        <v>5.6654550191864483E-5</v>
      </c>
      <c r="S229" s="103">
        <f t="shared" si="277"/>
        <v>7.3851915979244176E-5</v>
      </c>
      <c r="T229" s="103">
        <f t="shared" si="277"/>
        <v>1.1153135325686209E-4</v>
      </c>
      <c r="U229" s="103">
        <f t="shared" si="277"/>
        <v>1.267212489274086E-4</v>
      </c>
      <c r="V229" s="103">
        <f t="shared" si="277"/>
        <v>2.3416296583219663E-4</v>
      </c>
      <c r="W229" s="103">
        <f t="shared" ref="W229:Y229" si="278">IF(W11=0,0,W11/W$4)</f>
        <v>6.771970838423514E-4</v>
      </c>
      <c r="X229" s="103">
        <f t="shared" si="278"/>
        <v>9.8374425066669003E-4</v>
      </c>
      <c r="Y229" s="103">
        <f t="shared" si="278"/>
        <v>1.6773973192443605E-3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2.1340267817878366E-6</v>
      </c>
      <c r="K230" s="103">
        <f t="shared" si="279"/>
        <v>2.1653269505725104E-6</v>
      </c>
      <c r="L230" s="103">
        <f t="shared" ref="L230" si="280">IF(L12=0,0,L12/L$4)</f>
        <v>4.3595331155575597E-6</v>
      </c>
      <c r="M230" s="103">
        <f t="shared" ref="M230:V230" si="281">IF(M12=0,0,M12/M$4)</f>
        <v>1.2217550528680703E-4</v>
      </c>
      <c r="N230" s="103">
        <f t="shared" si="281"/>
        <v>1.2838880920458813E-3</v>
      </c>
      <c r="O230" s="103">
        <f t="shared" si="281"/>
        <v>1.4956271228402937E-3</v>
      </c>
      <c r="P230" s="103">
        <f t="shared" si="281"/>
        <v>2.1899385543026903E-3</v>
      </c>
      <c r="Q230" s="103">
        <f t="shared" si="281"/>
        <v>2.0446850505188865E-3</v>
      </c>
      <c r="R230" s="103">
        <f t="shared" si="281"/>
        <v>1.9177862425749468E-3</v>
      </c>
      <c r="S230" s="103">
        <f t="shared" si="281"/>
        <v>1.8648600418470936E-3</v>
      </c>
      <c r="T230" s="103">
        <f t="shared" si="281"/>
        <v>1.9080198071694079E-3</v>
      </c>
      <c r="U230" s="103">
        <f t="shared" si="281"/>
        <v>2.1499637303497034E-3</v>
      </c>
      <c r="V230" s="103">
        <f t="shared" si="281"/>
        <v>2.6309755222487853E-3</v>
      </c>
      <c r="W230" s="103">
        <f t="shared" ref="W230:Y230" si="282">IF(W12=0,0,W12/W$4)</f>
        <v>3.7166961548659003E-3</v>
      </c>
      <c r="X230" s="103">
        <f t="shared" si="282"/>
        <v>4.5573309352210873E-3</v>
      </c>
      <c r="Y230" s="103">
        <f t="shared" si="282"/>
        <v>6.3630449954907324E-3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0.28214501248883422</v>
      </c>
      <c r="C231" s="156">
        <f t="shared" si="283"/>
        <v>0.2652049242934576</v>
      </c>
      <c r="D231" s="156">
        <f t="shared" si="283"/>
        <v>0.24787887003806469</v>
      </c>
      <c r="E231" s="156">
        <f t="shared" si="283"/>
        <v>0.23035699795931419</v>
      </c>
      <c r="F231" s="156">
        <f t="shared" si="283"/>
        <v>0.23983629557641459</v>
      </c>
      <c r="G231" s="156">
        <f t="shared" si="283"/>
        <v>0.21455082319650673</v>
      </c>
      <c r="H231" s="156">
        <f t="shared" si="283"/>
        <v>0.22430303060903528</v>
      </c>
      <c r="I231" s="156">
        <f t="shared" si="283"/>
        <v>0.2108330929876617</v>
      </c>
      <c r="J231" s="156">
        <f t="shared" si="283"/>
        <v>0.18902476944688854</v>
      </c>
      <c r="K231" s="156">
        <f t="shared" si="283"/>
        <v>0.16725580090384518</v>
      </c>
      <c r="L231" s="156">
        <f t="shared" ref="L231" si="284">IF(L13=0,0,L13/L$4)</f>
        <v>0.16910500519742863</v>
      </c>
      <c r="M231" s="156">
        <f t="shared" ref="M231:V231" si="285">IF(M13=0,0,M13/M$4)</f>
        <v>0.16587881143248648</v>
      </c>
      <c r="N231" s="156">
        <f t="shared" si="285"/>
        <v>0.14770004089190311</v>
      </c>
      <c r="O231" s="156">
        <f t="shared" si="285"/>
        <v>0.14587687038710762</v>
      </c>
      <c r="P231" s="156">
        <f t="shared" si="285"/>
        <v>0.14230015805117868</v>
      </c>
      <c r="Q231" s="156">
        <f t="shared" si="285"/>
        <v>0.15991330371769644</v>
      </c>
      <c r="R231" s="156">
        <f t="shared" si="285"/>
        <v>0.18542064221918358</v>
      </c>
      <c r="S231" s="156">
        <f t="shared" si="285"/>
        <v>0.17916228065853865</v>
      </c>
      <c r="T231" s="156">
        <f t="shared" si="285"/>
        <v>0.17486602856115058</v>
      </c>
      <c r="U231" s="156">
        <f t="shared" si="285"/>
        <v>0.18211051322265667</v>
      </c>
      <c r="V231" s="156">
        <f t="shared" si="285"/>
        <v>0.10075183130515407</v>
      </c>
      <c r="W231" s="156">
        <f t="shared" ref="W231:Y231" si="286">IF(W13=0,0,W13/W$4)</f>
        <v>8.9130052261944925E-2</v>
      </c>
      <c r="X231" s="156">
        <f t="shared" si="286"/>
        <v>0.12253732881287185</v>
      </c>
      <c r="Y231" s="156">
        <f t="shared" si="286"/>
        <v>0.1431272738091067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3.602977786716164E-2</v>
      </c>
      <c r="C232" s="103">
        <f t="shared" si="287"/>
        <v>3.1526239591025129E-2</v>
      </c>
      <c r="D232" s="103">
        <f t="shared" si="287"/>
        <v>2.6625043777632251E-2</v>
      </c>
      <c r="E232" s="103">
        <f t="shared" si="287"/>
        <v>2.1077207312316274E-2</v>
      </c>
      <c r="F232" s="103">
        <f t="shared" si="287"/>
        <v>1.8270465344377367E-2</v>
      </c>
      <c r="G232" s="103">
        <f t="shared" si="287"/>
        <v>1.2262365630914519E-2</v>
      </c>
      <c r="H232" s="103">
        <f t="shared" si="287"/>
        <v>1.2288592792577135E-2</v>
      </c>
      <c r="I232" s="103">
        <f t="shared" si="287"/>
        <v>6.9748660816628593E-3</v>
      </c>
      <c r="J232" s="103">
        <f t="shared" si="287"/>
        <v>4.8001834546685098E-3</v>
      </c>
      <c r="K232" s="103">
        <f t="shared" si="287"/>
        <v>3.3397436731395515E-3</v>
      </c>
      <c r="L232" s="103">
        <f t="shared" ref="L232" si="288">IF(L14=0,0,L14/L$4)</f>
        <v>2.6679780974489514E-3</v>
      </c>
      <c r="M232" s="103">
        <f t="shared" ref="M232:V232" si="289">IF(M14=0,0,M14/M$4)</f>
        <v>2.3301082956408755E-3</v>
      </c>
      <c r="N232" s="103">
        <f t="shared" si="289"/>
        <v>2.1489142092064877E-3</v>
      </c>
      <c r="O232" s="103">
        <f t="shared" si="289"/>
        <v>1.9669446419049597E-3</v>
      </c>
      <c r="P232" s="103">
        <f t="shared" si="289"/>
        <v>1.9017134357835223E-3</v>
      </c>
      <c r="Q232" s="103">
        <f t="shared" si="289"/>
        <v>1.8214464134321559E-3</v>
      </c>
      <c r="R232" s="103">
        <f t="shared" si="289"/>
        <v>1.9051877512038299E-3</v>
      </c>
      <c r="S232" s="103">
        <f t="shared" si="289"/>
        <v>2.0659757069164566E-3</v>
      </c>
      <c r="T232" s="103">
        <f t="shared" si="289"/>
        <v>1.9572760111375796E-3</v>
      </c>
      <c r="U232" s="103">
        <f t="shared" si="289"/>
        <v>1.7297180604346875E-3</v>
      </c>
      <c r="V232" s="103">
        <f t="shared" si="289"/>
        <v>1.6335557583166099E-3</v>
      </c>
      <c r="W232" s="103">
        <f t="shared" ref="W232:Y232" si="290">IF(W14=0,0,W14/W$4)</f>
        <v>1.5775822203957107E-3</v>
      </c>
      <c r="X232" s="103">
        <f t="shared" si="290"/>
        <v>1.5304089034622883E-3</v>
      </c>
      <c r="Y232" s="103">
        <f t="shared" si="290"/>
        <v>1.0604958454395535E-3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0.24611523462167256</v>
      </c>
      <c r="C233" s="103">
        <f t="shared" si="291"/>
        <v>0.23367868470243247</v>
      </c>
      <c r="D233" s="103">
        <f t="shared" si="291"/>
        <v>0.22125382626043247</v>
      </c>
      <c r="E233" s="103">
        <f t="shared" si="291"/>
        <v>0.20927979064699789</v>
      </c>
      <c r="F233" s="103">
        <f t="shared" si="291"/>
        <v>0.22156583023203724</v>
      </c>
      <c r="G233" s="103">
        <f t="shared" si="291"/>
        <v>0.20228845756559222</v>
      </c>
      <c r="H233" s="103">
        <f t="shared" si="291"/>
        <v>0.21201443781645812</v>
      </c>
      <c r="I233" s="103">
        <f t="shared" si="291"/>
        <v>0.20385822690599886</v>
      </c>
      <c r="J233" s="103">
        <f t="shared" si="291"/>
        <v>0.18422458599222002</v>
      </c>
      <c r="K233" s="103">
        <f t="shared" si="291"/>
        <v>0.16391605723070563</v>
      </c>
      <c r="L233" s="103">
        <f t="shared" ref="L233" si="292">IF(L15=0,0,L15/L$4)</f>
        <v>0.15956134915025119</v>
      </c>
      <c r="M233" s="103">
        <f t="shared" ref="M233:V233" si="293">IF(M15=0,0,M15/M$4)</f>
        <v>0.1564103092363387</v>
      </c>
      <c r="N233" s="103">
        <f t="shared" si="293"/>
        <v>0.13937553485116311</v>
      </c>
      <c r="O233" s="103">
        <f t="shared" si="293"/>
        <v>0.13737572802951206</v>
      </c>
      <c r="P233" s="103">
        <f t="shared" si="293"/>
        <v>0.13326468279991199</v>
      </c>
      <c r="Q233" s="103">
        <f t="shared" si="293"/>
        <v>0.14891693913954696</v>
      </c>
      <c r="R233" s="103">
        <f t="shared" si="293"/>
        <v>0.17200080247897359</v>
      </c>
      <c r="S233" s="103">
        <f t="shared" si="293"/>
        <v>0.16416679294103345</v>
      </c>
      <c r="T233" s="103">
        <f t="shared" si="293"/>
        <v>0.16040228596187045</v>
      </c>
      <c r="U233" s="103">
        <f t="shared" si="293"/>
        <v>0.16836698621059207</v>
      </c>
      <c r="V233" s="103">
        <f t="shared" si="293"/>
        <v>9.0234932519629649E-2</v>
      </c>
      <c r="W233" s="103">
        <f t="shared" ref="W233:Y233" si="294">IF(W15=0,0,W15/W$4)</f>
        <v>7.6815974649984603E-2</v>
      </c>
      <c r="X233" s="103">
        <f t="shared" si="294"/>
        <v>9.8876725459470946E-2</v>
      </c>
      <c r="Y233" s="103">
        <f t="shared" si="294"/>
        <v>0.11543801764608951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2.0885219647706471E-5</v>
      </c>
      <c r="U234" s="103">
        <f t="shared" si="297"/>
        <v>2.1001667896543337E-5</v>
      </c>
      <c r="V234" s="103">
        <f t="shared" si="297"/>
        <v>1.1251713407981933E-5</v>
      </c>
      <c r="W234" s="103">
        <f t="shared" ref="W234:Y234" si="298">IF(W16=0,0,W16/W$4)</f>
        <v>9.6929026151258367E-6</v>
      </c>
      <c r="X234" s="103">
        <f t="shared" si="298"/>
        <v>1.31989267932231E-5</v>
      </c>
      <c r="Y234" s="103">
        <f t="shared" si="298"/>
        <v>1.5643065910137509E-5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1.0048708211300268E-4</v>
      </c>
      <c r="M235" s="103">
        <f t="shared" ref="M235:V235" si="301">IF(M17=0,0,M17/M$4)</f>
        <v>3.4502747722699314E-4</v>
      </c>
      <c r="N235" s="103">
        <f t="shared" si="301"/>
        <v>3.4750771264492912E-4</v>
      </c>
      <c r="O235" s="103">
        <f t="shared" si="301"/>
        <v>1.2213108910539871E-3</v>
      </c>
      <c r="P235" s="103">
        <f t="shared" si="301"/>
        <v>2.3233333549523708E-3</v>
      </c>
      <c r="Q235" s="103">
        <f t="shared" si="301"/>
        <v>4.2285110249885927E-3</v>
      </c>
      <c r="R235" s="103">
        <f t="shared" si="301"/>
        <v>6.9241135077947533E-3</v>
      </c>
      <c r="S235" s="103">
        <f t="shared" si="301"/>
        <v>9.3048883468368881E-3</v>
      </c>
      <c r="T235" s="103">
        <f t="shared" si="301"/>
        <v>9.1808412632844675E-3</v>
      </c>
      <c r="U235" s="103">
        <f t="shared" si="301"/>
        <v>8.6462575983716761E-3</v>
      </c>
      <c r="V235" s="103">
        <f t="shared" si="301"/>
        <v>7.2268077163300153E-3</v>
      </c>
      <c r="W235" s="103">
        <f t="shared" ref="W235:Y235" si="302">IF(W17=0,0,W17/W$4)</f>
        <v>9.2941775765946217E-3</v>
      </c>
      <c r="X235" s="103">
        <f t="shared" si="302"/>
        <v>2.0260590561827996E-2</v>
      </c>
      <c r="Y235" s="103">
        <f t="shared" si="302"/>
        <v>2.4430443602041066E-2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6.7751908676154781E-3</v>
      </c>
      <c r="M236" s="103">
        <f t="shared" ref="M236:V236" si="305">IF(M18=0,0,M18/M$4)</f>
        <v>6.7933664232799193E-3</v>
      </c>
      <c r="N236" s="103">
        <f t="shared" si="305"/>
        <v>5.8280841188885586E-3</v>
      </c>
      <c r="O236" s="103">
        <f t="shared" si="305"/>
        <v>5.3128868246365936E-3</v>
      </c>
      <c r="P236" s="103">
        <f t="shared" si="305"/>
        <v>4.8104284605307831E-3</v>
      </c>
      <c r="Q236" s="103">
        <f t="shared" si="305"/>
        <v>4.9464071397287363E-3</v>
      </c>
      <c r="R236" s="103">
        <f t="shared" si="305"/>
        <v>4.5905384812113927E-3</v>
      </c>
      <c r="S236" s="103">
        <f t="shared" si="305"/>
        <v>3.6246236637518404E-3</v>
      </c>
      <c r="T236" s="103">
        <f t="shared" si="305"/>
        <v>3.3047401052103669E-3</v>
      </c>
      <c r="U236" s="103">
        <f t="shared" si="305"/>
        <v>3.3465496853617061E-3</v>
      </c>
      <c r="V236" s="103">
        <f t="shared" si="305"/>
        <v>1.6452835974698295E-3</v>
      </c>
      <c r="W236" s="103">
        <f t="shared" ref="W236:Y236" si="306">IF(W18=0,0,W18/W$4)</f>
        <v>1.432624912354849E-3</v>
      </c>
      <c r="X236" s="103">
        <f t="shared" si="306"/>
        <v>1.8564049613174021E-3</v>
      </c>
      <c r="Y236" s="103">
        <f t="shared" si="306"/>
        <v>2.1826736496264264E-3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0.1592638686646137</v>
      </c>
      <c r="C238" s="154">
        <f t="shared" si="311"/>
        <v>0.17451943228470493</v>
      </c>
      <c r="D238" s="154">
        <f t="shared" si="311"/>
        <v>0.1465290344965349</v>
      </c>
      <c r="E238" s="154">
        <f t="shared" si="311"/>
        <v>9.3958451860166742E-2</v>
      </c>
      <c r="F238" s="154">
        <f t="shared" si="311"/>
        <v>8.9688896719578595E-2</v>
      </c>
      <c r="G238" s="154">
        <f t="shared" si="311"/>
        <v>7.2786522636095474E-2</v>
      </c>
      <c r="H238" s="154">
        <f t="shared" si="311"/>
        <v>6.6089267963830745E-2</v>
      </c>
      <c r="I238" s="154">
        <f t="shared" si="311"/>
        <v>6.2499948410808623E-2</v>
      </c>
      <c r="J238" s="154">
        <f t="shared" si="311"/>
        <v>6.6856058349674244E-2</v>
      </c>
      <c r="K238" s="154">
        <f t="shared" si="311"/>
        <v>8.5401561945532639E-2</v>
      </c>
      <c r="L238" s="154">
        <f t="shared" ref="L238" si="312">IF(L20=0,0,L20/L$19)</f>
        <v>8.171381358601415E-2</v>
      </c>
      <c r="M238" s="154">
        <f t="shared" ref="M238:V238" si="313">IF(M20=0,0,M20/M$19)</f>
        <v>7.5234075322314672E-2</v>
      </c>
      <c r="N238" s="154">
        <f t="shared" si="313"/>
        <v>7.7225661602034354E-2</v>
      </c>
      <c r="O238" s="154">
        <f t="shared" si="313"/>
        <v>7.9055117435545302E-2</v>
      </c>
      <c r="P238" s="154">
        <f t="shared" si="313"/>
        <v>8.4504046094771343E-2</v>
      </c>
      <c r="Q238" s="154">
        <f t="shared" si="313"/>
        <v>8.3389761720383454E-2</v>
      </c>
      <c r="R238" s="154">
        <f t="shared" si="313"/>
        <v>8.412451246626608E-2</v>
      </c>
      <c r="S238" s="154">
        <f t="shared" si="313"/>
        <v>9.7716457397090645E-2</v>
      </c>
      <c r="T238" s="154">
        <f t="shared" si="313"/>
        <v>0.10429992061578347</v>
      </c>
      <c r="U238" s="154">
        <f t="shared" si="313"/>
        <v>0.11537608247499084</v>
      </c>
      <c r="V238" s="154">
        <f t="shared" si="313"/>
        <v>0.12741401112614573</v>
      </c>
      <c r="W238" s="154">
        <f t="shared" ref="W238:Y238" si="314">IF(W20=0,0,W20/W$19)</f>
        <v>0.11875787101621439</v>
      </c>
      <c r="X238" s="154">
        <f t="shared" si="314"/>
        <v>0.11656639104086181</v>
      </c>
      <c r="Y238" s="154">
        <f t="shared" si="314"/>
        <v>0.13226977545961435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3.1546301770200687E-2</v>
      </c>
      <c r="C239" s="103">
        <f t="shared" si="315"/>
        <v>3.7061168956591645E-2</v>
      </c>
      <c r="D239" s="103">
        <f t="shared" si="315"/>
        <v>3.0801243359600338E-2</v>
      </c>
      <c r="E239" s="103">
        <f t="shared" si="315"/>
        <v>1.9340837140711657E-2</v>
      </c>
      <c r="F239" s="103">
        <f t="shared" si="315"/>
        <v>1.955542812843078E-2</v>
      </c>
      <c r="G239" s="103">
        <f t="shared" si="315"/>
        <v>1.5325103618011565E-2</v>
      </c>
      <c r="H239" s="103">
        <f t="shared" si="315"/>
        <v>1.4177853910274383E-2</v>
      </c>
      <c r="I239" s="103">
        <f t="shared" si="315"/>
        <v>1.2087956682479315E-2</v>
      </c>
      <c r="J239" s="103">
        <f t="shared" si="315"/>
        <v>1.282909704205812E-2</v>
      </c>
      <c r="K239" s="103">
        <f t="shared" si="315"/>
        <v>1.5544216555812233E-2</v>
      </c>
      <c r="L239" s="103">
        <f t="shared" ref="L239" si="316">IF(L21=0,0,L21/L$19)</f>
        <v>1.3748546859158427E-2</v>
      </c>
      <c r="M239" s="103">
        <f t="shared" ref="M239:V239" si="317">IF(M21=0,0,M21/M$19)</f>
        <v>1.2688867894044694E-2</v>
      </c>
      <c r="N239" s="103">
        <f t="shared" si="317"/>
        <v>1.2029551445892645E-2</v>
      </c>
      <c r="O239" s="103">
        <f t="shared" si="317"/>
        <v>1.041535537681031E-2</v>
      </c>
      <c r="P239" s="103">
        <f t="shared" si="317"/>
        <v>1.03525717500642E-2</v>
      </c>
      <c r="Q239" s="103">
        <f t="shared" si="317"/>
        <v>9.6016958498091661E-3</v>
      </c>
      <c r="R239" s="103">
        <f t="shared" si="317"/>
        <v>8.5451149079264609E-3</v>
      </c>
      <c r="S239" s="103">
        <f t="shared" si="317"/>
        <v>9.1418166181984357E-3</v>
      </c>
      <c r="T239" s="103">
        <f t="shared" si="317"/>
        <v>9.7840343920189768E-3</v>
      </c>
      <c r="U239" s="103">
        <f t="shared" si="317"/>
        <v>9.6152049943053139E-3</v>
      </c>
      <c r="V239" s="103">
        <f t="shared" si="317"/>
        <v>9.5222624319221075E-3</v>
      </c>
      <c r="W239" s="103">
        <f t="shared" ref="W239:Y239" si="318">IF(W21=0,0,W21/W$19)</f>
        <v>7.7850304658916717E-3</v>
      </c>
      <c r="X239" s="103">
        <f t="shared" si="318"/>
        <v>6.7072518947746233E-3</v>
      </c>
      <c r="Y239" s="103">
        <f t="shared" si="318"/>
        <v>6.7844048787277797E-3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0.12771756689441302</v>
      </c>
      <c r="C240" s="103">
        <f t="shared" si="319"/>
        <v>0.13745826332811328</v>
      </c>
      <c r="D240" s="103">
        <f t="shared" si="319"/>
        <v>0.11572779113693456</v>
      </c>
      <c r="E240" s="103">
        <f t="shared" si="319"/>
        <v>7.4617614719455078E-2</v>
      </c>
      <c r="F240" s="103">
        <f t="shared" si="319"/>
        <v>7.0133468591147816E-2</v>
      </c>
      <c r="G240" s="103">
        <f t="shared" si="319"/>
        <v>5.7461419018083916E-2</v>
      </c>
      <c r="H240" s="103">
        <f t="shared" si="319"/>
        <v>5.1911414053556364E-2</v>
      </c>
      <c r="I240" s="103">
        <f t="shared" si="319"/>
        <v>5.0410556384513749E-2</v>
      </c>
      <c r="J240" s="103">
        <f t="shared" si="319"/>
        <v>5.4025447080419939E-2</v>
      </c>
      <c r="K240" s="103">
        <f t="shared" si="319"/>
        <v>6.9855362640195609E-2</v>
      </c>
      <c r="L240" s="103">
        <f t="shared" ref="L240" si="320">IF(L22=0,0,L22/L$19)</f>
        <v>6.7963361264348751E-2</v>
      </c>
      <c r="M240" s="103">
        <f t="shared" ref="M240:V240" si="321">IF(M22=0,0,M22/M$19)</f>
        <v>6.2543527559829018E-2</v>
      </c>
      <c r="N240" s="103">
        <f t="shared" si="321"/>
        <v>6.5192739260521035E-2</v>
      </c>
      <c r="O240" s="103">
        <f t="shared" si="321"/>
        <v>6.8593679611210781E-2</v>
      </c>
      <c r="P240" s="103">
        <f t="shared" si="321"/>
        <v>7.4088532904278165E-2</v>
      </c>
      <c r="Q240" s="103">
        <f t="shared" si="321"/>
        <v>7.3707599374150376E-2</v>
      </c>
      <c r="R240" s="103">
        <f t="shared" si="321"/>
        <v>7.5497550954542553E-2</v>
      </c>
      <c r="S240" s="103">
        <f t="shared" si="321"/>
        <v>8.8421757807350218E-2</v>
      </c>
      <c r="T240" s="103">
        <f t="shared" si="321"/>
        <v>9.4329404928002333E-2</v>
      </c>
      <c r="U240" s="103">
        <f t="shared" si="321"/>
        <v>0.10553435407270487</v>
      </c>
      <c r="V240" s="103">
        <f t="shared" si="321"/>
        <v>0.11758706804113052</v>
      </c>
      <c r="W240" s="103">
        <f t="shared" ref="W240:Y240" si="322">IF(W22=0,0,W22/W$19)</f>
        <v>0.11070324000282704</v>
      </c>
      <c r="X240" s="103">
        <f t="shared" si="322"/>
        <v>0.1095799652953066</v>
      </c>
      <c r="Y240" s="103">
        <f t="shared" si="322"/>
        <v>0.12515715186086618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9.0574865378372481E-7</v>
      </c>
      <c r="O242" s="103">
        <f t="shared" si="329"/>
        <v>4.067243561685815E-5</v>
      </c>
      <c r="P242" s="103">
        <f t="shared" si="329"/>
        <v>5.1987165987401872E-5</v>
      </c>
      <c r="Q242" s="103">
        <f t="shared" si="329"/>
        <v>6.8781947508365188E-5</v>
      </c>
      <c r="R242" s="103">
        <f t="shared" si="329"/>
        <v>6.2597830168636807E-5</v>
      </c>
      <c r="S242" s="103">
        <f t="shared" si="329"/>
        <v>1.3192269480155548E-4</v>
      </c>
      <c r="T242" s="103">
        <f t="shared" si="329"/>
        <v>1.6572374531270448E-4</v>
      </c>
      <c r="U242" s="103">
        <f t="shared" si="329"/>
        <v>2.0579469393625316E-4</v>
      </c>
      <c r="V242" s="103">
        <f t="shared" si="329"/>
        <v>2.8120064216032796E-4</v>
      </c>
      <c r="W242" s="103">
        <f t="shared" ref="W242:Y242" si="330">IF(W24=0,0,W24/W$19)</f>
        <v>2.4897016075948829E-4</v>
      </c>
      <c r="X242" s="103">
        <f t="shared" si="330"/>
        <v>2.3338811704748624E-4</v>
      </c>
      <c r="Y242" s="103">
        <f t="shared" si="330"/>
        <v>2.2956008181920193E-4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1.435343815551052E-6</v>
      </c>
      <c r="J243" s="103">
        <f t="shared" si="331"/>
        <v>1.5142271961797006E-6</v>
      </c>
      <c r="K243" s="103">
        <f t="shared" si="331"/>
        <v>1.9827495247843307E-6</v>
      </c>
      <c r="L243" s="103">
        <f t="shared" ref="L243" si="332">IF(L25=0,0,L25/L$19)</f>
        <v>1.9054625069730735E-6</v>
      </c>
      <c r="M243" s="103">
        <f t="shared" ref="M243:V243" si="333">IF(M25=0,0,M25/M$19)</f>
        <v>1.6798684409759927E-6</v>
      </c>
      <c r="N243" s="103">
        <f t="shared" si="333"/>
        <v>2.4651469668975532E-6</v>
      </c>
      <c r="O243" s="103">
        <f t="shared" si="333"/>
        <v>5.41001190736474E-6</v>
      </c>
      <c r="P243" s="103">
        <f t="shared" si="333"/>
        <v>1.0954274441586892E-5</v>
      </c>
      <c r="Q243" s="103">
        <f t="shared" si="333"/>
        <v>1.1684548915567899E-5</v>
      </c>
      <c r="R243" s="103">
        <f t="shared" si="333"/>
        <v>1.9248773628442208E-5</v>
      </c>
      <c r="S243" s="103">
        <f t="shared" si="333"/>
        <v>2.0960276740425205E-5</v>
      </c>
      <c r="T243" s="103">
        <f t="shared" si="333"/>
        <v>2.0757550449452229E-5</v>
      </c>
      <c r="U243" s="103">
        <f t="shared" si="333"/>
        <v>2.0728714044420764E-5</v>
      </c>
      <c r="V243" s="103">
        <f t="shared" si="333"/>
        <v>2.3480010932780304E-5</v>
      </c>
      <c r="W243" s="103">
        <f t="shared" ref="W243:Y243" si="334">IF(W25=0,0,W25/W$19)</f>
        <v>2.0630386736195579E-5</v>
      </c>
      <c r="X243" s="103">
        <f t="shared" si="334"/>
        <v>4.5785733733085021E-5</v>
      </c>
      <c r="Y243" s="103">
        <f t="shared" si="334"/>
        <v>9.8658638201185939E-5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0.84073613133538638</v>
      </c>
      <c r="C244" s="156">
        <f t="shared" si="335"/>
        <v>0.8254805677152951</v>
      </c>
      <c r="D244" s="156">
        <f t="shared" si="335"/>
        <v>0.85347096550346513</v>
      </c>
      <c r="E244" s="156">
        <f t="shared" si="335"/>
        <v>0.90604154813983329</v>
      </c>
      <c r="F244" s="156">
        <f t="shared" si="335"/>
        <v>0.91031110328042142</v>
      </c>
      <c r="G244" s="156">
        <f t="shared" si="335"/>
        <v>0.92721347736390447</v>
      </c>
      <c r="H244" s="156">
        <f t="shared" si="335"/>
        <v>0.93391073203616926</v>
      </c>
      <c r="I244" s="156">
        <f t="shared" si="335"/>
        <v>0.93750005158919136</v>
      </c>
      <c r="J244" s="156">
        <f t="shared" si="335"/>
        <v>0.93314394165032577</v>
      </c>
      <c r="K244" s="156">
        <f t="shared" si="335"/>
        <v>0.9145984380544675</v>
      </c>
      <c r="L244" s="156">
        <f t="shared" ref="L244" si="336">IF(L26=0,0,L26/L$19)</f>
        <v>0.91828618641398585</v>
      </c>
      <c r="M244" s="156">
        <f t="shared" ref="M244:V244" si="337">IF(M26=0,0,M26/M$19)</f>
        <v>0.92476592467768537</v>
      </c>
      <c r="N244" s="156">
        <f t="shared" si="337"/>
        <v>0.92277433839796563</v>
      </c>
      <c r="O244" s="156">
        <f t="shared" si="337"/>
        <v>0.92094488256445461</v>
      </c>
      <c r="P244" s="156">
        <f t="shared" si="337"/>
        <v>0.91549595390522864</v>
      </c>
      <c r="Q244" s="156">
        <f t="shared" si="337"/>
        <v>0.91661023827961652</v>
      </c>
      <c r="R244" s="156">
        <f t="shared" si="337"/>
        <v>0.91587548753373382</v>
      </c>
      <c r="S244" s="156">
        <f t="shared" si="337"/>
        <v>0.90228354260290933</v>
      </c>
      <c r="T244" s="156">
        <f t="shared" si="337"/>
        <v>0.89570007938421647</v>
      </c>
      <c r="U244" s="156">
        <f t="shared" si="337"/>
        <v>0.88462391752500913</v>
      </c>
      <c r="V244" s="156">
        <f t="shared" si="337"/>
        <v>0.87258598887385419</v>
      </c>
      <c r="W244" s="156">
        <f t="shared" ref="W244:Y244" si="338">IF(W26=0,0,W26/W$19)</f>
        <v>0.88124212898378551</v>
      </c>
      <c r="X244" s="156">
        <f t="shared" si="338"/>
        <v>0.88343360895913814</v>
      </c>
      <c r="Y244" s="156">
        <f t="shared" si="338"/>
        <v>0.86773022454038562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0.45918758071191229</v>
      </c>
      <c r="C245" s="103">
        <f t="shared" si="339"/>
        <v>0.38194045877050886</v>
      </c>
      <c r="D245" s="103">
        <f t="shared" si="339"/>
        <v>0.45290788107674596</v>
      </c>
      <c r="E245" s="103">
        <f t="shared" si="339"/>
        <v>0.63059897420298838</v>
      </c>
      <c r="F245" s="103">
        <f t="shared" si="339"/>
        <v>0.59194321335794831</v>
      </c>
      <c r="G245" s="103">
        <f t="shared" si="339"/>
        <v>0.6413570458216783</v>
      </c>
      <c r="H245" s="103">
        <f t="shared" si="339"/>
        <v>0.64418706021939065</v>
      </c>
      <c r="I245" s="103">
        <f t="shared" si="339"/>
        <v>0.62021201788999836</v>
      </c>
      <c r="J245" s="103">
        <f t="shared" si="339"/>
        <v>0.61680709230343722</v>
      </c>
      <c r="K245" s="103">
        <f t="shared" si="339"/>
        <v>0.58412622795199709</v>
      </c>
      <c r="L245" s="103">
        <f t="shared" ref="L245" si="340">IF(L27=0,0,L27/L$19)</f>
        <v>0.58716058268797022</v>
      </c>
      <c r="M245" s="103">
        <f t="shared" ref="M245:V245" si="341">IF(M27=0,0,M27/M$19)</f>
        <v>0.58175768942766115</v>
      </c>
      <c r="N245" s="103">
        <f t="shared" si="341"/>
        <v>0.58260228746701881</v>
      </c>
      <c r="O245" s="103">
        <f t="shared" si="341"/>
        <v>0.54557392698183194</v>
      </c>
      <c r="P245" s="103">
        <f t="shared" si="341"/>
        <v>0.53395873359936374</v>
      </c>
      <c r="Q245" s="103">
        <f t="shared" si="341"/>
        <v>0.49254662692698598</v>
      </c>
      <c r="R245" s="103">
        <f t="shared" si="341"/>
        <v>0.52689783221598396</v>
      </c>
      <c r="S245" s="103">
        <f t="shared" si="341"/>
        <v>0.50527004785063956</v>
      </c>
      <c r="T245" s="103">
        <f t="shared" si="341"/>
        <v>0.50104523352415031</v>
      </c>
      <c r="U245" s="103">
        <f t="shared" si="341"/>
        <v>0.507960677960969</v>
      </c>
      <c r="V245" s="103">
        <f t="shared" si="341"/>
        <v>0.40378115733784675</v>
      </c>
      <c r="W245" s="103">
        <f t="shared" ref="W245:Y245" si="342">IF(W27=0,0,W27/W$19)</f>
        <v>0.50023205051113662</v>
      </c>
      <c r="X245" s="103">
        <f t="shared" si="342"/>
        <v>0.46337717317558996</v>
      </c>
      <c r="Y245" s="103">
        <f t="shared" si="342"/>
        <v>0.44353220988313025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0.38154855062347404</v>
      </c>
      <c r="C246" s="105">
        <f t="shared" si="343"/>
        <v>0.44354010894478618</v>
      </c>
      <c r="D246" s="105">
        <f t="shared" si="343"/>
        <v>0.40056308442671917</v>
      </c>
      <c r="E246" s="105">
        <f t="shared" si="343"/>
        <v>0.2754425739368449</v>
      </c>
      <c r="F246" s="105">
        <f t="shared" si="343"/>
        <v>0.31836788992247311</v>
      </c>
      <c r="G246" s="105">
        <f t="shared" si="343"/>
        <v>0.28585643154222623</v>
      </c>
      <c r="H246" s="105">
        <f t="shared" si="343"/>
        <v>0.28972367181677855</v>
      </c>
      <c r="I246" s="105">
        <f t="shared" si="343"/>
        <v>0.31728803369919295</v>
      </c>
      <c r="J246" s="105">
        <f t="shared" si="343"/>
        <v>0.3163368493468886</v>
      </c>
      <c r="K246" s="105">
        <f t="shared" si="343"/>
        <v>0.33047221010247041</v>
      </c>
      <c r="L246" s="105">
        <f t="shared" ref="L246" si="344">IF(L28=0,0,L28/L$19)</f>
        <v>0.33112560372601568</v>
      </c>
      <c r="M246" s="105">
        <f t="shared" ref="M246:V246" si="345">IF(M28=0,0,M28/M$19)</f>
        <v>0.34300823525002416</v>
      </c>
      <c r="N246" s="105">
        <f t="shared" si="345"/>
        <v>0.34017205093094682</v>
      </c>
      <c r="O246" s="105">
        <f t="shared" si="345"/>
        <v>0.37537095558262268</v>
      </c>
      <c r="P246" s="105">
        <f t="shared" si="345"/>
        <v>0.3815372203058649</v>
      </c>
      <c r="Q246" s="105">
        <f t="shared" si="345"/>
        <v>0.42406361135263049</v>
      </c>
      <c r="R246" s="105">
        <f t="shared" si="345"/>
        <v>0.38897765531774997</v>
      </c>
      <c r="S246" s="105">
        <f t="shared" si="345"/>
        <v>0.39701349475226966</v>
      </c>
      <c r="T246" s="105">
        <f t="shared" si="345"/>
        <v>0.39465484586006622</v>
      </c>
      <c r="U246" s="105">
        <f t="shared" si="345"/>
        <v>0.37666323956404019</v>
      </c>
      <c r="V246" s="105">
        <f t="shared" si="345"/>
        <v>0.46880483153600749</v>
      </c>
      <c r="W246" s="105">
        <f t="shared" ref="W246:Y246" si="346">IF(W28=0,0,W28/W$19)</f>
        <v>0.38101007847264901</v>
      </c>
      <c r="X246" s="105">
        <f t="shared" si="346"/>
        <v>0.42005643578354818</v>
      </c>
      <c r="Y246" s="105">
        <f t="shared" si="346"/>
        <v>0.42419801465725537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2.5620777008958659E-3</v>
      </c>
      <c r="C250" s="154">
        <f t="shared" si="351"/>
        <v>2.1071601347625053E-3</v>
      </c>
      <c r="D250" s="154">
        <f t="shared" si="351"/>
        <v>2.3856123832967581E-3</v>
      </c>
      <c r="E250" s="154">
        <f t="shared" si="351"/>
        <v>2.5727938684128411E-3</v>
      </c>
      <c r="F250" s="154">
        <f t="shared" si="351"/>
        <v>2.7999118253027588E-3</v>
      </c>
      <c r="G250" s="154">
        <f t="shared" si="351"/>
        <v>2.8707599862209457E-3</v>
      </c>
      <c r="H250" s="154">
        <f t="shared" si="351"/>
        <v>3.073063311939973E-3</v>
      </c>
      <c r="I250" s="154">
        <f t="shared" si="351"/>
        <v>3.2157894664160743E-3</v>
      </c>
      <c r="J250" s="154">
        <f t="shared" si="351"/>
        <v>3.769224386104377E-3</v>
      </c>
      <c r="K250" s="154">
        <f t="shared" si="351"/>
        <v>3.8970159040527756E-3</v>
      </c>
      <c r="L250" s="154">
        <f t="shared" ref="L250" si="352">IF(L32=0,0,L32/L$31)</f>
        <v>4.1421544417819377E-3</v>
      </c>
      <c r="M250" s="154">
        <f t="shared" ref="M250:V250" si="353">IF(M32=0,0,M32/M$31)</f>
        <v>4.8474512682423468E-3</v>
      </c>
      <c r="N250" s="154">
        <f t="shared" si="353"/>
        <v>7.0505701165328467E-3</v>
      </c>
      <c r="O250" s="154">
        <f t="shared" si="353"/>
        <v>7.5705791819063529E-3</v>
      </c>
      <c r="P250" s="154">
        <f t="shared" si="353"/>
        <v>7.9672236497514842E-3</v>
      </c>
      <c r="Q250" s="154">
        <f t="shared" si="353"/>
        <v>7.9038549006386176E-3</v>
      </c>
      <c r="R250" s="154">
        <f t="shared" si="353"/>
        <v>8.0731660249871856E-3</v>
      </c>
      <c r="S250" s="154">
        <f t="shared" si="353"/>
        <v>7.2911513490870276E-3</v>
      </c>
      <c r="T250" s="154">
        <f t="shared" si="353"/>
        <v>6.5915934444835712E-3</v>
      </c>
      <c r="U250" s="154">
        <f t="shared" si="353"/>
        <v>6.9004641660787248E-3</v>
      </c>
      <c r="V250" s="154">
        <f t="shared" si="353"/>
        <v>6.4483038540050913E-3</v>
      </c>
      <c r="W250" s="154">
        <f t="shared" ref="W250:Y250" si="354">IF(W32=0,0,W32/W$31)</f>
        <v>6.6394276603736263E-3</v>
      </c>
      <c r="X250" s="154">
        <f t="shared" si="354"/>
        <v>6.5213304224348515E-3</v>
      </c>
      <c r="Y250" s="154">
        <f t="shared" si="354"/>
        <v>6.9032973576308434E-3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0.93836725176128599</v>
      </c>
      <c r="C251" s="156">
        <f t="shared" si="355"/>
        <v>0.95152159262014135</v>
      </c>
      <c r="D251" s="156">
        <f t="shared" si="355"/>
        <v>0.94945386329778891</v>
      </c>
      <c r="E251" s="156">
        <f t="shared" si="355"/>
        <v>0.94980459012757734</v>
      </c>
      <c r="F251" s="156">
        <f t="shared" si="355"/>
        <v>0.95084759881722947</v>
      </c>
      <c r="G251" s="156">
        <f t="shared" si="355"/>
        <v>0.95374231314925217</v>
      </c>
      <c r="H251" s="156">
        <f t="shared" si="355"/>
        <v>0.95779936834067125</v>
      </c>
      <c r="I251" s="156">
        <f t="shared" si="355"/>
        <v>0.96797981436750569</v>
      </c>
      <c r="J251" s="156">
        <f t="shared" si="355"/>
        <v>0.96987706337344015</v>
      </c>
      <c r="K251" s="156">
        <f t="shared" si="355"/>
        <v>0.97185766335266033</v>
      </c>
      <c r="L251" s="156">
        <f t="shared" ref="L251" si="356">IF(L33=0,0,L33/L$31)</f>
        <v>0.97166474654400437</v>
      </c>
      <c r="M251" s="156">
        <f t="shared" ref="M251:V251" si="357">IF(M33=0,0,M33/M$31)</f>
        <v>0.97163897995001292</v>
      </c>
      <c r="N251" s="156">
        <f t="shared" si="357"/>
        <v>0.97004770858407796</v>
      </c>
      <c r="O251" s="156">
        <f t="shared" si="357"/>
        <v>0.96856366204511912</v>
      </c>
      <c r="P251" s="156">
        <f t="shared" si="357"/>
        <v>0.96786872877428665</v>
      </c>
      <c r="Q251" s="156">
        <f t="shared" si="357"/>
        <v>0.96851930519688822</v>
      </c>
      <c r="R251" s="156">
        <f t="shared" si="357"/>
        <v>0.9658226837048316</v>
      </c>
      <c r="S251" s="156">
        <f t="shared" si="357"/>
        <v>0.964256137425894</v>
      </c>
      <c r="T251" s="156">
        <f t="shared" si="357"/>
        <v>0.96700514870434362</v>
      </c>
      <c r="U251" s="156">
        <f t="shared" si="357"/>
        <v>0.96877586542471961</v>
      </c>
      <c r="V251" s="156">
        <f t="shared" si="357"/>
        <v>0.96896839889884423</v>
      </c>
      <c r="W251" s="156">
        <f t="shared" ref="W251:Y251" si="358">IF(W33=0,0,W33/W$31)</f>
        <v>0.96748605670934618</v>
      </c>
      <c r="X251" s="156">
        <f t="shared" si="358"/>
        <v>0.96769982145824451</v>
      </c>
      <c r="Y251" s="156">
        <f t="shared" si="358"/>
        <v>0.97564970175663746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0.86297024400401157</v>
      </c>
      <c r="C252" s="103">
        <f t="shared" si="359"/>
        <v>0.86393085078227227</v>
      </c>
      <c r="D252" s="103">
        <f t="shared" si="359"/>
        <v>0.84683007720373848</v>
      </c>
      <c r="E252" s="103">
        <f t="shared" si="359"/>
        <v>0.8075533709102769</v>
      </c>
      <c r="F252" s="103">
        <f t="shared" si="359"/>
        <v>0.76030362594390033</v>
      </c>
      <c r="G252" s="103">
        <f t="shared" si="359"/>
        <v>0.72905021343492782</v>
      </c>
      <c r="H252" s="103">
        <f t="shared" si="359"/>
        <v>0.6882866579261292</v>
      </c>
      <c r="I252" s="103">
        <f t="shared" si="359"/>
        <v>0.66547061134292151</v>
      </c>
      <c r="J252" s="103">
        <f t="shared" si="359"/>
        <v>0.66329241160507657</v>
      </c>
      <c r="K252" s="103">
        <f t="shared" si="359"/>
        <v>0.61824860328674269</v>
      </c>
      <c r="L252" s="103">
        <f t="shared" ref="L252" si="360">IF(L34=0,0,L34/L$31)</f>
        <v>0.60024940597303866</v>
      </c>
      <c r="M252" s="103">
        <f t="shared" ref="M252:V252" si="361">IF(M34=0,0,M34/M$31)</f>
        <v>0.55559628462039301</v>
      </c>
      <c r="N252" s="103">
        <f t="shared" si="361"/>
        <v>0.51519883784186837</v>
      </c>
      <c r="O252" s="103">
        <f t="shared" si="361"/>
        <v>0.48134370652918518</v>
      </c>
      <c r="P252" s="103">
        <f t="shared" si="361"/>
        <v>0.47670885464786272</v>
      </c>
      <c r="Q252" s="103">
        <f t="shared" si="361"/>
        <v>0.44391445607563518</v>
      </c>
      <c r="R252" s="103">
        <f t="shared" si="361"/>
        <v>0.45028497706221826</v>
      </c>
      <c r="S252" s="103">
        <f t="shared" si="361"/>
        <v>0.45867039092391115</v>
      </c>
      <c r="T252" s="103">
        <f t="shared" si="361"/>
        <v>0.45833418503111384</v>
      </c>
      <c r="U252" s="103">
        <f t="shared" si="361"/>
        <v>0.46020698555895478</v>
      </c>
      <c r="V252" s="103">
        <f t="shared" si="361"/>
        <v>0.37896285827814896</v>
      </c>
      <c r="W252" s="103">
        <f t="shared" ref="W252:Y252" si="362">IF(W34=0,0,W34/W$31)</f>
        <v>0.34837079307302593</v>
      </c>
      <c r="X252" s="103">
        <f t="shared" si="362"/>
        <v>0.37320010709410456</v>
      </c>
      <c r="Y252" s="103">
        <f t="shared" si="362"/>
        <v>0.37383007510284805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7.3067720868750949E-2</v>
      </c>
      <c r="C253" s="103">
        <f t="shared" si="363"/>
        <v>8.4993605222391008E-2</v>
      </c>
      <c r="D253" s="103">
        <f t="shared" si="363"/>
        <v>9.9663066516979093E-2</v>
      </c>
      <c r="E253" s="103">
        <f t="shared" si="363"/>
        <v>0.13907788588614101</v>
      </c>
      <c r="F253" s="103">
        <f t="shared" si="363"/>
        <v>0.18741177463274694</v>
      </c>
      <c r="G253" s="103">
        <f t="shared" si="363"/>
        <v>0.22106547787066189</v>
      </c>
      <c r="H253" s="103">
        <f t="shared" si="363"/>
        <v>0.26490369979761119</v>
      </c>
      <c r="I253" s="103">
        <f t="shared" si="363"/>
        <v>0.29876060415548672</v>
      </c>
      <c r="J253" s="103">
        <f t="shared" si="363"/>
        <v>0.30239692621364311</v>
      </c>
      <c r="K253" s="103">
        <f t="shared" si="363"/>
        <v>0.34895176599503364</v>
      </c>
      <c r="L253" s="103">
        <f t="shared" ref="L253" si="364">IF(L35=0,0,L35/L$31)</f>
        <v>0.36690337765075037</v>
      </c>
      <c r="M253" s="103">
        <f t="shared" ref="M253:V253" si="365">IF(M35=0,0,M35/M$31)</f>
        <v>0.41077193890915203</v>
      </c>
      <c r="N253" s="103">
        <f t="shared" si="365"/>
        <v>0.44674967054514453</v>
      </c>
      <c r="O253" s="103">
        <f t="shared" si="365"/>
        <v>0.47774476002423516</v>
      </c>
      <c r="P253" s="103">
        <f t="shared" si="365"/>
        <v>0.47966214272664442</v>
      </c>
      <c r="Q253" s="103">
        <f t="shared" si="365"/>
        <v>0.5126956427772642</v>
      </c>
      <c r="R253" s="103">
        <f t="shared" si="365"/>
        <v>0.50130410006791604</v>
      </c>
      <c r="S253" s="103">
        <f t="shared" si="365"/>
        <v>0.48896351943445193</v>
      </c>
      <c r="T253" s="103">
        <f t="shared" si="365"/>
        <v>0.48742758824564303</v>
      </c>
      <c r="U253" s="103">
        <f t="shared" si="365"/>
        <v>0.47245154725988964</v>
      </c>
      <c r="V253" s="103">
        <f t="shared" si="365"/>
        <v>0.53838894170016871</v>
      </c>
      <c r="W253" s="103">
        <f t="shared" ref="W253:Y253" si="366">IF(W35=0,0,W35/W$31)</f>
        <v>0.55542123795654108</v>
      </c>
      <c r="X253" s="103">
        <f t="shared" si="366"/>
        <v>0.53434471927888694</v>
      </c>
      <c r="Y253" s="103">
        <f t="shared" si="366"/>
        <v>0.54088029749012034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2.3292868885235528E-3</v>
      </c>
      <c r="C254" s="103">
        <f t="shared" si="367"/>
        <v>2.5971366154780005E-3</v>
      </c>
      <c r="D254" s="103">
        <f t="shared" si="367"/>
        <v>2.9607195770713526E-3</v>
      </c>
      <c r="E254" s="103">
        <f t="shared" si="367"/>
        <v>3.1733333311593781E-3</v>
      </c>
      <c r="F254" s="103">
        <f t="shared" si="367"/>
        <v>3.1321982405822096E-3</v>
      </c>
      <c r="G254" s="103">
        <f t="shared" si="367"/>
        <v>3.6266218436624919E-3</v>
      </c>
      <c r="H254" s="103">
        <f t="shared" si="367"/>
        <v>4.609010616930643E-3</v>
      </c>
      <c r="I254" s="103">
        <f t="shared" si="367"/>
        <v>3.7485988690974755E-3</v>
      </c>
      <c r="J254" s="103">
        <f t="shared" si="367"/>
        <v>4.1850884076403312E-3</v>
      </c>
      <c r="K254" s="103">
        <f t="shared" si="367"/>
        <v>4.6546825776484944E-3</v>
      </c>
      <c r="L254" s="103">
        <f t="shared" ref="L254" si="368">IF(L36=0,0,L36/L$31)</f>
        <v>4.4996399426006145E-3</v>
      </c>
      <c r="M254" s="103">
        <f t="shared" ref="M254:V254" si="369">IF(M36=0,0,M36/M$31)</f>
        <v>5.100212235539762E-3</v>
      </c>
      <c r="N254" s="103">
        <f t="shared" si="369"/>
        <v>6.542857789470476E-3</v>
      </c>
      <c r="O254" s="103">
        <f t="shared" si="369"/>
        <v>7.3803029788502032E-3</v>
      </c>
      <c r="P254" s="103">
        <f t="shared" si="369"/>
        <v>8.2690071280687727E-3</v>
      </c>
      <c r="Q254" s="103">
        <f t="shared" si="369"/>
        <v>8.4243674824242519E-3</v>
      </c>
      <c r="R254" s="103">
        <f t="shared" si="369"/>
        <v>9.6045554340273374E-3</v>
      </c>
      <c r="S254" s="103">
        <f t="shared" si="369"/>
        <v>1.1104885415929128E-2</v>
      </c>
      <c r="T254" s="103">
        <f t="shared" si="369"/>
        <v>1.2912582663327652E-2</v>
      </c>
      <c r="U254" s="103">
        <f t="shared" si="369"/>
        <v>1.4867402958129047E-2</v>
      </c>
      <c r="V254" s="103">
        <f t="shared" si="369"/>
        <v>1.5983949083818394E-2</v>
      </c>
      <c r="W254" s="103">
        <f t="shared" ref="W254:Y254" si="370">IF(W36=0,0,W36/W$31)</f>
        <v>1.5933683891605974E-2</v>
      </c>
      <c r="X254" s="103">
        <f t="shared" si="370"/>
        <v>1.5818091188935509E-2</v>
      </c>
      <c r="Y254" s="103">
        <f t="shared" si="370"/>
        <v>1.3559755137403994E-2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7.0532902719763324E-6</v>
      </c>
      <c r="M255" s="103">
        <f t="shared" ref="M255:V255" si="373">IF(M37=0,0,M37/M$31)</f>
        <v>2.3380795691653848E-5</v>
      </c>
      <c r="N255" s="103">
        <f t="shared" si="373"/>
        <v>4.3280410300101172E-5</v>
      </c>
      <c r="O255" s="103">
        <f t="shared" si="373"/>
        <v>3.3835513871347076E-4</v>
      </c>
      <c r="P255" s="103">
        <f t="shared" si="373"/>
        <v>6.3462387158802404E-4</v>
      </c>
      <c r="Q255" s="103">
        <f t="shared" si="373"/>
        <v>9.8647245628553709E-4</v>
      </c>
      <c r="R255" s="103">
        <f t="shared" si="373"/>
        <v>2.2031686446388897E-3</v>
      </c>
      <c r="S255" s="103">
        <f t="shared" si="373"/>
        <v>3.1581190737127243E-3</v>
      </c>
      <c r="T255" s="103">
        <f t="shared" si="373"/>
        <v>5.879681458236711E-3</v>
      </c>
      <c r="U255" s="103">
        <f t="shared" si="373"/>
        <v>1.845698077631782E-2</v>
      </c>
      <c r="V255" s="103">
        <f t="shared" si="373"/>
        <v>3.2434562164224412E-2</v>
      </c>
      <c r="W255" s="103">
        <f t="shared" ref="W255:Y255" si="374">IF(W37=0,0,W37/W$31)</f>
        <v>4.2926401435039264E-2</v>
      </c>
      <c r="X255" s="103">
        <f t="shared" si="374"/>
        <v>3.800868789481332E-2</v>
      </c>
      <c r="Y255" s="103">
        <f t="shared" si="374"/>
        <v>3.7897412469840679E-2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0</v>
      </c>
      <c r="O256" s="103">
        <f t="shared" si="377"/>
        <v>0</v>
      </c>
      <c r="P256" s="103">
        <f t="shared" si="377"/>
        <v>3.4267775939639231E-5</v>
      </c>
      <c r="Q256" s="103">
        <f t="shared" si="377"/>
        <v>5.6203599965826813E-5</v>
      </c>
      <c r="R256" s="103">
        <f t="shared" si="377"/>
        <v>6.9608206097868144E-5</v>
      </c>
      <c r="S256" s="103">
        <f t="shared" si="377"/>
        <v>8.9870548791546364E-5</v>
      </c>
      <c r="T256" s="103">
        <f t="shared" si="377"/>
        <v>1.3536461284109234E-4</v>
      </c>
      <c r="U256" s="103">
        <f t="shared" si="377"/>
        <v>1.5545671553126222E-4</v>
      </c>
      <c r="V256" s="103">
        <f t="shared" si="377"/>
        <v>2.6137434455454389E-4</v>
      </c>
      <c r="W256" s="103">
        <f t="shared" ref="W256:Y256" si="378">IF(W38=0,0,W38/W$31)</f>
        <v>7.4501817244256084E-4</v>
      </c>
      <c r="X256" s="103">
        <f t="shared" si="378"/>
        <v>1.1234906402843527E-3</v>
      </c>
      <c r="Y256" s="103">
        <f t="shared" si="378"/>
        <v>1.9781688311151101E-3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2.6371470801299173E-6</v>
      </c>
      <c r="K257" s="103">
        <f t="shared" si="379"/>
        <v>2.6114932356495019E-6</v>
      </c>
      <c r="L257" s="103">
        <f t="shared" ref="L257" si="380">IF(L39=0,0,L39/L$31)</f>
        <v>5.2696873429619149E-6</v>
      </c>
      <c r="M257" s="103">
        <f t="shared" ref="M257:V257" si="381">IF(M39=0,0,M39/M$31)</f>
        <v>1.4716338923641037E-4</v>
      </c>
      <c r="N257" s="103">
        <f t="shared" si="381"/>
        <v>1.5130619972944378E-3</v>
      </c>
      <c r="O257" s="103">
        <f t="shared" si="381"/>
        <v>1.7565373741351214E-3</v>
      </c>
      <c r="P257" s="103">
        <f t="shared" si="381"/>
        <v>2.5598326241830986E-3</v>
      </c>
      <c r="Q257" s="103">
        <f t="shared" si="381"/>
        <v>2.4421628053131412E-3</v>
      </c>
      <c r="R257" s="103">
        <f t="shared" si="381"/>
        <v>2.3562742899330717E-3</v>
      </c>
      <c r="S257" s="103">
        <f t="shared" si="381"/>
        <v>2.2693520290973453E-3</v>
      </c>
      <c r="T257" s="103">
        <f t="shared" si="381"/>
        <v>2.3157466931813787E-3</v>
      </c>
      <c r="U257" s="103">
        <f t="shared" si="381"/>
        <v>2.6374921558969516E-3</v>
      </c>
      <c r="V257" s="103">
        <f t="shared" si="381"/>
        <v>2.9367133279291284E-3</v>
      </c>
      <c r="W257" s="103">
        <f t="shared" ref="W257:Y257" si="382">IF(W39=0,0,W39/W$31)</f>
        <v>4.0889221806913439E-3</v>
      </c>
      <c r="X257" s="103">
        <f t="shared" si="382"/>
        <v>5.2047253612199397E-3</v>
      </c>
      <c r="Y257" s="103">
        <f t="shared" si="382"/>
        <v>7.5039927253091505E-3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5.907067053781808E-2</v>
      </c>
      <c r="C258" s="156">
        <f t="shared" si="383"/>
        <v>4.637124724509617E-2</v>
      </c>
      <c r="D258" s="156">
        <f t="shared" si="383"/>
        <v>4.816052431891419E-2</v>
      </c>
      <c r="E258" s="156">
        <f t="shared" si="383"/>
        <v>4.7622616004009806E-2</v>
      </c>
      <c r="F258" s="156">
        <f t="shared" si="383"/>
        <v>4.6352489357467747E-2</v>
      </c>
      <c r="G258" s="156">
        <f t="shared" si="383"/>
        <v>4.3386926864526741E-2</v>
      </c>
      <c r="H258" s="156">
        <f t="shared" si="383"/>
        <v>3.9127568347388834E-2</v>
      </c>
      <c r="I258" s="156">
        <f t="shared" si="383"/>
        <v>2.8804396166078269E-2</v>
      </c>
      <c r="J258" s="156">
        <f t="shared" si="383"/>
        <v>2.6353712240455535E-2</v>
      </c>
      <c r="K258" s="156">
        <f t="shared" si="383"/>
        <v>2.4245320743286856E-2</v>
      </c>
      <c r="L258" s="156">
        <f t="shared" ref="L258" si="384">IF(L40=0,0,L40/L$31)</f>
        <v>2.4193099014213595E-2</v>
      </c>
      <c r="M258" s="156">
        <f t="shared" ref="M258:V258" si="385">IF(M40=0,0,M40/M$31)</f>
        <v>2.3513568781744713E-2</v>
      </c>
      <c r="N258" s="156">
        <f t="shared" si="385"/>
        <v>2.2901721299389333E-2</v>
      </c>
      <c r="O258" s="156">
        <f t="shared" si="385"/>
        <v>2.3865758772974598E-2</v>
      </c>
      <c r="P258" s="156">
        <f t="shared" si="385"/>
        <v>2.4164047575961845E-2</v>
      </c>
      <c r="Q258" s="156">
        <f t="shared" si="385"/>
        <v>2.3576839902473151E-2</v>
      </c>
      <c r="R258" s="156">
        <f t="shared" si="385"/>
        <v>2.610415027018121E-2</v>
      </c>
      <c r="S258" s="156">
        <f t="shared" si="385"/>
        <v>2.8452711225018992E-2</v>
      </c>
      <c r="T258" s="156">
        <f t="shared" si="385"/>
        <v>2.640325785117283E-2</v>
      </c>
      <c r="U258" s="156">
        <f t="shared" si="385"/>
        <v>2.4323670409201699E-2</v>
      </c>
      <c r="V258" s="156">
        <f t="shared" si="385"/>
        <v>2.4583297247150592E-2</v>
      </c>
      <c r="W258" s="156">
        <f t="shared" ref="W258:Y258" si="386">IF(W40=0,0,W40/W$31)</f>
        <v>2.5874515630280186E-2</v>
      </c>
      <c r="X258" s="156">
        <f t="shared" si="386"/>
        <v>2.5778848119320623E-2</v>
      </c>
      <c r="Y258" s="156">
        <f t="shared" si="386"/>
        <v>1.7447000885731655E-2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1.6275906513656818E-2</v>
      </c>
      <c r="C259" s="103">
        <f t="shared" si="387"/>
        <v>1.1529900027442122E-2</v>
      </c>
      <c r="D259" s="103">
        <f t="shared" si="387"/>
        <v>1.047711892947791E-2</v>
      </c>
      <c r="E259" s="103">
        <f t="shared" si="387"/>
        <v>8.6135767309193281E-3</v>
      </c>
      <c r="F259" s="103">
        <f t="shared" si="387"/>
        <v>7.4419125229928211E-3</v>
      </c>
      <c r="G259" s="103">
        <f t="shared" si="387"/>
        <v>5.5906315824407679E-3</v>
      </c>
      <c r="H259" s="103">
        <f t="shared" si="387"/>
        <v>4.937153031191739E-3</v>
      </c>
      <c r="I259" s="103">
        <f t="shared" si="387"/>
        <v>2.4437195401940982E-3</v>
      </c>
      <c r="J259" s="103">
        <f t="shared" si="387"/>
        <v>1.6935089904692553E-3</v>
      </c>
      <c r="K259" s="103">
        <f t="shared" si="387"/>
        <v>1.1398989687027626E-3</v>
      </c>
      <c r="L259" s="103">
        <f t="shared" ref="L259" si="388">IF(L41=0,0,L41/L$31)</f>
        <v>8.851755697897966E-4</v>
      </c>
      <c r="M259" s="103">
        <f t="shared" ref="M259:V259" si="389">IF(M41=0,0,M41/M$31)</f>
        <v>7.8516438005473256E-4</v>
      </c>
      <c r="N259" s="103">
        <f t="shared" si="389"/>
        <v>7.1436251856019659E-4</v>
      </c>
      <c r="O259" s="103">
        <f t="shared" si="389"/>
        <v>6.6805759624503859E-4</v>
      </c>
      <c r="P259" s="103">
        <f t="shared" si="389"/>
        <v>6.5601454122970343E-4</v>
      </c>
      <c r="Q259" s="103">
        <f t="shared" si="389"/>
        <v>6.1164363442325659E-4</v>
      </c>
      <c r="R259" s="103">
        <f t="shared" si="389"/>
        <v>6.41945743409378E-4</v>
      </c>
      <c r="S259" s="103">
        <f t="shared" si="389"/>
        <v>6.7503276768846173E-4</v>
      </c>
      <c r="T259" s="103">
        <f t="shared" si="389"/>
        <v>6.0873800418710015E-4</v>
      </c>
      <c r="U259" s="103">
        <f t="shared" si="389"/>
        <v>5.5295000570500751E-4</v>
      </c>
      <c r="V259" s="103">
        <f t="shared" si="389"/>
        <v>5.2774107768595844E-4</v>
      </c>
      <c r="W259" s="103">
        <f t="shared" ref="W259:Y259" si="390">IF(W41=0,0,W41/W$31)</f>
        <v>5.3418899815614097E-4</v>
      </c>
      <c r="X259" s="103">
        <f t="shared" si="390"/>
        <v>5.4256311800833122E-4</v>
      </c>
      <c r="Y259" s="103">
        <f t="shared" si="390"/>
        <v>3.7636491883642379E-4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4.2794764024161262E-2</v>
      </c>
      <c r="C260" s="103">
        <f t="shared" si="391"/>
        <v>3.4841347217654049E-2</v>
      </c>
      <c r="D260" s="103">
        <f t="shared" si="391"/>
        <v>3.7683405389436285E-2</v>
      </c>
      <c r="E260" s="103">
        <f t="shared" si="391"/>
        <v>3.9009039273090476E-2</v>
      </c>
      <c r="F260" s="103">
        <f t="shared" si="391"/>
        <v>3.8910576834474929E-2</v>
      </c>
      <c r="G260" s="103">
        <f t="shared" si="391"/>
        <v>3.7796295282085973E-2</v>
      </c>
      <c r="H260" s="103">
        <f t="shared" si="391"/>
        <v>3.4190415316197098E-2</v>
      </c>
      <c r="I260" s="103">
        <f t="shared" si="391"/>
        <v>2.636067662588417E-2</v>
      </c>
      <c r="J260" s="103">
        <f t="shared" si="391"/>
        <v>2.466020324998628E-2</v>
      </c>
      <c r="K260" s="103">
        <f t="shared" si="391"/>
        <v>2.3105421774584096E-2</v>
      </c>
      <c r="L260" s="103">
        <f t="shared" ref="L260" si="392">IF(L42=0,0,L42/L$31)</f>
        <v>2.2345050109847137E-2</v>
      </c>
      <c r="M260" s="103">
        <f t="shared" ref="M260:V260" si="393">IF(M42=0,0,M42/M$31)</f>
        <v>2.1736380006280843E-2</v>
      </c>
      <c r="N260" s="103">
        <f t="shared" si="393"/>
        <v>2.124597086599082E-2</v>
      </c>
      <c r="O260" s="103">
        <f t="shared" si="393"/>
        <v>2.2144414787668158E-2</v>
      </c>
      <c r="P260" s="103">
        <f t="shared" si="393"/>
        <v>2.2313570312016907E-2</v>
      </c>
      <c r="Q260" s="103">
        <f t="shared" si="393"/>
        <v>2.1632402789695672E-2</v>
      </c>
      <c r="R260" s="103">
        <f t="shared" si="393"/>
        <v>2.3864582000382207E-2</v>
      </c>
      <c r="S260" s="103">
        <f t="shared" si="393"/>
        <v>2.5749675516566532E-2</v>
      </c>
      <c r="T260" s="103">
        <f t="shared" si="393"/>
        <v>2.3928805729765454E-2</v>
      </c>
      <c r="U260" s="103">
        <f t="shared" si="393"/>
        <v>2.2187531387651671E-2</v>
      </c>
      <c r="V260" s="103">
        <f t="shared" si="393"/>
        <v>2.189960908518913E-2</v>
      </c>
      <c r="W260" s="103">
        <f t="shared" ref="W260:Y260" si="394">IF(W42=0,0,W42/W$31)</f>
        <v>2.2232860903545183E-2</v>
      </c>
      <c r="X260" s="103">
        <f t="shared" si="394"/>
        <v>2.0620979573397816E-2</v>
      </c>
      <c r="Y260" s="103">
        <f t="shared" si="394"/>
        <v>1.387094438419933E-2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3.1156561178451483E-6</v>
      </c>
      <c r="U261" s="103">
        <f t="shared" si="397"/>
        <v>2.7676160043914648E-6</v>
      </c>
      <c r="V261" s="103">
        <f t="shared" si="397"/>
        <v>2.7307398398040805E-6</v>
      </c>
      <c r="W261" s="103">
        <f t="shared" ref="W261:Y261" si="398">IF(W43=0,0,W43/W$31)</f>
        <v>2.805418489782129E-6</v>
      </c>
      <c r="X261" s="103">
        <f t="shared" si="398"/>
        <v>2.7526680169580425E-6</v>
      </c>
      <c r="Y261" s="103">
        <f t="shared" si="398"/>
        <v>1.8796588997492395E-6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1.4072260589204436E-5</v>
      </c>
      <c r="M262" s="103">
        <f t="shared" ref="M262:V262" si="401">IF(M44=0,0,M44/M$31)</f>
        <v>4.7948555272544296E-5</v>
      </c>
      <c r="N262" s="103">
        <f t="shared" si="401"/>
        <v>5.2972989459345282E-5</v>
      </c>
      <c r="O262" s="103">
        <f t="shared" si="401"/>
        <v>1.9687040312089217E-4</v>
      </c>
      <c r="P262" s="103">
        <f t="shared" si="401"/>
        <v>3.8901426157912335E-4</v>
      </c>
      <c r="Q262" s="103">
        <f t="shared" si="401"/>
        <v>6.1425418909197987E-4</v>
      </c>
      <c r="R262" s="103">
        <f t="shared" si="401"/>
        <v>9.6069943980012608E-4</v>
      </c>
      <c r="S262" s="103">
        <f t="shared" si="401"/>
        <v>1.4594782011426116E-3</v>
      </c>
      <c r="T262" s="103">
        <f t="shared" si="401"/>
        <v>1.3695974824022808E-3</v>
      </c>
      <c r="U262" s="103">
        <f t="shared" si="401"/>
        <v>1.1394104994529185E-3</v>
      </c>
      <c r="V262" s="103">
        <f t="shared" si="401"/>
        <v>1.7539134734436356E-3</v>
      </c>
      <c r="W262" s="103">
        <f t="shared" ref="W262:Y262" si="402">IF(W44=0,0,W44/W$31)</f>
        <v>2.6900154325298058E-3</v>
      </c>
      <c r="X262" s="103">
        <f t="shared" si="402"/>
        <v>4.225395027788242E-3</v>
      </c>
      <c r="Y262" s="103">
        <f t="shared" si="402"/>
        <v>2.9355435184632989E-3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9.4880107398746067E-4</v>
      </c>
      <c r="M263" s="103">
        <f t="shared" ref="M263:V263" si="405">IF(M45=0,0,M45/M$31)</f>
        <v>9.4407584013659598E-4</v>
      </c>
      <c r="N263" s="103">
        <f t="shared" si="405"/>
        <v>8.8841492537896987E-4</v>
      </c>
      <c r="O263" s="103">
        <f t="shared" si="405"/>
        <v>8.5641598594050992E-4</v>
      </c>
      <c r="P263" s="103">
        <f t="shared" si="405"/>
        <v>8.0544846113610961E-4</v>
      </c>
      <c r="Q263" s="103">
        <f t="shared" si="405"/>
        <v>7.1853928926224136E-4</v>
      </c>
      <c r="R263" s="103">
        <f t="shared" si="405"/>
        <v>6.3692308658950321E-4</v>
      </c>
      <c r="S263" s="103">
        <f t="shared" si="405"/>
        <v>5.6852473962138252E-4</v>
      </c>
      <c r="T263" s="103">
        <f t="shared" si="405"/>
        <v>4.9300097870015039E-4</v>
      </c>
      <c r="U263" s="103">
        <f t="shared" si="405"/>
        <v>4.4101090038771191E-4</v>
      </c>
      <c r="V263" s="103">
        <f t="shared" si="405"/>
        <v>3.9930287099206014E-4</v>
      </c>
      <c r="W263" s="103">
        <f t="shared" ref="W263:Y263" si="406">IF(W45=0,0,W45/W$31)</f>
        <v>4.1464487755927154E-4</v>
      </c>
      <c r="X263" s="103">
        <f t="shared" si="406"/>
        <v>3.8715773210927832E-4</v>
      </c>
      <c r="Y263" s="103">
        <f t="shared" si="406"/>
        <v>2.622684053328521E-4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0.85036196585097035</v>
      </c>
      <c r="C265" s="154">
        <f t="shared" si="411"/>
        <v>0.86890604094465973</v>
      </c>
      <c r="D265" s="154">
        <f t="shared" si="411"/>
        <v>0.83876433937975658</v>
      </c>
      <c r="E265" s="154">
        <f t="shared" si="411"/>
        <v>0.77158568635787927</v>
      </c>
      <c r="F265" s="154">
        <f t="shared" si="411"/>
        <v>0.74730471519880792</v>
      </c>
      <c r="G265" s="154">
        <f t="shared" si="411"/>
        <v>0.72790376817103164</v>
      </c>
      <c r="H265" s="154">
        <f t="shared" si="411"/>
        <v>0.70895388344551602</v>
      </c>
      <c r="I265" s="154">
        <f t="shared" si="411"/>
        <v>0.68111335485140834</v>
      </c>
      <c r="J265" s="154">
        <f t="shared" si="411"/>
        <v>0.68227166956030272</v>
      </c>
      <c r="K265" s="154">
        <f t="shared" si="411"/>
        <v>0.73693553198974404</v>
      </c>
      <c r="L265" s="154">
        <f t="shared" ref="L265" si="412">IF(L47=0,0,L47/L$46)</f>
        <v>0.7463178560956617</v>
      </c>
      <c r="M265" s="154">
        <f t="shared" ref="M265:V265" si="413">IF(M47=0,0,M47/M$46)</f>
        <v>0.73166956005319361</v>
      </c>
      <c r="N265" s="154">
        <f t="shared" si="413"/>
        <v>0.74275980975444045</v>
      </c>
      <c r="O265" s="154">
        <f t="shared" si="413"/>
        <v>0.74353622259380436</v>
      </c>
      <c r="P265" s="154">
        <f t="shared" si="413"/>
        <v>0.76185363361169645</v>
      </c>
      <c r="Q265" s="154">
        <f t="shared" si="413"/>
        <v>0.75944953885816746</v>
      </c>
      <c r="R265" s="154">
        <f t="shared" si="413"/>
        <v>0.76000139332350014</v>
      </c>
      <c r="S265" s="154">
        <f t="shared" si="413"/>
        <v>0.79888123467912775</v>
      </c>
      <c r="T265" s="154">
        <f t="shared" si="413"/>
        <v>0.81007962847571968</v>
      </c>
      <c r="U265" s="154">
        <f t="shared" si="413"/>
        <v>0.83142216182740125</v>
      </c>
      <c r="V265" s="154">
        <f t="shared" si="413"/>
        <v>0.84206097930854251</v>
      </c>
      <c r="W265" s="154">
        <f t="shared" ref="W265:Y265" si="414">IF(W47=0,0,W47/W$46)</f>
        <v>0.8280170199628738</v>
      </c>
      <c r="X265" s="154">
        <f t="shared" si="414"/>
        <v>0.82467613066097623</v>
      </c>
      <c r="Y265" s="154">
        <f t="shared" si="414"/>
        <v>0.84347655386443432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0.21251454708993758</v>
      </c>
      <c r="C266" s="103">
        <f t="shared" si="415"/>
        <v>0.23498679807475537</v>
      </c>
      <c r="D266" s="103">
        <f t="shared" si="415"/>
        <v>0.22372057911224247</v>
      </c>
      <c r="E266" s="103">
        <f t="shared" si="415"/>
        <v>0.20120967932743858</v>
      </c>
      <c r="F266" s="103">
        <f t="shared" si="415"/>
        <v>0.20826305844604975</v>
      </c>
      <c r="G266" s="103">
        <f t="shared" si="415"/>
        <v>0.19464759550360372</v>
      </c>
      <c r="H266" s="103">
        <f t="shared" si="415"/>
        <v>0.19447138439931447</v>
      </c>
      <c r="I266" s="103">
        <f t="shared" si="415"/>
        <v>0.16729548080598822</v>
      </c>
      <c r="J266" s="103">
        <f t="shared" si="415"/>
        <v>0.16396460039783473</v>
      </c>
      <c r="K266" s="103">
        <f t="shared" si="415"/>
        <v>0.16603983799069152</v>
      </c>
      <c r="L266" s="103">
        <f t="shared" ref="L266" si="416">IF(L48=0,0,L48/L$46)</f>
        <v>0.15441037567142105</v>
      </c>
      <c r="M266" s="103">
        <f t="shared" ref="M266:V266" si="417">IF(M48=0,0,M48/M$46)</f>
        <v>0.15313638507592686</v>
      </c>
      <c r="N266" s="103">
        <f t="shared" si="417"/>
        <v>0.14353057206037775</v>
      </c>
      <c r="O266" s="103">
        <f t="shared" si="417"/>
        <v>0.1213783841584542</v>
      </c>
      <c r="P266" s="103">
        <f t="shared" si="417"/>
        <v>0.1157528689142077</v>
      </c>
      <c r="Q266" s="103">
        <f t="shared" si="417"/>
        <v>0.10842306676358321</v>
      </c>
      <c r="R266" s="103">
        <f t="shared" si="417"/>
        <v>9.4439706124129053E-2</v>
      </c>
      <c r="S266" s="103">
        <f t="shared" si="417"/>
        <v>9.0987336203126198E-2</v>
      </c>
      <c r="T266" s="103">
        <f t="shared" si="417"/>
        <v>9.3754281873547618E-2</v>
      </c>
      <c r="U266" s="103">
        <f t="shared" si="417"/>
        <v>8.410588148795678E-2</v>
      </c>
      <c r="V266" s="103">
        <f t="shared" si="417"/>
        <v>7.5081902070155263E-2</v>
      </c>
      <c r="W266" s="103">
        <f t="shared" ref="W266:Y266" si="418">IF(W48=0,0,W48/W$46)</f>
        <v>6.3638500108715926E-2</v>
      </c>
      <c r="X266" s="103">
        <f t="shared" si="418"/>
        <v>5.4630986291842563E-2</v>
      </c>
      <c r="Y266" s="103">
        <f t="shared" si="418"/>
        <v>4.8875851670179861E-2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0.63784741876103279</v>
      </c>
      <c r="C267" s="103">
        <f t="shared" si="419"/>
        <v>0.63391924286990442</v>
      </c>
      <c r="D267" s="103">
        <f t="shared" si="419"/>
        <v>0.61504376026751406</v>
      </c>
      <c r="E267" s="103">
        <f t="shared" si="419"/>
        <v>0.57037600703044067</v>
      </c>
      <c r="F267" s="103">
        <f t="shared" si="419"/>
        <v>0.53904165675275817</v>
      </c>
      <c r="G267" s="103">
        <f t="shared" si="419"/>
        <v>0.53325617266742797</v>
      </c>
      <c r="H267" s="103">
        <f t="shared" si="419"/>
        <v>0.51448249904620147</v>
      </c>
      <c r="I267" s="103">
        <f t="shared" si="419"/>
        <v>0.51379974029089781</v>
      </c>
      <c r="J267" s="103">
        <f t="shared" si="419"/>
        <v>0.51828899384432181</v>
      </c>
      <c r="K267" s="103">
        <f t="shared" si="419"/>
        <v>0.57087544576688365</v>
      </c>
      <c r="L267" s="103">
        <f t="shared" ref="L267" si="420">IF(L49=0,0,L49/L$46)</f>
        <v>0.59188665722494216</v>
      </c>
      <c r="M267" s="103">
        <f t="shared" ref="M267:V267" si="421">IF(M49=0,0,M49/M$46)</f>
        <v>0.57851360201061819</v>
      </c>
      <c r="N267" s="103">
        <f t="shared" si="421"/>
        <v>0.59919001909698133</v>
      </c>
      <c r="O267" s="103">
        <f t="shared" si="421"/>
        <v>0.62162658264378468</v>
      </c>
      <c r="P267" s="103">
        <f t="shared" si="421"/>
        <v>0.64540179648690343</v>
      </c>
      <c r="Q267" s="103">
        <f t="shared" si="421"/>
        <v>0.65011783840627835</v>
      </c>
      <c r="R267" s="103">
        <f t="shared" si="421"/>
        <v>0.66463697403855715</v>
      </c>
      <c r="S267" s="103">
        <f t="shared" si="421"/>
        <v>0.7062580306352455</v>
      </c>
      <c r="T267" s="103">
        <f t="shared" si="421"/>
        <v>0.71443938084826841</v>
      </c>
      <c r="U267" s="103">
        <f t="shared" si="421"/>
        <v>0.74517508078733252</v>
      </c>
      <c r="V267" s="103">
        <f t="shared" si="421"/>
        <v>0.76436858117982986</v>
      </c>
      <c r="W267" s="103">
        <f t="shared" ref="W267:Y267" si="422">IF(W49=0,0,W49/W$46)</f>
        <v>0.76193793153262557</v>
      </c>
      <c r="X267" s="103">
        <f t="shared" si="422"/>
        <v>0.76749706807533191</v>
      </c>
      <c r="Y267" s="103">
        <f t="shared" si="422"/>
        <v>0.79184630075422946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6.6330508340429702E-6</v>
      </c>
      <c r="S268" s="103">
        <f t="shared" si="425"/>
        <v>8.3242689292015772E-5</v>
      </c>
      <c r="T268" s="103">
        <f t="shared" si="425"/>
        <v>9.4114225738323949E-5</v>
      </c>
      <c r="U268" s="103">
        <f t="shared" si="425"/>
        <v>1.1628833462511974E-4</v>
      </c>
      <c r="V268" s="103">
        <f t="shared" si="425"/>
        <v>1.0725820991192575E-4</v>
      </c>
      <c r="W268" s="103">
        <f t="shared" ref="W268:Y268" si="426">IF(W50=0,0,W50/W$46)</f>
        <v>1.0034704133363151E-4</v>
      </c>
      <c r="X268" s="103">
        <f t="shared" si="426"/>
        <v>9.0755501403609273E-5</v>
      </c>
      <c r="Y268" s="103">
        <f t="shared" si="426"/>
        <v>1.5059520781128869E-4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1.0572648809972122E-5</v>
      </c>
      <c r="O269" s="103">
        <f t="shared" si="429"/>
        <v>4.6906106696656261E-4</v>
      </c>
      <c r="P269" s="103">
        <f t="shared" si="429"/>
        <v>5.7747343227170986E-4</v>
      </c>
      <c r="Q269" s="103">
        <f t="shared" si="429"/>
        <v>7.7669088913881533E-4</v>
      </c>
      <c r="R269" s="103">
        <f t="shared" si="429"/>
        <v>7.0269619791548494E-4</v>
      </c>
      <c r="S269" s="103">
        <f t="shared" si="429"/>
        <v>1.3409342951939997E-3</v>
      </c>
      <c r="T269" s="103">
        <f t="shared" si="429"/>
        <v>1.5940935285750088E-3</v>
      </c>
      <c r="U269" s="103">
        <f t="shared" si="429"/>
        <v>1.8417744640620876E-3</v>
      </c>
      <c r="V269" s="103">
        <f t="shared" si="429"/>
        <v>2.3121947993817991E-3</v>
      </c>
      <c r="W269" s="103">
        <f t="shared" ref="W269:Y269" si="430">IF(W51=0,0,W51/W$46)</f>
        <v>2.1632088331093365E-3</v>
      </c>
      <c r="X269" s="103">
        <f t="shared" si="430"/>
        <v>2.0594119607354904E-3</v>
      </c>
      <c r="Y269" s="103">
        <f t="shared" si="430"/>
        <v>1.8261126056172549E-3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1.8133754522454299E-5</v>
      </c>
      <c r="J270" s="103">
        <f t="shared" si="431"/>
        <v>1.8075318146214206E-5</v>
      </c>
      <c r="K270" s="103">
        <f t="shared" si="431"/>
        <v>2.0248232168843995E-5</v>
      </c>
      <c r="L270" s="103">
        <f t="shared" ref="L270" si="432">IF(L52=0,0,L52/L$46)</f>
        <v>2.0823199298514565E-5</v>
      </c>
      <c r="M270" s="103">
        <f t="shared" ref="M270:V270" si="433">IF(M52=0,0,M52/M$46)</f>
        <v>1.9572966648669728E-5</v>
      </c>
      <c r="N270" s="103">
        <f t="shared" si="433"/>
        <v>2.8645948271499973E-5</v>
      </c>
      <c r="O270" s="103">
        <f t="shared" si="433"/>
        <v>6.2194724598876026E-5</v>
      </c>
      <c r="P270" s="103">
        <f t="shared" si="433"/>
        <v>1.214947783135978E-4</v>
      </c>
      <c r="Q270" s="103">
        <f t="shared" si="433"/>
        <v>1.3194279916710244E-4</v>
      </c>
      <c r="R270" s="103">
        <f t="shared" si="433"/>
        <v>2.1538391206436984E-4</v>
      </c>
      <c r="S270" s="103">
        <f t="shared" si="433"/>
        <v>2.1169085626996601E-4</v>
      </c>
      <c r="T270" s="103">
        <f t="shared" si="433"/>
        <v>1.9775799959022091E-4</v>
      </c>
      <c r="U270" s="103">
        <f t="shared" si="433"/>
        <v>1.8313675342470335E-4</v>
      </c>
      <c r="V270" s="103">
        <f t="shared" si="433"/>
        <v>1.9104304926358427E-4</v>
      </c>
      <c r="W270" s="103">
        <f t="shared" ref="W270:Y270" si="434">IF(W52=0,0,W52/W$46)</f>
        <v>1.7703244708938711E-4</v>
      </c>
      <c r="X270" s="103">
        <f t="shared" si="434"/>
        <v>3.9790883166252632E-4</v>
      </c>
      <c r="Y270" s="103">
        <f t="shared" si="434"/>
        <v>7.7769362659643249E-4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0.14963803414902968</v>
      </c>
      <c r="C271" s="156">
        <f t="shared" si="435"/>
        <v>0.1310939590553403</v>
      </c>
      <c r="D271" s="156">
        <f t="shared" si="435"/>
        <v>0.1612356606202435</v>
      </c>
      <c r="E271" s="156">
        <f t="shared" si="435"/>
        <v>0.22841431364212078</v>
      </c>
      <c r="F271" s="156">
        <f t="shared" si="435"/>
        <v>0.25269528480119208</v>
      </c>
      <c r="G271" s="156">
        <f t="shared" si="435"/>
        <v>0.2720962318289683</v>
      </c>
      <c r="H271" s="156">
        <f t="shared" si="435"/>
        <v>0.29104611655448404</v>
      </c>
      <c r="I271" s="156">
        <f t="shared" si="435"/>
        <v>0.31888664514859166</v>
      </c>
      <c r="J271" s="156">
        <f t="shared" si="435"/>
        <v>0.31772833043969728</v>
      </c>
      <c r="K271" s="156">
        <f t="shared" si="435"/>
        <v>0.26306446801025596</v>
      </c>
      <c r="L271" s="156">
        <f t="shared" ref="L271" si="436">IF(L53=0,0,L53/L$46)</f>
        <v>0.25368214390433824</v>
      </c>
      <c r="M271" s="156">
        <f t="shared" ref="M271:V271" si="437">IF(M53=0,0,M53/M$46)</f>
        <v>0.26833043994680633</v>
      </c>
      <c r="N271" s="156">
        <f t="shared" si="437"/>
        <v>0.25724019024555961</v>
      </c>
      <c r="O271" s="156">
        <f t="shared" si="437"/>
        <v>0.25646377740619569</v>
      </c>
      <c r="P271" s="156">
        <f t="shared" si="437"/>
        <v>0.23814636638830358</v>
      </c>
      <c r="Q271" s="156">
        <f t="shared" si="437"/>
        <v>0.24055046114183257</v>
      </c>
      <c r="R271" s="156">
        <f t="shared" si="437"/>
        <v>0.23999860667649997</v>
      </c>
      <c r="S271" s="156">
        <f t="shared" si="437"/>
        <v>0.20111876532087219</v>
      </c>
      <c r="T271" s="156">
        <f t="shared" si="437"/>
        <v>0.18992037152428035</v>
      </c>
      <c r="U271" s="156">
        <f t="shared" si="437"/>
        <v>0.16857783817259872</v>
      </c>
      <c r="V271" s="156">
        <f t="shared" si="437"/>
        <v>0.15793902069145752</v>
      </c>
      <c r="W271" s="156">
        <f t="shared" ref="W271:Y271" si="438">IF(W53=0,0,W53/W$46)</f>
        <v>0.17198298003712623</v>
      </c>
      <c r="X271" s="156">
        <f t="shared" si="438"/>
        <v>0.17532386933902377</v>
      </c>
      <c r="Y271" s="156">
        <f t="shared" si="438"/>
        <v>0.15652344613556568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0.1057723778429847</v>
      </c>
      <c r="C272" s="104">
        <f t="shared" si="439"/>
        <v>8.4244226800127525E-2</v>
      </c>
      <c r="D272" s="104">
        <f t="shared" si="439"/>
        <v>0.11308023575311515</v>
      </c>
      <c r="E272" s="104">
        <f t="shared" si="439"/>
        <v>0.18028850864845006</v>
      </c>
      <c r="F272" s="104">
        <f t="shared" si="439"/>
        <v>0.19545991340727015</v>
      </c>
      <c r="G272" s="104">
        <f t="shared" si="439"/>
        <v>0.20979071220262449</v>
      </c>
      <c r="H272" s="104">
        <f t="shared" si="439"/>
        <v>0.22373856230489561</v>
      </c>
      <c r="I272" s="104">
        <f t="shared" si="439"/>
        <v>0.24290246268188004</v>
      </c>
      <c r="J272" s="104">
        <f t="shared" si="439"/>
        <v>0.24513468309403619</v>
      </c>
      <c r="K272" s="104">
        <f t="shared" si="439"/>
        <v>0.19732995928162492</v>
      </c>
      <c r="L272" s="104">
        <f t="shared" ref="L272" si="440">IF(L54=0,0,L54/L$46)</f>
        <v>0.18543443878753726</v>
      </c>
      <c r="M272" s="104">
        <f t="shared" ref="M272:V272" si="441">IF(M54=0,0,M54/M$46)</f>
        <v>0.19272479722407748</v>
      </c>
      <c r="N272" s="104">
        <f t="shared" si="441"/>
        <v>0.18222414950121135</v>
      </c>
      <c r="O272" s="104">
        <f t="shared" si="441"/>
        <v>0.17469121562719711</v>
      </c>
      <c r="P272" s="104">
        <f t="shared" si="441"/>
        <v>0.15816032455332729</v>
      </c>
      <c r="Q272" s="104">
        <f t="shared" si="441"/>
        <v>0.14919544556365177</v>
      </c>
      <c r="R272" s="104">
        <f t="shared" si="441"/>
        <v>0.15651279467226339</v>
      </c>
      <c r="S272" s="104">
        <f t="shared" si="441"/>
        <v>0.12462202806881462</v>
      </c>
      <c r="T272" s="104">
        <f t="shared" si="441"/>
        <v>0.11885395045489561</v>
      </c>
      <c r="U272" s="104">
        <f t="shared" si="441"/>
        <v>0.10528575831563408</v>
      </c>
      <c r="V272" s="104">
        <f t="shared" si="441"/>
        <v>8.4280897436522714E-2</v>
      </c>
      <c r="W272" s="104">
        <f t="shared" ref="W272:Y272" si="442">IF(W54=0,0,W54/W$46)</f>
        <v>0.10971973775317184</v>
      </c>
      <c r="X272" s="104">
        <f t="shared" si="442"/>
        <v>0.10552586031801385</v>
      </c>
      <c r="Y272" s="104">
        <f t="shared" si="442"/>
        <v>9.1881275681566482E-2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4.3865656306044998E-2</v>
      </c>
      <c r="C273" s="105">
        <f t="shared" si="443"/>
        <v>4.6849732255212773E-2</v>
      </c>
      <c r="D273" s="105">
        <f t="shared" si="443"/>
        <v>4.8155424867128323E-2</v>
      </c>
      <c r="E273" s="105">
        <f t="shared" si="443"/>
        <v>4.8125804993670723E-2</v>
      </c>
      <c r="F273" s="105">
        <f t="shared" si="443"/>
        <v>5.7235371393921923E-2</v>
      </c>
      <c r="G273" s="105">
        <f t="shared" si="443"/>
        <v>6.2305519626343855E-2</v>
      </c>
      <c r="H273" s="105">
        <f t="shared" si="443"/>
        <v>6.7307554249588383E-2</v>
      </c>
      <c r="I273" s="105">
        <f t="shared" si="443"/>
        <v>7.5984182466711639E-2</v>
      </c>
      <c r="J273" s="105">
        <f t="shared" si="443"/>
        <v>7.2593647345661108E-2</v>
      </c>
      <c r="K273" s="105">
        <f t="shared" si="443"/>
        <v>6.5734508728631028E-2</v>
      </c>
      <c r="L273" s="105">
        <f t="shared" ref="L273" si="444">IF(L55=0,0,L55/L$46)</f>
        <v>6.824770511680095E-2</v>
      </c>
      <c r="M273" s="105">
        <f t="shared" ref="M273:V273" si="445">IF(M55=0,0,M55/M$46)</f>
        <v>7.560564272272885E-2</v>
      </c>
      <c r="N273" s="105">
        <f t="shared" si="445"/>
        <v>7.501604074434827E-2</v>
      </c>
      <c r="O273" s="105">
        <f t="shared" si="445"/>
        <v>8.1772561778998568E-2</v>
      </c>
      <c r="P273" s="105">
        <f t="shared" si="445"/>
        <v>7.998604183497629E-2</v>
      </c>
      <c r="Q273" s="105">
        <f t="shared" si="445"/>
        <v>9.1355015578180793E-2</v>
      </c>
      <c r="R273" s="105">
        <f t="shared" si="445"/>
        <v>8.3485812004236548E-2</v>
      </c>
      <c r="S273" s="105">
        <f t="shared" si="445"/>
        <v>7.6496737252057564E-2</v>
      </c>
      <c r="T273" s="105">
        <f t="shared" si="445"/>
        <v>7.1066421069384739E-2</v>
      </c>
      <c r="U273" s="105">
        <f t="shared" si="445"/>
        <v>6.3292079856964625E-2</v>
      </c>
      <c r="V273" s="105">
        <f t="shared" si="445"/>
        <v>7.3658123254934815E-2</v>
      </c>
      <c r="W273" s="105">
        <f t="shared" ref="W273:Y273" si="446">IF(W55=0,0,W55/W$46)</f>
        <v>6.2263242283954384E-2</v>
      </c>
      <c r="X273" s="105">
        <f t="shared" si="446"/>
        <v>6.9798009021009938E-2</v>
      </c>
      <c r="Y273" s="105">
        <f t="shared" si="446"/>
        <v>6.4642170453999226E-2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497.04187446259675</v>
      </c>
      <c r="C4" s="145">
        <f t="shared" si="0"/>
        <v>605.42656921754076</v>
      </c>
      <c r="D4" s="145">
        <f t="shared" si="0"/>
        <v>625.6556319862425</v>
      </c>
      <c r="E4" s="145">
        <f t="shared" si="0"/>
        <v>607.05073086844368</v>
      </c>
      <c r="F4" s="145">
        <f t="shared" si="0"/>
        <v>625.96319862424775</v>
      </c>
      <c r="G4" s="145">
        <f t="shared" si="0"/>
        <v>655.89707652622519</v>
      </c>
      <c r="H4" s="145">
        <f t="shared" si="0"/>
        <v>707.62562338779014</v>
      </c>
      <c r="I4" s="145">
        <f t="shared" si="0"/>
        <v>749.77880826772389</v>
      </c>
      <c r="J4" s="145">
        <f t="shared" si="0"/>
        <v>734.68340240069801</v>
      </c>
      <c r="K4" s="145">
        <f t="shared" si="0"/>
        <v>661.00773715789512</v>
      </c>
      <c r="L4" s="145">
        <f t="shared" ref="L4" si="1">L5+L9+L10+L15</f>
        <v>689.12069658196901</v>
      </c>
      <c r="M4" s="145">
        <f t="shared" ref="M4:V4" si="2">M5+M9+M10+M15</f>
        <v>703.55926583485416</v>
      </c>
      <c r="N4" s="145">
        <f t="shared" si="2"/>
        <v>717.44926685428288</v>
      </c>
      <c r="O4" s="145">
        <f t="shared" si="2"/>
        <v>703.95076194124999</v>
      </c>
      <c r="P4" s="145">
        <f t="shared" si="2"/>
        <v>711.44938409332792</v>
      </c>
      <c r="Q4" s="145">
        <f t="shared" si="2"/>
        <v>731.08885127992755</v>
      </c>
      <c r="R4" s="145">
        <f t="shared" si="2"/>
        <v>753.12906218224941</v>
      </c>
      <c r="S4" s="145">
        <f t="shared" si="2"/>
        <v>777.95735553181134</v>
      </c>
      <c r="T4" s="145">
        <f t="shared" si="2"/>
        <v>810.03878584697918</v>
      </c>
      <c r="U4" s="145">
        <f t="shared" si="2"/>
        <v>813.65039305185326</v>
      </c>
      <c r="V4" s="145">
        <f t="shared" si="2"/>
        <v>769.02909562433501</v>
      </c>
      <c r="W4" s="145">
        <f t="shared" ref="W4:Y4" si="3">W5+W9+W10+W15</f>
        <v>817.52510089465102</v>
      </c>
      <c r="X4" s="145">
        <f t="shared" si="3"/>
        <v>824.85445326154434</v>
      </c>
      <c r="Y4" s="145">
        <f t="shared" si="3"/>
        <v>820.55154544332936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497.04187446259675</v>
      </c>
      <c r="C5" s="97">
        <f t="shared" si="4"/>
        <v>605.42656921754076</v>
      </c>
      <c r="D5" s="97">
        <f t="shared" si="4"/>
        <v>625.6556319862425</v>
      </c>
      <c r="E5" s="97">
        <f t="shared" si="4"/>
        <v>607.05073086844368</v>
      </c>
      <c r="F5" s="97">
        <f t="shared" si="4"/>
        <v>625.96319862424775</v>
      </c>
      <c r="G5" s="97">
        <f t="shared" si="4"/>
        <v>655.74178847807389</v>
      </c>
      <c r="H5" s="97">
        <f t="shared" si="4"/>
        <v>706.5046431642304</v>
      </c>
      <c r="I5" s="97">
        <f t="shared" si="4"/>
        <v>749.26242476354253</v>
      </c>
      <c r="J5" s="97">
        <f t="shared" si="4"/>
        <v>730.52674118658649</v>
      </c>
      <c r="K5" s="97">
        <f t="shared" si="4"/>
        <v>659.24651762682697</v>
      </c>
      <c r="L5" s="97">
        <f t="shared" ref="L5" si="5">SUM(L6:L8)</f>
        <v>679.64144453998279</v>
      </c>
      <c r="M5" s="97">
        <f t="shared" ref="M5:V5" si="6">SUM(M6:M8)</f>
        <v>697.09398108340497</v>
      </c>
      <c r="N5" s="97">
        <f t="shared" si="6"/>
        <v>711.28323301805676</v>
      </c>
      <c r="O5" s="97">
        <f t="shared" si="6"/>
        <v>698.10851246775587</v>
      </c>
      <c r="P5" s="97">
        <f t="shared" si="6"/>
        <v>702.93800515907128</v>
      </c>
      <c r="Q5" s="97">
        <f t="shared" si="6"/>
        <v>723.98297506448841</v>
      </c>
      <c r="R5" s="97">
        <f t="shared" si="6"/>
        <v>745.38340498710227</v>
      </c>
      <c r="S5" s="97">
        <f t="shared" si="6"/>
        <v>769.31040412725702</v>
      </c>
      <c r="T5" s="97">
        <f t="shared" si="6"/>
        <v>781.22063628546857</v>
      </c>
      <c r="U5" s="97">
        <f t="shared" si="6"/>
        <v>770.49965606190881</v>
      </c>
      <c r="V5" s="97">
        <f t="shared" si="6"/>
        <v>706.25494411006025</v>
      </c>
      <c r="W5" s="97">
        <f t="shared" ref="W5:Y5" si="7">SUM(W6:W8)</f>
        <v>742.27687016337063</v>
      </c>
      <c r="X5" s="97">
        <f t="shared" si="7"/>
        <v>773.27927773000863</v>
      </c>
      <c r="Y5" s="97">
        <f t="shared" si="7"/>
        <v>769.36302665520202</v>
      </c>
      <c r="DA5" s="175"/>
    </row>
    <row r="6" spans="1:105" ht="11.45" customHeight="1" x14ac:dyDescent="0.25">
      <c r="A6" s="128" t="s">
        <v>52</v>
      </c>
      <c r="B6" s="97">
        <v>0.76070507308684432</v>
      </c>
      <c r="C6" s="97">
        <v>0.86938950988822017</v>
      </c>
      <c r="D6" s="97">
        <v>0.9780739466895958</v>
      </c>
      <c r="E6" s="97">
        <v>1.086758383490972</v>
      </c>
      <c r="F6" s="97">
        <v>1.2497850386930349</v>
      </c>
      <c r="G6" s="97">
        <v>1.4855546001719691</v>
      </c>
      <c r="H6" s="97">
        <v>1.9713671539122961</v>
      </c>
      <c r="I6" s="97">
        <v>1.686672398968186</v>
      </c>
      <c r="J6" s="97">
        <v>2.3778159931212381</v>
      </c>
      <c r="K6" s="97">
        <v>2.4778159931212378</v>
      </c>
      <c r="L6" s="97">
        <v>2.2372312983662939</v>
      </c>
      <c r="M6" s="97">
        <v>2.4696474634565782</v>
      </c>
      <c r="N6" s="97">
        <v>3.2460877042132421</v>
      </c>
      <c r="O6" s="97">
        <v>3.8145313843508171</v>
      </c>
      <c r="P6" s="97">
        <v>4.5621668099742054</v>
      </c>
      <c r="Q6" s="97">
        <v>5.4413585554600168</v>
      </c>
      <c r="R6" s="97">
        <v>6.1075666380051592</v>
      </c>
      <c r="S6" s="97">
        <v>7.3203783319002573</v>
      </c>
      <c r="T6" s="97">
        <v>8.8233018056749781</v>
      </c>
      <c r="U6" s="97">
        <v>10.50885640584695</v>
      </c>
      <c r="V6" s="97">
        <v>10.10679277730009</v>
      </c>
      <c r="W6" s="97">
        <v>10.43276010318143</v>
      </c>
      <c r="X6" s="97">
        <v>11.160877042132411</v>
      </c>
      <c r="Y6" s="97">
        <v>8.302751504729148</v>
      </c>
      <c r="DA6" s="175" t="s">
        <v>630</v>
      </c>
    </row>
    <row r="7" spans="1:105" ht="11.45" customHeight="1" x14ac:dyDescent="0.25">
      <c r="A7" s="128" t="s">
        <v>53</v>
      </c>
      <c r="B7" s="97">
        <v>293.20722269991398</v>
      </c>
      <c r="C7" s="97">
        <v>349.95700773860699</v>
      </c>
      <c r="D7" s="97">
        <v>321.58211521926052</v>
      </c>
      <c r="E7" s="97">
        <v>307.92012037833189</v>
      </c>
      <c r="F7" s="97">
        <v>296.36001719690461</v>
      </c>
      <c r="G7" s="97">
        <v>302.66552020636283</v>
      </c>
      <c r="H7" s="97">
        <v>322.63301805674979</v>
      </c>
      <c r="I7" s="97">
        <v>338.39690455717971</v>
      </c>
      <c r="J7" s="97">
        <v>336.29501289767842</v>
      </c>
      <c r="K7" s="97">
        <v>306.86921754084261</v>
      </c>
      <c r="L7" s="97">
        <v>289.0035253654342</v>
      </c>
      <c r="M7" s="97">
        <v>267.98512467755802</v>
      </c>
      <c r="N7" s="97">
        <v>256.42493551160788</v>
      </c>
      <c r="O7" s="97">
        <v>240.66113499570079</v>
      </c>
      <c r="P7" s="97">
        <v>241.71203783319001</v>
      </c>
      <c r="Q7" s="97">
        <v>240.66113499570079</v>
      </c>
      <c r="R7" s="97">
        <v>254.32312983662939</v>
      </c>
      <c r="S7" s="97">
        <v>266.934135855546</v>
      </c>
      <c r="T7" s="97">
        <v>272.1888220120378</v>
      </c>
      <c r="U7" s="97">
        <v>273.23972484952702</v>
      </c>
      <c r="V7" s="97">
        <v>214.38804815133281</v>
      </c>
      <c r="W7" s="97">
        <v>199.67515047291491</v>
      </c>
      <c r="X7" s="97">
        <v>211.23533963886501</v>
      </c>
      <c r="Y7" s="97">
        <v>209.55382631126389</v>
      </c>
      <c r="DA7" s="175" t="s">
        <v>631</v>
      </c>
    </row>
    <row r="8" spans="1:105" ht="11.45" customHeight="1" x14ac:dyDescent="0.25">
      <c r="A8" s="128" t="s">
        <v>54</v>
      </c>
      <c r="B8" s="97">
        <v>203.07394668959591</v>
      </c>
      <c r="C8" s="97">
        <v>254.60017196904559</v>
      </c>
      <c r="D8" s="97">
        <v>303.09544282029231</v>
      </c>
      <c r="E8" s="97">
        <v>298.04385210662082</v>
      </c>
      <c r="F8" s="97">
        <v>328.35339638865003</v>
      </c>
      <c r="G8" s="97">
        <v>351.59071367153911</v>
      </c>
      <c r="H8" s="97">
        <v>381.90025795356831</v>
      </c>
      <c r="I8" s="97">
        <v>409.17884780739462</v>
      </c>
      <c r="J8" s="97">
        <v>391.85391229578681</v>
      </c>
      <c r="K8" s="97">
        <v>349.89948409286319</v>
      </c>
      <c r="L8" s="97">
        <v>388.4006878761823</v>
      </c>
      <c r="M8" s="97">
        <v>426.63920894239038</v>
      </c>
      <c r="N8" s="97">
        <v>451.61220980223561</v>
      </c>
      <c r="O8" s="97">
        <v>453.63284608770419</v>
      </c>
      <c r="P8" s="97">
        <v>456.6638005159071</v>
      </c>
      <c r="Q8" s="97">
        <v>477.8804815133276</v>
      </c>
      <c r="R8" s="97">
        <v>484.95270851246772</v>
      </c>
      <c r="S8" s="97">
        <v>495.05588993981081</v>
      </c>
      <c r="T8" s="97">
        <v>500.20851246775578</v>
      </c>
      <c r="U8" s="97">
        <v>486.7510748065348</v>
      </c>
      <c r="V8" s="97">
        <v>481.76010318142733</v>
      </c>
      <c r="W8" s="97">
        <v>532.16895958727423</v>
      </c>
      <c r="X8" s="97">
        <v>550.88306104901119</v>
      </c>
      <c r="Y8" s="97">
        <v>551.50644883920893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4.2992261392949267E-2</v>
      </c>
      <c r="M9" s="97">
        <v>0.25795356835769562</v>
      </c>
      <c r="N9" s="97">
        <v>0.53740326741186584</v>
      </c>
      <c r="O9" s="97">
        <v>0.85984522785898532</v>
      </c>
      <c r="P9" s="97">
        <v>1.5692175408426481</v>
      </c>
      <c r="Q9" s="97">
        <v>2.773000859845228</v>
      </c>
      <c r="R9" s="97">
        <v>4.1272570937231299</v>
      </c>
      <c r="S9" s="97">
        <v>4.5523645743766119</v>
      </c>
      <c r="T9" s="97">
        <v>8.546213586884484</v>
      </c>
      <c r="U9" s="97">
        <v>11.660247370843871</v>
      </c>
      <c r="V9" s="97">
        <v>19.121694561396808</v>
      </c>
      <c r="W9" s="97">
        <v>22.729307532343377</v>
      </c>
      <c r="X9" s="97">
        <v>16.160005070832248</v>
      </c>
      <c r="Y9" s="97">
        <v>18.240120745432876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0.15528804815133279</v>
      </c>
      <c r="H10" s="97">
        <f t="shared" si="8"/>
        <v>1.120980223559759</v>
      </c>
      <c r="I10" s="97">
        <f t="shared" si="8"/>
        <v>0.51616509028374891</v>
      </c>
      <c r="J10" s="97">
        <f t="shared" si="8"/>
        <v>4.1562338779019772</v>
      </c>
      <c r="K10" s="97">
        <f t="shared" si="8"/>
        <v>1.7607910576096306</v>
      </c>
      <c r="L10" s="97">
        <f t="shared" si="8"/>
        <v>7.7386070507308684</v>
      </c>
      <c r="M10" s="97">
        <f t="shared" si="8"/>
        <v>4.4966466036113495</v>
      </c>
      <c r="N10" s="97">
        <f t="shared" si="8"/>
        <v>3.8406706792777299</v>
      </c>
      <c r="O10" s="97">
        <f t="shared" si="8"/>
        <v>3.2005159071367149</v>
      </c>
      <c r="P10" s="97">
        <f t="shared" si="8"/>
        <v>5.1208942390369732</v>
      </c>
      <c r="Q10" s="97">
        <f t="shared" si="8"/>
        <v>2.560447119518487</v>
      </c>
      <c r="R10" s="97">
        <f t="shared" si="8"/>
        <v>1.920292347377472</v>
      </c>
      <c r="S10" s="97">
        <f t="shared" si="8"/>
        <v>2.4713671539122961</v>
      </c>
      <c r="T10" s="97">
        <f t="shared" si="8"/>
        <v>18.71724299093151</v>
      </c>
      <c r="U10" s="97">
        <f t="shared" si="8"/>
        <v>29.981111184616147</v>
      </c>
      <c r="V10" s="97">
        <f t="shared" si="8"/>
        <v>42.236087037915311</v>
      </c>
      <c r="W10" s="97">
        <f t="shared" si="8"/>
        <v>50.809471487433065</v>
      </c>
      <c r="X10" s="97">
        <f t="shared" ref="X10:Y10" si="9">SUM(X11:X13)</f>
        <v>33.463812641979438</v>
      </c>
      <c r="Y10" s="97">
        <f t="shared" si="9"/>
        <v>30.799346150525842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1.2420925180166331</v>
      </c>
      <c r="U11" s="97">
        <v>2.5810252000933582</v>
      </c>
      <c r="V11" s="97">
        <v>3.3088299441921873</v>
      </c>
      <c r="W11" s="97">
        <v>5.142919466796779</v>
      </c>
      <c r="X11" s="97">
        <v>5.4404248517816773</v>
      </c>
      <c r="Y11" s="97">
        <v>8.4282369501819066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1.2802235597592431</v>
      </c>
      <c r="K12" s="97">
        <v>9.5356835769561471E-2</v>
      </c>
      <c r="L12" s="97">
        <v>4.4807394668959581</v>
      </c>
      <c r="M12" s="97">
        <v>3.8406706792777299</v>
      </c>
      <c r="N12" s="97">
        <v>3.8406706792777299</v>
      </c>
      <c r="O12" s="97">
        <v>3.2005159071367149</v>
      </c>
      <c r="P12" s="97">
        <v>5.1208942390369732</v>
      </c>
      <c r="Q12" s="97">
        <v>2.560447119518487</v>
      </c>
      <c r="R12" s="97">
        <v>1.920292347377472</v>
      </c>
      <c r="S12" s="97">
        <v>0.96018916595012893</v>
      </c>
      <c r="T12" s="97">
        <v>4.901117798796216</v>
      </c>
      <c r="U12" s="97">
        <v>7.3772141014617363</v>
      </c>
      <c r="V12" s="97">
        <v>6.1879621668099736</v>
      </c>
      <c r="W12" s="97">
        <v>4.2212381771281171</v>
      </c>
      <c r="X12" s="97">
        <v>2.029922613929493</v>
      </c>
      <c r="Y12" s="97">
        <v>2.2711951848667238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0.15528804815133279</v>
      </c>
      <c r="H13" s="97">
        <v>1.120980223559759</v>
      </c>
      <c r="I13" s="97">
        <v>0.51616509028374891</v>
      </c>
      <c r="J13" s="97">
        <v>2.8760103181427339</v>
      </c>
      <c r="K13" s="97">
        <v>1.6654342218400691</v>
      </c>
      <c r="L13" s="97">
        <v>3.2578675838349098</v>
      </c>
      <c r="M13" s="97">
        <v>0.65597592433361984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7">
        <v>1.511177987962167</v>
      </c>
      <c r="T13" s="97">
        <v>12.57403267411866</v>
      </c>
      <c r="U13" s="97">
        <v>20.02287188306105</v>
      </c>
      <c r="V13" s="97">
        <v>32.739294926913153</v>
      </c>
      <c r="W13" s="97">
        <v>41.445313843508167</v>
      </c>
      <c r="X13" s="97">
        <v>25.99346517626827</v>
      </c>
      <c r="Y13" s="97">
        <v>20.099914015477211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2.1841389759004408E-4</v>
      </c>
      <c r="J15" s="98">
        <v>4.2733620953811977E-4</v>
      </c>
      <c r="K15" s="98">
        <v>4.2847345859024734E-4</v>
      </c>
      <c r="L15" s="98">
        <v>1.6976527298625588</v>
      </c>
      <c r="M15" s="98">
        <v>1.7106845794801486</v>
      </c>
      <c r="N15" s="98">
        <v>1.7879598895365687</v>
      </c>
      <c r="O15" s="98">
        <v>1.7818883384985031</v>
      </c>
      <c r="P15" s="98">
        <v>1.8212671543770662</v>
      </c>
      <c r="Q15" s="98">
        <v>1.7724282360754935</v>
      </c>
      <c r="R15" s="98">
        <v>1.698107754046656</v>
      </c>
      <c r="S15" s="98">
        <v>1.6232196762653666</v>
      </c>
      <c r="T15" s="98">
        <v>1.5546929836946319</v>
      </c>
      <c r="U15" s="98">
        <v>1.5093784344844767</v>
      </c>
      <c r="V15" s="98">
        <v>1.4163699149625926</v>
      </c>
      <c r="W15" s="98">
        <v>1.7094517115039665</v>
      </c>
      <c r="X15" s="98">
        <v>1.9513578187241134</v>
      </c>
      <c r="Y15" s="98">
        <v>2.1490518921685653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497.04187446259675</v>
      </c>
      <c r="C17" s="79">
        <f t="shared" si="10"/>
        <v>605.42656921754087</v>
      </c>
      <c r="D17" s="79">
        <f t="shared" si="10"/>
        <v>625.6556319862425</v>
      </c>
      <c r="E17" s="79">
        <f t="shared" si="10"/>
        <v>607.05073086844368</v>
      </c>
      <c r="F17" s="79">
        <f t="shared" si="10"/>
        <v>625.96319862424775</v>
      </c>
      <c r="G17" s="79">
        <f t="shared" si="10"/>
        <v>655.89707652622519</v>
      </c>
      <c r="H17" s="79">
        <f t="shared" si="10"/>
        <v>707.62562338779014</v>
      </c>
      <c r="I17" s="79">
        <f t="shared" si="10"/>
        <v>749.77880826772378</v>
      </c>
      <c r="J17" s="79">
        <f t="shared" si="10"/>
        <v>734.68340240069801</v>
      </c>
      <c r="K17" s="79">
        <f t="shared" si="10"/>
        <v>661.00773715789524</v>
      </c>
      <c r="L17" s="79">
        <f t="shared" ref="L17" si="11">L18+L42</f>
        <v>689.12069658196913</v>
      </c>
      <c r="M17" s="79">
        <f t="shared" ref="M17:V17" si="12">M18+M42</f>
        <v>703.55926583485416</v>
      </c>
      <c r="N17" s="79">
        <f t="shared" si="12"/>
        <v>717.44926685428277</v>
      </c>
      <c r="O17" s="79">
        <f t="shared" si="12"/>
        <v>703.95076194124988</v>
      </c>
      <c r="P17" s="79">
        <f t="shared" si="12"/>
        <v>711.44938409332792</v>
      </c>
      <c r="Q17" s="79">
        <f t="shared" si="12"/>
        <v>731.08885127992767</v>
      </c>
      <c r="R17" s="79">
        <f t="shared" si="12"/>
        <v>753.12906218224953</v>
      </c>
      <c r="S17" s="79">
        <f t="shared" si="12"/>
        <v>777.95735553181134</v>
      </c>
      <c r="T17" s="79">
        <f t="shared" si="12"/>
        <v>810.03878584697918</v>
      </c>
      <c r="U17" s="79">
        <f t="shared" si="12"/>
        <v>813.65039305185326</v>
      </c>
      <c r="V17" s="79">
        <f t="shared" si="12"/>
        <v>769.0290956243349</v>
      </c>
      <c r="W17" s="79">
        <f t="shared" ref="W17:Y17" si="13">W18+W42</f>
        <v>817.52510089465102</v>
      </c>
      <c r="X17" s="79">
        <f t="shared" si="13"/>
        <v>824.85445326154445</v>
      </c>
      <c r="Y17" s="79">
        <f t="shared" si="13"/>
        <v>820.55154544332925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364.06583233083745</v>
      </c>
      <c r="C18" s="32">
        <f t="shared" si="14"/>
        <v>451.58601193990648</v>
      </c>
      <c r="D18" s="32">
        <f t="shared" si="14"/>
        <v>446.16547485900691</v>
      </c>
      <c r="E18" s="32">
        <f t="shared" si="14"/>
        <v>432.54140686527785</v>
      </c>
      <c r="F18" s="32">
        <f t="shared" si="14"/>
        <v>442.83272053951868</v>
      </c>
      <c r="G18" s="32">
        <f t="shared" si="14"/>
        <v>474.34514357626813</v>
      </c>
      <c r="H18" s="32">
        <f t="shared" si="14"/>
        <v>524.01231059134432</v>
      </c>
      <c r="I18" s="32">
        <f t="shared" si="14"/>
        <v>554.70605162010224</v>
      </c>
      <c r="J18" s="32">
        <f t="shared" si="14"/>
        <v>541.20219834944203</v>
      </c>
      <c r="K18" s="32">
        <f t="shared" si="14"/>
        <v>511.6924519081565</v>
      </c>
      <c r="L18" s="32">
        <f t="shared" ref="L18" si="15">L19+L21+L33</f>
        <v>521.82442609731459</v>
      </c>
      <c r="M18" s="32">
        <f t="shared" ref="M18:V18" si="16">M19+M21+M33</f>
        <v>519.56579215433976</v>
      </c>
      <c r="N18" s="32">
        <f t="shared" si="16"/>
        <v>533.35607482160287</v>
      </c>
      <c r="O18" s="32">
        <f t="shared" si="16"/>
        <v>526.37321470340009</v>
      </c>
      <c r="P18" s="32">
        <f t="shared" si="16"/>
        <v>538.80844912282464</v>
      </c>
      <c r="Q18" s="32">
        <f t="shared" si="16"/>
        <v>562.07448532644912</v>
      </c>
      <c r="R18" s="32">
        <f t="shared" si="16"/>
        <v>585.89391023977794</v>
      </c>
      <c r="S18" s="32">
        <f t="shared" si="16"/>
        <v>616.1763124488316</v>
      </c>
      <c r="T18" s="32">
        <f t="shared" si="16"/>
        <v>638.95921496328299</v>
      </c>
      <c r="U18" s="32">
        <f t="shared" si="16"/>
        <v>639.35547233340878</v>
      </c>
      <c r="V18" s="32">
        <f t="shared" si="16"/>
        <v>602.26373049006042</v>
      </c>
      <c r="W18" s="32">
        <f t="shared" ref="W18:Y18" si="17">W19+W21+W33</f>
        <v>618.61555704163641</v>
      </c>
      <c r="X18" s="32">
        <f t="shared" si="17"/>
        <v>609.83530949249177</v>
      </c>
      <c r="Y18" s="32">
        <f t="shared" si="17"/>
        <v>600.08432689521317</v>
      </c>
      <c r="DA18" s="173" t="s">
        <v>391</v>
      </c>
    </row>
    <row r="19" spans="1:105" ht="11.45" customHeight="1" x14ac:dyDescent="0.25">
      <c r="A19" s="107" t="s">
        <v>174</v>
      </c>
      <c r="B19" s="129">
        <v>0.43276968303612501</v>
      </c>
      <c r="C19" s="129">
        <v>0.43736798950814332</v>
      </c>
      <c r="D19" s="129">
        <v>0.46304067864827997</v>
      </c>
      <c r="E19" s="129">
        <v>0.50462526040590172</v>
      </c>
      <c r="F19" s="129">
        <v>0.55896771947749668</v>
      </c>
      <c r="G19" s="129">
        <v>0.61856081489096881</v>
      </c>
      <c r="H19" s="129">
        <v>0.74685423052835542</v>
      </c>
      <c r="I19" s="129">
        <v>0.86468772940291316</v>
      </c>
      <c r="J19" s="129">
        <v>1.0109936460458391</v>
      </c>
      <c r="K19" s="129">
        <v>1.0497370258691066</v>
      </c>
      <c r="L19" s="129">
        <v>1.095912516823393</v>
      </c>
      <c r="M19" s="129">
        <v>1.25570900622341</v>
      </c>
      <c r="N19" s="129">
        <v>1.8128607667482051</v>
      </c>
      <c r="O19" s="129">
        <v>1.9558976965156001</v>
      </c>
      <c r="P19" s="129">
        <v>2.0983771645834386</v>
      </c>
      <c r="Q19" s="129">
        <v>2.2238351836261687</v>
      </c>
      <c r="R19" s="129">
        <v>2.3847457740363653</v>
      </c>
      <c r="S19" s="129">
        <v>2.2479645585311396</v>
      </c>
      <c r="T19" s="129">
        <v>2.1483940989374513</v>
      </c>
      <c r="U19" s="129">
        <v>2.2848506729612121</v>
      </c>
      <c r="V19" s="129">
        <v>2.0469922487485945</v>
      </c>
      <c r="W19" s="129">
        <v>2.1268812693909682</v>
      </c>
      <c r="X19" s="129">
        <v>2.1589655850024991</v>
      </c>
      <c r="Y19" s="129">
        <v>2.3396076104734282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3.8341019857301311E-3</v>
      </c>
      <c r="K20" s="97">
        <v>3.2609496187080195E-4</v>
      </c>
      <c r="L20" s="97">
        <v>1.6731726551681616E-2</v>
      </c>
      <c r="M20" s="97">
        <v>1.7742115885566366E-2</v>
      </c>
      <c r="N20" s="97">
        <v>2.6751906617104918E-2</v>
      </c>
      <c r="O20" s="97">
        <v>2.5669807726038805E-2</v>
      </c>
      <c r="P20" s="97">
        <v>4.3533767732004888E-2</v>
      </c>
      <c r="Q20" s="97">
        <v>2.3410802366634197E-2</v>
      </c>
      <c r="R20" s="97">
        <v>1.7871323374046854E-2</v>
      </c>
      <c r="S20" s="97">
        <v>8.0571740904487876E-3</v>
      </c>
      <c r="T20" s="97">
        <v>3.8000414465857141E-2</v>
      </c>
      <c r="U20" s="97">
        <v>6.0067053212520975E-2</v>
      </c>
      <c r="V20" s="97">
        <v>5.7425603866621905E-2</v>
      </c>
      <c r="W20" s="97">
        <v>4.403252294959159E-2</v>
      </c>
      <c r="X20" s="97">
        <v>2.0549680793758355E-2</v>
      </c>
      <c r="Y20" s="97">
        <v>2.5085353476439313E-2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278.90292170477659</v>
      </c>
      <c r="C21" s="130">
        <f t="shared" si="18"/>
        <v>350.56493762452044</v>
      </c>
      <c r="D21" s="130">
        <f t="shared" si="18"/>
        <v>334.77784113362577</v>
      </c>
      <c r="E21" s="130">
        <f t="shared" si="18"/>
        <v>333.77426069877026</v>
      </c>
      <c r="F21" s="130">
        <f t="shared" si="18"/>
        <v>340.67353946186381</v>
      </c>
      <c r="G21" s="130">
        <f t="shared" si="18"/>
        <v>367.11677679474985</v>
      </c>
      <c r="H21" s="130">
        <f t="shared" si="18"/>
        <v>414.45821262040135</v>
      </c>
      <c r="I21" s="130">
        <f t="shared" si="18"/>
        <v>460.55122212865973</v>
      </c>
      <c r="J21" s="130">
        <f t="shared" si="18"/>
        <v>455.0497729627628</v>
      </c>
      <c r="K21" s="130">
        <f t="shared" si="18"/>
        <v>436.43610284517348</v>
      </c>
      <c r="L21" s="130">
        <f t="shared" ref="L21" si="19">L22+L24+L26+L27+L29+L32</f>
        <v>439.74279437094879</v>
      </c>
      <c r="M21" s="130">
        <f t="shared" ref="M21:V21" si="20">M22+M24+M26+M27+M29+M32</f>
        <v>438.20185204807945</v>
      </c>
      <c r="N21" s="130">
        <f t="shared" si="20"/>
        <v>450.30606141693266</v>
      </c>
      <c r="O21" s="130">
        <f t="shared" si="20"/>
        <v>443.6974337278225</v>
      </c>
      <c r="P21" s="130">
        <f t="shared" si="20"/>
        <v>452.74452948599298</v>
      </c>
      <c r="Q21" s="130">
        <f t="shared" si="20"/>
        <v>474.57249309441778</v>
      </c>
      <c r="R21" s="130">
        <f t="shared" si="20"/>
        <v>488.67498741860925</v>
      </c>
      <c r="S21" s="130">
        <f t="shared" si="20"/>
        <v>506.88414323944545</v>
      </c>
      <c r="T21" s="130">
        <f t="shared" si="20"/>
        <v>528.25259042772382</v>
      </c>
      <c r="U21" s="130">
        <f t="shared" si="20"/>
        <v>535.24487967315497</v>
      </c>
      <c r="V21" s="130">
        <f t="shared" si="20"/>
        <v>501.90433656514045</v>
      </c>
      <c r="W21" s="130">
        <f t="shared" ref="W21:Y21" si="21">W22+W24+W26+W27+W29+W32</f>
        <v>509.55361511449826</v>
      </c>
      <c r="X21" s="130">
        <f t="shared" si="21"/>
        <v>509.48126174469479</v>
      </c>
      <c r="Y21" s="130">
        <f t="shared" si="21"/>
        <v>521.03864374550267</v>
      </c>
      <c r="DA21" s="176" t="s">
        <v>393</v>
      </c>
    </row>
    <row r="22" spans="1:105" ht="11.45" customHeight="1" x14ac:dyDescent="0.25">
      <c r="A22" s="111" t="s">
        <v>110</v>
      </c>
      <c r="B22" s="96">
        <v>259.87944299615509</v>
      </c>
      <c r="C22" s="96">
        <v>315.78132655732281</v>
      </c>
      <c r="D22" s="96">
        <v>289.49382525603579</v>
      </c>
      <c r="E22" s="96">
        <v>279.08513867785263</v>
      </c>
      <c r="F22" s="96">
        <v>267.76856448483352</v>
      </c>
      <c r="G22" s="96">
        <v>277.73248215823338</v>
      </c>
      <c r="H22" s="96">
        <v>297.80399851756852</v>
      </c>
      <c r="I22" s="96">
        <v>318.74702334755165</v>
      </c>
      <c r="J22" s="96">
        <v>319.14672541059667</v>
      </c>
      <c r="K22" s="96">
        <v>290.8111346222986</v>
      </c>
      <c r="L22" s="96">
        <v>279.02440171310565</v>
      </c>
      <c r="M22" s="96">
        <v>256.75815421594768</v>
      </c>
      <c r="N22" s="96">
        <v>245.35655271629679</v>
      </c>
      <c r="O22" s="96">
        <v>230.08982820068866</v>
      </c>
      <c r="P22" s="96">
        <v>233.23258847346034</v>
      </c>
      <c r="Q22" s="96">
        <v>229.84257881783662</v>
      </c>
      <c r="R22" s="96">
        <v>243.15291828125402</v>
      </c>
      <c r="S22" s="96">
        <v>254.87351996123979</v>
      </c>
      <c r="T22" s="96">
        <v>263.01317093378083</v>
      </c>
      <c r="U22" s="96">
        <v>266.91382744961436</v>
      </c>
      <c r="V22" s="96">
        <v>208.30299613278657</v>
      </c>
      <c r="W22" s="96">
        <v>192.36351689704586</v>
      </c>
      <c r="X22" s="96">
        <v>202.45345305843807</v>
      </c>
      <c r="Y22" s="96">
        <v>201.94042632501416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1.2103350979720768</v>
      </c>
      <c r="K23" s="96">
        <v>9.0338859656540205E-2</v>
      </c>
      <c r="L23" s="96">
        <v>4.2599750610044262</v>
      </c>
      <c r="M23" s="96">
        <v>3.6277775376988752</v>
      </c>
      <c r="N23" s="96">
        <v>3.6206617223752935</v>
      </c>
      <c r="O23" s="96">
        <v>3.0197702365267203</v>
      </c>
      <c r="P23" s="96">
        <v>4.838736098309349</v>
      </c>
      <c r="Q23" s="96">
        <v>2.4196034075547028</v>
      </c>
      <c r="R23" s="96">
        <v>1.8221918995551665</v>
      </c>
      <c r="S23" s="96">
        <v>0.91351988338953871</v>
      </c>
      <c r="T23" s="96">
        <v>4.6521304030792665</v>
      </c>
      <c r="U23" s="96">
        <v>7.0169693215858588</v>
      </c>
      <c r="V23" s="96">
        <v>5.8436593238028438</v>
      </c>
      <c r="W23" s="96">
        <v>3.9824747597964301</v>
      </c>
      <c r="X23" s="96">
        <v>1.9270125771551969</v>
      </c>
      <c r="Y23" s="96">
        <v>2.165212214590444</v>
      </c>
      <c r="DA23" s="171" t="s">
        <v>642</v>
      </c>
    </row>
    <row r="24" spans="1:105" ht="11.45" customHeight="1" x14ac:dyDescent="0.25">
      <c r="A24" s="111" t="s">
        <v>111</v>
      </c>
      <c r="B24" s="96">
        <v>18.262773635534661</v>
      </c>
      <c r="C24" s="96">
        <v>33.914221557309403</v>
      </c>
      <c r="D24" s="96">
        <v>44.305941930900389</v>
      </c>
      <c r="E24" s="96">
        <v>53.602363637426635</v>
      </c>
      <c r="F24" s="96">
        <v>71.655189938337216</v>
      </c>
      <c r="G24" s="96">
        <v>87.898740036344535</v>
      </c>
      <c r="H24" s="96">
        <v>114.68284694892057</v>
      </c>
      <c r="I24" s="96">
        <v>140.11752638213989</v>
      </c>
      <c r="J24" s="96">
        <v>133.52502282676832</v>
      </c>
      <c r="K24" s="96">
        <v>143.14694257269574</v>
      </c>
      <c r="L24" s="96">
        <v>158.47755337792222</v>
      </c>
      <c r="M24" s="96">
        <v>178.95126716741697</v>
      </c>
      <c r="N24" s="96">
        <v>201.56381738133345</v>
      </c>
      <c r="O24" s="96">
        <v>209.48135074929198</v>
      </c>
      <c r="P24" s="96">
        <v>214.39357918019934</v>
      </c>
      <c r="Q24" s="96">
        <v>238.54226531772656</v>
      </c>
      <c r="R24" s="96">
        <v>238.13885574272817</v>
      </c>
      <c r="S24" s="96">
        <v>242.84123771205461</v>
      </c>
      <c r="T24" s="96">
        <v>253.03740088448325</v>
      </c>
      <c r="U24" s="96">
        <v>248.87231578529278</v>
      </c>
      <c r="V24" s="96">
        <v>269.16980444657048</v>
      </c>
      <c r="W24" s="96">
        <v>287.83028829015734</v>
      </c>
      <c r="X24" s="96">
        <v>278.45914223672708</v>
      </c>
      <c r="Y24" s="96">
        <v>292.44440162560369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3.8805341662654806E-2</v>
      </c>
      <c r="H25" s="96">
        <v>0.33563988259005989</v>
      </c>
      <c r="I25" s="96">
        <v>0.17653076893429437</v>
      </c>
      <c r="J25" s="96">
        <v>0.97286605696630857</v>
      </c>
      <c r="K25" s="96">
        <v>0.67811605906291617</v>
      </c>
      <c r="L25" s="96">
        <v>1.3182372163656364</v>
      </c>
      <c r="M25" s="96">
        <v>0.2747227842678191</v>
      </c>
      <c r="N25" s="96">
        <v>0</v>
      </c>
      <c r="O25" s="96">
        <v>0</v>
      </c>
      <c r="P25" s="96">
        <v>0</v>
      </c>
      <c r="Q25" s="96">
        <v>0</v>
      </c>
      <c r="R25" s="96">
        <v>0</v>
      </c>
      <c r="S25" s="96">
        <v>0.7390267230796761</v>
      </c>
      <c r="T25" s="96">
        <v>6.2047754484608184</v>
      </c>
      <c r="U25" s="96">
        <v>9.8330597434241245</v>
      </c>
      <c r="V25" s="96">
        <v>17.128163114663423</v>
      </c>
      <c r="W25" s="96">
        <v>20.796582624251055</v>
      </c>
      <c r="X25" s="96">
        <v>12.547083626552867</v>
      </c>
      <c r="Y25" s="96">
        <v>10.28348826914065</v>
      </c>
      <c r="DA25" s="171" t="s">
        <v>644</v>
      </c>
    </row>
    <row r="26" spans="1:105" ht="11.45" customHeight="1" x14ac:dyDescent="0.25">
      <c r="A26" s="111" t="s">
        <v>112</v>
      </c>
      <c r="B26" s="96">
        <v>0.76070507308684432</v>
      </c>
      <c r="C26" s="96">
        <v>0.86938950988822017</v>
      </c>
      <c r="D26" s="96">
        <v>0.9780739466895958</v>
      </c>
      <c r="E26" s="96">
        <v>1.086758383490972</v>
      </c>
      <c r="F26" s="96">
        <v>1.2497850386930349</v>
      </c>
      <c r="G26" s="96">
        <v>1.4855546001719691</v>
      </c>
      <c r="H26" s="96">
        <v>1.9713671539122961</v>
      </c>
      <c r="I26" s="96">
        <v>1.686672398968186</v>
      </c>
      <c r="J26" s="96">
        <v>2.3778159931212381</v>
      </c>
      <c r="K26" s="96">
        <v>2.4778159931212378</v>
      </c>
      <c r="L26" s="96">
        <v>2.2372312983662939</v>
      </c>
      <c r="M26" s="96">
        <v>2.4696474634565782</v>
      </c>
      <c r="N26" s="96">
        <v>3.2460877042132421</v>
      </c>
      <c r="O26" s="96">
        <v>3.8145313843508171</v>
      </c>
      <c r="P26" s="96">
        <v>4.5621668099742054</v>
      </c>
      <c r="Q26" s="96">
        <v>5.4413585554600168</v>
      </c>
      <c r="R26" s="96">
        <v>6.1069296844428846</v>
      </c>
      <c r="S26" s="96">
        <v>7.3127937831038681</v>
      </c>
      <c r="T26" s="96">
        <v>8.8022415645174643</v>
      </c>
      <c r="U26" s="96">
        <v>10.485433460443202</v>
      </c>
      <c r="V26" s="96">
        <v>10.084656061951231</v>
      </c>
      <c r="W26" s="96">
        <v>10.410018416664736</v>
      </c>
      <c r="X26" s="96">
        <v>11.138363596376943</v>
      </c>
      <c r="Y26" s="96">
        <v>8.2761141086459808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3.1894754709774127E-3</v>
      </c>
      <c r="M27" s="96">
        <v>1.1019099676980899E-2</v>
      </c>
      <c r="N27" s="96">
        <v>2.1642078634581109E-2</v>
      </c>
      <c r="O27" s="96">
        <v>0.17126816462390973</v>
      </c>
      <c r="P27" s="96">
        <v>0.32998554632862875</v>
      </c>
      <c r="Q27" s="96">
        <v>0.50665820332928613</v>
      </c>
      <c r="R27" s="96">
        <v>1.0242264934650034</v>
      </c>
      <c r="S27" s="96">
        <v>1.5943736857504183</v>
      </c>
      <c r="T27" s="96">
        <v>3.0923944818618314</v>
      </c>
      <c r="U27" s="96">
        <v>8.5984214120820717</v>
      </c>
      <c r="V27" s="96">
        <v>13.903529161835671</v>
      </c>
      <c r="W27" s="96">
        <v>18.210637668443329</v>
      </c>
      <c r="X27" s="96">
        <v>16.379324388640477</v>
      </c>
      <c r="Y27" s="96">
        <v>16.735742431346502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0.3924111084708774</v>
      </c>
      <c r="U28" s="96">
        <v>1.5583398348049193</v>
      </c>
      <c r="V28" s="96">
        <v>2.0509736011375166</v>
      </c>
      <c r="W28" s="96">
        <v>3.3601851395193201</v>
      </c>
      <c r="X28" s="96">
        <v>4.1254032340375701</v>
      </c>
      <c r="Y28" s="96">
        <v>5.2891446994426587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6.8133647903262191E-3</v>
      </c>
      <c r="Q29" s="96">
        <v>1.3311217439002326E-2</v>
      </c>
      <c r="R29" s="96">
        <v>1.7939502327226645E-2</v>
      </c>
      <c r="S29" s="96">
        <v>2.3229615408506515E-2</v>
      </c>
      <c r="T29" s="96">
        <v>3.8714220519310207E-2</v>
      </c>
      <c r="U29" s="96">
        <v>4.656002750556297E-2</v>
      </c>
      <c r="V29" s="96">
        <v>7.9545636695712435E-2</v>
      </c>
      <c r="W29" s="96">
        <v>0.2111186224831986</v>
      </c>
      <c r="X29" s="96">
        <v>0.32111470286696797</v>
      </c>
      <c r="Y29" s="96">
        <v>0.55749639765471715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9.3716154910462125E-5</v>
      </c>
      <c r="Q30" s="96">
        <v>9.5340939489975513E-5</v>
      </c>
      <c r="R30" s="96">
        <v>8.9442256318736528E-5</v>
      </c>
      <c r="S30" s="96">
        <v>5.4153329637737274E-5</v>
      </c>
      <c r="T30" s="96">
        <v>4.3548312159984973E-4</v>
      </c>
      <c r="U30" s="96">
        <v>7.7964737763184405E-4</v>
      </c>
      <c r="V30" s="96">
        <v>1.3618847275149574E-3</v>
      </c>
      <c r="W30" s="96">
        <v>2.2867318553433588E-3</v>
      </c>
      <c r="X30" s="96">
        <v>1.5168849642689789E-3</v>
      </c>
      <c r="Y30" s="96">
        <v>2.7085370365170407E-3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2.2961394348901334E-3</v>
      </c>
      <c r="Q31" s="96">
        <v>4.2546062064047502E-3</v>
      </c>
      <c r="R31" s="96">
        <v>6.0043457463693391E-3</v>
      </c>
      <c r="S31" s="96">
        <v>8.1207491502491257E-3</v>
      </c>
      <c r="T31" s="96">
        <v>1.4093716196322046E-2</v>
      </c>
      <c r="U31" s="96">
        <v>1.6903539627725228E-2</v>
      </c>
      <c r="V31" s="96">
        <v>3.0999913303980314E-2</v>
      </c>
      <c r="W31" s="96">
        <v>0.10066373992247635</v>
      </c>
      <c r="X31" s="96">
        <v>0.16174957855519903</v>
      </c>
      <c r="Y31" s="96">
        <v>0.30488230274725736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2.087322764973382E-4</v>
      </c>
      <c r="K32" s="96">
        <v>2.0965705792394716E-4</v>
      </c>
      <c r="L32" s="96">
        <v>4.1850608361856652E-4</v>
      </c>
      <c r="M32" s="96">
        <v>1.1764101581275846E-2</v>
      </c>
      <c r="N32" s="96">
        <v>0.11796153645465673</v>
      </c>
      <c r="O32" s="96">
        <v>0.14045522886717052</v>
      </c>
      <c r="P32" s="96">
        <v>0.21939611124018213</v>
      </c>
      <c r="Q32" s="96">
        <v>0.22632098262629305</v>
      </c>
      <c r="R32" s="96">
        <v>0.234117714391992</v>
      </c>
      <c r="S32" s="96">
        <v>0.23898848188818847</v>
      </c>
      <c r="T32" s="96">
        <v>0.26866834256120398</v>
      </c>
      <c r="U32" s="96">
        <v>0.32832153821695642</v>
      </c>
      <c r="V32" s="96">
        <v>0.36380512530083747</v>
      </c>
      <c r="W32" s="96">
        <v>0.52803521970380018</v>
      </c>
      <c r="X32" s="96">
        <v>0.72986376164520284</v>
      </c>
      <c r="Y32" s="96">
        <v>1.0844628572376496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84.730140943024793</v>
      </c>
      <c r="C33" s="130">
        <f t="shared" si="22"/>
        <v>100.5837063258779</v>
      </c>
      <c r="D33" s="130">
        <f t="shared" si="22"/>
        <v>110.92459304673287</v>
      </c>
      <c r="E33" s="130">
        <f t="shared" si="22"/>
        <v>98.262520906101742</v>
      </c>
      <c r="F33" s="130">
        <f t="shared" si="22"/>
        <v>101.60021335817737</v>
      </c>
      <c r="G33" s="130">
        <f t="shared" si="22"/>
        <v>106.60980596662731</v>
      </c>
      <c r="H33" s="130">
        <f t="shared" si="22"/>
        <v>108.80724374041458</v>
      </c>
      <c r="I33" s="130">
        <f t="shared" si="22"/>
        <v>93.290141762039568</v>
      </c>
      <c r="J33" s="130">
        <f t="shared" si="22"/>
        <v>85.141431740633365</v>
      </c>
      <c r="K33" s="130">
        <f t="shared" si="22"/>
        <v>74.206612037113899</v>
      </c>
      <c r="L33" s="130">
        <f t="shared" ref="L33" si="23">L34+L36+L38+L39+L41</f>
        <v>80.985719209542381</v>
      </c>
      <c r="M33" s="130">
        <f t="shared" ref="M33:V33" si="24">M34+M36+M38+M39+M41</f>
        <v>80.108231100036946</v>
      </c>
      <c r="N33" s="130">
        <f t="shared" si="24"/>
        <v>81.237152637922023</v>
      </c>
      <c r="O33" s="130">
        <f t="shared" si="24"/>
        <v>80.719883279062003</v>
      </c>
      <c r="P33" s="130">
        <f t="shared" si="24"/>
        <v>83.965542472248259</v>
      </c>
      <c r="Q33" s="130">
        <f t="shared" si="24"/>
        <v>85.278157048405177</v>
      </c>
      <c r="R33" s="130">
        <f t="shared" si="24"/>
        <v>94.834177047132314</v>
      </c>
      <c r="S33" s="130">
        <f t="shared" si="24"/>
        <v>107.04420465085508</v>
      </c>
      <c r="T33" s="130">
        <f t="shared" si="24"/>
        <v>108.55823043662166</v>
      </c>
      <c r="U33" s="130">
        <f t="shared" si="24"/>
        <v>101.82574198729263</v>
      </c>
      <c r="V33" s="130">
        <f t="shared" si="24"/>
        <v>98.312401676171348</v>
      </c>
      <c r="W33" s="130">
        <f t="shared" ref="W33:Y33" si="25">W34+W36+W38+W39+W41</f>
        <v>106.93506065774713</v>
      </c>
      <c r="X33" s="130">
        <f t="shared" si="25"/>
        <v>98.195082162794506</v>
      </c>
      <c r="Y33" s="130">
        <f t="shared" si="25"/>
        <v>76.706075539237105</v>
      </c>
      <c r="DA33" s="176" t="s">
        <v>394</v>
      </c>
    </row>
    <row r="34" spans="1:105" ht="11.45" customHeight="1" x14ac:dyDescent="0.25">
      <c r="A34" s="111" t="s">
        <v>110</v>
      </c>
      <c r="B34" s="97">
        <v>10.96039248596302</v>
      </c>
      <c r="C34" s="97">
        <v>9.5738016520635316</v>
      </c>
      <c r="D34" s="97">
        <v>8.2128030918927646</v>
      </c>
      <c r="E34" s="97">
        <v>6.9109256087319793</v>
      </c>
      <c r="F34" s="97">
        <v>6.1510455601359233</v>
      </c>
      <c r="G34" s="97">
        <v>5.0452977722232362</v>
      </c>
      <c r="H34" s="97">
        <v>5.1195621940866456</v>
      </c>
      <c r="I34" s="97">
        <v>2.8408797299125954</v>
      </c>
      <c r="J34" s="97">
        <v>2.0011186902367979</v>
      </c>
      <c r="K34" s="97">
        <v>1.3662086376141469</v>
      </c>
      <c r="L34" s="97">
        <v>1.0539865882832877</v>
      </c>
      <c r="M34" s="97">
        <v>0.94051519362615399</v>
      </c>
      <c r="N34" s="97">
        <v>0.89377387557687571</v>
      </c>
      <c r="O34" s="97">
        <v>0.85199818120958581</v>
      </c>
      <c r="P34" s="97">
        <v>0.866255467607283</v>
      </c>
      <c r="Q34" s="97">
        <v>0.8724697796035692</v>
      </c>
      <c r="R34" s="97">
        <v>0.97543410024065824</v>
      </c>
      <c r="S34" s="97">
        <v>1.0801714205902824</v>
      </c>
      <c r="T34" s="97">
        <v>1.0377796766670209</v>
      </c>
      <c r="U34" s="97">
        <v>0.93737708974406297</v>
      </c>
      <c r="V34" s="97">
        <v>0.86382784972154358</v>
      </c>
      <c r="W34" s="97">
        <v>0.88458614979859329</v>
      </c>
      <c r="X34" s="97">
        <v>0.93020188212185539</v>
      </c>
      <c r="Y34" s="97">
        <v>0.6624117628377999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7.589061685923504E-3</v>
      </c>
      <c r="K35" s="97">
        <v>4.2440510586114866E-4</v>
      </c>
      <c r="L35" s="97">
        <v>1.6091626944286192E-2</v>
      </c>
      <c r="M35" s="97">
        <v>1.3288691468126881E-2</v>
      </c>
      <c r="N35" s="97">
        <v>1.3189184572143979E-2</v>
      </c>
      <c r="O35" s="97">
        <v>1.1181888262124857E-2</v>
      </c>
      <c r="P35" s="97">
        <v>1.7971680668227748E-2</v>
      </c>
      <c r="Q35" s="97">
        <v>9.1846813700711613E-3</v>
      </c>
      <c r="R35" s="97">
        <v>7.3099189126427239E-3</v>
      </c>
      <c r="S35" s="97">
        <v>3.8715597851373884E-3</v>
      </c>
      <c r="T35" s="97">
        <v>1.8356063190219249E-2</v>
      </c>
      <c r="U35" s="97">
        <v>2.464295815747191E-2</v>
      </c>
      <c r="V35" s="97">
        <v>2.4233524058232817E-2</v>
      </c>
      <c r="W35" s="97">
        <v>1.8313462299214711E-2</v>
      </c>
      <c r="X35" s="97">
        <v>8.8539399998519373E-3</v>
      </c>
      <c r="Y35" s="97">
        <v>7.1024017631636177E-3</v>
      </c>
      <c r="DA35" s="175" t="s">
        <v>653</v>
      </c>
    </row>
    <row r="36" spans="1:105" ht="11.45" customHeight="1" x14ac:dyDescent="0.25">
      <c r="A36" s="111" t="s">
        <v>111</v>
      </c>
      <c r="B36" s="97">
        <v>73.769748457061766</v>
      </c>
      <c r="C36" s="97">
        <v>91.009904673814361</v>
      </c>
      <c r="D36" s="97">
        <v>102.7117899548401</v>
      </c>
      <c r="E36" s="97">
        <v>91.351595297369755</v>
      </c>
      <c r="F36" s="97">
        <v>95.449167798041444</v>
      </c>
      <c r="G36" s="97">
        <v>101.56450819440407</v>
      </c>
      <c r="H36" s="97">
        <v>103.68768154632794</v>
      </c>
      <c r="I36" s="97">
        <v>90.449262032126967</v>
      </c>
      <c r="J36" s="97">
        <v>83.140313050396571</v>
      </c>
      <c r="K36" s="97">
        <v>72.840403399499749</v>
      </c>
      <c r="L36" s="97">
        <v>78.194914634827313</v>
      </c>
      <c r="M36" s="97">
        <v>77.222080174233184</v>
      </c>
      <c r="N36" s="97">
        <v>78.158778595220738</v>
      </c>
      <c r="O36" s="97">
        <v>77.578495506153942</v>
      </c>
      <c r="P36" s="97">
        <v>80.315238961183283</v>
      </c>
      <c r="Q36" s="97">
        <v>80.672399789684476</v>
      </c>
      <c r="R36" s="97">
        <v>89.37486982387108</v>
      </c>
      <c r="S36" s="97">
        <v>101.7635051011997</v>
      </c>
      <c r="T36" s="97">
        <v>99.711113535189185</v>
      </c>
      <c r="U36" s="97">
        <v>94.280773422858715</v>
      </c>
      <c r="V36" s="97">
        <v>88.160924122027723</v>
      </c>
      <c r="W36" s="97">
        <v>95.574117213289028</v>
      </c>
      <c r="X36" s="97">
        <v>91.263347590951113</v>
      </c>
      <c r="Y36" s="97">
        <v>65.613967642521231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4.4838474813788241E-2</v>
      </c>
      <c r="H37" s="97">
        <v>0.30346056263972598</v>
      </c>
      <c r="I37" s="97">
        <v>0.11395489335519769</v>
      </c>
      <c r="J37" s="97">
        <v>0.60576202737086238</v>
      </c>
      <c r="K37" s="97">
        <v>0.34505974354804975</v>
      </c>
      <c r="L37" s="97">
        <v>0.65043562577186731</v>
      </c>
      <c r="M37" s="97">
        <v>0.11854995613174851</v>
      </c>
      <c r="N37" s="97">
        <v>0</v>
      </c>
      <c r="O37" s="97">
        <v>0</v>
      </c>
      <c r="P37" s="97">
        <v>0</v>
      </c>
      <c r="Q37" s="97">
        <v>0</v>
      </c>
      <c r="R37" s="97">
        <v>0</v>
      </c>
      <c r="S37" s="97">
        <v>0.30969183987283022</v>
      </c>
      <c r="T37" s="97">
        <v>2.4450340820733989</v>
      </c>
      <c r="U37" s="97">
        <v>3.7250767518995738</v>
      </c>
      <c r="V37" s="97">
        <v>5.6099705975797676</v>
      </c>
      <c r="W37" s="97">
        <v>6.9055103171155361</v>
      </c>
      <c r="X37" s="97">
        <v>4.1122329296315536</v>
      </c>
      <c r="Y37" s="97">
        <v>2.3072435744810891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1.1650435443786612E-2</v>
      </c>
      <c r="U38" s="97">
        <v>1.0583954933875419E-2</v>
      </c>
      <c r="V38" s="97">
        <v>1.0090071449009358E-2</v>
      </c>
      <c r="W38" s="97">
        <v>1.0536255877161187E-2</v>
      </c>
      <c r="X38" s="97">
        <v>1.0753182977815414E-2</v>
      </c>
      <c r="Y38" s="97">
        <v>7.5420844350430642E-3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3.9802785921971853E-2</v>
      </c>
      <c r="M39" s="97">
        <v>0.24693446868071472</v>
      </c>
      <c r="N39" s="97">
        <v>0.51493363463887798</v>
      </c>
      <c r="O39" s="97">
        <v>0.64874532295030052</v>
      </c>
      <c r="P39" s="97">
        <v>1.186421828221669</v>
      </c>
      <c r="Q39" s="97">
        <v>2.1936894301074799</v>
      </c>
      <c r="R39" s="97">
        <v>3.030117187303091</v>
      </c>
      <c r="S39" s="97">
        <v>2.8288824493832774</v>
      </c>
      <c r="T39" s="97">
        <v>6.5304806411576344</v>
      </c>
      <c r="U39" s="97">
        <v>5.4377008824280866</v>
      </c>
      <c r="V39" s="97">
        <v>8.2633605872357734</v>
      </c>
      <c r="W39" s="97">
        <v>9.3939873185044132</v>
      </c>
      <c r="X39" s="97">
        <v>4.9497836104436663</v>
      </c>
      <c r="Y39" s="97">
        <v>9.6974325816625431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0.82868895358440642</v>
      </c>
      <c r="U40" s="97">
        <v>0.98550483731055594</v>
      </c>
      <c r="V40" s="97">
        <v>1.218966366296538</v>
      </c>
      <c r="W40" s="97">
        <v>1.7333570171005288</v>
      </c>
      <c r="X40" s="97">
        <v>1.2466847123726419</v>
      </c>
      <c r="Y40" s="97">
        <v>3.0647653874878777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1.6970152005098018</v>
      </c>
      <c r="M41" s="97">
        <v>1.6987012634968903</v>
      </c>
      <c r="N41" s="97">
        <v>1.6696665324855311</v>
      </c>
      <c r="O41" s="97">
        <v>1.640644268748179</v>
      </c>
      <c r="P41" s="97">
        <v>1.5976262152360212</v>
      </c>
      <c r="Q41" s="97">
        <v>1.5395980490096535</v>
      </c>
      <c r="R41" s="97">
        <v>1.4537559357174867</v>
      </c>
      <c r="S41" s="97">
        <v>1.3716456796818406</v>
      </c>
      <c r="T41" s="97">
        <v>1.2672061481640318</v>
      </c>
      <c r="U41" s="97">
        <v>1.1593066373278851</v>
      </c>
      <c r="V41" s="97">
        <v>1.0141990457373049</v>
      </c>
      <c r="W41" s="97">
        <v>1.0718337202779318</v>
      </c>
      <c r="X41" s="97">
        <v>1.0409958963000572</v>
      </c>
      <c r="Y41" s="97">
        <v>0.72472146778047641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132.97604213175927</v>
      </c>
      <c r="C42" s="32">
        <f t="shared" si="26"/>
        <v>153.84055727763433</v>
      </c>
      <c r="D42" s="32">
        <f t="shared" si="26"/>
        <v>179.49015712723553</v>
      </c>
      <c r="E42" s="32">
        <f t="shared" si="26"/>
        <v>174.50932400316583</v>
      </c>
      <c r="F42" s="32">
        <f t="shared" si="26"/>
        <v>183.13047808472902</v>
      </c>
      <c r="G42" s="32">
        <f t="shared" si="26"/>
        <v>181.55193294995709</v>
      </c>
      <c r="H42" s="32">
        <f t="shared" si="26"/>
        <v>183.6133127964458</v>
      </c>
      <c r="I42" s="32">
        <f t="shared" si="26"/>
        <v>195.07275664762156</v>
      </c>
      <c r="J42" s="32">
        <f t="shared" si="26"/>
        <v>193.48120405125599</v>
      </c>
      <c r="K42" s="32">
        <f t="shared" si="26"/>
        <v>149.31528524973871</v>
      </c>
      <c r="L42" s="32">
        <f t="shared" ref="L42" si="27">L43+L52</f>
        <v>167.29627048465457</v>
      </c>
      <c r="M42" s="32">
        <f t="shared" ref="M42:V42" si="28">M43+M52</f>
        <v>183.99347368051434</v>
      </c>
      <c r="N42" s="32">
        <f t="shared" si="28"/>
        <v>184.09319203267995</v>
      </c>
      <c r="O42" s="32">
        <f t="shared" si="28"/>
        <v>177.57754723784981</v>
      </c>
      <c r="P42" s="32">
        <f t="shared" si="28"/>
        <v>172.64093497050328</v>
      </c>
      <c r="Q42" s="32">
        <f t="shared" si="28"/>
        <v>169.01436595347855</v>
      </c>
      <c r="R42" s="32">
        <f t="shared" si="28"/>
        <v>167.23515194247159</v>
      </c>
      <c r="S42" s="32">
        <f t="shared" si="28"/>
        <v>161.78104308297969</v>
      </c>
      <c r="T42" s="32">
        <f t="shared" si="28"/>
        <v>171.07957088369616</v>
      </c>
      <c r="U42" s="32">
        <f t="shared" si="28"/>
        <v>174.29492071844447</v>
      </c>
      <c r="V42" s="32">
        <f t="shared" si="28"/>
        <v>166.7653651342745</v>
      </c>
      <c r="W42" s="32">
        <f t="shared" ref="W42:Y42" si="29">W43+W52</f>
        <v>198.90954385301458</v>
      </c>
      <c r="X42" s="32">
        <f t="shared" si="29"/>
        <v>215.0191437690527</v>
      </c>
      <c r="Y42" s="32">
        <f t="shared" si="29"/>
        <v>220.46721854811608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83.353927042713536</v>
      </c>
      <c r="C43" s="141">
        <f t="shared" si="30"/>
        <v>101.11311834481849</v>
      </c>
      <c r="D43" s="141">
        <f t="shared" si="30"/>
        <v>108.62891160275842</v>
      </c>
      <c r="E43" s="141">
        <f t="shared" si="30"/>
        <v>89.637416084206635</v>
      </c>
      <c r="F43" s="141">
        <f t="shared" si="30"/>
        <v>87.022200262171467</v>
      </c>
      <c r="G43" s="141">
        <f t="shared" si="30"/>
        <v>80.566483793145864</v>
      </c>
      <c r="H43" s="141">
        <f t="shared" si="30"/>
        <v>76.318305899574142</v>
      </c>
      <c r="I43" s="141">
        <f t="shared" si="30"/>
        <v>72.650070094158366</v>
      </c>
      <c r="J43" s="141">
        <f t="shared" si="30"/>
        <v>70.433614248833905</v>
      </c>
      <c r="K43" s="141">
        <f t="shared" si="30"/>
        <v>63.151122514296368</v>
      </c>
      <c r="L43" s="141">
        <f t="shared" ref="L43" si="31">L44+L46+L48+L49+L51</f>
        <v>67.711189232161885</v>
      </c>
      <c r="M43" s="141">
        <f t="shared" ref="M43:V43" si="32">M44+M46+M48+M49+M51</f>
        <v>70.766311548454084</v>
      </c>
      <c r="N43" s="141">
        <f t="shared" si="32"/>
        <v>72.617960695753737</v>
      </c>
      <c r="O43" s="141">
        <f t="shared" si="32"/>
        <v>73.312942167332949</v>
      </c>
      <c r="P43" s="141">
        <f t="shared" si="32"/>
        <v>75.500604916402622</v>
      </c>
      <c r="Q43" s="141">
        <f t="shared" si="32"/>
        <v>75.075907667721012</v>
      </c>
      <c r="R43" s="141">
        <f t="shared" si="32"/>
        <v>78.125422627111973</v>
      </c>
      <c r="S43" s="141">
        <f t="shared" si="32"/>
        <v>84.970090345325858</v>
      </c>
      <c r="T43" s="141">
        <f t="shared" si="32"/>
        <v>93.536160853038027</v>
      </c>
      <c r="U43" s="141">
        <f t="shared" si="32"/>
        <v>102.70401170579379</v>
      </c>
      <c r="V43" s="141">
        <f t="shared" si="32"/>
        <v>103.27826332316963</v>
      </c>
      <c r="W43" s="141">
        <f t="shared" ref="W43:Y43" si="33">W44+W46+W48+W49+W51</f>
        <v>114.9191145092779</v>
      </c>
      <c r="X43" s="141">
        <f t="shared" si="33"/>
        <v>120.31058185018875</v>
      </c>
      <c r="Y43" s="141">
        <f t="shared" si="33"/>
        <v>126.10432870533975</v>
      </c>
      <c r="DA43" s="174" t="s">
        <v>400</v>
      </c>
    </row>
    <row r="44" spans="1:105" ht="11.45" customHeight="1" x14ac:dyDescent="0.25">
      <c r="A44" s="111" t="s">
        <v>110</v>
      </c>
      <c r="B44" s="96">
        <v>21.934617534759766</v>
      </c>
      <c r="C44" s="96">
        <v>24.164511539712525</v>
      </c>
      <c r="D44" s="96">
        <v>23.41244619268371</v>
      </c>
      <c r="E44" s="96">
        <v>21.419430831341405</v>
      </c>
      <c r="F44" s="96">
        <v>21.8814394324577</v>
      </c>
      <c r="G44" s="96">
        <v>19.269179461015241</v>
      </c>
      <c r="H44" s="96">
        <v>18.962603114566267</v>
      </c>
      <c r="I44" s="96">
        <v>15.944313750312491</v>
      </c>
      <c r="J44" s="96">
        <v>15.416398710558287</v>
      </c>
      <c r="K44" s="96">
        <v>13.737494090830264</v>
      </c>
      <c r="L44" s="96">
        <v>12.309964014117782</v>
      </c>
      <c r="M44" s="96">
        <v>12.871416941038516</v>
      </c>
      <c r="N44" s="96">
        <v>12.202418832263739</v>
      </c>
      <c r="O44" s="96">
        <v>10.963926824423631</v>
      </c>
      <c r="P44" s="96">
        <v>10.631193741220475</v>
      </c>
      <c r="Q44" s="96">
        <v>10.273641722920333</v>
      </c>
      <c r="R44" s="96">
        <v>9.71838887189495</v>
      </c>
      <c r="S44" s="96">
        <v>9.6775602148766673</v>
      </c>
      <c r="T44" s="96">
        <v>10.865974597125662</v>
      </c>
      <c r="U44" s="96">
        <v>10.451227250791257</v>
      </c>
      <c r="V44" s="96">
        <v>9.313648363494373</v>
      </c>
      <c r="W44" s="96">
        <v>8.4109494512468466</v>
      </c>
      <c r="X44" s="96">
        <v>7.5632766029203502</v>
      </c>
      <c r="Y44" s="96">
        <v>6.6299617028977877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5.846529811551255E-2</v>
      </c>
      <c r="K45" s="96">
        <v>4.2674760452893149E-3</v>
      </c>
      <c r="L45" s="96">
        <v>0.187941052395564</v>
      </c>
      <c r="M45" s="96">
        <v>0.18186233422516174</v>
      </c>
      <c r="N45" s="96">
        <v>0.18006786571318753</v>
      </c>
      <c r="O45" s="96">
        <v>0.14389397462183118</v>
      </c>
      <c r="P45" s="96">
        <v>0.22055897617248069</v>
      </c>
      <c r="Q45" s="96">
        <v>0.10815288728758871</v>
      </c>
      <c r="R45" s="96">
        <v>7.2829763279297285E-2</v>
      </c>
      <c r="S45" s="96">
        <v>3.4686395355366169E-2</v>
      </c>
      <c r="T45" s="96">
        <v>0.19219543493927263</v>
      </c>
      <c r="U45" s="96">
        <v>0.27475512112825284</v>
      </c>
      <c r="V45" s="96">
        <v>0.26128183035476016</v>
      </c>
      <c r="W45" s="96">
        <v>0.17413070022753677</v>
      </c>
      <c r="X45" s="96">
        <v>7.1989531016416988E-2</v>
      </c>
      <c r="Y45" s="96">
        <v>7.1086678000159206E-2</v>
      </c>
      <c r="DA45" s="171" t="s">
        <v>661</v>
      </c>
    </row>
    <row r="46" spans="1:105" ht="11.45" customHeight="1" x14ac:dyDescent="0.25">
      <c r="A46" s="111" t="s">
        <v>111</v>
      </c>
      <c r="B46" s="96">
        <v>61.419309507953763</v>
      </c>
      <c r="C46" s="96">
        <v>76.948606805105968</v>
      </c>
      <c r="D46" s="96">
        <v>85.216465410074704</v>
      </c>
      <c r="E46" s="96">
        <v>68.217985252865233</v>
      </c>
      <c r="F46" s="96">
        <v>65.14076082971377</v>
      </c>
      <c r="G46" s="96">
        <v>61.297304332130622</v>
      </c>
      <c r="H46" s="96">
        <v>57.355702785007871</v>
      </c>
      <c r="I46" s="96">
        <v>56.705537929948292</v>
      </c>
      <c r="J46" s="96">
        <v>55.016996934342579</v>
      </c>
      <c r="K46" s="96">
        <v>49.413409607065432</v>
      </c>
      <c r="L46" s="96">
        <v>55.401006194774972</v>
      </c>
      <c r="M46" s="96">
        <v>57.894675393013593</v>
      </c>
      <c r="N46" s="96">
        <v>60.414382488755201</v>
      </c>
      <c r="O46" s="96">
        <v>62.30839476174139</v>
      </c>
      <c r="P46" s="96">
        <v>64.814652320423832</v>
      </c>
      <c r="Q46" s="96">
        <v>64.727358120159082</v>
      </c>
      <c r="R46" s="96">
        <v>68.329253630508916</v>
      </c>
      <c r="S46" s="96">
        <v>75.151372376864799</v>
      </c>
      <c r="T46" s="96">
        <v>82.49062069154391</v>
      </c>
      <c r="U46" s="96">
        <v>92.029948468793663</v>
      </c>
      <c r="V46" s="96">
        <v>93.68156772863739</v>
      </c>
      <c r="W46" s="96">
        <v>106.21943858359936</v>
      </c>
      <c r="X46" s="96">
        <v>112.44547447873731</v>
      </c>
      <c r="Y46" s="96">
        <v>119.18510374378492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2.7061398566401811E-2</v>
      </c>
      <c r="H47" s="96">
        <v>0.16786173225368822</v>
      </c>
      <c r="I47" s="96">
        <v>7.1441970694699097E-2</v>
      </c>
      <c r="J47" s="96">
        <v>0.4008549689078289</v>
      </c>
      <c r="K47" s="96">
        <v>0.23408132919491542</v>
      </c>
      <c r="L47" s="96">
        <v>0.46083288537334094</v>
      </c>
      <c r="M47" s="96">
        <v>8.8878870041028873E-2</v>
      </c>
      <c r="N47" s="96">
        <v>0</v>
      </c>
      <c r="O47" s="96">
        <v>0</v>
      </c>
      <c r="P47" s="96">
        <v>0</v>
      </c>
      <c r="Q47" s="96">
        <v>0</v>
      </c>
      <c r="R47" s="96">
        <v>0</v>
      </c>
      <c r="S47" s="96">
        <v>0.22870445310639242</v>
      </c>
      <c r="T47" s="96">
        <v>2.0227672913414456</v>
      </c>
      <c r="U47" s="96">
        <v>3.6361456219927599</v>
      </c>
      <c r="V47" s="96">
        <v>5.9612673724403491</v>
      </c>
      <c r="W47" s="96">
        <v>7.6746660121415857</v>
      </c>
      <c r="X47" s="96">
        <v>5.0666778629688975</v>
      </c>
      <c r="Y47" s="96">
        <v>4.1910141188977992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6.3695356227444228E-4</v>
      </c>
      <c r="S48" s="96">
        <v>7.5845487963889209E-3</v>
      </c>
      <c r="T48" s="96">
        <v>9.4098057137263925E-3</v>
      </c>
      <c r="U48" s="96">
        <v>1.2838990469874382E-2</v>
      </c>
      <c r="V48" s="96">
        <v>1.204664389984799E-2</v>
      </c>
      <c r="W48" s="96">
        <v>1.2205430639532553E-2</v>
      </c>
      <c r="X48" s="96">
        <v>1.1760262777652295E-2</v>
      </c>
      <c r="Y48" s="96">
        <v>1.9095311648123548E-2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8.2755413840676802E-4</v>
      </c>
      <c r="O49" s="96">
        <v>3.9831740284775041E-2</v>
      </c>
      <c r="P49" s="96">
        <v>5.2810166292350441E-2</v>
      </c>
      <c r="Q49" s="96">
        <v>7.265322640846214E-2</v>
      </c>
      <c r="R49" s="96">
        <v>7.2913412955035686E-2</v>
      </c>
      <c r="S49" s="96">
        <v>0.12910843924291643</v>
      </c>
      <c r="T49" s="96">
        <v>0.16543098188165087</v>
      </c>
      <c r="U49" s="96">
        <v>0.20515027642707173</v>
      </c>
      <c r="V49" s="96">
        <v>0.26363475651755069</v>
      </c>
      <c r="W49" s="96">
        <v>0.26760201219241414</v>
      </c>
      <c r="X49" s="96">
        <v>0.27132192352978374</v>
      </c>
      <c r="Y49" s="96">
        <v>0.23518268260573838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2.0992455961349351E-2</v>
      </c>
      <c r="U50" s="96">
        <v>3.7180527977883078E-2</v>
      </c>
      <c r="V50" s="96">
        <v>3.888997675813298E-2</v>
      </c>
      <c r="W50" s="96">
        <v>4.9377310176930332E-2</v>
      </c>
      <c r="X50" s="96">
        <v>6.8336905371465667E-2</v>
      </c>
      <c r="Y50" s="96">
        <v>7.4326863251370279E-2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2.1841389759004408E-4</v>
      </c>
      <c r="J51" s="96">
        <v>2.1860393304078157E-4</v>
      </c>
      <c r="K51" s="96">
        <v>2.1881640066630015E-4</v>
      </c>
      <c r="L51" s="96">
        <v>2.1902326913828812E-4</v>
      </c>
      <c r="M51" s="96">
        <v>2.192144019822925E-4</v>
      </c>
      <c r="N51" s="96">
        <v>3.3182059638099253E-4</v>
      </c>
      <c r="O51" s="96">
        <v>7.8884088315365098E-4</v>
      </c>
      <c r="P51" s="96">
        <v>1.9486884659726269E-3</v>
      </c>
      <c r="Q51" s="96">
        <v>2.2545982331420504E-3</v>
      </c>
      <c r="R51" s="96">
        <v>4.2297581908078835E-3</v>
      </c>
      <c r="S51" s="96">
        <v>4.4647655450884907E-3</v>
      </c>
      <c r="T51" s="96">
        <v>4.7247767730742704E-3</v>
      </c>
      <c r="U51" s="96">
        <v>4.8467193119099885E-3</v>
      </c>
      <c r="V51" s="96">
        <v>7.3658306204701374E-3</v>
      </c>
      <c r="W51" s="96">
        <v>8.9190315997582058E-3</v>
      </c>
      <c r="X51" s="96">
        <v>1.8748582223654289E-2</v>
      </c>
      <c r="Y51" s="96">
        <v>3.4985264403182087E-2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49.622115089045735</v>
      </c>
      <c r="C52" s="130">
        <f t="shared" si="34"/>
        <v>52.727438932815843</v>
      </c>
      <c r="D52" s="130">
        <f t="shared" si="34"/>
        <v>70.861245524477113</v>
      </c>
      <c r="E52" s="130">
        <f t="shared" si="34"/>
        <v>84.871907918959209</v>
      </c>
      <c r="F52" s="130">
        <f t="shared" si="34"/>
        <v>96.108277822557568</v>
      </c>
      <c r="G52" s="130">
        <f t="shared" si="34"/>
        <v>100.98544915681123</v>
      </c>
      <c r="H52" s="130">
        <f t="shared" si="34"/>
        <v>107.29500689687166</v>
      </c>
      <c r="I52" s="130">
        <f t="shared" si="34"/>
        <v>122.42268655346319</v>
      </c>
      <c r="J52" s="130">
        <f t="shared" si="34"/>
        <v>123.0475898024221</v>
      </c>
      <c r="K52" s="130">
        <f t="shared" si="34"/>
        <v>86.164162735442332</v>
      </c>
      <c r="L52" s="130">
        <f t="shared" ref="L52" si="35">L53+L55</f>
        <v>99.585081252492685</v>
      </c>
      <c r="M52" s="130">
        <f t="shared" ref="M52:V52" si="36">M53+M55</f>
        <v>113.22716213206027</v>
      </c>
      <c r="N52" s="130">
        <f t="shared" si="36"/>
        <v>111.47523133692621</v>
      </c>
      <c r="O52" s="130">
        <f t="shared" si="36"/>
        <v>104.26460507051686</v>
      </c>
      <c r="P52" s="130">
        <f t="shared" si="36"/>
        <v>97.140330054100644</v>
      </c>
      <c r="Q52" s="130">
        <f t="shared" si="36"/>
        <v>93.93845828575752</v>
      </c>
      <c r="R52" s="130">
        <f t="shared" si="36"/>
        <v>89.109729315359601</v>
      </c>
      <c r="S52" s="130">
        <f t="shared" si="36"/>
        <v>76.810952737653849</v>
      </c>
      <c r="T52" s="130">
        <f t="shared" si="36"/>
        <v>77.543410030658137</v>
      </c>
      <c r="U52" s="130">
        <f t="shared" si="36"/>
        <v>71.590909012650684</v>
      </c>
      <c r="V52" s="130">
        <f t="shared" si="36"/>
        <v>63.487101811104878</v>
      </c>
      <c r="W52" s="130">
        <f t="shared" ref="W52:Y52" si="37">W53+W55</f>
        <v>83.990429343736679</v>
      </c>
      <c r="X52" s="130">
        <f t="shared" si="37"/>
        <v>94.70856191886395</v>
      </c>
      <c r="Y52" s="130">
        <f t="shared" si="37"/>
        <v>94.362889842776326</v>
      </c>
      <c r="DA52" s="176" t="s">
        <v>401</v>
      </c>
    </row>
    <row r="53" spans="1:105" ht="11.45" customHeight="1" x14ac:dyDescent="0.25">
      <c r="A53" s="128" t="s">
        <v>27</v>
      </c>
      <c r="B53" s="97">
        <v>33.682505323137661</v>
      </c>
      <c r="C53" s="97">
        <v>32.341171938125932</v>
      </c>
      <c r="D53" s="97">
        <v>47.725575110584003</v>
      </c>
      <c r="E53" s="97">
        <v>65.00807267507416</v>
      </c>
      <c r="F53" s="97">
        <v>72.131456800802653</v>
      </c>
      <c r="G53" s="97">
        <v>75.593884908919989</v>
      </c>
      <c r="H53" s="97">
        <v>80.157116673380571</v>
      </c>
      <c r="I53" s="97">
        <v>90.627345880602959</v>
      </c>
      <c r="J53" s="97">
        <v>92.383223740997309</v>
      </c>
      <c r="K53" s="97">
        <v>62.858549524481099</v>
      </c>
      <c r="L53" s="97">
        <v>70.742855816748474</v>
      </c>
      <c r="M53" s="97">
        <v>79.092933940857861</v>
      </c>
      <c r="N53" s="97">
        <v>76.824876517658225</v>
      </c>
      <c r="O53" s="97">
        <v>68.999426323923444</v>
      </c>
      <c r="P53" s="97">
        <v>62.54118062016844</v>
      </c>
      <c r="Q53" s="97">
        <v>56.259556784261392</v>
      </c>
      <c r="R53" s="97">
        <v>56.116099861437171</v>
      </c>
      <c r="S53" s="97">
        <v>45.633812988872236</v>
      </c>
      <c r="T53" s="97">
        <v>46.387490668141048</v>
      </c>
      <c r="U53" s="97">
        <v>42.389302646121394</v>
      </c>
      <c r="V53" s="97">
        <v>31.642904490557122</v>
      </c>
      <c r="W53" s="97">
        <v>50.610900114353733</v>
      </c>
      <c r="X53" s="97">
        <v>53.352285255767967</v>
      </c>
      <c r="Y53" s="97">
        <v>51.551642596182937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3.3373021391263594E-2</v>
      </c>
      <c r="H54" s="97">
        <v>0.23459415200072709</v>
      </c>
      <c r="I54" s="97">
        <v>0.11417925699847603</v>
      </c>
      <c r="J54" s="97">
        <v>0.67310606437673914</v>
      </c>
      <c r="K54" s="97">
        <v>0.29777368007916338</v>
      </c>
      <c r="L54" s="97">
        <v>0.58844841645957524</v>
      </c>
      <c r="M54" s="97">
        <v>0.12142205736836191</v>
      </c>
      <c r="N54" s="97">
        <v>0</v>
      </c>
      <c r="O54" s="97">
        <v>0</v>
      </c>
      <c r="P54" s="97">
        <v>0</v>
      </c>
      <c r="Q54" s="97">
        <v>0</v>
      </c>
      <c r="R54" s="97">
        <v>0</v>
      </c>
      <c r="S54" s="97">
        <v>0.13887512513334116</v>
      </c>
      <c r="T54" s="97">
        <v>1.1374759707747106</v>
      </c>
      <c r="U54" s="97">
        <v>1.6748208577807204</v>
      </c>
      <c r="V54" s="97">
        <v>2.0135424575216856</v>
      </c>
      <c r="W54" s="97">
        <v>3.6567859906905702</v>
      </c>
      <c r="X54" s="97">
        <v>2.403999306306603</v>
      </c>
      <c r="Y54" s="97">
        <v>1.8127572589728271</v>
      </c>
      <c r="DA54" s="175" t="s">
        <v>669</v>
      </c>
    </row>
    <row r="55" spans="1:105" ht="11.45" customHeight="1" x14ac:dyDescent="0.25">
      <c r="A55" s="128" t="s">
        <v>116</v>
      </c>
      <c r="B55" s="97">
        <v>15.939609765908076</v>
      </c>
      <c r="C55" s="97">
        <v>20.386266994689912</v>
      </c>
      <c r="D55" s="97">
        <v>23.135670413893113</v>
      </c>
      <c r="E55" s="97">
        <v>19.863835243885049</v>
      </c>
      <c r="F55" s="97">
        <v>23.976821021754922</v>
      </c>
      <c r="G55" s="97">
        <v>25.391564247891246</v>
      </c>
      <c r="H55" s="97">
        <v>27.137890223491091</v>
      </c>
      <c r="I55" s="97">
        <v>31.795340672860242</v>
      </c>
      <c r="J55" s="97">
        <v>30.664366061424779</v>
      </c>
      <c r="K55" s="97">
        <v>23.30561321096123</v>
      </c>
      <c r="L55" s="97">
        <v>28.842225435744215</v>
      </c>
      <c r="M55" s="97">
        <v>34.134228191202411</v>
      </c>
      <c r="N55" s="97">
        <v>34.650354819267989</v>
      </c>
      <c r="O55" s="97">
        <v>35.265178746593428</v>
      </c>
      <c r="P55" s="97">
        <v>34.599149433932205</v>
      </c>
      <c r="Q55" s="97">
        <v>37.678901501496128</v>
      </c>
      <c r="R55" s="97">
        <v>32.993629453922431</v>
      </c>
      <c r="S55" s="97">
        <v>31.177139748781613</v>
      </c>
      <c r="T55" s="97">
        <v>31.155919362517093</v>
      </c>
      <c r="U55" s="97">
        <v>29.20160636652929</v>
      </c>
      <c r="V55" s="97">
        <v>31.844197320547757</v>
      </c>
      <c r="W55" s="97">
        <v>33.379529229382939</v>
      </c>
      <c r="X55" s="97">
        <v>41.356276663095983</v>
      </c>
      <c r="Y55" s="97">
        <v>42.811247246593389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1.1209811717224341E-2</v>
      </c>
      <c r="H56" s="98">
        <v>7.9423894075557874E-2</v>
      </c>
      <c r="I56" s="98">
        <v>4.005820030108171E-2</v>
      </c>
      <c r="J56" s="98">
        <v>0.22342120052099487</v>
      </c>
      <c r="K56" s="98">
        <v>0.11040340995502439</v>
      </c>
      <c r="L56" s="98">
        <v>0.23991343986448987</v>
      </c>
      <c r="M56" s="98">
        <v>5.240225652466142E-2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9.4879846769927043E-2</v>
      </c>
      <c r="T56" s="98">
        <v>0.76397988146828777</v>
      </c>
      <c r="U56" s="98">
        <v>1.1537689079638718</v>
      </c>
      <c r="V56" s="98">
        <v>2.0263513847079277</v>
      </c>
      <c r="W56" s="98">
        <v>2.4117688993094206</v>
      </c>
      <c r="X56" s="98">
        <v>1.8634714508083483</v>
      </c>
      <c r="Y56" s="98">
        <v>1.5054107939848449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12.112117471228542</v>
      </c>
      <c r="C60" s="79">
        <f>IF(C17=0,0,C17/TrRoad_act!C30*100)</f>
        <v>12.50304258547251</v>
      </c>
      <c r="D60" s="79">
        <f>IF(D17=0,0,D17/TrRoad_act!D30*100)</f>
        <v>13.463353722808682</v>
      </c>
      <c r="E60" s="79">
        <f>IF(E17=0,0,E17/TrRoad_act!E30*100)</f>
        <v>12.764237516036605</v>
      </c>
      <c r="F60" s="79">
        <f>IF(F17=0,0,F17/TrRoad_act!F30*100)</f>
        <v>12.870922190681775</v>
      </c>
      <c r="G60" s="79">
        <f>IF(G17=0,0,G17/TrRoad_act!G30*100)</f>
        <v>12.686151100641647</v>
      </c>
      <c r="H60" s="79">
        <f>IF(H17=0,0,H17/TrRoad_act!H30*100)</f>
        <v>12.2113358370509</v>
      </c>
      <c r="I60" s="79">
        <f>IF(I17=0,0,I17/TrRoad_act!I30*100)</f>
        <v>11.769306379946842</v>
      </c>
      <c r="J60" s="79">
        <f>IF(J17=0,0,J17/TrRoad_act!J30*100)</f>
        <v>11.365834541617556</v>
      </c>
      <c r="K60" s="79">
        <f>IF(K17=0,0,K17/TrRoad_act!K30*100)</f>
        <v>10.257600029475917</v>
      </c>
      <c r="L60" s="79">
        <f>IF(L17=0,0,L17/TrRoad_act!L30*100)</f>
        <v>10.792393796335848</v>
      </c>
      <c r="M60" s="79">
        <f>IF(M17=0,0,M17/TrRoad_act!M30*100)</f>
        <v>10.872256203041337</v>
      </c>
      <c r="N60" s="79">
        <f>IF(N17=0,0,N17/TrRoad_act!N30*100)</f>
        <v>10.640050644629598</v>
      </c>
      <c r="O60" s="79">
        <f>IF(O17=0,0,O17/TrRoad_act!O30*100)</f>
        <v>10.168425612602045</v>
      </c>
      <c r="P60" s="79">
        <f>IF(P17=0,0,P17/TrRoad_act!P30*100)</f>
        <v>9.9395229478452247</v>
      </c>
      <c r="Q60" s="79">
        <f>IF(Q17=0,0,Q17/TrRoad_act!Q30*100)</f>
        <v>9.4875323725216401</v>
      </c>
      <c r="R60" s="79">
        <f>IF(R17=0,0,R17/TrRoad_act!R30*100)</f>
        <v>9.1250797639095094</v>
      </c>
      <c r="S60" s="79">
        <f>IF(S17=0,0,S17/TrRoad_act!S30*100)</f>
        <v>8.9240163654954863</v>
      </c>
      <c r="T60" s="79">
        <f>IF(T17=0,0,T17/TrRoad_act!T30*100)</f>
        <v>8.6776858901867957</v>
      </c>
      <c r="U60" s="79">
        <f>IF(U17=0,0,U17/TrRoad_act!U30*100)</f>
        <v>8.4575399341720576</v>
      </c>
      <c r="V60" s="79">
        <f>IF(V17=0,0,V17/TrRoad_act!V30*100)</f>
        <v>8.2105687195725796</v>
      </c>
      <c r="W60" s="79">
        <f>IF(W17=0,0,W17/TrRoad_act!W30*100)</f>
        <v>8.5012954495458519</v>
      </c>
      <c r="X60" s="79">
        <f>IF(X17=0,0,X17/TrRoad_act!X30*100)</f>
        <v>8.2158310744564247</v>
      </c>
      <c r="Y60" s="79">
        <f>IF(Y17=0,0,Y17/TrRoad_act!Y30*100)</f>
        <v>8.0111561322700702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11.543990788921519</v>
      </c>
      <c r="C61" s="32">
        <f>IF(C18=0,0,C18/TrRoad_act!C31*100)</f>
        <v>11.61284330497633</v>
      </c>
      <c r="D61" s="32">
        <f>IF(D18=0,0,D18/TrRoad_act!D31*100)</f>
        <v>12.153556744545149</v>
      </c>
      <c r="E61" s="32">
        <f>IF(E18=0,0,E18/TrRoad_act!E31*100)</f>
        <v>11.511501280949924</v>
      </c>
      <c r="F61" s="32">
        <f>IF(F18=0,0,F18/TrRoad_act!F31*100)</f>
        <v>11.440165017957838</v>
      </c>
      <c r="G61" s="32">
        <f>IF(G18=0,0,G18/TrRoad_act!G31*100)</f>
        <v>11.223427302242422</v>
      </c>
      <c r="H61" s="32">
        <f>IF(H18=0,0,H18/TrRoad_act!H31*100)</f>
        <v>10.790516281437794</v>
      </c>
      <c r="I61" s="32">
        <f>IF(I18=0,0,I18/TrRoad_act!I31*100)</f>
        <v>10.188690883975514</v>
      </c>
      <c r="J61" s="32">
        <f>IF(J18=0,0,J18/TrRoad_act!J31*100)</f>
        <v>9.7798271552859681</v>
      </c>
      <c r="K61" s="32">
        <f>IF(K18=0,0,K18/TrRoad_act!K31*100)</f>
        <v>9.1162308359269613</v>
      </c>
      <c r="L61" s="32">
        <f>IF(L18=0,0,L18/TrRoad_act!L31*100)</f>
        <v>9.3578419895577323</v>
      </c>
      <c r="M61" s="32">
        <f>IF(M18=0,0,M18/TrRoad_act!M31*100)</f>
        <v>9.2617337484118316</v>
      </c>
      <c r="N61" s="32">
        <f>IF(N18=0,0,N18/TrRoad_act!N31*100)</f>
        <v>9.1025949615475028</v>
      </c>
      <c r="O61" s="32">
        <f>IF(O18=0,0,O18/TrRoad_act!O31*100)</f>
        <v>8.8130450335169446</v>
      </c>
      <c r="P61" s="32">
        <f>IF(P18=0,0,P18/TrRoad_act!P31*100)</f>
        <v>8.7128220388416633</v>
      </c>
      <c r="Q61" s="32">
        <f>IF(Q18=0,0,Q18/TrRoad_act!Q31*100)</f>
        <v>8.4139302563851963</v>
      </c>
      <c r="R61" s="32">
        <f>IF(R18=0,0,R18/TrRoad_act!R31*100)</f>
        <v>8.233345540096483</v>
      </c>
      <c r="S61" s="32">
        <f>IF(S18=0,0,S18/TrRoad_act!S31*100)</f>
        <v>8.1917048321669359</v>
      </c>
      <c r="T61" s="32">
        <f>IF(T18=0,0,T18/TrRoad_act!T31*100)</f>
        <v>7.973252473679536</v>
      </c>
      <c r="U61" s="32">
        <f>IF(U18=0,0,U18/TrRoad_act!U31*100)</f>
        <v>7.8010894323337396</v>
      </c>
      <c r="V61" s="32">
        <f>IF(V18=0,0,V18/TrRoad_act!V31*100)</f>
        <v>7.6055007488647171</v>
      </c>
      <c r="W61" s="32">
        <f>IF(W18=0,0,W18/TrRoad_act!W31*100)</f>
        <v>7.6857667818151842</v>
      </c>
      <c r="X61" s="32">
        <f>IF(X18=0,0,X18/TrRoad_act!X31*100)</f>
        <v>7.2842423413983104</v>
      </c>
      <c r="Y61" s="32">
        <f>IF(Y18=0,0,Y18/TrRoad_act!Y31*100)</f>
        <v>6.9783855114673514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5.3560001703422602</v>
      </c>
      <c r="C62" s="141">
        <f>IF(C19=0,0,C19/TrRoad_act!C32*100)</f>
        <v>5.337618600310031</v>
      </c>
      <c r="D62" s="141">
        <f>IF(D19=0,0,D19/TrRoad_act!D32*100)</f>
        <v>5.2872116746219087</v>
      </c>
      <c r="E62" s="141">
        <f>IF(E19=0,0,E19/TrRoad_act!E32*100)</f>
        <v>5.2199731866205887</v>
      </c>
      <c r="F62" s="141">
        <f>IF(F19=0,0,F19/TrRoad_act!F32*100)</f>
        <v>5.1574492022718221</v>
      </c>
      <c r="G62" s="141">
        <f>IF(G19=0,0,G19/TrRoad_act!G32*100)</f>
        <v>5.0981963714421852</v>
      </c>
      <c r="H62" s="141">
        <f>IF(H19=0,0,H19/TrRoad_act!H32*100)</f>
        <v>5.0045504541205288</v>
      </c>
      <c r="I62" s="141">
        <f>IF(I19=0,0,I19/TrRoad_act!I32*100)</f>
        <v>4.9388651699858244</v>
      </c>
      <c r="J62" s="141">
        <f>IF(J19=0,0,J19/TrRoad_act!J32*100)</f>
        <v>4.8469446595911387</v>
      </c>
      <c r="K62" s="141">
        <f>IF(K19=0,0,K19/TrRoad_act!K32*100)</f>
        <v>4.7990429912562025</v>
      </c>
      <c r="L62" s="141">
        <f>IF(L19=0,0,L19/TrRoad_act!L32*100)</f>
        <v>4.7446141864684153</v>
      </c>
      <c r="M62" s="141">
        <f>IF(M19=0,0,M19/TrRoad_act!M32*100)</f>
        <v>4.6177168537360105</v>
      </c>
      <c r="N62" s="141">
        <f>IF(N19=0,0,N19/TrRoad_act!N32*100)</f>
        <v>4.3882179206224912</v>
      </c>
      <c r="O62" s="141">
        <f>IF(O19=0,0,O19/TrRoad_act!O32*100)</f>
        <v>4.3256286886462929</v>
      </c>
      <c r="P62" s="141">
        <f>IF(P19=0,0,P19/TrRoad_act!P32*100)</f>
        <v>4.2589347769097587</v>
      </c>
      <c r="Q62" s="141">
        <f>IF(Q19=0,0,Q19/TrRoad_act!Q32*100)</f>
        <v>4.2118090598980471</v>
      </c>
      <c r="R62" s="141">
        <f>IF(R19=0,0,R19/TrRoad_act!R32*100)</f>
        <v>4.1510270402683593</v>
      </c>
      <c r="S62" s="141">
        <f>IF(S19=0,0,S19/TrRoad_act!S32*100)</f>
        <v>4.0988558282722281</v>
      </c>
      <c r="T62" s="141">
        <f>IF(T19=0,0,T19/TrRoad_act!T32*100)</f>
        <v>4.0671099766643852</v>
      </c>
      <c r="U62" s="141">
        <f>IF(U19=0,0,U19/TrRoad_act!U32*100)</f>
        <v>4.0401025314563963</v>
      </c>
      <c r="V62" s="141">
        <f>IF(V19=0,0,V19/TrRoad_act!V32*100)</f>
        <v>4.008776167113159</v>
      </c>
      <c r="W62" s="141">
        <f>IF(W19=0,0,W19/TrRoad_act!W32*100)</f>
        <v>3.9799623864737668</v>
      </c>
      <c r="X62" s="141">
        <f>IF(X19=0,0,X19/TrRoad_act!X32*100)</f>
        <v>3.9544067022924332</v>
      </c>
      <c r="Y62" s="141">
        <f>IF(Y19=0,0,Y19/TrRoad_act!Y32*100)</f>
        <v>3.9412058463444137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9.4244555475095932</v>
      </c>
      <c r="C63" s="130">
        <f>IF(C21=0,0,C21/TrRoad_act!C33*100)</f>
        <v>9.4743170548314701</v>
      </c>
      <c r="D63" s="130">
        <f>IF(D21=0,0,D21/TrRoad_act!D33*100)</f>
        <v>9.6048430105048439</v>
      </c>
      <c r="E63" s="130">
        <f>IF(E21=0,0,E21/TrRoad_act!E33*100)</f>
        <v>9.3523953272621618</v>
      </c>
      <c r="F63" s="130">
        <f>IF(F21=0,0,F21/TrRoad_act!F33*100)</f>
        <v>9.2559302766701421</v>
      </c>
      <c r="G63" s="130">
        <f>IF(G21=0,0,G21/TrRoad_act!G33*100)</f>
        <v>9.1076057008703462</v>
      </c>
      <c r="H63" s="130">
        <f>IF(H21=0,0,H21/TrRoad_act!H33*100)</f>
        <v>8.9105997821944971</v>
      </c>
      <c r="I63" s="130">
        <f>IF(I21=0,0,I21/TrRoad_act!I33*100)</f>
        <v>8.7391082844478269</v>
      </c>
      <c r="J63" s="130">
        <f>IF(J21=0,0,J21/TrRoad_act!J33*100)</f>
        <v>8.4783987958423523</v>
      </c>
      <c r="K63" s="130">
        <f>IF(K21=0,0,K21/TrRoad_act!K33*100)</f>
        <v>8.0006322506492875</v>
      </c>
      <c r="L63" s="130">
        <f>IF(L21=0,0,L21/TrRoad_act!L33*100)</f>
        <v>8.1158421060873351</v>
      </c>
      <c r="M63" s="130">
        <f>IF(M21=0,0,M21/TrRoad_act!M33*100)</f>
        <v>8.0393515767207493</v>
      </c>
      <c r="N63" s="130">
        <f>IF(N21=0,0,N21/TrRoad_act!N33*100)</f>
        <v>7.9225077212966388</v>
      </c>
      <c r="O63" s="130">
        <f>IF(O21=0,0,O21/TrRoad_act!O33*100)</f>
        <v>7.6699221043959893</v>
      </c>
      <c r="P63" s="130">
        <f>IF(P21=0,0,P21/TrRoad_act!P33*100)</f>
        <v>7.5641685820960731</v>
      </c>
      <c r="Q63" s="130">
        <f>IF(Q21=0,0,Q21/TrRoad_act!Q33*100)</f>
        <v>7.3349864650890151</v>
      </c>
      <c r="R63" s="130">
        <f>IF(R21=0,0,R21/TrRoad_act!R33*100)</f>
        <v>7.1101713606334966</v>
      </c>
      <c r="S63" s="130">
        <f>IF(S21=0,0,S21/TrRoad_act!S33*100)</f>
        <v>6.9885260775336953</v>
      </c>
      <c r="T63" s="130">
        <f>IF(T21=0,0,T21/TrRoad_act!T33*100)</f>
        <v>6.8167164196382064</v>
      </c>
      <c r="U63" s="130">
        <f>IF(U21=0,0,U21/TrRoad_act!U33*100)</f>
        <v>6.7412755677111553</v>
      </c>
      <c r="V63" s="130">
        <f>IF(V21=0,0,V21/TrRoad_act!V33*100)</f>
        <v>6.5411248426080038</v>
      </c>
      <c r="W63" s="130">
        <f>IF(W21=0,0,W21/TrRoad_act!W33*100)</f>
        <v>6.5435215479104452</v>
      </c>
      <c r="X63" s="130">
        <f>IF(X21=0,0,X21/TrRoad_act!X33*100)</f>
        <v>6.2886782359265858</v>
      </c>
      <c r="Y63" s="130">
        <f>IF(Y21=0,0,Y21/TrRoad_act!Y33*100)</f>
        <v>6.2103874056286656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9.5488738410286302</v>
      </c>
      <c r="C64" s="96">
        <f>IF(C22=0,0,C22/TrRoad_act!C34*100)</f>
        <v>9.3995172016173605</v>
      </c>
      <c r="D64" s="96">
        <f>IF(D22=0,0,D22/TrRoad_act!D34*100)</f>
        <v>9.3121607129382493</v>
      </c>
      <c r="E64" s="96">
        <f>IF(E22=0,0,E22/TrRoad_act!E34*100)</f>
        <v>9.1974991047149643</v>
      </c>
      <c r="F64" s="96">
        <f>IF(F22=0,0,F22/TrRoad_act!F34*100)</f>
        <v>9.0984018525161368</v>
      </c>
      <c r="G64" s="96">
        <f>IF(G22=0,0,G22/TrRoad_act!G34*100)</f>
        <v>9.0136413452005915</v>
      </c>
      <c r="H64" s="96">
        <f>IF(H22=0,0,H22/TrRoad_act!H34*100)</f>
        <v>8.9096759324527479</v>
      </c>
      <c r="I64" s="96">
        <f>IF(I22=0,0,I22/TrRoad_act!I34*100)</f>
        <v>8.7977727415860212</v>
      </c>
      <c r="J64" s="96">
        <f>IF(J22=0,0,J22/TrRoad_act!J34*100)</f>
        <v>8.6947478374160081</v>
      </c>
      <c r="K64" s="96">
        <f>IF(K22=0,0,K22/TrRoad_act!K34*100)</f>
        <v>8.3801962636740175</v>
      </c>
      <c r="L64" s="96">
        <f>IF(L22=0,0,L22/TrRoad_act!L34*100)</f>
        <v>8.3360776272007513</v>
      </c>
      <c r="M64" s="96">
        <f>IF(M22=0,0,M22/TrRoad_act!M34*100)</f>
        <v>8.2379026293811606</v>
      </c>
      <c r="N64" s="96">
        <f>IF(N22=0,0,N22/TrRoad_act!N34*100)</f>
        <v>8.1277578985038197</v>
      </c>
      <c r="O64" s="96">
        <f>IF(O22=0,0,O22/TrRoad_act!O34*100)</f>
        <v>8.0033964413063785</v>
      </c>
      <c r="P64" s="96">
        <f>IF(P22=0,0,P22/TrRoad_act!P34*100)</f>
        <v>7.9115296429051183</v>
      </c>
      <c r="Q64" s="96">
        <f>IF(Q22=0,0,Q22/TrRoad_act!Q34*100)</f>
        <v>7.7506162406887205</v>
      </c>
      <c r="R64" s="96">
        <f>IF(R22=0,0,R22/TrRoad_act!R34*100)</f>
        <v>7.5883855250156103</v>
      </c>
      <c r="S64" s="96">
        <f>IF(S22=0,0,S22/TrRoad_act!S34*100)</f>
        <v>7.3874287922237016</v>
      </c>
      <c r="T64" s="96">
        <f>IF(T22=0,0,T22/TrRoad_act!T34*100)</f>
        <v>7.1607353837881593</v>
      </c>
      <c r="U64" s="96">
        <f>IF(U22=0,0,U22/TrRoad_act!U34*100)</f>
        <v>7.0766992055661646</v>
      </c>
      <c r="V64" s="96">
        <f>IF(V22=0,0,V22/TrRoad_act!V34*100)</f>
        <v>6.9412865432759316</v>
      </c>
      <c r="W64" s="96">
        <f>IF(W22=0,0,W22/TrRoad_act!W34*100)</f>
        <v>6.8603667880664787</v>
      </c>
      <c r="X64" s="96">
        <f>IF(X22=0,0,X22/TrRoad_act!X34*100)</f>
        <v>6.4797052106162472</v>
      </c>
      <c r="Y64" s="96">
        <f>IF(Y22=0,0,Y22/TrRoad_act!Y34*100)</f>
        <v>6.2819099220076513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7.9253276232910359</v>
      </c>
      <c r="C65" s="96">
        <f>IF(C24=0,0,C24/TrRoad_act!C35*100)</f>
        <v>10.26109448631262</v>
      </c>
      <c r="D65" s="96">
        <f>IF(D24=0,0,D24/TrRoad_act!D35*100)</f>
        <v>12.109749528120593</v>
      </c>
      <c r="E65" s="96">
        <f>IF(E24=0,0,E24/TrRoad_act!E35*100)</f>
        <v>10.257231040766413</v>
      </c>
      <c r="F65" s="96">
        <f>IF(F24=0,0,F24/TrRoad_act!F35*100)</f>
        <v>9.8774164396964448</v>
      </c>
      <c r="G65" s="96">
        <f>IF(G24=0,0,G24/TrRoad_act!G35*100)</f>
        <v>9.4079015001193085</v>
      </c>
      <c r="H65" s="96">
        <f>IF(H24=0,0,H24/TrRoad_act!H35*100)</f>
        <v>8.9147912069487543</v>
      </c>
      <c r="I65" s="96">
        <f>IF(I24=0,0,I24/TrRoad_act!I35*100)</f>
        <v>8.6143916949125234</v>
      </c>
      <c r="J65" s="96">
        <f>IF(J24=0,0,J24/TrRoad_act!J35*100)</f>
        <v>7.9791552612668157</v>
      </c>
      <c r="K65" s="96">
        <f>IF(K24=0,0,K24/TrRoad_act!K35*100)</f>
        <v>7.3084112742140803</v>
      </c>
      <c r="L65" s="96">
        <f>IF(L24=0,0,L24/TrRoad_act!L35*100)</f>
        <v>7.74581912743262</v>
      </c>
      <c r="M65" s="96">
        <f>IF(M24=0,0,M24/TrRoad_act!M35*100)</f>
        <v>7.7657919670129232</v>
      </c>
      <c r="N65" s="96">
        <f>IF(N24=0,0,N24/TrRoad_act!N35*100)</f>
        <v>7.7000989524573935</v>
      </c>
      <c r="O65" s="96">
        <f>IF(O24=0,0,O24/TrRoad_act!O35*100)</f>
        <v>7.3414465484442681</v>
      </c>
      <c r="P65" s="96">
        <f>IF(P24=0,0,P24/TrRoad_act!P35*100)</f>
        <v>7.2277109787810945</v>
      </c>
      <c r="Q65" s="96">
        <f>IF(Q24=0,0,Q24/TrRoad_act!Q35*100)</f>
        <v>6.9648336648079416</v>
      </c>
      <c r="R65" s="96">
        <f>IF(R24=0,0,R24/TrRoad_act!R35*100)</f>
        <v>6.6755394121910294</v>
      </c>
      <c r="S65" s="96">
        <f>IF(S24=0,0,S24/TrRoad_act!S35*100)</f>
        <v>6.6026043789919262</v>
      </c>
      <c r="T65" s="96">
        <f>IF(T24=0,0,T24/TrRoad_act!T35*100)</f>
        <v>6.4779410262052233</v>
      </c>
      <c r="U65" s="96">
        <f>IF(U24=0,0,U24/TrRoad_act!U35*100)</f>
        <v>6.427353453921504</v>
      </c>
      <c r="V65" s="96">
        <f>IF(V24=0,0,V24/TrRoad_act!V35*100)</f>
        <v>6.3135163787947466</v>
      </c>
      <c r="W65" s="96">
        <f>IF(W24=0,0,W24/TrRoad_act!W35*100)</f>
        <v>6.4384358822969237</v>
      </c>
      <c r="X65" s="96">
        <f>IF(X24=0,0,X24/TrRoad_act!X35*100)</f>
        <v>6.2246047357907583</v>
      </c>
      <c r="Y65" s="96">
        <f>IF(Y24=0,0,Y24/TrRoad_act!Y35*100)</f>
        <v>6.2875988228378894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10.355459627492184</v>
      </c>
      <c r="C66" s="96">
        <f>IF(C26=0,0,C26/TrRoad_act!C36*100)</f>
        <v>8.6083057829804837</v>
      </c>
      <c r="D66" s="96">
        <f>IF(D26=0,0,D26/TrRoad_act!D36*100)</f>
        <v>8.9987429754450865</v>
      </c>
      <c r="E66" s="96">
        <f>IF(E26=0,0,E26/TrRoad_act!E36*100)</f>
        <v>9.1142635679003341</v>
      </c>
      <c r="F66" s="96">
        <f>IF(F26=0,0,F26/TrRoad_act!F36*100)</f>
        <v>10.308101020003981</v>
      </c>
      <c r="G66" s="96">
        <f>IF(G26=0,0,G26/TrRoad_act!G36*100)</f>
        <v>9.6920888050269376</v>
      </c>
      <c r="H66" s="96">
        <f>IF(H26=0,0,H26/TrRoad_act!H36*100)</f>
        <v>8.8076600163568735</v>
      </c>
      <c r="I66" s="96">
        <f>IF(I26=0,0,I26/TrRoad_act!I36*100)</f>
        <v>8.2645126874789181</v>
      </c>
      <c r="J66" s="96">
        <f>IF(J26=0,0,J26/TrRoad_act!J36*100)</f>
        <v>10.267039536510241</v>
      </c>
      <c r="K66" s="96">
        <f>IF(K26=0,0,K26/TrRoad_act!K36*100)</f>
        <v>9.4838632853467271</v>
      </c>
      <c r="L66" s="96">
        <f>IF(L26=0,0,L26/TrRoad_act!L36*100)</f>
        <v>8.9162949540272116</v>
      </c>
      <c r="M66" s="96">
        <f>IF(M26=0,0,M26/TrRoad_act!M36*100)</f>
        <v>8.6317421122567275</v>
      </c>
      <c r="N66" s="96">
        <f>IF(N26=0,0,N26/TrRoad_act!N36*100)</f>
        <v>8.4672179930365861</v>
      </c>
      <c r="O66" s="96">
        <f>IF(O26=0,0,O26/TrRoad_act!O36*100)</f>
        <v>8.6536476745383286</v>
      </c>
      <c r="P66" s="96">
        <f>IF(P26=0,0,P26/TrRoad_act!P36*100)</f>
        <v>8.9215895820470621</v>
      </c>
      <c r="Q66" s="96">
        <f>IF(Q26=0,0,Q26/TrRoad_act!Q36*100)</f>
        <v>9.6688556751804562</v>
      </c>
      <c r="R66" s="96">
        <f>IF(R26=0,0,R26/TrRoad_act!R36*100)</f>
        <v>8.9351739236469285</v>
      </c>
      <c r="S66" s="96">
        <f>IF(S26=0,0,S26/TrRoad_act!S36*100)</f>
        <v>8.7546450247017802</v>
      </c>
      <c r="T66" s="96">
        <f>IF(T26=0,0,T26/TrRoad_act!T36*100)</f>
        <v>8.5063362600298156</v>
      </c>
      <c r="U66" s="96">
        <f>IF(U26=0,0,U26/TrRoad_act!U36*100)</f>
        <v>8.60526296146387</v>
      </c>
      <c r="V66" s="96">
        <f>IF(V26=0,0,V26/TrRoad_act!V36*100)</f>
        <v>7.96742726075815</v>
      </c>
      <c r="W66" s="96">
        <f>IF(W26=0,0,W26/TrRoad_act!W36*100)</f>
        <v>8.1171143735549851</v>
      </c>
      <c r="X66" s="96">
        <f>IF(X26=0,0,X26/TrRoad_act!X36*100)</f>
        <v>8.4108354299175438</v>
      </c>
      <c r="Y66" s="96">
        <f>IF(Y26=0,0,Y26/TrRoad_act!Y36*100)</f>
        <v>7.0976944063088858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8.1092149590074776</v>
      </c>
      <c r="M67" s="96">
        <f>IF(M27=0,0,M27/TrRoad_act!M37*100)</f>
        <v>8.4011466728935815</v>
      </c>
      <c r="N67" s="96">
        <f>IF(N27=0,0,N27/TrRoad_act!N37*100)</f>
        <v>8.534057678938197</v>
      </c>
      <c r="O67" s="96">
        <f>IF(O27=0,0,O27/TrRoad_act!O37*100)</f>
        <v>8.4749291247652714</v>
      </c>
      <c r="P67" s="96">
        <f>IF(P27=0,0,P27/TrRoad_act!P37*100)</f>
        <v>8.4081985756427287</v>
      </c>
      <c r="Q67" s="96">
        <f>IF(Q27=0,0,Q27/TrRoad_act!Q37*100)</f>
        <v>7.6883855076639751</v>
      </c>
      <c r="R67" s="96">
        <f>IF(R27=0,0,R27/TrRoad_act!R37*100)</f>
        <v>6.5328941537103722</v>
      </c>
      <c r="S67" s="96">
        <f>IF(S27=0,0,S27/TrRoad_act!S37*100)</f>
        <v>6.7116749270260776</v>
      </c>
      <c r="T67" s="96">
        <f>IF(T27=0,0,T27/TrRoad_act!T37*100)</f>
        <v>6.5630161054249543</v>
      </c>
      <c r="U67" s="96">
        <f>IF(U27=0,0,U27/TrRoad_act!U37*100)</f>
        <v>5.6842207592388831</v>
      </c>
      <c r="V67" s="96">
        <f>IF(V27=0,0,V27/TrRoad_act!V37*100)</f>
        <v>5.4132503908692922</v>
      </c>
      <c r="W67" s="96">
        <f>IF(W27=0,0,W27/TrRoad_act!W37*100)</f>
        <v>5.2706846809570473</v>
      </c>
      <c r="X67" s="96">
        <f>IF(X27=0,0,X27/TrRoad_act!X37*100)</f>
        <v>5.1473645377265127</v>
      </c>
      <c r="Y67" s="96">
        <f>IF(Y27=0,0,Y27/TrRoad_act!Y37*100)</f>
        <v>5.1354451922014812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3.2151420797336239</v>
      </c>
      <c r="Q68" s="96">
        <f>IF(Q29=0,0,Q29/TrRoad_act!Q38*100)</f>
        <v>3.5453464445895726</v>
      </c>
      <c r="R68" s="96">
        <f>IF(R29=0,0,R29/TrRoad_act!R38*100)</f>
        <v>3.6216569246208468</v>
      </c>
      <c r="S68" s="96">
        <f>IF(S29=0,0,S29/TrRoad_act!S38*100)</f>
        <v>3.4363225520079936</v>
      </c>
      <c r="T68" s="96">
        <f>IF(T29=0,0,T29/TrRoad_act!T38*100)</f>
        <v>3.5688455434785258</v>
      </c>
      <c r="U68" s="96">
        <f>IF(U29=0,0,U29/TrRoad_act!U38*100)</f>
        <v>3.6544044447843369</v>
      </c>
      <c r="V68" s="96">
        <f>IF(V29=0,0,V29/TrRoad_act!V38*100)</f>
        <v>3.8432134812152339</v>
      </c>
      <c r="W68" s="96">
        <f>IF(W29=0,0,W29/TrRoad_act!W38*100)</f>
        <v>3.5206758549984536</v>
      </c>
      <c r="X68" s="96">
        <f>IF(X29=0,0,X29/TrRoad_act!X38*100)</f>
        <v>3.4139924154300569</v>
      </c>
      <c r="Y68" s="96">
        <f>IF(Y29=0,0,Y29/TrRoad_act!Y38*100)</f>
        <v>3.2773391403439982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1.4302991641346736</v>
      </c>
      <c r="K69" s="96">
        <f>IF(K32=0,0,K32/TrRoad_act!K39*100)</f>
        <v>1.4302991641346736</v>
      </c>
      <c r="L69" s="96">
        <f>IF(L32=0,0,L32/TrRoad_act!L39*100)</f>
        <v>1.4241909781526512</v>
      </c>
      <c r="M69" s="96">
        <f>IF(M32=0,0,M32/TrRoad_act!M39*100)</f>
        <v>1.4249864244079591</v>
      </c>
      <c r="N69" s="96">
        <f>IF(N32=0,0,N32/TrRoad_act!N39*100)</f>
        <v>1.3305514405422798</v>
      </c>
      <c r="O69" s="96">
        <f>IF(O32=0,0,O32/TrRoad_act!O39*100)</f>
        <v>1.3387908171744309</v>
      </c>
      <c r="P69" s="96">
        <f>IF(P32=0,0,P32/TrRoad_act!P39*100)</f>
        <v>1.3859316160180835</v>
      </c>
      <c r="Q69" s="96">
        <f>IF(Q32=0,0,Q32/TrRoad_act!Q39*100)</f>
        <v>1.3872516301109541</v>
      </c>
      <c r="R69" s="96">
        <f>IF(R32=0,0,R32/TrRoad_act!R39*100)</f>
        <v>1.3962583697979203</v>
      </c>
      <c r="S69" s="96">
        <f>IF(S32=0,0,S32/TrRoad_act!S39*100)</f>
        <v>1.4000527425427329</v>
      </c>
      <c r="T69" s="96">
        <f>IF(T32=0,0,T32/TrRoad_act!T39*100)</f>
        <v>1.4477308267686004</v>
      </c>
      <c r="U69" s="96">
        <f>IF(U32=0,0,U32/TrRoad_act!U39*100)</f>
        <v>1.5188716189721152</v>
      </c>
      <c r="V69" s="96">
        <f>IF(V32=0,0,V32/TrRoad_act!V39*100)</f>
        <v>1.5644019998046741</v>
      </c>
      <c r="W69" s="96">
        <f>IF(W32=0,0,W32/TrRoad_act!W39*100)</f>
        <v>1.6044286555486589</v>
      </c>
      <c r="X69" s="96">
        <f>IF(X32=0,0,X32/TrRoad_act!X39*100)</f>
        <v>1.6750038235499347</v>
      </c>
      <c r="Y69" s="96">
        <f>IF(Y32=0,0,Y32/TrRoad_act!Y39*100)</f>
        <v>1.6806022922307227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45.482264284372029</v>
      </c>
      <c r="C70" s="130">
        <f>IF(C33=0,0,C33/TrRoad_act!C40*100)</f>
        <v>55.779798657870174</v>
      </c>
      <c r="D70" s="130">
        <f>IF(D33=0,0,D33/TrRoad_act!D40*100)</f>
        <v>62.739935807172998</v>
      </c>
      <c r="E70" s="130">
        <f>IF(E33=0,0,E33/TrRoad_act!E40*100)</f>
        <v>54.913475463015459</v>
      </c>
      <c r="F70" s="130">
        <f>IF(F33=0,0,F33/TrRoad_act!F40*100)</f>
        <v>56.62577291835639</v>
      </c>
      <c r="G70" s="130">
        <f>IF(G33=0,0,G33/TrRoad_act!G40*100)</f>
        <v>58.139233589286043</v>
      </c>
      <c r="H70" s="130">
        <f>IF(H33=0,0,H33/TrRoad_act!H40*100)</f>
        <v>57.263209362500412</v>
      </c>
      <c r="I70" s="130">
        <f>IF(I33=0,0,I33/TrRoad_act!I40*100)</f>
        <v>59.488423523574326</v>
      </c>
      <c r="J70" s="130">
        <f>IF(J33=0,0,J33/TrRoad_act!J40*100)</f>
        <v>58.38089879021355</v>
      </c>
      <c r="K70" s="130">
        <f>IF(K33=0,0,K33/TrRoad_act!K40*100)</f>
        <v>54.528176327463299</v>
      </c>
      <c r="L70" s="130">
        <f>IF(L33=0,0,L33/TrRoad_act!L40*100)</f>
        <v>60.029986277283463</v>
      </c>
      <c r="M70" s="130">
        <f>IF(M33=0,0,M33/TrRoad_act!M40*100)</f>
        <v>60.73098638421024</v>
      </c>
      <c r="N70" s="130">
        <f>IF(N33=0,0,N33/TrRoad_act!N40*100)</f>
        <v>60.538902032880259</v>
      </c>
      <c r="O70" s="130">
        <f>IF(O33=0,0,O33/TrRoad_act!O40*100)</f>
        <v>56.628816659030925</v>
      </c>
      <c r="P70" s="130">
        <f>IF(P33=0,0,P33/TrRoad_act!P40*100)</f>
        <v>56.189589881758494</v>
      </c>
      <c r="Q70" s="130">
        <f>IF(Q33=0,0,Q33/TrRoad_act!Q40*100)</f>
        <v>54.144861618035037</v>
      </c>
      <c r="R70" s="130">
        <f>IF(R33=0,0,R33/TrRoad_act!R40*100)</f>
        <v>51.051990227784408</v>
      </c>
      <c r="S70" s="130">
        <f>IF(S33=0,0,S33/TrRoad_act!S40*100)</f>
        <v>50.015981988064226</v>
      </c>
      <c r="T70" s="130">
        <f>IF(T33=0,0,T33/TrRoad_act!T40*100)</f>
        <v>51.305936214670666</v>
      </c>
      <c r="U70" s="130">
        <f>IF(U33=0,0,U33/TrRoad_act!U40*100)</f>
        <v>51.078877345017624</v>
      </c>
      <c r="V70" s="130">
        <f>IF(V33=0,0,V33/TrRoad_act!V40*100)</f>
        <v>50.502081304860191</v>
      </c>
      <c r="W70" s="130">
        <f>IF(W33=0,0,W33/TrRoad_act!W40*100)</f>
        <v>51.346903225654039</v>
      </c>
      <c r="X70" s="130">
        <f>IF(X33=0,0,X33/TrRoad_act!X40*100)</f>
        <v>45.498601687885511</v>
      </c>
      <c r="Y70" s="130">
        <f>IF(Y33=0,0,Y33/TrRoad_act!Y40*100)</f>
        <v>51.127158261172504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21.352905054436196</v>
      </c>
      <c r="C71" s="97">
        <f>IF(C34=0,0,C34/TrRoad_act!C41*100)</f>
        <v>21.352905054436199</v>
      </c>
      <c r="D71" s="97">
        <f>IF(D34=0,0,D34/TrRoad_act!D41*100)</f>
        <v>21.352905054436203</v>
      </c>
      <c r="E71" s="97">
        <f>IF(E34=0,0,E34/TrRoad_act!E41*100)</f>
        <v>21.352905054436196</v>
      </c>
      <c r="F71" s="97">
        <f>IF(F34=0,0,F34/TrRoad_act!F41*100)</f>
        <v>21.352905054436206</v>
      </c>
      <c r="G71" s="97">
        <f>IF(G34=0,0,G34/TrRoad_act!G41*100)</f>
        <v>21.352905054436196</v>
      </c>
      <c r="H71" s="97">
        <f>IF(H34=0,0,H34/TrRoad_act!H41*100)</f>
        <v>21.352905054436203</v>
      </c>
      <c r="I71" s="97">
        <f>IF(I34=0,0,I34/TrRoad_act!I41*100)</f>
        <v>21.352905054436196</v>
      </c>
      <c r="J71" s="97">
        <f>IF(J34=0,0,J34/TrRoad_act!J41*100)</f>
        <v>21.352905054436199</v>
      </c>
      <c r="K71" s="97">
        <f>IF(K34=0,0,K34/TrRoad_act!K41*100)</f>
        <v>21.352905054436196</v>
      </c>
      <c r="L71" s="97">
        <f>IF(L34=0,0,L34/TrRoad_act!L41*100)</f>
        <v>21.352905054436199</v>
      </c>
      <c r="M71" s="97">
        <f>IF(M34=0,0,M34/TrRoad_act!M41*100)</f>
        <v>21.352905054436196</v>
      </c>
      <c r="N71" s="97">
        <f>IF(N34=0,0,N34/TrRoad_act!N41*100)</f>
        <v>21.352905054436199</v>
      </c>
      <c r="O71" s="97">
        <f>IF(O34=0,0,O34/TrRoad_act!O41*100)</f>
        <v>21.352905054436199</v>
      </c>
      <c r="P71" s="97">
        <f>IF(P34=0,0,P34/TrRoad_act!P41*100)</f>
        <v>21.352905054436199</v>
      </c>
      <c r="Q71" s="97">
        <f>IF(Q34=0,0,Q34/TrRoad_act!Q41*100)</f>
        <v>21.352905054436203</v>
      </c>
      <c r="R71" s="97">
        <f>IF(R34=0,0,R34/TrRoad_act!R41*100)</f>
        <v>21.352905054436196</v>
      </c>
      <c r="S71" s="97">
        <f>IF(S34=0,0,S34/TrRoad_act!S41*100)</f>
        <v>21.273410662141305</v>
      </c>
      <c r="T71" s="97">
        <f>IF(T34=0,0,T34/TrRoad_act!T41*100)</f>
        <v>21.273410662141309</v>
      </c>
      <c r="U71" s="97">
        <f>IF(U34=0,0,U34/TrRoad_act!U41*100)</f>
        <v>20.68432428435171</v>
      </c>
      <c r="V71" s="97">
        <f>IF(V34=0,0,V34/TrRoad_act!V41*100)</f>
        <v>20.670329778361722</v>
      </c>
      <c r="W71" s="97">
        <f>IF(W34=0,0,W34/TrRoad_act!W41*100)</f>
        <v>20.573660095673201</v>
      </c>
      <c r="X71" s="97">
        <f>IF(X34=0,0,X34/TrRoad_act!X41*100)</f>
        <v>20.478529366662329</v>
      </c>
      <c r="Y71" s="97">
        <f>IF(Y34=0,0,Y34/TrRoad_act!Y41*100)</f>
        <v>20.467348003885974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54.659256003245623</v>
      </c>
      <c r="C72" s="97">
        <f>IF(C36=0,0,C36/TrRoad_act!C42*100)</f>
        <v>67.172545299476837</v>
      </c>
      <c r="D72" s="97">
        <f>IF(D36=0,0,D36/TrRoad_act!D42*100)</f>
        <v>74.246773866345279</v>
      </c>
      <c r="E72" s="97">
        <f>IF(E36=0,0,E36/TrRoad_act!E42*100)</f>
        <v>62.323977073269951</v>
      </c>
      <c r="F72" s="97">
        <f>IF(F36=0,0,F36/TrRoad_act!F42*100)</f>
        <v>63.371948853887737</v>
      </c>
      <c r="G72" s="97">
        <f>IF(G36=0,0,G36/TrRoad_act!G42*100)</f>
        <v>63.580476138961217</v>
      </c>
      <c r="H72" s="97">
        <f>IF(H36=0,0,H36/TrRoad_act!H42*100)</f>
        <v>62.448717234397677</v>
      </c>
      <c r="I72" s="97">
        <f>IF(I36=0,0,I36/TrRoad_act!I42*100)</f>
        <v>63.023708788860645</v>
      </c>
      <c r="J72" s="97">
        <f>IF(J36=0,0,J36/TrRoad_act!J42*100)</f>
        <v>60.923750511868079</v>
      </c>
      <c r="K72" s="97">
        <f>IF(K36=0,0,K36/TrRoad_act!K42*100)</f>
        <v>56.164868264078613</v>
      </c>
      <c r="L72" s="97">
        <f>IF(L36=0,0,L36/TrRoad_act!L42*100)</f>
        <v>62.755021181646022</v>
      </c>
      <c r="M72" s="97">
        <f>IF(M36=0,0,M36/TrRoad_act!M42*100)</f>
        <v>63.329494359284574</v>
      </c>
      <c r="N72" s="97">
        <f>IF(N36=0,0,N36/TrRoad_act!N42*100)</f>
        <v>62.78402505869898</v>
      </c>
      <c r="O72" s="97">
        <f>IF(O36=0,0,O36/TrRoad_act!O42*100)</f>
        <v>58.655582658784958</v>
      </c>
      <c r="P72" s="97">
        <f>IF(P36=0,0,P36/TrRoad_act!P42*100)</f>
        <v>58.204067592569153</v>
      </c>
      <c r="Q72" s="97">
        <f>IF(Q36=0,0,Q36/TrRoad_act!Q42*100)</f>
        <v>55.824552680368519</v>
      </c>
      <c r="R72" s="97">
        <f>IF(R36=0,0,R36/TrRoad_act!R42*100)</f>
        <v>52.628252392464958</v>
      </c>
      <c r="S72" s="97">
        <f>IF(S36=0,0,S36/TrRoad_act!S42*100)</f>
        <v>52.539942474288971</v>
      </c>
      <c r="T72" s="97">
        <f>IF(T36=0,0,T36/TrRoad_act!T42*100)</f>
        <v>51.997794215821855</v>
      </c>
      <c r="U72" s="97">
        <f>IF(U36=0,0,U36/TrRoad_act!U42*100)</f>
        <v>51.847404673720895</v>
      </c>
      <c r="V72" s="97">
        <f>IF(V36=0,0,V36/TrRoad_act!V42*100)</f>
        <v>50.837112472174908</v>
      </c>
      <c r="W72" s="97">
        <f>IF(W36=0,0,W36/TrRoad_act!W42*100)</f>
        <v>53.408614134470199</v>
      </c>
      <c r="X72" s="97">
        <f>IF(X36=0,0,X36/TrRoad_act!X42*100)</f>
        <v>52.863866242737636</v>
      </c>
      <c r="Y72" s="97">
        <f>IF(Y36=0,0,Y36/TrRoad_act!Y42*100)</f>
        <v>55.00889784502386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46.661104929787832</v>
      </c>
      <c r="U73" s="97">
        <f>IF(U38=0,0,U38/TrRoad_act!U43*100)</f>
        <v>46.66110492978784</v>
      </c>
      <c r="V73" s="97">
        <f>IF(V38=0,0,V38/TrRoad_act!V43*100)</f>
        <v>46.66110492978784</v>
      </c>
      <c r="W73" s="97">
        <f>IF(W38=0,0,W38/TrRoad_act!W43*100)</f>
        <v>46.661104929787832</v>
      </c>
      <c r="X73" s="97">
        <f>IF(X38=0,0,X38/TrRoad_act!X43*100)</f>
        <v>46.66110492978784</v>
      </c>
      <c r="Y73" s="97">
        <f>IF(Y38=0,0,Y38/TrRoad_act!Y43*100)</f>
        <v>46.661104929787847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50.722529753293713</v>
      </c>
      <c r="M74" s="97">
        <f>IF(M39=0,0,M39/TrRoad_act!M44*100)</f>
        <v>91.803223715587052</v>
      </c>
      <c r="N74" s="97">
        <f>IF(N39=0,0,N39/TrRoad_act!N44*100)</f>
        <v>165.89937507327289</v>
      </c>
      <c r="O74" s="97">
        <f>IF(O39=0,0,O39/TrRoad_act!O44*100)</f>
        <v>55.17292607112865</v>
      </c>
      <c r="P74" s="97">
        <f>IF(P39=0,0,P39/TrRoad_act!P44*100)</f>
        <v>49.317159122112059</v>
      </c>
      <c r="Q74" s="97">
        <f>IF(Q39=0,0,Q39/TrRoad_act!Q44*100)</f>
        <v>53.460381306329865</v>
      </c>
      <c r="R74" s="97">
        <f>IF(R39=0,0,R39/TrRoad_act!R44*100)</f>
        <v>44.323009988809289</v>
      </c>
      <c r="S74" s="97">
        <f>IF(S39=0,0,S39/TrRoad_act!S44*100)</f>
        <v>25.768348472699387</v>
      </c>
      <c r="T74" s="97">
        <f>IF(T39=0,0,T39/TrRoad_act!T44*100)</f>
        <v>59.499672572013729</v>
      </c>
      <c r="U74" s="97">
        <f>IF(U39=0,0,U39/TrRoad_act!U44*100)</f>
        <v>58.230157812965174</v>
      </c>
      <c r="V74" s="97">
        <f>IF(V39=0,0,V39/TrRoad_act!V44*100)</f>
        <v>59.496256888063535</v>
      </c>
      <c r="W74" s="97">
        <f>IF(W39=0,0,W39/TrRoad_act!W44*100)</f>
        <v>43.387193882993849</v>
      </c>
      <c r="X74" s="97">
        <f>IF(X39=0,0,X39/TrRoad_act!X44*100)</f>
        <v>13.992351806647218</v>
      </c>
      <c r="Y74" s="97">
        <f>IF(Y39=0,0,Y39/TrRoad_act!Y44*100)</f>
        <v>38.415891826274823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32.07464573922428</v>
      </c>
      <c r="M75" s="97">
        <f>IF(M41=0,0,M41/TrRoad_act!M45*100)</f>
        <v>32.07464573922428</v>
      </c>
      <c r="N75" s="97">
        <f>IF(N41=0,0,N41/TrRoad_act!N45*100)</f>
        <v>32.07464573922428</v>
      </c>
      <c r="O75" s="97">
        <f>IF(O41=0,0,O41/TrRoad_act!O45*100)</f>
        <v>32.074645739224287</v>
      </c>
      <c r="P75" s="97">
        <f>IF(P41=0,0,P41/TrRoad_act!P45*100)</f>
        <v>32.07464573922428</v>
      </c>
      <c r="Q75" s="97">
        <f>IF(Q41=0,0,Q41/TrRoad_act!Q45*100)</f>
        <v>32.074645739224273</v>
      </c>
      <c r="R75" s="97">
        <f>IF(R41=0,0,R41/TrRoad_act!R45*100)</f>
        <v>32.07464573922428</v>
      </c>
      <c r="S75" s="97">
        <f>IF(S41=0,0,S41/TrRoad_act!S45*100)</f>
        <v>32.074645739224287</v>
      </c>
      <c r="T75" s="97">
        <f>IF(T41=0,0,T41/TrRoad_act!T45*100)</f>
        <v>32.07464573922428</v>
      </c>
      <c r="U75" s="97">
        <f>IF(U41=0,0,U41/TrRoad_act!U45*100)</f>
        <v>32.07464573922428</v>
      </c>
      <c r="V75" s="97">
        <f>IF(V41=0,0,V41/TrRoad_act!V45*100)</f>
        <v>32.07464573922428</v>
      </c>
      <c r="W75" s="97">
        <f>IF(W41=0,0,W41/TrRoad_act!W45*100)</f>
        <v>32.115706175871708</v>
      </c>
      <c r="X75" s="97">
        <f>IF(X41=0,0,X41/TrRoad_act!X45*100)</f>
        <v>32.116846784762323</v>
      </c>
      <c r="Y75" s="97">
        <f>IF(Y41=0,0,Y41/TrRoad_act!Y45*100)</f>
        <v>32.134224572164925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13.998236322667438</v>
      </c>
      <c r="C76" s="32">
        <f>IF(C42=0,0,C42/TrRoad_act!C46*100)</f>
        <v>16.133344201191406</v>
      </c>
      <c r="D76" s="32">
        <f>IF(D42=0,0,D42/TrRoad_act!D46*100)</f>
        <v>18.389787123675259</v>
      </c>
      <c r="E76" s="32">
        <f>IF(E42=0,0,E42/TrRoad_act!E46*100)</f>
        <v>17.478903205433298</v>
      </c>
      <c r="F76" s="32">
        <f>IF(F42=0,0,F42/TrRoad_act!F46*100)</f>
        <v>18.450859478697481</v>
      </c>
      <c r="G76" s="32">
        <f>IF(G42=0,0,G42/TrRoad_act!G46*100)</f>
        <v>19.236317836027588</v>
      </c>
      <c r="H76" s="32">
        <f>IF(H42=0,0,H42/TrRoad_act!H46*100)</f>
        <v>19.562561250055175</v>
      </c>
      <c r="I76" s="32">
        <f>IF(I42=0,0,I42/TrRoad_act!I46*100)</f>
        <v>21.059401329711271</v>
      </c>
      <c r="J76" s="32">
        <f>IF(J42=0,0,J42/TrRoad_act!J46*100)</f>
        <v>20.80217264901631</v>
      </c>
      <c r="K76" s="32">
        <f>IF(K42=0,0,K42/TrRoad_act!K46*100)</f>
        <v>17.966084852716556</v>
      </c>
      <c r="L76" s="32">
        <f>IF(L42=0,0,L42/TrRoad_act!L46*100)</f>
        <v>20.681660019046639</v>
      </c>
      <c r="M76" s="32">
        <f>IF(M42=0,0,M42/TrRoad_act!M46*100)</f>
        <v>21.361508979295639</v>
      </c>
      <c r="N76" s="32">
        <f>IF(N42=0,0,N42/TrRoad_act!N46*100)</f>
        <v>20.836164811874706</v>
      </c>
      <c r="O76" s="32">
        <f>IF(O42=0,0,O42/TrRoad_act!O46*100)</f>
        <v>18.687492527154216</v>
      </c>
      <c r="P76" s="32">
        <f>IF(P42=0,0,P42/TrRoad_act!P46*100)</f>
        <v>17.73048461436667</v>
      </c>
      <c r="Q76" s="32">
        <f>IF(Q42=0,0,Q42/TrRoad_act!Q46*100)</f>
        <v>16.481159238619171</v>
      </c>
      <c r="R76" s="32">
        <f>IF(R42=0,0,R42/TrRoad_act!R46*100)</f>
        <v>14.704742133683613</v>
      </c>
      <c r="S76" s="32">
        <f>IF(S42=0,0,S42/TrRoad_act!S46*100)</f>
        <v>13.531195766502821</v>
      </c>
      <c r="T76" s="32">
        <f>IF(T42=0,0,T42/TrRoad_act!T46*100)</f>
        <v>12.95126295646855</v>
      </c>
      <c r="U76" s="32">
        <f>IF(U42=0,0,U42/TrRoad_act!U46*100)</f>
        <v>12.233848598936499</v>
      </c>
      <c r="V76" s="32">
        <f>IF(V42=0,0,V42/TrRoad_act!V46*100)</f>
        <v>11.520602159709878</v>
      </c>
      <c r="W76" s="32">
        <f>IF(W42=0,0,W42/TrRoad_act!W46*100)</f>
        <v>12.688548248927789</v>
      </c>
      <c r="X76" s="32">
        <f>IF(X42=0,0,X42/TrRoad_act!X46*100)</f>
        <v>12.892090983563634</v>
      </c>
      <c r="Y76" s="32">
        <f>IF(Y42=0,0,Y42/TrRoad_act!Y46*100)</f>
        <v>13.415105487528226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10.318632774863591</v>
      </c>
      <c r="C77" s="141">
        <f>IF(C43=0,0,C43/TrRoad_act!C47*100)</f>
        <v>12.203607825875844</v>
      </c>
      <c r="D77" s="141">
        <f>IF(D43=0,0,D43/TrRoad_act!D47*100)</f>
        <v>13.269102061028612</v>
      </c>
      <c r="E77" s="141">
        <f>IF(E43=0,0,E43/TrRoad_act!E47*100)</f>
        <v>11.635919488522662</v>
      </c>
      <c r="F77" s="141">
        <f>IF(F43=0,0,F43/TrRoad_act!F47*100)</f>
        <v>11.732439121342134</v>
      </c>
      <c r="G77" s="141">
        <f>IF(G43=0,0,G43/TrRoad_act!G47*100)</f>
        <v>11.727393815050133</v>
      </c>
      <c r="H77" s="141">
        <f>IF(H43=0,0,H43/TrRoad_act!H47*100)</f>
        <v>11.469177761659163</v>
      </c>
      <c r="I77" s="141">
        <f>IF(I43=0,0,I43/TrRoad_act!I47*100)</f>
        <v>11.51505566531473</v>
      </c>
      <c r="J77" s="141">
        <f>IF(J43=0,0,J43/TrRoad_act!J47*100)</f>
        <v>11.099222344310087</v>
      </c>
      <c r="K77" s="141">
        <f>IF(K43=0,0,K43/TrRoad_act!K47*100)</f>
        <v>10.31099926439536</v>
      </c>
      <c r="L77" s="141">
        <f>IF(L43=0,0,L43/TrRoad_act!L47*100)</f>
        <v>11.215941726303161</v>
      </c>
      <c r="M77" s="141">
        <f>IF(M43=0,0,M43/TrRoad_act!M47*100)</f>
        <v>11.229000008514747</v>
      </c>
      <c r="N77" s="141">
        <f>IF(N43=0,0,N43/TrRoad_act!N47*100)</f>
        <v>11.065618878291222</v>
      </c>
      <c r="O77" s="141">
        <f>IF(O43=0,0,O43/TrRoad_act!O47*100)</f>
        <v>10.376275567445376</v>
      </c>
      <c r="P77" s="141">
        <f>IF(P43=0,0,P43/TrRoad_act!P47*100)</f>
        <v>10.17784223533779</v>
      </c>
      <c r="Q77" s="141">
        <f>IF(Q43=0,0,Q43/TrRoad_act!Q47*100)</f>
        <v>9.6397507285143682</v>
      </c>
      <c r="R77" s="141">
        <f>IF(R43=0,0,R43/TrRoad_act!R47*100)</f>
        <v>9.0387387738038587</v>
      </c>
      <c r="S77" s="141">
        <f>IF(S43=0,0,S43/TrRoad_act!S47*100)</f>
        <v>8.895951495174554</v>
      </c>
      <c r="T77" s="141">
        <f>IF(T43=0,0,T43/TrRoad_act!T47*100)</f>
        <v>8.7410941613285775</v>
      </c>
      <c r="U77" s="141">
        <f>IF(U43=0,0,U43/TrRoad_act!U47*100)</f>
        <v>8.670500780442298</v>
      </c>
      <c r="V77" s="141">
        <f>IF(V43=0,0,V43/TrRoad_act!V47*100)</f>
        <v>8.4729511851394523</v>
      </c>
      <c r="W77" s="141">
        <f>IF(W43=0,0,W43/TrRoad_act!W47*100)</f>
        <v>8.8533844019167187</v>
      </c>
      <c r="X77" s="141">
        <f>IF(X43=0,0,X43/TrRoad_act!X47*100)</f>
        <v>8.7471512528295303</v>
      </c>
      <c r="Y77" s="141">
        <f>IF(Y43=0,0,Y43/TrRoad_act!Y47*100)</f>
        <v>9.0971854611760516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10.86528996468582</v>
      </c>
      <c r="C78" s="96">
        <f>IF(C44=0,0,C44/TrRoad_act!C48*100)</f>
        <v>10.784204435936179</v>
      </c>
      <c r="D78" s="96">
        <f>IF(D44=0,0,D44/TrRoad_act!D48*100)</f>
        <v>10.722027620115538</v>
      </c>
      <c r="E78" s="96">
        <f>IF(E44=0,0,E44/TrRoad_act!E48*100)</f>
        <v>10.662390855121814</v>
      </c>
      <c r="F78" s="96">
        <f>IF(F44=0,0,F44/TrRoad_act!F48*100)</f>
        <v>10.58570088255119</v>
      </c>
      <c r="G78" s="96">
        <f>IF(G44=0,0,G44/TrRoad_act!G48*100)</f>
        <v>10.489028014359086</v>
      </c>
      <c r="H78" s="96">
        <f>IF(H44=0,0,H44/TrRoad_act!H48*100)</f>
        <v>10.388762021812269</v>
      </c>
      <c r="I78" s="96">
        <f>IF(I44=0,0,I44/TrRoad_act!I48*100)</f>
        <v>10.288949181584396</v>
      </c>
      <c r="J78" s="96">
        <f>IF(J44=0,0,J44/TrRoad_act!J48*100)</f>
        <v>10.10887331669278</v>
      </c>
      <c r="K78" s="96">
        <f>IF(K44=0,0,K44/TrRoad_act!K48*100)</f>
        <v>9.9550717818162511</v>
      </c>
      <c r="L78" s="96">
        <f>IF(L44=0,0,L44/TrRoad_act!L48*100)</f>
        <v>9.8555176253621024</v>
      </c>
      <c r="M78" s="96">
        <f>IF(M44=0,0,M44/TrRoad_act!M48*100)</f>
        <v>9.7583744056043003</v>
      </c>
      <c r="N78" s="96">
        <f>IF(N44=0,0,N44/TrRoad_act!N48*100)</f>
        <v>9.6223592583642521</v>
      </c>
      <c r="O78" s="96">
        <f>IF(O44=0,0,O44/TrRoad_act!O48*100)</f>
        <v>9.5057799280704618</v>
      </c>
      <c r="P78" s="96">
        <f>IF(P44=0,0,P44/TrRoad_act!P48*100)</f>
        <v>9.4325061203470568</v>
      </c>
      <c r="Q78" s="96">
        <f>IF(Q44=0,0,Q44/TrRoad_act!Q48*100)</f>
        <v>9.2398913416605168</v>
      </c>
      <c r="R78" s="96">
        <f>IF(R44=0,0,R44/TrRoad_act!R48*100)</f>
        <v>9.0483520553830665</v>
      </c>
      <c r="S78" s="96">
        <f>IF(S44=0,0,S44/TrRoad_act!S48*100)</f>
        <v>8.8959734447160148</v>
      </c>
      <c r="T78" s="96">
        <f>IF(T44=0,0,T44/TrRoad_act!T48*100)</f>
        <v>8.7738770184888022</v>
      </c>
      <c r="U78" s="96">
        <f>IF(U44=0,0,U44/TrRoad_act!U48*100)</f>
        <v>8.7220645132975623</v>
      </c>
      <c r="V78" s="96">
        <f>IF(V44=0,0,V44/TrRoad_act!V48*100)</f>
        <v>8.5694685975652032</v>
      </c>
      <c r="W78" s="96">
        <f>IF(W44=0,0,W44/TrRoad_act!W48*100)</f>
        <v>8.4310448906391482</v>
      </c>
      <c r="X78" s="96">
        <f>IF(X44=0,0,X44/TrRoad_act!X48*100)</f>
        <v>8.3007469807046466</v>
      </c>
      <c r="Y78" s="96">
        <f>IF(Y44=0,0,Y44/TrRoad_act!Y48*100)</f>
        <v>8.2540434491414381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10.136500494177739</v>
      </c>
      <c r="C79" s="96">
        <f>IF(C46=0,0,C46/TrRoad_act!C49*100)</f>
        <v>12.729764842767075</v>
      </c>
      <c r="D79" s="96">
        <f>IF(D46=0,0,D46/TrRoad_act!D49*100)</f>
        <v>14.195593809705507</v>
      </c>
      <c r="E79" s="96">
        <f>IF(E46=0,0,E46/TrRoad_act!E49*100)</f>
        <v>11.979348001868614</v>
      </c>
      <c r="F79" s="96">
        <f>IF(F46=0,0,F46/TrRoad_act!F49*100)</f>
        <v>12.175490618115749</v>
      </c>
      <c r="G79" s="96">
        <f>IF(G46=0,0,G46/TrRoad_act!G49*100)</f>
        <v>12.179418447512735</v>
      </c>
      <c r="H79" s="96">
        <f>IF(H46=0,0,H46/TrRoad_act!H49*100)</f>
        <v>11.877568610802443</v>
      </c>
      <c r="I79" s="96">
        <f>IF(I46=0,0,I46/TrRoad_act!I49*100)</f>
        <v>11.914641904028667</v>
      </c>
      <c r="J79" s="96">
        <f>IF(J46=0,0,J46/TrRoad_act!J49*100)</f>
        <v>11.412868405147247</v>
      </c>
      <c r="K79" s="96">
        <f>IF(K46=0,0,K46/TrRoad_act!K49*100)</f>
        <v>10.414840816546073</v>
      </c>
      <c r="L79" s="96">
        <f>IF(L46=0,0,L46/TrRoad_act!L49*100)</f>
        <v>11.571195674702404</v>
      </c>
      <c r="M79" s="96">
        <f>IF(M46=0,0,M46/TrRoad_act!M49*100)</f>
        <v>11.618620273372589</v>
      </c>
      <c r="N79" s="96">
        <f>IF(N46=0,0,N46/TrRoad_act!N49*100)</f>
        <v>11.41184399745468</v>
      </c>
      <c r="O79" s="96">
        <f>IF(O46=0,0,O46/TrRoad_act!O49*100)</f>
        <v>10.54823905716761</v>
      </c>
      <c r="P79" s="96">
        <f>IF(P46=0,0,P46/TrRoad_act!P49*100)</f>
        <v>10.31382723759326</v>
      </c>
      <c r="Q79" s="96">
        <f>IF(Q46=0,0,Q46/TrRoad_act!Q49*100)</f>
        <v>9.7086743400572022</v>
      </c>
      <c r="R79" s="96">
        <f>IF(R46=0,0,R46/TrRoad_act!R49*100)</f>
        <v>9.0396584829331754</v>
      </c>
      <c r="S79" s="96">
        <f>IF(S46=0,0,S46/TrRoad_act!S49*100)</f>
        <v>8.8998372113354787</v>
      </c>
      <c r="T79" s="96">
        <f>IF(T46=0,0,T46/TrRoad_act!T49*100)</f>
        <v>8.7408396842984661</v>
      </c>
      <c r="U79" s="96">
        <f>IF(U46=0,0,U46/TrRoad_act!U49*100)</f>
        <v>8.6686052375307163</v>
      </c>
      <c r="V79" s="96">
        <f>IF(V46=0,0,V46/TrRoad_act!V49*100)</f>
        <v>8.4668261649661414</v>
      </c>
      <c r="W79" s="96">
        <f>IF(W46=0,0,W46/TrRoad_act!W49*100)</f>
        <v>8.8928449657608315</v>
      </c>
      <c r="X79" s="96">
        <f>IF(X46=0,0,X46/TrRoad_act!X49*100)</f>
        <v>8.7843875942569909</v>
      </c>
      <c r="Y79" s="96">
        <f>IF(Y46=0,0,Y46/TrRoad_act!Y49*100)</f>
        <v>9.1586435262293637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8.4435346334553234</v>
      </c>
      <c r="S80" s="96">
        <f>IF(S48=0,0,S48/TrRoad_act!S50*100)</f>
        <v>7.6206531182745714</v>
      </c>
      <c r="T80" s="96">
        <f>IF(T48=0,0,T48/TrRoad_act!T50*100)</f>
        <v>7.5690147533585064</v>
      </c>
      <c r="U80" s="96">
        <f>IF(U48=0,0,U48/TrRoad_act!U50*100)</f>
        <v>7.7494895309755671</v>
      </c>
      <c r="V80" s="96">
        <f>IF(V48=0,0,V48/TrRoad_act!V50*100)</f>
        <v>7.7589838685229378</v>
      </c>
      <c r="W80" s="96">
        <f>IF(W48=0,0,W48/TrRoad_act!W50*100)</f>
        <v>7.7589838685229369</v>
      </c>
      <c r="X80" s="96">
        <f>IF(X48=0,0,X48/TrRoad_act!X50*100)</f>
        <v>7.7694504113724765</v>
      </c>
      <c r="Y80" s="96">
        <f>IF(Y48=0,0,Y48/TrRoad_act!Y50*100)</f>
        <v>7.7155282838212615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8.8591624246850653</v>
      </c>
      <c r="O81" s="96">
        <f>IF(O49=0,0,O49/TrRoad_act!O51*100)</f>
        <v>8.9364056272629853</v>
      </c>
      <c r="P81" s="96">
        <f>IF(P49=0,0,P49/TrRoad_act!P51*100)</f>
        <v>9.3920923274426951</v>
      </c>
      <c r="Q81" s="96">
        <f>IF(Q49=0,0,Q49/TrRoad_act!Q51*100)</f>
        <v>9.1215959234321939</v>
      </c>
      <c r="R81" s="96">
        <f>IF(R49=0,0,R49/TrRoad_act!R51*100)</f>
        <v>9.1236720778891325</v>
      </c>
      <c r="S81" s="96">
        <f>IF(S49=0,0,S49/TrRoad_act!S51*100)</f>
        <v>8.0529625420178714</v>
      </c>
      <c r="T81" s="96">
        <f>IF(T49=0,0,T49/TrRoad_act!T51*100)</f>
        <v>7.8562811614489387</v>
      </c>
      <c r="U81" s="96">
        <f>IF(U49=0,0,U49/TrRoad_act!U51*100)</f>
        <v>7.8183305805525851</v>
      </c>
      <c r="V81" s="96">
        <f>IF(V49=0,0,V49/TrRoad_act!V51*100)</f>
        <v>7.8767591474371335</v>
      </c>
      <c r="W81" s="96">
        <f>IF(W49=0,0,W49/TrRoad_act!W51*100)</f>
        <v>7.8912761424247204</v>
      </c>
      <c r="X81" s="96">
        <f>IF(X49=0,0,X49/TrRoad_act!X51*100)</f>
        <v>7.8992869493549778</v>
      </c>
      <c r="Y81" s="96">
        <f>IF(Y49=0,0,Y49/TrRoad_act!Y51*100)</f>
        <v>7.8366031506895988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1.3002951311446636</v>
      </c>
      <c r="J82" s="96">
        <f>IF(J51=0,0,J51/TrRoad_act!J52*100)</f>
        <v>1.3002951311446633</v>
      </c>
      <c r="K82" s="96">
        <f>IF(K51=0,0,K51/TrRoad_act!K52*100)</f>
        <v>1.3002951311446633</v>
      </c>
      <c r="L82" s="96">
        <f>IF(L51=0,0,L51/TrRoad_act!L52*100)</f>
        <v>1.3002951311446633</v>
      </c>
      <c r="M82" s="96">
        <f>IF(M51=0,0,M51/TrRoad_act!M52*100)</f>
        <v>1.3002951311446636</v>
      </c>
      <c r="N82" s="96">
        <f>IF(N51=0,0,N51/TrRoad_act!N52*100)</f>
        <v>1.3110528293062318</v>
      </c>
      <c r="O82" s="96">
        <f>IF(O51=0,0,O51/TrRoad_act!O52*100)</f>
        <v>1.3347466529691621</v>
      </c>
      <c r="P82" s="96">
        <f>IF(P51=0,0,P51/TrRoad_act!P52*100)</f>
        <v>1.6472580112622734</v>
      </c>
      <c r="Q82" s="96">
        <f>IF(Q51=0,0,Q51/TrRoad_act!Q52*100)</f>
        <v>1.6662785507907278</v>
      </c>
      <c r="R82" s="96">
        <f>IF(R51=0,0,R51/TrRoad_act!R52*100)</f>
        <v>1.7267605699722435</v>
      </c>
      <c r="S82" s="96">
        <f>IF(S51=0,0,S51/TrRoad_act!S52*100)</f>
        <v>1.7640264983561775</v>
      </c>
      <c r="T82" s="96">
        <f>IF(T51=0,0,T51/TrRoad_act!T52*100)</f>
        <v>1.8086777800192047</v>
      </c>
      <c r="U82" s="96">
        <f>IF(U51=0,0,U51/TrRoad_act!U52*100)</f>
        <v>1.8575936963495323</v>
      </c>
      <c r="V82" s="96">
        <f>IF(V51=0,0,V51/TrRoad_act!V52*100)</f>
        <v>2.6635435820065729</v>
      </c>
      <c r="W82" s="96">
        <f>IF(W51=0,0,W51/TrRoad_act!W52*100)</f>
        <v>3.2138170025119219</v>
      </c>
      <c r="X82" s="96">
        <f>IF(X51=0,0,X51/TrRoad_act!X52*100)</f>
        <v>2.8250821880077095</v>
      </c>
      <c r="Y82" s="96">
        <f>IF(Y51=0,0,Y51/TrRoad_act!Y52*100)</f>
        <v>2.7373270537228405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34.90866143120909</v>
      </c>
      <c r="C83" s="130">
        <f>IF(C52=0,0,C52/TrRoad_act!C53*100)</f>
        <v>42.180094947274434</v>
      </c>
      <c r="D83" s="130">
        <f>IF(D52=0,0,D52/TrRoad_act!D53*100)</f>
        <v>45.028112710089296</v>
      </c>
      <c r="E83" s="130">
        <f>IF(E52=0,0,E52/TrRoad_act!E53*100)</f>
        <v>37.216556812615309</v>
      </c>
      <c r="F83" s="130">
        <f>IF(F52=0,0,F52/TrRoad_act!F53*100)</f>
        <v>38.319481941080802</v>
      </c>
      <c r="G83" s="130">
        <f>IF(G52=0,0,G52/TrRoad_act!G53*100)</f>
        <v>39.323968638979863</v>
      </c>
      <c r="H83" s="130">
        <f>IF(H52=0,0,H52/TrRoad_act!H53*100)</f>
        <v>39.277085265145566</v>
      </c>
      <c r="I83" s="130">
        <f>IF(I52=0,0,I52/TrRoad_act!I53*100)</f>
        <v>41.445270083510771</v>
      </c>
      <c r="J83" s="130">
        <f>IF(J52=0,0,J52/TrRoad_act!J53*100)</f>
        <v>41.637733944073709</v>
      </c>
      <c r="K83" s="130">
        <f>IF(K52=0,0,K52/TrRoad_act!K53*100)</f>
        <v>39.410655505399937</v>
      </c>
      <c r="L83" s="130">
        <f>IF(L52=0,0,L52/TrRoad_act!L53*100)</f>
        <v>48.52924311622256</v>
      </c>
      <c r="M83" s="130">
        <f>IF(M52=0,0,M52/TrRoad_act!M53*100)</f>
        <v>48.990310178130834</v>
      </c>
      <c r="N83" s="130">
        <f>IF(N52=0,0,N52/TrRoad_act!N53*100)</f>
        <v>49.047809469336087</v>
      </c>
      <c r="O83" s="130">
        <f>IF(O52=0,0,O52/TrRoad_act!O53*100)</f>
        <v>42.783257339944448</v>
      </c>
      <c r="P83" s="130">
        <f>IF(P52=0,0,P52/TrRoad_act!P53*100)</f>
        <v>41.89212993819573</v>
      </c>
      <c r="Q83" s="130">
        <f>IF(Q52=0,0,Q52/TrRoad_act!Q53*100)</f>
        <v>38.080388412725632</v>
      </c>
      <c r="R83" s="130">
        <f>IF(R52=0,0,R52/TrRoad_act!R53*100)</f>
        <v>32.647223166036589</v>
      </c>
      <c r="S83" s="130">
        <f>IF(S52=0,0,S52/TrRoad_act!S53*100)</f>
        <v>31.943250258833089</v>
      </c>
      <c r="T83" s="130">
        <f>IF(T52=0,0,T52/TrRoad_act!T53*100)</f>
        <v>30.90916787216652</v>
      </c>
      <c r="U83" s="130">
        <f>IF(U52=0,0,U52/TrRoad_act!U53*100)</f>
        <v>29.808201068459166</v>
      </c>
      <c r="V83" s="130">
        <f>IF(V52=0,0,V52/TrRoad_act!V53*100)</f>
        <v>27.769328744198628</v>
      </c>
      <c r="W83" s="130">
        <f>IF(W52=0,0,W52/TrRoad_act!W53*100)</f>
        <v>31.153055254132251</v>
      </c>
      <c r="X83" s="130">
        <f>IF(X52=0,0,X52/TrRoad_act!X53*100)</f>
        <v>32.388768029601849</v>
      </c>
      <c r="Y83" s="130">
        <f>IF(Y52=0,0,Y52/TrRoad_act!Y53*100)</f>
        <v>36.683595886949604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33.522163342862491</v>
      </c>
      <c r="C84" s="97">
        <f>IF(C53=0,0,C53/TrRoad_act!C54*100)</f>
        <v>40.259572561909707</v>
      </c>
      <c r="D84" s="97">
        <f>IF(D53=0,0,D53/TrRoad_act!D54*100)</f>
        <v>43.241477969141187</v>
      </c>
      <c r="E84" s="97">
        <f>IF(E53=0,0,E53/TrRoad_act!E54*100)</f>
        <v>36.115595930596754</v>
      </c>
      <c r="F84" s="97">
        <f>IF(F53=0,0,F53/TrRoad_act!F54*100)</f>
        <v>37.181163299382817</v>
      </c>
      <c r="G84" s="97">
        <f>IF(G53=0,0,G53/TrRoad_act!G54*100)</f>
        <v>38.178729751979795</v>
      </c>
      <c r="H84" s="97">
        <f>IF(H53=0,0,H53/TrRoad_act!H54*100)</f>
        <v>38.170055558752651</v>
      </c>
      <c r="I84" s="97">
        <f>IF(I53=0,0,I53/TrRoad_act!I54*100)</f>
        <v>40.278820391379092</v>
      </c>
      <c r="J84" s="97">
        <f>IF(J53=0,0,J53/TrRoad_act!J54*100)</f>
        <v>40.518957781139171</v>
      </c>
      <c r="K84" s="97">
        <f>IF(K53=0,0,K53/TrRoad_act!K54*100)</f>
        <v>38.328383856390914</v>
      </c>
      <c r="L84" s="97">
        <f>IF(L53=0,0,L53/TrRoad_act!L54*100)</f>
        <v>47.161903877832316</v>
      </c>
      <c r="M84" s="97">
        <f>IF(M53=0,0,M53/TrRoad_act!M54*100)</f>
        <v>47.646345747504739</v>
      </c>
      <c r="N84" s="97">
        <f>IF(N53=0,0,N53/TrRoad_act!N54*100)</f>
        <v>47.717314607241136</v>
      </c>
      <c r="O84" s="97">
        <f>IF(O53=0,0,O53/TrRoad_act!O54*100)</f>
        <v>41.565919472243039</v>
      </c>
      <c r="P84" s="97">
        <f>IF(P53=0,0,P53/TrRoad_act!P54*100)</f>
        <v>40.61115624686262</v>
      </c>
      <c r="Q84" s="97">
        <f>IF(Q53=0,0,Q53/TrRoad_act!Q54*100)</f>
        <v>36.770952146576072</v>
      </c>
      <c r="R84" s="97">
        <f>IF(R53=0,0,R53/TrRoad_act!R54*100)</f>
        <v>31.52589879856021</v>
      </c>
      <c r="S84" s="97">
        <f>IF(S53=0,0,S53/TrRoad_act!S54*100)</f>
        <v>30.626720126759889</v>
      </c>
      <c r="T84" s="97">
        <f>IF(T53=0,0,T53/TrRoad_act!T54*100)</f>
        <v>29.546172400089837</v>
      </c>
      <c r="U84" s="97">
        <f>IF(U53=0,0,U53/TrRoad_act!U54*100)</f>
        <v>28.259535097414261</v>
      </c>
      <c r="V84" s="97">
        <f>IF(V53=0,0,V53/TrRoad_act!V54*100)</f>
        <v>25.936806959473053</v>
      </c>
      <c r="W84" s="97">
        <f>IF(W53=0,0,W53/TrRoad_act!W54*100)</f>
        <v>29.424941926949842</v>
      </c>
      <c r="X84" s="97">
        <f>IF(X53=0,0,X53/TrRoad_act!X54*100)</f>
        <v>30.313798440777255</v>
      </c>
      <c r="Y84" s="97">
        <f>IF(Y53=0,0,Y53/TrRoad_act!Y54*100)</f>
        <v>34.140160659723797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38.251896481791547</v>
      </c>
      <c r="C85" s="98">
        <f>IF(C55=0,0,C55/TrRoad_act!C55*100)</f>
        <v>45.633538875748236</v>
      </c>
      <c r="D85" s="98">
        <f>IF(D55=0,0,D55/TrRoad_act!D55*100)</f>
        <v>49.223550259826915</v>
      </c>
      <c r="E85" s="98">
        <f>IF(E55=0,0,E55/TrRoad_act!E55*100)</f>
        <v>41.340967729492668</v>
      </c>
      <c r="F85" s="98">
        <f>IF(F55=0,0,F55/TrRoad_act!F55*100)</f>
        <v>42.206862379391339</v>
      </c>
      <c r="G85" s="98">
        <f>IF(G55=0,0,G55/TrRoad_act!G55*100)</f>
        <v>43.180135527351347</v>
      </c>
      <c r="H85" s="98">
        <f>IF(H55=0,0,H55/TrRoad_act!H55*100)</f>
        <v>42.956987732240151</v>
      </c>
      <c r="I85" s="98">
        <f>IF(I55=0,0,I55/TrRoad_act!I55*100)</f>
        <v>45.174118557170821</v>
      </c>
      <c r="J85" s="98">
        <f>IF(J55=0,0,J55/TrRoad_act!J55*100)</f>
        <v>45.415624299248279</v>
      </c>
      <c r="K85" s="98">
        <f>IF(K55=0,0,K55/TrRoad_act!K55*100)</f>
        <v>42.659552082877326</v>
      </c>
      <c r="L85" s="98">
        <f>IF(L55=0,0,L55/TrRoad_act!L55*100)</f>
        <v>52.244412496191295</v>
      </c>
      <c r="M85" s="98">
        <f>IF(M55=0,0,M55/TrRoad_act!M55*100)</f>
        <v>52.416182415189674</v>
      </c>
      <c r="N85" s="98">
        <f>IF(N55=0,0,N55/TrRoad_act!N55*100)</f>
        <v>52.279762159124651</v>
      </c>
      <c r="O85" s="98">
        <f>IF(O55=0,0,O55/TrRoad_act!O55*100)</f>
        <v>45.383863549549545</v>
      </c>
      <c r="P85" s="98">
        <f>IF(P55=0,0,P55/TrRoad_act!P55*100)</f>
        <v>44.42506206132181</v>
      </c>
      <c r="Q85" s="98">
        <f>IF(Q55=0,0,Q55/TrRoad_act!Q55*100)</f>
        <v>40.218879944131466</v>
      </c>
      <c r="R85" s="98">
        <f>IF(R55=0,0,R55/TrRoad_act!R55*100)</f>
        <v>34.749396053555856</v>
      </c>
      <c r="S85" s="98">
        <f>IF(S55=0,0,S55/TrRoad_act!S55*100)</f>
        <v>34.088030035937287</v>
      </c>
      <c r="T85" s="98">
        <f>IF(T55=0,0,T55/TrRoad_act!T55*100)</f>
        <v>33.188688831161834</v>
      </c>
      <c r="U85" s="98">
        <f>IF(U55=0,0,U55/TrRoad_act!U55*100)</f>
        <v>32.384391825779304</v>
      </c>
      <c r="V85" s="98">
        <f>IF(V55=0,0,V55/TrRoad_act!V55*100)</f>
        <v>29.866131836154992</v>
      </c>
      <c r="W85" s="98">
        <f>IF(W55=0,0,W55/TrRoad_act!W55*100)</f>
        <v>34.198321355140898</v>
      </c>
      <c r="X85" s="98">
        <f>IF(X55=0,0,X55/TrRoad_act!X55*100)</f>
        <v>35.525862540829536</v>
      </c>
      <c r="Y85" s="98">
        <f>IF(Y55=0,0,Y55/TrRoad_act!Y55*100)</f>
        <v>40.298791225374117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39.056790421955121</v>
      </c>
      <c r="C88" s="29">
        <f>IF(TrRoad_act!C4=0,0,C18/TrRoad_act!C4*1000)</f>
        <v>48.664296671477992</v>
      </c>
      <c r="D88" s="29">
        <f>IF(TrRoad_act!D4=0,0,D18/TrRoad_act!D4*1000)</f>
        <v>47.465662557101801</v>
      </c>
      <c r="E88" s="29">
        <f>IF(TrRoad_act!E4=0,0,E18/TrRoad_act!E4*1000)</f>
        <v>43.377858066427386</v>
      </c>
      <c r="F88" s="29">
        <f>IF(TrRoad_act!F4=0,0,F18/TrRoad_act!F4*1000)</f>
        <v>43.016346397012477</v>
      </c>
      <c r="G88" s="29">
        <f>IF(TrRoad_act!G4=0,0,G18/TrRoad_act!G4*1000)</f>
        <v>37.470965034445321</v>
      </c>
      <c r="H88" s="29">
        <f>IF(TrRoad_act!H4=0,0,H18/TrRoad_act!H4*1000)</f>
        <v>40.797483284304619</v>
      </c>
      <c r="I88" s="29">
        <f>IF(TrRoad_act!I4=0,0,I18/TrRoad_act!I4*1000)</f>
        <v>43.687109660829179</v>
      </c>
      <c r="J88" s="29">
        <f>IF(TrRoad_act!J4=0,0,J18/TrRoad_act!J4*1000)</f>
        <v>41.704288938912562</v>
      </c>
      <c r="K88" s="29">
        <f>IF(TrRoad_act!K4=0,0,K18/TrRoad_act!K4*1000)</f>
        <v>40.484167862039264</v>
      </c>
      <c r="L88" s="29">
        <f>IF(TrRoad_act!L4=0,0,L18/TrRoad_act!L4*1000)</f>
        <v>42.815682817725182</v>
      </c>
      <c r="M88" s="29">
        <f>IF(TrRoad_act!M4=0,0,M18/TrRoad_act!M4*1000)</f>
        <v>41.62128425404957</v>
      </c>
      <c r="N88" s="29">
        <f>IF(TrRoad_act!N4=0,0,N18/TrRoad_act!N4*1000)</f>
        <v>41.873552363310303</v>
      </c>
      <c r="O88" s="29">
        <f>IF(TrRoad_act!O4=0,0,O18/TrRoad_act!O4*1000)</f>
        <v>39.793572355168465</v>
      </c>
      <c r="P88" s="29">
        <f>IF(TrRoad_act!P4=0,0,P18/TrRoad_act!P4*1000)</f>
        <v>38.806796137916443</v>
      </c>
      <c r="Q88" s="29">
        <f>IF(TrRoad_act!Q4=0,0,Q18/TrRoad_act!Q4*1000)</f>
        <v>38.102241578624998</v>
      </c>
      <c r="R88" s="29">
        <f>IF(TrRoad_act!R4=0,0,R18/TrRoad_act!R4*1000)</f>
        <v>36.976455108566469</v>
      </c>
      <c r="S88" s="29">
        <f>IF(TrRoad_act!S4=0,0,S18/TrRoad_act!S4*1000)</f>
        <v>38.478756858173917</v>
      </c>
      <c r="T88" s="29">
        <f>IF(TrRoad_act!T4=0,0,T18/TrRoad_act!T4*1000)</f>
        <v>39.342345187739362</v>
      </c>
      <c r="U88" s="29">
        <f>IF(TrRoad_act!U4=0,0,U18/TrRoad_act!U4*1000)</f>
        <v>36.927799936045396</v>
      </c>
      <c r="V88" s="29">
        <f>IF(TrRoad_act!V4=0,0,V18/TrRoad_act!V4*1000)</f>
        <v>44.162426328637089</v>
      </c>
      <c r="W88" s="29">
        <f>IF(TrRoad_act!W4=0,0,W18/TrRoad_act!W4*1000)</f>
        <v>42.808413764886033</v>
      </c>
      <c r="X88" s="29">
        <f>IF(TrRoad_act!X4=0,0,X18/TrRoad_act!X4*1000)</f>
        <v>38.068053917972975</v>
      </c>
      <c r="Y88" s="29">
        <f>IF(TrRoad_act!Y4=0,0,Y18/TrRoad_act!Y4*1000)</f>
        <v>34.885635160066883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46.374413066858274</v>
      </c>
      <c r="C89" s="152">
        <f>IF(TrRoad_act!C5=0,0,C19/TrRoad_act!C5*1000)</f>
        <v>46.216144444344948</v>
      </c>
      <c r="D89" s="152">
        <f>IF(TrRoad_act!D5=0,0,D19/TrRoad_act!D5*1000)</f>
        <v>45.787648754078411</v>
      </c>
      <c r="E89" s="152">
        <f>IF(TrRoad_act!E5=0,0,E19/TrRoad_act!E5*1000)</f>
        <v>45.186381512861537</v>
      </c>
      <c r="F89" s="152">
        <f>IF(TrRoad_act!F5=0,0,F19/TrRoad_act!F5*1000)</f>
        <v>44.639168434643956</v>
      </c>
      <c r="G89" s="152">
        <f>IF(TrRoad_act!G5=0,0,G19/TrRoad_act!G5*1000)</f>
        <v>44.166312346488418</v>
      </c>
      <c r="H89" s="152">
        <f>IF(TrRoad_act!H5=0,0,H19/TrRoad_act!H5*1000)</f>
        <v>43.342955765681083</v>
      </c>
      <c r="I89" s="152">
        <f>IF(TrRoad_act!I5=0,0,I19/TrRoad_act!I5*1000)</f>
        <v>42.705529345713991</v>
      </c>
      <c r="J89" s="152">
        <f>IF(TrRoad_act!J5=0,0,J19/TrRoad_act!J5*1000)</f>
        <v>41.888663291045525</v>
      </c>
      <c r="K89" s="152">
        <f>IF(TrRoad_act!K5=0,0,K19/TrRoad_act!K5*1000)</f>
        <v>41.454789786943216</v>
      </c>
      <c r="L89" s="152">
        <f>IF(TrRoad_act!L5=0,0,L19/TrRoad_act!L5*1000)</f>
        <v>41.055158737868432</v>
      </c>
      <c r="M89" s="152">
        <f>IF(TrRoad_act!M5=0,0,M19/TrRoad_act!M5*1000)</f>
        <v>39.99214900260116</v>
      </c>
      <c r="N89" s="152">
        <f>IF(TrRoad_act!N5=0,0,N19/TrRoad_act!N5*1000)</f>
        <v>38.240566036384969</v>
      </c>
      <c r="O89" s="152">
        <f>IF(TrRoad_act!O5=0,0,O19/TrRoad_act!O5*1000)</f>
        <v>37.714541933950422</v>
      </c>
      <c r="P89" s="152">
        <f>IF(TrRoad_act!P5=0,0,P19/TrRoad_act!P5*1000)</f>
        <v>37.052595722353317</v>
      </c>
      <c r="Q89" s="152">
        <f>IF(TrRoad_act!Q5=0,0,Q19/TrRoad_act!Q5*1000)</f>
        <v>36.579382441139842</v>
      </c>
      <c r="R89" s="152">
        <f>IF(TrRoad_act!R5=0,0,R19/TrRoad_act!R5*1000)</f>
        <v>36.020773027496055</v>
      </c>
      <c r="S89" s="152">
        <f>IF(TrRoad_act!S5=0,0,S19/TrRoad_act!S5*1000)</f>
        <v>35.584735546963202</v>
      </c>
      <c r="T89" s="152">
        <f>IF(TrRoad_act!T5=0,0,T19/TrRoad_act!T5*1000)</f>
        <v>35.322517588747132</v>
      </c>
      <c r="U89" s="152">
        <f>IF(TrRoad_act!U5=0,0,U19/TrRoad_act!U5*1000)</f>
        <v>35.063781652694942</v>
      </c>
      <c r="V89" s="152">
        <f>IF(TrRoad_act!V5=0,0,V19/TrRoad_act!V5*1000)</f>
        <v>34.82781792966523</v>
      </c>
      <c r="W89" s="152">
        <f>IF(TrRoad_act!W5=0,0,W19/TrRoad_act!W5*1000)</f>
        <v>34.561599278241154</v>
      </c>
      <c r="X89" s="152">
        <f>IF(TrRoad_act!X5=0,0,X19/TrRoad_act!X5*1000)</f>
        <v>34.336996546284112</v>
      </c>
      <c r="Y89" s="152">
        <f>IF(TrRoad_act!Y5=0,0,Y19/TrRoad_act!Y5*1000)</f>
        <v>34.179973441426341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41.738714836197254</v>
      </c>
      <c r="C90" s="116">
        <f>IF(TrRoad_act!C6=0,0,C21/TrRoad_act!C6*1000)</f>
        <v>51.484367824385863</v>
      </c>
      <c r="D90" s="116">
        <f>IF(TrRoad_act!D6=0,0,D21/TrRoad_act!D6*1000)</f>
        <v>47.421378441702011</v>
      </c>
      <c r="E90" s="116">
        <f>IF(TrRoad_act!E6=0,0,E21/TrRoad_act!E6*1000)</f>
        <v>43.554834055586838</v>
      </c>
      <c r="F90" s="116">
        <f>IF(TrRoad_act!F6=0,0,F21/TrRoad_act!F6*1000)</f>
        <v>43.603422432082915</v>
      </c>
      <c r="G90" s="116">
        <f>IF(TrRoad_act!G6=0,0,G21/TrRoad_act!G6*1000)</f>
        <v>36.974194460142002</v>
      </c>
      <c r="H90" s="116">
        <f>IF(TrRoad_act!H6=0,0,H21/TrRoad_act!H6*1000)</f>
        <v>41.670843818660892</v>
      </c>
      <c r="I90" s="116">
        <f>IF(TrRoad_act!I6=0,0,I21/TrRoad_act!I6*1000)</f>
        <v>46.055122212865967</v>
      </c>
      <c r="J90" s="116">
        <f>IF(TrRoad_act!J6=0,0,J21/TrRoad_act!J6*1000)</f>
        <v>43.338073615501209</v>
      </c>
      <c r="K90" s="116">
        <f>IF(TrRoad_act!K6=0,0,K21/TrRoad_act!K6*1000)</f>
        <v>41.565343128111763</v>
      </c>
      <c r="L90" s="116">
        <f>IF(TrRoad_act!L6=0,0,L21/TrRoad_act!L6*1000)</f>
        <v>43.538890531777106</v>
      </c>
      <c r="M90" s="116">
        <f>IF(TrRoad_act!M6=0,0,M21/TrRoad_act!M6*1000)</f>
        <v>42.211577045049921</v>
      </c>
      <c r="N90" s="116">
        <f>IF(TrRoad_act!N6=0,0,N21/TrRoad_act!N6*1000)</f>
        <v>41.661849500567897</v>
      </c>
      <c r="O90" s="116">
        <f>IF(TrRoad_act!O6=0,0,O21/TrRoad_act!O6*1000)</f>
        <v>39.453332181314508</v>
      </c>
      <c r="P90" s="116">
        <f>IF(TrRoad_act!P6=0,0,P21/TrRoad_act!P6*1000)</f>
        <v>38.199837850661687</v>
      </c>
      <c r="Q90" s="116">
        <f>IF(TrRoad_act!Q6=0,0,Q21/TrRoad_act!Q6*1000)</f>
        <v>38.483171868210519</v>
      </c>
      <c r="R90" s="116">
        <f>IF(TrRoad_act!R6=0,0,R21/TrRoad_act!R6*1000)</f>
        <v>38.056283940239808</v>
      </c>
      <c r="S90" s="116">
        <f>IF(TrRoad_act!S6=0,0,S21/TrRoad_act!S6*1000)</f>
        <v>38.74892769131651</v>
      </c>
      <c r="T90" s="116">
        <f>IF(TrRoad_act!T6=0,0,T21/TrRoad_act!T6*1000)</f>
        <v>39.598602907445347</v>
      </c>
      <c r="U90" s="116">
        <f>IF(TrRoad_act!U6=0,0,U21/TrRoad_act!U6*1000)</f>
        <v>37.972748726413037</v>
      </c>
      <c r="V90" s="116">
        <f>IF(TrRoad_act!V6=0,0,V21/TrRoad_act!V6*1000)</f>
        <v>41.12387510591774</v>
      </c>
      <c r="W90" s="116">
        <f>IF(TrRoad_act!W6=0,0,W21/TrRoad_act!W6*1000)</f>
        <v>38.893496857236599</v>
      </c>
      <c r="X90" s="116">
        <f>IF(TrRoad_act!X6=0,0,X21/TrRoad_act!X6*1000)</f>
        <v>36.407817860937961</v>
      </c>
      <c r="Y90" s="116">
        <f>IF(TrRoad_act!Y6=0,0,Y21/TrRoad_act!Y6*1000)</f>
        <v>35.514811464691441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42.390302657201119</v>
      </c>
      <c r="C91" s="87">
        <f>IF(TrRoad_act!C7=0,0,C22/TrRoad_act!C7*1000)</f>
        <v>51.217304875201719</v>
      </c>
      <c r="D91" s="87">
        <f>IF(TrRoad_act!D7=0,0,D22/TrRoad_act!D7*1000)</f>
        <v>46.123877834306683</v>
      </c>
      <c r="E91" s="87">
        <f>IF(TrRoad_act!E7=0,0,E22/TrRoad_act!E7*1000)</f>
        <v>43.025495764553888</v>
      </c>
      <c r="F91" s="87">
        <f>IF(TrRoad_act!F7=0,0,F22/TrRoad_act!F7*1000)</f>
        <v>43.120243295988239</v>
      </c>
      <c r="G91" s="87">
        <f>IF(TrRoad_act!G7=0,0,G22/TrRoad_act!G7*1000)</f>
        <v>36.852824174631408</v>
      </c>
      <c r="H91" s="87">
        <f>IF(TrRoad_act!H7=0,0,H22/TrRoad_act!H7*1000)</f>
        <v>42.020205029713672</v>
      </c>
      <c r="I91" s="87">
        <f>IF(TrRoad_act!I7=0,0,I22/TrRoad_act!I7*1000)</f>
        <v>46.803443621837829</v>
      </c>
      <c r="J91" s="87">
        <f>IF(TrRoad_act!J7=0,0,J22/TrRoad_act!J7*1000)</f>
        <v>44.869308173780936</v>
      </c>
      <c r="K91" s="87">
        <f>IF(TrRoad_act!K7=0,0,K22/TrRoad_act!K7*1000)</f>
        <v>44.017384821698514</v>
      </c>
      <c r="L91" s="87">
        <f>IF(TrRoad_act!L7=0,0,L22/TrRoad_act!L7*1000)</f>
        <v>45.239021728625026</v>
      </c>
      <c r="M91" s="87">
        <f>IF(TrRoad_act!M7=0,0,M22/TrRoad_act!M7*1000)</f>
        <v>43.815929147230449</v>
      </c>
      <c r="N91" s="87">
        <f>IF(TrRoad_act!N7=0,0,N22/TrRoad_act!N7*1000)</f>
        <v>43.345664978524979</v>
      </c>
      <c r="O91" s="87">
        <f>IF(TrRoad_act!O7=0,0,O22/TrRoad_act!O7*1000)</f>
        <v>41.792518370458119</v>
      </c>
      <c r="P91" s="87">
        <f>IF(TrRoad_act!P7=0,0,P22/TrRoad_act!P7*1000)</f>
        <v>40.561993821435401</v>
      </c>
      <c r="Q91" s="87">
        <f>IF(TrRoad_act!Q7=0,0,Q22/TrRoad_act!Q7*1000)</f>
        <v>41.325022895574406</v>
      </c>
      <c r="R91" s="87">
        <f>IF(TrRoad_act!R7=0,0,R22/TrRoad_act!R7*1000)</f>
        <v>41.263145934174347</v>
      </c>
      <c r="S91" s="87">
        <f>IF(TrRoad_act!S7=0,0,S22/TrRoad_act!S7*1000)</f>
        <v>41.598334537888242</v>
      </c>
      <c r="T91" s="87">
        <f>IF(TrRoad_act!T7=0,0,T22/TrRoad_act!T7*1000)</f>
        <v>42.239562216119914</v>
      </c>
      <c r="U91" s="87">
        <f>IF(TrRoad_act!U7=0,0,U22/TrRoad_act!U7*1000)</f>
        <v>40.449662753403373</v>
      </c>
      <c r="V91" s="87">
        <f>IF(TrRoad_act!V7=0,0,V22/TrRoad_act!V7*1000)</f>
        <v>44.368480156580262</v>
      </c>
      <c r="W91" s="87">
        <f>IF(TrRoad_act!W7=0,0,W22/TrRoad_act!W7*1000)</f>
        <v>41.474811252529314</v>
      </c>
      <c r="X91" s="87">
        <f>IF(TrRoad_act!X7=0,0,X22/TrRoad_act!X7*1000)</f>
        <v>38.130974245362417</v>
      </c>
      <c r="Y91" s="87">
        <f>IF(TrRoad_act!Y7=0,0,Y22/TrRoad_act!Y7*1000)</f>
        <v>36.514965945832003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34.136958995174716</v>
      </c>
      <c r="C92" s="87">
        <f>IF(TrRoad_act!C8=0,0,C24/TrRoad_act!C8*1000)</f>
        <v>54.24979550555954</v>
      </c>
      <c r="D92" s="87">
        <f>IF(TrRoad_act!D8=0,0,D24/TrRoad_act!D8*1000)</f>
        <v>58.197423119892427</v>
      </c>
      <c r="E92" s="87">
        <f>IF(TrRoad_act!E8=0,0,E24/TrRoad_act!E8*1000)</f>
        <v>46.556412892796629</v>
      </c>
      <c r="F92" s="87">
        <f>IF(TrRoad_act!F8=0,0,F24/TrRoad_act!F8*1000)</f>
        <v>45.420582186264483</v>
      </c>
      <c r="G92" s="87">
        <f>IF(TrRoad_act!G8=0,0,G24/TrRoad_act!G8*1000)</f>
        <v>37.321278059079468</v>
      </c>
      <c r="H92" s="87">
        <f>IF(TrRoad_act!H8=0,0,H24/TrRoad_act!H8*1000)</f>
        <v>40.794412161215334</v>
      </c>
      <c r="I92" s="87">
        <f>IF(TrRoad_act!I8=0,0,I24/TrRoad_act!I8*1000)</f>
        <v>44.465474179956772</v>
      </c>
      <c r="J92" s="87">
        <f>IF(TrRoad_act!J8=0,0,J24/TrRoad_act!J8*1000)</f>
        <v>39.952369544704013</v>
      </c>
      <c r="K92" s="87">
        <f>IF(TrRoad_act!K8=0,0,K24/TrRoad_act!K8*1000)</f>
        <v>37.246568671950278</v>
      </c>
      <c r="L92" s="87">
        <f>IF(TrRoad_act!L8=0,0,L24/TrRoad_act!L8*1000)</f>
        <v>40.786087864107763</v>
      </c>
      <c r="M92" s="87">
        <f>IF(TrRoad_act!M8=0,0,M24/TrRoad_act!M8*1000)</f>
        <v>40.076922780822763</v>
      </c>
      <c r="N92" s="87">
        <f>IF(TrRoad_act!N8=0,0,N24/TrRoad_act!N8*1000)</f>
        <v>39.844140384619635</v>
      </c>
      <c r="O92" s="87">
        <f>IF(TrRoad_act!O8=0,0,O24/TrRoad_act!O8*1000)</f>
        <v>37.196244820829072</v>
      </c>
      <c r="P92" s="87">
        <f>IF(TrRoad_act!P8=0,0,P24/TrRoad_act!P8*1000)</f>
        <v>35.954467147559463</v>
      </c>
      <c r="Q92" s="87">
        <f>IF(TrRoad_act!Q8=0,0,Q24/TrRoad_act!Q8*1000)</f>
        <v>36.031377188786159</v>
      </c>
      <c r="R92" s="87">
        <f>IF(TrRoad_act!R8=0,0,R24/TrRoad_act!R8*1000)</f>
        <v>35.220259979226668</v>
      </c>
      <c r="S92" s="87">
        <f>IF(TrRoad_act!S8=0,0,S24/TrRoad_act!S8*1000)</f>
        <v>36.073738711715116</v>
      </c>
      <c r="T92" s="87">
        <f>IF(TrRoad_act!T8=0,0,T24/TrRoad_act!T8*1000)</f>
        <v>37.075926909978477</v>
      </c>
      <c r="U92" s="87">
        <f>IF(TrRoad_act!U8=0,0,U24/TrRoad_act!U8*1000)</f>
        <v>35.645900971595395</v>
      </c>
      <c r="V92" s="87">
        <f>IF(TrRoad_act!V8=0,0,V24/TrRoad_act!V8*1000)</f>
        <v>39.156073492847284</v>
      </c>
      <c r="W92" s="87">
        <f>IF(TrRoad_act!W8=0,0,W24/TrRoad_act!W8*1000)</f>
        <v>37.766844642807605</v>
      </c>
      <c r="X92" s="87">
        <f>IF(TrRoad_act!X8=0,0,X24/TrRoad_act!X8*1000)</f>
        <v>35.540839031766865</v>
      </c>
      <c r="Y92" s="87">
        <f>IF(TrRoad_act!Y8=0,0,Y24/TrRoad_act!Y8*1000)</f>
        <v>35.461513179970801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46.114402483243417</v>
      </c>
      <c r="C93" s="87">
        <f>IF(TrRoad_act!C9=0,0,C26/TrRoad_act!C9*1000)</f>
        <v>47.03591093453673</v>
      </c>
      <c r="D93" s="87">
        <f>IF(TrRoad_act!D9=0,0,D26/TrRoad_act!D9*1000)</f>
        <v>44.673518004277817</v>
      </c>
      <c r="E93" s="87">
        <f>IF(TrRoad_act!E9=0,0,E26/TrRoad_act!E9*1000)</f>
        <v>42.679516825225868</v>
      </c>
      <c r="F93" s="87">
        <f>IF(TrRoad_act!F9=0,0,F26/TrRoad_act!F9*1000)</f>
        <v>48.827397097042351</v>
      </c>
      <c r="G93" s="87">
        <f>IF(TrRoad_act!G9=0,0,G26/TrRoad_act!G9*1000)</f>
        <v>39.56364433353523</v>
      </c>
      <c r="H93" s="87">
        <f>IF(TrRoad_act!H9=0,0,H26/TrRoad_act!H9*1000)</f>
        <v>41.41620509657097</v>
      </c>
      <c r="I93" s="87">
        <f>IF(TrRoad_act!I9=0,0,I26/TrRoad_act!I9*1000)</f>
        <v>43.793784071011835</v>
      </c>
      <c r="J93" s="87">
        <f>IF(TrRoad_act!J9=0,0,J26/TrRoad_act!J9*1000)</f>
        <v>52.769794194535038</v>
      </c>
      <c r="K93" s="87">
        <f>IF(TrRoad_act!K9=0,0,K26/TrRoad_act!K9*1000)</f>
        <v>49.542366732933516</v>
      </c>
      <c r="L93" s="87">
        <f>IF(TrRoad_act!L9=0,0,L26/TrRoad_act!L9*1000)</f>
        <v>48.096403124214348</v>
      </c>
      <c r="M93" s="87">
        <f>IF(TrRoad_act!M9=0,0,M26/TrRoad_act!M9*1000)</f>
        <v>45.571509721404347</v>
      </c>
      <c r="N93" s="87">
        <f>IF(TrRoad_act!N9=0,0,N26/TrRoad_act!N9*1000)</f>
        <v>44.771435486555738</v>
      </c>
      <c r="O93" s="87">
        <f>IF(TrRoad_act!O9=0,0,O26/TrRoad_act!O9*1000)</f>
        <v>44.758585039038046</v>
      </c>
      <c r="P93" s="87">
        <f>IF(TrRoad_act!P9=0,0,P26/TrRoad_act!P9*1000)</f>
        <v>45.303000200199307</v>
      </c>
      <c r="Q93" s="87">
        <f>IF(TrRoad_act!Q9=0,0,Q26/TrRoad_act!Q9*1000)</f>
        <v>51.007146069711276</v>
      </c>
      <c r="R93" s="87">
        <f>IF(TrRoad_act!R9=0,0,R26/TrRoad_act!R9*1000)</f>
        <v>48.087668938122597</v>
      </c>
      <c r="S93" s="87">
        <f>IF(TrRoad_act!S9=0,0,S26/TrRoad_act!S9*1000)</f>
        <v>48.80867785772913</v>
      </c>
      <c r="T93" s="87">
        <f>IF(TrRoad_act!T9=0,0,T26/TrRoad_act!T9*1000)</f>
        <v>49.685719865744453</v>
      </c>
      <c r="U93" s="87">
        <f>IF(TrRoad_act!U9=0,0,U26/TrRoad_act!U9*1000)</f>
        <v>48.739212146607215</v>
      </c>
      <c r="V93" s="87">
        <f>IF(TrRoad_act!V9=0,0,V26/TrRoad_act!V9*1000)</f>
        <v>50.366770416216241</v>
      </c>
      <c r="W93" s="87">
        <f>IF(TrRoad_act!W9=0,0,W26/TrRoad_act!W9*1000)</f>
        <v>48.512261844539381</v>
      </c>
      <c r="X93" s="87">
        <f>IF(TrRoad_act!X9=0,0,X26/TrRoad_act!X9*1000)</f>
        <v>48.961962222552764</v>
      </c>
      <c r="Y93" s="87">
        <f>IF(TrRoad_act!Y9=0,0,Y26/TrRoad_act!Y9*1000)</f>
        <v>40.812436351021915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44.848802074955522</v>
      </c>
      <c r="M94" s="87">
        <f>IF(TrRoad_act!M10=0,0,M27/TrRoad_act!M10*1000)</f>
        <v>45.475490177345804</v>
      </c>
      <c r="N94" s="87">
        <f>IF(TrRoad_act!N10=0,0,N27/TrRoad_act!N10*1000)</f>
        <v>46.265761436905954</v>
      </c>
      <c r="O94" s="87">
        <f>IF(TrRoad_act!O10=0,0,O27/TrRoad_act!O10*1000)</f>
        <v>44.94248441105006</v>
      </c>
      <c r="P94" s="87">
        <f>IF(TrRoad_act!P10=0,0,P27/TrRoad_act!P10*1000)</f>
        <v>43.77554338047873</v>
      </c>
      <c r="Q94" s="87">
        <f>IF(TrRoad_act!Q10=0,0,Q27/TrRoad_act!Q10*1000)</f>
        <v>41.584832900033462</v>
      </c>
      <c r="R94" s="87">
        <f>IF(TrRoad_act!R10=0,0,R27/TrRoad_act!R10*1000)</f>
        <v>36.047919002816577</v>
      </c>
      <c r="S94" s="87">
        <f>IF(TrRoad_act!S10=0,0,S27/TrRoad_act!S10*1000)</f>
        <v>38.364829995170723</v>
      </c>
      <c r="T94" s="87">
        <f>IF(TrRoad_act!T10=0,0,T27/TrRoad_act!T10*1000)</f>
        <v>39.303965690945105</v>
      </c>
      <c r="U94" s="87">
        <f>IF(TrRoad_act!U10=0,0,U27/TrRoad_act!U10*1000)</f>
        <v>33.0087559790489</v>
      </c>
      <c r="V94" s="87">
        <f>IF(TrRoad_act!V10=0,0,V27/TrRoad_act!V10*1000)</f>
        <v>35.085524649092207</v>
      </c>
      <c r="W94" s="87">
        <f>IF(TrRoad_act!W10=0,0,W27/TrRoad_act!W10*1000)</f>
        <v>32.296893828160236</v>
      </c>
      <c r="X94" s="87">
        <f>IF(TrRoad_act!X10=0,0,X27/TrRoad_act!X10*1000)</f>
        <v>30.721928028438207</v>
      </c>
      <c r="Y94" s="87">
        <f>IF(TrRoad_act!Y10=0,0,Y27/TrRoad_act!Y10*1000)</f>
        <v>30.275908594819004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16.738970936473542</v>
      </c>
      <c r="Q95" s="87">
        <f>IF(TrRoad_act!Q11=0,0,Q29/TrRoad_act!Q11*1000)</f>
        <v>19.176020677425782</v>
      </c>
      <c r="R95" s="87">
        <f>IF(TrRoad_act!R11=0,0,R29/TrRoad_act!R11*1000)</f>
        <v>19.983975310632282</v>
      </c>
      <c r="S95" s="87">
        <f>IF(TrRoad_act!S11=0,0,S29/TrRoad_act!S11*1000)</f>
        <v>19.642478509425228</v>
      </c>
      <c r="T95" s="87">
        <f>IF(TrRoad_act!T11=0,0,T29/TrRoad_act!T11*1000)</f>
        <v>21.372762239790333</v>
      </c>
      <c r="U95" s="87">
        <f>IF(TrRoad_act!U11=0,0,U29/TrRoad_act!U11*1000)</f>
        <v>21.221439081262893</v>
      </c>
      <c r="V95" s="87">
        <f>IF(TrRoad_act!V11=0,0,V29/TrRoad_act!V11*1000)</f>
        <v>24.909463185804526</v>
      </c>
      <c r="W95" s="87">
        <f>IF(TrRoad_act!W11=0,0,W29/TrRoad_act!W11*1000)</f>
        <v>21.57345794239497</v>
      </c>
      <c r="X95" s="87">
        <f>IF(TrRoad_act!X11=0,0,X29/TrRoad_act!X11*1000)</f>
        <v>20.376335988591443</v>
      </c>
      <c r="Y95" s="87">
        <f>IF(TrRoad_act!Y11=0,0,Y29/TrRoad_act!Y11*1000)</f>
        <v>19.321483636502741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7.5372151610950926</v>
      </c>
      <c r="K96" s="87">
        <f>IF(TrRoad_act!K12=0,0,K32/TrRoad_act!K12*1000)</f>
        <v>7.6605898740431719</v>
      </c>
      <c r="L96" s="87">
        <f>IF(TrRoad_act!L12=0,0,L32/TrRoad_act!L12*1000)</f>
        <v>7.8766267288496294</v>
      </c>
      <c r="M96" s="87">
        <f>IF(TrRoad_act!M12=0,0,M32/TrRoad_act!M12*1000)</f>
        <v>7.7134656338163579</v>
      </c>
      <c r="N96" s="87">
        <f>IF(TrRoad_act!N12=0,0,N32/TrRoad_act!N12*1000)</f>
        <v>7.2133301465241324</v>
      </c>
      <c r="O96" s="87">
        <f>IF(TrRoad_act!O12=0,0,O32/TrRoad_act!O12*1000)</f>
        <v>7.0995974768326224</v>
      </c>
      <c r="P96" s="87">
        <f>IF(TrRoad_act!P12=0,0,P32/TrRoad_act!P12*1000)</f>
        <v>7.2155657402202777</v>
      </c>
      <c r="Q96" s="87">
        <f>IF(TrRoad_act!Q12=0,0,Q32/TrRoad_act!Q12*1000)</f>
        <v>7.5033473765015533</v>
      </c>
      <c r="R96" s="87">
        <f>IF(TrRoad_act!R12=0,0,R32/TrRoad_act!R12*1000)</f>
        <v>7.7044273850501392</v>
      </c>
      <c r="S96" s="87">
        <f>IF(TrRoad_act!S12=0,0,S32/TrRoad_act!S12*1000)</f>
        <v>8.0028884050444393</v>
      </c>
      <c r="T96" s="87">
        <f>IF(TrRoad_act!T12=0,0,T32/TrRoad_act!T12*1000)</f>
        <v>8.6700324715037826</v>
      </c>
      <c r="U96" s="87">
        <f>IF(TrRoad_act!U12=0,0,U32/TrRoad_act!U12*1000)</f>
        <v>8.8202173627166989</v>
      </c>
      <c r="V96" s="87">
        <f>IF(TrRoad_act!V12=0,0,V32/TrRoad_act!V12*1000)</f>
        <v>10.139539271602365</v>
      </c>
      <c r="W96" s="87">
        <f>IF(TrRoad_act!W12=0,0,W32/TrRoad_act!W12*1000)</f>
        <v>9.8313720284446653</v>
      </c>
      <c r="X96" s="87">
        <f>IF(TrRoad_act!X12=0,0,X32/TrRoad_act!X12*1000)</f>
        <v>9.9972221779319437</v>
      </c>
      <c r="Y96" s="87">
        <f>IF(TrRoad_act!Y12=0,0,Y32/TrRoad_act!Y12*1000)</f>
        <v>9.9079552949154301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32.216783628526535</v>
      </c>
      <c r="C97" s="116">
        <f>IF(TrRoad_act!C13=0,0,C33/TrRoad_act!C13*1000)</f>
        <v>40.871071241722028</v>
      </c>
      <c r="D97" s="116">
        <f>IF(TrRoad_act!D13=0,0,D33/TrRoad_act!D13*1000)</f>
        <v>47.607121479284487</v>
      </c>
      <c r="E97" s="116">
        <f>IF(TrRoad_act!E13=0,0,E33/TrRoad_act!E13*1000)</f>
        <v>42.778633394036461</v>
      </c>
      <c r="F97" s="116">
        <f>IF(TrRoad_act!F13=0,0,F33/TrRoad_act!F13*1000)</f>
        <v>41.150349679294195</v>
      </c>
      <c r="G97" s="116">
        <f>IF(TrRoad_act!G13=0,0,G33/TrRoad_act!G13*1000)</f>
        <v>39.252505878728755</v>
      </c>
      <c r="H97" s="116">
        <f>IF(TrRoad_act!H13=0,0,H33/TrRoad_act!H13*1000)</f>
        <v>37.767179361476771</v>
      </c>
      <c r="I97" s="116">
        <f>IF(TrRoad_act!I13=0,0,I33/TrRoad_act!I13*1000)</f>
        <v>34.848764199491818</v>
      </c>
      <c r="J97" s="116">
        <f>IF(TrRoad_act!J13=0,0,J33/TrRoad_act!J13*1000)</f>
        <v>34.709103848607164</v>
      </c>
      <c r="K97" s="116">
        <f>IF(TrRoad_act!K13=0,0,K33/TrRoad_act!K13*1000)</f>
        <v>35.102465485862773</v>
      </c>
      <c r="L97" s="116">
        <f>IF(TrRoad_act!L13=0,0,L33/TrRoad_act!L13*1000)</f>
        <v>39.294380984736719</v>
      </c>
      <c r="M97" s="116">
        <f>IF(TrRoad_act!M13=0,0,M33/TrRoad_act!M13*1000)</f>
        <v>38.686652636285785</v>
      </c>
      <c r="N97" s="116">
        <f>IF(TrRoad_act!N13=0,0,N33/TrRoad_act!N13*1000)</f>
        <v>43.181391930006917</v>
      </c>
      <c r="O97" s="116">
        <f>IF(TrRoad_act!O13=0,0,O33/TrRoad_act!O13*1000)</f>
        <v>41.832443656230303</v>
      </c>
      <c r="P97" s="116">
        <f>IF(TrRoad_act!P13=0,0,P33/TrRoad_act!P13*1000)</f>
        <v>42.498060216246117</v>
      </c>
      <c r="Q97" s="116">
        <f>IF(TrRoad_act!Q13=0,0,Q33/TrRoad_act!Q13*1000)</f>
        <v>36.150130160409148</v>
      </c>
      <c r="R97" s="116">
        <f>IF(TrRoad_act!R13=0,0,R33/TrRoad_act!R13*1000)</f>
        <v>32.278480955456871</v>
      </c>
      <c r="S97" s="116">
        <f>IF(TrRoad_act!S13=0,0,S33/TrRoad_act!S13*1000)</f>
        <v>37.310632502912192</v>
      </c>
      <c r="T97" s="116">
        <f>IF(TrRoad_act!T13=0,0,T33/TrRoad_act!T13*1000)</f>
        <v>38.224729026979453</v>
      </c>
      <c r="U97" s="116">
        <f>IF(TrRoad_act!U13=0,0,U33/TrRoad_act!U13*1000)</f>
        <v>32.294875352772799</v>
      </c>
      <c r="V97" s="116">
        <f>IF(TrRoad_act!V13=0,0,V33/TrRoad_act!V13*1000)</f>
        <v>71.55196628542312</v>
      </c>
      <c r="W97" s="116">
        <f>IF(TrRoad_act!W13=0,0,W33/TrRoad_act!W13*1000)</f>
        <v>83.024115417505527</v>
      </c>
      <c r="X97" s="116">
        <f>IF(TrRoad_act!X13=0,0,X33/TrRoad_act!X13*1000)</f>
        <v>50.022965951500005</v>
      </c>
      <c r="Y97" s="116">
        <f>IF(TrRoad_act!Y13=0,0,Y33/TrRoad_act!Y13*1000)</f>
        <v>31.156001437545534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32.634814675971498</v>
      </c>
      <c r="C98" s="101">
        <f>IF(TrRoad_act!C14=0,0,C34/TrRoad_act!C14*1000)</f>
        <v>32.725193555728367</v>
      </c>
      <c r="D98" s="101">
        <f>IF(TrRoad_act!D14=0,0,D34/TrRoad_act!D14*1000)</f>
        <v>32.815926220189503</v>
      </c>
      <c r="E98" s="101">
        <f>IF(TrRoad_act!E14=0,0,E34/TrRoad_act!E14*1000)</f>
        <v>32.882404376014037</v>
      </c>
      <c r="F98" s="101">
        <f>IF(TrRoad_act!F14=0,0,F34/TrRoad_act!F14*1000)</f>
        <v>32.70341854660203</v>
      </c>
      <c r="G98" s="101">
        <f>IF(TrRoad_act!G14=0,0,G34/TrRoad_act!G14*1000)</f>
        <v>32.502215192324229</v>
      </c>
      <c r="H98" s="101">
        <f>IF(TrRoad_act!H14=0,0,H34/TrRoad_act!H14*1000)</f>
        <v>32.435646101228883</v>
      </c>
      <c r="I98" s="101">
        <f>IF(TrRoad_act!I14=0,0,I34/TrRoad_act!I14*1000)</f>
        <v>32.078007409967412</v>
      </c>
      <c r="J98" s="101">
        <f>IF(TrRoad_act!J14=0,0,J34/TrRoad_act!J14*1000)</f>
        <v>32.124485543206966</v>
      </c>
      <c r="K98" s="101">
        <f>IF(TrRoad_act!K14=0,0,K34/TrRoad_act!K14*1000)</f>
        <v>32.365334305497072</v>
      </c>
      <c r="L98" s="101">
        <f>IF(TrRoad_act!L14=0,0,L34/TrRoad_act!L14*1000)</f>
        <v>32.413900526203626</v>
      </c>
      <c r="M98" s="101">
        <f>IF(TrRoad_act!M14=0,0,M34/TrRoad_act!M14*1000)</f>
        <v>32.334387345359602</v>
      </c>
      <c r="N98" s="101">
        <f>IF(TrRoad_act!N14=0,0,N34/TrRoad_act!N14*1000)</f>
        <v>32.65360529575122</v>
      </c>
      <c r="O98" s="101">
        <f>IF(TrRoad_act!O14=0,0,O34/TrRoad_act!O14*1000)</f>
        <v>32.746559474185254</v>
      </c>
      <c r="P98" s="101">
        <f>IF(TrRoad_act!P14=0,0,P34/TrRoad_act!P14*1000)</f>
        <v>32.807588256013823</v>
      </c>
      <c r="Q98" s="101">
        <f>IF(TrRoad_act!Q14=0,0,Q34/TrRoad_act!Q14*1000)</f>
        <v>32.470625050286401</v>
      </c>
      <c r="R98" s="101">
        <f>IF(TrRoad_act!R14=0,0,R34/TrRoad_act!R14*1000)</f>
        <v>32.312193643586198</v>
      </c>
      <c r="S98" s="101">
        <f>IF(TrRoad_act!S14=0,0,S34/TrRoad_act!S14*1000)</f>
        <v>32.650024078058692</v>
      </c>
      <c r="T98" s="101">
        <f>IF(TrRoad_act!T14=0,0,T34/TrRoad_act!T14*1000)</f>
        <v>32.646768139084998</v>
      </c>
      <c r="U98" s="101">
        <f>IF(TrRoad_act!U14=0,0,U34/TrRoad_act!U14*1000)</f>
        <v>31.30041259334552</v>
      </c>
      <c r="V98" s="101">
        <f>IF(TrRoad_act!V14=0,0,V34/TrRoad_act!V14*1000)</f>
        <v>38.775682862791939</v>
      </c>
      <c r="W98" s="101">
        <f>IF(TrRoad_act!W14=0,0,W34/TrRoad_act!W14*1000)</f>
        <v>38.802207190133323</v>
      </c>
      <c r="X98" s="101">
        <f>IF(TrRoad_act!X14=0,0,X34/TrRoad_act!X14*1000)</f>
        <v>37.941792064717504</v>
      </c>
      <c r="Y98" s="101">
        <f>IF(TrRoad_act!Y14=0,0,Y34/TrRoad_act!Y14*1000)</f>
        <v>36.312271342946097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32.155586418186537</v>
      </c>
      <c r="C99" s="101">
        <f>IF(TrRoad_act!C15=0,0,C36/TrRoad_act!C15*1000)</f>
        <v>41.970054197462474</v>
      </c>
      <c r="D99" s="101">
        <f>IF(TrRoad_act!D15=0,0,D36/TrRoad_act!D15*1000)</f>
        <v>49.387051019727146</v>
      </c>
      <c r="E99" s="101">
        <f>IF(TrRoad_act!E15=0,0,E36/TrRoad_act!E15*1000)</f>
        <v>43.775312863077254</v>
      </c>
      <c r="F99" s="101">
        <f>IF(TrRoad_act!F15=0,0,F36/TrRoad_act!F15*1000)</f>
        <v>41.846889224063219</v>
      </c>
      <c r="G99" s="101">
        <f>IF(TrRoad_act!G15=0,0,G36/TrRoad_act!G15*1000)</f>
        <v>39.661696464824402</v>
      </c>
      <c r="H99" s="101">
        <f>IF(TrRoad_act!H15=0,0,H36/TrRoad_act!H15*1000)</f>
        <v>38.076200963354594</v>
      </c>
      <c r="I99" s="101">
        <f>IF(TrRoad_act!I15=0,0,I36/TrRoad_act!I15*1000)</f>
        <v>34.94356369738356</v>
      </c>
      <c r="J99" s="101">
        <f>IF(TrRoad_act!J15=0,0,J36/TrRoad_act!J15*1000)</f>
        <v>34.776449050982812</v>
      </c>
      <c r="K99" s="101">
        <f>IF(TrRoad_act!K15=0,0,K36/TrRoad_act!K15*1000)</f>
        <v>35.158233765655595</v>
      </c>
      <c r="L99" s="101">
        <f>IF(TrRoad_act!L15=0,0,L36/TrRoad_act!L15*1000)</f>
        <v>40.209556262425423</v>
      </c>
      <c r="M99" s="101">
        <f>IF(TrRoad_act!M15=0,0,M36/TrRoad_act!M15*1000)</f>
        <v>39.550415325845854</v>
      </c>
      <c r="N99" s="101">
        <f>IF(TrRoad_act!N15=0,0,N36/TrRoad_act!N15*1000)</f>
        <v>44.026461024944773</v>
      </c>
      <c r="O99" s="101">
        <f>IF(TrRoad_act!O15=0,0,O36/TrRoad_act!O15*1000)</f>
        <v>42.692392448056154</v>
      </c>
      <c r="P99" s="101">
        <f>IF(TrRoad_act!P15=0,0,P36/TrRoad_act!P15*1000)</f>
        <v>43.406650823363229</v>
      </c>
      <c r="Q99" s="101">
        <f>IF(TrRoad_act!Q15=0,0,Q36/TrRoad_act!Q15*1000)</f>
        <v>36.722947342693345</v>
      </c>
      <c r="R99" s="101">
        <f>IF(TrRoad_act!R15=0,0,R36/TrRoad_act!R15*1000)</f>
        <v>32.793761860813198</v>
      </c>
      <c r="S99" s="101">
        <f>IF(TrRoad_act!S15=0,0,S36/TrRoad_act!S15*1000)</f>
        <v>38.709964853450479</v>
      </c>
      <c r="T99" s="101">
        <f>IF(TrRoad_act!T15=0,0,T36/TrRoad_act!T15*1000)</f>
        <v>38.2754336389484</v>
      </c>
      <c r="U99" s="101">
        <f>IF(TrRoad_act!U15=0,0,U36/TrRoad_act!U15*1000)</f>
        <v>32.342772510141693</v>
      </c>
      <c r="V99" s="101">
        <f>IF(TrRoad_act!V15=0,0,V36/TrRoad_act!V15*1000)</f>
        <v>71.64199186963053</v>
      </c>
      <c r="W99" s="101">
        <f>IF(TrRoad_act!W15=0,0,W36/TrRoad_act!W15*1000)</f>
        <v>86.098790007130248</v>
      </c>
      <c r="X99" s="101">
        <f>IF(TrRoad_act!X15=0,0,X36/TrRoad_act!X15*1000)</f>
        <v>57.616971774023021</v>
      </c>
      <c r="Y99" s="101">
        <f>IF(TrRoad_act!Y15=0,0,Y36/TrRoad_act!Y15*1000)</f>
        <v>33.043176524067519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34.347111299514843</v>
      </c>
      <c r="U100" s="101">
        <f>IF(TrRoad_act!U16=0,0,U38/TrRoad_act!U16*1000)</f>
        <v>29.107522571537679</v>
      </c>
      <c r="V100" s="101">
        <f>IF(TrRoad_act!V16=0,0,V38/TrRoad_act!V16*1000)</f>
        <v>65.756970399086512</v>
      </c>
      <c r="W100" s="101">
        <f>IF(TrRoad_act!W16=0,0,W38/TrRoad_act!W16*1000)</f>
        <v>75.221286677378515</v>
      </c>
      <c r="X100" s="101">
        <f>IF(TrRoad_act!X16=0,0,X38/TrRoad_act!X16*1000)</f>
        <v>50.856506660703253</v>
      </c>
      <c r="Y100" s="101">
        <f>IF(TrRoad_act!Y16=0,0,Y38/TrRoad_act!Y16*1000)</f>
        <v>28.028758753662103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32.499876113245783</v>
      </c>
      <c r="M101" s="101">
        <f>IF(TrRoad_act!M17=0,0,M39/TrRoad_act!M17*1000)</f>
        <v>57.332774609003309</v>
      </c>
      <c r="N101" s="101">
        <f>IF(TrRoad_act!N17=0,0,N39/TrRoad_act!N17*1000)</f>
        <v>116.33472629219636</v>
      </c>
      <c r="O101" s="101">
        <f>IF(TrRoad_act!O17=0,0,O39/TrRoad_act!O17*1000)</f>
        <v>40.157545208246788</v>
      </c>
      <c r="P101" s="101">
        <f>IF(TrRoad_act!P17=0,0,P39/TrRoad_act!P17*1000)</f>
        <v>36.779091121237386</v>
      </c>
      <c r="Q101" s="101">
        <f>IF(TrRoad_act!Q17=0,0,Q39/TrRoad_act!Q17*1000)</f>
        <v>35.167729491239683</v>
      </c>
      <c r="R101" s="101">
        <f>IF(TrRoad_act!R17=0,0,R39/TrRoad_act!R17*1000)</f>
        <v>27.618592076516766</v>
      </c>
      <c r="S101" s="101">
        <f>IF(TrRoad_act!S17=0,0,S39/TrRoad_act!S17*1000)</f>
        <v>18.985400758628391</v>
      </c>
      <c r="T101" s="101">
        <f>IF(TrRoad_act!T17=0,0,T39/TrRoad_act!T17*1000)</f>
        <v>43.797545711589258</v>
      </c>
      <c r="U101" s="101">
        <f>IF(TrRoad_act!U17=0,0,U39/TrRoad_act!U17*1000)</f>
        <v>36.324378418288596</v>
      </c>
      <c r="V101" s="101">
        <f>IF(TrRoad_act!V17=0,0,V39/TrRoad_act!V17*1000)</f>
        <v>83.844855558645037</v>
      </c>
      <c r="W101" s="101">
        <f>IF(TrRoad_act!W17=0,0,W39/TrRoad_act!W17*1000)</f>
        <v>69.943490496218814</v>
      </c>
      <c r="X101" s="101">
        <f>IF(TrRoad_act!X17=0,0,X39/TrRoad_act!X17*1000)</f>
        <v>15.25043468054225</v>
      </c>
      <c r="Y101" s="101">
        <f>IF(TrRoad_act!Y17=0,0,Y39/TrRoad_act!Y17*1000)</f>
        <v>23.075959429714523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20.551459439645658</v>
      </c>
      <c r="M102" s="101">
        <f>IF(TrRoad_act!M18=0,0,M41/TrRoad_act!M18*1000)</f>
        <v>20.031196731475422</v>
      </c>
      <c r="N102" s="101">
        <f>IF(TrRoad_act!N18=0,0,N41/TrRoad_act!N18*1000)</f>
        <v>22.491917955349567</v>
      </c>
      <c r="O102" s="101">
        <f>IF(TrRoad_act!O18=0,0,O41/TrRoad_act!O18*1000)</f>
        <v>23.345490769347023</v>
      </c>
      <c r="P102" s="101">
        <f>IF(TrRoad_act!P18=0,0,P41/TrRoad_act!P18*1000)</f>
        <v>23.92020017623873</v>
      </c>
      <c r="Q102" s="101">
        <f>IF(TrRoad_act!Q18=0,0,Q41/TrRoad_act!Q18*1000)</f>
        <v>21.099596323882285</v>
      </c>
      <c r="R102" s="101">
        <f>IF(TrRoad_act!R18=0,0,R41/TrRoad_act!R18*1000)</f>
        <v>19.986380818768485</v>
      </c>
      <c r="S102" s="101">
        <f>IF(TrRoad_act!S18=0,0,S41/TrRoad_act!S18*1000)</f>
        <v>23.631704771276503</v>
      </c>
      <c r="T102" s="101">
        <f>IF(TrRoad_act!T18=0,0,T41/TrRoad_act!T18*1000)</f>
        <v>23.610058714969544</v>
      </c>
      <c r="U102" s="101">
        <f>IF(TrRoad_act!U18=0,0,U41/TrRoad_act!U18*1000)</f>
        <v>20.008387633198524</v>
      </c>
      <c r="V102" s="101">
        <f>IF(TrRoad_act!V18=0,0,V41/TrRoad_act!V18*1000)</f>
        <v>45.201062718275139</v>
      </c>
      <c r="W102" s="101">
        <f>IF(TrRoad_act!W18=0,0,W41/TrRoad_act!W18*1000)</f>
        <v>51.772986189178219</v>
      </c>
      <c r="X102" s="101">
        <f>IF(TrRoad_act!X18=0,0,X41/TrRoad_act!X18*1000)</f>
        <v>35.004542538968927</v>
      </c>
      <c r="Y102" s="101">
        <f>IF(TrRoad_act!Y18=0,0,Y41/TrRoad_act!Y18*1000)</f>
        <v>19.302638238517744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85.399925984794208</v>
      </c>
      <c r="C103" s="29">
        <f>IF(TrRoad_act!C19=0,0,C42/TrRoad_act!C19*1000)</f>
        <v>107.22250551848614</v>
      </c>
      <c r="D103" s="29">
        <f>IF(TrRoad_act!D19=0,0,D42/TrRoad_act!D19*1000)</f>
        <v>106.68307970948614</v>
      </c>
      <c r="E103" s="29">
        <f>IF(TrRoad_act!E19=0,0,E42/TrRoad_act!E19*1000)</f>
        <v>70.182015755901361</v>
      </c>
      <c r="F103" s="29">
        <f>IF(TrRoad_act!F19=0,0,F42/TrRoad_act!F19*1000)</f>
        <v>73.34427852588081</v>
      </c>
      <c r="G103" s="29">
        <f>IF(TrRoad_act!G19=0,0,G42/TrRoad_act!G19*1000)</f>
        <v>63.042561656740602</v>
      </c>
      <c r="H103" s="29">
        <f>IF(TrRoad_act!H19=0,0,H42/TrRoad_act!H19*1000)</f>
        <v>59.768226471695726</v>
      </c>
      <c r="I103" s="29">
        <f>IF(TrRoad_act!I19=0,0,I42/TrRoad_act!I19*1000)</f>
        <v>62.299932047263624</v>
      </c>
      <c r="J103" s="29">
        <f>IF(TrRoad_act!J19=0,0,J42/TrRoad_act!J19*1000)</f>
        <v>65.14223738330962</v>
      </c>
      <c r="K103" s="29">
        <f>IF(TrRoad_act!K19=0,0,K42/TrRoad_act!K19*1000)</f>
        <v>65.775998754529667</v>
      </c>
      <c r="L103" s="29">
        <f>IF(TrRoad_act!L19=0,0,L42/TrRoad_act!L19*1000)</f>
        <v>70.770731743007246</v>
      </c>
      <c r="M103" s="29">
        <f>IF(TrRoad_act!M19=0,0,M42/TrRoad_act!M19*1000)</f>
        <v>68.571183932187836</v>
      </c>
      <c r="N103" s="29">
        <f>IF(TrRoad_act!N19=0,0,N42/TrRoad_act!N19*1000)</f>
        <v>67.075118690021583</v>
      </c>
      <c r="O103" s="29">
        <f>IF(TrRoad_act!O19=0,0,O42/TrRoad_act!O19*1000)</f>
        <v>60.817124789928116</v>
      </c>
      <c r="P103" s="29">
        <f>IF(TrRoad_act!P19=0,0,P42/TrRoad_act!P19*1000)</f>
        <v>59.820334201336834</v>
      </c>
      <c r="Q103" s="29">
        <f>IF(TrRoad_act!Q19=0,0,Q42/TrRoad_act!Q19*1000)</f>
        <v>54.624314863903592</v>
      </c>
      <c r="R103" s="29">
        <f>IF(TrRoad_act!R19=0,0,R42/TrRoad_act!R19*1000)</f>
        <v>49.171785172320853</v>
      </c>
      <c r="S103" s="29">
        <f>IF(TrRoad_act!S19=0,0,S42/TrRoad_act!S19*1000)</f>
        <v>50.11840305325785</v>
      </c>
      <c r="T103" s="29">
        <f>IF(TrRoad_act!T19=0,0,T42/TrRoad_act!T19*1000)</f>
        <v>50.841401865144114</v>
      </c>
      <c r="U103" s="29">
        <f>IF(TrRoad_act!U19=0,0,U42/TrRoad_act!U19*1000)</f>
        <v>51.774833972686778</v>
      </c>
      <c r="V103" s="29">
        <f>IF(TrRoad_act!V19=0,0,V42/TrRoad_act!V19*1000)</f>
        <v>52.896081805016458</v>
      </c>
      <c r="W103" s="29">
        <f>IF(TrRoad_act!W19=0,0,W42/TrRoad_act!W19*1000)</f>
        <v>55.278293882126846</v>
      </c>
      <c r="X103" s="29">
        <f>IF(TrRoad_act!X19=0,0,X42/TrRoad_act!X19*1000)</f>
        <v>55.445165842147695</v>
      </c>
      <c r="Y103" s="29">
        <f>IF(TrRoad_act!Y19=0,0,Y42/TrRoad_act!Y19*1000)</f>
        <v>63.62024245246127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336.11887114956642</v>
      </c>
      <c r="C104" s="152">
        <f>IF(TrRoad_act!C20=0,0,C43/TrRoad_act!C20*1000)</f>
        <v>403.81162719263614</v>
      </c>
      <c r="D104" s="152">
        <f>IF(TrRoad_act!D20=0,0,D43/TrRoad_act!D20*1000)</f>
        <v>440.63262203263582</v>
      </c>
      <c r="E104" s="152">
        <f>IF(TrRoad_act!E20=0,0,E43/TrRoad_act!E20*1000)</f>
        <v>383.67250550257927</v>
      </c>
      <c r="F104" s="152">
        <f>IF(TrRoad_act!F20=0,0,F43/TrRoad_act!F20*1000)</f>
        <v>388.59480443305006</v>
      </c>
      <c r="G104" s="152">
        <f>IF(TrRoad_act!G20=0,0,G43/TrRoad_act!G20*1000)</f>
        <v>384.35843209917357</v>
      </c>
      <c r="H104" s="152">
        <f>IF(TrRoad_act!H20=0,0,H43/TrRoad_act!H20*1000)</f>
        <v>375.89277880815013</v>
      </c>
      <c r="I104" s="152">
        <f>IF(TrRoad_act!I20=0,0,I43/TrRoad_act!I20*1000)</f>
        <v>371.23364585326186</v>
      </c>
      <c r="J104" s="152">
        <f>IF(TrRoad_act!J20=0,0,J43/TrRoad_act!J20*1000)</f>
        <v>354.70155769231252</v>
      </c>
      <c r="K104" s="152">
        <f>IF(TrRoad_act!K20=0,0,K43/TrRoad_act!K20*1000)</f>
        <v>325.74551415147835</v>
      </c>
      <c r="L104" s="152">
        <f>IF(TrRoad_act!L20=0,0,L43/TrRoad_act!L20*1000)</f>
        <v>350.53580798152348</v>
      </c>
      <c r="M104" s="152">
        <f>IF(TrRoad_act!M20=0,0,M43/TrRoad_act!M20*1000)</f>
        <v>350.55099308279284</v>
      </c>
      <c r="N104" s="152">
        <f>IF(TrRoad_act!N20=0,0,N43/TrRoad_act!N20*1000)</f>
        <v>342.61481052528842</v>
      </c>
      <c r="O104" s="152">
        <f>IF(TrRoad_act!O20=0,0,O43/TrRoad_act!O20*1000)</f>
        <v>317.60584920012292</v>
      </c>
      <c r="P104" s="152">
        <f>IF(TrRoad_act!P20=0,0,P43/TrRoad_act!P20*1000)</f>
        <v>309.58362642653162</v>
      </c>
      <c r="Q104" s="152">
        <f>IF(TrRoad_act!Q20=0,0,Q43/TrRoad_act!Q20*1000)</f>
        <v>290.97135796488527</v>
      </c>
      <c r="R104" s="152">
        <f>IF(TrRoad_act!R20=0,0,R43/TrRoad_act!R20*1000)</f>
        <v>273.06008799208337</v>
      </c>
      <c r="S104" s="152">
        <f>IF(TrRoad_act!S20=0,0,S43/TrRoad_act!S20*1000)</f>
        <v>269.3816194878147</v>
      </c>
      <c r="T104" s="152">
        <f>IF(TrRoad_act!T20=0,0,T43/TrRoad_act!T20*1000)</f>
        <v>266.51087023047285</v>
      </c>
      <c r="U104" s="152">
        <f>IF(TrRoad_act!U20=0,0,U43/TrRoad_act!U20*1000)</f>
        <v>264.42688133764329</v>
      </c>
      <c r="V104" s="152">
        <f>IF(TrRoad_act!V20=0,0,V43/TrRoad_act!V20*1000)</f>
        <v>257.10432554444924</v>
      </c>
      <c r="W104" s="152">
        <f>IF(TrRoad_act!W20=0,0,W43/TrRoad_act!W20*1000)</f>
        <v>268.92357534793257</v>
      </c>
      <c r="X104" s="152">
        <f>IF(TrRoad_act!X20=0,0,X43/TrRoad_act!X20*1000)</f>
        <v>266.14421778155611</v>
      </c>
      <c r="Y104" s="152">
        <f>IF(TrRoad_act!Y20=0,0,Y43/TrRoad_act!Y20*1000)</f>
        <v>275.11905757723878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446.54548692932218</v>
      </c>
      <c r="C105" s="87">
        <f>IF(TrRoad_act!C21=0,0,C44/TrRoad_act!C21*1000)</f>
        <v>454.4373454487087</v>
      </c>
      <c r="D105" s="87">
        <f>IF(TrRoad_act!D21=0,0,D44/TrRoad_act!D21*1000)</f>
        <v>451.78670940896995</v>
      </c>
      <c r="E105" s="87">
        <f>IF(TrRoad_act!E21=0,0,E44/TrRoad_act!E21*1000)</f>
        <v>445.38938265816739</v>
      </c>
      <c r="F105" s="87">
        <f>IF(TrRoad_act!F21=0,0,F44/TrRoad_act!F21*1000)</f>
        <v>448.14047603096873</v>
      </c>
      <c r="G105" s="87">
        <f>IF(TrRoad_act!G21=0,0,G44/TrRoad_act!G21*1000)</f>
        <v>436.6090933650683</v>
      </c>
      <c r="H105" s="87">
        <f>IF(TrRoad_act!H21=0,0,H44/TrRoad_act!H21*1000)</f>
        <v>435.36514925906755</v>
      </c>
      <c r="I105" s="87">
        <f>IF(TrRoad_act!I21=0,0,I44/TrRoad_act!I21*1000)</f>
        <v>421.25385526448025</v>
      </c>
      <c r="J105" s="87">
        <f>IF(TrRoad_act!J21=0,0,J44/TrRoad_act!J21*1000)</f>
        <v>404.58589040154465</v>
      </c>
      <c r="K105" s="87">
        <f>IF(TrRoad_act!K21=0,0,K44/TrRoad_act!K21*1000)</f>
        <v>389.31565120787889</v>
      </c>
      <c r="L105" s="87">
        <f>IF(TrRoad_act!L21=0,0,L44/TrRoad_act!L21*1000)</f>
        <v>378.76288146632726</v>
      </c>
      <c r="M105" s="87">
        <f>IF(TrRoad_act!M21=0,0,M44/TrRoad_act!M21*1000)</f>
        <v>378.04431530015597</v>
      </c>
      <c r="N105" s="87">
        <f>IF(TrRoad_act!N21=0,0,N44/TrRoad_act!N21*1000)</f>
        <v>369.59000291165552</v>
      </c>
      <c r="O105" s="87">
        <f>IF(TrRoad_act!O21=0,0,O44/TrRoad_act!O21*1000)</f>
        <v>360.52041873258423</v>
      </c>
      <c r="P105" s="87">
        <f>IF(TrRoad_act!P21=0,0,P44/TrRoad_act!P21*1000)</f>
        <v>355.82695098660173</v>
      </c>
      <c r="Q105" s="87">
        <f>IF(TrRoad_act!Q21=0,0,Q44/TrRoad_act!Q21*1000)</f>
        <v>345.81103981134419</v>
      </c>
      <c r="R105" s="87">
        <f>IF(TrRoad_act!R21=0,0,R44/TrRoad_act!R21*1000)</f>
        <v>334.39884771621695</v>
      </c>
      <c r="S105" s="87">
        <f>IF(TrRoad_act!S21=0,0,S44/TrRoad_act!S21*1000)</f>
        <v>327.94647729416874</v>
      </c>
      <c r="T105" s="87">
        <f>IF(TrRoad_act!T21=0,0,T44/TrRoad_act!T21*1000)</f>
        <v>330.04266061392997</v>
      </c>
      <c r="U105" s="87">
        <f>IF(TrRoad_act!U21=0,0,U44/TrRoad_act!U21*1000)</f>
        <v>322.88117658409095</v>
      </c>
      <c r="V105" s="87">
        <f>IF(TrRoad_act!V21=0,0,V44/TrRoad_act!V21*1000)</f>
        <v>310.2396741519359</v>
      </c>
      <c r="W105" s="87">
        <f>IF(TrRoad_act!W21=0,0,W44/TrRoad_act!W21*1000)</f>
        <v>300.25048350995928</v>
      </c>
      <c r="X105" s="87">
        <f>IF(TrRoad_act!X21=0,0,X44/TrRoad_act!X21*1000)</f>
        <v>290.77155936403432</v>
      </c>
      <c r="Y105" s="87">
        <f>IF(TrRoad_act!Y21=0,0,Y44/TrRoad_act!Y21*1000)</f>
        <v>282.00094185543594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308.84344279968155</v>
      </c>
      <c r="C106" s="87">
        <f>IF(TrRoad_act!C22=0,0,C46/TrRoad_act!C22*1000)</f>
        <v>390.16204183916415</v>
      </c>
      <c r="D106" s="87">
        <f>IF(TrRoad_act!D22=0,0,D46/TrRoad_act!D22*1000)</f>
        <v>437.66393355809123</v>
      </c>
      <c r="E106" s="87">
        <f>IF(TrRoad_act!E22=0,0,E46/TrRoad_act!E22*1000)</f>
        <v>367.67553113684261</v>
      </c>
      <c r="F106" s="87">
        <f>IF(TrRoad_act!F22=0,0,F46/TrRoad_act!F22*1000)</f>
        <v>371.99158881169677</v>
      </c>
      <c r="G106" s="87">
        <f>IF(TrRoad_act!G22=0,0,G46/TrRoad_act!G22*1000)</f>
        <v>370.42305055634301</v>
      </c>
      <c r="H106" s="87">
        <f>IF(TrRoad_act!H22=0,0,H46/TrRoad_act!H22*1000)</f>
        <v>359.64990437824309</v>
      </c>
      <c r="I106" s="87">
        <f>IF(TrRoad_act!I22=0,0,I46/TrRoad_act!I22*1000)</f>
        <v>359.24847698460144</v>
      </c>
      <c r="J106" s="87">
        <f>IF(TrRoad_act!J22=0,0,J46/TrRoad_act!J22*1000)</f>
        <v>342.86440535567988</v>
      </c>
      <c r="K106" s="87">
        <f>IF(TrRoad_act!K22=0,0,K46/TrRoad_act!K22*1000)</f>
        <v>311.60775206342839</v>
      </c>
      <c r="L106" s="87">
        <f>IF(TrRoad_act!L22=0,0,L46/TrRoad_act!L22*1000)</f>
        <v>344.83411879090869</v>
      </c>
      <c r="M106" s="87">
        <f>IF(TrRoad_act!M22=0,0,M46/TrRoad_act!M22*1000)</f>
        <v>344.98124086318029</v>
      </c>
      <c r="N106" s="87">
        <f>IF(TrRoad_act!N22=0,0,N46/TrRoad_act!N22*1000)</f>
        <v>337.64850641719363</v>
      </c>
      <c r="O106" s="87">
        <f>IF(TrRoad_act!O22=0,0,O46/TrRoad_act!O22*1000)</f>
        <v>311.10020231504359</v>
      </c>
      <c r="P106" s="87">
        <f>IF(TrRoad_act!P22=0,0,P46/TrRoad_act!P22*1000)</f>
        <v>303.12883916207261</v>
      </c>
      <c r="Q106" s="87">
        <f>IF(TrRoad_act!Q22=0,0,Q46/TrRoad_act!Q22*1000)</f>
        <v>283.81673329621236</v>
      </c>
      <c r="R106" s="87">
        <f>IF(TrRoad_act!R22=0,0,R46/TrRoad_act!R22*1000)</f>
        <v>266.11062774774143</v>
      </c>
      <c r="S106" s="87">
        <f>IF(TrRoad_act!S22=0,0,S46/TrRoad_act!S22*1000)</f>
        <v>263.2978814682757</v>
      </c>
      <c r="T106" s="87">
        <f>IF(TrRoad_act!T22=0,0,T46/TrRoad_act!T22*1000)</f>
        <v>259.88238361668976</v>
      </c>
      <c r="U106" s="87">
        <f>IF(TrRoad_act!U22=0,0,U46/TrRoad_act!U22*1000)</f>
        <v>259.04147615157797</v>
      </c>
      <c r="V106" s="87">
        <f>IF(TrRoad_act!V22=0,0,V46/TrRoad_act!V22*1000)</f>
        <v>252.70406793908472</v>
      </c>
      <c r="W106" s="87">
        <f>IF(TrRoad_act!W22=0,0,W46/TrRoad_act!W22*1000)</f>
        <v>266.65066977191924</v>
      </c>
      <c r="X106" s="87">
        <f>IF(TrRoad_act!X22=0,0,X46/TrRoad_act!X22*1000)</f>
        <v>264.60459490155608</v>
      </c>
      <c r="Y106" s="87">
        <f>IF(TrRoad_act!Y22=0,0,Y46/TrRoad_act!Y22*1000)</f>
        <v>274.80055412089939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332.89896071659837</v>
      </c>
      <c r="O108" s="87">
        <f>IF(TrRoad_act!O24=0,0,O49/TrRoad_act!O24*1000)</f>
        <v>335.40299208265566</v>
      </c>
      <c r="P108" s="87">
        <f>IF(TrRoad_act!P24=0,0,P49/TrRoad_act!P24*1000)</f>
        <v>351.98685710860974</v>
      </c>
      <c r="Q108" s="87">
        <f>IF(TrRoad_act!Q24=0,0,Q49/TrRoad_act!Q24*1000)</f>
        <v>341.38373000110755</v>
      </c>
      <c r="R108" s="87">
        <f>IF(TrRoad_act!R24=0,0,R49/TrRoad_act!R24*1000)</f>
        <v>342.48105626992344</v>
      </c>
      <c r="S108" s="87">
        <f>IF(TrRoad_act!S24=0,0,S49/TrRoad_act!S24*1000)</f>
        <v>303.18290518776723</v>
      </c>
      <c r="T108" s="87">
        <f>IF(TrRoad_act!T24=0,0,T49/TrRoad_act!T24*1000)</f>
        <v>296.6548632998643</v>
      </c>
      <c r="U108" s="87">
        <f>IF(TrRoad_act!U24=0,0,U49/TrRoad_act!U24*1000)</f>
        <v>296.12284773624674</v>
      </c>
      <c r="V108" s="87">
        <f>IF(TrRoad_act!V24=0,0,V49/TrRoad_act!V24*1000)</f>
        <v>297.37468979377297</v>
      </c>
      <c r="W108" s="87">
        <f>IF(TrRoad_act!W24=0,0,W49/TrRoad_act!W24*1000)</f>
        <v>298.70403137549914</v>
      </c>
      <c r="X108" s="87">
        <f>IF(TrRoad_act!X24=0,0,X49/TrRoad_act!X24*1000)</f>
        <v>299.77313231525608</v>
      </c>
      <c r="Y108" s="87">
        <f>IF(TrRoad_act!Y24=0,0,Y49/TrRoad_act!Y24*1000)</f>
        <v>295.63800694581926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48.597651045341671</v>
      </c>
      <c r="J109" s="87">
        <f>IF(TrRoad_act!J25=0,0,J51/TrRoad_act!J25*1000)</f>
        <v>48.606104778518841</v>
      </c>
      <c r="K109" s="87">
        <f>IF(TrRoad_act!K25=0,0,K51/TrRoad_act!K25*1000)</f>
        <v>48.615549449463735</v>
      </c>
      <c r="L109" s="87">
        <f>IF(TrRoad_act!L25=0,0,L51/TrRoad_act!L25*1000)</f>
        <v>48.624738178828203</v>
      </c>
      <c r="M109" s="87">
        <f>IF(TrRoad_act!M25=0,0,M51/TrRoad_act!M25*1000)</f>
        <v>48.63322179073451</v>
      </c>
      <c r="N109" s="87">
        <f>IF(TrRoad_act!N25=0,0,N51/TrRoad_act!N25*1000)</f>
        <v>49.043814955424445</v>
      </c>
      <c r="O109" s="87">
        <f>IF(TrRoad_act!O25=0,0,O51/TrRoad_act!O25*1000)</f>
        <v>49.937755771266815</v>
      </c>
      <c r="P109" s="87">
        <f>IF(TrRoad_act!P25=0,0,P51/TrRoad_act!P25*1000)</f>
        <v>61.640173576324365</v>
      </c>
      <c r="Q109" s="87">
        <f>IF(TrRoad_act!Q25=0,0,Q51/TrRoad_act!Q25*1000)</f>
        <v>62.361936624324883</v>
      </c>
      <c r="R109" s="87">
        <f>IF(TrRoad_act!R25=0,0,R51/TrRoad_act!R25*1000)</f>
        <v>64.610169659665672</v>
      </c>
      <c r="S109" s="87">
        <f>IF(TrRoad_act!S25=0,0,S51/TrRoad_act!S25*1000)</f>
        <v>65.988953166320599</v>
      </c>
      <c r="T109" s="87">
        <f>IF(TrRoad_act!T25=0,0,T51/TrRoad_act!T25*1000)</f>
        <v>67.643264272809319</v>
      </c>
      <c r="U109" s="87">
        <f>IF(TrRoad_act!U25=0,0,U51/TrRoad_act!U25*1000)</f>
        <v>69.455955859738594</v>
      </c>
      <c r="V109" s="87">
        <f>IF(TrRoad_act!V25=0,0,V51/TrRoad_act!V25*1000)</f>
        <v>99.50412337509006</v>
      </c>
      <c r="W109" s="87">
        <f>IF(TrRoad_act!W25=0,0,W51/TrRoad_act!W25*1000)</f>
        <v>120.14600713801862</v>
      </c>
      <c r="X109" s="87">
        <f>IF(TrRoad_act!X25=0,0,X51/TrRoad_act!X25*1000)</f>
        <v>105.59049168008072</v>
      </c>
      <c r="Y109" s="87">
        <f>IF(TrRoad_act!Y25=0,0,Y51/TrRoad_act!Y25*1000)</f>
        <v>102.32961514251068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37.90527496863168</v>
      </c>
      <c r="C110" s="116">
        <f>IF(TrRoad_act!C26=0,0,C52/TrRoad_act!C26*1000)</f>
        <v>44.518951781720361</v>
      </c>
      <c r="D110" s="116">
        <f>IF(TrRoad_act!D26=0,0,D52/TrRoad_act!D26*1000)</f>
        <v>49.348611420567913</v>
      </c>
      <c r="E110" s="116">
        <f>IF(TrRoad_act!E26=0,0,E52/TrRoad_act!E26*1000)</f>
        <v>37.672379580875315</v>
      </c>
      <c r="F110" s="116">
        <f>IF(TrRoad_act!F26=0,0,F52/TrRoad_act!F26*1000)</f>
        <v>42.284048943938664</v>
      </c>
      <c r="G110" s="116">
        <f>IF(TrRoad_act!G26=0,0,G52/TrRoad_act!G26*1000)</f>
        <v>37.819174110879935</v>
      </c>
      <c r="H110" s="116">
        <f>IF(TrRoad_act!H26=0,0,H52/TrRoad_act!H26*1000)</f>
        <v>37.397308639154076</v>
      </c>
      <c r="I110" s="116">
        <f>IF(TrRoad_act!I26=0,0,I52/TrRoad_act!I26*1000)</f>
        <v>41.704369260355925</v>
      </c>
      <c r="J110" s="116">
        <f>IF(TrRoad_act!J26=0,0,J52/TrRoad_act!J26*1000)</f>
        <v>44.396461785138335</v>
      </c>
      <c r="K110" s="116">
        <f>IF(TrRoad_act!K26=0,0,K52/TrRoad_act!K26*1000)</f>
        <v>41.501080113349531</v>
      </c>
      <c r="L110" s="116">
        <f>IF(TrRoad_act!L26=0,0,L52/TrRoad_act!L26*1000)</f>
        <v>45.875800700970409</v>
      </c>
      <c r="M110" s="116">
        <f>IF(TrRoad_act!M26=0,0,M52/TrRoad_act!M26*1000)</f>
        <v>45.630794764623559</v>
      </c>
      <c r="N110" s="116">
        <f>IF(TrRoad_act!N26=0,0,N52/TrRoad_act!N26*1000)</f>
        <v>44.015596860945479</v>
      </c>
      <c r="O110" s="116">
        <f>IF(TrRoad_act!O26=0,0,O52/TrRoad_act!O26*1000)</f>
        <v>38.774043658033072</v>
      </c>
      <c r="P110" s="116">
        <f>IF(TrRoad_act!P26=0,0,P52/TrRoad_act!P26*1000)</f>
        <v>36.766153930033759</v>
      </c>
      <c r="Q110" s="116">
        <f>IF(TrRoad_act!Q26=0,0,Q52/TrRoad_act!Q26*1000)</f>
        <v>33.122347305151806</v>
      </c>
      <c r="R110" s="116">
        <f>IF(TrRoad_act!R26=0,0,R52/TrRoad_act!R26*1000)</f>
        <v>28.607314807108082</v>
      </c>
      <c r="S110" s="116">
        <f>IF(TrRoad_act!S26=0,0,S52/TrRoad_act!S26*1000)</f>
        <v>26.372403336065016</v>
      </c>
      <c r="T110" s="116">
        <f>IF(TrRoad_act!T26=0,0,T52/TrRoad_act!T26*1000)</f>
        <v>25.727740554299316</v>
      </c>
      <c r="U110" s="116">
        <f>IF(TrRoad_act!U26=0,0,U52/TrRoad_act!U26*1000)</f>
        <v>24.039929151326621</v>
      </c>
      <c r="V110" s="116">
        <f>IF(TrRoad_act!V26=0,0,V52/TrRoad_act!V26*1000)</f>
        <v>23.077826903346011</v>
      </c>
      <c r="W110" s="116">
        <f>IF(TrRoad_act!W26=0,0,W52/TrRoad_act!W26*1000)</f>
        <v>26.487048042805636</v>
      </c>
      <c r="X110" s="116">
        <f>IF(TrRoad_act!X26=0,0,X52/TrRoad_act!X26*1000)</f>
        <v>27.644063607374182</v>
      </c>
      <c r="Y110" s="116">
        <f>IF(TrRoad_act!Y26=0,0,Y52/TrRoad_act!Y26*1000)</f>
        <v>31.381074108006757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47.108399053339383</v>
      </c>
      <c r="C111" s="101">
        <f>IF(TrRoad_act!C27=0,0,C53/TrRoad_act!C27*1000)</f>
        <v>59.016737113368485</v>
      </c>
      <c r="D111" s="101">
        <f>IF(TrRoad_act!D27=0,0,D53/TrRoad_act!D27*1000)</f>
        <v>62.631988334099745</v>
      </c>
      <c r="E111" s="101">
        <f>IF(TrRoad_act!E27=0,0,E53/TrRoad_act!E27*1000)</f>
        <v>41.459230022368729</v>
      </c>
      <c r="F111" s="101">
        <f>IF(TrRoad_act!F27=0,0,F53/TrRoad_act!F27*1000)</f>
        <v>48.803421380786638</v>
      </c>
      <c r="G111" s="101">
        <f>IF(TrRoad_act!G27=0,0,G53/TrRoad_act!G27*1000)</f>
        <v>40.927929024861932</v>
      </c>
      <c r="H111" s="101">
        <f>IF(TrRoad_act!H27=0,0,H53/TrRoad_act!H27*1000)</f>
        <v>40.503848748550062</v>
      </c>
      <c r="I111" s="101">
        <f>IF(TrRoad_act!I27=0,0,I53/TrRoad_act!I27*1000)</f>
        <v>46.667016416376399</v>
      </c>
      <c r="J111" s="101">
        <f>IF(TrRoad_act!J27=0,0,J53/TrRoad_act!J27*1000)</f>
        <v>50.427523876090234</v>
      </c>
      <c r="K111" s="101">
        <f>IF(TrRoad_act!K27=0,0,K53/TrRoad_act!K27*1000)</f>
        <v>47.404637650438239</v>
      </c>
      <c r="L111" s="101">
        <f>IF(TrRoad_act!L27=0,0,L53/TrRoad_act!L27*1000)</f>
        <v>50.967475372297173</v>
      </c>
      <c r="M111" s="101">
        <f>IF(TrRoad_act!M27=0,0,M53/TrRoad_act!M27*1000)</f>
        <v>50.668119116500868</v>
      </c>
      <c r="N111" s="101">
        <f>IF(TrRoad_act!N27=0,0,N53/TrRoad_act!N27*1000)</f>
        <v>48.045576308729345</v>
      </c>
      <c r="O111" s="101">
        <f>IF(TrRoad_act!O27=0,0,O53/TrRoad_act!O27*1000)</f>
        <v>43.314140818533232</v>
      </c>
      <c r="P111" s="101">
        <f>IF(TrRoad_act!P27=0,0,P53/TrRoad_act!P27*1000)</f>
        <v>40.58480247901911</v>
      </c>
      <c r="Q111" s="101">
        <f>IF(TrRoad_act!Q27=0,0,Q53/TrRoad_act!Q27*1000)</f>
        <v>36.9157196747122</v>
      </c>
      <c r="R111" s="101">
        <f>IF(TrRoad_act!R27=0,0,R53/TrRoad_act!R27*1000)</f>
        <v>31.314787869105562</v>
      </c>
      <c r="S111" s="101">
        <f>IF(TrRoad_act!S27=0,0,S53/TrRoad_act!S27*1000)</f>
        <v>27.979039232907567</v>
      </c>
      <c r="T111" s="101">
        <f>IF(TrRoad_act!T27=0,0,T53/TrRoad_act!T27*1000)</f>
        <v>27.513339660819128</v>
      </c>
      <c r="U111" s="101">
        <f>IF(TrRoad_act!U27=0,0,U53/TrRoad_act!U27*1000)</f>
        <v>24.789065874924791</v>
      </c>
      <c r="V111" s="101">
        <f>IF(TrRoad_act!V27=0,0,V53/TrRoad_act!V27*1000)</f>
        <v>24.856955609235758</v>
      </c>
      <c r="W111" s="101">
        <f>IF(TrRoad_act!W27=0,0,W53/TrRoad_act!W27*1000)</f>
        <v>28.117166730196512</v>
      </c>
      <c r="X111" s="101">
        <f>IF(TrRoad_act!X27=0,0,X53/TrRoad_act!X27*1000)</f>
        <v>29.689641210777946</v>
      </c>
      <c r="Y111" s="101">
        <f>IF(TrRoad_act!Y27=0,0,Y53/TrRoad_act!Y27*1000)</f>
        <v>33.540431097061116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26.829462266570605</v>
      </c>
      <c r="C112" s="88">
        <f>IF(TrRoad_act!C28=0,0,C55/TrRoad_act!C28*1000)</f>
        <v>32.034645021054111</v>
      </c>
      <c r="D112" s="88">
        <f>IF(TrRoad_act!D28=0,0,D55/TrRoad_act!D28*1000)</f>
        <v>34.329388917671281</v>
      </c>
      <c r="E112" s="88">
        <f>IF(TrRoad_act!E28=0,0,E55/TrRoad_act!E28*1000)</f>
        <v>29.00275393174304</v>
      </c>
      <c r="F112" s="88">
        <f>IF(TrRoad_act!F28=0,0,F55/TrRoad_act!F28*1000)</f>
        <v>30.162543002228364</v>
      </c>
      <c r="G112" s="88">
        <f>IF(TrRoad_act!G28=0,0,G55/TrRoad_act!G28*1000)</f>
        <v>30.844267662008964</v>
      </c>
      <c r="H112" s="88">
        <f>IF(TrRoad_act!H28=0,0,H55/TrRoad_act!H28*1000)</f>
        <v>30.49006171667623</v>
      </c>
      <c r="I112" s="88">
        <f>IF(TrRoad_act!I28=0,0,I55/TrRoad_act!I28*1000)</f>
        <v>32.003740557700425</v>
      </c>
      <c r="J112" s="88">
        <f>IF(TrRoad_act!J28=0,0,J55/TrRoad_act!J28*1000)</f>
        <v>32.636839472714456</v>
      </c>
      <c r="K112" s="88">
        <f>IF(TrRoad_act!K28=0,0,K55/TrRoad_act!K28*1000)</f>
        <v>31.066245684857204</v>
      </c>
      <c r="L112" s="88">
        <f>IF(TrRoad_act!L28=0,0,L55/TrRoad_act!L28*1000)</f>
        <v>36.847109976868261</v>
      </c>
      <c r="M112" s="88">
        <f>IF(TrRoad_act!M28=0,0,M55/TrRoad_act!M28*1000)</f>
        <v>37.087261768368393</v>
      </c>
      <c r="N112" s="88">
        <f>IF(TrRoad_act!N28=0,0,N55/TrRoad_act!N28*1000)</f>
        <v>37.113574080712546</v>
      </c>
      <c r="O112" s="88">
        <f>IF(TrRoad_act!O28=0,0,O55/TrRoad_act!O28*1000)</f>
        <v>32.175348154571473</v>
      </c>
      <c r="P112" s="88">
        <f>IF(TrRoad_act!P28=0,0,P55/TrRoad_act!P28*1000)</f>
        <v>31.421981370295885</v>
      </c>
      <c r="Q112" s="88">
        <f>IF(TrRoad_act!Q28=0,0,Q55/TrRoad_act!Q28*1000)</f>
        <v>28.716374438615706</v>
      </c>
      <c r="R112" s="88">
        <f>IF(TrRoad_act!R28=0,0,R55/TrRoad_act!R28*1000)</f>
        <v>24.939850448559497</v>
      </c>
      <c r="S112" s="88">
        <f>IF(TrRoad_act!S28=0,0,S55/TrRoad_act!S28*1000)</f>
        <v>24.327674360334019</v>
      </c>
      <c r="T112" s="88">
        <f>IF(TrRoad_act!T28=0,0,T55/TrRoad_act!T28*1000)</f>
        <v>23.460782652497812</v>
      </c>
      <c r="U112" s="88">
        <f>IF(TrRoad_act!U28=0,0,U55/TrRoad_act!U28*1000)</f>
        <v>23.029658017767581</v>
      </c>
      <c r="V112" s="88">
        <f>IF(TrRoad_act!V28=0,0,V55/TrRoad_act!V28*1000)</f>
        <v>21.545465034200106</v>
      </c>
      <c r="W112" s="88">
        <f>IF(TrRoad_act!W28=0,0,W55/TrRoad_act!W28*1000)</f>
        <v>24.34684845323336</v>
      </c>
      <c r="X112" s="88">
        <f>IF(TrRoad_act!X28=0,0,X55/TrRoad_act!X28*1000)</f>
        <v>25.387524041188449</v>
      </c>
      <c r="Y112" s="88">
        <f>IF(TrRoad_act!Y28=0,0,Y55/TrRoad_act!Y28*1000)</f>
        <v>29.123297446662168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64.592490005391795</v>
      </c>
      <c r="C116" s="152">
        <f>IF(C19=0,0,1000000*C19/TrRoad_act!C59)</f>
        <v>64.31882198649167</v>
      </c>
      <c r="D116" s="152">
        <f>IF(D19=0,0,1000000*D19/TrRoad_act!D59)</f>
        <v>63.430229951819179</v>
      </c>
      <c r="E116" s="152">
        <f>IF(E19=0,0,1000000*E19/TrRoad_act!E59)</f>
        <v>62.299414864926135</v>
      </c>
      <c r="F116" s="152">
        <f>IF(F19=0,0,1000000*F19/TrRoad_act!F59)</f>
        <v>61.425024118406228</v>
      </c>
      <c r="G116" s="152">
        <f>IF(G19=0,0,1000000*G19/TrRoad_act!G59)</f>
        <v>60.441744663960215</v>
      </c>
      <c r="H116" s="152">
        <f>IF(H19=0,0,1000000*H19/TrRoad_act!H59)</f>
        <v>59.302384510747615</v>
      </c>
      <c r="I116" s="152">
        <f>IF(I19=0,0,1000000*I19/TrRoad_act!I59)</f>
        <v>58.503905913593584</v>
      </c>
      <c r="J116" s="152">
        <f>IF(J19=0,0,1000000*J19/TrRoad_act!J59)</f>
        <v>57.371106914416018</v>
      </c>
      <c r="K116" s="152">
        <f>IF(K19=0,0,1000000*K19/TrRoad_act!K59)</f>
        <v>56.437474509091757</v>
      </c>
      <c r="L116" s="152">
        <f>IF(L19=0,0,1000000*L19/TrRoad_act!L59)</f>
        <v>55.63007699611132</v>
      </c>
      <c r="M116" s="152">
        <f>IF(M19=0,0,1000000*M19/TrRoad_act!M59)</f>
        <v>54.085756395029932</v>
      </c>
      <c r="N116" s="152">
        <f>IF(N19=0,0,1000000*N19/TrRoad_act!N59)</f>
        <v>51.395139816522693</v>
      </c>
      <c r="O116" s="152">
        <f>IF(O19=0,0,1000000*O19/TrRoad_act!O59)</f>
        <v>50.539992158025846</v>
      </c>
      <c r="P116" s="152">
        <f>IF(P19=0,0,1000000*P19/TrRoad_act!P59)</f>
        <v>49.607025167457174</v>
      </c>
      <c r="Q116" s="152">
        <f>IF(Q19=0,0,1000000*Q19/TrRoad_act!Q59)</f>
        <v>48.875498541234478</v>
      </c>
      <c r="R116" s="152">
        <f>IF(R19=0,0,1000000*R19/TrRoad_act!R59)</f>
        <v>48.867741271237001</v>
      </c>
      <c r="S116" s="152">
        <f>IF(S19=0,0,1000000*S19/TrRoad_act!S59)</f>
        <v>43.480939236579104</v>
      </c>
      <c r="T116" s="152">
        <f>IF(T19=0,0,1000000*T19/TrRoad_act!T59)</f>
        <v>39.420075209861494</v>
      </c>
      <c r="U116" s="152">
        <f>IF(U19=0,0,1000000*U19/TrRoad_act!U59)</f>
        <v>39.484519207168375</v>
      </c>
      <c r="V116" s="152">
        <f>IF(V19=0,0,1000000*V19/TrRoad_act!V59)</f>
        <v>33.747007744342689</v>
      </c>
      <c r="W116" s="152">
        <f>IF(W19=0,0,1000000*W19/TrRoad_act!W59)</f>
        <v>33.437323440305747</v>
      </c>
      <c r="X116" s="152">
        <f>IF(X19=0,0,1000000*X19/TrRoad_act!X59)</f>
        <v>32.144205836410322</v>
      </c>
      <c r="Y116" s="152">
        <f>IF(Y19=0,0,1000000*Y19/TrRoad_act!Y59)</f>
        <v>33.302126718385125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676.30700404416336</v>
      </c>
      <c r="C117" s="116">
        <f>IF(C21=0,0,1000000*C21/TrRoad_act!C60)</f>
        <v>860.70448717044053</v>
      </c>
      <c r="D117" s="116">
        <f>IF(D21=0,0,1000000*D21/TrRoad_act!D60)</f>
        <v>835.48250844428685</v>
      </c>
      <c r="E117" s="116">
        <f>IF(E21=0,0,1000000*E21/TrRoad_act!E60)</f>
        <v>769.06511681744303</v>
      </c>
      <c r="F117" s="116">
        <f>IF(F21=0,0,1000000*F21/TrRoad_act!F60)</f>
        <v>723.29838526934998</v>
      </c>
      <c r="G117" s="116">
        <f>IF(G21=0,0,1000000*G21/TrRoad_act!G60)</f>
        <v>743.60295076919158</v>
      </c>
      <c r="H117" s="116">
        <f>IF(H21=0,0,1000000*H21/TrRoad_act!H60)</f>
        <v>821.21995185204537</v>
      </c>
      <c r="I117" s="116">
        <f>IF(I21=0,0,1000000*I21/TrRoad_act!I60)</f>
        <v>879.2501377026723</v>
      </c>
      <c r="J117" s="116">
        <f>IF(J21=0,0,1000000*J21/TrRoad_act!J60)</f>
        <v>824.66432215071177</v>
      </c>
      <c r="K117" s="116">
        <f>IF(K21=0,0,1000000*K21/TrRoad_act!K60)</f>
        <v>799.91954333792796</v>
      </c>
      <c r="L117" s="116">
        <f>IF(L21=0,0,1000000*L21/TrRoad_act!L60)</f>
        <v>795.6553419174727</v>
      </c>
      <c r="M117" s="116">
        <f>IF(M21=0,0,1000000*M21/TrRoad_act!M60)</f>
        <v>763.41786071093975</v>
      </c>
      <c r="N117" s="116">
        <f>IF(N21=0,0,1000000*N21/TrRoad_act!N60)</f>
        <v>747.89247868615291</v>
      </c>
      <c r="O117" s="116">
        <f>IF(O21=0,0,1000000*O21/TrRoad_act!O60)</f>
        <v>705.88950025506108</v>
      </c>
      <c r="P117" s="116">
        <f>IF(P21=0,0,1000000*P21/TrRoad_act!P60)</f>
        <v>693.38315259360286</v>
      </c>
      <c r="Q117" s="116">
        <f>IF(Q21=0,0,1000000*Q21/TrRoad_act!Q60)</f>
        <v>701.41191064448765</v>
      </c>
      <c r="R117" s="116">
        <f>IF(R21=0,0,1000000*R21/TrRoad_act!R60)</f>
        <v>694.97872778195472</v>
      </c>
      <c r="S117" s="116">
        <f>IF(S21=0,0,1000000*S21/TrRoad_act!S60)</f>
        <v>698.24138396273736</v>
      </c>
      <c r="T117" s="116">
        <f>IF(T21=0,0,1000000*T21/TrRoad_act!T60)</f>
        <v>707.67323062830064</v>
      </c>
      <c r="U117" s="116">
        <f>IF(U21=0,0,1000000*U21/TrRoad_act!U60)</f>
        <v>673.32667402142454</v>
      </c>
      <c r="V117" s="116">
        <f>IF(V21=0,0,1000000*V21/TrRoad_act!V60)</f>
        <v>620.6394999377269</v>
      </c>
      <c r="W117" s="116">
        <f>IF(W21=0,0,1000000*W21/TrRoad_act!W60)</f>
        <v>616.94005125632862</v>
      </c>
      <c r="X117" s="116">
        <f>IF(X21=0,0,1000000*X21/TrRoad_act!X60)</f>
        <v>599.88656692683674</v>
      </c>
      <c r="Y117" s="116">
        <f>IF(Y21=0,0,1000000*Y21/TrRoad_act!Y60)</f>
        <v>601.8176128272388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684.70951686129808</v>
      </c>
      <c r="C118" s="87">
        <f>IF(C22=0,0,1000000*C22/TrRoad_act!C61)</f>
        <v>868.66228703675336</v>
      </c>
      <c r="D118" s="87">
        <f>IF(D22=0,0,1000000*D22/TrRoad_act!D61)</f>
        <v>816.65568908319858</v>
      </c>
      <c r="E118" s="87">
        <f>IF(E22=0,0,1000000*E22/TrRoad_act!E61)</f>
        <v>734.86389068838275</v>
      </c>
      <c r="F118" s="87">
        <f>IF(F22=0,0,1000000*F22/TrRoad_act!F61)</f>
        <v>664.04925275727737</v>
      </c>
      <c r="G118" s="87">
        <f>IF(G22=0,0,1000000*G22/TrRoad_act!G61)</f>
        <v>670.89840147796201</v>
      </c>
      <c r="H118" s="87">
        <f>IF(H22=0,0,1000000*H22/TrRoad_act!H61)</f>
        <v>726.79260945688611</v>
      </c>
      <c r="I118" s="87">
        <f>IF(I22=0,0,1000000*I22/TrRoad_act!I61)</f>
        <v>783.90567798342317</v>
      </c>
      <c r="J118" s="87">
        <f>IF(J22=0,0,1000000*J22/TrRoad_act!J61)</f>
        <v>755.73997781323726</v>
      </c>
      <c r="K118" s="87">
        <f>IF(K22=0,0,1000000*K22/TrRoad_act!K61)</f>
        <v>699.34429272810451</v>
      </c>
      <c r="L118" s="87">
        <f>IF(L22=0,0,1000000*L22/TrRoad_act!L61)</f>
        <v>673.59125931986659</v>
      </c>
      <c r="M118" s="87">
        <f>IF(M22=0,0,1000000*M22/TrRoad_act!M61)</f>
        <v>613.68431746595911</v>
      </c>
      <c r="N118" s="87">
        <f>IF(N22=0,0,1000000*N22/TrRoad_act!N61)</f>
        <v>581.11205965694774</v>
      </c>
      <c r="O118" s="87">
        <f>IF(O22=0,0,1000000*O22/TrRoad_act!O61)</f>
        <v>542.58534884212372</v>
      </c>
      <c r="P118" s="87">
        <f>IF(P22=0,0,1000000*P22/TrRoad_act!P61)</f>
        <v>547.07055209218288</v>
      </c>
      <c r="Q118" s="87">
        <f>IF(Q22=0,0,1000000*Q22/TrRoad_act!Q61)</f>
        <v>532.97818583959031</v>
      </c>
      <c r="R118" s="87">
        <f>IF(R22=0,0,1000000*R22/TrRoad_act!R61)</f>
        <v>553.08410526385546</v>
      </c>
      <c r="S118" s="87">
        <f>IF(S22=0,0,1000000*S22/TrRoad_act!S61)</f>
        <v>572.45489391131252</v>
      </c>
      <c r="T118" s="87">
        <f>IF(T22=0,0,1000000*T22/TrRoad_act!T61)</f>
        <v>587.51967630801653</v>
      </c>
      <c r="U118" s="87">
        <f>IF(U22=0,0,1000000*U22/TrRoad_act!U61)</f>
        <v>569.91221681936349</v>
      </c>
      <c r="V118" s="87">
        <f>IF(V22=0,0,1000000*V22/TrRoad_act!V61)</f>
        <v>446.92828895823345</v>
      </c>
      <c r="W118" s="87">
        <f>IF(W22=0,0,1000000*W22/TrRoad_act!W61)</f>
        <v>412.94346044639377</v>
      </c>
      <c r="X118" s="87">
        <f>IF(X22=0,0,1000000*X22/TrRoad_act!X61)</f>
        <v>428.33421782668904</v>
      </c>
      <c r="Y118" s="87">
        <f>IF(Y22=0,0,1000000*Y22/TrRoad_act!Y61)</f>
        <v>423.17953202866346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566.39293001906276</v>
      </c>
      <c r="C119" s="87">
        <f>IF(C24=0,0,1000000*C24/TrRoad_act!C62)</f>
        <v>786.07040509246713</v>
      </c>
      <c r="D119" s="87">
        <f>IF(D24=0,0,1000000*D24/TrRoad_act!D62)</f>
        <v>973.30774655434607</v>
      </c>
      <c r="E119" s="87">
        <f>IF(E24=0,0,1000000*E24/TrRoad_act!E62)</f>
        <v>1003.8083791349395</v>
      </c>
      <c r="F119" s="87">
        <f>IF(F24=0,0,1000000*F24/TrRoad_act!F62)</f>
        <v>1071.5115209178177</v>
      </c>
      <c r="G119" s="87">
        <f>IF(G24=0,0,1000000*G24/TrRoad_act!G62)</f>
        <v>1117.9774370902221</v>
      </c>
      <c r="H119" s="87">
        <f>IF(H24=0,0,1000000*H24/TrRoad_act!H62)</f>
        <v>1226.9744399037163</v>
      </c>
      <c r="I119" s="87">
        <f>IF(I24=0,0,1000000*I24/TrRoad_act!I62)</f>
        <v>1208.7537537602973</v>
      </c>
      <c r="J119" s="87">
        <f>IF(J24=0,0,1000000*J24/TrRoad_act!J62)</f>
        <v>1043.6942418162998</v>
      </c>
      <c r="K119" s="87">
        <f>IF(K24=0,0,1000000*K24/TrRoad_act!K62)</f>
        <v>1118.5189958719457</v>
      </c>
      <c r="L119" s="87">
        <f>IF(L24=0,0,1000000*L24/TrRoad_act!L62)</f>
        <v>1159.682365779199</v>
      </c>
      <c r="M119" s="87">
        <f>IF(M24=0,0,1000000*M24/TrRoad_act!M62)</f>
        <v>1166.5586741117527</v>
      </c>
      <c r="N119" s="87">
        <f>IF(N24=0,0,1000000*N24/TrRoad_act!N62)</f>
        <v>1143.2158569211201</v>
      </c>
      <c r="O119" s="87">
        <f>IF(O24=0,0,1000000*O24/TrRoad_act!O62)</f>
        <v>1046.0625633525519</v>
      </c>
      <c r="P119" s="87">
        <f>IF(P24=0,0,1000000*P24/TrRoad_act!P62)</f>
        <v>969.10250997924925</v>
      </c>
      <c r="Q119" s="87">
        <f>IF(Q24=0,0,1000000*Q24/TrRoad_act!Q62)</f>
        <v>996.1466824702004</v>
      </c>
      <c r="R119" s="87">
        <f>IF(R24=0,0,1000000*R24/TrRoad_act!R62)</f>
        <v>928.84751889854624</v>
      </c>
      <c r="S119" s="87">
        <f>IF(S24=0,0,1000000*S24/TrRoad_act!S62)</f>
        <v>891.92314056442615</v>
      </c>
      <c r="T119" s="87">
        <f>IF(T24=0,0,1000000*T24/TrRoad_act!T62)</f>
        <v>878.23615467334184</v>
      </c>
      <c r="U119" s="87">
        <f>IF(U24=0,0,1000000*U24/TrRoad_act!U62)</f>
        <v>805.46937252908867</v>
      </c>
      <c r="V119" s="87">
        <f>IF(V24=0,0,1000000*V24/TrRoad_act!V62)</f>
        <v>845.77037349591978</v>
      </c>
      <c r="W119" s="87">
        <f>IF(W24=0,0,1000000*W24/TrRoad_act!W62)</f>
        <v>870.63529812690126</v>
      </c>
      <c r="X119" s="87">
        <f>IF(X24=0,0,1000000*X24/TrRoad_act!X62)</f>
        <v>800.71065874003148</v>
      </c>
      <c r="Y119" s="87">
        <f>IF(Y24=0,0,1000000*Y24/TrRoad_act!Y62)</f>
        <v>815.24647879148768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1267.8417884780738</v>
      </c>
      <c r="C120" s="87">
        <f>IF(C26=0,0,1000000*C26/TrRoad_act!C63)</f>
        <v>1379.9833490289209</v>
      </c>
      <c r="D120" s="87">
        <f>IF(D26=0,0,1000000*D26/TrRoad_act!D63)</f>
        <v>1413.4016570658898</v>
      </c>
      <c r="E120" s="87">
        <f>IF(E26=0,0,1000000*E26/TrRoad_act!E63)</f>
        <v>1320.484062564972</v>
      </c>
      <c r="F120" s="87">
        <f>IF(F26=0,0,1000000*F26/TrRoad_act!F63)</f>
        <v>1402.6768111032941</v>
      </c>
      <c r="G120" s="87">
        <f>IF(G26=0,0,1000000*G26/TrRoad_act!G63)</f>
        <v>1343.1777578408401</v>
      </c>
      <c r="H120" s="87">
        <f>IF(H26=0,0,1000000*H26/TrRoad_act!H63)</f>
        <v>1343.8085575407608</v>
      </c>
      <c r="I120" s="87">
        <f>IF(I26=0,0,1000000*I26/TrRoad_act!I63)</f>
        <v>1331.2331483568951</v>
      </c>
      <c r="J120" s="87">
        <f>IF(J26=0,0,1000000*J26/TrRoad_act!J63)</f>
        <v>1517.432031347312</v>
      </c>
      <c r="K120" s="87">
        <f>IF(K26=0,0,1000000*K26/TrRoad_act!K63)</f>
        <v>1387.354979351197</v>
      </c>
      <c r="L120" s="87">
        <f>IF(L26=0,0,1000000*L26/TrRoad_act!L63)</f>
        <v>1252.6491032286078</v>
      </c>
      <c r="M120" s="87">
        <f>IF(M26=0,0,1000000*M26/TrRoad_act!M63)</f>
        <v>1149.7427669723361</v>
      </c>
      <c r="N120" s="87">
        <f>IF(N26=0,0,1000000*N26/TrRoad_act!N63)</f>
        <v>1098.8787082644692</v>
      </c>
      <c r="O120" s="87">
        <f>IF(O26=0,0,1000000*O26/TrRoad_act!O63)</f>
        <v>1115.0340205644013</v>
      </c>
      <c r="P120" s="87">
        <f>IF(P26=0,0,1000000*P26/TrRoad_act!P63)</f>
        <v>1122.3042582962375</v>
      </c>
      <c r="Q120" s="87">
        <f>IF(Q26=0,0,1000000*Q26/TrRoad_act!Q63)</f>
        <v>1246.5884434043567</v>
      </c>
      <c r="R120" s="87">
        <f>IF(R26=0,0,1000000*R26/TrRoad_act!R63)</f>
        <v>1202.3882032768033</v>
      </c>
      <c r="S120" s="87">
        <f>IF(S26=0,0,1000000*S26/TrRoad_act!S63)</f>
        <v>1229.660969077496</v>
      </c>
      <c r="T120" s="87">
        <f>IF(T26=0,0,1000000*T26/TrRoad_act!T63)</f>
        <v>1268.7001390195251</v>
      </c>
      <c r="U120" s="87">
        <f>IF(U26=0,0,1000000*U26/TrRoad_act!U63)</f>
        <v>1257.0954874047718</v>
      </c>
      <c r="V120" s="87">
        <f>IF(V26=0,0,1000000*V26/TrRoad_act!V63)</f>
        <v>1124.8919199053241</v>
      </c>
      <c r="W120" s="87">
        <f>IF(W26=0,0,1000000*W26/TrRoad_act!W63)</f>
        <v>1161.1844301912702</v>
      </c>
      <c r="X120" s="87">
        <f>IF(X26=0,0,1000000*X26/TrRoad_act!X63)</f>
        <v>1242.4276181123194</v>
      </c>
      <c r="Y120" s="87">
        <f>IF(Y26=0,0,1000000*Y26/TrRoad_act!Y63)</f>
        <v>1087.245679012872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1594.7377354887062</v>
      </c>
      <c r="M121" s="87">
        <f>IF(M27=0,0,1000000*M27/TrRoad_act!M64)</f>
        <v>1574.157096711557</v>
      </c>
      <c r="N121" s="87">
        <f>IF(N27=0,0,1000000*N27/TrRoad_act!N64)</f>
        <v>1545.8627596129365</v>
      </c>
      <c r="O121" s="87">
        <f>IF(O27=0,0,1000000*O27/TrRoad_act!O64)</f>
        <v>1463.8304668710232</v>
      </c>
      <c r="P121" s="87">
        <f>IF(P27=0,0,1000000*P27/TrRoad_act!P64)</f>
        <v>1416.2469799511962</v>
      </c>
      <c r="Q121" s="87">
        <f>IF(Q27=0,0,1000000*Q27/TrRoad_act!Q64)</f>
        <v>1322.8673716169351</v>
      </c>
      <c r="R121" s="87">
        <f>IF(R27=0,0,1000000*R27/TrRoad_act!R64)</f>
        <v>1173.2262239003476</v>
      </c>
      <c r="S121" s="87">
        <f>IF(S27=0,0,1000000*S27/TrRoad_act!S64)</f>
        <v>1258.3849137730215</v>
      </c>
      <c r="T121" s="87">
        <f>IF(T27=0,0,1000000*T27/TrRoad_act!T64)</f>
        <v>1314.7935722201664</v>
      </c>
      <c r="U121" s="87">
        <f>IF(U27=0,0,1000000*U27/TrRoad_act!U64)</f>
        <v>1124.8588974466343</v>
      </c>
      <c r="V121" s="87">
        <f>IF(V27=0,0,1000000*V27/TrRoad_act!V64)</f>
        <v>1041.7750008868327</v>
      </c>
      <c r="W121" s="87">
        <f>IF(W27=0,0,1000000*W27/TrRoad_act!W64)</f>
        <v>1044.2478162992907</v>
      </c>
      <c r="X121" s="87">
        <f>IF(X27=0,0,1000000*X27/TrRoad_act!X64)</f>
        <v>1053.0618740285763</v>
      </c>
      <c r="Y121" s="87">
        <f>IF(Y27=0,0,1000000*Y27/TrRoad_act!Y64)</f>
        <v>1089.49563383546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262.05249193562383</v>
      </c>
      <c r="Q122" s="87">
        <f>IF(Q29=0,0,1000000*Q29/TrRoad_act!Q65)</f>
        <v>316.93374854767444</v>
      </c>
      <c r="R122" s="87">
        <f>IF(R29=0,0,1000000*R29/TrRoad_act!R65)</f>
        <v>314.72811100397621</v>
      </c>
      <c r="S122" s="87">
        <f>IF(S29=0,0,1000000*S29/TrRoad_act!S65)</f>
        <v>290.37019260633144</v>
      </c>
      <c r="T122" s="87">
        <f>IF(T29=0,0,1000000*T29/TrRoad_act!T65)</f>
        <v>300.11023658380003</v>
      </c>
      <c r="U122" s="87">
        <f>IF(U29=0,0,1000000*U29/TrRoad_act!U65)</f>
        <v>300.3872742294385</v>
      </c>
      <c r="V122" s="87">
        <f>IF(V29=0,0,1000000*V29/TrRoad_act!V65)</f>
        <v>286.13538379752674</v>
      </c>
      <c r="W122" s="87">
        <f>IF(W29=0,0,1000000*W29/TrRoad_act!W65)</f>
        <v>251.33169343237927</v>
      </c>
      <c r="X122" s="87">
        <f>IF(X29=0,0,1000000*X29/TrRoad_act!X65)</f>
        <v>234.3902940634803</v>
      </c>
      <c r="Y122" s="87">
        <f>IF(Y29=0,0,1000000*Y29/TrRoad_act!Y65)</f>
        <v>226.44045396211092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208.7322764973382</v>
      </c>
      <c r="K123" s="87">
        <f>IF(K32=0,0,1000000*K32/TrRoad_act!K66)</f>
        <v>209.65705792394715</v>
      </c>
      <c r="L123" s="87">
        <f>IF(L32=0,0,1000000*L32/TrRoad_act!L66)</f>
        <v>209.25304180928325</v>
      </c>
      <c r="M123" s="87">
        <f>IF(M32=0,0,1000000*M32/TrRoad_act!M66)</f>
        <v>210.07324252278295</v>
      </c>
      <c r="N123" s="87">
        <f>IF(N32=0,0,1000000*N32/TrRoad_act!N66)</f>
        <v>196.60256075776121</v>
      </c>
      <c r="O123" s="87">
        <f>IF(O32=0,0,1000000*O32/TrRoad_act!O66)</f>
        <v>198.38309162029734</v>
      </c>
      <c r="P123" s="87">
        <f>IF(P32=0,0,1000000*P32/TrRoad_act!P66)</f>
        <v>205.61959816324475</v>
      </c>
      <c r="Q123" s="87">
        <f>IF(Q32=0,0,1000000*Q32/TrRoad_act!Q66)</f>
        <v>205.93356016951142</v>
      </c>
      <c r="R123" s="87">
        <f>IF(R32=0,0,1000000*R32/TrRoad_act!R66)</f>
        <v>207.1838180460106</v>
      </c>
      <c r="S123" s="87">
        <f>IF(S32=0,0,1000000*S32/TrRoad_act!S66)</f>
        <v>207.09573820466937</v>
      </c>
      <c r="T123" s="87">
        <f>IF(T32=0,0,1000000*T32/TrRoad_act!T66)</f>
        <v>213.56783987377105</v>
      </c>
      <c r="U123" s="87">
        <f>IF(U32=0,0,1000000*U32/TrRoad_act!U66)</f>
        <v>223.9573930538584</v>
      </c>
      <c r="V123" s="87">
        <f>IF(V32=0,0,1000000*V32/TrRoad_act!V66)</f>
        <v>205.65580853636939</v>
      </c>
      <c r="W123" s="87">
        <f>IF(W32=0,0,1000000*W32/TrRoad_act!W66)</f>
        <v>233.64390252380539</v>
      </c>
      <c r="X123" s="87">
        <f>IF(X32=0,0,1000000*X32/TrRoad_act!X66)</f>
        <v>244.18325916534053</v>
      </c>
      <c r="Y123" s="87">
        <f>IF(Y32=0,0,1000000*Y32/TrRoad_act!Y66)</f>
        <v>245.18717097844214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13984.1790630508</v>
      </c>
      <c r="C124" s="116">
        <f>IF(C33=0,0,1000000*C33/TrRoad_act!C67)</f>
        <v>17456.387769156179</v>
      </c>
      <c r="D124" s="116">
        <f>IF(D33=0,0,1000000*D33/TrRoad_act!D67)</f>
        <v>19997.222471017285</v>
      </c>
      <c r="E124" s="116">
        <f>IF(E33=0,0,1000000*E33/TrRoad_act!E67)</f>
        <v>17852.928943695813</v>
      </c>
      <c r="F124" s="116">
        <f>IF(F33=0,0,1000000*F33/TrRoad_act!F67)</f>
        <v>18769.668087599734</v>
      </c>
      <c r="G124" s="116">
        <f>IF(G33=0,0,1000000*G33/TrRoad_act!G67)</f>
        <v>19666.077470324166</v>
      </c>
      <c r="H124" s="116">
        <f>IF(H33=0,0,1000000*H33/TrRoad_act!H67)</f>
        <v>19779.538945721608</v>
      </c>
      <c r="I124" s="116">
        <f>IF(I33=0,0,1000000*I33/TrRoad_act!I67)</f>
        <v>19980.754286151117</v>
      </c>
      <c r="J124" s="116">
        <f>IF(J33=0,0,1000000*J33/TrRoad_act!J67)</f>
        <v>19175.998139782288</v>
      </c>
      <c r="K124" s="116">
        <f>IF(K33=0,0,1000000*K33/TrRoad_act!K67)</f>
        <v>17518.085938884302</v>
      </c>
      <c r="L124" s="116">
        <f>IF(L33=0,0,1000000*L33/TrRoad_act!L67)</f>
        <v>18917.477040304224</v>
      </c>
      <c r="M124" s="116">
        <f>IF(M33=0,0,1000000*M33/TrRoad_act!M67)</f>
        <v>18760.709859493432</v>
      </c>
      <c r="N124" s="116">
        <f>IF(N33=0,0,1000000*N33/TrRoad_act!N67)</f>
        <v>18366.980022139276</v>
      </c>
      <c r="O124" s="116">
        <f>IF(O33=0,0,1000000*O33/TrRoad_act!O67)</f>
        <v>17524.942092718629</v>
      </c>
      <c r="P124" s="116">
        <f>IF(P33=0,0,1000000*P33/TrRoad_act!P67)</f>
        <v>17766.725025867174</v>
      </c>
      <c r="Q124" s="116">
        <f>IF(Q33=0,0,1000000*Q33/TrRoad_act!Q67)</f>
        <v>17496.544326714233</v>
      </c>
      <c r="R124" s="116">
        <f>IF(R33=0,0,1000000*R33/TrRoad_act!R67)</f>
        <v>19208.867135331642</v>
      </c>
      <c r="S124" s="116">
        <f>IF(S33=0,0,1000000*S33/TrRoad_act!S67)</f>
        <v>21121.587342315524</v>
      </c>
      <c r="T124" s="116">
        <f>IF(T33=0,0,1000000*T33/TrRoad_act!T67)</f>
        <v>21260.914695773921</v>
      </c>
      <c r="U124" s="116">
        <f>IF(U33=0,0,1000000*U33/TrRoad_act!U67)</f>
        <v>19503.11089586145</v>
      </c>
      <c r="V124" s="116">
        <f>IF(V33=0,0,1000000*V33/TrRoad_act!V67)</f>
        <v>18602.157365406121</v>
      </c>
      <c r="W124" s="116">
        <f>IF(W33=0,0,1000000*W33/TrRoad_act!W67)</f>
        <v>19898.597070663778</v>
      </c>
      <c r="X124" s="116">
        <f>IF(X33=0,0,1000000*X33/TrRoad_act!X67)</f>
        <v>18150.662137300278</v>
      </c>
      <c r="Y124" s="116">
        <f>IF(Y33=0,0,1000000*Y33/TrRoad_act!Y67)</f>
        <v>14689.022508471297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4243.2800952237785</v>
      </c>
      <c r="C125" s="101">
        <f>IF(C34=0,0,1000000*C34/TrRoad_act!C68)</f>
        <v>4238.0706737775708</v>
      </c>
      <c r="D125" s="101">
        <f>IF(D34=0,0,1000000*D34/TrRoad_act!D68)</f>
        <v>4235.5869478559898</v>
      </c>
      <c r="E125" s="101">
        <f>IF(E34=0,0,1000000*E34/TrRoad_act!E68)</f>
        <v>4239.8316617987603</v>
      </c>
      <c r="F125" s="101">
        <f>IF(F34=0,0,1000000*F34/TrRoad_act!F68)</f>
        <v>4242.1003863006372</v>
      </c>
      <c r="G125" s="101">
        <f>IF(G34=0,0,1000000*G34/TrRoad_act!G68)</f>
        <v>4421.8210098363152</v>
      </c>
      <c r="H125" s="101">
        <f>IF(H34=0,0,1000000*H34/TrRoad_act!H68)</f>
        <v>4486.9081455623536</v>
      </c>
      <c r="I125" s="101">
        <f>IF(I34=0,0,1000000*I34/TrRoad_act!I68)</f>
        <v>4445.821173572137</v>
      </c>
      <c r="J125" s="101">
        <f>IF(J34=0,0,1000000*J34/TrRoad_act!J68)</f>
        <v>4257.6993409293573</v>
      </c>
      <c r="K125" s="101">
        <f>IF(K34=0,0,1000000*K34/TrRoad_act!K68)</f>
        <v>4078.2347391467069</v>
      </c>
      <c r="L125" s="101">
        <f>IF(L34=0,0,1000000*L34/TrRoad_act!L68)</f>
        <v>3918.1657556999548</v>
      </c>
      <c r="M125" s="101">
        <f>IF(M34=0,0,1000000*M34/TrRoad_act!M68)</f>
        <v>3762.0607745046159</v>
      </c>
      <c r="N125" s="101">
        <f>IF(N34=0,0,1000000*N34/TrRoad_act!N68)</f>
        <v>3724.0578149036492</v>
      </c>
      <c r="O125" s="101">
        <f>IF(O34=0,0,1000000*O34/TrRoad_act!O68)</f>
        <v>3688.3038147601119</v>
      </c>
      <c r="P125" s="101">
        <f>IF(P34=0,0,1000000*P34/TrRoad_act!P68)</f>
        <v>3850.0243004768136</v>
      </c>
      <c r="Q125" s="101">
        <f>IF(Q34=0,0,1000000*Q34/TrRoad_act!Q68)</f>
        <v>4020.5980626892588</v>
      </c>
      <c r="R125" s="101">
        <f>IF(R34=0,0,1000000*R34/TrRoad_act!R68)</f>
        <v>4622.9104276808448</v>
      </c>
      <c r="S125" s="101">
        <f>IF(S34=0,0,1000000*S34/TrRoad_act!S68)</f>
        <v>5095.1482103315211</v>
      </c>
      <c r="T125" s="101">
        <f>IF(T34=0,0,1000000*T34/TrRoad_act!T68)</f>
        <v>4895.1871540897209</v>
      </c>
      <c r="U125" s="101">
        <f>IF(U34=0,0,1000000*U34/TrRoad_act!U68)</f>
        <v>4280.2606837628446</v>
      </c>
      <c r="V125" s="101">
        <f>IF(V34=0,0,1000000*V34/TrRoad_act!V68)</f>
        <v>4036.578737016559</v>
      </c>
      <c r="W125" s="101">
        <f>IF(W34=0,0,1000000*W34/TrRoad_act!W68)</f>
        <v>4152.9866187727384</v>
      </c>
      <c r="X125" s="101">
        <f>IF(X34=0,0,1000000*X34/TrRoad_act!X68)</f>
        <v>4346.7377669245579</v>
      </c>
      <c r="Y125" s="101">
        <f>IF(Y34=0,0,1000000*Y34/TrRoad_act!Y68)</f>
        <v>3139.39224093744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21222.597369695559</v>
      </c>
      <c r="C126" s="101">
        <f>IF(C36=0,0,1000000*C36/TrRoad_act!C69)</f>
        <v>25980.560854642979</v>
      </c>
      <c r="D126" s="101">
        <f>IF(D36=0,0,1000000*D36/TrRoad_act!D69)</f>
        <v>28467.791007439049</v>
      </c>
      <c r="E126" s="101">
        <f>IF(E36=0,0,1000000*E36/TrRoad_act!E69)</f>
        <v>23580.690577534784</v>
      </c>
      <c r="F126" s="101">
        <f>IF(F36=0,0,1000000*F36/TrRoad_act!F69)</f>
        <v>24085.078929609248</v>
      </c>
      <c r="G126" s="101">
        <f>IF(G36=0,0,1000000*G36/TrRoad_act!G69)</f>
        <v>23730.025279066369</v>
      </c>
      <c r="H126" s="101">
        <f>IF(H36=0,0,1000000*H36/TrRoad_act!H69)</f>
        <v>23781.578336313745</v>
      </c>
      <c r="I126" s="101">
        <f>IF(I36=0,0,1000000*I36/TrRoad_act!I69)</f>
        <v>22443.985615912399</v>
      </c>
      <c r="J126" s="101">
        <f>IF(J36=0,0,1000000*J36/TrRoad_act!J69)</f>
        <v>20942.144345188055</v>
      </c>
      <c r="K126" s="101">
        <f>IF(K36=0,0,1000000*K36/TrRoad_act!K69)</f>
        <v>18672.238759164251</v>
      </c>
      <c r="L126" s="101">
        <f>IF(L36=0,0,1000000*L36/TrRoad_act!L69)</f>
        <v>20070.563304627136</v>
      </c>
      <c r="M126" s="101">
        <f>IF(M36=0,0,1000000*M36/TrRoad_act!M69)</f>
        <v>19805.611739993121</v>
      </c>
      <c r="N126" s="101">
        <f>IF(N36=0,0,1000000*N36/TrRoad_act!N69)</f>
        <v>19236.716366040055</v>
      </c>
      <c r="O126" s="101">
        <f>IF(O36=0,0,1000000*O36/TrRoad_act!O69)</f>
        <v>18318.416884569997</v>
      </c>
      <c r="P126" s="101">
        <f>IF(P36=0,0,1000000*P36/TrRoad_act!P69)</f>
        <v>18531.434924130892</v>
      </c>
      <c r="Q126" s="101">
        <f>IF(Q36=0,0,1000000*Q36/TrRoad_act!Q69)</f>
        <v>18112.348403611242</v>
      </c>
      <c r="R126" s="101">
        <f>IF(R36=0,0,1000000*R36/TrRoad_act!R69)</f>
        <v>19923.065052133545</v>
      </c>
      <c r="S126" s="101">
        <f>IF(S36=0,0,1000000*S36/TrRoad_act!S69)</f>
        <v>22311.665227186953</v>
      </c>
      <c r="T126" s="101">
        <f>IF(T36=0,0,1000000*T36/TrRoad_act!T69)</f>
        <v>21671.617808126317</v>
      </c>
      <c r="U126" s="101">
        <f>IF(U36=0,0,1000000*U36/TrRoad_act!U69)</f>
        <v>19928.297066763625</v>
      </c>
      <c r="V126" s="101">
        <f>IF(V36=0,0,1000000*V36/TrRoad_act!V69)</f>
        <v>18741.693053152154</v>
      </c>
      <c r="W126" s="101">
        <f>IF(W36=0,0,1000000*W36/TrRoad_act!W69)</f>
        <v>20549.154421261883</v>
      </c>
      <c r="X126" s="101">
        <f>IF(X36=0,0,1000000*X36/TrRoad_act!X69)</f>
        <v>20587.265416411261</v>
      </c>
      <c r="Y126" s="101">
        <f>IF(Y36=0,0,1000000*Y36/TrRoad_act!Y69)</f>
        <v>15387.891098152259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11650.435443786613</v>
      </c>
      <c r="U127" s="101">
        <f>IF(U38=0,0,1000000*U38/TrRoad_act!U70)</f>
        <v>10583.954933875419</v>
      </c>
      <c r="V127" s="101">
        <f>IF(V38=0,0,1000000*V38/TrRoad_act!V70)</f>
        <v>10090.071449009358</v>
      </c>
      <c r="W127" s="101">
        <f>IF(W38=0,0,1000000*W38/TrRoad_act!W70)</f>
        <v>10536.255877161188</v>
      </c>
      <c r="X127" s="101">
        <f>IF(X38=0,0,1000000*X38/TrRoad_act!X70)</f>
        <v>10753.182977815413</v>
      </c>
      <c r="Y127" s="101">
        <f>IF(Y38=0,0,1000000*Y38/TrRoad_act!Y70)</f>
        <v>7542.0844350430643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19901.392960985926</v>
      </c>
      <c r="M128" s="101">
        <f>IF(M39=0,0,1000000*M39/TrRoad_act!M71)</f>
        <v>35276.352668673535</v>
      </c>
      <c r="N128" s="101">
        <f>IF(N39=0,0,1000000*N39/TrRoad_act!N71)</f>
        <v>64366.704329859749</v>
      </c>
      <c r="O128" s="101">
        <f>IF(O39=0,0,1000000*O39/TrRoad_act!O71)</f>
        <v>21624.84409834335</v>
      </c>
      <c r="P128" s="101">
        <f>IF(P39=0,0,1000000*P39/TrRoad_act!P71)</f>
        <v>19773.697137027815</v>
      </c>
      <c r="Q128" s="101">
        <f>IF(Q39=0,0,1000000*Q39/TrRoad_act!Q71)</f>
        <v>21936.894301074801</v>
      </c>
      <c r="R128" s="101">
        <f>IF(R39=0,0,1000000*R39/TrRoad_act!R71)</f>
        <v>21338.853431711908</v>
      </c>
      <c r="S128" s="101">
        <f>IF(S39=0,0,1000000*S39/TrRoad_act!S71)</f>
        <v>14004.368561303354</v>
      </c>
      <c r="T128" s="101">
        <f>IF(T39=0,0,1000000*T39/TrRoad_act!T71)</f>
        <v>31701.362335716673</v>
      </c>
      <c r="U128" s="101">
        <f>IF(U39=0,0,1000000*U39/TrRoad_act!U71)</f>
        <v>28469.638127895741</v>
      </c>
      <c r="V128" s="101">
        <f>IF(V39=0,0,1000000*V39/TrRoad_act!V71)</f>
        <v>28011.391821138215</v>
      </c>
      <c r="W128" s="101">
        <f>IF(W39=0,0,1000000*W39/TrRoad_act!W71)</f>
        <v>21545.842473633977</v>
      </c>
      <c r="X128" s="101">
        <f>IF(X39=0,0,1000000*X39/TrRoad_act!X71)</f>
        <v>7163.2179601210801</v>
      </c>
      <c r="Y128" s="101">
        <f>IF(Y39=0,0,1000000*Y39/TrRoad_act!Y71)</f>
        <v>13933.092789745033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14886.098250085981</v>
      </c>
      <c r="M129" s="101">
        <f>IF(M41=0,0,1000000*M41/TrRoad_act!M72)</f>
        <v>14900.888276288513</v>
      </c>
      <c r="N129" s="101">
        <f>IF(N41=0,0,1000000*N41/TrRoad_act!N72)</f>
        <v>14907.736897192242</v>
      </c>
      <c r="O129" s="101">
        <f>IF(O41=0,0,1000000*O41/TrRoad_act!O72)</f>
        <v>14914.947897710719</v>
      </c>
      <c r="P129" s="101">
        <f>IF(P41=0,0,1000000*P41/TrRoad_act!P72)</f>
        <v>14931.086123701132</v>
      </c>
      <c r="Q129" s="101">
        <f>IF(Q41=0,0,1000000*Q41/TrRoad_act!Q72)</f>
        <v>14947.553873880132</v>
      </c>
      <c r="R129" s="101">
        <f>IF(R41=0,0,1000000*R41/TrRoad_act!R72)</f>
        <v>14834.244242015171</v>
      </c>
      <c r="S129" s="101">
        <f>IF(S41=0,0,1000000*S41/TrRoad_act!S72)</f>
        <v>14748.878276148824</v>
      </c>
      <c r="T129" s="101">
        <f>IF(T41=0,0,1000000*T41/TrRoad_act!T72)</f>
        <v>14734.955211209672</v>
      </c>
      <c r="U129" s="101">
        <f>IF(U41=0,0,1000000*U41/TrRoad_act!U72)</f>
        <v>14674.767561112469</v>
      </c>
      <c r="V129" s="101">
        <f>IF(V41=0,0,1000000*V41/TrRoad_act!V72)</f>
        <v>14284.493601933873</v>
      </c>
      <c r="W129" s="101">
        <f>IF(W41=0,0,1000000*W41/TrRoad_act!W72)</f>
        <v>14682.653702437421</v>
      </c>
      <c r="X129" s="101">
        <f>IF(X41=0,0,1000000*X41/TrRoad_act!X72)</f>
        <v>14661.914032395172</v>
      </c>
      <c r="Y129" s="101">
        <f>IF(Y41=0,0,1000000*Y41/TrRoad_act!Y72)</f>
        <v>14494.429355609529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1555.1686078345001</v>
      </c>
      <c r="C131" s="152">
        <f>IF(C43=0,0,1000000*C43/TrRoad_act!C74)</f>
        <v>1942.1300798036702</v>
      </c>
      <c r="D131" s="152">
        <f>IF(D43=0,0,1000000*D43/TrRoad_act!D74)</f>
        <v>2157.6473126516194</v>
      </c>
      <c r="E131" s="152">
        <f>IF(E43=0,0,1000000*E43/TrRoad_act!E74)</f>
        <v>1839.8106788490927</v>
      </c>
      <c r="F131" s="152">
        <f>IF(F43=0,0,1000000*F43/TrRoad_act!F74)</f>
        <v>1857.5832019589614</v>
      </c>
      <c r="G131" s="152">
        <f>IF(G43=0,0,1000000*G43/TrRoad_act!G74)</f>
        <v>1784.7740146019332</v>
      </c>
      <c r="H131" s="152">
        <f>IF(H43=0,0,1000000*H43/TrRoad_act!H74)</f>
        <v>1733.0889703781938</v>
      </c>
      <c r="I131" s="152">
        <f>IF(I43=0,0,1000000*I43/TrRoad_act!I74)</f>
        <v>1661.5604723757745</v>
      </c>
      <c r="J131" s="152">
        <f>IF(J43=0,0,1000000*J43/TrRoad_act!J74)</f>
        <v>1535.1034010904909</v>
      </c>
      <c r="K131" s="152">
        <f>IF(K43=0,0,1000000*K43/TrRoad_act!K74)</f>
        <v>1366.138591145597</v>
      </c>
      <c r="L131" s="152">
        <f>IF(L43=0,0,1000000*L43/TrRoad_act!L74)</f>
        <v>1438.5516843816924</v>
      </c>
      <c r="M131" s="152">
        <f>IF(M43=0,0,1000000*M43/TrRoad_act!M74)</f>
        <v>1434.2293741199833</v>
      </c>
      <c r="N131" s="152">
        <f>IF(N43=0,0,1000000*N43/TrRoad_act!N74)</f>
        <v>1385.8918412106136</v>
      </c>
      <c r="O131" s="152">
        <f>IF(O43=0,0,1000000*O43/TrRoad_act!O74)</f>
        <v>1276.7840851155163</v>
      </c>
      <c r="P131" s="152">
        <f>IF(P43=0,0,1000000*P43/TrRoad_act!P74)</f>
        <v>1233.0252958649501</v>
      </c>
      <c r="Q131" s="152">
        <f>IF(Q43=0,0,1000000*Q43/TrRoad_act!Q74)</f>
        <v>1137.7550945309765</v>
      </c>
      <c r="R131" s="152">
        <f>IF(R43=0,0,1000000*R43/TrRoad_act!R74)</f>
        <v>1093.6574876056832</v>
      </c>
      <c r="S131" s="152">
        <f>IF(S43=0,0,1000000*S43/TrRoad_act!S74)</f>
        <v>1101.8191647258209</v>
      </c>
      <c r="T131" s="152">
        <f>IF(T43=0,0,1000000*T43/TrRoad_act!T74)</f>
        <v>1122.7078709569698</v>
      </c>
      <c r="U131" s="152">
        <f>IF(U43=0,0,1000000*U43/TrRoad_act!U74)</f>
        <v>1131.6124208705889</v>
      </c>
      <c r="V131" s="152">
        <f>IF(V43=0,0,1000000*V43/TrRoad_act!V74)</f>
        <v>1090.0540742951641</v>
      </c>
      <c r="W131" s="152">
        <f>IF(W43=0,0,1000000*W43/TrRoad_act!W74)</f>
        <v>1159.7682313628079</v>
      </c>
      <c r="X131" s="152">
        <f>IF(X43=0,0,1000000*X43/TrRoad_act!X74)</f>
        <v>1167.7237877335606</v>
      </c>
      <c r="Y131" s="152">
        <f>IF(Y43=0,0,1000000*Y43/TrRoad_act!Y74)</f>
        <v>1186.1497893536107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1563.1854001396641</v>
      </c>
      <c r="C132" s="87">
        <f>IF(C44=0,0,1000000*C44/TrRoad_act!C75)</f>
        <v>1758.1862296065574</v>
      </c>
      <c r="D132" s="87">
        <f>IF(D44=0,0,1000000*D44/TrRoad_act!D75)</f>
        <v>1747.4582917363571</v>
      </c>
      <c r="E132" s="87">
        <f>IF(E44=0,0,1000000*E44/TrRoad_act!E75)</f>
        <v>1663.9035835734796</v>
      </c>
      <c r="F132" s="87">
        <f>IF(F44=0,0,1000000*F44/TrRoad_act!F75)</f>
        <v>1766.1990017319961</v>
      </c>
      <c r="G132" s="87">
        <f>IF(G44=0,0,1000000*G44/TrRoad_act!G75)</f>
        <v>1608.3114482109377</v>
      </c>
      <c r="H132" s="87">
        <f>IF(H44=0,0,1000000*H44/TrRoad_act!H75)</f>
        <v>1647.6325583948446</v>
      </c>
      <c r="I132" s="87">
        <f>IF(I44=0,0,1000000*I44/TrRoad_act!I75)</f>
        <v>1452.3878438980225</v>
      </c>
      <c r="J132" s="87">
        <f>IF(J44=0,0,1000000*J44/TrRoad_act!J75)</f>
        <v>1273.7667281300742</v>
      </c>
      <c r="K132" s="87">
        <f>IF(K44=0,0,1000000*K44/TrRoad_act!K75)</f>
        <v>1117.3236348784274</v>
      </c>
      <c r="L132" s="87">
        <f>IF(L44=0,0,1000000*L44/TrRoad_act!L75)</f>
        <v>1013.833307043138</v>
      </c>
      <c r="M132" s="87">
        <f>IF(M44=0,0,1000000*M44/TrRoad_act!M75)</f>
        <v>1044.8426772496564</v>
      </c>
      <c r="N132" s="87">
        <f>IF(N44=0,0,1000000*N44/TrRoad_act!N75)</f>
        <v>987.01114877163616</v>
      </c>
      <c r="O132" s="87">
        <f>IF(O44=0,0,1000000*O44/TrRoad_act!O75)</f>
        <v>915.26227768792296</v>
      </c>
      <c r="P132" s="87">
        <f>IF(P44=0,0,1000000*P44/TrRoad_act!P75)</f>
        <v>884.16448280276734</v>
      </c>
      <c r="Q132" s="87">
        <f>IF(Q44=0,0,1000000*Q44/TrRoad_act!Q75)</f>
        <v>832.48048966212889</v>
      </c>
      <c r="R132" s="87">
        <f>IF(R44=0,0,1000000*R44/TrRoad_act!R75)</f>
        <v>765.40827533235802</v>
      </c>
      <c r="S132" s="87">
        <f>IF(S44=0,0,1000000*S44/TrRoad_act!S75)</f>
        <v>743.1700364672605</v>
      </c>
      <c r="T132" s="87">
        <f>IF(T44=0,0,1000000*T44/TrRoad_act!T75)</f>
        <v>810.83311671708543</v>
      </c>
      <c r="U132" s="87">
        <f>IF(U44=0,0,1000000*U44/TrRoad_act!U75)</f>
        <v>744.01845595438579</v>
      </c>
      <c r="V132" s="87">
        <f>IF(V44=0,0,1000000*V44/TrRoad_act!V75)</f>
        <v>653.91057807304458</v>
      </c>
      <c r="W132" s="87">
        <f>IF(W44=0,0,1000000*W44/TrRoad_act!W75)</f>
        <v>592.57076590438544</v>
      </c>
      <c r="X132" s="87">
        <f>IF(X44=0,0,1000000*X44/TrRoad_act!X75)</f>
        <v>537.2026850572023</v>
      </c>
      <c r="Y132" s="87">
        <f>IF(Y44=0,0,1000000*Y44/TrRoad_act!Y75)</f>
        <v>471.44718075074934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1552.3254690379053</v>
      </c>
      <c r="C133" s="87">
        <f>IF(C46=0,0,1000000*C46/TrRoad_act!C76)</f>
        <v>2008.1058170908941</v>
      </c>
      <c r="D133" s="87">
        <f>IF(D46=0,0,1000000*D46/TrRoad_act!D76)</f>
        <v>2306.3891255297908</v>
      </c>
      <c r="E133" s="87">
        <f>IF(E46=0,0,1000000*E46/TrRoad_act!E76)</f>
        <v>1902.9788343245157</v>
      </c>
      <c r="F133" s="87">
        <f>IF(F46=0,0,1000000*F46/TrRoad_act!F76)</f>
        <v>1890.4393995505766</v>
      </c>
      <c r="G133" s="87">
        <f>IF(G46=0,0,1000000*G46/TrRoad_act!G76)</f>
        <v>1848.5314937313217</v>
      </c>
      <c r="H133" s="87">
        <f>IF(H46=0,0,1000000*H46/TrRoad_act!H76)</f>
        <v>1763.3259379902195</v>
      </c>
      <c r="I133" s="87">
        <f>IF(I46=0,0,1000000*I46/TrRoad_act!I76)</f>
        <v>1731.7840804406392</v>
      </c>
      <c r="J133" s="87">
        <f>IF(J46=0,0,1000000*J46/TrRoad_act!J76)</f>
        <v>1628.8301783563543</v>
      </c>
      <c r="K133" s="87">
        <f>IF(K46=0,0,1000000*K46/TrRoad_act!K76)</f>
        <v>1456.3768341850757</v>
      </c>
      <c r="L133" s="87">
        <f>IF(L46=0,0,1000000*L46/TrRoad_act!L76)</f>
        <v>1586.2850735798131</v>
      </c>
      <c r="M133" s="87">
        <f>IF(M46=0,0,1000000*M46/TrRoad_act!M76)</f>
        <v>1563.875618395829</v>
      </c>
      <c r="N133" s="87">
        <f>IF(N46=0,0,1000000*N46/TrRoad_act!N76)</f>
        <v>1509.1899400153682</v>
      </c>
      <c r="O133" s="87">
        <f>IF(O46=0,0,1000000*O46/TrRoad_act!O76)</f>
        <v>1372.8549500229453</v>
      </c>
      <c r="P133" s="87">
        <f>IF(P46=0,0,1000000*P46/TrRoad_act!P76)</f>
        <v>1319.1674092854871</v>
      </c>
      <c r="Q133" s="87">
        <f>IF(Q46=0,0,1000000*Q46/TrRoad_act!Q76)</f>
        <v>1208.9081117656995</v>
      </c>
      <c r="R133" s="87">
        <f>IF(R46=0,0,1000000*R46/TrRoad_act!R76)</f>
        <v>1165.5906252005889</v>
      </c>
      <c r="S133" s="87">
        <f>IF(S46=0,0,1000000*S46/TrRoad_act!S76)</f>
        <v>1176.3907827882974</v>
      </c>
      <c r="T133" s="87">
        <f>IF(T46=0,0,1000000*T46/TrRoad_act!T76)</f>
        <v>1184.4442629268995</v>
      </c>
      <c r="U133" s="87">
        <f>IF(U46=0,0,1000000*U46/TrRoad_act!U76)</f>
        <v>1204.7381655817994</v>
      </c>
      <c r="V133" s="87">
        <f>IF(V46=0,0,1000000*V46/TrRoad_act!V76)</f>
        <v>1169.5576495460348</v>
      </c>
      <c r="W133" s="87">
        <f>IF(W46=0,0,1000000*W46/TrRoad_act!W76)</f>
        <v>1257.1686757595407</v>
      </c>
      <c r="X133" s="87">
        <f>IF(X46=0,0,1000000*X46/TrRoad_act!X76)</f>
        <v>1270.5272643722508</v>
      </c>
      <c r="Y133" s="87">
        <f>IF(Y46=0,0,1000000*Y46/TrRoad_act!Y76)</f>
        <v>1298.9918883924593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636.95356227444233</v>
      </c>
      <c r="S134" s="87">
        <f>IF(S48=0,0,1000000*S48/TrRoad_act!S77)</f>
        <v>583.42683049145546</v>
      </c>
      <c r="T134" s="87">
        <f>IF(T48=0,0,1000000*T48/TrRoad_act!T77)</f>
        <v>588.11285710789957</v>
      </c>
      <c r="U134" s="87">
        <f>IF(U48=0,0,1000000*U48/TrRoad_act!U77)</f>
        <v>611.38049856544683</v>
      </c>
      <c r="V134" s="87">
        <f>IF(V48=0,0,1000000*V48/TrRoad_act!V77)</f>
        <v>602.33219499239954</v>
      </c>
      <c r="W134" s="87">
        <f>IF(W48=0,0,1000000*W48/TrRoad_act!W77)</f>
        <v>610.27153197662767</v>
      </c>
      <c r="X134" s="87">
        <f>IF(X48=0,0,1000000*X48/TrRoad_act!X77)</f>
        <v>618.96119882380503</v>
      </c>
      <c r="Y134" s="87">
        <f>IF(Y48=0,0,1000000*Y48/TrRoad_act!Y77)</f>
        <v>596.72848900386089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827.55413840676806</v>
      </c>
      <c r="O135" s="87">
        <f>IF(O49=0,0,1000000*O49/TrRoad_act!O78)</f>
        <v>829.82792259948008</v>
      </c>
      <c r="P135" s="87">
        <f>IF(P49=0,0,1000000*P49/TrRoad_act!P78)</f>
        <v>865.74043102213841</v>
      </c>
      <c r="Q135" s="87">
        <f>IF(Q49=0,0,1000000*Q49/TrRoad_act!Q78)</f>
        <v>835.09455641910506</v>
      </c>
      <c r="R135" s="87">
        <f>IF(R49=0,0,1000000*R49/TrRoad_act!R78)</f>
        <v>847.83038319808941</v>
      </c>
      <c r="S135" s="87">
        <f>IF(S49=0,0,1000000*S49/TrRoad_act!S78)</f>
        <v>759.46140731127309</v>
      </c>
      <c r="T135" s="87">
        <f>IF(T49=0,0,1000000*T49/TrRoad_act!T78)</f>
        <v>751.95900855295849</v>
      </c>
      <c r="U135" s="87">
        <f>IF(U49=0,0,1000000*U49/TrRoad_act!U78)</f>
        <v>759.81583861878426</v>
      </c>
      <c r="V135" s="87">
        <f>IF(V49=0,0,1000000*V49/TrRoad_act!V78)</f>
        <v>753.24216147871618</v>
      </c>
      <c r="W135" s="87">
        <f>IF(W49=0,0,1000000*W49/TrRoad_act!W78)</f>
        <v>764.57717769261183</v>
      </c>
      <c r="X135" s="87">
        <f>IF(X49=0,0,1000000*X49/TrRoad_act!X78)</f>
        <v>775.20549579938211</v>
      </c>
      <c r="Y135" s="87">
        <f>IF(Y49=0,0,1000000*Y49/TrRoad_act!Y78)</f>
        <v>746.6116908118679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109.20694879502204</v>
      </c>
      <c r="J136" s="87">
        <f>IF(J51=0,0,1000000*J51/TrRoad_act!J79)</f>
        <v>109.30196652039078</v>
      </c>
      <c r="K136" s="87">
        <f>IF(K51=0,0,1000000*K51/TrRoad_act!K79)</f>
        <v>109.40820033315008</v>
      </c>
      <c r="L136" s="87">
        <f>IF(L51=0,0,1000000*L51/TrRoad_act!L79)</f>
        <v>109.51163456914406</v>
      </c>
      <c r="M136" s="87">
        <f>IF(M51=0,0,1000000*M51/TrRoad_act!M79)</f>
        <v>109.60720099114624</v>
      </c>
      <c r="N136" s="87">
        <f>IF(N51=0,0,1000000*N51/TrRoad_act!N79)</f>
        <v>110.60686546033084</v>
      </c>
      <c r="O136" s="87">
        <f>IF(O51=0,0,1000000*O51/TrRoad_act!O79)</f>
        <v>112.69155473623586</v>
      </c>
      <c r="P136" s="87">
        <f>IF(P51=0,0,1000000*P51/TrRoad_act!P79)</f>
        <v>139.19203328375906</v>
      </c>
      <c r="Q136" s="87">
        <f>IF(Q51=0,0,1000000*Q51/TrRoad_act!Q79)</f>
        <v>140.91238957137816</v>
      </c>
      <c r="R136" s="87">
        <f>IF(R51=0,0,1000000*R51/TrRoad_act!R79)</f>
        <v>145.85373071751323</v>
      </c>
      <c r="S136" s="87">
        <f>IF(S51=0,0,1000000*S51/TrRoad_act!S79)</f>
        <v>148.82551816961634</v>
      </c>
      <c r="T136" s="87">
        <f>IF(T51=0,0,1000000*T51/TrRoad_act!T79)</f>
        <v>152.41215397013778</v>
      </c>
      <c r="U136" s="87">
        <f>IF(U51=0,0,1000000*U51/TrRoad_act!U79)</f>
        <v>156.34578425516091</v>
      </c>
      <c r="V136" s="87">
        <f>IF(V51=0,0,1000000*V51/TrRoad_act!V79)</f>
        <v>223.20698849909508</v>
      </c>
      <c r="W136" s="87">
        <f>IF(W51=0,0,1000000*W51/TrRoad_act!W79)</f>
        <v>270.27368484115777</v>
      </c>
      <c r="X136" s="87">
        <f>IF(X51=0,0,1000000*X51/TrRoad_act!X79)</f>
        <v>237.32382561587707</v>
      </c>
      <c r="Y136" s="87">
        <f>IF(Y51=0,0,1000000*Y51/TrRoad_act!Y79)</f>
        <v>230.16621317882954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7053.6055563675527</v>
      </c>
      <c r="C137" s="116">
        <f>IF(C52=0,0,1000000*C52/TrRoad_act!C80)</f>
        <v>9900.0073099541569</v>
      </c>
      <c r="D137" s="116">
        <f>IF(D52=0,0,1000000*D52/TrRoad_act!D80)</f>
        <v>9716.3369703108601</v>
      </c>
      <c r="E137" s="116">
        <f>IF(E52=0,0,1000000*E52/TrRoad_act!E80)</f>
        <v>7474.4084472883505</v>
      </c>
      <c r="F137" s="116">
        <f>IF(F52=0,0,1000000*F52/TrRoad_act!F80)</f>
        <v>8323.9457667207316</v>
      </c>
      <c r="G137" s="116">
        <f>IF(G52=0,0,1000000*G52/TrRoad_act!G80)</f>
        <v>8416.8569058852499</v>
      </c>
      <c r="H137" s="116">
        <f>IF(H52=0,0,1000000*H52/TrRoad_act!H80)</f>
        <v>8197.3418058577172</v>
      </c>
      <c r="I137" s="116">
        <f>IF(I52=0,0,1000000*I52/TrRoad_act!I80)</f>
        <v>8927.4911801548296</v>
      </c>
      <c r="J137" s="116">
        <f>IF(J52=0,0,1000000*J52/TrRoad_act!J80)</f>
        <v>8574.7449339666964</v>
      </c>
      <c r="K137" s="116">
        <f>IF(K52=0,0,1000000*K52/TrRoad_act!K80)</f>
        <v>6969.5189464889045</v>
      </c>
      <c r="L137" s="116">
        <f>IF(L52=0,0,1000000*L52/TrRoad_act!L80)</f>
        <v>8658.0665321242122</v>
      </c>
      <c r="M137" s="116">
        <f>IF(M52=0,0,1000000*M52/TrRoad_act!M80)</f>
        <v>9124.6000589942996</v>
      </c>
      <c r="N137" s="116">
        <f>IF(N52=0,0,1000000*N52/TrRoad_act!N80)</f>
        <v>8465.6159885272027</v>
      </c>
      <c r="O137" s="116">
        <f>IF(O52=0,0,1000000*O52/TrRoad_act!O80)</f>
        <v>8567.346349261863</v>
      </c>
      <c r="P137" s="116">
        <f>IF(P52=0,0,1000000*P52/TrRoad_act!P80)</f>
        <v>7617.0571672626556</v>
      </c>
      <c r="Q137" s="116">
        <f>IF(Q52=0,0,1000000*Q52/TrRoad_act!Q80)</f>
        <v>7087.5553256192488</v>
      </c>
      <c r="R137" s="116">
        <f>IF(R52=0,0,1000000*R52/TrRoad_act!R80)</f>
        <v>6288.6188648807065</v>
      </c>
      <c r="S137" s="116">
        <f>IF(S52=0,0,1000000*S52/TrRoad_act!S80)</f>
        <v>4988.6960276452455</v>
      </c>
      <c r="T137" s="116">
        <f>IF(T52=0,0,1000000*T52/TrRoad_act!T80)</f>
        <v>4744.457295072084</v>
      </c>
      <c r="U137" s="116">
        <f>IF(U52=0,0,1000000*U52/TrRoad_act!U80)</f>
        <v>3771.5155943868235</v>
      </c>
      <c r="V137" s="116">
        <f>IF(V52=0,0,1000000*V52/TrRoad_act!V80)</f>
        <v>3238.9725938015854</v>
      </c>
      <c r="W137" s="116">
        <f>IF(W52=0,0,1000000*W52/TrRoad_act!W80)</f>
        <v>4292.2337154403458</v>
      </c>
      <c r="X137" s="116">
        <f>IF(X52=0,0,1000000*X52/TrRoad_act!X80)</f>
        <v>4668.6661697162554</v>
      </c>
      <c r="Y137" s="116">
        <f>IF(Y52=0,0,1000000*Y52/TrRoad_act!Y80)</f>
        <v>4625.1784061747048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5146.295694902622</v>
      </c>
      <c r="C138" s="101">
        <f>IF(C53=0,0,1000000*C53/TrRoad_act!C81)</f>
        <v>6737.7441537762352</v>
      </c>
      <c r="D138" s="101">
        <f>IF(D53=0,0,1000000*D53/TrRoad_act!D81)</f>
        <v>7080.9458621044523</v>
      </c>
      <c r="E138" s="101">
        <f>IF(E53=0,0,1000000*E53/TrRoad_act!E81)</f>
        <v>6024.8445481996441</v>
      </c>
      <c r="F138" s="101">
        <f>IF(F53=0,0,1000000*F53/TrRoad_act!F81)</f>
        <v>6630.9484097079103</v>
      </c>
      <c r="G138" s="101">
        <f>IF(G53=0,0,1000000*G53/TrRoad_act!G81)</f>
        <v>6686.1741472598615</v>
      </c>
      <c r="H138" s="101">
        <f>IF(H53=0,0,1000000*H53/TrRoad_act!H81)</f>
        <v>6492.5576440450805</v>
      </c>
      <c r="I138" s="101">
        <f>IF(I53=0,0,1000000*I53/TrRoad_act!I81)</f>
        <v>7033.5542010557201</v>
      </c>
      <c r="J138" s="101">
        <f>IF(J53=0,0,1000000*J53/TrRoad_act!J81)</f>
        <v>6814.9324093388395</v>
      </c>
      <c r="K138" s="101">
        <f>IF(K53=0,0,1000000*K53/TrRoad_act!K81)</f>
        <v>5363.3574679591375</v>
      </c>
      <c r="L138" s="101">
        <f>IF(L53=0,0,1000000*L53/TrRoad_act!L81)</f>
        <v>6518.27658866198</v>
      </c>
      <c r="M138" s="101">
        <f>IF(M53=0,0,1000000*M53/TrRoad_act!M81)</f>
        <v>6793.1747780518645</v>
      </c>
      <c r="N138" s="101">
        <f>IF(N53=0,0,1000000*N53/TrRoad_act!N81)</f>
        <v>6201.556063743802</v>
      </c>
      <c r="O138" s="101">
        <f>IF(O53=0,0,1000000*O53/TrRoad_act!O81)</f>
        <v>6130.0129996378319</v>
      </c>
      <c r="P138" s="101">
        <f>IF(P53=0,0,1000000*P53/TrRoad_act!P81)</f>
        <v>5283.5330421701819</v>
      </c>
      <c r="Q138" s="101">
        <f>IF(Q53=0,0,1000000*Q53/TrRoad_act!Q81)</f>
        <v>4629.6541132538996</v>
      </c>
      <c r="R138" s="101">
        <f>IF(R53=0,0,1000000*R53/TrRoad_act!R81)</f>
        <v>4299.0959826428543</v>
      </c>
      <c r="S138" s="101">
        <f>IF(S53=0,0,1000000*S53/TrRoad_act!S81)</f>
        <v>3186.4962634503345</v>
      </c>
      <c r="T138" s="101">
        <f>IF(T53=0,0,1000000*T53/TrRoad_act!T81)</f>
        <v>3043.7986002717221</v>
      </c>
      <c r="U138" s="101">
        <f>IF(U53=0,0,1000000*U53/TrRoad_act!U81)</f>
        <v>2365.3424834619382</v>
      </c>
      <c r="V138" s="101">
        <f>IF(V53=0,0,1000000*V53/TrRoad_act!V81)</f>
        <v>1724.6909298826579</v>
      </c>
      <c r="W138" s="101">
        <f>IF(W53=0,0,1000000*W53/TrRoad_act!W81)</f>
        <v>2747.6058694003113</v>
      </c>
      <c r="X138" s="101">
        <f>IF(X53=0,0,1000000*X53/TrRoad_act!X81)</f>
        <v>2820.484523988579</v>
      </c>
      <c r="Y138" s="101">
        <f>IF(Y53=0,0,1000000*Y53/TrRoad_act!Y81)</f>
        <v>2691.7106618725425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32529.81584879199</v>
      </c>
      <c r="C139" s="88">
        <f>IF(C55=0,0,1000000*C55/TrRoad_act!C82)</f>
        <v>38757.161586862952</v>
      </c>
      <c r="D139" s="88">
        <f>IF(D55=0,0,1000000*D55/TrRoad_act!D82)</f>
        <v>41836.655359662043</v>
      </c>
      <c r="E139" s="88">
        <f>IF(E55=0,0,1000000*E55/TrRoad_act!E82)</f>
        <v>35157.23052015053</v>
      </c>
      <c r="F139" s="88">
        <f>IF(F55=0,0,1000000*F55/TrRoad_act!F82)</f>
        <v>35893.444643345698</v>
      </c>
      <c r="G139" s="88">
        <f>IF(G55=0,0,1000000*G55/TrRoad_act!G82)</f>
        <v>36693.01191891799</v>
      </c>
      <c r="H139" s="88">
        <f>IF(H55=0,0,1000000*H55/TrRoad_act!H82)</f>
        <v>36524.751310216809</v>
      </c>
      <c r="I139" s="88">
        <f>IF(I55=0,0,1000000*I55/TrRoad_act!I82)</f>
        <v>38400.16989475875</v>
      </c>
      <c r="J139" s="88">
        <f>IF(J55=0,0,1000000*J55/TrRoad_act!J82)</f>
        <v>38620.108389703753</v>
      </c>
      <c r="K139" s="88">
        <f>IF(K55=0,0,1000000*K55/TrRoad_act!K82)</f>
        <v>36245.121634465366</v>
      </c>
      <c r="L139" s="88">
        <f>IF(L55=0,0,1000000*L55/TrRoad_act!L82)</f>
        <v>44441.025324721442</v>
      </c>
      <c r="M139" s="88">
        <f>IF(M55=0,0,1000000*M55/TrRoad_act!M82)</f>
        <v>44561.655602091916</v>
      </c>
      <c r="N139" s="88">
        <f>IF(N55=0,0,1000000*N55/TrRoad_act!N82)</f>
        <v>44423.531819574346</v>
      </c>
      <c r="O139" s="88">
        <f>IF(O55=0,0,1000000*O55/TrRoad_act!O82)</f>
        <v>38583.346549883405</v>
      </c>
      <c r="P139" s="88">
        <f>IF(P55=0,0,1000000*P55/TrRoad_act!P82)</f>
        <v>37771.997198615943</v>
      </c>
      <c r="Q139" s="88">
        <f>IF(Q55=0,0,1000000*Q55/TrRoad_act!Q82)</f>
        <v>34191.380672863997</v>
      </c>
      <c r="R139" s="88">
        <f>IF(R55=0,0,1000000*R55/TrRoad_act!R82)</f>
        <v>29537.716610494568</v>
      </c>
      <c r="S139" s="88">
        <f>IF(S55=0,0,1000000*S55/TrRoad_act!S82)</f>
        <v>28975.036941246854</v>
      </c>
      <c r="T139" s="88">
        <f>IF(T55=0,0,1000000*T55/TrRoad_act!T82)</f>
        <v>28220.941451555336</v>
      </c>
      <c r="U139" s="88">
        <f>IF(U55=0,0,1000000*U55/TrRoad_act!U82)</f>
        <v>27522.720420857011</v>
      </c>
      <c r="V139" s="88">
        <f>IF(V55=0,0,1000000*V55/TrRoad_act!V82)</f>
        <v>25394.096746848289</v>
      </c>
      <c r="W139" s="88">
        <f>IF(W55=0,0,1000000*W55/TrRoad_act!W82)</f>
        <v>29076.244973330085</v>
      </c>
      <c r="X139" s="88">
        <f>IF(X55=0,0,1000000*X55/TrRoad_act!X82)</f>
        <v>30187.063257734291</v>
      </c>
      <c r="Y139" s="88">
        <f>IF(Y55=0,0,1000000*Y55/TrRoad_act!Y82)</f>
        <v>34248.997797274707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0.73246511216880184</v>
      </c>
      <c r="C142" s="46">
        <f t="shared" si="42"/>
        <v>0.74589724815602432</v>
      </c>
      <c r="D142" s="46">
        <f t="shared" si="42"/>
        <v>0.71311669239288111</v>
      </c>
      <c r="E142" s="46">
        <f t="shared" si="42"/>
        <v>0.71252925805144207</v>
      </c>
      <c r="F142" s="46">
        <f t="shared" si="42"/>
        <v>0.70744210124937656</v>
      </c>
      <c r="G142" s="46">
        <f t="shared" si="42"/>
        <v>0.72320057605456034</v>
      </c>
      <c r="H142" s="46">
        <f t="shared" si="42"/>
        <v>0.74052195578024904</v>
      </c>
      <c r="I142" s="46">
        <f t="shared" si="42"/>
        <v>0.73982626009620844</v>
      </c>
      <c r="J142" s="46">
        <f t="shared" si="42"/>
        <v>0.73664682852637675</v>
      </c>
      <c r="K142" s="46">
        <f t="shared" si="42"/>
        <v>0.77410962556695195</v>
      </c>
      <c r="L142" s="46">
        <f t="shared" ref="L142" si="43">IF(L18=0,0,L18/L$17)</f>
        <v>0.75723226524113674</v>
      </c>
      <c r="M142" s="46">
        <f t="shared" ref="M142:V142" si="44">IF(M18=0,0,M18/M$17)</f>
        <v>0.73848191244815042</v>
      </c>
      <c r="N142" s="46">
        <f t="shared" si="44"/>
        <v>0.74340597929683294</v>
      </c>
      <c r="O142" s="46">
        <f t="shared" si="44"/>
        <v>0.74774152279038231</v>
      </c>
      <c r="P142" s="46">
        <f t="shared" si="44"/>
        <v>0.75733911810111809</v>
      </c>
      <c r="Q142" s="46">
        <f t="shared" si="44"/>
        <v>0.76881829663031698</v>
      </c>
      <c r="R142" s="46">
        <f t="shared" si="44"/>
        <v>0.7779462241731917</v>
      </c>
      <c r="S142" s="46">
        <f t="shared" si="44"/>
        <v>0.79204381585622219</v>
      </c>
      <c r="T142" s="46">
        <f t="shared" si="44"/>
        <v>0.7888007662437857</v>
      </c>
      <c r="U142" s="46">
        <f t="shared" si="44"/>
        <v>0.78578647265848889</v>
      </c>
      <c r="V142" s="46">
        <f t="shared" si="44"/>
        <v>0.78314817204817677</v>
      </c>
      <c r="W142" s="46">
        <f t="shared" ref="W142:Y142" si="45">IF(W18=0,0,W18/W$17)</f>
        <v>0.75669304387676928</v>
      </c>
      <c r="X142" s="46">
        <f t="shared" si="45"/>
        <v>0.73932474642180968</v>
      </c>
      <c r="Y142" s="46">
        <f t="shared" si="45"/>
        <v>0.73131825810040785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8.7069059021241814E-4</v>
      </c>
      <c r="C143" s="154">
        <f t="shared" si="46"/>
        <v>7.224129427841297E-4</v>
      </c>
      <c r="D143" s="154">
        <f t="shared" si="46"/>
        <v>7.400887244925524E-4</v>
      </c>
      <c r="E143" s="154">
        <f t="shared" si="46"/>
        <v>8.3127362301992026E-4</v>
      </c>
      <c r="F143" s="154">
        <f t="shared" si="46"/>
        <v>8.9297217584996232E-4</v>
      </c>
      <c r="G143" s="154">
        <f t="shared" si="46"/>
        <v>9.4307603590338069E-4</v>
      </c>
      <c r="H143" s="154">
        <f t="shared" si="46"/>
        <v>1.0554369511843798E-3</v>
      </c>
      <c r="I143" s="154">
        <f t="shared" si="46"/>
        <v>1.1532570937829959E-3</v>
      </c>
      <c r="J143" s="154">
        <f t="shared" si="46"/>
        <v>1.3760943050329601E-3</v>
      </c>
      <c r="K143" s="154">
        <f t="shared" si="46"/>
        <v>1.5880858375162338E-3</v>
      </c>
      <c r="L143" s="154">
        <f t="shared" ref="L143" si="47">IF(L19=0,0,L19/L$17)</f>
        <v>1.5903056202768349E-3</v>
      </c>
      <c r="M143" s="154">
        <f t="shared" ref="M143:V143" si="48">IF(M19=0,0,M19/M$17)</f>
        <v>1.7847949237558068E-3</v>
      </c>
      <c r="N143" s="154">
        <f t="shared" si="48"/>
        <v>2.5268138814843969E-3</v>
      </c>
      <c r="O143" s="154">
        <f t="shared" si="48"/>
        <v>2.778458099998242E-3</v>
      </c>
      <c r="P143" s="154">
        <f t="shared" si="48"/>
        <v>2.9494398498322032E-3</v>
      </c>
      <c r="Q143" s="154">
        <f t="shared" si="48"/>
        <v>3.0418124688030308E-3</v>
      </c>
      <c r="R143" s="154">
        <f t="shared" si="48"/>
        <v>3.1664503387060653E-3</v>
      </c>
      <c r="S143" s="154">
        <f t="shared" si="48"/>
        <v>2.8895729856483355E-3</v>
      </c>
      <c r="T143" s="154">
        <f t="shared" si="48"/>
        <v>2.6522113958914739E-3</v>
      </c>
      <c r="U143" s="154">
        <f t="shared" si="48"/>
        <v>2.8081479373360304E-3</v>
      </c>
      <c r="V143" s="154">
        <f t="shared" si="48"/>
        <v>2.6617877794165219E-3</v>
      </c>
      <c r="W143" s="154">
        <f t="shared" ref="W143:Y143" si="49">IF(W19=0,0,W19/W$17)</f>
        <v>2.6016097451484186E-3</v>
      </c>
      <c r="X143" s="154">
        <f t="shared" si="49"/>
        <v>2.6173897424761013E-3</v>
      </c>
      <c r="Y143" s="154">
        <f t="shared" si="49"/>
        <v>2.8512622070675404E-3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0.56112560336355422</v>
      </c>
      <c r="C144" s="156">
        <f t="shared" si="50"/>
        <v>0.57903791384245651</v>
      </c>
      <c r="D144" s="156">
        <f t="shared" si="50"/>
        <v>0.53508323751649245</v>
      </c>
      <c r="E144" s="156">
        <f t="shared" si="50"/>
        <v>0.54982927081114708</v>
      </c>
      <c r="F144" s="156">
        <f t="shared" si="50"/>
        <v>0.54423892684202801</v>
      </c>
      <c r="G144" s="156">
        <f t="shared" si="50"/>
        <v>0.55971705002724026</v>
      </c>
      <c r="H144" s="156">
        <f t="shared" si="50"/>
        <v>0.58570266384103453</v>
      </c>
      <c r="I144" s="156">
        <f t="shared" si="50"/>
        <v>0.61424945203867454</v>
      </c>
      <c r="J144" s="156">
        <f t="shared" si="50"/>
        <v>0.61938213314172241</v>
      </c>
      <c r="K144" s="156">
        <f t="shared" si="50"/>
        <v>0.66025869034710216</v>
      </c>
      <c r="L144" s="156">
        <f t="shared" ref="L144" si="51">IF(L21=0,0,L21/L$17)</f>
        <v>0.6381215896606619</v>
      </c>
      <c r="M144" s="156">
        <f t="shared" ref="M144:V144" si="52">IF(M21=0,0,M21/M$17)</f>
        <v>0.6228357344254466</v>
      </c>
      <c r="N144" s="156">
        <f t="shared" si="52"/>
        <v>0.62764864669990927</v>
      </c>
      <c r="O144" s="156">
        <f t="shared" si="52"/>
        <v>0.63029611972328892</v>
      </c>
      <c r="P144" s="156">
        <f t="shared" si="52"/>
        <v>0.63636927602793736</v>
      </c>
      <c r="Q144" s="156">
        <f t="shared" si="52"/>
        <v>0.64913107656282398</v>
      </c>
      <c r="R144" s="156">
        <f t="shared" si="52"/>
        <v>0.6488595540353147</v>
      </c>
      <c r="S144" s="156">
        <f t="shared" si="52"/>
        <v>0.65155774880866013</v>
      </c>
      <c r="T144" s="156">
        <f t="shared" si="52"/>
        <v>0.65213246533051028</v>
      </c>
      <c r="U144" s="156">
        <f t="shared" si="52"/>
        <v>0.65783152597708416</v>
      </c>
      <c r="V144" s="156">
        <f t="shared" si="52"/>
        <v>0.65264674564448089</v>
      </c>
      <c r="W144" s="156">
        <f t="shared" ref="W144:Y144" si="53">IF(W21=0,0,W21/W$17)</f>
        <v>0.62328803673045996</v>
      </c>
      <c r="X144" s="156">
        <f t="shared" si="53"/>
        <v>0.6176620126498229</v>
      </c>
      <c r="Y144" s="156">
        <f t="shared" si="53"/>
        <v>0.6349858782655694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0.52285221094729206</v>
      </c>
      <c r="C145" s="103">
        <f t="shared" si="54"/>
        <v>0.5215848504393219</v>
      </c>
      <c r="D145" s="103">
        <f t="shared" si="54"/>
        <v>0.46270473796742145</v>
      </c>
      <c r="E145" s="103">
        <f t="shared" si="54"/>
        <v>0.45973939983334644</v>
      </c>
      <c r="F145" s="103">
        <f t="shared" si="54"/>
        <v>0.42777045850832712</v>
      </c>
      <c r="G145" s="103">
        <f t="shared" si="54"/>
        <v>0.42343912192621064</v>
      </c>
      <c r="H145" s="103">
        <f t="shared" si="54"/>
        <v>0.42084965365134491</v>
      </c>
      <c r="I145" s="103">
        <f t="shared" si="54"/>
        <v>0.42512140891789052</v>
      </c>
      <c r="J145" s="103">
        <f t="shared" si="54"/>
        <v>0.43440034764326052</v>
      </c>
      <c r="K145" s="103">
        <f t="shared" si="54"/>
        <v>0.43995118101444008</v>
      </c>
      <c r="L145" s="103">
        <f t="shared" ref="L145" si="55">IF(L22=0,0,L22/L$17)</f>
        <v>0.40489917527809499</v>
      </c>
      <c r="M145" s="103">
        <f t="shared" ref="M145:V145" si="56">IF(M22=0,0,M22/M$17)</f>
        <v>0.36494175641518206</v>
      </c>
      <c r="N145" s="103">
        <f t="shared" si="56"/>
        <v>0.34198453333443829</v>
      </c>
      <c r="O145" s="103">
        <f t="shared" si="56"/>
        <v>0.32685500270811757</v>
      </c>
      <c r="P145" s="103">
        <f t="shared" si="56"/>
        <v>0.32782738124187466</v>
      </c>
      <c r="Q145" s="103">
        <f t="shared" si="56"/>
        <v>0.31438391984154584</v>
      </c>
      <c r="R145" s="103">
        <f t="shared" si="56"/>
        <v>0.32285690526494848</v>
      </c>
      <c r="S145" s="103">
        <f t="shared" si="56"/>
        <v>0.32761888315460214</v>
      </c>
      <c r="T145" s="103">
        <f t="shared" si="56"/>
        <v>0.32469207095901392</v>
      </c>
      <c r="U145" s="103">
        <f t="shared" si="56"/>
        <v>0.32804485775330311</v>
      </c>
      <c r="V145" s="103">
        <f t="shared" si="56"/>
        <v>0.27086490916663714</v>
      </c>
      <c r="W145" s="103">
        <f t="shared" ref="W145:Y145" si="57">IF(W22=0,0,W22/W$17)</f>
        <v>0.23529982955451106</v>
      </c>
      <c r="X145" s="103">
        <f t="shared" si="57"/>
        <v>0.24544142576659428</v>
      </c>
      <c r="Y145" s="103">
        <f t="shared" si="57"/>
        <v>0.24610327949100305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3.6742927656307489E-2</v>
      </c>
      <c r="C146" s="103">
        <f t="shared" si="58"/>
        <v>5.6017068430182164E-2</v>
      </c>
      <c r="D146" s="103">
        <f t="shared" si="58"/>
        <v>7.081522113090262E-2</v>
      </c>
      <c r="E146" s="103">
        <f t="shared" si="58"/>
        <v>8.8299644348905346E-2</v>
      </c>
      <c r="F146" s="103">
        <f t="shared" si="58"/>
        <v>0.11447188923537706</v>
      </c>
      <c r="G146" s="103">
        <f t="shared" si="58"/>
        <v>0.13401300780585201</v>
      </c>
      <c r="H146" s="103">
        <f t="shared" si="58"/>
        <v>0.1620671201812495</v>
      </c>
      <c r="I146" s="103">
        <f t="shared" si="58"/>
        <v>0.18687848314340202</v>
      </c>
      <c r="J146" s="103">
        <f t="shared" si="58"/>
        <v>0.18174498347240933</v>
      </c>
      <c r="K146" s="103">
        <f t="shared" si="58"/>
        <v>0.21655864905330474</v>
      </c>
      <c r="L146" s="103">
        <f t="shared" ref="L146" si="59">IF(L24=0,0,L24/L$17)</f>
        <v>0.22997067736315147</v>
      </c>
      <c r="M146" s="103">
        <f t="shared" ref="M146:V146" si="60">IF(M24=0,0,M24/M$17)</f>
        <v>0.25435137572251382</v>
      </c>
      <c r="N146" s="103">
        <f t="shared" si="60"/>
        <v>0.28094504614257554</v>
      </c>
      <c r="O146" s="103">
        <f t="shared" si="60"/>
        <v>0.2975795496997769</v>
      </c>
      <c r="P146" s="103">
        <f t="shared" si="60"/>
        <v>0.3013476207494688</v>
      </c>
      <c r="Q146" s="103">
        <f t="shared" si="60"/>
        <v>0.32628354939363008</v>
      </c>
      <c r="R146" s="103">
        <f t="shared" si="60"/>
        <v>0.31619926477502075</v>
      </c>
      <c r="S146" s="103">
        <f t="shared" si="60"/>
        <v>0.31215237697193365</v>
      </c>
      <c r="T146" s="103">
        <f t="shared" si="60"/>
        <v>0.31237689516299705</v>
      </c>
      <c r="U146" s="103">
        <f t="shared" si="60"/>
        <v>0.30587131513796534</v>
      </c>
      <c r="V146" s="103">
        <f t="shared" si="60"/>
        <v>0.35001251055143168</v>
      </c>
      <c r="W146" s="103">
        <f t="shared" ref="W146:Y146" si="61">IF(W24=0,0,W24/W$17)</f>
        <v>0.35207516928247579</v>
      </c>
      <c r="X146" s="103">
        <f t="shared" si="61"/>
        <v>0.33758578999686067</v>
      </c>
      <c r="Y146" s="103">
        <f t="shared" si="61"/>
        <v>0.35639979383330667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1.5304647599547242E-3</v>
      </c>
      <c r="C147" s="103">
        <f t="shared" si="62"/>
        <v>1.4359949729524219E-3</v>
      </c>
      <c r="D147" s="103">
        <f t="shared" si="62"/>
        <v>1.5632784181683873E-3</v>
      </c>
      <c r="E147" s="103">
        <f t="shared" si="62"/>
        <v>1.7902266288951846E-3</v>
      </c>
      <c r="F147" s="103">
        <f t="shared" si="62"/>
        <v>1.9965790983237242E-3</v>
      </c>
      <c r="G147" s="103">
        <f t="shared" si="62"/>
        <v>2.264920295177701E-3</v>
      </c>
      <c r="H147" s="103">
        <f t="shared" si="62"/>
        <v>2.785890008440177E-3</v>
      </c>
      <c r="I147" s="103">
        <f t="shared" si="62"/>
        <v>2.2495599773819232E-3</v>
      </c>
      <c r="J147" s="103">
        <f t="shared" si="62"/>
        <v>3.2365179141809058E-3</v>
      </c>
      <c r="K147" s="103">
        <f t="shared" si="62"/>
        <v>3.7485431014393114E-3</v>
      </c>
      <c r="L147" s="103">
        <f t="shared" ref="L147" si="63">IF(L26=0,0,L26/L$17)</f>
        <v>3.2465013885999011E-3</v>
      </c>
      <c r="M147" s="103">
        <f t="shared" ref="M147:V147" si="64">IF(M26=0,0,M26/M$17)</f>
        <v>3.5102195129589498E-3</v>
      </c>
      <c r="N147" s="103">
        <f t="shared" si="64"/>
        <v>4.524483965878158E-3</v>
      </c>
      <c r="O147" s="103">
        <f t="shared" si="64"/>
        <v>5.4187474331751188E-3</v>
      </c>
      <c r="P147" s="103">
        <f t="shared" si="64"/>
        <v>6.4124966750631696E-3</v>
      </c>
      <c r="Q147" s="103">
        <f t="shared" si="64"/>
        <v>7.4428142980620653E-3</v>
      </c>
      <c r="R147" s="103">
        <f t="shared" si="64"/>
        <v>8.1087425663107261E-3</v>
      </c>
      <c r="S147" s="103">
        <f t="shared" si="64"/>
        <v>9.3999931115823759E-3</v>
      </c>
      <c r="T147" s="103">
        <f t="shared" si="64"/>
        <v>1.0866444568223745E-2</v>
      </c>
      <c r="U147" s="103">
        <f t="shared" si="64"/>
        <v>1.2886902716428695E-2</v>
      </c>
      <c r="V147" s="103">
        <f t="shared" si="64"/>
        <v>1.3113490919045163E-2</v>
      </c>
      <c r="W147" s="103">
        <f t="shared" ref="W147:Y147" si="65">IF(W26=0,0,W26/W$17)</f>
        <v>1.2733576504590047E-2</v>
      </c>
      <c r="X147" s="103">
        <f t="shared" si="65"/>
        <v>1.3503429062345373E-2</v>
      </c>
      <c r="Y147" s="103">
        <f t="shared" si="65"/>
        <v>1.0086038049169166E-2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4.6283263393440006E-6</v>
      </c>
      <c r="M148" s="103">
        <f t="shared" ref="M148:V148" si="68">IF(M27=0,0,M27/M$17)</f>
        <v>1.5661935265546488E-5</v>
      </c>
      <c r="N148" s="103">
        <f t="shared" si="68"/>
        <v>3.0165308732522149E-5</v>
      </c>
      <c r="O148" s="103">
        <f t="shared" si="68"/>
        <v>2.4329565913333492E-4</v>
      </c>
      <c r="P148" s="103">
        <f t="shared" si="68"/>
        <v>4.6382153629827484E-4</v>
      </c>
      <c r="Q148" s="103">
        <f t="shared" si="68"/>
        <v>6.9301864259354033E-4</v>
      </c>
      <c r="R148" s="103">
        <f t="shared" si="68"/>
        <v>1.359961452685451E-3</v>
      </c>
      <c r="S148" s="103">
        <f t="shared" si="68"/>
        <v>2.0494358391412149E-3</v>
      </c>
      <c r="T148" s="103">
        <f t="shared" si="68"/>
        <v>3.8175881647795592E-3</v>
      </c>
      <c r="U148" s="103">
        <f t="shared" si="68"/>
        <v>1.0567710020800177E-2</v>
      </c>
      <c r="V148" s="103">
        <f t="shared" si="68"/>
        <v>1.8079327870616019E-2</v>
      </c>
      <c r="W148" s="103">
        <f t="shared" ref="W148:Y148" si="69">IF(W27=0,0,W27/W$17)</f>
        <v>2.2275325428558323E-2</v>
      </c>
      <c r="X148" s="103">
        <f t="shared" si="69"/>
        <v>1.9857229749897377E-2</v>
      </c>
      <c r="Y148" s="103">
        <f t="shared" si="69"/>
        <v>2.0395723491452911E-2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0</v>
      </c>
      <c r="O149" s="103">
        <f t="shared" si="72"/>
        <v>0</v>
      </c>
      <c r="P149" s="103">
        <f t="shared" si="72"/>
        <v>9.5767386164922765E-6</v>
      </c>
      <c r="Q149" s="103">
        <f t="shared" si="72"/>
        <v>1.8207386715989703E-5</v>
      </c>
      <c r="R149" s="103">
        <f t="shared" si="72"/>
        <v>2.3819957598297367E-5</v>
      </c>
      <c r="S149" s="103">
        <f t="shared" si="72"/>
        <v>2.9859754192601932E-5</v>
      </c>
      <c r="T149" s="103">
        <f t="shared" si="72"/>
        <v>4.7793045463657017E-5</v>
      </c>
      <c r="U149" s="103">
        <f t="shared" si="72"/>
        <v>5.7223628112468373E-5</v>
      </c>
      <c r="V149" s="103">
        <f t="shared" si="72"/>
        <v>1.0343644622591744E-4</v>
      </c>
      <c r="W149" s="103">
        <f t="shared" ref="W149:Y149" si="73">IF(W29=0,0,W29/W$17)</f>
        <v>2.5824115033552228E-4</v>
      </c>
      <c r="X149" s="103">
        <f t="shared" si="73"/>
        <v>3.8929862304465135E-4</v>
      </c>
      <c r="Y149" s="103">
        <f t="shared" si="73"/>
        <v>6.7941666888642798E-4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2.8411187161064398E-7</v>
      </c>
      <c r="K150" s="103">
        <f t="shared" si="74"/>
        <v>3.1717791810637501E-7</v>
      </c>
      <c r="L150" s="103">
        <f t="shared" ref="L150" si="75">IF(L32=0,0,L32/L$17)</f>
        <v>6.0730447611623328E-7</v>
      </c>
      <c r="M150" s="103">
        <f t="shared" ref="M150:V150" si="76">IF(M32=0,0,M32/M$17)</f>
        <v>1.6720839526313938E-5</v>
      </c>
      <c r="N150" s="103">
        <f t="shared" si="76"/>
        <v>1.6441794828485798E-4</v>
      </c>
      <c r="O150" s="103">
        <f t="shared" si="76"/>
        <v>1.9952422308606378E-4</v>
      </c>
      <c r="P150" s="103">
        <f t="shared" si="76"/>
        <v>3.0837908661595205E-4</v>
      </c>
      <c r="Q150" s="103">
        <f t="shared" si="76"/>
        <v>3.0956700027646392E-4</v>
      </c>
      <c r="R150" s="103">
        <f t="shared" si="76"/>
        <v>3.1086001875112597E-4</v>
      </c>
      <c r="S150" s="103">
        <f t="shared" si="76"/>
        <v>3.0719997720802579E-4</v>
      </c>
      <c r="T150" s="103">
        <f t="shared" si="76"/>
        <v>3.3167343003246872E-4</v>
      </c>
      <c r="U150" s="103">
        <f t="shared" si="76"/>
        <v>4.0351672047435826E-4</v>
      </c>
      <c r="V150" s="103">
        <f t="shared" si="76"/>
        <v>4.7307069052502222E-4</v>
      </c>
      <c r="W150" s="103">
        <f t="shared" ref="W150:Y150" si="77">IF(W32=0,0,W32/W$17)</f>
        <v>6.4589480998925876E-4</v>
      </c>
      <c r="X150" s="103">
        <f t="shared" si="77"/>
        <v>8.8483945108044167E-4</v>
      </c>
      <c r="Y150" s="103">
        <f t="shared" si="77"/>
        <v>1.3216267317511831E-3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0.17046881821503529</v>
      </c>
      <c r="C151" s="156">
        <f t="shared" si="78"/>
        <v>0.16613692137078365</v>
      </c>
      <c r="D151" s="156">
        <f t="shared" si="78"/>
        <v>0.17729336615189611</v>
      </c>
      <c r="E151" s="156">
        <f t="shared" si="78"/>
        <v>0.16186871361727526</v>
      </c>
      <c r="F151" s="156">
        <f t="shared" si="78"/>
        <v>0.16231020223149858</v>
      </c>
      <c r="G151" s="156">
        <f t="shared" si="78"/>
        <v>0.16254044999141667</v>
      </c>
      <c r="H151" s="156">
        <f t="shared" si="78"/>
        <v>0.15376385498803011</v>
      </c>
      <c r="I151" s="156">
        <f t="shared" si="78"/>
        <v>0.12442355096375093</v>
      </c>
      <c r="J151" s="156">
        <f t="shared" si="78"/>
        <v>0.11588860107962128</v>
      </c>
      <c r="K151" s="156">
        <f t="shared" si="78"/>
        <v>0.11226284938233352</v>
      </c>
      <c r="L151" s="156">
        <f t="shared" ref="L151" si="79">IF(L33=0,0,L33/L$17)</f>
        <v>0.11752036996019802</v>
      </c>
      <c r="M151" s="156">
        <f t="shared" ref="M151:V151" si="80">IF(M33=0,0,M33/M$17)</f>
        <v>0.11386138309894803</v>
      </c>
      <c r="N151" s="156">
        <f t="shared" si="80"/>
        <v>0.11323051871543924</v>
      </c>
      <c r="O151" s="156">
        <f t="shared" si="80"/>
        <v>0.11466694496709516</v>
      </c>
      <c r="P151" s="156">
        <f t="shared" si="80"/>
        <v>0.1180204022233487</v>
      </c>
      <c r="Q151" s="156">
        <f t="shared" si="80"/>
        <v>0.11664540759868994</v>
      </c>
      <c r="R151" s="156">
        <f t="shared" si="80"/>
        <v>0.1259202197991709</v>
      </c>
      <c r="S151" s="156">
        <f t="shared" si="80"/>
        <v>0.13759649406191385</v>
      </c>
      <c r="T151" s="156">
        <f t="shared" si="80"/>
        <v>0.13401608951738381</v>
      </c>
      <c r="U151" s="156">
        <f t="shared" si="80"/>
        <v>0.12514679874406864</v>
      </c>
      <c r="V151" s="156">
        <f t="shared" si="80"/>
        <v>0.12783963862427936</v>
      </c>
      <c r="W151" s="156">
        <f t="shared" ref="W151:Y151" si="81">IF(W33=0,0,W33/W$17)</f>
        <v>0.13080339740116081</v>
      </c>
      <c r="X151" s="156">
        <f t="shared" si="81"/>
        <v>0.1190453440295107</v>
      </c>
      <c r="Y151" s="156">
        <f t="shared" si="81"/>
        <v>9.3481117627770949E-2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2.205124567786855E-2</v>
      </c>
      <c r="C152" s="103">
        <f t="shared" si="82"/>
        <v>1.5813315997077575E-2</v>
      </c>
      <c r="D152" s="103">
        <f t="shared" si="82"/>
        <v>1.3126714876392826E-2</v>
      </c>
      <c r="E152" s="103">
        <f t="shared" si="82"/>
        <v>1.1384428446112312E-2</v>
      </c>
      <c r="F152" s="103">
        <f t="shared" si="82"/>
        <v>9.8265290573867486E-3</v>
      </c>
      <c r="G152" s="103">
        <f t="shared" si="82"/>
        <v>7.6922095749294081E-3</v>
      </c>
      <c r="H152" s="103">
        <f t="shared" si="82"/>
        <v>7.2348456936543746E-3</v>
      </c>
      <c r="I152" s="103">
        <f t="shared" si="82"/>
        <v>3.7889570878591725E-3</v>
      </c>
      <c r="J152" s="103">
        <f t="shared" si="82"/>
        <v>2.7237837192154004E-3</v>
      </c>
      <c r="K152" s="103">
        <f t="shared" si="82"/>
        <v>2.0668572556932115E-3</v>
      </c>
      <c r="L152" s="103">
        <f t="shared" ref="L152" si="83">IF(L34=0,0,L34/L$17)</f>
        <v>1.5294658737011518E-3</v>
      </c>
      <c r="M152" s="103">
        <f t="shared" ref="M152:V152" si="84">IF(M34=0,0,M34/M$17)</f>
        <v>1.3367959734140156E-3</v>
      </c>
      <c r="N152" s="103">
        <f t="shared" si="84"/>
        <v>1.2457659612584221E-3</v>
      </c>
      <c r="O152" s="103">
        <f t="shared" si="84"/>
        <v>1.2103093387669231E-3</v>
      </c>
      <c r="P152" s="103">
        <f t="shared" si="84"/>
        <v>1.2175925469543279E-3</v>
      </c>
      <c r="Q152" s="103">
        <f t="shared" si="84"/>
        <v>1.1933840573223405E-3</v>
      </c>
      <c r="R152" s="103">
        <f t="shared" si="84"/>
        <v>1.2951752219125135E-3</v>
      </c>
      <c r="S152" s="103">
        <f t="shared" si="84"/>
        <v>1.3884712483396696E-3</v>
      </c>
      <c r="T152" s="103">
        <f t="shared" si="84"/>
        <v>1.2811481311748734E-3</v>
      </c>
      <c r="U152" s="103">
        <f t="shared" si="84"/>
        <v>1.1520637091172949E-3</v>
      </c>
      <c r="V152" s="103">
        <f t="shared" si="84"/>
        <v>1.1232706989067124E-3</v>
      </c>
      <c r="W152" s="103">
        <f t="shared" ref="W152:Y152" si="85">IF(W34=0,0,W34/W$17)</f>
        <v>1.0820293454360662E-3</v>
      </c>
      <c r="X152" s="103">
        <f t="shared" si="85"/>
        <v>1.1277163849255567E-3</v>
      </c>
      <c r="Y152" s="103">
        <f t="shared" si="85"/>
        <v>8.0727623574203462E-4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0.14841757253716673</v>
      </c>
      <c r="C153" s="103">
        <f t="shared" si="86"/>
        <v>0.15032360537370607</v>
      </c>
      <c r="D153" s="103">
        <f t="shared" si="86"/>
        <v>0.16416665127550331</v>
      </c>
      <c r="E153" s="103">
        <f t="shared" si="86"/>
        <v>0.15048428517116291</v>
      </c>
      <c r="F153" s="103">
        <f t="shared" si="86"/>
        <v>0.15248367317411182</v>
      </c>
      <c r="G153" s="103">
        <f t="shared" si="86"/>
        <v>0.15484824041648726</v>
      </c>
      <c r="H153" s="103">
        <f t="shared" si="86"/>
        <v>0.14652900929437576</v>
      </c>
      <c r="I153" s="103">
        <f t="shared" si="86"/>
        <v>0.12063459387589175</v>
      </c>
      <c r="J153" s="103">
        <f t="shared" si="86"/>
        <v>0.11316481736040589</v>
      </c>
      <c r="K153" s="103">
        <f t="shared" si="86"/>
        <v>0.1101959921266403</v>
      </c>
      <c r="L153" s="103">
        <f t="shared" ref="L153" si="87">IF(L36=0,0,L36/L$17)</f>
        <v>0.11347056476851328</v>
      </c>
      <c r="M153" s="103">
        <f t="shared" ref="M153:V153" si="88">IF(M36=0,0,M36/M$17)</f>
        <v>0.10975916873555817</v>
      </c>
      <c r="N153" s="103">
        <f t="shared" si="88"/>
        <v>0.10893979854201334</v>
      </c>
      <c r="O153" s="103">
        <f t="shared" si="88"/>
        <v>0.11020443431614392</v>
      </c>
      <c r="P153" s="103">
        <f t="shared" si="88"/>
        <v>0.11288960361324528</v>
      </c>
      <c r="Q153" s="103">
        <f t="shared" si="88"/>
        <v>0.11034554780646724</v>
      </c>
      <c r="R153" s="103">
        <f t="shared" si="88"/>
        <v>0.11867138623611272</v>
      </c>
      <c r="S153" s="103">
        <f t="shared" si="88"/>
        <v>0.13080859044212545</v>
      </c>
      <c r="T153" s="103">
        <f t="shared" si="88"/>
        <v>0.12309424595136012</v>
      </c>
      <c r="U153" s="103">
        <f t="shared" si="88"/>
        <v>0.11587381291518688</v>
      </c>
      <c r="V153" s="103">
        <f t="shared" si="88"/>
        <v>0.11463925698474962</v>
      </c>
      <c r="W153" s="103">
        <f t="shared" ref="W153:Y153" si="89">IF(W36=0,0,W36/W$17)</f>
        <v>0.11690664556806682</v>
      </c>
      <c r="X153" s="103">
        <f t="shared" si="89"/>
        <v>0.11064175895527763</v>
      </c>
      <c r="Y153" s="103">
        <f t="shared" si="89"/>
        <v>7.9963249118093105E-2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1.4382564942992056E-5</v>
      </c>
      <c r="U154" s="103">
        <f t="shared" si="92"/>
        <v>1.3007988473006136E-5</v>
      </c>
      <c r="V154" s="103">
        <f t="shared" si="92"/>
        <v>1.3120532768422437E-5</v>
      </c>
      <c r="W154" s="103">
        <f t="shared" ref="W154:Y154" si="93">IF(W38=0,0,W38/W$17)</f>
        <v>1.2887990675308847E-5</v>
      </c>
      <c r="X154" s="103">
        <f t="shared" si="93"/>
        <v>1.3036461081462816E-5</v>
      </c>
      <c r="Y154" s="103">
        <f t="shared" si="93"/>
        <v>9.1914816039597022E-6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5.7758802078348859E-5</v>
      </c>
      <c r="M155" s="103">
        <f t="shared" ref="M155:V155" si="96">IF(M39=0,0,M39/M$17)</f>
        <v>3.5097891630735405E-4</v>
      </c>
      <c r="N155" s="103">
        <f t="shared" si="96"/>
        <v>7.1772828885399557E-4</v>
      </c>
      <c r="O155" s="103">
        <f t="shared" si="96"/>
        <v>9.2157769836243649E-4</v>
      </c>
      <c r="P155" s="103">
        <f t="shared" si="96"/>
        <v>1.6676124187438106E-3</v>
      </c>
      <c r="Q155" s="103">
        <f t="shared" si="96"/>
        <v>3.0005784198007621E-3</v>
      </c>
      <c r="R155" s="103">
        <f t="shared" si="96"/>
        <v>4.0233704147906507E-3</v>
      </c>
      <c r="S155" s="103">
        <f t="shared" si="96"/>
        <v>3.6362950093189292E-3</v>
      </c>
      <c r="T155" s="103">
        <f t="shared" si="96"/>
        <v>8.0619357433969561E-3</v>
      </c>
      <c r="U155" s="103">
        <f t="shared" si="96"/>
        <v>6.6830925528497181E-3</v>
      </c>
      <c r="V155" s="103">
        <f t="shared" si="96"/>
        <v>1.07451858899138E-2</v>
      </c>
      <c r="W155" s="103">
        <f t="shared" ref="W155:Y155" si="97">IF(W39=0,0,W39/W$17)</f>
        <v>1.1490763168279714E-2</v>
      </c>
      <c r="X155" s="103">
        <f t="shared" si="97"/>
        <v>6.0007963718590619E-3</v>
      </c>
      <c r="Y155" s="103">
        <f t="shared" si="97"/>
        <v>1.181818818758448E-2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2.4625805159052372E-3</v>
      </c>
      <c r="M156" s="103">
        <f t="shared" ref="M156:V156" si="100">IF(M41=0,0,M41/M$17)</f>
        <v>2.4144394736684842E-3</v>
      </c>
      <c r="N156" s="103">
        <f t="shared" si="100"/>
        <v>2.3272259233134709E-3</v>
      </c>
      <c r="O156" s="103">
        <f t="shared" si="100"/>
        <v>2.3306236138218761E-3</v>
      </c>
      <c r="P156" s="103">
        <f t="shared" si="100"/>
        <v>2.2455936444052702E-3</v>
      </c>
      <c r="Q156" s="103">
        <f t="shared" si="100"/>
        <v>2.1058973150996042E-3</v>
      </c>
      <c r="R156" s="103">
        <f t="shared" si="100"/>
        <v>1.9302879263550351E-3</v>
      </c>
      <c r="S156" s="103">
        <f t="shared" si="100"/>
        <v>1.76313736212981E-3</v>
      </c>
      <c r="T156" s="103">
        <f t="shared" si="100"/>
        <v>1.5643771265088707E-3</v>
      </c>
      <c r="U156" s="103">
        <f t="shared" si="100"/>
        <v>1.4248215784417417E-3</v>
      </c>
      <c r="V156" s="103">
        <f t="shared" si="100"/>
        <v>1.3188045179408059E-3</v>
      </c>
      <c r="W156" s="103">
        <f t="shared" ref="W156:Y156" si="101">IF(W41=0,0,W41/W$17)</f>
        <v>1.3110713287029113E-3</v>
      </c>
      <c r="X156" s="103">
        <f t="shared" si="101"/>
        <v>1.2620358563669883E-3</v>
      </c>
      <c r="Y156" s="103">
        <f t="shared" si="101"/>
        <v>8.8321260474736229E-4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0.26753488783119811</v>
      </c>
      <c r="C157" s="46">
        <f t="shared" si="102"/>
        <v>0.25410275184397563</v>
      </c>
      <c r="D157" s="46">
        <f t="shared" si="102"/>
        <v>0.28688330760711883</v>
      </c>
      <c r="E157" s="46">
        <f t="shared" si="102"/>
        <v>0.28747074194855787</v>
      </c>
      <c r="F157" s="46">
        <f t="shared" si="102"/>
        <v>0.29255789875062338</v>
      </c>
      <c r="G157" s="46">
        <f t="shared" si="102"/>
        <v>0.27679942394543966</v>
      </c>
      <c r="H157" s="46">
        <f t="shared" si="102"/>
        <v>0.2594780442197509</v>
      </c>
      <c r="I157" s="46">
        <f t="shared" si="102"/>
        <v>0.26017373990379156</v>
      </c>
      <c r="J157" s="46">
        <f t="shared" si="102"/>
        <v>0.26335317147362325</v>
      </c>
      <c r="K157" s="46">
        <f t="shared" si="102"/>
        <v>0.22589037443304796</v>
      </c>
      <c r="L157" s="46">
        <f t="shared" ref="L157" si="103">IF(L42=0,0,L42/L$17)</f>
        <v>0.24276773475886326</v>
      </c>
      <c r="M157" s="46">
        <f t="shared" ref="M157:V157" si="104">IF(M42=0,0,M42/M$17)</f>
        <v>0.26151808755184947</v>
      </c>
      <c r="N157" s="46">
        <f t="shared" si="104"/>
        <v>0.25659402070316717</v>
      </c>
      <c r="O157" s="46">
        <f t="shared" si="104"/>
        <v>0.25225847720961775</v>
      </c>
      <c r="P157" s="46">
        <f t="shared" si="104"/>
        <v>0.24266088189888185</v>
      </c>
      <c r="Q157" s="46">
        <f t="shared" si="104"/>
        <v>0.23118170336968302</v>
      </c>
      <c r="R157" s="46">
        <f t="shared" si="104"/>
        <v>0.22205377582680827</v>
      </c>
      <c r="S157" s="46">
        <f t="shared" si="104"/>
        <v>0.2079561841437777</v>
      </c>
      <c r="T157" s="46">
        <f t="shared" si="104"/>
        <v>0.2111992337562143</v>
      </c>
      <c r="U157" s="46">
        <f t="shared" si="104"/>
        <v>0.21421352734151117</v>
      </c>
      <c r="V157" s="46">
        <f t="shared" si="104"/>
        <v>0.21685182795182326</v>
      </c>
      <c r="W157" s="46">
        <f t="shared" ref="W157:Y157" si="105">IF(W42=0,0,W42/W$17)</f>
        <v>0.24330695612323067</v>
      </c>
      <c r="X157" s="46">
        <f t="shared" si="105"/>
        <v>0.26067525357819038</v>
      </c>
      <c r="Y157" s="46">
        <f t="shared" si="105"/>
        <v>0.26868174189959221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0.16770000944656036</v>
      </c>
      <c r="C158" s="154">
        <f t="shared" si="106"/>
        <v>0.16701136601173294</v>
      </c>
      <c r="D158" s="154">
        <f t="shared" si="106"/>
        <v>0.17362412491660756</v>
      </c>
      <c r="E158" s="154">
        <f t="shared" si="106"/>
        <v>0.14766050269962083</v>
      </c>
      <c r="F158" s="154">
        <f t="shared" si="106"/>
        <v>0.13902127226237948</v>
      </c>
      <c r="G158" s="154">
        <f t="shared" si="106"/>
        <v>0.12283403399180194</v>
      </c>
      <c r="H158" s="154">
        <f t="shared" si="106"/>
        <v>0.10785124701137411</v>
      </c>
      <c r="I158" s="154">
        <f t="shared" si="106"/>
        <v>9.6895336722049877E-2</v>
      </c>
      <c r="J158" s="154">
        <f t="shared" si="106"/>
        <v>9.586934183987357E-2</v>
      </c>
      <c r="K158" s="154">
        <f t="shared" si="106"/>
        <v>9.5537644968914232E-2</v>
      </c>
      <c r="L158" s="154">
        <f t="shared" ref="L158" si="107">IF(L43=0,0,L43/L$17)</f>
        <v>9.8257372863721285E-2</v>
      </c>
      <c r="M158" s="154">
        <f t="shared" ref="M158:V158" si="108">IF(M43=0,0,M43/M$17)</f>
        <v>0.10058329835864176</v>
      </c>
      <c r="N158" s="154">
        <f t="shared" si="108"/>
        <v>0.10121685818169883</v>
      </c>
      <c r="O158" s="154">
        <f t="shared" si="108"/>
        <v>0.10414498588674229</v>
      </c>
      <c r="P158" s="154">
        <f t="shared" si="108"/>
        <v>0.10612224369639549</v>
      </c>
      <c r="Q158" s="154">
        <f t="shared" si="108"/>
        <v>0.10269053827901294</v>
      </c>
      <c r="R158" s="154">
        <f t="shared" si="108"/>
        <v>0.10373444147904416</v>
      </c>
      <c r="S158" s="154">
        <f t="shared" si="108"/>
        <v>0.10922204120975286</v>
      </c>
      <c r="T158" s="154">
        <f t="shared" si="108"/>
        <v>0.11547121259784655</v>
      </c>
      <c r="U158" s="154">
        <f t="shared" si="108"/>
        <v>0.12622621777465121</v>
      </c>
      <c r="V158" s="154">
        <f t="shared" si="108"/>
        <v>0.13429695171588191</v>
      </c>
      <c r="W158" s="154">
        <f t="shared" ref="W158:Y158" si="109">IF(W43=0,0,W43/W$17)</f>
        <v>0.14056952426722708</v>
      </c>
      <c r="X158" s="154">
        <f t="shared" si="109"/>
        <v>0.14585674039155697</v>
      </c>
      <c r="Y158" s="154">
        <f t="shared" si="109"/>
        <v>0.15368239741381251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4.4130321129332503E-2</v>
      </c>
      <c r="C159" s="103">
        <f t="shared" si="110"/>
        <v>3.9913199665060906E-2</v>
      </c>
      <c r="D159" s="103">
        <f t="shared" si="110"/>
        <v>3.7420659218486065E-2</v>
      </c>
      <c r="E159" s="103">
        <f t="shared" si="110"/>
        <v>3.5284416511119056E-2</v>
      </c>
      <c r="F159" s="103">
        <f t="shared" si="110"/>
        <v>3.4956431113760504E-2</v>
      </c>
      <c r="G159" s="103">
        <f t="shared" si="110"/>
        <v>2.9378358511779078E-2</v>
      </c>
      <c r="H159" s="103">
        <f t="shared" si="110"/>
        <v>2.67975077326651E-2</v>
      </c>
      <c r="I159" s="103">
        <f t="shared" si="110"/>
        <v>2.1265356628510163E-2</v>
      </c>
      <c r="J159" s="103">
        <f t="shared" si="110"/>
        <v>2.0983730761009008E-2</v>
      </c>
      <c r="K159" s="103">
        <f t="shared" si="110"/>
        <v>2.0782652484366886E-2</v>
      </c>
      <c r="L159" s="103">
        <f t="shared" ref="L159" si="111">IF(L44=0,0,L44/L$17)</f>
        <v>1.7863291692115858E-2</v>
      </c>
      <c r="M159" s="103">
        <f t="shared" ref="M159:V159" si="112">IF(M44=0,0,M44/M$17)</f>
        <v>1.8294715976436039E-2</v>
      </c>
      <c r="N159" s="103">
        <f t="shared" si="112"/>
        <v>1.7008058124815265E-2</v>
      </c>
      <c r="O159" s="103">
        <f t="shared" si="112"/>
        <v>1.5574849005332358E-2</v>
      </c>
      <c r="P159" s="103">
        <f t="shared" si="112"/>
        <v>1.4943007863825594E-2</v>
      </c>
      <c r="Q159" s="103">
        <f t="shared" si="112"/>
        <v>1.4052521393171463E-2</v>
      </c>
      <c r="R159" s="103">
        <f t="shared" si="112"/>
        <v>1.2904015207878407E-2</v>
      </c>
      <c r="S159" s="103">
        <f t="shared" si="112"/>
        <v>1.2439705269270306E-2</v>
      </c>
      <c r="T159" s="103">
        <f t="shared" si="112"/>
        <v>1.3414141133704066E-2</v>
      </c>
      <c r="U159" s="103">
        <f t="shared" si="112"/>
        <v>1.2844862289798229E-2</v>
      </c>
      <c r="V159" s="103">
        <f t="shared" si="112"/>
        <v>1.2110918060822009E-2</v>
      </c>
      <c r="W159" s="103">
        <f t="shared" ref="W159:Y159" si="113">IF(W44=0,0,W44/W$17)</f>
        <v>1.0288307285051434E-2</v>
      </c>
      <c r="X159" s="103">
        <f t="shared" si="113"/>
        <v>9.1692256409776456E-3</v>
      </c>
      <c r="Y159" s="103">
        <f t="shared" si="113"/>
        <v>8.0798844871052423E-3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0.12356968831722782</v>
      </c>
      <c r="C160" s="103">
        <f t="shared" si="114"/>
        <v>0.12709816634667204</v>
      </c>
      <c r="D160" s="103">
        <f t="shared" si="114"/>
        <v>0.1362034656981215</v>
      </c>
      <c r="E160" s="103">
        <f t="shared" si="114"/>
        <v>0.1123760861885018</v>
      </c>
      <c r="F160" s="103">
        <f t="shared" si="114"/>
        <v>0.10406484114861897</v>
      </c>
      <c r="G160" s="103">
        <f t="shared" si="114"/>
        <v>9.3455675480022857E-2</v>
      </c>
      <c r="H160" s="103">
        <f t="shared" si="114"/>
        <v>8.1053739278709E-2</v>
      </c>
      <c r="I160" s="103">
        <f t="shared" si="114"/>
        <v>7.5629688789097413E-2</v>
      </c>
      <c r="J160" s="103">
        <f t="shared" si="114"/>
        <v>7.4885313530379971E-2</v>
      </c>
      <c r="K160" s="103">
        <f t="shared" si="114"/>
        <v>7.4754661449994542E-2</v>
      </c>
      <c r="L160" s="103">
        <f t="shared" ref="L160" si="115">IF(L46=0,0,L46/L$17)</f>
        <v>8.0393763341550087E-2</v>
      </c>
      <c r="M160" s="103">
        <f t="shared" ref="M160:V160" si="116">IF(M46=0,0,M46/M$17)</f>
        <v>8.2288270803050095E-2</v>
      </c>
      <c r="N160" s="103">
        <f t="shared" si="116"/>
        <v>8.4207184089332462E-2</v>
      </c>
      <c r="O160" s="103">
        <f t="shared" si="116"/>
        <v>8.8512433156427928E-2</v>
      </c>
      <c r="P160" s="103">
        <f t="shared" si="116"/>
        <v>9.1102267806477497E-2</v>
      </c>
      <c r="Q160" s="103">
        <f t="shared" si="116"/>
        <v>8.8535556255357986E-2</v>
      </c>
      <c r="R160" s="103">
        <f t="shared" si="116"/>
        <v>9.072715031407716E-2</v>
      </c>
      <c r="S160" s="103">
        <f t="shared" si="116"/>
        <v>9.6600889293592895E-2</v>
      </c>
      <c r="T160" s="103">
        <f t="shared" si="116"/>
        <v>0.10183539619685179</v>
      </c>
      <c r="U160" s="103">
        <f t="shared" si="116"/>
        <v>0.11310748357609246</v>
      </c>
      <c r="V160" s="103">
        <f t="shared" si="116"/>
        <v>0.12181797575887837</v>
      </c>
      <c r="W160" s="103">
        <f t="shared" ref="W160:Y160" si="117">IF(W46=0,0,W46/W$17)</f>
        <v>0.12992804559439106</v>
      </c>
      <c r="X160" s="103">
        <f t="shared" si="117"/>
        <v>0.13632159471785402</v>
      </c>
      <c r="Y160" s="103">
        <f t="shared" si="117"/>
        <v>0.14524998996789573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8.457429068383316E-7</v>
      </c>
      <c r="S161" s="103">
        <f t="shared" si="120"/>
        <v>9.7493117617020622E-6</v>
      </c>
      <c r="T161" s="103">
        <f t="shared" si="120"/>
        <v>1.1616487849884212E-5</v>
      </c>
      <c r="U161" s="103">
        <f t="shared" si="120"/>
        <v>1.5779492739772035E-5</v>
      </c>
      <c r="V161" s="103">
        <f t="shared" si="120"/>
        <v>1.5664743984839668E-5</v>
      </c>
      <c r="W161" s="103">
        <f t="shared" ref="W161:Y161" si="121">IF(W48=0,0,W48/W$17)</f>
        <v>1.49297319754166E-5</v>
      </c>
      <c r="X161" s="103">
        <f t="shared" si="121"/>
        <v>1.4257379263882518E-5</v>
      </c>
      <c r="Y161" s="103">
        <f t="shared" si="121"/>
        <v>2.3271312758062864E-5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1.1534671183584163E-6</v>
      </c>
      <c r="O162" s="103">
        <f t="shared" si="124"/>
        <v>5.6583133989276519E-5</v>
      </c>
      <c r="P162" s="103">
        <f t="shared" si="124"/>
        <v>7.4228985888647286E-5</v>
      </c>
      <c r="Q162" s="103">
        <f t="shared" si="124"/>
        <v>9.9376739614161954E-5</v>
      </c>
      <c r="R162" s="103">
        <f t="shared" si="124"/>
        <v>9.681396803857688E-5</v>
      </c>
      <c r="S162" s="103">
        <f t="shared" si="124"/>
        <v>1.6595824735747623E-4</v>
      </c>
      <c r="T162" s="103">
        <f t="shared" si="124"/>
        <v>2.0422600099163855E-4</v>
      </c>
      <c r="U162" s="103">
        <f t="shared" si="124"/>
        <v>2.5213565700815395E-4</v>
      </c>
      <c r="V162" s="103">
        <f t="shared" si="124"/>
        <v>3.4281506124748024E-4</v>
      </c>
      <c r="W162" s="103">
        <f t="shared" ref="W162:Y162" si="125">IF(W49=0,0,W49/W$17)</f>
        <v>3.2733186039127893E-4</v>
      </c>
      <c r="X162" s="103">
        <f t="shared" si="125"/>
        <v>3.2893308929466747E-4</v>
      </c>
      <c r="Y162" s="103">
        <f t="shared" si="125"/>
        <v>2.8661536732427142E-4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2.9130444229900797E-7</v>
      </c>
      <c r="J163" s="103">
        <f t="shared" si="126"/>
        <v>2.9754848459412248E-7</v>
      </c>
      <c r="K163" s="103">
        <f t="shared" si="126"/>
        <v>3.3103455279833037E-7</v>
      </c>
      <c r="L163" s="103">
        <f t="shared" ref="L163" si="127">IF(L51=0,0,L51/L$17)</f>
        <v>3.1783005535117586E-7</v>
      </c>
      <c r="M163" s="103">
        <f t="shared" ref="M163:V163" si="128">IF(M51=0,0,M51/M$17)</f>
        <v>3.1157915562688145E-7</v>
      </c>
      <c r="N163" s="103">
        <f t="shared" si="128"/>
        <v>4.6250043272869747E-7</v>
      </c>
      <c r="O163" s="103">
        <f t="shared" si="128"/>
        <v>1.1205909927255477E-6</v>
      </c>
      <c r="P163" s="103">
        <f t="shared" si="128"/>
        <v>2.739040203761E-6</v>
      </c>
      <c r="Q163" s="103">
        <f t="shared" si="128"/>
        <v>3.0838908693449411E-6</v>
      </c>
      <c r="R163" s="103">
        <f t="shared" si="128"/>
        <v>5.6162461431933496E-6</v>
      </c>
      <c r="S163" s="103">
        <f t="shared" si="128"/>
        <v>5.7390877704811708E-6</v>
      </c>
      <c r="T163" s="103">
        <f t="shared" si="128"/>
        <v>5.832778449162812E-6</v>
      </c>
      <c r="U163" s="103">
        <f t="shared" si="128"/>
        <v>5.9567590125911869E-6</v>
      </c>
      <c r="V163" s="103">
        <f t="shared" si="128"/>
        <v>9.5780909491990035E-6</v>
      </c>
      <c r="W163" s="103">
        <f t="shared" ref="W163:Y163" si="129">IF(W51=0,0,W51/W$17)</f>
        <v>1.0909795417899396E-5</v>
      </c>
      <c r="X163" s="103">
        <f t="shared" si="129"/>
        <v>2.2729564166770035E-5</v>
      </c>
      <c r="Y163" s="103">
        <f t="shared" si="129"/>
        <v>4.2636278729181089E-5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9.9834878384637754E-2</v>
      </c>
      <c r="C164" s="156">
        <f t="shared" si="130"/>
        <v>8.7091385832242699E-2</v>
      </c>
      <c r="D164" s="156">
        <f t="shared" si="130"/>
        <v>0.11325918269051125</v>
      </c>
      <c r="E164" s="156">
        <f t="shared" si="130"/>
        <v>0.13981023924893707</v>
      </c>
      <c r="F164" s="156">
        <f t="shared" si="130"/>
        <v>0.15353662648824393</v>
      </c>
      <c r="G164" s="156">
        <f t="shared" si="130"/>
        <v>0.15396538995363773</v>
      </c>
      <c r="H164" s="156">
        <f t="shared" si="130"/>
        <v>0.15162679720837677</v>
      </c>
      <c r="I164" s="156">
        <f t="shared" si="130"/>
        <v>0.16327840318174167</v>
      </c>
      <c r="J164" s="156">
        <f t="shared" si="130"/>
        <v>0.16748382963374972</v>
      </c>
      <c r="K164" s="156">
        <f t="shared" si="130"/>
        <v>0.13035272946413373</v>
      </c>
      <c r="L164" s="156">
        <f t="shared" ref="L164" si="131">IF(L52=0,0,L52/L$17)</f>
        <v>0.14451036189514196</v>
      </c>
      <c r="M164" s="156">
        <f t="shared" ref="M164:V164" si="132">IF(M52=0,0,M52/M$17)</f>
        <v>0.16093478919320775</v>
      </c>
      <c r="N164" s="156">
        <f t="shared" si="132"/>
        <v>0.15537716252146835</v>
      </c>
      <c r="O164" s="156">
        <f t="shared" si="132"/>
        <v>0.14811349132287543</v>
      </c>
      <c r="P164" s="156">
        <f t="shared" si="132"/>
        <v>0.13653863820248635</v>
      </c>
      <c r="Q164" s="156">
        <f t="shared" si="132"/>
        <v>0.12849116509067007</v>
      </c>
      <c r="R164" s="156">
        <f t="shared" si="132"/>
        <v>0.11831933434776409</v>
      </c>
      <c r="S164" s="156">
        <f t="shared" si="132"/>
        <v>9.8734142934024854E-2</v>
      </c>
      <c r="T164" s="156">
        <f t="shared" si="132"/>
        <v>9.5728021158367746E-2</v>
      </c>
      <c r="U164" s="156">
        <f t="shared" si="132"/>
        <v>8.7987309566859948E-2</v>
      </c>
      <c r="V164" s="156">
        <f t="shared" si="132"/>
        <v>8.2554876235941363E-2</v>
      </c>
      <c r="W164" s="156">
        <f t="shared" ref="W164:Y164" si="133">IF(W52=0,0,W52/W$17)</f>
        <v>0.10273743185600361</v>
      </c>
      <c r="X164" s="156">
        <f t="shared" si="133"/>
        <v>0.11481851318663343</v>
      </c>
      <c r="Y164" s="156">
        <f t="shared" si="133"/>
        <v>0.11499934448577968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6.7765930907844121E-2</v>
      </c>
      <c r="C165" s="104">
        <f t="shared" si="134"/>
        <v>5.3418818371192354E-2</v>
      </c>
      <c r="D165" s="104">
        <f t="shared" si="134"/>
        <v>7.6280900659475626E-2</v>
      </c>
      <c r="E165" s="104">
        <f t="shared" si="134"/>
        <v>0.10708836901007258</v>
      </c>
      <c r="F165" s="104">
        <f t="shared" si="134"/>
        <v>0.11523274364904257</v>
      </c>
      <c r="G165" s="104">
        <f t="shared" si="134"/>
        <v>0.11525266328260188</v>
      </c>
      <c r="H165" s="104">
        <f t="shared" si="134"/>
        <v>0.11327616471775669</v>
      </c>
      <c r="I165" s="104">
        <f t="shared" si="134"/>
        <v>0.1208721090557185</v>
      </c>
      <c r="J165" s="104">
        <f t="shared" si="134"/>
        <v>0.12574562517557908</v>
      </c>
      <c r="K165" s="104">
        <f t="shared" si="134"/>
        <v>9.509502838007787E-2</v>
      </c>
      <c r="L165" s="104">
        <f t="shared" ref="L165" si="135">IF(L53=0,0,L53/L$17)</f>
        <v>0.102656698844821</v>
      </c>
      <c r="M165" s="104">
        <f t="shared" ref="M165:V165" si="136">IF(M53=0,0,M53/M$17)</f>
        <v>0.11241829619997255</v>
      </c>
      <c r="N165" s="104">
        <f t="shared" si="136"/>
        <v>0.1070805701070731</v>
      </c>
      <c r="O165" s="104">
        <f t="shared" si="136"/>
        <v>9.8017404134412997E-2</v>
      </c>
      <c r="P165" s="104">
        <f t="shared" si="136"/>
        <v>8.7906718339310963E-2</v>
      </c>
      <c r="Q165" s="104">
        <f t="shared" si="136"/>
        <v>7.69531045176889E-2</v>
      </c>
      <c r="R165" s="104">
        <f t="shared" si="136"/>
        <v>7.4510602072420953E-2</v>
      </c>
      <c r="S165" s="104">
        <f t="shared" si="136"/>
        <v>5.8658501863096311E-2</v>
      </c>
      <c r="T165" s="104">
        <f t="shared" si="136"/>
        <v>5.7265764897464926E-2</v>
      </c>
      <c r="U165" s="104">
        <f t="shared" si="136"/>
        <v>5.209768594485268E-2</v>
      </c>
      <c r="V165" s="104">
        <f t="shared" si="136"/>
        <v>4.1146563466324879E-2</v>
      </c>
      <c r="W165" s="104">
        <f t="shared" ref="W165:Y165" si="137">IF(W53=0,0,W53/W$17)</f>
        <v>6.1907457103112996E-2</v>
      </c>
      <c r="X165" s="104">
        <f t="shared" si="137"/>
        <v>6.4680847687502332E-2</v>
      </c>
      <c r="Y165" s="104">
        <f t="shared" si="137"/>
        <v>6.2825599296544507E-2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3.2068947476793647E-2</v>
      </c>
      <c r="C166" s="105">
        <f t="shared" si="138"/>
        <v>3.3672567461050344E-2</v>
      </c>
      <c r="D166" s="105">
        <f t="shared" si="138"/>
        <v>3.6978282031035634E-2</v>
      </c>
      <c r="E166" s="105">
        <f t="shared" si="138"/>
        <v>3.2721870238864463E-2</v>
      </c>
      <c r="F166" s="105">
        <f t="shared" si="138"/>
        <v>3.8303882839201372E-2</v>
      </c>
      <c r="G166" s="105">
        <f t="shared" si="138"/>
        <v>3.8712726671035862E-2</v>
      </c>
      <c r="H166" s="105">
        <f t="shared" si="138"/>
        <v>3.8350632490620103E-2</v>
      </c>
      <c r="I166" s="105">
        <f t="shared" si="138"/>
        <v>4.2406294126023189E-2</v>
      </c>
      <c r="J166" s="105">
        <f t="shared" si="138"/>
        <v>4.1738204458170627E-2</v>
      </c>
      <c r="K166" s="105">
        <f t="shared" si="138"/>
        <v>3.5257701084055855E-2</v>
      </c>
      <c r="L166" s="105">
        <f t="shared" ref="L166" si="139">IF(L55=0,0,L55/L$17)</f>
        <v>4.1853663050320976E-2</v>
      </c>
      <c r="M166" s="105">
        <f t="shared" ref="M166:V166" si="140">IF(M55=0,0,M55/M$17)</f>
        <v>4.8516492993235211E-2</v>
      </c>
      <c r="N166" s="105">
        <f t="shared" si="140"/>
        <v>4.8296592414395254E-2</v>
      </c>
      <c r="O166" s="105">
        <f t="shared" si="140"/>
        <v>5.0096087188462451E-2</v>
      </c>
      <c r="P166" s="105">
        <f t="shared" si="140"/>
        <v>4.8631919863175381E-2</v>
      </c>
      <c r="Q166" s="105">
        <f t="shared" si="140"/>
        <v>5.1538060572981159E-2</v>
      </c>
      <c r="R166" s="105">
        <f t="shared" si="140"/>
        <v>4.3808732275343147E-2</v>
      </c>
      <c r="S166" s="105">
        <f t="shared" si="140"/>
        <v>4.0075641070928536E-2</v>
      </c>
      <c r="T166" s="105">
        <f t="shared" si="140"/>
        <v>3.846225626090282E-2</v>
      </c>
      <c r="U166" s="105">
        <f t="shared" si="140"/>
        <v>3.5889623622007268E-2</v>
      </c>
      <c r="V166" s="105">
        <f t="shared" si="140"/>
        <v>4.1408312769616477E-2</v>
      </c>
      <c r="W166" s="105">
        <f t="shared" ref="W166:Y166" si="141">IF(W55=0,0,W55/W$17)</f>
        <v>4.0829974752890595E-2</v>
      </c>
      <c r="X166" s="105">
        <f t="shared" si="141"/>
        <v>5.0137665499131102E-2</v>
      </c>
      <c r="Y166" s="105">
        <f t="shared" si="141"/>
        <v>5.2173745189235177E-2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1482.75691452</v>
      </c>
      <c r="C4" s="146">
        <f t="shared" si="0"/>
        <v>1807.5567747599998</v>
      </c>
      <c r="D4" s="146">
        <f t="shared" si="0"/>
        <v>1875.9681449999998</v>
      </c>
      <c r="E4" s="146">
        <f t="shared" si="0"/>
        <v>1820.9434975200002</v>
      </c>
      <c r="F4" s="146">
        <f t="shared" si="0"/>
        <v>1881.8660037600002</v>
      </c>
      <c r="G4" s="146">
        <f t="shared" si="0"/>
        <v>1972.87588332</v>
      </c>
      <c r="H4" s="146">
        <f t="shared" si="0"/>
        <v>2126.1269818800001</v>
      </c>
      <c r="I4" s="146">
        <f t="shared" si="0"/>
        <v>2255.74263144</v>
      </c>
      <c r="J4" s="146">
        <f t="shared" si="0"/>
        <v>2197.7207992800004</v>
      </c>
      <c r="K4" s="146">
        <f t="shared" si="0"/>
        <v>1982.4472349999996</v>
      </c>
      <c r="L4" s="146">
        <f t="shared" ref="L4" si="1">L5+L9+L10+L15</f>
        <v>2049.5230243200003</v>
      </c>
      <c r="M4" s="146">
        <f t="shared" ref="M4:V4" si="2">M5+M9+M10+M15</f>
        <v>2108.2899553200004</v>
      </c>
      <c r="N4" s="146">
        <f t="shared" si="2"/>
        <v>2154.9329488800004</v>
      </c>
      <c r="O4" s="146">
        <f t="shared" si="2"/>
        <v>2117.7229968000001</v>
      </c>
      <c r="P4" s="146">
        <f t="shared" si="2"/>
        <v>2133.81675756</v>
      </c>
      <c r="Q4" s="146">
        <f t="shared" si="2"/>
        <v>2201.7407940000003</v>
      </c>
      <c r="R4" s="146">
        <f t="shared" si="2"/>
        <v>2268.2623374</v>
      </c>
      <c r="S4" s="146">
        <f t="shared" si="2"/>
        <v>2340.3994531200001</v>
      </c>
      <c r="T4" s="146">
        <f t="shared" si="2"/>
        <v>2384.9825293125637</v>
      </c>
      <c r="U4" s="146">
        <f t="shared" si="2"/>
        <v>2358.0483101113518</v>
      </c>
      <c r="V4" s="146">
        <f t="shared" si="2"/>
        <v>2188.2720955129976</v>
      </c>
      <c r="W4" s="146">
        <f t="shared" ref="W4:Y4" si="3">W5+W9+W10+W15</f>
        <v>2311.3074131795693</v>
      </c>
      <c r="X4" s="146">
        <f t="shared" si="3"/>
        <v>2389.4013793983445</v>
      </c>
      <c r="Y4" s="146">
        <f t="shared" si="3"/>
        <v>2383.7915249982448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1482.75691452</v>
      </c>
      <c r="C5" s="101">
        <f t="shared" si="4"/>
        <v>1807.5567747599998</v>
      </c>
      <c r="D5" s="101">
        <f t="shared" si="4"/>
        <v>1875.9681449999998</v>
      </c>
      <c r="E5" s="101">
        <f t="shared" si="4"/>
        <v>1820.9434975200002</v>
      </c>
      <c r="F5" s="101">
        <f t="shared" si="4"/>
        <v>1881.8660037600002</v>
      </c>
      <c r="G5" s="101">
        <f t="shared" si="4"/>
        <v>1972.87588332</v>
      </c>
      <c r="H5" s="101">
        <f t="shared" si="4"/>
        <v>2126.1269818800001</v>
      </c>
      <c r="I5" s="101">
        <f t="shared" si="4"/>
        <v>2255.74263144</v>
      </c>
      <c r="J5" s="101">
        <f t="shared" si="4"/>
        <v>2197.7207992800004</v>
      </c>
      <c r="K5" s="101">
        <f t="shared" si="4"/>
        <v>1982.4472349999996</v>
      </c>
      <c r="L5" s="101">
        <f t="shared" ref="L5" si="5">SUM(L6:L8)</f>
        <v>2049.4220443200002</v>
      </c>
      <c r="M5" s="101">
        <f t="shared" ref="M5:V5" si="6">SUM(M6:M8)</f>
        <v>2107.6840753200004</v>
      </c>
      <c r="N5" s="101">
        <f t="shared" si="6"/>
        <v>2153.6706988800001</v>
      </c>
      <c r="O5" s="101">
        <f t="shared" si="6"/>
        <v>2115.7033968000001</v>
      </c>
      <c r="P5" s="101">
        <f t="shared" si="6"/>
        <v>2130.13098756</v>
      </c>
      <c r="Q5" s="101">
        <f t="shared" si="6"/>
        <v>2195.2275840000002</v>
      </c>
      <c r="R5" s="101">
        <f t="shared" si="6"/>
        <v>2258.5682573999998</v>
      </c>
      <c r="S5" s="101">
        <f t="shared" si="6"/>
        <v>2329.7068828800002</v>
      </c>
      <c r="T5" s="101">
        <f t="shared" si="6"/>
        <v>2364.9092272799999</v>
      </c>
      <c r="U5" s="101">
        <f t="shared" si="6"/>
        <v>2330.6607817200002</v>
      </c>
      <c r="V5" s="101">
        <f t="shared" si="6"/>
        <v>2143.3591587600004</v>
      </c>
      <c r="W5" s="101">
        <f t="shared" ref="W5:Y5" si="7">SUM(W6:W8)</f>
        <v>2257.9209338400001</v>
      </c>
      <c r="X5" s="101">
        <f t="shared" si="7"/>
        <v>2351.4448435200002</v>
      </c>
      <c r="Y5" s="101">
        <f t="shared" si="7"/>
        <v>2340.9492242399997</v>
      </c>
      <c r="DA5" s="175"/>
    </row>
    <row r="6" spans="1:105" ht="11.45" customHeight="1" x14ac:dyDescent="0.25">
      <c r="A6" s="128" t="s">
        <v>52</v>
      </c>
      <c r="B6" s="101">
        <v>2.00968452</v>
      </c>
      <c r="C6" s="101">
        <v>2.2968147600000006</v>
      </c>
      <c r="D6" s="101">
        <v>2.5839450000000004</v>
      </c>
      <c r="E6" s="101">
        <v>2.8710752400000015</v>
      </c>
      <c r="F6" s="101">
        <v>3.3017705999999998</v>
      </c>
      <c r="G6" s="101">
        <v>3.9246433200000008</v>
      </c>
      <c r="H6" s="101">
        <v>5.208097320000002</v>
      </c>
      <c r="I6" s="101">
        <v>4.4559705600000017</v>
      </c>
      <c r="J6" s="101">
        <v>6.281882640000001</v>
      </c>
      <c r="K6" s="101">
        <v>6.5460697200000002</v>
      </c>
      <c r="L6" s="101">
        <v>5.9104760400000007</v>
      </c>
      <c r="M6" s="101">
        <v>6.5244895200000022</v>
      </c>
      <c r="N6" s="101">
        <v>8.5757443200000019</v>
      </c>
      <c r="O6" s="101">
        <v>10.077499080000003</v>
      </c>
      <c r="P6" s="101">
        <v>12.052655280000003</v>
      </c>
      <c r="Q6" s="101">
        <v>14.375366280000001</v>
      </c>
      <c r="R6" s="101">
        <v>16.135401960000003</v>
      </c>
      <c r="S6" s="101">
        <v>19.33949376</v>
      </c>
      <c r="T6" s="101">
        <v>23.310023400000002</v>
      </c>
      <c r="U6" s="101">
        <v>27.763040880000013</v>
      </c>
      <c r="V6" s="101">
        <v>26.700840720000013</v>
      </c>
      <c r="W6" s="101">
        <v>27.562004280000011</v>
      </c>
      <c r="X6" s="101">
        <v>29.485595159999988</v>
      </c>
      <c r="Y6" s="101">
        <v>21.934796760000001</v>
      </c>
      <c r="DA6" s="175" t="s">
        <v>741</v>
      </c>
    </row>
    <row r="7" spans="1:105" ht="11.45" customHeight="1" x14ac:dyDescent="0.25">
      <c r="A7" s="128" t="s">
        <v>53</v>
      </c>
      <c r="B7" s="101">
        <v>850.72679999999991</v>
      </c>
      <c r="C7" s="101">
        <v>1015.3835999999999</v>
      </c>
      <c r="D7" s="101">
        <v>933.05520000000001</v>
      </c>
      <c r="E7" s="101">
        <v>893.41557227999999</v>
      </c>
      <c r="F7" s="101">
        <v>859.87448316000018</v>
      </c>
      <c r="G7" s="101">
        <v>878.16959999999995</v>
      </c>
      <c r="H7" s="101">
        <v>936.10434456000007</v>
      </c>
      <c r="I7" s="101">
        <v>981.84251088000008</v>
      </c>
      <c r="J7" s="101">
        <v>975.74397228000009</v>
      </c>
      <c r="K7" s="101">
        <v>890.36642771999993</v>
      </c>
      <c r="L7" s="101">
        <v>838.52997227999992</v>
      </c>
      <c r="M7" s="101">
        <v>777.54608315999997</v>
      </c>
      <c r="N7" s="101">
        <v>744.00474455999995</v>
      </c>
      <c r="O7" s="101">
        <v>698.26682772000004</v>
      </c>
      <c r="P7" s="101">
        <v>701.31597227999998</v>
      </c>
      <c r="Q7" s="101">
        <v>698.26682772000004</v>
      </c>
      <c r="R7" s="101">
        <v>737.90645543999995</v>
      </c>
      <c r="S7" s="101">
        <v>774.49668912000004</v>
      </c>
      <c r="T7" s="101">
        <v>789.74291087999995</v>
      </c>
      <c r="U7" s="101">
        <v>792.7920554399999</v>
      </c>
      <c r="V7" s="101">
        <v>622.03671684000017</v>
      </c>
      <c r="W7" s="101">
        <v>579.34794456000009</v>
      </c>
      <c r="X7" s="101">
        <v>612.8892831600001</v>
      </c>
      <c r="Y7" s="101">
        <v>608.01045227999975</v>
      </c>
      <c r="DA7" s="175" t="s">
        <v>742</v>
      </c>
    </row>
    <row r="8" spans="1:105" ht="11.45" customHeight="1" x14ac:dyDescent="0.25">
      <c r="A8" s="128" t="s">
        <v>54</v>
      </c>
      <c r="B8" s="101">
        <v>630.02043000000015</v>
      </c>
      <c r="C8" s="101">
        <v>789.87636000000009</v>
      </c>
      <c r="D8" s="101">
        <v>940.32899999999995</v>
      </c>
      <c r="E8" s="101">
        <v>924.65685000000008</v>
      </c>
      <c r="F8" s="101">
        <v>1018.68975</v>
      </c>
      <c r="G8" s="101">
        <v>1090.7816399999999</v>
      </c>
      <c r="H8" s="101">
        <v>1184.8145399999999</v>
      </c>
      <c r="I8" s="101">
        <v>1269.4441499999998</v>
      </c>
      <c r="J8" s="101">
        <v>1215.6949443600001</v>
      </c>
      <c r="K8" s="101">
        <v>1085.5347375599997</v>
      </c>
      <c r="L8" s="101">
        <v>1204.9815960000001</v>
      </c>
      <c r="M8" s="101">
        <v>1323.6135026400002</v>
      </c>
      <c r="N8" s="101">
        <v>1401.0902100000001</v>
      </c>
      <c r="O8" s="101">
        <v>1407.35907</v>
      </c>
      <c r="P8" s="101">
        <v>1416.7623599999999</v>
      </c>
      <c r="Q8" s="101">
        <v>1482.58539</v>
      </c>
      <c r="R8" s="101">
        <v>1504.5264</v>
      </c>
      <c r="S8" s="101">
        <v>1535.8706999999999</v>
      </c>
      <c r="T8" s="101">
        <v>1551.8562930000001</v>
      </c>
      <c r="U8" s="101">
        <v>1510.1056854000001</v>
      </c>
      <c r="V8" s="101">
        <v>1494.6216012</v>
      </c>
      <c r="W8" s="101">
        <v>1651.0109849999999</v>
      </c>
      <c r="X8" s="101">
        <v>1709.0699652000001</v>
      </c>
      <c r="Y8" s="101">
        <v>1711.0039752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0.10098000000000001</v>
      </c>
      <c r="M9" s="101">
        <v>0.60588000000000009</v>
      </c>
      <c r="N9" s="101">
        <v>1.2622500000000001</v>
      </c>
      <c r="O9" s="101">
        <v>2.0196000000000001</v>
      </c>
      <c r="P9" s="101">
        <v>3.6857699999999998</v>
      </c>
      <c r="Q9" s="101">
        <v>6.5132100000000008</v>
      </c>
      <c r="R9" s="101">
        <v>9.6940800000000014</v>
      </c>
      <c r="S9" s="101">
        <v>10.69257024</v>
      </c>
      <c r="T9" s="101">
        <v>20.073302032563628</v>
      </c>
      <c r="U9" s="101">
        <v>27.387528391351761</v>
      </c>
      <c r="V9" s="101">
        <v>44.912936752997112</v>
      </c>
      <c r="W9" s="101">
        <v>53.386479339568965</v>
      </c>
      <c r="X9" s="101">
        <v>37.956535878344418</v>
      </c>
      <c r="Y9" s="101">
        <v>42.842300758244868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1482.75691452</v>
      </c>
      <c r="C17" s="79">
        <f t="shared" si="12"/>
        <v>1807.5567747600001</v>
      </c>
      <c r="D17" s="79">
        <f t="shared" si="12"/>
        <v>1875.968145</v>
      </c>
      <c r="E17" s="79">
        <f t="shared" si="12"/>
        <v>1820.9434975200002</v>
      </c>
      <c r="F17" s="79">
        <f t="shared" si="12"/>
        <v>1881.8660037600002</v>
      </c>
      <c r="G17" s="79">
        <f t="shared" si="12"/>
        <v>1972.8758833200004</v>
      </c>
      <c r="H17" s="79">
        <f t="shared" si="12"/>
        <v>2126.1269818800001</v>
      </c>
      <c r="I17" s="79">
        <f t="shared" si="12"/>
        <v>2255.7426314399991</v>
      </c>
      <c r="J17" s="79">
        <f t="shared" si="12"/>
        <v>2197.7207992800004</v>
      </c>
      <c r="K17" s="79">
        <f t="shared" si="12"/>
        <v>1982.4472349999996</v>
      </c>
      <c r="L17" s="79">
        <f t="shared" ref="L17" si="13">SUM(L18,L33)</f>
        <v>2049.5230243200003</v>
      </c>
      <c r="M17" s="79">
        <f t="shared" ref="M17:V17" si="14">SUM(M18,M33)</f>
        <v>2108.2899553200004</v>
      </c>
      <c r="N17" s="79">
        <f t="shared" si="14"/>
        <v>2154.9329488799999</v>
      </c>
      <c r="O17" s="79">
        <f t="shared" si="14"/>
        <v>2117.7229968000001</v>
      </c>
      <c r="P17" s="79">
        <f t="shared" si="14"/>
        <v>2133.8167575599996</v>
      </c>
      <c r="Q17" s="79">
        <f t="shared" si="14"/>
        <v>2201.7407940000003</v>
      </c>
      <c r="R17" s="79">
        <f t="shared" si="14"/>
        <v>2268.2623373999995</v>
      </c>
      <c r="S17" s="79">
        <f t="shared" si="14"/>
        <v>2340.3994531200001</v>
      </c>
      <c r="T17" s="79">
        <f t="shared" si="14"/>
        <v>2384.9825293125637</v>
      </c>
      <c r="U17" s="79">
        <f t="shared" si="14"/>
        <v>2358.0483101113518</v>
      </c>
      <c r="V17" s="79">
        <f t="shared" si="14"/>
        <v>2188.2720955129976</v>
      </c>
      <c r="W17" s="79">
        <f t="shared" ref="W17:Y17" si="15">SUM(W18,W33)</f>
        <v>2311.3074131795684</v>
      </c>
      <c r="X17" s="79">
        <f t="shared" si="15"/>
        <v>2389.4013793983449</v>
      </c>
      <c r="Y17" s="79">
        <f t="shared" si="15"/>
        <v>2383.7915249982443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1074.6176625821756</v>
      </c>
      <c r="C18" s="32">
        <f t="shared" si="16"/>
        <v>1335.1351925512849</v>
      </c>
      <c r="D18" s="32">
        <f t="shared" si="16"/>
        <v>1323.8196221400478</v>
      </c>
      <c r="E18" s="32">
        <f t="shared" si="16"/>
        <v>1283.8470758615108</v>
      </c>
      <c r="F18" s="32">
        <f t="shared" si="16"/>
        <v>1318.1159998065079</v>
      </c>
      <c r="G18" s="32">
        <f t="shared" si="16"/>
        <v>1413.7204813982078</v>
      </c>
      <c r="H18" s="32">
        <f t="shared" si="16"/>
        <v>1561.7874272962199</v>
      </c>
      <c r="I18" s="32">
        <f t="shared" si="16"/>
        <v>1654.4503448950286</v>
      </c>
      <c r="J18" s="32">
        <f t="shared" si="16"/>
        <v>1604.7545880480029</v>
      </c>
      <c r="K18" s="32">
        <f t="shared" si="16"/>
        <v>1523.9750769793063</v>
      </c>
      <c r="L18" s="32">
        <f t="shared" ref="L18" si="17">SUM(L19,L20,L27)</f>
        <v>1537.519422273512</v>
      </c>
      <c r="M18" s="32">
        <f t="shared" ref="M18:V18" si="18">SUM(M19,M20,M27)</f>
        <v>1541.3952261194531</v>
      </c>
      <c r="N18" s="32">
        <f t="shared" si="18"/>
        <v>1586.7751566020686</v>
      </c>
      <c r="O18" s="32">
        <f t="shared" si="18"/>
        <v>1569.456423683413</v>
      </c>
      <c r="P18" s="32">
        <f t="shared" si="18"/>
        <v>1601.0345740190596</v>
      </c>
      <c r="Q18" s="32">
        <f t="shared" si="18"/>
        <v>1679.8276527652247</v>
      </c>
      <c r="R18" s="32">
        <f t="shared" si="18"/>
        <v>1751.661604836607</v>
      </c>
      <c r="S18" s="32">
        <f t="shared" si="18"/>
        <v>1842.0817955921189</v>
      </c>
      <c r="T18" s="32">
        <f t="shared" si="18"/>
        <v>1869.3309492995322</v>
      </c>
      <c r="U18" s="32">
        <f t="shared" si="18"/>
        <v>1840.5292074828574</v>
      </c>
      <c r="V18" s="32">
        <f t="shared" si="18"/>
        <v>1704.872135286096</v>
      </c>
      <c r="W18" s="32">
        <f t="shared" ref="W18:Y18" si="19">SUM(W19,W20,W27)</f>
        <v>1739.3904221259977</v>
      </c>
      <c r="X18" s="32">
        <f t="shared" si="19"/>
        <v>1753.437788439659</v>
      </c>
      <c r="Y18" s="32">
        <f t="shared" si="19"/>
        <v>1725.1143145950082</v>
      </c>
      <c r="DA18" s="173" t="s">
        <v>403</v>
      </c>
    </row>
    <row r="19" spans="1:105" ht="11.45" customHeight="1" x14ac:dyDescent="0.25">
      <c r="A19" s="136" t="s">
        <v>173</v>
      </c>
      <c r="B19" s="141">
        <v>1.2556606354924043</v>
      </c>
      <c r="C19" s="141">
        <v>1.2690024028415774</v>
      </c>
      <c r="D19" s="141">
        <v>1.3434904883616807</v>
      </c>
      <c r="E19" s="141">
        <v>1.4641461729053287</v>
      </c>
      <c r="F19" s="141">
        <v>1.6218182312005096</v>
      </c>
      <c r="G19" s="141">
        <v>1.7947247609113572</v>
      </c>
      <c r="H19" s="141">
        <v>2.16696199961665</v>
      </c>
      <c r="I19" s="141">
        <v>2.508850287726633</v>
      </c>
      <c r="J19" s="141">
        <v>2.9222254762961088</v>
      </c>
      <c r="K19" s="141">
        <v>3.0448158640670333</v>
      </c>
      <c r="L19" s="141">
        <v>3.1311916939677538</v>
      </c>
      <c r="M19" s="141">
        <v>3.5919020050912733</v>
      </c>
      <c r="N19" s="141">
        <v>5.1823098388886448</v>
      </c>
      <c r="O19" s="141">
        <v>5.6004643404754058</v>
      </c>
      <c r="P19" s="141">
        <v>5.9620303054187458</v>
      </c>
      <c r="Q19" s="141">
        <v>6.3844266020239919</v>
      </c>
      <c r="R19" s="141">
        <v>6.8673735553728656</v>
      </c>
      <c r="S19" s="141">
        <v>6.4989846563631657</v>
      </c>
      <c r="T19" s="141">
        <v>6.1232068207549499</v>
      </c>
      <c r="U19" s="141">
        <v>6.455103773000527</v>
      </c>
      <c r="V19" s="141">
        <v>5.7726329167527473</v>
      </c>
      <c r="W19" s="141">
        <v>6.0432864941993234</v>
      </c>
      <c r="X19" s="141">
        <v>6.2045119574646215</v>
      </c>
      <c r="Y19" s="141">
        <v>6.7154761574173305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812.69629037888444</v>
      </c>
      <c r="C20" s="130">
        <f t="shared" si="20"/>
        <v>1023.73742112169</v>
      </c>
      <c r="D20" s="130">
        <f t="shared" si="20"/>
        <v>979.99208627243934</v>
      </c>
      <c r="E20" s="130">
        <f t="shared" si="20"/>
        <v>978.9203013343772</v>
      </c>
      <c r="F20" s="130">
        <f t="shared" si="20"/>
        <v>1002.5239230513433</v>
      </c>
      <c r="G20" s="130">
        <f t="shared" si="20"/>
        <v>1082.330533399517</v>
      </c>
      <c r="H20" s="130">
        <f t="shared" si="20"/>
        <v>1224.0251484784724</v>
      </c>
      <c r="I20" s="130">
        <f t="shared" si="20"/>
        <v>1363.4408621257362</v>
      </c>
      <c r="J20" s="130">
        <f t="shared" si="20"/>
        <v>1339.9914885030826</v>
      </c>
      <c r="K20" s="130">
        <f t="shared" si="20"/>
        <v>1292.0565861052607</v>
      </c>
      <c r="L20" s="130">
        <f t="shared" ref="L20" si="21">SUM(L21:L26)</f>
        <v>1290.7078896625212</v>
      </c>
      <c r="M20" s="130">
        <f t="shared" ref="M20:V20" si="22">SUM(M21:M26)</f>
        <v>1295.3255804633477</v>
      </c>
      <c r="N20" s="130">
        <f t="shared" si="22"/>
        <v>1335.3471346558258</v>
      </c>
      <c r="O20" s="130">
        <f t="shared" si="22"/>
        <v>1319.2116183167286</v>
      </c>
      <c r="P20" s="130">
        <f t="shared" si="22"/>
        <v>1340.6531199837445</v>
      </c>
      <c r="Q20" s="130">
        <f t="shared" si="22"/>
        <v>1415.5063494681624</v>
      </c>
      <c r="R20" s="130">
        <f t="shared" si="22"/>
        <v>1457.5898651697635</v>
      </c>
      <c r="S20" s="130">
        <f t="shared" si="22"/>
        <v>1511.0632961409503</v>
      </c>
      <c r="T20" s="130">
        <f t="shared" si="22"/>
        <v>1545.0667022795367</v>
      </c>
      <c r="U20" s="130">
        <f t="shared" si="22"/>
        <v>1539.998896913281</v>
      </c>
      <c r="V20" s="130">
        <f t="shared" si="22"/>
        <v>1423.9833360455241</v>
      </c>
      <c r="W20" s="130">
        <f t="shared" ref="W20:Y20" si="23">SUM(W21:W26)</f>
        <v>1437.7254496156975</v>
      </c>
      <c r="X20" s="130">
        <f t="shared" si="23"/>
        <v>1465.454544762265</v>
      </c>
      <c r="Y20" s="130">
        <f t="shared" si="23"/>
        <v>1504.4948191756102</v>
      </c>
      <c r="DA20" s="176" t="s">
        <v>405</v>
      </c>
    </row>
    <row r="21" spans="1:105" ht="11.45" customHeight="1" x14ac:dyDescent="0.25">
      <c r="A21" s="111" t="s">
        <v>110</v>
      </c>
      <c r="B21" s="96">
        <v>754.02783359185742</v>
      </c>
      <c r="C21" s="96">
        <v>916.22448781492801</v>
      </c>
      <c r="D21" s="96">
        <v>839.95255407430568</v>
      </c>
      <c r="E21" s="96">
        <v>809.75224542118838</v>
      </c>
      <c r="F21" s="96">
        <v>776.91774406907507</v>
      </c>
      <c r="G21" s="96">
        <v>805.8275769159635</v>
      </c>
      <c r="H21" s="96">
        <v>864.06412622839571</v>
      </c>
      <c r="I21" s="96">
        <v>924.82931588460985</v>
      </c>
      <c r="J21" s="96">
        <v>922.47730271990145</v>
      </c>
      <c r="K21" s="96">
        <v>843.51255059542768</v>
      </c>
      <c r="L21" s="96">
        <v>797.21590514436309</v>
      </c>
      <c r="M21" s="96">
        <v>734.44573892600908</v>
      </c>
      <c r="N21" s="96">
        <v>701.38518109045197</v>
      </c>
      <c r="O21" s="96">
        <v>658.83296464825685</v>
      </c>
      <c r="P21" s="96">
        <v>662.67389111912757</v>
      </c>
      <c r="Q21" s="96">
        <v>659.85693781930354</v>
      </c>
      <c r="R21" s="96">
        <v>700.2096152539234</v>
      </c>
      <c r="S21" s="96">
        <v>736.85285172987881</v>
      </c>
      <c r="T21" s="96">
        <v>749.62226111430141</v>
      </c>
      <c r="U21" s="96">
        <v>754.07836276802789</v>
      </c>
      <c r="V21" s="96">
        <v>587.4261286868342</v>
      </c>
      <c r="W21" s="96">
        <v>546.57862682362349</v>
      </c>
      <c r="X21" s="96">
        <v>581.81792199787537</v>
      </c>
      <c r="Y21" s="96">
        <v>579.63827444120284</v>
      </c>
      <c r="DA21" s="171" t="s">
        <v>751</v>
      </c>
    </row>
    <row r="22" spans="1:105" ht="11.45" customHeight="1" x14ac:dyDescent="0.25">
      <c r="A22" s="111" t="s">
        <v>111</v>
      </c>
      <c r="B22" s="96">
        <v>56.658772267027082</v>
      </c>
      <c r="C22" s="96">
        <v>105.21611854676198</v>
      </c>
      <c r="D22" s="96">
        <v>137.45558719813368</v>
      </c>
      <c r="E22" s="96">
        <v>166.29698067318878</v>
      </c>
      <c r="F22" s="96">
        <v>222.30440838226824</v>
      </c>
      <c r="G22" s="96">
        <v>272.57831316355333</v>
      </c>
      <c r="H22" s="96">
        <v>354.75292493007663</v>
      </c>
      <c r="I22" s="96">
        <v>434.15557568112649</v>
      </c>
      <c r="J22" s="96">
        <v>411.23230314318101</v>
      </c>
      <c r="K22" s="96">
        <v>441.99796578983296</v>
      </c>
      <c r="L22" s="96">
        <v>487.57401705475695</v>
      </c>
      <c r="M22" s="96">
        <v>554.32947041331647</v>
      </c>
      <c r="N22" s="96">
        <v>625.3353764436157</v>
      </c>
      <c r="O22" s="96">
        <v>649.89888081399749</v>
      </c>
      <c r="P22" s="96">
        <v>665.13867064793908</v>
      </c>
      <c r="Q22" s="96">
        <v>740.05800851630283</v>
      </c>
      <c r="R22" s="96">
        <v>738.80646306672782</v>
      </c>
      <c r="S22" s="96">
        <v>751.10245089376247</v>
      </c>
      <c r="T22" s="96">
        <v>765.77817760607422</v>
      </c>
      <c r="U22" s="96">
        <v>741.59988188230693</v>
      </c>
      <c r="V22" s="96">
        <v>781.93872645096553</v>
      </c>
      <c r="W22" s="96">
        <v>828.45038869157418</v>
      </c>
      <c r="X22" s="96">
        <v>824.97056977890634</v>
      </c>
      <c r="Y22" s="96">
        <v>875.38132222226204</v>
      </c>
      <c r="DA22" s="171" t="s">
        <v>752</v>
      </c>
    </row>
    <row r="23" spans="1:105" ht="11.45" customHeight="1" x14ac:dyDescent="0.25">
      <c r="A23" s="111" t="s">
        <v>112</v>
      </c>
      <c r="B23" s="96">
        <v>2.00968452</v>
      </c>
      <c r="C23" s="96">
        <v>2.2968147600000006</v>
      </c>
      <c r="D23" s="96">
        <v>2.5839450000000004</v>
      </c>
      <c r="E23" s="96">
        <v>2.8710752400000015</v>
      </c>
      <c r="F23" s="96">
        <v>3.3017705999999998</v>
      </c>
      <c r="G23" s="96">
        <v>3.9246433200000008</v>
      </c>
      <c r="H23" s="96">
        <v>5.208097320000002</v>
      </c>
      <c r="I23" s="96">
        <v>4.4559705600000017</v>
      </c>
      <c r="J23" s="96">
        <v>6.281882640000001</v>
      </c>
      <c r="K23" s="96">
        <v>6.5460697200000002</v>
      </c>
      <c r="L23" s="96">
        <v>5.9104760400000007</v>
      </c>
      <c r="M23" s="96">
        <v>6.5244895200000022</v>
      </c>
      <c r="N23" s="96">
        <v>8.5757443200000019</v>
      </c>
      <c r="O23" s="96">
        <v>10.077499080000003</v>
      </c>
      <c r="P23" s="96">
        <v>12.052655280000003</v>
      </c>
      <c r="Q23" s="96">
        <v>14.375366280000001</v>
      </c>
      <c r="R23" s="96">
        <v>16.133719210982875</v>
      </c>
      <c r="S23" s="96">
        <v>19.319456362003645</v>
      </c>
      <c r="T23" s="96">
        <v>23.254384963845009</v>
      </c>
      <c r="U23" s="96">
        <v>27.701160484487854</v>
      </c>
      <c r="V23" s="96">
        <v>26.64235837811195</v>
      </c>
      <c r="W23" s="96">
        <v>27.501923682448801</v>
      </c>
      <c r="X23" s="96">
        <v>29.426117545051234</v>
      </c>
      <c r="Y23" s="96">
        <v>21.864424201099848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7.4914234009592984E-3</v>
      </c>
      <c r="M24" s="96">
        <v>2.5881604021974418E-2</v>
      </c>
      <c r="N24" s="96">
        <v>5.0832801758095215E-2</v>
      </c>
      <c r="O24" s="96">
        <v>0.40227377447418317</v>
      </c>
      <c r="P24" s="96">
        <v>0.77506833529184238</v>
      </c>
      <c r="Q24" s="96">
        <v>1.1900361533571702</v>
      </c>
      <c r="R24" s="96">
        <v>2.4056978618728344</v>
      </c>
      <c r="S24" s="96">
        <v>3.7448566223474171</v>
      </c>
      <c r="T24" s="96">
        <v>6.341706907507132</v>
      </c>
      <c r="U24" s="96">
        <v>16.535707000284376</v>
      </c>
      <c r="V24" s="96">
        <v>27.839220867678911</v>
      </c>
      <c r="W24" s="96">
        <v>34.880665677583565</v>
      </c>
      <c r="X24" s="96">
        <v>28.781946287541306</v>
      </c>
      <c r="Y24" s="96">
        <v>26.885709230387544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1.2834601386287153E-2</v>
      </c>
      <c r="Q25" s="96">
        <v>2.6000699198985754E-2</v>
      </c>
      <c r="R25" s="96">
        <v>3.4369776256646813E-2</v>
      </c>
      <c r="S25" s="96">
        <v>4.3680532958054519E-2</v>
      </c>
      <c r="T25" s="96">
        <v>7.0171687808818994E-2</v>
      </c>
      <c r="U25" s="96">
        <v>8.378477817373961E-2</v>
      </c>
      <c r="V25" s="96">
        <v>0.13690166193350567</v>
      </c>
      <c r="W25" s="96">
        <v>0.31384474046768329</v>
      </c>
      <c r="X25" s="96">
        <v>0.45798915289057818</v>
      </c>
      <c r="Y25" s="96">
        <v>0.72508908065798561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260.66571156779878</v>
      </c>
      <c r="C27" s="130">
        <f t="shared" si="24"/>
        <v>310.12876902675328</v>
      </c>
      <c r="D27" s="130">
        <f t="shared" si="24"/>
        <v>342.48404537924677</v>
      </c>
      <c r="E27" s="130">
        <f t="shared" si="24"/>
        <v>303.4626283542284</v>
      </c>
      <c r="F27" s="130">
        <f t="shared" si="24"/>
        <v>313.97025852396411</v>
      </c>
      <c r="G27" s="130">
        <f t="shared" si="24"/>
        <v>329.59522323777941</v>
      </c>
      <c r="H27" s="130">
        <f t="shared" si="24"/>
        <v>335.59531681813075</v>
      </c>
      <c r="I27" s="130">
        <f t="shared" si="24"/>
        <v>288.50063248156596</v>
      </c>
      <c r="J27" s="130">
        <f t="shared" si="24"/>
        <v>261.8408740686242</v>
      </c>
      <c r="K27" s="130">
        <f t="shared" si="24"/>
        <v>228.8736750099786</v>
      </c>
      <c r="L27" s="130">
        <f t="shared" ref="L27" si="25">SUM(L28:L32)</f>
        <v>243.68034091702299</v>
      </c>
      <c r="M27" s="130">
        <f t="shared" ref="M27:V27" si="26">SUM(M28:M32)</f>
        <v>242.47774365101409</v>
      </c>
      <c r="N27" s="130">
        <f t="shared" si="26"/>
        <v>246.24571210735425</v>
      </c>
      <c r="O27" s="130">
        <f t="shared" si="26"/>
        <v>244.64434102620902</v>
      </c>
      <c r="P27" s="130">
        <f t="shared" si="26"/>
        <v>254.41942372989647</v>
      </c>
      <c r="Q27" s="130">
        <f t="shared" si="26"/>
        <v>257.93687669503839</v>
      </c>
      <c r="R27" s="130">
        <f t="shared" si="26"/>
        <v>287.20436611147062</v>
      </c>
      <c r="S27" s="130">
        <f t="shared" si="26"/>
        <v>324.51951479480533</v>
      </c>
      <c r="T27" s="130">
        <f t="shared" si="26"/>
        <v>318.14104019924054</v>
      </c>
      <c r="U27" s="130">
        <f t="shared" si="26"/>
        <v>294.07520679657586</v>
      </c>
      <c r="V27" s="130">
        <f t="shared" si="26"/>
        <v>275.11616632381896</v>
      </c>
      <c r="W27" s="130">
        <f t="shared" ref="W27:Y27" si="27">SUM(W28:W32)</f>
        <v>295.62168601610085</v>
      </c>
      <c r="X27" s="130">
        <f t="shared" si="27"/>
        <v>281.77873171992951</v>
      </c>
      <c r="Y27" s="130">
        <f t="shared" si="27"/>
        <v>213.90401926198078</v>
      </c>
      <c r="DA27" s="176" t="s">
        <v>406</v>
      </c>
    </row>
    <row r="28" spans="1:105" ht="11.45" customHeight="1" x14ac:dyDescent="0.25">
      <c r="A28" s="111" t="s">
        <v>110</v>
      </c>
      <c r="B28" s="97">
        <v>31.801057083339373</v>
      </c>
      <c r="C28" s="97">
        <v>27.777929780503701</v>
      </c>
      <c r="D28" s="97">
        <v>23.829057241699683</v>
      </c>
      <c r="E28" s="97">
        <v>20.051721693676864</v>
      </c>
      <c r="F28" s="97">
        <v>17.846965902965721</v>
      </c>
      <c r="G28" s="97">
        <v>14.638691329931763</v>
      </c>
      <c r="H28" s="97">
        <v>14.854166014981965</v>
      </c>
      <c r="I28" s="97">
        <v>8.2426773104662523</v>
      </c>
      <c r="J28" s="97">
        <v>5.7841313252300433</v>
      </c>
      <c r="K28" s="97">
        <v>3.9627579392933243</v>
      </c>
      <c r="L28" s="97">
        <v>3.0114028265249537</v>
      </c>
      <c r="M28" s="97">
        <v>2.6903035600300131</v>
      </c>
      <c r="N28" s="97">
        <v>2.5549745651189375</v>
      </c>
      <c r="O28" s="97">
        <v>2.439588451131514</v>
      </c>
      <c r="P28" s="97">
        <v>2.4612550294954105</v>
      </c>
      <c r="Q28" s="97">
        <v>2.5047806201538187</v>
      </c>
      <c r="R28" s="97">
        <v>2.808966229412206</v>
      </c>
      <c r="S28" s="97">
        <v>3.1228328142527544</v>
      </c>
      <c r="T28" s="97">
        <v>2.9578090899389382</v>
      </c>
      <c r="U28" s="97">
        <v>2.6482546366538307</v>
      </c>
      <c r="V28" s="97">
        <v>2.4360429712221947</v>
      </c>
      <c r="W28" s="97">
        <v>2.5134489681995222</v>
      </c>
      <c r="X28" s="97">
        <v>2.6732471979049479</v>
      </c>
      <c r="Y28" s="97">
        <v>1.9013489184324703</v>
      </c>
      <c r="DA28" s="175" t="s">
        <v>757</v>
      </c>
    </row>
    <row r="29" spans="1:105" ht="11.45" customHeight="1" x14ac:dyDescent="0.25">
      <c r="A29" s="111" t="s">
        <v>111</v>
      </c>
      <c r="B29" s="97">
        <v>228.86465448445944</v>
      </c>
      <c r="C29" s="97">
        <v>282.35083924624956</v>
      </c>
      <c r="D29" s="97">
        <v>318.65498813754709</v>
      </c>
      <c r="E29" s="97">
        <v>283.41090666055152</v>
      </c>
      <c r="F29" s="97">
        <v>296.12329262099837</v>
      </c>
      <c r="G29" s="97">
        <v>314.95653190784765</v>
      </c>
      <c r="H29" s="97">
        <v>320.7411508031488</v>
      </c>
      <c r="I29" s="97">
        <v>280.2579551710997</v>
      </c>
      <c r="J29" s="97">
        <v>256.05674274339418</v>
      </c>
      <c r="K29" s="97">
        <v>224.91091707068529</v>
      </c>
      <c r="L29" s="97">
        <v>240.575449513899</v>
      </c>
      <c r="M29" s="97">
        <v>239.20744169500605</v>
      </c>
      <c r="N29" s="97">
        <v>242.48126409885043</v>
      </c>
      <c r="O29" s="97">
        <v>240.68098293400752</v>
      </c>
      <c r="P29" s="97">
        <v>249.17150727966751</v>
      </c>
      <c r="Q29" s="97">
        <v>250.27956974863318</v>
      </c>
      <c r="R29" s="97">
        <v>277.27827638913033</v>
      </c>
      <c r="S29" s="97">
        <v>314.75221759362984</v>
      </c>
      <c r="T29" s="97">
        <v>301.76011349764013</v>
      </c>
      <c r="U29" s="97">
        <v>280.94169579908106</v>
      </c>
      <c r="V29" s="97">
        <v>256.10763017217357</v>
      </c>
      <c r="W29" s="97">
        <v>275.0871530044983</v>
      </c>
      <c r="X29" s="97">
        <v>270.37925656623344</v>
      </c>
      <c r="Y29" s="97">
        <v>196.40397091510022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3.0778945206224897E-2</v>
      </c>
      <c r="U30" s="97">
        <v>2.7961441488321404E-2</v>
      </c>
      <c r="V30" s="97">
        <v>2.6656665131051516E-2</v>
      </c>
      <c r="W30" s="97">
        <v>2.7835426743200532E-2</v>
      </c>
      <c r="X30" s="97">
        <v>2.8408520116147595E-2</v>
      </c>
      <c r="Y30" s="97">
        <v>1.9925212640074772E-2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9.348857659904071E-2</v>
      </c>
      <c r="M31" s="97">
        <v>0.57999839597802572</v>
      </c>
      <c r="N31" s="97">
        <v>1.2094734433848966</v>
      </c>
      <c r="O31" s="97">
        <v>1.5237696410699868</v>
      </c>
      <c r="P31" s="97">
        <v>2.7866614207335498</v>
      </c>
      <c r="Q31" s="97">
        <v>5.1525263262514125</v>
      </c>
      <c r="R31" s="97">
        <v>7.1171234929281271</v>
      </c>
      <c r="S31" s="97">
        <v>6.6444643869227056</v>
      </c>
      <c r="T31" s="97">
        <v>13.392338666455224</v>
      </c>
      <c r="U31" s="97">
        <v>10.457294919352623</v>
      </c>
      <c r="V31" s="97">
        <v>16.54583651529213</v>
      </c>
      <c r="W31" s="97">
        <v>17.99324861665988</v>
      </c>
      <c r="X31" s="97">
        <v>8.697819435674953</v>
      </c>
      <c r="Y31" s="97">
        <v>15.578774215808046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408.1392519378245</v>
      </c>
      <c r="C33" s="32">
        <f t="shared" si="28"/>
        <v>472.42158220871511</v>
      </c>
      <c r="D33" s="32">
        <f t="shared" si="28"/>
        <v>552.14852285995221</v>
      </c>
      <c r="E33" s="32">
        <f t="shared" si="28"/>
        <v>537.09642165848936</v>
      </c>
      <c r="F33" s="32">
        <f t="shared" si="28"/>
        <v>563.7500039534923</v>
      </c>
      <c r="G33" s="32">
        <f t="shared" si="28"/>
        <v>559.15540192179253</v>
      </c>
      <c r="H33" s="32">
        <f t="shared" si="28"/>
        <v>564.33955458378011</v>
      </c>
      <c r="I33" s="32">
        <f t="shared" si="28"/>
        <v>601.29228654497058</v>
      </c>
      <c r="J33" s="32">
        <f t="shared" si="28"/>
        <v>592.96621123199725</v>
      </c>
      <c r="K33" s="32">
        <f t="shared" si="28"/>
        <v>458.47215802069331</v>
      </c>
      <c r="L33" s="32">
        <f t="shared" ref="L33" si="29">L34+L40</f>
        <v>512.00360204648814</v>
      </c>
      <c r="M33" s="32">
        <f t="shared" ref="M33:V33" si="30">M34+M40</f>
        <v>566.89472920054754</v>
      </c>
      <c r="N33" s="32">
        <f t="shared" si="30"/>
        <v>568.15779227793143</v>
      </c>
      <c r="O33" s="32">
        <f t="shared" si="30"/>
        <v>548.26657311658698</v>
      </c>
      <c r="P33" s="32">
        <f t="shared" si="30"/>
        <v>532.78218354093997</v>
      </c>
      <c r="Q33" s="32">
        <f t="shared" si="30"/>
        <v>521.91314123477537</v>
      </c>
      <c r="R33" s="32">
        <f t="shared" si="30"/>
        <v>516.60073256339274</v>
      </c>
      <c r="S33" s="32">
        <f t="shared" si="30"/>
        <v>498.31765752788112</v>
      </c>
      <c r="T33" s="32">
        <f t="shared" si="30"/>
        <v>515.65158001303143</v>
      </c>
      <c r="U33" s="32">
        <f t="shared" si="30"/>
        <v>517.51910262849447</v>
      </c>
      <c r="V33" s="32">
        <f t="shared" si="30"/>
        <v>483.39996022690161</v>
      </c>
      <c r="W33" s="32">
        <f t="shared" ref="W33:Y33" si="31">W34+W40</f>
        <v>571.91699105357088</v>
      </c>
      <c r="X33" s="32">
        <f t="shared" si="31"/>
        <v>635.9635909586857</v>
      </c>
      <c r="Y33" s="32">
        <f t="shared" si="31"/>
        <v>658.67721040323636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254.19066918980531</v>
      </c>
      <c r="C34" s="141">
        <f t="shared" si="32"/>
        <v>308.83898438769529</v>
      </c>
      <c r="D34" s="141">
        <f t="shared" si="32"/>
        <v>332.30726255339852</v>
      </c>
      <c r="E34" s="141">
        <f t="shared" si="32"/>
        <v>273.7882189388414</v>
      </c>
      <c r="F34" s="141">
        <f t="shared" si="32"/>
        <v>265.58187600116662</v>
      </c>
      <c r="G34" s="141">
        <f t="shared" si="32"/>
        <v>245.9945605508502</v>
      </c>
      <c r="H34" s="141">
        <f t="shared" si="32"/>
        <v>232.43972353048215</v>
      </c>
      <c r="I34" s="141">
        <f t="shared" si="32"/>
        <v>221.96435142218954</v>
      </c>
      <c r="J34" s="141">
        <f t="shared" si="32"/>
        <v>214.00245837560598</v>
      </c>
      <c r="K34" s="141">
        <f t="shared" si="32"/>
        <v>192.42117594184887</v>
      </c>
      <c r="L34" s="141">
        <f t="shared" ref="L34" si="33">SUM(L35:L39)</f>
        <v>205.61889916548989</v>
      </c>
      <c r="M34" s="141">
        <f t="shared" ref="M34:V34" si="34">SUM(M35:M39)</f>
        <v>216.15592855071441</v>
      </c>
      <c r="N34" s="141">
        <f t="shared" si="34"/>
        <v>222.31493884390235</v>
      </c>
      <c r="O34" s="141">
        <f t="shared" si="34"/>
        <v>224.79410217124013</v>
      </c>
      <c r="P34" s="141">
        <f t="shared" si="34"/>
        <v>231.41219734289308</v>
      </c>
      <c r="Q34" s="141">
        <f t="shared" si="34"/>
        <v>230.47670220602546</v>
      </c>
      <c r="R34" s="141">
        <f t="shared" si="34"/>
        <v>240.14503307251005</v>
      </c>
      <c r="S34" s="141">
        <f t="shared" si="34"/>
        <v>260.74311952809853</v>
      </c>
      <c r="T34" s="141">
        <f t="shared" si="34"/>
        <v>280.97855930117771</v>
      </c>
      <c r="U34" s="141">
        <f t="shared" si="34"/>
        <v>304.18959066529112</v>
      </c>
      <c r="V34" s="141">
        <f t="shared" si="34"/>
        <v>298.96982461675316</v>
      </c>
      <c r="W34" s="141">
        <f t="shared" ref="W34:Y34" si="35">SUM(W35:W39)</f>
        <v>330.17070281705844</v>
      </c>
      <c r="X34" s="141">
        <f t="shared" si="35"/>
        <v>355.37744944596176</v>
      </c>
      <c r="Y34" s="141">
        <f t="shared" si="35"/>
        <v>376.21835388173338</v>
      </c>
      <c r="DA34" s="174" t="s">
        <v>412</v>
      </c>
    </row>
    <row r="35" spans="1:105" ht="11.45" customHeight="1" x14ac:dyDescent="0.25">
      <c r="A35" s="111" t="s">
        <v>110</v>
      </c>
      <c r="B35" s="96">
        <v>63.642248689310811</v>
      </c>
      <c r="C35" s="96">
        <v>70.1121800017266</v>
      </c>
      <c r="D35" s="96">
        <v>67.930098195633022</v>
      </c>
      <c r="E35" s="96">
        <v>62.147458992229517</v>
      </c>
      <c r="F35" s="96">
        <v>63.487954956759033</v>
      </c>
      <c r="G35" s="96">
        <v>55.908606993193381</v>
      </c>
      <c r="H35" s="96">
        <v>55.019090317005777</v>
      </c>
      <c r="I35" s="96">
        <v>46.261667397197179</v>
      </c>
      <c r="J35" s="96">
        <v>44.56031275857228</v>
      </c>
      <c r="K35" s="96">
        <v>39.846303321211742</v>
      </c>
      <c r="L35" s="96">
        <v>35.17147261514404</v>
      </c>
      <c r="M35" s="96">
        <v>36.818138668869665</v>
      </c>
      <c r="N35" s="96">
        <v>34.882279065540416</v>
      </c>
      <c r="O35" s="96">
        <v>31.393810280136275</v>
      </c>
      <c r="P35" s="96">
        <v>30.205961224571944</v>
      </c>
      <c r="Q35" s="96">
        <v>29.494681979319836</v>
      </c>
      <c r="R35" s="96">
        <v>27.986130625034747</v>
      </c>
      <c r="S35" s="96">
        <v>27.978339386547244</v>
      </c>
      <c r="T35" s="96">
        <v>30.969462167195694</v>
      </c>
      <c r="U35" s="96">
        <v>29.526549484143835</v>
      </c>
      <c r="V35" s="96">
        <v>26.265010603257611</v>
      </c>
      <c r="W35" s="96">
        <v>23.89873753350998</v>
      </c>
      <c r="X35" s="96">
        <v>21.735612853864641</v>
      </c>
      <c r="Y35" s="96">
        <v>19.030263682289284</v>
      </c>
      <c r="DA35" s="171" t="s">
        <v>762</v>
      </c>
    </row>
    <row r="36" spans="1:105" ht="11.45" customHeight="1" x14ac:dyDescent="0.25">
      <c r="A36" s="111" t="s">
        <v>111</v>
      </c>
      <c r="B36" s="96">
        <v>190.5484205004945</v>
      </c>
      <c r="C36" s="96">
        <v>238.72680438596871</v>
      </c>
      <c r="D36" s="96">
        <v>264.37716435776548</v>
      </c>
      <c r="E36" s="96">
        <v>211.64075994661187</v>
      </c>
      <c r="F36" s="96">
        <v>202.09392104440761</v>
      </c>
      <c r="G36" s="96">
        <v>190.08595355765681</v>
      </c>
      <c r="H36" s="96">
        <v>177.42063321347638</v>
      </c>
      <c r="I36" s="96">
        <v>175.70268402499235</v>
      </c>
      <c r="J36" s="96">
        <v>169.4421456170337</v>
      </c>
      <c r="K36" s="96">
        <v>152.57487262063714</v>
      </c>
      <c r="L36" s="96">
        <v>170.44742655034585</v>
      </c>
      <c r="M36" s="96">
        <v>179.33778988184474</v>
      </c>
      <c r="N36" s="96">
        <v>187.43071602350494</v>
      </c>
      <c r="O36" s="96">
        <v>193.30673530664802</v>
      </c>
      <c r="P36" s="96">
        <v>201.08219587434652</v>
      </c>
      <c r="Q36" s="96">
        <v>200.81137270631422</v>
      </c>
      <c r="R36" s="96">
        <v>211.98596105325913</v>
      </c>
      <c r="S36" s="96">
        <v>232.44149351282508</v>
      </c>
      <c r="T36" s="96">
        <v>249.64498118443203</v>
      </c>
      <c r="U36" s="96">
        <v>274.23459575540869</v>
      </c>
      <c r="V36" s="96">
        <v>272.14510896671243</v>
      </c>
      <c r="W36" s="96">
        <v>305.72715506741497</v>
      </c>
      <c r="X36" s="96">
        <v>333.1339973421363</v>
      </c>
      <c r="Y36" s="96">
        <v>356.75982554113477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1.682749017128831E-3</v>
      </c>
      <c r="S37" s="96">
        <v>2.0037397996355039E-2</v>
      </c>
      <c r="T37" s="96">
        <v>2.4859490948766921E-2</v>
      </c>
      <c r="U37" s="96">
        <v>3.3918954023839418E-2</v>
      </c>
      <c r="V37" s="96">
        <v>3.1825676757006538E-2</v>
      </c>
      <c r="W37" s="96">
        <v>3.2245170808006381E-2</v>
      </c>
      <c r="X37" s="96">
        <v>3.1069094832606496E-2</v>
      </c>
      <c r="Y37" s="96">
        <v>5.0447346260077484E-2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1.9437548570082972E-3</v>
      </c>
      <c r="O38" s="96">
        <v>9.355658445583015E-2</v>
      </c>
      <c r="P38" s="96">
        <v>0.12404024397460801</v>
      </c>
      <c r="Q38" s="96">
        <v>0.17064752039141856</v>
      </c>
      <c r="R38" s="96">
        <v>0.17125864519904047</v>
      </c>
      <c r="S38" s="96">
        <v>0.30324923072987808</v>
      </c>
      <c r="T38" s="96">
        <v>0.33925645860126946</v>
      </c>
      <c r="U38" s="96">
        <v>0.39452647171476246</v>
      </c>
      <c r="V38" s="96">
        <v>0.52787937002606566</v>
      </c>
      <c r="W38" s="96">
        <v>0.51256504532551794</v>
      </c>
      <c r="X38" s="96">
        <v>0.47677015512816312</v>
      </c>
      <c r="Y38" s="96">
        <v>0.37781731204927921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153.94858274801919</v>
      </c>
      <c r="C40" s="130">
        <f t="shared" si="36"/>
        <v>163.58259782101982</v>
      </c>
      <c r="D40" s="130">
        <f t="shared" si="36"/>
        <v>219.84126030655369</v>
      </c>
      <c r="E40" s="130">
        <f t="shared" si="36"/>
        <v>263.30820271964797</v>
      </c>
      <c r="F40" s="130">
        <f t="shared" si="36"/>
        <v>298.16812795232568</v>
      </c>
      <c r="G40" s="130">
        <f t="shared" si="36"/>
        <v>313.16084137094231</v>
      </c>
      <c r="H40" s="130">
        <f t="shared" si="36"/>
        <v>331.89983105329799</v>
      </c>
      <c r="I40" s="130">
        <f t="shared" si="36"/>
        <v>379.32793512278101</v>
      </c>
      <c r="J40" s="130">
        <f t="shared" si="36"/>
        <v>378.96375285639124</v>
      </c>
      <c r="K40" s="130">
        <f t="shared" si="36"/>
        <v>266.05098207884441</v>
      </c>
      <c r="L40" s="130">
        <f t="shared" ref="L40" si="37">SUM(L41:L42)</f>
        <v>306.38470288099819</v>
      </c>
      <c r="M40" s="130">
        <f t="shared" ref="M40:V40" si="38">SUM(M41:M42)</f>
        <v>350.73880064983314</v>
      </c>
      <c r="N40" s="130">
        <f t="shared" si="38"/>
        <v>345.84285343402905</v>
      </c>
      <c r="O40" s="130">
        <f t="shared" si="38"/>
        <v>323.47247094534686</v>
      </c>
      <c r="P40" s="130">
        <f t="shared" si="38"/>
        <v>301.36998619804689</v>
      </c>
      <c r="Q40" s="130">
        <f t="shared" si="38"/>
        <v>291.43643902874993</v>
      </c>
      <c r="R40" s="130">
        <f t="shared" si="38"/>
        <v>276.45569949088275</v>
      </c>
      <c r="S40" s="130">
        <f t="shared" si="38"/>
        <v>237.57453799978262</v>
      </c>
      <c r="T40" s="130">
        <f t="shared" si="38"/>
        <v>234.67302071185372</v>
      </c>
      <c r="U40" s="130">
        <f t="shared" si="38"/>
        <v>213.32951196320329</v>
      </c>
      <c r="V40" s="130">
        <f t="shared" si="38"/>
        <v>184.43013561014845</v>
      </c>
      <c r="W40" s="130">
        <f t="shared" ref="W40:Y40" si="39">SUM(W41:W42)</f>
        <v>241.74628823651238</v>
      </c>
      <c r="X40" s="130">
        <f t="shared" si="39"/>
        <v>280.586141512724</v>
      </c>
      <c r="Y40" s="130">
        <f t="shared" si="39"/>
        <v>282.45885652150304</v>
      </c>
      <c r="DA40" s="176" t="s">
        <v>413</v>
      </c>
    </row>
    <row r="41" spans="1:105" ht="11.45" customHeight="1" x14ac:dyDescent="0.25">
      <c r="A41" s="128" t="s">
        <v>27</v>
      </c>
      <c r="B41" s="97">
        <v>104.49723774560236</v>
      </c>
      <c r="C41" s="97">
        <v>100.33585983487433</v>
      </c>
      <c r="D41" s="97">
        <v>148.06472146388791</v>
      </c>
      <c r="E41" s="97">
        <v>201.68226681891639</v>
      </c>
      <c r="F41" s="97">
        <v>223.781987650198</v>
      </c>
      <c r="G41" s="97">
        <v>234.4203526174926</v>
      </c>
      <c r="H41" s="97">
        <v>247.95313641375225</v>
      </c>
      <c r="I41" s="97">
        <v>280.809749780603</v>
      </c>
      <c r="J41" s="97">
        <v>284.52319323015996</v>
      </c>
      <c r="K41" s="97">
        <v>194.08972712225847</v>
      </c>
      <c r="L41" s="97">
        <v>217.64835242151543</v>
      </c>
      <c r="M41" s="97">
        <v>245.00270313176128</v>
      </c>
      <c r="N41" s="97">
        <v>238.34294121606143</v>
      </c>
      <c r="O41" s="97">
        <v>214.06511741655498</v>
      </c>
      <c r="P41" s="97">
        <v>194.02893453020624</v>
      </c>
      <c r="Q41" s="97">
        <v>174.54070664716011</v>
      </c>
      <c r="R41" s="97">
        <v>174.09564319280008</v>
      </c>
      <c r="S41" s="97">
        <v>141.14435053329541</v>
      </c>
      <c r="T41" s="97">
        <v>140.38449629738565</v>
      </c>
      <c r="U41" s="97">
        <v>126.31337373240572</v>
      </c>
      <c r="V41" s="97">
        <v>91.922689803295356</v>
      </c>
      <c r="W41" s="97">
        <v>145.67132639459811</v>
      </c>
      <c r="X41" s="97">
        <v>158.06292015738481</v>
      </c>
      <c r="Y41" s="97">
        <v>154.31085296120497</v>
      </c>
      <c r="DA41" s="175" t="s">
        <v>767</v>
      </c>
    </row>
    <row r="42" spans="1:105" ht="11.45" customHeight="1" x14ac:dyDescent="0.25">
      <c r="A42" s="138" t="s">
        <v>116</v>
      </c>
      <c r="B42" s="98">
        <v>49.451345002416815</v>
      </c>
      <c r="C42" s="98">
        <v>63.246737986145483</v>
      </c>
      <c r="D42" s="98">
        <v>71.776538842665772</v>
      </c>
      <c r="E42" s="98">
        <v>61.625935900731562</v>
      </c>
      <c r="F42" s="98">
        <v>74.386140302127686</v>
      </c>
      <c r="G42" s="98">
        <v>78.740488753449682</v>
      </c>
      <c r="H42" s="98">
        <v>83.946694639545754</v>
      </c>
      <c r="I42" s="98">
        <v>98.518185342178015</v>
      </c>
      <c r="J42" s="98">
        <v>94.440559626231277</v>
      </c>
      <c r="K42" s="98">
        <v>71.961254956585918</v>
      </c>
      <c r="L42" s="98">
        <v>88.736350459482779</v>
      </c>
      <c r="M42" s="98">
        <v>105.73609751807184</v>
      </c>
      <c r="N42" s="98">
        <v>107.49991221796762</v>
      </c>
      <c r="O42" s="98">
        <v>109.40735352879189</v>
      </c>
      <c r="P42" s="98">
        <v>107.34105166784063</v>
      </c>
      <c r="Q42" s="98">
        <v>116.89573238158982</v>
      </c>
      <c r="R42" s="98">
        <v>102.36005629808268</v>
      </c>
      <c r="S42" s="98">
        <v>96.430187466487212</v>
      </c>
      <c r="T42" s="98">
        <v>94.288524414468057</v>
      </c>
      <c r="U42" s="98">
        <v>87.01613823079758</v>
      </c>
      <c r="V42" s="98">
        <v>92.507445806853084</v>
      </c>
      <c r="W42" s="98">
        <v>96.074961841914288</v>
      </c>
      <c r="X42" s="98">
        <v>122.52322135533916</v>
      </c>
      <c r="Y42" s="98">
        <v>128.14800356029806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2.9831629701685829</v>
      </c>
      <c r="C47" s="145">
        <f>IF(C4=0,0,C4/TrRoad_ene!C4)</f>
        <v>2.9855920877342794</v>
      </c>
      <c r="D47" s="145">
        <f>IF(D4=0,0,D4/TrRoad_ene!D4)</f>
        <v>2.9984036730308699</v>
      </c>
      <c r="E47" s="145">
        <f>IF(E4=0,0,E4/TrRoad_ene!E4)</f>
        <v>2.9996562147532013</v>
      </c>
      <c r="F47" s="145">
        <f>IF(F4=0,0,F4/TrRoad_ene!F4)</f>
        <v>3.0063524627262375</v>
      </c>
      <c r="G47" s="145">
        <f>IF(G4=0,0,G4/TrRoad_ene!G4)</f>
        <v>3.0079046757896579</v>
      </c>
      <c r="H47" s="145">
        <f>IF(H4=0,0,H4/TrRoad_ene!H4)</f>
        <v>3.0045929819514869</v>
      </c>
      <c r="I47" s="145">
        <f>IF(I4=0,0,I4/TrRoad_ene!I4)</f>
        <v>3.0085441287032761</v>
      </c>
      <c r="J47" s="145">
        <f>IF(J4=0,0,J4/TrRoad_ene!J4)</f>
        <v>2.991384849717019</v>
      </c>
      <c r="K47" s="145">
        <f>IF(K4=0,0,K4/TrRoad_ene!K4)</f>
        <v>2.9991286388323348</v>
      </c>
      <c r="L47" s="145">
        <f>IF(L4=0,0,L4/TrRoad_ene!L4)</f>
        <v>2.9741132931946637</v>
      </c>
      <c r="M47" s="145">
        <f>IF(M4=0,0,M4/TrRoad_ene!M4)</f>
        <v>2.9966060539594648</v>
      </c>
      <c r="N47" s="145">
        <f>IF(N4=0,0,N4/TrRoad_ene!N4)</f>
        <v>3.0036032489495552</v>
      </c>
      <c r="O47" s="145">
        <f>IF(O4=0,0,O4/TrRoad_ene!O4)</f>
        <v>3.0083396613707198</v>
      </c>
      <c r="P47" s="145">
        <f>IF(P4=0,0,P4/TrRoad_ene!P4)</f>
        <v>2.9992530814814593</v>
      </c>
      <c r="Q47" s="145">
        <f>IF(Q4=0,0,Q4/TrRoad_ene!Q4)</f>
        <v>3.0115912589083824</v>
      </c>
      <c r="R47" s="145">
        <f>IF(R4=0,0,R4/TrRoad_ene!R4)</f>
        <v>3.0117843691060537</v>
      </c>
      <c r="S47" s="145">
        <f>IF(S4=0,0,S4/TrRoad_ene!S4)</f>
        <v>3.0083904168758759</v>
      </c>
      <c r="T47" s="145">
        <f>IF(T4=0,0,T4/TrRoad_ene!T4)</f>
        <v>2.9442818924020018</v>
      </c>
      <c r="U47" s="145">
        <f>IF(U4=0,0,U4/TrRoad_ene!U4)</f>
        <v>2.8981099625193387</v>
      </c>
      <c r="V47" s="145">
        <f>IF(V4=0,0,V4/TrRoad_ene!V4)</f>
        <v>2.8454997450212889</v>
      </c>
      <c r="W47" s="145">
        <f>IF(W4=0,0,W4/TrRoad_ene!W4)</f>
        <v>2.8272005479100413</v>
      </c>
      <c r="X47" s="145">
        <f>IF(X4=0,0,X4/TrRoad_ene!X4)</f>
        <v>2.8967551426199485</v>
      </c>
      <c r="Y47" s="145">
        <f>IF(Y4=0,0,Y4/TrRoad_ene!Y4)</f>
        <v>2.9051088115498276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2.890448904130515</v>
      </c>
      <c r="K48" s="97">
        <f>IF(K7=0,0,(K7+K12)/(TrRoad_ene!K7+TrRoad_ene!K12))</f>
        <v>2.9005510799679999</v>
      </c>
      <c r="L48" s="97">
        <f>IF(L7=0,0,(L7+L12)/(TrRoad_ene!L7+TrRoad_ene!L12))</f>
        <v>2.8571547873582204</v>
      </c>
      <c r="M48" s="97">
        <f>IF(M7=0,0,(M7+M12)/(TrRoad_ene!M7+TrRoad_ene!M12))</f>
        <v>2.8604573092089609</v>
      </c>
      <c r="N48" s="97">
        <f>IF(N7=0,0,(N7+N12)/(TrRoad_ene!N7+TrRoad_ene!N12))</f>
        <v>2.8586364347132656</v>
      </c>
      <c r="O48" s="97">
        <f>IF(O7=0,0,(O7+O12)/(TrRoad_ene!O7+TrRoad_ene!O12))</f>
        <v>2.8633728392096076</v>
      </c>
      <c r="P48" s="97">
        <f>IF(P7=0,0,(P7+P12)/(TrRoad_ene!P7+TrRoad_ene!P12))</f>
        <v>2.8412577138401636</v>
      </c>
      <c r="Q48" s="97">
        <f>IF(Q7=0,0,(Q7+Q12)/(TrRoad_ene!Q7+TrRoad_ene!Q12))</f>
        <v>2.8709081720766707</v>
      </c>
      <c r="R48" s="97">
        <f>IF(R7=0,0,(R7+R12)/(TrRoad_ene!R7+TrRoad_ene!R12))</f>
        <v>2.8797088688197183</v>
      </c>
      <c r="S48" s="97">
        <f>IF(S7=0,0,(S7+S12)/(TrRoad_ene!S7+TrRoad_ene!S12))</f>
        <v>2.8910529891137249</v>
      </c>
      <c r="T48" s="97">
        <f>IF(T7=0,0,(T7+T12)/(TrRoad_ene!T7+TrRoad_ene!T12))</f>
        <v>2.8501320236279524</v>
      </c>
      <c r="U48" s="97">
        <f>IF(U7=0,0,(U7+U12)/(TrRoad_ene!U7+TrRoad_ene!U12))</f>
        <v>2.825175338322913</v>
      </c>
      <c r="V48" s="97">
        <f>IF(V7=0,0,(V7+V12)/(TrRoad_ene!V7+TrRoad_ene!V12))</f>
        <v>2.8200560702082682</v>
      </c>
      <c r="W48" s="97">
        <f>IF(W7=0,0,(W7+W12)/(TrRoad_ene!W7+TrRoad_ene!W12))</f>
        <v>2.8413840401772013</v>
      </c>
      <c r="X48" s="97">
        <f>IF(X7=0,0,(X7+X12)/(TrRoad_ene!X7+TrRoad_ene!X12))</f>
        <v>2.8738355074138151</v>
      </c>
      <c r="Y48" s="97">
        <f>IF(Y7=0,0,(Y7+Y12)/(TrRoad_ene!Y7+TrRoad_ene!Y12))</f>
        <v>2.8703429273161021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3.1010491509986053</v>
      </c>
      <c r="H49" s="97">
        <f>IF(H8=0,0,(H8+H13+H14)/(TrRoad_ene!H8+TrRoad_ene!H13+TrRoad_ene!H14))</f>
        <v>3.0933390159740508</v>
      </c>
      <c r="I49" s="97">
        <f>IF(I8=0,0,(I8+I13+I14)/(TrRoad_ene!I8+TrRoad_ene!I13+TrRoad_ene!I14))</f>
        <v>3.0985101356775475</v>
      </c>
      <c r="J49" s="97">
        <f>IF(J8=0,0,(J8+J13+J14)/(TrRoad_ene!J8+TrRoad_ene!J13+TrRoad_ene!J14))</f>
        <v>3.0798145129449068</v>
      </c>
      <c r="K49" s="97">
        <f>IF(K8=0,0,(K8+K13+K14)/(TrRoad_ene!K8+TrRoad_ene!K13+TrRoad_ene!K14))</f>
        <v>3.0877220137996915</v>
      </c>
      <c r="L49" s="97">
        <f>IF(L8=0,0,(L8+L13+L14)/(TrRoad_ene!L8+TrRoad_ene!L13+TrRoad_ene!L14))</f>
        <v>3.0766124707392266</v>
      </c>
      <c r="M49" s="97">
        <f>IF(M8=0,0,(M8+M13+M14)/(TrRoad_ene!M8+TrRoad_ene!M13+TrRoad_ene!M14))</f>
        <v>3.0976560221544349</v>
      </c>
      <c r="N49" s="97">
        <f>IF(N8=0,0,(N8+N13+N14)/(TrRoad_ene!N8+TrRoad_ene!N13+TrRoad_ene!N14))</f>
        <v>3.1024188000000001</v>
      </c>
      <c r="O49" s="97">
        <f>IF(O8=0,0,(O8+O13+O14)/(TrRoad_ene!O8+TrRoad_ene!O13+TrRoad_ene!O14))</f>
        <v>3.1024188000000001</v>
      </c>
      <c r="P49" s="97">
        <f>IF(P8=0,0,(P8+P13+P14)/(TrRoad_ene!P8+TrRoad_ene!P13+TrRoad_ene!P14))</f>
        <v>3.1024188000000001</v>
      </c>
      <c r="Q49" s="97">
        <f>IF(Q8=0,0,(Q8+Q13+Q14)/(TrRoad_ene!Q8+TrRoad_ene!Q13+TrRoad_ene!Q14))</f>
        <v>3.1024188000000001</v>
      </c>
      <c r="R49" s="97">
        <f>IF(R8=0,0,(R8+R13+R14)/(TrRoad_ene!R8+TrRoad_ene!R13+TrRoad_ene!R14))</f>
        <v>3.1024188000000001</v>
      </c>
      <c r="S49" s="97">
        <f>IF(S8=0,0,(S8+S13+S14)/(TrRoad_ene!S8+TrRoad_ene!S13+TrRoad_ene!S14))</f>
        <v>3.0929773623719172</v>
      </c>
      <c r="T49" s="97">
        <f>IF(T8=0,0,(T8+T13+T14)/(TrRoad_ene!T8+TrRoad_ene!T13+TrRoad_ene!T14))</f>
        <v>3.0263438326876728</v>
      </c>
      <c r="U49" s="97">
        <f>IF(U8=0,0,(U8+U13+U14)/(TrRoad_ene!U8+TrRoad_ene!U13+TrRoad_ene!U14))</f>
        <v>2.9798408052830605</v>
      </c>
      <c r="V49" s="97">
        <f>IF(V8=0,0,(V8+V13+V14)/(TrRoad_ene!V8+TrRoad_ene!V13+TrRoad_ene!V14))</f>
        <v>2.9050016514990569</v>
      </c>
      <c r="W49" s="97">
        <f>IF(W8=0,0,(W8+W13+W14)/(TrRoad_ene!W8+TrRoad_ene!W13+TrRoad_ene!W14))</f>
        <v>2.8782599413458043</v>
      </c>
      <c r="X49" s="97">
        <f>IF(X8=0,0,(X8+X13+X14)/(TrRoad_ene!X8+TrRoad_ene!X13+TrRoad_ene!X14))</f>
        <v>2.9626269877595628</v>
      </c>
      <c r="Y49" s="97">
        <f>IF(Y8=0,0,(Y8+Y13+Y14)/(TrRoad_ene!Y8+TrRoad_ene!Y13+TrRoad_ene!Y14))</f>
        <v>2.9933256282435257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2.0507431845140904</v>
      </c>
      <c r="U51" s="97">
        <f>IF(U9=0,0,(U9+U11)/(TrRoad_ene!U9+TrRoad_ene!U11))</f>
        <v>1.9231096276636579</v>
      </c>
      <c r="V51" s="97">
        <f>IF(V9=0,0,(V9+V11)/(TrRoad_ene!V9+TrRoad_ene!V11))</f>
        <v>2.0023132647569697</v>
      </c>
      <c r="W51" s="97">
        <f>IF(W9=0,0,(W9+W11)/(TrRoad_ene!W9+TrRoad_ene!W11))</f>
        <v>1.9154005649141674</v>
      </c>
      <c r="X51" s="97">
        <f>IF(X9=0,0,(X9+X11)/(TrRoad_ene!X9+TrRoad_ene!X11))</f>
        <v>1.7572120561640745</v>
      </c>
      <c r="Y51" s="97">
        <f>IF(Y9=0,0,(Y9+Y11)/(TrRoad_ene!Y9+TrRoad_ene!Y11))</f>
        <v>1.6064844054978928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361.32420330500923</v>
      </c>
      <c r="C54" s="62">
        <f>IF(TrRoad_act!C30=0,0,C17/TrRoad_act!C30*1000
)</f>
        <v>373.28985015791471</v>
      </c>
      <c r="D54" s="62">
        <f>IF(TrRoad_act!D30=0,0,D17/TrRoad_act!D30*1000
)</f>
        <v>403.68569253783397</v>
      </c>
      <c r="E54" s="62">
        <f>IF(TrRoad_act!E30=0,0,E17/TrRoad_act!E30*1000
)</f>
        <v>382.88324391565169</v>
      </c>
      <c r="F54" s="62">
        <f>IF(TrRoad_act!F30=0,0,F17/TrRoad_act!F30*1000
)</f>
        <v>386.94528625513937</v>
      </c>
      <c r="G54" s="62">
        <f>IF(TrRoad_act!G30=0,0,G17/TrRoad_act!G30*1000
)</f>
        <v>381.58733213394135</v>
      </c>
      <c r="H54" s="62">
        <f>IF(TrRoad_act!H30=0,0,H17/TrRoad_act!H30*1000
)</f>
        <v>366.90093956255816</v>
      </c>
      <c r="I54" s="62">
        <f>IF(TrRoad_act!I30=0,0,I17/TrRoad_act!I30*1000
)</f>
        <v>354.08477608299074</v>
      </c>
      <c r="J54" s="62">
        <f>IF(TrRoad_act!J30=0,0,J17/TrRoad_act!J30*1000
)</f>
        <v>339.99585252185136</v>
      </c>
      <c r="K54" s="62">
        <f>IF(TrRoad_act!K30=0,0,K17/TrRoad_act!K30*1000
)</f>
        <v>307.63862014088619</v>
      </c>
      <c r="L54" s="62">
        <f>IF(TrRoad_act!L30=0,0,L17/TrRoad_act!L30*1000
)</f>
        <v>320.97801855074061</v>
      </c>
      <c r="M54" s="62">
        <f>IF(TrRoad_act!M30=0,0,M17/TrRoad_act!M30*1000
)</f>
        <v>325.7986875823201</v>
      </c>
      <c r="N54" s="62">
        <f>IF(TrRoad_act!N30=0,0,N17/TrRoad_act!N30*1000
)</f>
        <v>319.58490685197268</v>
      </c>
      <c r="O54" s="62">
        <f>IF(TrRoad_act!O30=0,0,O17/TrRoad_act!O30*1000
)</f>
        <v>305.90078064088596</v>
      </c>
      <c r="P54" s="62">
        <f>IF(TrRoad_act!P30=0,0,P17/TrRoad_act!P30*1000
)</f>
        <v>298.1114482978046</v>
      </c>
      <c r="Q54" s="62">
        <f>IF(TrRoad_act!Q30=0,0,Q17/TrRoad_act!Q30*1000
)</f>
        <v>285.72569561696469</v>
      </c>
      <c r="R54" s="62">
        <f>IF(TrRoad_act!R30=0,0,R17/TrRoad_act!R30*1000
)</f>
        <v>274.82772599788609</v>
      </c>
      <c r="S54" s="62">
        <f>IF(TrRoad_act!S30=0,0,S17/TrRoad_act!S30*1000
)</f>
        <v>268.46925314000106</v>
      </c>
      <c r="T54" s="62">
        <f>IF(TrRoad_act!T30=0,0,T17/TrRoad_act!T30*1000
)</f>
        <v>255.49553434429322</v>
      </c>
      <c r="U54" s="62">
        <f>IF(TrRoad_act!U30=0,0,U17/TrRoad_act!U30*1000
)</f>
        <v>245.10880741629197</v>
      </c>
      <c r="V54" s="62">
        <f>IF(TrRoad_act!V30=0,0,V17/TrRoad_act!V30*1000
)</f>
        <v>233.63171198023548</v>
      </c>
      <c r="W54" s="62">
        <f>IF(TrRoad_act!W30=0,0,W17/TrRoad_act!W30*1000
)</f>
        <v>240.34867152901168</v>
      </c>
      <c r="X54" s="62">
        <f>IF(TrRoad_act!X30=0,0,X17/TrRoad_act!X30*1000
)</f>
        <v>237.99250915828426</v>
      </c>
      <c r="Y54" s="62">
        <f>IF(TrRoad_act!Y30=0,0,Y17/TrRoad_act!Y30*1000
)</f>
        <v>232.73280270559212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340.74541736143681</v>
      </c>
      <c r="C55" s="29">
        <f>IF(TrRoad_act!C31=0,0,C18/TrRoad_act!C31*1000
)</f>
        <v>343.33915072906899</v>
      </c>
      <c r="D55" s="29">
        <f>IF(TrRoad_act!D31=0,0,D18/TrRoad_act!D31*1000
)</f>
        <v>360.60873832305657</v>
      </c>
      <c r="E55" s="29">
        <f>IF(TrRoad_act!E31=0,0,E18/TrRoad_act!E31*1000
)</f>
        <v>341.67843872868247</v>
      </c>
      <c r="F55" s="29">
        <f>IF(TrRoad_act!F31=0,0,F18/TrRoad_act!F31*1000
)</f>
        <v>340.52281710857073</v>
      </c>
      <c r="G55" s="29">
        <f>IF(TrRoad_act!G31=0,0,G18/TrRoad_act!G31*1000
)</f>
        <v>334.49881934150733</v>
      </c>
      <c r="H55" s="29">
        <f>IF(TrRoad_act!H31=0,0,H18/TrRoad_act!H31*1000
)</f>
        <v>321.60489976593834</v>
      </c>
      <c r="I55" s="29">
        <f>IF(TrRoad_act!I31=0,0,I18/TrRoad_act!I31*1000
)</f>
        <v>303.88496930562866</v>
      </c>
      <c r="J55" s="29">
        <f>IF(TrRoad_act!J31=0,0,J18/TrRoad_act!J31*1000
)</f>
        <v>289.9881512977189</v>
      </c>
      <c r="K55" s="29">
        <f>IF(TrRoad_act!K31=0,0,K18/TrRoad_act!K31*1000
)</f>
        <v>271.50896086379151</v>
      </c>
      <c r="L55" s="29">
        <f>IF(TrRoad_act!L31=0,0,L18/TrRoad_act!L31*1000
)</f>
        <v>275.72231367391828</v>
      </c>
      <c r="M55" s="29">
        <f>IF(TrRoad_act!M31=0,0,M18/TrRoad_act!M31*1000
)</f>
        <v>274.7677464714742</v>
      </c>
      <c r="N55" s="29">
        <f>IF(TrRoad_act!N31=0,0,N18/TrRoad_act!N31*1000
)</f>
        <v>270.80916909825947</v>
      </c>
      <c r="O55" s="29">
        <f>IF(TrRoad_act!O31=0,0,O18/TrRoad_act!O31*1000
)</f>
        <v>262.77344199321055</v>
      </c>
      <c r="P55" s="29">
        <f>IF(TrRoad_act!P31=0,0,P18/TrRoad_act!P31*1000
)</f>
        <v>258.89589044437685</v>
      </c>
      <c r="Q55" s="29">
        <f>IF(TrRoad_act!Q31=0,0,Q18/TrRoad_act!Q31*1000
)</f>
        <v>251.46049290789179</v>
      </c>
      <c r="R55" s="29">
        <f>IF(TrRoad_act!R31=0,0,R18/TrRoad_act!R31*1000
)</f>
        <v>246.15438068024102</v>
      </c>
      <c r="S55" s="29">
        <f>IF(TrRoad_act!S31=0,0,S18/TrRoad_act!S31*1000
)</f>
        <v>244.89403505675642</v>
      </c>
      <c r="T55" s="29">
        <f>IF(TrRoad_act!T31=0,0,T18/TrRoad_act!T31*1000
)</f>
        <v>233.26445986829827</v>
      </c>
      <c r="U55" s="29">
        <f>IF(TrRoad_act!U31=0,0,U18/TrRoad_act!U31*1000
)</f>
        <v>224.5719880678316</v>
      </c>
      <c r="V55" s="29">
        <f>IF(TrRoad_act!V31=0,0,V18/TrRoad_act!V31*1000
)</f>
        <v>215.29449052305145</v>
      </c>
      <c r="W55" s="29">
        <f>IF(TrRoad_act!W31=0,0,W18/TrRoad_act!W31*1000
)</f>
        <v>216.10431510832024</v>
      </c>
      <c r="X55" s="29">
        <f>IF(TrRoad_act!X31=0,0,X18/TrRoad_act!X31*1000
)</f>
        <v>209.44123081671492</v>
      </c>
      <c r="Y55" s="29">
        <f>IF(TrRoad_act!Y31=0,0,Y18/TrRoad_act!Y31*1000
)</f>
        <v>200.61368376143079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155.40179548639961</v>
      </c>
      <c r="C56" s="152">
        <f>IF(TrRoad_act!C32=0,0,C19/TrRoad_act!C32*1000
)</f>
        <v>154.8684629815418</v>
      </c>
      <c r="D56" s="152">
        <f>IF(TrRoad_act!D32=0,0,D19/TrRoad_act!D32*1000
)</f>
        <v>153.40593002639758</v>
      </c>
      <c r="E56" s="152">
        <f>IF(TrRoad_act!E32=0,0,E19/TrRoad_act!E32*1000
)</f>
        <v>151.45503730255959</v>
      </c>
      <c r="F56" s="152">
        <f>IF(TrRoad_act!F32=0,0,F19/TrRoad_act!F32*1000
)</f>
        <v>149.64093365809666</v>
      </c>
      <c r="G56" s="152">
        <f>IF(TrRoad_act!G32=0,0,G19/TrRoad_act!G32*1000
)</f>
        <v>147.92174097592221</v>
      </c>
      <c r="H56" s="152">
        <f>IF(TrRoad_act!H32=0,0,H19/TrRoad_act!H32*1000
)</f>
        <v>145.20464926029098</v>
      </c>
      <c r="I56" s="152">
        <f>IF(TrRoad_act!I32=0,0,I19/TrRoad_act!I32*1000
)</f>
        <v>143.29882200731777</v>
      </c>
      <c r="J56" s="152">
        <f>IF(TrRoad_act!J32=0,0,J19/TrRoad_act!J32*1000
)</f>
        <v>140.09845879696459</v>
      </c>
      <c r="K56" s="152">
        <f>IF(TrRoad_act!K32=0,0,K19/TrRoad_act!K32*1000
)</f>
        <v>139.1986933110104</v>
      </c>
      <c r="L56" s="152">
        <f>IF(TrRoad_act!L32=0,0,L19/TrRoad_act!L32*1000
)</f>
        <v>135.56097137035962</v>
      </c>
      <c r="M56" s="152">
        <f>IF(TrRoad_act!M32=0,0,M19/TrRoad_act!M32*1000
)</f>
        <v>132.08781926126579</v>
      </c>
      <c r="N56" s="152">
        <f>IF(TrRoad_act!N32=0,0,N19/TrRoad_act!N32*1000
)</f>
        <v>125.44319631353137</v>
      </c>
      <c r="O56" s="152">
        <f>IF(TrRoad_act!O32=0,0,O19/TrRoad_act!O32*1000
)</f>
        <v>123.85887699575669</v>
      </c>
      <c r="P56" s="152">
        <f>IF(TrRoad_act!P32=0,0,P19/TrRoad_act!P32*1000
)</f>
        <v>121.00731287636991</v>
      </c>
      <c r="Q56" s="152">
        <f>IF(TrRoad_act!Q32=0,0,Q19/TrRoad_act!Q32*1000
)</f>
        <v>120.91717049287864</v>
      </c>
      <c r="R56" s="152">
        <f>IF(TrRoad_act!R32=0,0,R19/TrRoad_act!R32*1000
)</f>
        <v>119.53749382571262</v>
      </c>
      <c r="S56" s="152">
        <f>IF(TrRoad_act!S32=0,0,S19/TrRoad_act!S32*1000
)</f>
        <v>118.50009394272637</v>
      </c>
      <c r="T56" s="152">
        <f>IF(TrRoad_act!T32=0,0,T19/TrRoad_act!T32*1000
)</f>
        <v>115.918003881079</v>
      </c>
      <c r="U56" s="152">
        <f>IF(TrRoad_act!U32=0,0,U19/TrRoad_act!U32*1000
)</f>
        <v>114.13998036166581</v>
      </c>
      <c r="V56" s="152">
        <f>IF(TrRoad_act!V32=0,0,V19/TrRoad_act!V32*1000
)</f>
        <v>113.049735641737</v>
      </c>
      <c r="W56" s="152">
        <f>IF(TrRoad_act!W32=0,0,W19/TrRoad_act!W32*1000
)</f>
        <v>113.08601605432128</v>
      </c>
      <c r="X56" s="152">
        <f>IF(TrRoad_act!X32=0,0,X19/TrRoad_act!X32*1000
)</f>
        <v>113.64314391803167</v>
      </c>
      <c r="Y56" s="152">
        <f>IF(TrRoad_act!Y32=0,0,Y19/TrRoad_act!Y32*1000
)</f>
        <v>113.12612326151562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274.61957069095024</v>
      </c>
      <c r="C57" s="116">
        <f>IF(TrRoad_act!C33=0,0,C20/TrRoad_act!C33*1000
)</f>
        <v>276.67378758200141</v>
      </c>
      <c r="D57" s="116">
        <f>IF(TrRoad_act!D33=0,0,D20/TrRoad_act!D33*1000
)</f>
        <v>281.16168347076638</v>
      </c>
      <c r="E57" s="116">
        <f>IF(TrRoad_act!E33=0,0,E20/TrRoad_act!E33*1000
)</f>
        <v>274.29465749680048</v>
      </c>
      <c r="F57" s="116">
        <f>IF(TrRoad_act!F33=0,0,F20/TrRoad_act!F33*1000
)</f>
        <v>272.38075334864135</v>
      </c>
      <c r="G57" s="116">
        <f>IF(TrRoad_act!G33=0,0,G20/TrRoad_act!G33*1000
)</f>
        <v>268.50965031561736</v>
      </c>
      <c r="H57" s="116">
        <f>IF(TrRoad_act!H33=0,0,H20/TrRoad_act!H33*1000
)</f>
        <v>263.15797079939409</v>
      </c>
      <c r="I57" s="116">
        <f>IF(TrRoad_act!I33=0,0,I20/TrRoad_act!I33*1000
)</f>
        <v>258.71731006348432</v>
      </c>
      <c r="J57" s="116">
        <f>IF(TrRoad_act!J33=0,0,J20/TrRoad_act!J33*1000
)</f>
        <v>249.6646058868206</v>
      </c>
      <c r="K57" s="116">
        <f>IF(TrRoad_act!K33=0,0,K20/TrRoad_act!K33*1000
)</f>
        <v>236.85642697906533</v>
      </c>
      <c r="L57" s="116">
        <f>IF(TrRoad_act!L33=0,0,L20/TrRoad_act!L33*1000
)</f>
        <v>238.21155392817619</v>
      </c>
      <c r="M57" s="116">
        <f>IF(TrRoad_act!M33=0,0,M20/TrRoad_act!M33*1000
)</f>
        <v>237.64339878970108</v>
      </c>
      <c r="N57" s="116">
        <f>IF(TrRoad_act!N33=0,0,N20/TrRoad_act!N33*1000
)</f>
        <v>234.93572242028708</v>
      </c>
      <c r="O57" s="116">
        <f>IF(TrRoad_act!O33=0,0,O20/TrRoad_act!O33*1000
)</f>
        <v>228.04392323599336</v>
      </c>
      <c r="P57" s="116">
        <f>IF(TrRoad_act!P33=0,0,P20/TrRoad_act!P33*1000
)</f>
        <v>223.98782424126136</v>
      </c>
      <c r="Q57" s="116">
        <f>IF(TrRoad_act!Q33=0,0,Q20/TrRoad_act!Q33*1000
)</f>
        <v>218.78048276453427</v>
      </c>
      <c r="R57" s="116">
        <f>IF(TrRoad_act!R33=0,0,R20/TrRoad_act!R33*1000
)</f>
        <v>212.07784277286774</v>
      </c>
      <c r="S57" s="116">
        <f>IF(TrRoad_act!S33=0,0,S20/TrRoad_act!S33*1000
)</f>
        <v>208.33370683873602</v>
      </c>
      <c r="T57" s="116">
        <f>IF(TrRoad_act!T33=0,0,T20/TrRoad_act!T33*1000
)</f>
        <v>199.37964810238282</v>
      </c>
      <c r="U57" s="116">
        <f>IF(TrRoad_act!U33=0,0,U20/TrRoad_act!U33*1000
)</f>
        <v>193.95901450571719</v>
      </c>
      <c r="V57" s="116">
        <f>IF(TrRoad_act!V33=0,0,V20/TrRoad_act!V33*1000
)</f>
        <v>185.58223343141626</v>
      </c>
      <c r="W57" s="116">
        <f>IF(TrRoad_act!W33=0,0,W20/TrRoad_act!W33*1000
)</f>
        <v>184.62801912269018</v>
      </c>
      <c r="X57" s="116">
        <f>IF(TrRoad_act!X33=0,0,X20/TrRoad_act!X33*1000
)</f>
        <v>180.88539841145828</v>
      </c>
      <c r="Y57" s="116">
        <f>IF(TrRoad_act!Y33=0,0,Y20/TrRoad_act!Y33*1000
)</f>
        <v>179.32442802468111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277.05602923349738</v>
      </c>
      <c r="C58" s="87">
        <f>IF(TrRoad_act!C34=0,0,C21/TrRoad_act!C34*1000
)</f>
        <v>272.72251743473976</v>
      </c>
      <c r="D58" s="87">
        <f>IF(TrRoad_act!D34=0,0,D21/TrRoad_act!D34*1000
)</f>
        <v>270.18791049740395</v>
      </c>
      <c r="E58" s="87">
        <f>IF(TrRoad_act!E34=0,0,E21/TrRoad_act!E34*1000
)</f>
        <v>266.86105851373082</v>
      </c>
      <c r="F58" s="87">
        <f>IF(TrRoad_act!F34=0,0,F21/TrRoad_act!F34*1000
)</f>
        <v>263.98579891147392</v>
      </c>
      <c r="G58" s="87">
        <f>IF(TrRoad_act!G34=0,0,G21/TrRoad_act!G34*1000
)</f>
        <v>261.52651313771486</v>
      </c>
      <c r="H58" s="87">
        <f>IF(TrRoad_act!H34=0,0,H21/TrRoad_act!H34*1000
)</f>
        <v>258.51000617437268</v>
      </c>
      <c r="I58" s="87">
        <f>IF(TrRoad_act!I34=0,0,I21/TrRoad_act!I34*1000
)</f>
        <v>255.26318835729344</v>
      </c>
      <c r="J58" s="87">
        <f>IF(TrRoad_act!J34=0,0,J21/TrRoad_act!J34*1000
)</f>
        <v>251.31724358350266</v>
      </c>
      <c r="K58" s="87">
        <f>IF(TrRoad_act!K34=0,0,K21/TrRoad_act!K34*1000
)</f>
        <v>243.07187322943469</v>
      </c>
      <c r="L58" s="87">
        <f>IF(TrRoad_act!L34=0,0,L21/TrRoad_act!L34*1000
)</f>
        <v>238.17464100346382</v>
      </c>
      <c r="M58" s="87">
        <f>IF(TrRoad_act!M34=0,0,M21/TrRoad_act!M34*1000
)</f>
        <v>235.64168788765059</v>
      </c>
      <c r="N58" s="87">
        <f>IF(TrRoad_act!N34=0,0,N21/TrRoad_act!N34*1000
)</f>
        <v>232.34304861191541</v>
      </c>
      <c r="O58" s="87">
        <f>IF(TrRoad_act!O34=0,0,O21/TrRoad_act!O34*1000
)</f>
        <v>229.16707991463514</v>
      </c>
      <c r="P58" s="87">
        <f>IF(TrRoad_act!P34=0,0,P21/TrRoad_act!P34*1000
)</f>
        <v>224.78694626179282</v>
      </c>
      <c r="Q58" s="87">
        <f>IF(TrRoad_act!Q34=0,0,Q21/TrRoad_act!Q34*1000
)</f>
        <v>222.51307504023416</v>
      </c>
      <c r="R58" s="87">
        <f>IF(TrRoad_act!R34=0,0,R21/TrRoad_act!R34*1000
)</f>
        <v>218.52341096410626</v>
      </c>
      <c r="S58" s="87">
        <f>IF(TrRoad_act!S34=0,0,S21/TrRoad_act!S34*1000
)</f>
        <v>213.57448091623127</v>
      </c>
      <c r="T58" s="87">
        <f>IF(TrRoad_act!T34=0,0,T21/TrRoad_act!T34*1000
)</f>
        <v>204.09041230060433</v>
      </c>
      <c r="U58" s="87">
        <f>IF(TrRoad_act!U34=0,0,U21/TrRoad_act!U34*1000
)</f>
        <v>199.92916072294881</v>
      </c>
      <c r="V58" s="87">
        <f>IF(TrRoad_act!V34=0,0,V21/TrRoad_act!V34*1000
)</f>
        <v>195.74817251420259</v>
      </c>
      <c r="W58" s="87">
        <f>IF(TrRoad_act!W34=0,0,W21/TrRoad_act!W34*1000
)</f>
        <v>194.92936701373822</v>
      </c>
      <c r="X58" s="87">
        <f>IF(TrRoad_act!X34=0,0,X21/TrRoad_act!X34*1000
)</f>
        <v>186.21606911843284</v>
      </c>
      <c r="Y58" s="87">
        <f>IF(TrRoad_act!Y34=0,0,Y21/TrRoad_act!Y34*1000
)</f>
        <v>180.31235714671513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245.87685414657426</v>
      </c>
      <c r="C59" s="87">
        <f>IF(TrRoad_act!C35=0,0,C22/TrRoad_act!C35*1000
)</f>
        <v>318.34212442912616</v>
      </c>
      <c r="D59" s="87">
        <f>IF(TrRoad_act!D35=0,0,D22/TrRoad_act!D35*1000
)</f>
        <v>375.69514599332462</v>
      </c>
      <c r="E59" s="87">
        <f>IF(TrRoad_act!E35=0,0,E22/TrRoad_act!E35*1000
)</f>
        <v>318.2222641681729</v>
      </c>
      <c r="F59" s="87">
        <f>IF(TrRoad_act!F35=0,0,F22/TrRoad_act!F35*1000
)</f>
        <v>306.43882457943317</v>
      </c>
      <c r="G59" s="87">
        <f>IF(TrRoad_act!G35=0,0,G22/TrRoad_act!G35*1000
)</f>
        <v>291.74364959623489</v>
      </c>
      <c r="H59" s="87">
        <f>IF(TrRoad_act!H35=0,0,H22/TrRoad_act!H35*1000
)</f>
        <v>275.76471459716976</v>
      </c>
      <c r="I59" s="87">
        <f>IF(TrRoad_act!I35=0,0,I22/TrRoad_act!I35*1000
)</f>
        <v>266.91779979382937</v>
      </c>
      <c r="J59" s="87">
        <f>IF(TrRoad_act!J35=0,0,J22/TrRoad_act!J35*1000
)</f>
        <v>245.74318174690245</v>
      </c>
      <c r="K59" s="87">
        <f>IF(TrRoad_act!K35=0,0,K22/TrRoad_act!K35*1000
)</f>
        <v>225.66342377292673</v>
      </c>
      <c r="L59" s="87">
        <f>IF(TrRoad_act!L35=0,0,L22/TrRoad_act!L35*1000
)</f>
        <v>238.30883723549633</v>
      </c>
      <c r="M59" s="87">
        <f>IF(TrRoad_act!M35=0,0,M22/TrRoad_act!M35*1000
)</f>
        <v>240.55752253416122</v>
      </c>
      <c r="N59" s="87">
        <f>IF(TrRoad_act!N35=0,0,N22/TrRoad_act!N35*1000
)</f>
        <v>238.88931751964122</v>
      </c>
      <c r="O59" s="87">
        <f>IF(TrRoad_act!O35=0,0,O22/TrRoad_act!O35*1000
)</f>
        <v>227.76241791088606</v>
      </c>
      <c r="P59" s="87">
        <f>IF(TrRoad_act!P35=0,0,P22/TrRoad_act!P35*1000
)</f>
        <v>224.23386421536873</v>
      </c>
      <c r="Q59" s="87">
        <f>IF(TrRoad_act!Q35=0,0,Q22/TrRoad_act!Q35*1000
)</f>
        <v>216.07830900573057</v>
      </c>
      <c r="R59" s="87">
        <f>IF(TrRoad_act!R35=0,0,R22/TrRoad_act!R35*1000
)</f>
        <v>207.10318972522401</v>
      </c>
      <c r="S59" s="87">
        <f>IF(TrRoad_act!S35=0,0,S22/TrRoad_act!S35*1000
)</f>
        <v>204.21705876919722</v>
      </c>
      <c r="T59" s="87">
        <f>IF(TrRoad_act!T35=0,0,T22/TrRoad_act!T35*1000
)</f>
        <v>196.04476873170634</v>
      </c>
      <c r="U59" s="87">
        <f>IF(TrRoad_act!U35=0,0,U22/TrRoad_act!U35*1000
)</f>
        <v>191.52490091972317</v>
      </c>
      <c r="V59" s="87">
        <f>IF(TrRoad_act!V35=0,0,V22/TrRoad_act!V35*1000
)</f>
        <v>183.40775507165088</v>
      </c>
      <c r="W59" s="87">
        <f>IF(TrRoad_act!W35=0,0,W22/TrRoad_act!W35*1000
)</f>
        <v>185.31492084938665</v>
      </c>
      <c r="X59" s="87">
        <f>IF(TrRoad_act!X35=0,0,X22/TrRoad_act!X35*1000
)</f>
        <v>184.41181978389685</v>
      </c>
      <c r="Y59" s="87">
        <f>IF(TrRoad_act!Y35=0,0,Y22/TrRoad_act!Y35*1000
)</f>
        <v>188.20830696514477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273.57786410450478</v>
      </c>
      <c r="C60" s="87">
        <f>IF(TrRoad_act!C36=0,0,C23/TrRoad_act!C36*1000
)</f>
        <v>227.4203168552728</v>
      </c>
      <c r="D60" s="87">
        <f>IF(TrRoad_act!D36=0,0,D23/TrRoad_act!D36*1000
)</f>
        <v>237.73516303533492</v>
      </c>
      <c r="E60" s="87">
        <f>IF(TrRoad_act!E36=0,0,E23/TrRoad_act!E36*1000
)</f>
        <v>240.78706783539712</v>
      </c>
      <c r="F60" s="87">
        <f>IF(TrRoad_act!F36=0,0,F23/TrRoad_act!F36*1000
)</f>
        <v>272.32671088198742</v>
      </c>
      <c r="G60" s="87">
        <f>IF(TrRoad_act!G36=0,0,G23/TrRoad_act!G36*1000
)</f>
        <v>256.05246405007557</v>
      </c>
      <c r="H60" s="87">
        <f>IF(TrRoad_act!H36=0,0,H23/TrRoad_act!H36*1000
)</f>
        <v>232.68699813540752</v>
      </c>
      <c r="I60" s="87">
        <f>IF(TrRoad_act!I36=0,0,I23/TrRoad_act!I36*1000
)</f>
        <v>218.33774745280084</v>
      </c>
      <c r="J60" s="87">
        <f>IF(TrRoad_act!J36=0,0,J23/TrRoad_act!J36*1000
)</f>
        <v>271.24191953951942</v>
      </c>
      <c r="K60" s="87">
        <f>IF(TrRoad_act!K36=0,0,K23/TrRoad_act!K36*1000
)</f>
        <v>250.55141484749595</v>
      </c>
      <c r="L60" s="87">
        <f>IF(TrRoad_act!L36=0,0,L23/TrRoad_act!L36*1000
)</f>
        <v>235.5569928323184</v>
      </c>
      <c r="M60" s="87">
        <f>IF(TrRoad_act!M36=0,0,M23/TrRoad_act!M36*1000
)</f>
        <v>228.03947439501377</v>
      </c>
      <c r="N60" s="87">
        <f>IF(TrRoad_act!N36=0,0,N23/TrRoad_act!N36*1000
)</f>
        <v>223.69295973037958</v>
      </c>
      <c r="O60" s="87">
        <f>IF(TrRoad_act!O36=0,0,O23/TrRoad_act!O36*1000
)</f>
        <v>228.61819104850716</v>
      </c>
      <c r="P60" s="87">
        <f>IF(TrRoad_act!P36=0,0,P23/TrRoad_act!P36*1000
)</f>
        <v>235.69687006394341</v>
      </c>
      <c r="Q60" s="87">
        <f>IF(TrRoad_act!Q36=0,0,Q23/TrRoad_act!Q36*1000
)</f>
        <v>255.43867477673533</v>
      </c>
      <c r="R60" s="87">
        <f>IF(TrRoad_act!R36=0,0,R23/TrRoad_act!R36*1000
)</f>
        <v>236.05575081804255</v>
      </c>
      <c r="S60" s="87">
        <f>IF(TrRoad_act!S36=0,0,S23/TrRoad_act!S36*1000
)</f>
        <v>231.28641055124913</v>
      </c>
      <c r="T60" s="87">
        <f>IF(TrRoad_act!T36=0,0,T23/TrRoad_act!T36*1000
)</f>
        <v>224.72641380353977</v>
      </c>
      <c r="U60" s="87">
        <f>IF(TrRoad_act!U36=0,0,U23/TrRoad_act!U36*1000
)</f>
        <v>227.33992944212926</v>
      </c>
      <c r="V60" s="87">
        <f>IF(TrRoad_act!V36=0,0,V23/TrRoad_act!V36*1000
)</f>
        <v>210.48913431320943</v>
      </c>
      <c r="W60" s="87">
        <f>IF(TrRoad_act!W36=0,0,W23/TrRoad_act!W36*1000
)</f>
        <v>214.44367443755209</v>
      </c>
      <c r="X60" s="87">
        <f>IF(TrRoad_act!X36=0,0,X23/TrRoad_act!X36*1000
)</f>
        <v>222.20340525904612</v>
      </c>
      <c r="Y60" s="87">
        <f>IF(TrRoad_act!Y36=0,0,Y23/TrRoad_act!Y36*1000
)</f>
        <v>187.51191599350784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190.46881927798981</v>
      </c>
      <c r="M61" s="87">
        <f>IF(TrRoad_act!M37=0,0,M24/TrRoad_act!M37*1000
)</f>
        <v>197.32569619329743</v>
      </c>
      <c r="N61" s="87">
        <f>IF(TrRoad_act!N37=0,0,N24/TrRoad_act!N37*1000
)</f>
        <v>200.4475029919011</v>
      </c>
      <c r="O61" s="87">
        <f>IF(TrRoad_act!O37=0,0,O24/TrRoad_act!O37*1000
)</f>
        <v>199.05869458617227</v>
      </c>
      <c r="P61" s="87">
        <f>IF(TrRoad_act!P37=0,0,P24/TrRoad_act!P37*1000
)</f>
        <v>197.49133091837049</v>
      </c>
      <c r="Q61" s="87">
        <f>IF(TrRoad_act!Q37=0,0,Q24/TrRoad_act!Q37*1000
)</f>
        <v>180.58439900796509</v>
      </c>
      <c r="R61" s="87">
        <f>IF(TrRoad_act!R37=0,0,R24/TrRoad_act!R37*1000
)</f>
        <v>153.44427817185328</v>
      </c>
      <c r="S61" s="87">
        <f>IF(TrRoad_act!S37=0,0,S24/TrRoad_act!S37*1000
)</f>
        <v>157.6434716788923</v>
      </c>
      <c r="T61" s="87">
        <f>IF(TrRoad_act!T37=0,0,T24/TrRoad_act!T37*1000
)</f>
        <v>134.59060548056431</v>
      </c>
      <c r="U61" s="87">
        <f>IF(TrRoad_act!U37=0,0,U24/TrRoad_act!U37*1000
)</f>
        <v>109.31379667857922</v>
      </c>
      <c r="V61" s="87">
        <f>IF(TrRoad_act!V37=0,0,V24/TrRoad_act!V37*1000
)</f>
        <v>108.3902306308843</v>
      </c>
      <c r="W61" s="87">
        <f>IF(TrRoad_act!W37=0,0,W24/TrRoad_act!W37*1000
)</f>
        <v>100.95472415389577</v>
      </c>
      <c r="X61" s="87">
        <f>IF(TrRoad_act!X37=0,0,X24/TrRoad_act!X37*1000
)</f>
        <v>90.450110231644473</v>
      </c>
      <c r="Y61" s="87">
        <f>IF(TrRoad_act!Y37=0,0,Y24/TrRoad_act!Y37*1000
)</f>
        <v>82.500126165608094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60.564887193840661</v>
      </c>
      <c r="Q62" s="87">
        <f>IF(TrRoad_act!Q38=0,0,Q25/TrRoad_act!Q38*1000
)</f>
        <v>69.250980899667482</v>
      </c>
      <c r="R62" s="87">
        <f>IF(TrRoad_act!R38=0,0,R25/TrRoad_act!R38*1000
)</f>
        <v>69.386282800408878</v>
      </c>
      <c r="S62" s="87">
        <f>IF(TrRoad_act!S38=0,0,S25/TrRoad_act!S38*1000
)</f>
        <v>64.615964512492752</v>
      </c>
      <c r="T62" s="87">
        <f>IF(TrRoad_act!T38=0,0,T25/TrRoad_act!T38*1000
)</f>
        <v>64.687319531580783</v>
      </c>
      <c r="U62" s="87">
        <f>IF(TrRoad_act!U38=0,0,U25/TrRoad_act!U38*1000
)</f>
        <v>65.761014794675773</v>
      </c>
      <c r="V62" s="87">
        <f>IF(TrRoad_act!V38=0,0,V25/TrRoad_act!V38*1000
)</f>
        <v>66.143453569462579</v>
      </c>
      <c r="W62" s="87">
        <f>IF(TrRoad_act!W38=0,0,W25/TrRoad_act!W38*1000
)</f>
        <v>52.337666236466809</v>
      </c>
      <c r="X62" s="87">
        <f>IF(TrRoad_act!X38=0,0,X25/TrRoad_act!X38*1000
)</f>
        <v>48.691993245959523</v>
      </c>
      <c r="Y62" s="87">
        <f>IF(TrRoad_act!Y38=0,0,Y25/TrRoad_act!Y38*1000
)</f>
        <v>42.625617569429608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1399.2266094981051</v>
      </c>
      <c r="C64" s="116">
        <f>IF(TrRoad_act!C40=0,0,C27/TrRoad_act!C40*1000
)</f>
        <v>1719.8531378709797</v>
      </c>
      <c r="D64" s="116">
        <f>IF(TrRoad_act!D40=0,0,D27/TrRoad_act!D40*1000
)</f>
        <v>1937.1202031836303</v>
      </c>
      <c r="E64" s="116">
        <f>IF(TrRoad_act!E40=0,0,E27/TrRoad_act!E40*1000
)</f>
        <v>1695.8843964522505</v>
      </c>
      <c r="F64" s="116">
        <f>IF(TrRoad_act!F40=0,0,F27/TrRoad_act!F40*1000
)</f>
        <v>1749.8790577947834</v>
      </c>
      <c r="G64" s="116">
        <f>IF(TrRoad_act!G40=0,0,G27/TrRoad_act!G40*1000
)</f>
        <v>1797.4344386043304</v>
      </c>
      <c r="H64" s="116">
        <f>IF(TrRoad_act!H40=0,0,H27/TrRoad_act!H40*1000
)</f>
        <v>1766.1751393940838</v>
      </c>
      <c r="I64" s="116">
        <f>IF(TrRoad_act!I40=0,0,I27/TrRoad_act!I40*1000
)</f>
        <v>1839.6850393538564</v>
      </c>
      <c r="J64" s="116">
        <f>IF(TrRoad_act!J40=0,0,J27/TrRoad_act!J40*1000
)</f>
        <v>1795.4250070293317</v>
      </c>
      <c r="K64" s="116">
        <f>IF(TrRoad_act!K40=0,0,K27/TrRoad_act!K40*1000
)</f>
        <v>1681.7994738011794</v>
      </c>
      <c r="L64" s="116">
        <f>IF(TrRoad_act!L40=0,0,L27/TrRoad_act!L40*1000
)</f>
        <v>1806.2601238921941</v>
      </c>
      <c r="M64" s="116">
        <f>IF(TrRoad_act!M40=0,0,M27/TrRoad_act!M40*1000
)</f>
        <v>1838.2521179071405</v>
      </c>
      <c r="N64" s="116">
        <f>IF(TrRoad_act!N40=0,0,N27/TrRoad_act!N40*1000
)</f>
        <v>1835.052627672362</v>
      </c>
      <c r="O64" s="116">
        <f>IF(TrRoad_act!O40=0,0,O27/TrRoad_act!O40*1000
)</f>
        <v>1716.2957838711602</v>
      </c>
      <c r="P64" s="116">
        <f>IF(TrRoad_act!P40=0,0,P27/TrRoad_act!P40*1000
)</f>
        <v>1702.570203969223</v>
      </c>
      <c r="Q64" s="116">
        <f>IF(TrRoad_act!Q40=0,0,Q27/TrRoad_act!Q40*1000
)</f>
        <v>1637.6944552065931</v>
      </c>
      <c r="R64" s="116">
        <f>IF(TrRoad_act!R40=0,0,R27/TrRoad_act!R40*1000
)</f>
        <v>1546.1044687310005</v>
      </c>
      <c r="S64" s="116">
        <f>IF(TrRoad_act!S40=0,0,S27/TrRoad_act!S40*1000
)</f>
        <v>1516.3046201046877</v>
      </c>
      <c r="T64" s="116">
        <f>IF(TrRoad_act!T40=0,0,T27/TrRoad_act!T40*1000
)</f>
        <v>1503.5731376683232</v>
      </c>
      <c r="U64" s="116">
        <f>IF(TrRoad_act!U40=0,0,U27/TrRoad_act!U40*1000
)</f>
        <v>1475.1703375800143</v>
      </c>
      <c r="V64" s="116">
        <f>IF(TrRoad_act!V40=0,0,V27/TrRoad_act!V40*1000
)</f>
        <v>1413.243778311085</v>
      </c>
      <c r="W64" s="116">
        <f>IF(TrRoad_act!W40=0,0,W27/TrRoad_act!W40*1000
)</f>
        <v>1419.4837511576911</v>
      </c>
      <c r="X64" s="116">
        <f>IF(TrRoad_act!X40=0,0,X27/TrRoad_act!X40*1000
)</f>
        <v>1305.6191813545061</v>
      </c>
      <c r="Y64" s="116">
        <f>IF(TrRoad_act!Y40=0,0,Y27/TrRoad_act!Y40*1000
)</f>
        <v>1425.7416467505218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619.54437617166036</v>
      </c>
      <c r="C65" s="101">
        <f>IF(TrRoad_act!C41=0,0,C28/TrRoad_act!C41*1000
)</f>
        <v>619.54437617166047</v>
      </c>
      <c r="D65" s="101">
        <f>IF(TrRoad_act!D41=0,0,D28/TrRoad_act!D41*1000
)</f>
        <v>619.54437617166059</v>
      </c>
      <c r="E65" s="101">
        <f>IF(TrRoad_act!E41=0,0,E28/TrRoad_act!E41*1000
)</f>
        <v>619.54437617166036</v>
      </c>
      <c r="F65" s="101">
        <f>IF(TrRoad_act!F41=0,0,F28/TrRoad_act!F41*1000
)</f>
        <v>619.5443761716607</v>
      </c>
      <c r="G65" s="101">
        <f>IF(TrRoad_act!G41=0,0,G28/TrRoad_act!G41*1000
)</f>
        <v>619.54437617166036</v>
      </c>
      <c r="H65" s="101">
        <f>IF(TrRoad_act!H41=0,0,H28/TrRoad_act!H41*1000
)</f>
        <v>619.54437617166059</v>
      </c>
      <c r="I65" s="101">
        <f>IF(TrRoad_act!I41=0,0,I28/TrRoad_act!I41*1000
)</f>
        <v>619.54437617166036</v>
      </c>
      <c r="J65" s="101">
        <f>IF(TrRoad_act!J41=0,0,J28/TrRoad_act!J41*1000
)</f>
        <v>617.19481014598045</v>
      </c>
      <c r="K65" s="101">
        <f>IF(TrRoad_act!K41=0,0,K28/TrRoad_act!K41*1000
)</f>
        <v>619.35191816099086</v>
      </c>
      <c r="L65" s="101">
        <f>IF(TrRoad_act!L41=0,0,L28/TrRoad_act!L41*1000
)</f>
        <v>610.08554900287936</v>
      </c>
      <c r="M65" s="101">
        <f>IF(TrRoad_act!M41=0,0,M28/TrRoad_act!M41*1000
)</f>
        <v>610.79073335806982</v>
      </c>
      <c r="N65" s="101">
        <f>IF(TrRoad_act!N41=0,0,N28/TrRoad_act!N41*1000
)</f>
        <v>610.40192375584354</v>
      </c>
      <c r="O65" s="101">
        <f>IF(TrRoad_act!O41=0,0,O28/TrRoad_act!O41*1000
)</f>
        <v>611.41328371094176</v>
      </c>
      <c r="P65" s="101">
        <f>IF(TrRoad_act!P41=0,0,P28/TrRoad_act!P41*1000
)</f>
        <v>606.69106198813461</v>
      </c>
      <c r="Q65" s="101">
        <f>IF(TrRoad_act!Q41=0,0,Q28/TrRoad_act!Q41*1000
)</f>
        <v>613.02229618358137</v>
      </c>
      <c r="R65" s="101">
        <f>IF(TrRoad_act!R41=0,0,R28/TrRoad_act!R41*1000
)</f>
        <v>614.90150060325311</v>
      </c>
      <c r="S65" s="101">
        <f>IF(TrRoad_act!S41=0,0,S28/TrRoad_act!S41*1000
)</f>
        <v>615.02557483427415</v>
      </c>
      <c r="T65" s="101">
        <f>IF(TrRoad_act!T41=0,0,T28/TrRoad_act!T41*1000
)</f>
        <v>606.32028979957261</v>
      </c>
      <c r="U65" s="101">
        <f>IF(TrRoad_act!U41=0,0,U28/TrRoad_act!U41*1000
)</f>
        <v>584.36842858024181</v>
      </c>
      <c r="V65" s="101">
        <f>IF(TrRoad_act!V41=0,0,V28/TrRoad_act!V41*1000
)</f>
        <v>582.91488964675693</v>
      </c>
      <c r="W65" s="101">
        <f>IF(TrRoad_act!W41=0,0,W28/TrRoad_act!W41*1000
)</f>
        <v>584.57669443876387</v>
      </c>
      <c r="X65" s="101">
        <f>IF(TrRoad_act!X41=0,0,X28/TrRoad_act!X41*1000
)</f>
        <v>588.51924833530745</v>
      </c>
      <c r="Y65" s="101">
        <f>IF(TrRoad_act!Y41=0,0,Y28/TrRoad_act!Y41*1000
)</f>
        <v>587.48307583871451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1695.7590341848211</v>
      </c>
      <c r="C66" s="101">
        <f>IF(TrRoad_act!C42=0,0,C29/TrRoad_act!C42*1000
)</f>
        <v>2083.9736738094857</v>
      </c>
      <c r="D66" s="101">
        <f>IF(TrRoad_act!D42=0,0,D29/TrRoad_act!D42*1000
)</f>
        <v>2303.4458708229831</v>
      </c>
      <c r="E66" s="101">
        <f>IF(TrRoad_act!E42=0,0,E29/TrRoad_act!E42*1000
)</f>
        <v>1933.5507816288168</v>
      </c>
      <c r="F66" s="101">
        <f>IF(TrRoad_act!F42=0,0,F29/TrRoad_act!F42*1000
)</f>
        <v>1966.0632551693975</v>
      </c>
      <c r="G66" s="101">
        <f>IF(TrRoad_act!G42=0,0,G29/TrRoad_act!G42*1000
)</f>
        <v>1971.6618155081278</v>
      </c>
      <c r="H66" s="101">
        <f>IF(TrRoad_act!H42=0,0,H29/TrRoad_act!H42*1000
)</f>
        <v>1931.7505351869347</v>
      </c>
      <c r="I66" s="101">
        <f>IF(TrRoad_act!I42=0,0,I29/TrRoad_act!I42*1000
)</f>
        <v>1952.7960047027477</v>
      </c>
      <c r="J66" s="101">
        <f>IF(TrRoad_act!J42=0,0,J29/TrRoad_act!J42*1000
)</f>
        <v>1876.3385100948599</v>
      </c>
      <c r="K66" s="101">
        <f>IF(TrRoad_act!K42=0,0,K29/TrRoad_act!K42*1000
)</f>
        <v>1734.2150014115523</v>
      </c>
      <c r="L66" s="101">
        <f>IF(TrRoad_act!L42=0,0,L29/TrRoad_act!L42*1000
)</f>
        <v>1930.728807689565</v>
      </c>
      <c r="M66" s="101">
        <f>IF(TrRoad_act!M42=0,0,M29/TrRoad_act!M42*1000
)</f>
        <v>1961.7298958203323</v>
      </c>
      <c r="N66" s="101">
        <f>IF(TrRoad_act!N42=0,0,N29/TrRoad_act!N42*1000
)</f>
        <v>1947.8233968177883</v>
      </c>
      <c r="O66" s="101">
        <f>IF(TrRoad_act!O42=0,0,O29/TrRoad_act!O42*1000
)</f>
        <v>1819.7418236556841</v>
      </c>
      <c r="P66" s="101">
        <f>IF(TrRoad_act!P42=0,0,P29/TrRoad_act!P42*1000
)</f>
        <v>1805.7339353565731</v>
      </c>
      <c r="Q66" s="101">
        <f>IF(TrRoad_act!Q42=0,0,Q29/TrRoad_act!Q42*1000
)</f>
        <v>1731.9114173716571</v>
      </c>
      <c r="R66" s="101">
        <f>IF(TrRoad_act!R42=0,0,R29/TrRoad_act!R42*1000
)</f>
        <v>1632.7487963352828</v>
      </c>
      <c r="S66" s="101">
        <f>IF(TrRoad_act!S42=0,0,S29/TrRoad_act!S42*1000
)</f>
        <v>1625.0485269329856</v>
      </c>
      <c r="T66" s="101">
        <f>IF(TrRoad_act!T42=0,0,T29/TrRoad_act!T42*1000
)</f>
        <v>1573.6320383841521</v>
      </c>
      <c r="U66" s="101">
        <f>IF(TrRoad_act!U42=0,0,U29/TrRoad_act!U42*1000
)</f>
        <v>1544.9701209477716</v>
      </c>
      <c r="V66" s="101">
        <f>IF(TrRoad_act!V42=0,0,V29/TrRoad_act!V42*1000
)</f>
        <v>1476.8189568911139</v>
      </c>
      <c r="W66" s="101">
        <f>IF(TrRoad_act!W42=0,0,W29/TrRoad_act!W42*1000
)</f>
        <v>1537.2387458604089</v>
      </c>
      <c r="X66" s="101">
        <f>IF(TrRoad_act!X42=0,0,X29/TrRoad_act!X42*1000
)</f>
        <v>1566.1591680804622</v>
      </c>
      <c r="Y66" s="101">
        <f>IF(TrRoad_act!Y42=0,0,Y29/TrRoad_act!Y42*1000
)</f>
        <v>1646.5954370093998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1232.7261060974256</v>
      </c>
      <c r="U67" s="101">
        <f>IF(TrRoad_act!U43=0,0,U30/TrRoad_act!U43*1000
)</f>
        <v>1232.7261060974256</v>
      </c>
      <c r="V67" s="101">
        <f>IF(TrRoad_act!V43=0,0,V30/TrRoad_act!V43*1000
)</f>
        <v>1232.7261060974256</v>
      </c>
      <c r="W67" s="101">
        <f>IF(TrRoad_act!W43=0,0,W30/TrRoad_act!W43*1000
)</f>
        <v>1232.7261060974256</v>
      </c>
      <c r="X67" s="101">
        <f>IF(TrRoad_act!X43=0,0,X30/TrRoad_act!X43*1000
)</f>
        <v>1232.7261060974258</v>
      </c>
      <c r="Y67" s="101">
        <f>IF(TrRoad_act!Y43=0,0,Y30/TrRoad_act!Y43*1000
)</f>
        <v>1232.7261060974258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1191.3681412738156</v>
      </c>
      <c r="M68" s="101">
        <f>IF(TrRoad_act!M44=0,0,M31/TrRoad_act!M44*1000
)</f>
        <v>2156.2693448640762</v>
      </c>
      <c r="N68" s="101">
        <f>IF(TrRoad_act!N44=0,0,N31/TrRoad_act!N44*1000
)</f>
        <v>3896.6358949535297</v>
      </c>
      <c r="O68" s="101">
        <f>IF(TrRoad_act!O44=0,0,O31/TrRoad_act!O44*1000
)</f>
        <v>1295.8988185665144</v>
      </c>
      <c r="P68" s="101">
        <f>IF(TrRoad_act!P44=0,0,P31/TrRoad_act!P44*1000
)</f>
        <v>1158.3588689678938</v>
      </c>
      <c r="Q68" s="101">
        <f>IF(TrRoad_act!Q44=0,0,Q31/TrRoad_act!Q44*1000
)</f>
        <v>1255.6746561832479</v>
      </c>
      <c r="R68" s="101">
        <f>IF(TrRoad_act!R44=0,0,R31/TrRoad_act!R44*1000
)</f>
        <v>1041.0565538206333</v>
      </c>
      <c r="S68" s="101">
        <f>IF(TrRoad_act!S44=0,0,S31/TrRoad_act!S44*1000
)</f>
        <v>605.24562897264263</v>
      </c>
      <c r="T68" s="101">
        <f>IF(TrRoad_act!T44=0,0,T31/TrRoad_act!T44*1000
)</f>
        <v>1220.1854800787708</v>
      </c>
      <c r="U68" s="101">
        <f>IF(TrRoad_act!U44=0,0,U31/TrRoad_act!U44*1000
)</f>
        <v>1119.8297711048754</v>
      </c>
      <c r="V68" s="101">
        <f>IF(TrRoad_act!V44=0,0,V31/TrRoad_act!V44*1000
)</f>
        <v>1191.3014437035786</v>
      </c>
      <c r="W68" s="101">
        <f>IF(TrRoad_act!W44=0,0,W31/TrRoad_act!W44*1000
)</f>
        <v>831.03855673526937</v>
      </c>
      <c r="X68" s="101">
        <f>IF(TrRoad_act!X44=0,0,X31/TrRoad_act!X44*1000
)</f>
        <v>245.87529288729664</v>
      </c>
      <c r="Y68" s="101">
        <f>IF(TrRoad_act!Y44=0,0,Y31/TrRoad_act!Y44*1000
)</f>
        <v>617.14531142204464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429.64353650422379</v>
      </c>
      <c r="C70" s="29">
        <f>IF(TrRoad_act!C46=0,0,C33/TrRoad_act!C46*1000
)</f>
        <v>495.43112224234699</v>
      </c>
      <c r="D70" s="29">
        <f>IF(TrRoad_act!D46=0,0,D33/TrRoad_act!D46*1000
)</f>
        <v>565.70755514178165</v>
      </c>
      <c r="E70" s="29">
        <f>IF(TrRoad_act!E46=0,0,E33/TrRoad_act!E46*1000
)</f>
        <v>537.95729367348963</v>
      </c>
      <c r="F70" s="29">
        <f>IF(TrRoad_act!F46=0,0,F33/TrRoad_act!F46*1000
)</f>
        <v>567.99240699019481</v>
      </c>
      <c r="G70" s="29">
        <f>IF(TrRoad_act!G46=0,0,G33/TrRoad_act!G46*1000
)</f>
        <v>592.45257576322024</v>
      </c>
      <c r="H70" s="29">
        <f>IF(TrRoad_act!H46=0,0,H33/TrRoad_act!H46*1000
)</f>
        <v>601.25962187790537</v>
      </c>
      <c r="I70" s="29">
        <f>IF(TrRoad_act!I46=0,0,I33/TrRoad_act!I46*1000
)</f>
        <v>649.13500974840906</v>
      </c>
      <c r="J70" s="29">
        <f>IF(TrRoad_act!J46=0,0,J33/TrRoad_act!J46*1000
)</f>
        <v>637.52887840274991</v>
      </c>
      <c r="K70" s="29">
        <f>IF(TrRoad_act!K46=0,0,K33/TrRoad_act!K46*1000
)</f>
        <v>551.64812362184227</v>
      </c>
      <c r="L70" s="29">
        <f>IF(TrRoad_act!L46=0,0,L33/TrRoad_act!L46*1000
)</f>
        <v>632.95400401792062</v>
      </c>
      <c r="M70" s="29">
        <f>IF(TrRoad_act!M46=0,0,M33/TrRoad_act!M46*1000
)</f>
        <v>658.16067308779429</v>
      </c>
      <c r="N70" s="29">
        <f>IF(TrRoad_act!N46=0,0,N33/TrRoad_act!N46*1000
)</f>
        <v>643.05633838715505</v>
      </c>
      <c r="O70" s="29">
        <f>IF(TrRoad_act!O46=0,0,O33/TrRoad_act!O46*1000
)</f>
        <v>576.97201292466343</v>
      </c>
      <c r="P70" s="29">
        <f>IF(TrRoad_act!P46=0,0,P33/TrRoad_act!P46*1000
)</f>
        <v>547.17534457834711</v>
      </c>
      <c r="Q70" s="29">
        <f>IF(TrRoad_act!Q46=0,0,Q33/TrRoad_act!Q46*1000
)</f>
        <v>508.9350565493296</v>
      </c>
      <c r="R70" s="29">
        <f>IF(TrRoad_act!R46=0,0,R33/TrRoad_act!R46*1000
)</f>
        <v>454.23946282716378</v>
      </c>
      <c r="S70" s="29">
        <f>IF(TrRoad_act!S46=0,0,S33/TrRoad_act!S46*1000
)</f>
        <v>416.78763156795674</v>
      </c>
      <c r="T70" s="29">
        <f>IF(TrRoad_act!T46=0,0,T33/TrRoad_act!T46*1000
)</f>
        <v>390.36450536851896</v>
      </c>
      <c r="U70" s="29">
        <f>IF(TrRoad_act!U46=0,0,U33/TrRoad_act!U46*1000
)</f>
        <v>363.24927442045004</v>
      </c>
      <c r="V70" s="29">
        <f>IF(TrRoad_act!V46=0,0,V33/TrRoad_act!V46*1000
)</f>
        <v>333.94575794018573</v>
      </c>
      <c r="W70" s="29">
        <f>IF(TrRoad_act!W46=0,0,W33/TrRoad_act!W46*1000
)</f>
        <v>364.82896671500538</v>
      </c>
      <c r="X70" s="29">
        <f>IF(TrRoad_act!X46=0,0,X33/TrRoad_act!X46*1000
)</f>
        <v>381.3102560616407</v>
      </c>
      <c r="Y70" s="29">
        <f>IF(TrRoad_act!Y46=0,0,Y33/TrRoad_act!Y46*1000
)</f>
        <v>400.79537982930418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314.6702576859235</v>
      </c>
      <c r="C71" s="152">
        <f>IF(TrRoad_act!C47=0,0,C34/TrRoad_act!C47*1000
)</f>
        <v>372.74588189004896</v>
      </c>
      <c r="D71" s="152">
        <f>IF(TrRoad_act!D47=0,0,D34/TrRoad_act!D47*1000
)</f>
        <v>405.91578405634209</v>
      </c>
      <c r="E71" s="152">
        <f>IF(TrRoad_act!E47=0,0,E34/TrRoad_act!E47*1000
)</f>
        <v>355.4071292601306</v>
      </c>
      <c r="F71" s="152">
        <f>IF(TrRoad_act!F47=0,0,F34/TrRoad_act!F47*1000
)</f>
        <v>358.06072272686652</v>
      </c>
      <c r="G71" s="152">
        <f>IF(TrRoad_act!G47=0,0,G34/TrRoad_act!G47*1000
)</f>
        <v>358.07384809630292</v>
      </c>
      <c r="H71" s="152">
        <f>IF(TrRoad_act!H47=0,0,H34/TrRoad_act!H47*1000
)</f>
        <v>349.31232770680333</v>
      </c>
      <c r="I71" s="152">
        <f>IF(TrRoad_act!I47=0,0,I34/TrRoad_act!I47*1000
)</f>
        <v>351.81409447084758</v>
      </c>
      <c r="J71" s="152">
        <f>IF(TrRoad_act!J47=0,0,J34/TrRoad_act!J47*1000
)</f>
        <v>337.23398878102302</v>
      </c>
      <c r="K71" s="152">
        <f>IF(TrRoad_act!K47=0,0,K34/TrRoad_act!K47*1000
)</f>
        <v>314.17566697113529</v>
      </c>
      <c r="L71" s="152">
        <f>IF(TrRoad_act!L47=0,0,L34/TrRoad_act!L47*1000
)</f>
        <v>340.59505039254611</v>
      </c>
      <c r="M71" s="152">
        <f>IF(TrRoad_act!M47=0,0,M34/TrRoad_act!M47*1000
)</f>
        <v>342.9901701001553</v>
      </c>
      <c r="N71" s="152">
        <f>IF(TrRoad_act!N47=0,0,N34/TrRoad_act!N47*1000
)</f>
        <v>338.76638239733626</v>
      </c>
      <c r="O71" s="152">
        <f>IF(TrRoad_act!O47=0,0,O34/TrRoad_act!O47*1000
)</f>
        <v>318.16013395580154</v>
      </c>
      <c r="P71" s="152">
        <f>IF(TrRoad_act!P47=0,0,P34/TrRoad_act!P47*1000
)</f>
        <v>311.95469738244878</v>
      </c>
      <c r="Q71" s="152">
        <f>IF(TrRoad_act!Q47=0,0,Q34/TrRoad_act!Q47*1000
)</f>
        <v>295.93221407716158</v>
      </c>
      <c r="R71" s="152">
        <f>IF(TrRoad_act!R47=0,0,R34/TrRoad_act!R47*1000
)</f>
        <v>277.83634939539354</v>
      </c>
      <c r="S71" s="152">
        <f>IF(TrRoad_act!S47=0,0,S34/TrRoad_act!S47*1000
)</f>
        <v>272.98525099780159</v>
      </c>
      <c r="T71" s="152">
        <f>IF(TrRoad_act!T47=0,0,T34/TrRoad_act!T47*1000
)</f>
        <v>262.57866709164466</v>
      </c>
      <c r="U71" s="152">
        <f>IF(TrRoad_act!U47=0,0,U34/TrRoad_act!U47*1000
)</f>
        <v>256.80360868679134</v>
      </c>
      <c r="V71" s="152">
        <f>IF(TrRoad_act!V47=0,0,V34/TrRoad_act!V47*1000
)</f>
        <v>245.27491538862469</v>
      </c>
      <c r="W71" s="152">
        <f>IF(TrRoad_act!W47=0,0,W34/TrRoad_act!W47*1000
)</f>
        <v>254.36396397349799</v>
      </c>
      <c r="X71" s="152">
        <f>IF(TrRoad_act!X47=0,0,X34/TrRoad_act!X47*1000
)</f>
        <v>258.37630026753385</v>
      </c>
      <c r="Y71" s="152">
        <f>IF(TrRoad_act!Y47=0,0,Y34/TrRoad_act!Y47*1000
)</f>
        <v>271.40449295421917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315.25121644733588</v>
      </c>
      <c r="C72" s="87">
        <f>IF(TrRoad_act!C48=0,0,C35/TrRoad_act!C48*1000
)</f>
        <v>312.89855842737671</v>
      </c>
      <c r="D72" s="87">
        <f>IF(TrRoad_act!D48=0,0,D35/TrRoad_act!D48*1000
)</f>
        <v>311.09452771250523</v>
      </c>
      <c r="E72" s="87">
        <f>IF(TrRoad_act!E48=0,0,E35/TrRoad_act!E48*1000
)</f>
        <v>309.36419536331238</v>
      </c>
      <c r="F72" s="87">
        <f>IF(TrRoad_act!F48=0,0,F35/TrRoad_act!F48*1000
)</f>
        <v>307.1390723136027</v>
      </c>
      <c r="G72" s="87">
        <f>IF(TrRoad_act!G48=0,0,G35/TrRoad_act!G48*1000
)</f>
        <v>304.33415505929406</v>
      </c>
      <c r="H72" s="87">
        <f>IF(TrRoad_act!H48=0,0,H35/TrRoad_act!H48*1000
)</f>
        <v>301.42498501216062</v>
      </c>
      <c r="I72" s="87">
        <f>IF(TrRoad_act!I48=0,0,I35/TrRoad_act!I48*1000
)</f>
        <v>298.52896296386081</v>
      </c>
      <c r="J72" s="87">
        <f>IF(TrRoad_act!J48=0,0,J35/TrRoad_act!J48*1000
)</f>
        <v>292.19181800228841</v>
      </c>
      <c r="K72" s="87">
        <f>IF(TrRoad_act!K48=0,0,K35/TrRoad_act!K48*1000
)</f>
        <v>288.75194207906088</v>
      </c>
      <c r="L72" s="87">
        <f>IF(TrRoad_act!L48=0,0,L35/TrRoad_act!L48*1000
)</f>
        <v>281.58739365196652</v>
      </c>
      <c r="M72" s="87">
        <f>IF(TrRoad_act!M48=0,0,M35/TrRoad_act!M48*1000
)</f>
        <v>279.13413394508461</v>
      </c>
      <c r="N72" s="87">
        <f>IF(TrRoad_act!N48=0,0,N35/TrRoad_act!N48*1000
)</f>
        <v>275.06826763860562</v>
      </c>
      <c r="O72" s="87">
        <f>IF(TrRoad_act!O48=0,0,O35/TrRoad_act!O48*1000
)</f>
        <v>272.18592061540818</v>
      </c>
      <c r="P72" s="87">
        <f>IF(TrRoad_act!P48=0,0,P35/TrRoad_act!P48*1000
)</f>
        <v>268.00180775280637</v>
      </c>
      <c r="Q72" s="87">
        <f>IF(TrRoad_act!Q48=0,0,Q35/TrRoad_act!Q48*1000
)</f>
        <v>265.26879561873659</v>
      </c>
      <c r="R72" s="87">
        <f>IF(TrRoad_act!R48=0,0,R35/TrRoad_act!R48*1000
)</f>
        <v>260.56619662089747</v>
      </c>
      <c r="S72" s="87">
        <f>IF(TrRoad_act!S48=0,0,S35/TrRoad_act!S48*1000
)</f>
        <v>257.18730618422552</v>
      </c>
      <c r="T72" s="87">
        <f>IF(TrRoad_act!T48=0,0,T35/TrRoad_act!T48*1000
)</f>
        <v>250.0670786176828</v>
      </c>
      <c r="U72" s="87">
        <f>IF(TrRoad_act!U48=0,0,U35/TrRoad_act!U48*1000
)</f>
        <v>246.41361562229707</v>
      </c>
      <c r="V72" s="87">
        <f>IF(TrRoad_act!V48=0,0,V35/TrRoad_act!V48*1000
)</f>
        <v>241.66381937022891</v>
      </c>
      <c r="W72" s="87">
        <f>IF(TrRoad_act!W48=0,0,W35/TrRoad_act!W48*1000
)</f>
        <v>239.55836394279615</v>
      </c>
      <c r="X72" s="87">
        <f>IF(TrRoad_act!X48=0,0,X35/TrRoad_act!X48*1000
)</f>
        <v>238.54981411207032</v>
      </c>
      <c r="Y72" s="87">
        <f>IF(TrRoad_act!Y48=0,0,Y35/TrRoad_act!Y48*1000
)</f>
        <v>236.91935236002928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314.47669699346307</v>
      </c>
      <c r="C73" s="87">
        <f>IF(TrRoad_act!C49=0,0,C36/TrRoad_act!C49*1000
)</f>
        <v>394.93061767779614</v>
      </c>
      <c r="D73" s="87">
        <f>IF(TrRoad_act!D49=0,0,D36/TrRoad_act!D49*1000
)</f>
        <v>440.4067711239399</v>
      </c>
      <c r="E73" s="87">
        <f>IF(TrRoad_act!E49=0,0,E36/TrRoad_act!E49*1000
)</f>
        <v>371.64954452739624</v>
      </c>
      <c r="F73" s="87">
        <f>IF(TrRoad_act!F49=0,0,F36/TrRoad_act!F49*1000
)</f>
        <v>377.73470992865919</v>
      </c>
      <c r="G73" s="87">
        <f>IF(TrRoad_act!G49=0,0,G36/TrRoad_act!G49*1000
)</f>
        <v>377.68975236316123</v>
      </c>
      <c r="H73" s="87">
        <f>IF(TrRoad_act!H49=0,0,H36/TrRoad_act!H49*1000
)</f>
        <v>367.41346398703905</v>
      </c>
      <c r="I73" s="87">
        <f>IF(TrRoad_act!I49=0,0,I36/TrRoad_act!I49*1000
)</f>
        <v>369.17638702601249</v>
      </c>
      <c r="J73" s="87">
        <f>IF(TrRoad_act!J49=0,0,J36/TrRoad_act!J49*1000
)</f>
        <v>351.49517748502876</v>
      </c>
      <c r="K73" s="87">
        <f>IF(TrRoad_act!K49=0,0,K36/TrRoad_act!K49*1000
)</f>
        <v>321.58133259468872</v>
      </c>
      <c r="L73" s="87">
        <f>IF(TrRoad_act!L49=0,0,L36/TrRoad_act!L49*1000
)</f>
        <v>356.00084914153217</v>
      </c>
      <c r="M73" s="87">
        <f>IF(TrRoad_act!M49=0,0,M36/TrRoad_act!M49*1000
)</f>
        <v>359.90489058938209</v>
      </c>
      <c r="N73" s="87">
        <f>IF(TrRoad_act!N49=0,0,N36/TrRoad_act!N49*1000
)</f>
        <v>354.04319360370556</v>
      </c>
      <c r="O73" s="87">
        <f>IF(TrRoad_act!O49=0,0,O36/TrRoad_act!O49*1000
)</f>
        <v>327.25055157851068</v>
      </c>
      <c r="P73" s="87">
        <f>IF(TrRoad_act!P49=0,0,P36/TrRoad_act!P49*1000
)</f>
        <v>319.97811521861405</v>
      </c>
      <c r="Q73" s="87">
        <f>IF(TrRoad_act!Q49=0,0,Q36/TrRoad_act!Q49*1000
)</f>
        <v>301.20373795671065</v>
      </c>
      <c r="R73" s="87">
        <f>IF(TrRoad_act!R49=0,0,R36/TrRoad_act!R49*1000
)</f>
        <v>280.44806423031366</v>
      </c>
      <c r="S73" s="87">
        <f>IF(TrRoad_act!S49=0,0,S36/TrRoad_act!S49*1000
)</f>
        <v>275.26995023455851</v>
      </c>
      <c r="T73" s="87">
        <f>IF(TrRoad_act!T49=0,0,T36/TrRoad_act!T49*1000
)</f>
        <v>264.52786271088326</v>
      </c>
      <c r="U73" s="87">
        <f>IF(TrRoad_act!U49=0,0,U36/TrRoad_act!U49*1000
)</f>
        <v>258.31063611684493</v>
      </c>
      <c r="V73" s="87">
        <f>IF(TrRoad_act!V49=0,0,V36/TrRoad_act!V49*1000
)</f>
        <v>245.96143992182073</v>
      </c>
      <c r="W73" s="87">
        <f>IF(TrRoad_act!W49=0,0,W36/TrRoad_act!W49*1000
)</f>
        <v>255.9591942954811</v>
      </c>
      <c r="X73" s="87">
        <f>IF(TrRoad_act!X49=0,0,X36/TrRoad_act!X49*1000
)</f>
        <v>260.24863757686063</v>
      </c>
      <c r="Y73" s="87">
        <f>IF(TrRoad_act!Y49=0,0,Y36/TrRoad_act!Y49*1000
)</f>
        <v>274.14802387009007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223.06727596914325</v>
      </c>
      <c r="S74" s="87">
        <f>IF(TrRoad_act!S50=0,0,S37/TrRoad_act!S50*1000
)</f>
        <v>201.32780950098538</v>
      </c>
      <c r="T74" s="87">
        <f>IF(TrRoad_act!T50=0,0,T37/TrRoad_act!T50*1000
)</f>
        <v>199.96359061667044</v>
      </c>
      <c r="U74" s="87">
        <f>IF(TrRoad_act!U50=0,0,U37/TrRoad_act!U50*1000
)</f>
        <v>204.73150106790052</v>
      </c>
      <c r="V74" s="87">
        <f>IF(TrRoad_act!V50=0,0,V37/TrRoad_act!V50*1000
)</f>
        <v>204.98232919921796</v>
      </c>
      <c r="W74" s="87">
        <f>IF(TrRoad_act!W50=0,0,W37/TrRoad_act!W50*1000
)</f>
        <v>204.98232919921787</v>
      </c>
      <c r="X74" s="87">
        <f>IF(TrRoad_act!X50=0,0,X37/TrRoad_act!X50*1000
)</f>
        <v>205.25884173852936</v>
      </c>
      <c r="Y74" s="87">
        <f>IF(TrRoad_act!Y50=0,0,Y37/TrRoad_act!Y50*1000
)</f>
        <v>203.8342887960151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208.08354635455674</v>
      </c>
      <c r="O75" s="87">
        <f>IF(TrRoad_act!O51=0,0,O38/TrRoad_act!O51*1000
)</f>
        <v>209.89783068006039</v>
      </c>
      <c r="P75" s="87">
        <f>IF(TrRoad_act!P51=0,0,P38/TrRoad_act!P51*1000
)</f>
        <v>220.60097619817302</v>
      </c>
      <c r="Q75" s="87">
        <f>IF(TrRoad_act!Q51=0,0,Q38/TrRoad_act!Q51*1000
)</f>
        <v>214.24757072658736</v>
      </c>
      <c r="R75" s="87">
        <f>IF(TrRoad_act!R51=0,0,R38/TrRoad_act!R51*1000
)</f>
        <v>214.29633533451192</v>
      </c>
      <c r="S75" s="87">
        <f>IF(TrRoad_act!S51=0,0,S38/TrRoad_act!S51*1000
)</f>
        <v>189.14756543286359</v>
      </c>
      <c r="T75" s="87">
        <f>IF(TrRoad_act!T51=0,0,T38/TrRoad_act!T51*1000
)</f>
        <v>161.11215047467849</v>
      </c>
      <c r="U75" s="87">
        <f>IF(TrRoad_act!U51=0,0,U38/TrRoad_act!U51*1000
)</f>
        <v>150.35506811717872</v>
      </c>
      <c r="V75" s="87">
        <f>IF(TrRoad_act!V51=0,0,V38/TrRoad_act!V51*1000
)</f>
        <v>157.7173932420917</v>
      </c>
      <c r="W75" s="87">
        <f>IF(TrRoad_act!W51=0,0,W38/TrRoad_act!W51*1000
)</f>
        <v>151.14954781093999</v>
      </c>
      <c r="X75" s="87">
        <f>IF(TrRoad_act!X51=0,0,X38/TrRoad_act!X51*1000
)</f>
        <v>138.807222625061</v>
      </c>
      <c r="Y75" s="87">
        <f>IF(TrRoad_act!Y51=0,0,Y38/TrRoad_act!Y51*1000
)</f>
        <v>125.89380753658492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1083.0128750701801</v>
      </c>
      <c r="C77" s="116">
        <f>IF(TrRoad_act!C53=0,0,C40/TrRoad_act!C53*1000
)</f>
        <v>1308.6031955020921</v>
      </c>
      <c r="D77" s="116">
        <f>IF(TrRoad_act!D53=0,0,D40/TrRoad_act!D53*1000
)</f>
        <v>1396.960634003</v>
      </c>
      <c r="E77" s="116">
        <f>IF(TrRoad_act!E53=0,0,E40/TrRoad_act!E53*1000
)</f>
        <v>1154.6134552672581</v>
      </c>
      <c r="F77" s="116">
        <f>IF(TrRoad_act!F53=0,0,F40/TrRoad_act!F53*1000
)</f>
        <v>1188.8308118026957</v>
      </c>
      <c r="G77" s="116">
        <f>IF(TrRoad_act!G53=0,0,G40/TrRoad_act!G53*1000
)</f>
        <v>1219.4555956180432</v>
      </c>
      <c r="H77" s="116">
        <f>IF(TrRoad_act!H53=0,0,H40/TrRoad_act!H53*1000
)</f>
        <v>1214.9734028441428</v>
      </c>
      <c r="I77" s="116">
        <f>IF(TrRoad_act!I53=0,0,I40/TrRoad_act!I53*1000
)</f>
        <v>1284.1858942965152</v>
      </c>
      <c r="J77" s="116">
        <f>IF(TrRoad_act!J53=0,0,J40/TrRoad_act!J53*1000
)</f>
        <v>1282.3649728709697</v>
      </c>
      <c r="K77" s="116">
        <f>IF(TrRoad_act!K53=0,0,K40/TrRoad_act!K53*1000
)</f>
        <v>1216.8914858229941</v>
      </c>
      <c r="L77" s="116">
        <f>IF(TrRoad_act!L53=0,0,L40/TrRoad_act!L53*1000
)</f>
        <v>1493.056745669061</v>
      </c>
      <c r="M77" s="116">
        <f>IF(TrRoad_act!M53=0,0,M40/TrRoad_act!M53*1000
)</f>
        <v>1517.5512935050072</v>
      </c>
      <c r="N77" s="116">
        <f>IF(TrRoad_act!N53=0,0,N40/TrRoad_act!N53*1000
)</f>
        <v>1521.6684619648634</v>
      </c>
      <c r="O77" s="116">
        <f>IF(TrRoad_act!O53=0,0,O40/TrRoad_act!O53*1000
)</f>
        <v>1327.3158189668163</v>
      </c>
      <c r="P77" s="116">
        <f>IF(TrRoad_act!P53=0,0,P40/TrRoad_act!P53*1000
)</f>
        <v>1299.6693149230127</v>
      </c>
      <c r="Q77" s="116">
        <f>IF(TrRoad_act!Q53=0,0,Q40/TrRoad_act!Q53*1000
)</f>
        <v>1181.4131292294217</v>
      </c>
      <c r="R77" s="116">
        <f>IF(TrRoad_act!R53=0,0,R40/TrRoad_act!R53*1000
)</f>
        <v>1012.8535891810742</v>
      </c>
      <c r="S77" s="116">
        <f>IF(TrRoad_act!S53=0,0,S40/TrRoad_act!S53*1000
)</f>
        <v>987.99749931151632</v>
      </c>
      <c r="T77" s="116">
        <f>IF(TrRoad_act!T53=0,0,T40/TrRoad_act!T53*1000
)</f>
        <v>935.41769563439129</v>
      </c>
      <c r="U77" s="116">
        <f>IF(TrRoad_act!U53=0,0,U40/TrRoad_act!U53*1000
)</f>
        <v>888.23693875876734</v>
      </c>
      <c r="V77" s="116">
        <f>IF(TrRoad_act!V53=0,0,V40/TrRoad_act!V53*1000
)</f>
        <v>806.69945862917257</v>
      </c>
      <c r="W77" s="116">
        <f>IF(TrRoad_act!W53=0,0,W40/TrRoad_act!W53*1000
)</f>
        <v>896.66590988501264</v>
      </c>
      <c r="X77" s="116">
        <f>IF(TrRoad_act!X53=0,0,X40/TrRoad_act!X53*1000
)</f>
        <v>959.55838264782562</v>
      </c>
      <c r="Y77" s="116">
        <f>IF(TrRoad_act!Y53=0,0,Y40/TrRoad_act!Y53*1000
)</f>
        <v>1098.0594770453501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1039.9978977156745</v>
      </c>
      <c r="C78" s="101">
        <f>IF(TrRoad_act!C54=0,0,C41/TrRoad_act!C54*1000
)</f>
        <v>1249.0205479603283</v>
      </c>
      <c r="D78" s="101">
        <f>IF(TrRoad_act!D54=0,0,D41/TrRoad_act!D54*1000
)</f>
        <v>1341.5317419124947</v>
      </c>
      <c r="E78" s="101">
        <f>IF(TrRoad_act!E54=0,0,E41/TrRoad_act!E54*1000
)</f>
        <v>1120.4570378828689</v>
      </c>
      <c r="F78" s="101">
        <f>IF(TrRoad_act!F54=0,0,F41/TrRoad_act!F54*1000
)</f>
        <v>1153.5154002587526</v>
      </c>
      <c r="G78" s="101">
        <f>IF(TrRoad_act!G54=0,0,G41/TrRoad_act!G54*1000
)</f>
        <v>1183.9411748358214</v>
      </c>
      <c r="H78" s="101">
        <f>IF(TrRoad_act!H54=0,0,H41/TrRoad_act!H54*1000
)</f>
        <v>1180.729221017868</v>
      </c>
      <c r="I78" s="101">
        <f>IF(TrRoad_act!I54=0,0,I41/TrRoad_act!I54*1000
)</f>
        <v>1248.0433323582356</v>
      </c>
      <c r="J78" s="101">
        <f>IF(TrRoad_act!J54=0,0,J41/TrRoad_act!J54*1000
)</f>
        <v>1247.9087422375437</v>
      </c>
      <c r="K78" s="101">
        <f>IF(TrRoad_act!K54=0,0,K41/TrRoad_act!K54*1000
)</f>
        <v>1183.4739458674296</v>
      </c>
      <c r="L78" s="101">
        <f>IF(TrRoad_act!L54=0,0,L41/TrRoad_act!L54*1000
)</f>
        <v>1450.9890161434362</v>
      </c>
      <c r="M78" s="101">
        <f>IF(TrRoad_act!M54=0,0,M41/TrRoad_act!M54*1000
)</f>
        <v>1475.9198983841043</v>
      </c>
      <c r="N78" s="101">
        <f>IF(TrRoad_act!N54=0,0,N41/TrRoad_act!N54*1000
)</f>
        <v>1480.3909392301953</v>
      </c>
      <c r="O78" s="101">
        <f>IF(TrRoad_act!O54=0,0,O41/TrRoad_act!O54*1000
)</f>
        <v>1289.5489000997288</v>
      </c>
      <c r="P78" s="101">
        <f>IF(TrRoad_act!P54=0,0,P41/TrRoad_act!P54*1000
)</f>
        <v>1259.9281463000405</v>
      </c>
      <c r="Q78" s="101">
        <f>IF(TrRoad_act!Q54=0,0,Q41/TrRoad_act!Q54*1000
)</f>
        <v>1140.7889323343798</v>
      </c>
      <c r="R78" s="101">
        <f>IF(TrRoad_act!R54=0,0,R41/TrRoad_act!R54*1000
)</f>
        <v>978.06541119550604</v>
      </c>
      <c r="S78" s="101">
        <f>IF(TrRoad_act!S54=0,0,S41/TrRoad_act!S54*1000
)</f>
        <v>947.27752035768731</v>
      </c>
      <c r="T78" s="101">
        <f>IF(TrRoad_act!T54=0,0,T41/TrRoad_act!T54*1000
)</f>
        <v>894.16876622538632</v>
      </c>
      <c r="U78" s="101">
        <f>IF(TrRoad_act!U54=0,0,U41/TrRoad_act!U54*1000
)</f>
        <v>842.08915821603819</v>
      </c>
      <c r="V78" s="101">
        <f>IF(TrRoad_act!V54=0,0,V41/TrRoad_act!V54*1000
)</f>
        <v>753.46467051881439</v>
      </c>
      <c r="W78" s="101">
        <f>IF(TrRoad_act!W54=0,0,W41/TrRoad_act!W54*1000
)</f>
        <v>846.92631624766341</v>
      </c>
      <c r="X78" s="101">
        <f>IF(TrRoad_act!X54=0,0,X41/TrRoad_act!X54*1000
)</f>
        <v>898.08477362150461</v>
      </c>
      <c r="Y78" s="101">
        <f>IF(TrRoad_act!Y54=0,0,Y41/TrRoad_act!Y54*1000
)</f>
        <v>1021.9261785510263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1186.7340278076394</v>
      </c>
      <c r="C79" s="88">
        <f>IF(TrRoad_act!C55=0,0,C42/TrRoad_act!C55*1000
)</f>
        <v>1415.7434891865219</v>
      </c>
      <c r="D79" s="88">
        <f>IF(TrRoad_act!D55=0,0,D42/TrRoad_act!D55*1000
)</f>
        <v>1527.120677288319</v>
      </c>
      <c r="E79" s="88">
        <f>IF(TrRoad_act!E55=0,0,E42/TrRoad_act!E55*1000
)</f>
        <v>1282.5699549417136</v>
      </c>
      <c r="F79" s="88">
        <f>IF(TrRoad_act!F55=0,0,F42/TrRoad_act!F55*1000
)</f>
        <v>1309.4336333483641</v>
      </c>
      <c r="G79" s="88">
        <f>IF(TrRoad_act!G55=0,0,G42/TrRoad_act!G55*1000
)</f>
        <v>1339.0372261709761</v>
      </c>
      <c r="H79" s="88">
        <f>IF(TrRoad_act!H55=0,0,H42/TrRoad_act!H55*1000
)</f>
        <v>1328.8052616085713</v>
      </c>
      <c r="I79" s="88">
        <f>IF(TrRoad_act!I55=0,0,I42/TrRoad_act!I55*1000
)</f>
        <v>1399.7246421969296</v>
      </c>
      <c r="J79" s="88">
        <f>IF(TrRoad_act!J55=0,0,J42/TrRoad_act!J55*1000
)</f>
        <v>1398.7169883127822</v>
      </c>
      <c r="K79" s="88">
        <f>IF(TrRoad_act!K55=0,0,K42/TrRoad_act!K55*1000
)</f>
        <v>1317.2083806513483</v>
      </c>
      <c r="L79" s="88">
        <f>IF(TrRoad_act!L55=0,0,L42/TrRoad_act!L55*1000
)</f>
        <v>1607.3581101222642</v>
      </c>
      <c r="M79" s="88">
        <f>IF(TrRoad_act!M55=0,0,M42/TrRoad_act!M55*1000
)</f>
        <v>1623.6730311675769</v>
      </c>
      <c r="N79" s="88">
        <f>IF(TrRoad_act!N55=0,0,N42/TrRoad_act!N55*1000
)</f>
        <v>1621.9371698199693</v>
      </c>
      <c r="O79" s="88">
        <f>IF(TrRoad_act!O55=0,0,O42/TrRoad_act!O55*1000
)</f>
        <v>1407.9975149275724</v>
      </c>
      <c r="P79" s="88">
        <f>IF(TrRoad_act!P55=0,0,P42/TrRoad_act!P55*1000
)</f>
        <v>1378.2514773021153</v>
      </c>
      <c r="Q79" s="88">
        <f>IF(TrRoad_act!Q55=0,0,Q42/TrRoad_act!Q55*1000
)</f>
        <v>1247.7580925361642</v>
      </c>
      <c r="R79" s="88">
        <f>IF(TrRoad_act!R55=0,0,R42/TrRoad_act!R55*1000
)</f>
        <v>1078.0717960519748</v>
      </c>
      <c r="S79" s="88">
        <f>IF(TrRoad_act!S55=0,0,S42/TrRoad_act!S55*1000
)</f>
        <v>1054.3350522900801</v>
      </c>
      <c r="T79" s="88">
        <f>IF(TrRoad_act!T55=0,0,T42/TrRoad_act!T55*1000
)</f>
        <v>1004.4038375917686</v>
      </c>
      <c r="U79" s="88">
        <f>IF(TrRoad_act!U55=0,0,U42/TrRoad_act!U55*1000
)</f>
        <v>965.00332216732352</v>
      </c>
      <c r="V79" s="88">
        <f>IF(TrRoad_act!V55=0,0,V42/TrRoad_act!V55*1000
)</f>
        <v>867.61162307918812</v>
      </c>
      <c r="W79" s="88">
        <f>IF(TrRoad_act!W55=0,0,W42/TrRoad_act!W55*1000
)</f>
        <v>984.31658417772792</v>
      </c>
      <c r="X79" s="88">
        <f>IF(TrRoad_act!X55=0,0,X42/TrRoad_act!X55*1000
)</f>
        <v>1052.498791268981</v>
      </c>
      <c r="Y79" s="88">
        <f>IF(TrRoad_act!Y55=0,0,Y42/TrRoad_act!Y55*1000
)</f>
        <v>1206.2740456214767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115.28441590493146</v>
      </c>
      <c r="C82" s="29">
        <f>IF(TrRoad_act!C4=0,0,C18/TrRoad_act!C4*1000)</f>
        <v>143.87827210974987</v>
      </c>
      <c r="D82" s="29">
        <f>IF(TrRoad_act!D4=0,0,D18/TrRoad_act!D4*1000)</f>
        <v>140.83558457952483</v>
      </c>
      <c r="E82" s="29">
        <f>IF(TrRoad_act!E4=0,0,E18/TrRoad_act!E4*1000)</f>
        <v>128.75191912681825</v>
      </c>
      <c r="F82" s="29">
        <f>IF(TrRoad_act!F4=0,0,F18/TrRoad_act!F4*1000)</f>
        <v>128.04052593503235</v>
      </c>
      <c r="G82" s="29">
        <f>IF(TrRoad_act!G4=0,0,G18/TrRoad_act!G4*1000)</f>
        <v>111.67705929813964</v>
      </c>
      <c r="H82" s="29">
        <f>IF(TrRoad_act!H4=0,0,H18/TrRoad_act!H4*1000)</f>
        <v>121.5944648072303</v>
      </c>
      <c r="I82" s="29">
        <f>IF(TrRoad_act!I4=0,0,I18/TrRoad_act!I4*1000)</f>
        <v>130.29991909179029</v>
      </c>
      <c r="J82" s="29">
        <f>IF(TrRoad_act!J4=0,0,J18/TrRoad_act!J4*1000)</f>
        <v>123.66015736836948</v>
      </c>
      <c r="K82" s="29">
        <f>IF(TrRoad_act!K4=0,0,K18/TrRoad_act!K4*1000)</f>
        <v>120.57411166398911</v>
      </c>
      <c r="L82" s="29">
        <f>IF(TrRoad_act!L4=0,0,L18/TrRoad_act!L4*1000)</f>
        <v>126.15343517453165</v>
      </c>
      <c r="M82" s="29">
        <f>IF(TrRoad_act!M4=0,0,M18/TrRoad_act!M4*1000)</f>
        <v>123.4778151735887</v>
      </c>
      <c r="N82" s="29">
        <f>IF(TrRoad_act!N4=0,0,N18/TrRoad_act!N4*1000)</f>
        <v>124.57702414095651</v>
      </c>
      <c r="O82" s="29">
        <f>IF(TrRoad_act!O4=0,0,O18/TrRoad_act!O4*1000)</f>
        <v>118.65018205632188</v>
      </c>
      <c r="P82" s="29">
        <f>IF(TrRoad_act!P4=0,0,P18/TrRoad_act!P4*1000)</f>
        <v>115.31189316882889</v>
      </c>
      <c r="Q82" s="29">
        <f>IF(TrRoad_act!Q4=0,0,Q18/TrRoad_act!Q4*1000)</f>
        <v>113.8731622000977</v>
      </c>
      <c r="R82" s="29">
        <f>IF(TrRoad_act!R4=0,0,R18/TrRoad_act!R4*1000)</f>
        <v>110.54942808696029</v>
      </c>
      <c r="S82" s="29">
        <f>IF(TrRoad_act!S4=0,0,S18/TrRoad_act!S4*1000)</f>
        <v>115.03366178384803</v>
      </c>
      <c r="T82" s="29">
        <f>IF(TrRoad_act!T4=0,0,T18/TrRoad_act!T4*1000)</f>
        <v>115.09946449663897</v>
      </c>
      <c r="U82" s="29">
        <f>IF(TrRoad_act!U4=0,0,U18/TrRoad_act!U4*1000)</f>
        <v>106.30501699206873</v>
      </c>
      <c r="V82" s="29">
        <f>IF(TrRoad_act!V4=0,0,V18/TrRoad_act!V4*1000)</f>
        <v>125.01382079417947</v>
      </c>
      <c r="W82" s="29">
        <f>IF(TrRoad_act!W4=0,0,W18/TrRoad_act!W4*1000)</f>
        <v>120.36642797206257</v>
      </c>
      <c r="X82" s="29">
        <f>IF(TrRoad_act!X4=0,0,X18/TrRoad_act!X4*1000)</f>
        <v>109.45572227964612</v>
      </c>
      <c r="Y82" s="29">
        <f>IF(TrRoad_act!Y4=0,0,Y18/TrRoad_act!Y4*1000)</f>
        <v>100.28875258206709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134.55315209142728</v>
      </c>
      <c r="C83" s="152">
        <f>IF(TrRoad_act!C5=0,0,C19/TrRoad_act!C5*1000)</f>
        <v>134.09394321679133</v>
      </c>
      <c r="D83" s="152">
        <f>IF(TrRoad_act!D5=0,0,D19/TrRoad_act!D5*1000)</f>
        <v>132.85068336787785</v>
      </c>
      <c r="E83" s="152">
        <f>IF(TrRoad_act!E5=0,0,E19/TrRoad_act!E5*1000)</f>
        <v>131.10613508780776</v>
      </c>
      <c r="F83" s="152">
        <f>IF(TrRoad_act!F5=0,0,F19/TrRoad_act!F5*1000)</f>
        <v>129.51842238870199</v>
      </c>
      <c r="G83" s="152">
        <f>IF(TrRoad_act!G5=0,0,G19/TrRoad_act!G5*1000)</f>
        <v>128.14645295686847</v>
      </c>
      <c r="H83" s="152">
        <f>IF(TrRoad_act!H5=0,0,H19/TrRoad_act!H5*1000)</f>
        <v>125.75752302942922</v>
      </c>
      <c r="I83" s="152">
        <f>IF(TrRoad_act!I5=0,0,I19/TrRoad_act!I5*1000)</f>
        <v>123.90806061339228</v>
      </c>
      <c r="J83" s="152">
        <f>IF(TrRoad_act!J5=0,0,J19/TrRoad_act!J5*1000)</f>
        <v>121.07704090509465</v>
      </c>
      <c r="K83" s="152">
        <f>IF(TrRoad_act!K5=0,0,K19/TrRoad_act!K5*1000)</f>
        <v>120.24173528636456</v>
      </c>
      <c r="L83" s="152">
        <f>IF(TrRoad_act!L5=0,0,L19/TrRoad_act!L5*1000)</f>
        <v>117.30094333365247</v>
      </c>
      <c r="M83" s="152">
        <f>IF(TrRoad_act!M5=0,0,M19/TrRoad_act!M5*1000)</f>
        <v>114.39583492546431</v>
      </c>
      <c r="N83" s="152">
        <f>IF(TrRoad_act!N5=0,0,N19/TrRoad_act!N5*1000)</f>
        <v>109.31587535566871</v>
      </c>
      <c r="O83" s="152">
        <f>IF(TrRoad_act!O5=0,0,O19/TrRoad_act!O5*1000)</f>
        <v>107.99079501690544</v>
      </c>
      <c r="P83" s="152">
        <f>IF(TrRoad_act!P5=0,0,P19/TrRoad_act!P5*1000)</f>
        <v>105.27597341393741</v>
      </c>
      <c r="Q83" s="152">
        <f>IF(TrRoad_act!Q5=0,0,Q19/TrRoad_act!Q5*1000)</f>
        <v>105.01604797978625</v>
      </c>
      <c r="R83" s="152">
        <f>IF(TrRoad_act!R5=0,0,R19/TrRoad_act!R5*1000)</f>
        <v>103.72933954902248</v>
      </c>
      <c r="S83" s="152">
        <f>IF(TrRoad_act!S5=0,0,S19/TrRoad_act!S5*1000)</f>
        <v>102.87735606986938</v>
      </c>
      <c r="T83" s="152">
        <f>IF(TrRoad_act!T5=0,0,T19/TrRoad_act!T5*1000)</f>
        <v>100.67383853484982</v>
      </c>
      <c r="U83" s="152">
        <f>IF(TrRoad_act!U5=0,0,U19/TrRoad_act!U5*1000)</f>
        <v>99.061331193533164</v>
      </c>
      <c r="V83" s="152">
        <f>IF(TrRoad_act!V5=0,0,V19/TrRoad_act!V5*1000)</f>
        <v>98.216399364660802</v>
      </c>
      <c r="W83" s="152">
        <f>IF(TrRoad_act!W5=0,0,W19/TrRoad_act!W5*1000)</f>
        <v>98.202776592194283</v>
      </c>
      <c r="X83" s="152">
        <f>IF(TrRoad_act!X5=0,0,X19/TrRoad_act!X5*1000)</f>
        <v>98.678879892656823</v>
      </c>
      <c r="Y83" s="152">
        <f>IF(TrRoad_act!Y5=0,0,Y19/TrRoad_act!Y5*1000)</f>
        <v>98.108245023450294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121.62260081472168</v>
      </c>
      <c r="C84" s="116">
        <f>IF(TrRoad_act!C6=0,0,C20/TrRoad_act!C6*1000)</f>
        <v>150.34724893414645</v>
      </c>
      <c r="D84" s="116">
        <f>IF(TrRoad_act!D6=0,0,D20/TrRoad_act!D6*1000)</f>
        <v>138.81616368524527</v>
      </c>
      <c r="E84" s="116">
        <f>IF(TrRoad_act!E6=0,0,E20/TrRoad_act!E6*1000)</f>
        <v>127.74116011522918</v>
      </c>
      <c r="F84" s="116">
        <f>IF(TrRoad_act!F6=0,0,F20/TrRoad_act!F6*1000)</f>
        <v>128.31485000017193</v>
      </c>
      <c r="G84" s="116">
        <f>IF(TrRoad_act!G6=0,0,G20/TrRoad_act!G6*1000)</f>
        <v>109.00700306168972</v>
      </c>
      <c r="H84" s="116">
        <f>IF(TrRoad_act!H6=0,0,H20/TrRoad_act!H6*1000)</f>
        <v>123.06707706399278</v>
      </c>
      <c r="I84" s="116">
        <f>IF(TrRoad_act!I6=0,0,I20/TrRoad_act!I6*1000)</f>
        <v>136.34408621257361</v>
      </c>
      <c r="J84" s="116">
        <f>IF(TrRoad_act!J6=0,0,J20/TrRoad_act!J6*1000)</f>
        <v>127.61823700029356</v>
      </c>
      <c r="K84" s="116">
        <f>IF(TrRoad_act!K6=0,0,K20/TrRoad_act!K6*1000)</f>
        <v>123.05300820050103</v>
      </c>
      <c r="L84" s="116">
        <f>IF(TrRoad_act!L6=0,0,L20/TrRoad_act!L6*1000)</f>
        <v>127.79286036262586</v>
      </c>
      <c r="M84" s="116">
        <f>IF(TrRoad_act!M6=0,0,M20/TrRoad_act!M6*1000)</f>
        <v>124.77750900092813</v>
      </c>
      <c r="N84" s="116">
        <f>IF(TrRoad_act!N6=0,0,N20/TrRoad_act!N6*1000)</f>
        <v>123.5449311519164</v>
      </c>
      <c r="O84" s="116">
        <f>IF(TrRoad_act!O6=0,0,O20/TrRoad_act!O6*1000)</f>
        <v>117.30357274688853</v>
      </c>
      <c r="P84" s="116">
        <f>IF(TrRoad_act!P6=0,0,P20/TrRoad_act!P6*1000)</f>
        <v>113.11618023414937</v>
      </c>
      <c r="Q84" s="116">
        <f>IF(TrRoad_act!Q6=0,0,Q20/TrRoad_act!Q6*1000)</f>
        <v>114.78367355835969</v>
      </c>
      <c r="R84" s="116">
        <f>IF(TrRoad_act!R6=0,0,R20/TrRoad_act!R6*1000)</f>
        <v>113.51195621927589</v>
      </c>
      <c r="S84" s="116">
        <f>IF(TrRoad_act!S6=0,0,S20/TrRoad_act!S6*1000)</f>
        <v>115.51373855368136</v>
      </c>
      <c r="T84" s="116">
        <f>IF(TrRoad_act!T6=0,0,T20/TrRoad_act!T6*1000)</f>
        <v>115.82050692746108</v>
      </c>
      <c r="U84" s="116">
        <f>IF(TrRoad_act!U6=0,0,U20/TrRoad_act!U6*1000)</f>
        <v>109.25464842774508</v>
      </c>
      <c r="V84" s="116">
        <f>IF(TrRoad_act!V6=0,0,V20/TrRoad_act!V6*1000)</f>
        <v>116.67504860628745</v>
      </c>
      <c r="W84" s="116">
        <f>IF(TrRoad_act!W6=0,0,W20/TrRoad_act!W6*1000)</f>
        <v>109.73952219656459</v>
      </c>
      <c r="X84" s="116">
        <f>IF(TrRoad_act!X6=0,0,X20/TrRoad_act!X6*1000)</f>
        <v>104.72220698849652</v>
      </c>
      <c r="Y84" s="116">
        <f>IF(TrRoad_act!Y6=0,0,Y20/TrRoad_act!Y6*1000)</f>
        <v>102.54872741977505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122.99344538146256</v>
      </c>
      <c r="C85" s="87">
        <f>IF(TrRoad_act!C7=0,0,C21/TrRoad_act!C7*1000)</f>
        <v>148.60457215168574</v>
      </c>
      <c r="D85" s="87">
        <f>IF(TrRoad_act!D7=0,0,D21/TrRoad_act!D7*1000)</f>
        <v>133.82623603965592</v>
      </c>
      <c r="E85" s="87">
        <f>IF(TrRoad_act!E7=0,0,E21/TrRoad_act!E7*1000)</f>
        <v>124.83642794725472</v>
      </c>
      <c r="F85" s="87">
        <f>IF(TrRoad_act!F7=0,0,F21/TrRoad_act!F7*1000)</f>
        <v>125.11133339972899</v>
      </c>
      <c r="G85" s="87">
        <f>IF(TrRoad_act!G7=0,0,G21/TrRoad_act!G7*1000)</f>
        <v>106.92671514826232</v>
      </c>
      <c r="H85" s="87">
        <f>IF(TrRoad_act!H7=0,0,H21/TrRoad_act!H7*1000)</f>
        <v>121.91962473195483</v>
      </c>
      <c r="I85" s="87">
        <f>IF(TrRoad_act!I7=0,0,I21/TrRoad_act!I7*1000)</f>
        <v>135.79796382484608</v>
      </c>
      <c r="J85" s="87">
        <f>IF(TrRoad_act!J7=0,0,J21/TrRoad_act!J7*1000)</f>
        <v>129.69244263999946</v>
      </c>
      <c r="K85" s="87">
        <f>IF(TrRoad_act!K7=0,0,K21/TrRoad_act!K7*1000)</f>
        <v>127.67467308194469</v>
      </c>
      <c r="L85" s="87">
        <f>IF(TrRoad_act!L7=0,0,L21/TrRoad_act!L7*1000)</f>
        <v>129.25488750734354</v>
      </c>
      <c r="M85" s="87">
        <f>IF(TrRoad_act!M7=0,0,M21/TrRoad_act!M7*1000)</f>
        <v>125.33359478897727</v>
      </c>
      <c r="N85" s="87">
        <f>IF(TrRoad_act!N7=0,0,N21/TrRoad_act!N7*1000)</f>
        <v>123.90949719448629</v>
      </c>
      <c r="O85" s="87">
        <f>IF(TrRoad_act!O7=0,0,O21/TrRoad_act!O7*1000)</f>
        <v>119.66756198413836</v>
      </c>
      <c r="P85" s="87">
        <f>IF(TrRoad_act!P7=0,0,P21/TrRoad_act!P7*1000)</f>
        <v>115.24707783389039</v>
      </c>
      <c r="Q85" s="87">
        <f>IF(TrRoad_act!Q7=0,0,Q21/TrRoad_act!Q7*1000)</f>
        <v>118.64034594216011</v>
      </c>
      <c r="R85" s="87">
        <f>IF(TrRoad_act!R7=0,0,R21/TrRoad_act!R7*1000)</f>
        <v>118.82584730204418</v>
      </c>
      <c r="S85" s="87">
        <f>IF(TrRoad_act!S7=0,0,S21/TrRoad_act!S7*1000)</f>
        <v>120.26298940791447</v>
      </c>
      <c r="T85" s="87">
        <f>IF(TrRoad_act!T7=0,0,T21/TrRoad_act!T7*1000)</f>
        <v>120.38832893618867</v>
      </c>
      <c r="U85" s="87">
        <f>IF(TrRoad_act!U7=0,0,U21/TrRoad_act!U7*1000)</f>
        <v>114.2773896543941</v>
      </c>
      <c r="V85" s="87">
        <f>IF(TrRoad_act!V7=0,0,V21/TrRoad_act!V7*1000)</f>
        <v>125.12160179147926</v>
      </c>
      <c r="W85" s="87">
        <f>IF(TrRoad_act!W7=0,0,W21/TrRoad_act!W7*1000)</f>
        <v>117.8458667622986</v>
      </c>
      <c r="X85" s="87">
        <f>IF(TrRoad_act!X7=0,0,X21/TrRoad_act!X7*1000)</f>
        <v>109.5821477186042</v>
      </c>
      <c r="Y85" s="87">
        <f>IF(TrRoad_act!Y7=0,0,Y21/TrRoad_act!Y7*1000)</f>
        <v>104.81047424380722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105.90714336145916</v>
      </c>
      <c r="C86" s="87">
        <f>IF(TrRoad_act!C8=0,0,C22/TrRoad_act!C8*1000)</f>
        <v>168.30558547260344</v>
      </c>
      <c r="D86" s="87">
        <f>IF(TrRoad_act!D8=0,0,D22/TrRoad_act!D8*1000)</f>
        <v>180.55277959870895</v>
      </c>
      <c r="E86" s="87">
        <f>IF(TrRoad_act!E8=0,0,E22/TrRoad_act!E8*1000)</f>
        <v>144.43749061917467</v>
      </c>
      <c r="F86" s="87">
        <f>IF(TrRoad_act!F8=0,0,F22/TrRoad_act!F8*1000)</f>
        <v>140.91366808161203</v>
      </c>
      <c r="G86" s="87">
        <f>IF(TrRoad_act!G8=0,0,G22/TrRoad_act!G8*1000)</f>
        <v>115.73511763929126</v>
      </c>
      <c r="H86" s="87">
        <f>IF(TrRoad_act!H8=0,0,H22/TrRoad_act!H8*1000)</f>
        <v>126.19094677201367</v>
      </c>
      <c r="I86" s="87">
        <f>IF(TrRoad_act!I8=0,0,I22/TrRoad_act!I8*1000)</f>
        <v>137.7767224343043</v>
      </c>
      <c r="J86" s="87">
        <f>IF(TrRoad_act!J8=0,0,J22/TrRoad_act!J8*1000)</f>
        <v>123.04588755031752</v>
      </c>
      <c r="K86" s="87">
        <f>IF(TrRoad_act!K8=0,0,K22/TrRoad_act!K8*1000)</f>
        <v>115.00705002688285</v>
      </c>
      <c r="L86" s="87">
        <f>IF(TrRoad_act!L8=0,0,L22/TrRoad_act!L8*1000)</f>
        <v>125.48298655537977</v>
      </c>
      <c r="M86" s="87">
        <f>IF(TrRoad_act!M8=0,0,M22/TrRoad_act!M8*1000)</f>
        <v>124.14452120143392</v>
      </c>
      <c r="N86" s="87">
        <f>IF(TrRoad_act!N8=0,0,N22/TrRoad_act!N8*1000)</f>
        <v>123.6132101990832</v>
      </c>
      <c r="O86" s="87">
        <f>IF(TrRoad_act!O8=0,0,O22/TrRoad_act!O8*1000)</f>
        <v>115.39832922154275</v>
      </c>
      <c r="P86" s="87">
        <f>IF(TrRoad_act!P8=0,0,P22/TrRoad_act!P8*1000)</f>
        <v>111.54581482257085</v>
      </c>
      <c r="Q86" s="87">
        <f>IF(TrRoad_act!Q8=0,0,Q22/TrRoad_act!Q8*1000)</f>
        <v>111.78442198038131</v>
      </c>
      <c r="R86" s="87">
        <f>IF(TrRoad_act!R8=0,0,R22/TrRoad_act!R8*1000)</f>
        <v>109.26799670044043</v>
      </c>
      <c r="S86" s="87">
        <f>IF(TrRoad_act!S8=0,0,S22/TrRoad_act!S8*1000)</f>
        <v>111.57525721145437</v>
      </c>
      <c r="T86" s="87">
        <f>IF(TrRoad_act!T8=0,0,T22/TrRoad_act!T8*1000)</f>
        <v>112.2045027451923</v>
      </c>
      <c r="U86" s="87">
        <f>IF(TrRoad_act!U8=0,0,U22/TrRoad_act!U8*1000)</f>
        <v>106.21911025623903</v>
      </c>
      <c r="V86" s="87">
        <f>IF(TrRoad_act!V8=0,0,V22/TrRoad_act!V8*1000)</f>
        <v>113.74845816293981</v>
      </c>
      <c r="W86" s="87">
        <f>IF(TrRoad_act!W8=0,0,W22/TrRoad_act!W8*1000)</f>
        <v>108.70279604642352</v>
      </c>
      <c r="X86" s="87">
        <f>IF(TrRoad_act!X8=0,0,X22/TrRoad_act!X8*1000)</f>
        <v>105.29424888313096</v>
      </c>
      <c r="Y86" s="87">
        <f>IF(TrRoad_act!Y8=0,0,Y22/TrRoad_act!Y8*1000)</f>
        <v>106.14785621790216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121.82829337992827</v>
      </c>
      <c r="C87" s="87">
        <f>IF(TrRoad_act!C9=0,0,C23/TrRoad_act!C9*1000)</f>
        <v>124.26279964935334</v>
      </c>
      <c r="D87" s="87">
        <f>IF(TrRoad_act!D9=0,0,D23/TrRoad_act!D9*1000)</f>
        <v>118.02166274877587</v>
      </c>
      <c r="E87" s="87">
        <f>IF(TrRoad_act!E9=0,0,E23/TrRoad_act!E9*1000)</f>
        <v>112.75376925867295</v>
      </c>
      <c r="F87" s="87">
        <f>IF(TrRoad_act!F9=0,0,F23/TrRoad_act!F9*1000)</f>
        <v>128.99567463068095</v>
      </c>
      <c r="G87" s="87">
        <f>IF(TrRoad_act!G9=0,0,G23/TrRoad_act!G9*1000)</f>
        <v>104.5220367063522</v>
      </c>
      <c r="H87" s="87">
        <f>IF(TrRoad_act!H9=0,0,H23/TrRoad_act!H9*1000)</f>
        <v>109.41626289144206</v>
      </c>
      <c r="I87" s="87">
        <f>IF(TrRoad_act!I9=0,0,I23/TrRoad_act!I9*1000)</f>
        <v>115.69751935871132</v>
      </c>
      <c r="J87" s="87">
        <f>IF(TrRoad_act!J9=0,0,J23/TrRoad_act!J9*1000)</f>
        <v>139.41097840455166</v>
      </c>
      <c r="K87" s="87">
        <f>IF(TrRoad_act!K9=0,0,K23/TrRoad_act!K9*1000)</f>
        <v>130.88453203462851</v>
      </c>
      <c r="L87" s="87">
        <f>IF(TrRoad_act!L9=0,0,L23/TrRoad_act!L9*1000)</f>
        <v>127.0644829988907</v>
      </c>
      <c r="M87" s="87">
        <f>IF(TrRoad_act!M9=0,0,M23/TrRoad_act!M9*1000)</f>
        <v>120.39404084489432</v>
      </c>
      <c r="N87" s="87">
        <f>IF(TrRoad_act!N9=0,0,N23/TrRoad_act!N9*1000)</f>
        <v>118.28034808601541</v>
      </c>
      <c r="O87" s="87">
        <f>IF(TrRoad_act!O9=0,0,O23/TrRoad_act!O9*1000)</f>
        <v>118.2463988639515</v>
      </c>
      <c r="P87" s="87">
        <f>IF(TrRoad_act!P9=0,0,P23/TrRoad_act!P9*1000)</f>
        <v>119.68467338130071</v>
      </c>
      <c r="Q87" s="87">
        <f>IF(TrRoad_act!Q9=0,0,Q23/TrRoad_act!Q9*1000)</f>
        <v>134.75428979290498</v>
      </c>
      <c r="R87" s="87">
        <f>IF(TrRoad_act!R9=0,0,R23/TrRoad_act!R9*1000)</f>
        <v>127.04140840769315</v>
      </c>
      <c r="S87" s="87">
        <f>IF(TrRoad_act!S9=0,0,S23/TrRoad_act!S9*1000)</f>
        <v>128.94622081894116</v>
      </c>
      <c r="T87" s="87">
        <f>IF(TrRoad_act!T9=0,0,T23/TrRoad_act!T9*1000)</f>
        <v>131.26325249029023</v>
      </c>
      <c r="U87" s="87">
        <f>IF(TrRoad_act!U9=0,0,U23/TrRoad_act!U9*1000)</f>
        <v>128.76270138512695</v>
      </c>
      <c r="V87" s="87">
        <f>IF(TrRoad_act!V9=0,0,V23/TrRoad_act!V9*1000)</f>
        <v>133.06250005290553</v>
      </c>
      <c r="W87" s="87">
        <f>IF(TrRoad_act!W9=0,0,W23/TrRoad_act!W9*1000)</f>
        <v>128.16312800904277</v>
      </c>
      <c r="X87" s="87">
        <f>IF(TrRoad_act!X9=0,0,X23/TrRoad_act!X9*1000)</f>
        <v>129.35117830646527</v>
      </c>
      <c r="Y87" s="87">
        <f>IF(TrRoad_act!Y9=0,0,Y23/TrRoad_act!Y9*1000)</f>
        <v>107.82118387262337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105.34063309988476</v>
      </c>
      <c r="M88" s="87">
        <f>IF(TrRoad_act!M10=0,0,M24/TrRoad_act!M10*1000)</f>
        <v>106.8125948560009</v>
      </c>
      <c r="N88" s="87">
        <f>IF(TrRoad_act!N10=0,0,N24/TrRoad_act!N10*1000)</f>
        <v>108.66877988104524</v>
      </c>
      <c r="O88" s="87">
        <f>IF(TrRoad_act!O10=0,0,O24/TrRoad_act!O10*1000)</f>
        <v>105.56067368375545</v>
      </c>
      <c r="P88" s="87">
        <f>IF(TrRoad_act!P10=0,0,P24/TrRoad_act!P10*1000)</f>
        <v>102.81976865924287</v>
      </c>
      <c r="Q88" s="87">
        <f>IF(TrRoad_act!Q10=0,0,Q24/TrRoad_act!Q10*1000)</f>
        <v>97.674239274467524</v>
      </c>
      <c r="R88" s="87">
        <f>IF(TrRoad_act!R10=0,0,R24/TrRoad_act!R10*1000)</f>
        <v>84.669164704636785</v>
      </c>
      <c r="S88" s="87">
        <f>IF(TrRoad_act!S10=0,0,S24/TrRoad_act!S10*1000)</f>
        <v>90.111113195541023</v>
      </c>
      <c r="T88" s="87">
        <f>IF(TrRoad_act!T10=0,0,T24/TrRoad_act!T10*1000)</f>
        <v>80.602339765081297</v>
      </c>
      <c r="U88" s="87">
        <f>IF(TrRoad_act!U10=0,0,U24/TrRoad_act!U10*1000)</f>
        <v>63.479456420509273</v>
      </c>
      <c r="V88" s="87">
        <f>IF(TrRoad_act!V10=0,0,V24/TrRoad_act!V10*1000)</f>
        <v>70.252211405834942</v>
      </c>
      <c r="W88" s="87">
        <f>IF(TrRoad_act!W10=0,0,W24/TrRoad_act!W10*1000)</f>
        <v>61.861488683430998</v>
      </c>
      <c r="X88" s="87">
        <f>IF(TrRoad_act!X10=0,0,X24/TrRoad_act!X10*1000)</f>
        <v>53.984942320176614</v>
      </c>
      <c r="Y88" s="87">
        <f>IF(TrRoad_act!Y10=0,0,Y24/TrRoad_act!Y10*1000)</f>
        <v>48.637775019856349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31.531853379011196</v>
      </c>
      <c r="Q89" s="87">
        <f>IF(TrRoad_act!Q11=0,0,Q25/TrRoad_act!Q11*1000)</f>
        <v>37.456374501583383</v>
      </c>
      <c r="R89" s="87">
        <f>IF(TrRoad_act!R11=0,0,R25/TrRoad_act!R11*1000)</f>
        <v>38.28672321095366</v>
      </c>
      <c r="S89" s="87">
        <f>IF(TrRoad_act!S11=0,0,S25/TrRoad_act!S11*1000)</f>
        <v>36.935348038290606</v>
      </c>
      <c r="T89" s="87">
        <f>IF(TrRoad_act!T11=0,0,T25/TrRoad_act!T11*1000)</f>
        <v>38.739325740902309</v>
      </c>
      <c r="U89" s="87">
        <f>IF(TrRoad_act!U11=0,0,U25/TrRoad_act!U11*1000)</f>
        <v>38.187983581811707</v>
      </c>
      <c r="V89" s="87">
        <f>IF(TrRoad_act!V11=0,0,V25/TrRoad_act!V11*1000)</f>
        <v>42.870320103829478</v>
      </c>
      <c r="W89" s="87">
        <f>IF(TrRoad_act!W11=0,0,W25/TrRoad_act!W11*1000)</f>
        <v>32.070673014457846</v>
      </c>
      <c r="X89" s="87">
        <f>IF(TrRoad_act!X11=0,0,X25/TrRoad_act!X11*1000)</f>
        <v>29.06170528820331</v>
      </c>
      <c r="Y89" s="87">
        <f>IF(TrRoad_act!Y11=0,0,Y25/TrRoad_act!Y11*1000)</f>
        <v>25.12984275033287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99.112437858478614</v>
      </c>
      <c r="C91" s="116">
        <f>IF(TrRoad_act!C13=0,0,C27/TrRoad_act!C13*1000)</f>
        <v>126.01737871871325</v>
      </c>
      <c r="D91" s="116">
        <f>IF(TrRoad_act!D13=0,0,D27/TrRoad_act!D13*1000)</f>
        <v>146.98886067778832</v>
      </c>
      <c r="E91" s="116">
        <f>IF(TrRoad_act!E13=0,0,E27/TrRoad_act!E13*1000)</f>
        <v>132.11259397223702</v>
      </c>
      <c r="F91" s="116">
        <f>IF(TrRoad_act!F13=0,0,F27/TrRoad_act!F13*1000)</f>
        <v>127.16494877438805</v>
      </c>
      <c r="G91" s="116">
        <f>IF(TrRoad_act!G13=0,0,G27/TrRoad_act!G13*1000)</f>
        <v>121.3531749770911</v>
      </c>
      <c r="H91" s="116">
        <f>IF(TrRoad_act!H13=0,0,H27/TrRoad_act!H13*1000)</f>
        <v>116.4857052475289</v>
      </c>
      <c r="I91" s="116">
        <f>IF(TrRoad_act!I13=0,0,I27/TrRoad_act!I13*1000)</f>
        <v>107.77012793483975</v>
      </c>
      <c r="J91" s="116">
        <f>IF(TrRoad_act!J13=0,0,J27/TrRoad_act!J13*1000)</f>
        <v>106.74312028888063</v>
      </c>
      <c r="K91" s="116">
        <f>IF(TrRoad_act!K13=0,0,K27/TrRoad_act!K13*1000)</f>
        <v>108.26569300377417</v>
      </c>
      <c r="L91" s="116">
        <f>IF(TrRoad_act!L13=0,0,L27/TrRoad_act!L13*1000)</f>
        <v>118.23403246823047</v>
      </c>
      <c r="M91" s="116">
        <f>IF(TrRoad_act!M13=0,0,M27/TrRoad_act!M13*1000)</f>
        <v>117.09973010067883</v>
      </c>
      <c r="N91" s="116">
        <f>IF(TrRoad_act!N13=0,0,N27/TrRoad_act!N13*1000)</f>
        <v>130.89125185103612</v>
      </c>
      <c r="O91" s="116">
        <f>IF(TrRoad_act!O13=0,0,O27/TrRoad_act!O13*1000)</f>
        <v>126.78500260479322</v>
      </c>
      <c r="P91" s="116">
        <f>IF(TrRoad_act!P13=0,0,P27/TrRoad_act!P13*1000)</f>
        <v>128.7710609793225</v>
      </c>
      <c r="Q91" s="116">
        <f>IF(TrRoad_act!Q13=0,0,Q27/TrRoad_act!Q13*1000)</f>
        <v>109.34161792922356</v>
      </c>
      <c r="R91" s="116">
        <f>IF(TrRoad_act!R13=0,0,R27/TrRoad_act!R13*1000)</f>
        <v>97.755059942638027</v>
      </c>
      <c r="S91" s="116">
        <f>IF(TrRoad_act!S13=0,0,S27/TrRoad_act!S13*1000)</f>
        <v>113.1124136614867</v>
      </c>
      <c r="T91" s="116">
        <f>IF(TrRoad_act!T13=0,0,T27/TrRoad_act!T13*1000)</f>
        <v>112.02149302790158</v>
      </c>
      <c r="U91" s="116">
        <f>IF(TrRoad_act!U13=0,0,U27/TrRoad_act!U13*1000)</f>
        <v>93.268381476871511</v>
      </c>
      <c r="V91" s="116">
        <f>IF(TrRoad_act!V13=0,0,V27/TrRoad_act!V13*1000)</f>
        <v>200.23010649477365</v>
      </c>
      <c r="W91" s="116">
        <f>IF(TrRoad_act!W13=0,0,W27/TrRoad_act!W13*1000)</f>
        <v>229.51994255908448</v>
      </c>
      <c r="X91" s="116">
        <f>IF(TrRoad_act!X13=0,0,X27/TrRoad_act!X13*1000)</f>
        <v>143.5449473866172</v>
      </c>
      <c r="Y91" s="116">
        <f>IF(TrRoad_act!Y13=0,0,Y27/TrRoad_act!Y13*1000)</f>
        <v>86.882217409415432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94.688361365152744</v>
      </c>
      <c r="C92" s="101">
        <f>IF(TrRoad_act!C14=0,0,C28/TrRoad_act!C14*1000)</f>
        <v>94.950591382732597</v>
      </c>
      <c r="D92" s="101">
        <f>IF(TrRoad_act!D14=0,0,D28/TrRoad_act!D14*1000)</f>
        <v>95.213847889791765</v>
      </c>
      <c r="E92" s="101">
        <f>IF(TrRoad_act!E14=0,0,E28/TrRoad_act!E14*1000)</f>
        <v>95.406731094556434</v>
      </c>
      <c r="F92" s="101">
        <f>IF(TrRoad_act!F14=0,0,F28/TrRoad_act!F14*1000)</f>
        <v>94.887412230243001</v>
      </c>
      <c r="G92" s="101">
        <f>IF(TrRoad_act!G14=0,0,G28/TrRoad_act!G14*1000)</f>
        <v>94.303630275085595</v>
      </c>
      <c r="H92" s="101">
        <f>IF(TrRoad_act!H14=0,0,H28/TrRoad_act!H14*1000)</f>
        <v>94.11048322596119</v>
      </c>
      <c r="I92" s="101">
        <f>IF(TrRoad_act!I14=0,0,I28/TrRoad_act!I14*1000)</f>
        <v>93.072811586867729</v>
      </c>
      <c r="J92" s="101">
        <f>IF(TrRoad_act!J14=0,0,J28/TrRoad_act!J14*1000)</f>
        <v>92.854184034119143</v>
      </c>
      <c r="K92" s="101">
        <f>IF(TrRoad_act!K14=0,0,K28/TrRoad_act!K14*1000)</f>
        <v>93.877305373334906</v>
      </c>
      <c r="L92" s="101">
        <f>IF(TrRoad_act!L14=0,0,L28/TrRoad_act!L14*1000)</f>
        <v>92.611531065395852</v>
      </c>
      <c r="M92" s="101">
        <f>IF(TrRoad_act!M14=0,0,M28/TrRoad_act!M14*1000)</f>
        <v>92.491134620827594</v>
      </c>
      <c r="N92" s="101">
        <f>IF(TrRoad_act!N14=0,0,N28/TrRoad_act!N14*1000)</f>
        <v>93.344785823180473</v>
      </c>
      <c r="O92" s="101">
        <f>IF(TrRoad_act!O14=0,0,O28/TrRoad_act!O14*1000)</f>
        <v>93.765608975944119</v>
      </c>
      <c r="P92" s="101">
        <f>IF(TrRoad_act!P14=0,0,P28/TrRoad_act!P14*1000)</f>
        <v>93.214813204891215</v>
      </c>
      <c r="Q92" s="101">
        <f>IF(TrRoad_act!Q14=0,0,Q28/TrRoad_act!Q14*1000)</f>
        <v>93.220182809304688</v>
      </c>
      <c r="R92" s="101">
        <f>IF(TrRoad_act!R14=0,0,R28/TrRoad_act!R14*1000)</f>
        <v>93.049710606455335</v>
      </c>
      <c r="S92" s="101">
        <f>IF(TrRoad_act!S14=0,0,S28/TrRoad_act!S14*1000)</f>
        <v>94.392949705506666</v>
      </c>
      <c r="T92" s="101">
        <f>IF(TrRoad_act!T14=0,0,T28/TrRoad_act!T14*1000)</f>
        <v>93.047599341162879</v>
      </c>
      <c r="U92" s="101">
        <f>IF(TrRoad_act!U14=0,0,U28/TrRoad_act!U14*1000)</f>
        <v>88.429153738051696</v>
      </c>
      <c r="V92" s="101">
        <f>IF(TrRoad_act!V14=0,0,V28/TrRoad_act!V14*1000)</f>
        <v>109.34959983368714</v>
      </c>
      <c r="W92" s="101">
        <f>IF(TrRoad_act!W14=0,0,W28/TrRoad_act!W14*1000)</f>
        <v>110.25197223369389</v>
      </c>
      <c r="X92" s="101">
        <f>IF(TrRoad_act!X14=0,0,X28/TrRoad_act!X14*1000)</f>
        <v>109.03846925049689</v>
      </c>
      <c r="Y92" s="101">
        <f>IF(TrRoad_act!Y14=0,0,Y28/TrRoad_act!Y14*1000)</f>
        <v>104.22867122400851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99.760095828806598</v>
      </c>
      <c r="C93" s="101">
        <f>IF(TrRoad_act!C15=0,0,C29/TrRoad_act!C15*1000)</f>
        <v>130.20868517922651</v>
      </c>
      <c r="D93" s="101">
        <f>IF(TrRoad_act!D15=0,0,D29/TrRoad_act!D15*1000)</f>
        <v>153.21931556016065</v>
      </c>
      <c r="E93" s="101">
        <f>IF(TrRoad_act!E15=0,0,E29/TrRoad_act!E15*1000)</f>
        <v>135.80935360229267</v>
      </c>
      <c r="F93" s="101">
        <f>IF(TrRoad_act!F15=0,0,F29/TrRoad_act!F15*1000)</f>
        <v>129.82657585025115</v>
      </c>
      <c r="G93" s="101">
        <f>IF(TrRoad_act!G15=0,0,G29/TrRoad_act!G15*1000)</f>
        <v>122.99287014940812</v>
      </c>
      <c r="H93" s="101">
        <f>IF(TrRoad_act!H15=0,0,H29/TrRoad_act!H15*1000)</f>
        <v>117.78259802001351</v>
      </c>
      <c r="I93" s="101">
        <f>IF(TrRoad_act!I15=0,0,I29/TrRoad_act!I15*1000)</f>
        <v>108.27298629303692</v>
      </c>
      <c r="J93" s="101">
        <f>IF(TrRoad_act!J15=0,0,J29/TrRoad_act!J15*1000)</f>
        <v>107.10501249590597</v>
      </c>
      <c r="K93" s="101">
        <f>IF(TrRoad_act!K15=0,0,K29/TrRoad_act!K15*1000)</f>
        <v>108.55885236453044</v>
      </c>
      <c r="L93" s="101">
        <f>IF(TrRoad_act!L15=0,0,L29/TrRoad_act!L15*1000)</f>
        <v>123.70922223986864</v>
      </c>
      <c r="M93" s="101">
        <f>IF(TrRoad_act!M15=0,0,M29/TrRoad_act!M15*1000)</f>
        <v>122.51358221281549</v>
      </c>
      <c r="N93" s="101">
        <f>IF(TrRoad_act!N15=0,0,N29/TrRoad_act!N15*1000)</f>
        <v>136.58852038125593</v>
      </c>
      <c r="O93" s="101">
        <f>IF(TrRoad_act!O15=0,0,O29/TrRoad_act!O15*1000)</f>
        <v>132.44968094782743</v>
      </c>
      <c r="P93" s="101">
        <f>IF(TrRoad_act!P15=0,0,P29/TrRoad_act!P15*1000)</f>
        <v>134.66560955943757</v>
      </c>
      <c r="Q93" s="101">
        <f>IF(TrRoad_act!Q15=0,0,Q29/TrRoad_act!Q15*1000)</f>
        <v>113.92996222738189</v>
      </c>
      <c r="R93" s="101">
        <f>IF(TrRoad_act!R15=0,0,R29/TrRoad_act!R15*1000)</f>
        <v>101.73998331970985</v>
      </c>
      <c r="S93" s="101">
        <f>IF(TrRoad_act!S15=0,0,S29/TrRoad_act!S15*1000)</f>
        <v>119.72904498993491</v>
      </c>
      <c r="T93" s="101">
        <f>IF(TrRoad_act!T15=0,0,T29/TrRoad_act!T15*1000)</f>
        <v>115.83462253667778</v>
      </c>
      <c r="U93" s="101">
        <f>IF(TrRoad_act!U15=0,0,U29/TrRoad_act!U15*1000)</f>
        <v>96.376313281707439</v>
      </c>
      <c r="V93" s="101">
        <f>IF(TrRoad_act!V15=0,0,V29/TrRoad_act!V15*1000)</f>
        <v>208.12010469795871</v>
      </c>
      <c r="W93" s="101">
        <f>IF(TrRoad_act!W15=0,0,W29/TrRoad_act!W15*1000)</f>
        <v>247.81469827586741</v>
      </c>
      <c r="X93" s="101">
        <f>IF(TrRoad_act!X15=0,0,X29/TrRoad_act!X15*1000)</f>
        <v>170.69759553070156</v>
      </c>
      <c r="Y93" s="101">
        <f>IF(TrRoad_act!Y15=0,0,Y29/TrRoad_act!Y15*1000)</f>
        <v>98.90898712806613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90.740630406538315</v>
      </c>
      <c r="U94" s="101">
        <f>IF(TrRoad_act!U16=0,0,U30/TrRoad_act!U16*1000)</f>
        <v>76.898313942086304</v>
      </c>
      <c r="V94" s="101">
        <f>IF(TrRoad_act!V16=0,0,V30/TrRoad_act!V16*1000)</f>
        <v>173.72141999381105</v>
      </c>
      <c r="W94" s="101">
        <f>IF(TrRoad_act!W16=0,0,W30/TrRoad_act!W16*1000)</f>
        <v>198.72492081139538</v>
      </c>
      <c r="X94" s="101">
        <f>IF(TrRoad_act!X16=0,0,X30/TrRoad_act!X16*1000)</f>
        <v>134.35631993691743</v>
      </c>
      <c r="Y94" s="101">
        <f>IF(TrRoad_act!Y16=0,0,Y30/TrRoad_act!Y16*1000)</f>
        <v>74.048359311544317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76.33554001543591</v>
      </c>
      <c r="M95" s="101">
        <f>IF(TrRoad_act!M17=0,0,M31/TrRoad_act!M17*1000)</f>
        <v>134.66292287119904</v>
      </c>
      <c r="N95" s="101">
        <f>IF(TrRoad_act!N17=0,0,N31/TrRoad_act!N17*1000)</f>
        <v>273.24640017453413</v>
      </c>
      <c r="O95" s="101">
        <f>IF(TrRoad_act!O17=0,0,O31/TrRoad_act!O17*1000)</f>
        <v>94.321833365895003</v>
      </c>
      <c r="P95" s="101">
        <f>IF(TrRoad_act!P17=0,0,P31/TrRoad_act!P17*1000)</f>
        <v>86.386537974288572</v>
      </c>
      <c r="Q95" s="101">
        <f>IF(TrRoad_act!Q17=0,0,Q31/TrRoad_act!Q17*1000)</f>
        <v>82.601780156830429</v>
      </c>
      <c r="R95" s="101">
        <f>IF(TrRoad_act!R17=0,0,R31/TrRoad_act!R17*1000)</f>
        <v>64.870405452643794</v>
      </c>
      <c r="S95" s="101">
        <f>IF(TrRoad_act!S17=0,0,S31/TrRoad_act!S17*1000)</f>
        <v>44.59281057778243</v>
      </c>
      <c r="T95" s="101">
        <f>IF(TrRoad_act!T17=0,0,T31/TrRoad_act!T17*1000)</f>
        <v>89.817518366485999</v>
      </c>
      <c r="U95" s="101">
        <f>IF(TrRoad_act!U17=0,0,U31/TrRoad_act!U17*1000)</f>
        <v>69.85576185510881</v>
      </c>
      <c r="V95" s="101">
        <f>IF(TrRoad_act!V17=0,0,V31/TrRoad_act!V17*1000)</f>
        <v>167.8836664667071</v>
      </c>
      <c r="W95" s="101">
        <f>IF(TrRoad_act!W17=0,0,W31/TrRoad_act!W17*1000)</f>
        <v>133.96980120852623</v>
      </c>
      <c r="X95" s="101">
        <f>IF(TrRoad_act!X17=0,0,X31/TrRoad_act!X17*1000)</f>
        <v>26.798247682391562</v>
      </c>
      <c r="Y95" s="101">
        <f>IF(TrRoad_act!Y17=0,0,Y31/TrRoad_act!Y17*1000)</f>
        <v>37.071168965738437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262.11535061664239</v>
      </c>
      <c r="C97" s="29">
        <f>IF(TrRoad_act!C19=0,0,C33/TrRoad_act!C19*1000)</f>
        <v>329.26444496694586</v>
      </c>
      <c r="D97" s="29">
        <f>IF(TrRoad_act!D19=0,0,D33/TrRoad_act!D19*1000)</f>
        <v>328.17902562750157</v>
      </c>
      <c r="E97" s="29">
        <f>IF(TrRoad_act!E19=0,0,E33/TrRoad_act!E19*1000)</f>
        <v>216.00283963388975</v>
      </c>
      <c r="F97" s="29">
        <f>IF(TrRoad_act!F19=0,0,F33/TrRoad_act!F19*1000)</f>
        <v>225.78348367441563</v>
      </c>
      <c r="G97" s="29">
        <f>IF(TrRoad_act!G19=0,0,G33/TrRoad_act!G19*1000)</f>
        <v>194.16256455430104</v>
      </c>
      <c r="H97" s="29">
        <f>IF(TrRoad_act!H19=0,0,H33/TrRoad_act!H19*1000)</f>
        <v>183.6989583794066</v>
      </c>
      <c r="I97" s="29">
        <f>IF(TrRoad_act!I19=0,0,I33/TrRoad_act!I19*1000)</f>
        <v>192.03331739430863</v>
      </c>
      <c r="J97" s="29">
        <f>IF(TrRoad_act!J19=0,0,J33/TrRoad_act!J19*1000)</f>
        <v>199.64288459835919</v>
      </c>
      <c r="K97" s="29">
        <f>IF(TrRoad_act!K19=0,0,K33/TrRoad_act!K19*1000)</f>
        <v>201.96501680666628</v>
      </c>
      <c r="L97" s="29">
        <f>IF(TrRoad_act!L19=0,0,L33/TrRoad_act!L19*1000)</f>
        <v>216.59101823916109</v>
      </c>
      <c r="M97" s="29">
        <f>IF(TrRoad_act!M19=0,0,M33/TrRoad_act!M19*1000)</f>
        <v>211.27185637951968</v>
      </c>
      <c r="N97" s="29">
        <f>IF(TrRoad_act!N19=0,0,N33/TrRoad_act!N19*1000)</f>
        <v>207.01065004586252</v>
      </c>
      <c r="O97" s="29">
        <f>IF(TrRoad_act!O19=0,0,O33/TrRoad_act!O19*1000)</f>
        <v>187.77146724927061</v>
      </c>
      <c r="P97" s="29">
        <f>IF(TrRoad_act!P19=0,0,P33/TrRoad_act!P19*1000)</f>
        <v>184.60979883700466</v>
      </c>
      <c r="Q97" s="29">
        <f>IF(TrRoad_act!Q19=0,0,Q33/TrRoad_act!Q19*1000)</f>
        <v>168.6788433491183</v>
      </c>
      <c r="R97" s="29">
        <f>IF(TrRoad_act!R19=0,0,R33/TrRoad_act!R19*1000)</f>
        <v>151.89498108752281</v>
      </c>
      <c r="S97" s="29">
        <f>IF(TrRoad_act!S19=0,0,S33/TrRoad_act!S19*1000)</f>
        <v>154.3746086228885</v>
      </c>
      <c r="T97" s="29">
        <f>IF(TrRoad_act!T19=0,0,T33/TrRoad_act!T19*1000)</f>
        <v>153.24126116531818</v>
      </c>
      <c r="U97" s="29">
        <f>IF(TrRoad_act!U19=0,0,U33/TrRoad_act!U19*1000)</f>
        <v>153.73061650814171</v>
      </c>
      <c r="V97" s="29">
        <f>IF(TrRoad_act!V19=0,0,V33/TrRoad_act!V19*1000)</f>
        <v>153.32898303023364</v>
      </c>
      <c r="W97" s="29">
        <f>IF(TrRoad_act!W19=0,0,W33/TrRoad_act!W19*1000)</f>
        <v>158.93956064271507</v>
      </c>
      <c r="X97" s="29">
        <f>IF(TrRoad_act!X19=0,0,X33/TrRoad_act!X19*1000)</f>
        <v>163.99054592155423</v>
      </c>
      <c r="Y97" s="29">
        <f>IF(TrRoad_act!Y19=0,0,Y33/TrRoad_act!Y19*1000)</f>
        <v>190.0745339816545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1025.0060652937034</v>
      </c>
      <c r="C98" s="152">
        <f>IF(TrRoad_act!C20=0,0,C34/TrRoad_act!C20*1000)</f>
        <v>1233.398542816351</v>
      </c>
      <c r="D98" s="152">
        <f>IF(TrRoad_act!D20=0,0,D34/TrRoad_act!D20*1000)</f>
        <v>1347.9415218192551</v>
      </c>
      <c r="E98" s="152">
        <f>IF(TrRoad_act!E20=0,0,E34/TrRoad_act!E20*1000)</f>
        <v>1171.8879963995532</v>
      </c>
      <c r="F98" s="152">
        <f>IF(TrRoad_act!F20=0,0,F34/TrRoad_act!F20*1000)</f>
        <v>1185.9472278879914</v>
      </c>
      <c r="G98" s="152">
        <f>IF(TrRoad_act!G20=0,0,G34/TrRoad_act!G20*1000)</f>
        <v>1173.5659687098544</v>
      </c>
      <c r="H98" s="152">
        <f>IF(TrRoad_act!H20=0,0,H34/TrRoad_act!H20*1000)</f>
        <v>1144.8421522647902</v>
      </c>
      <c r="I98" s="152">
        <f>IF(TrRoad_act!I20=0,0,I34/TrRoad_act!I20*1000)</f>
        <v>1134.212745027203</v>
      </c>
      <c r="J98" s="152">
        <f>IF(TrRoad_act!J20=0,0,J34/TrRoad_act!J20*1000)</f>
        <v>1077.7099279278918</v>
      </c>
      <c r="K98" s="152">
        <f>IF(TrRoad_act!K20=0,0,K34/TrRoad_act!K20*1000)</f>
        <v>992.54506325869113</v>
      </c>
      <c r="L98" s="152">
        <f>IF(TrRoad_act!L20=0,0,L34/TrRoad_act!L20*1000)</f>
        <v>1064.473800749772</v>
      </c>
      <c r="M98" s="152">
        <f>IF(TrRoad_act!M20=0,0,M34/TrRoad_act!M20*1000)</f>
        <v>1070.7591473423552</v>
      </c>
      <c r="N98" s="152">
        <f>IF(TrRoad_act!N20=0,0,N34/TrRoad_act!N20*1000)</f>
        <v>1048.8918983564704</v>
      </c>
      <c r="O98" s="152">
        <f>IF(TrRoad_act!O20=0,0,O34/TrRoad_act!O20*1000)</f>
        <v>973.85154114151453</v>
      </c>
      <c r="P98" s="152">
        <f>IF(TrRoad_act!P20=0,0,P34/TrRoad_act!P20*1000)</f>
        <v>948.8854735941436</v>
      </c>
      <c r="Q98" s="152">
        <f>IF(TrRoad_act!Q20=0,0,Q34/TrRoad_act!Q20*1000)</f>
        <v>893.2575190028524</v>
      </c>
      <c r="R98" s="152">
        <f>IF(TrRoad_act!R20=0,0,R34/TrRoad_act!R20*1000)</f>
        <v>839.34296489661642</v>
      </c>
      <c r="S98" s="152">
        <f>IF(TrRoad_act!S20=0,0,S34/TrRoad_act!S20*1000)</f>
        <v>826.63680270698728</v>
      </c>
      <c r="T98" s="152">
        <f>IF(TrRoad_act!T20=0,0,T34/TrRoad_act!T20*1000)</f>
        <v>800.58706357552182</v>
      </c>
      <c r="U98" s="152">
        <f>IF(TrRoad_act!U20=0,0,U34/TrRoad_act!U20*1000)</f>
        <v>783.18172249604186</v>
      </c>
      <c r="V98" s="152">
        <f>IF(TrRoad_act!V20=0,0,V34/TrRoad_act!V20*1000)</f>
        <v>744.26537243087273</v>
      </c>
      <c r="W98" s="152">
        <f>IF(TrRoad_act!W20=0,0,W34/TrRoad_act!W20*1000)</f>
        <v>772.63635606533182</v>
      </c>
      <c r="X98" s="152">
        <f>IF(TrRoad_act!X20=0,0,X34/TrRoad_act!X20*1000)</f>
        <v>786.14575580536598</v>
      </c>
      <c r="Y98" s="152">
        <f>IF(TrRoad_act!Y20=0,0,Y34/TrRoad_act!Y20*1000)</f>
        <v>820.78735937016086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1295.6304747602505</v>
      </c>
      <c r="C99" s="87">
        <f>IF(TrRoad_act!C21=0,0,C35/TrRoad_act!C21*1000)</f>
        <v>1318.5283266017848</v>
      </c>
      <c r="D99" s="87">
        <f>IF(TrRoad_act!D21=0,0,D35/TrRoad_act!D21*1000)</f>
        <v>1310.8376323027587</v>
      </c>
      <c r="E99" s="87">
        <f>IF(TrRoad_act!E21=0,0,E35/TrRoad_act!E21*1000)</f>
        <v>1292.2760932480583</v>
      </c>
      <c r="F99" s="87">
        <f>IF(TrRoad_act!F21=0,0,F35/TrRoad_act!F21*1000)</f>
        <v>1300.2582597171968</v>
      </c>
      <c r="G99" s="87">
        <f>IF(TrRoad_act!G21=0,0,G35/TrRoad_act!G21*1000)</f>
        <v>1266.8005018059016</v>
      </c>
      <c r="H99" s="87">
        <f>IF(TrRoad_act!H21=0,0,H35/TrRoad_act!H21*1000)</f>
        <v>1263.19125719408</v>
      </c>
      <c r="I99" s="87">
        <f>IF(TrRoad_act!I21=0,0,I35/TrRoad_act!I21*1000)</f>
        <v>1222.2480093663787</v>
      </c>
      <c r="J99" s="87">
        <f>IF(TrRoad_act!J21=0,0,J35/TrRoad_act!J21*1000)</f>
        <v>1169.4348435378133</v>
      </c>
      <c r="K99" s="87">
        <f>IF(TrRoad_act!K21=0,0,K35/TrRoad_act!K21*1000)</f>
        <v>1129.2299325594583</v>
      </c>
      <c r="L99" s="87">
        <f>IF(TrRoad_act!L21=0,0,L35/TrRoad_act!L21*1000)</f>
        <v>1082.1841800551113</v>
      </c>
      <c r="M99" s="87">
        <f>IF(TrRoad_act!M21=0,0,M35/TrRoad_act!M21*1000)</f>
        <v>1081.3796249052282</v>
      </c>
      <c r="N99" s="87">
        <f>IF(TrRoad_act!N21=0,0,N35/TrRoad_act!N21*1000)</f>
        <v>1056.5234482290402</v>
      </c>
      <c r="O99" s="87">
        <f>IF(TrRoad_act!O21=0,0,O35/TrRoad_act!O21*1000)</f>
        <v>1032.3043749793565</v>
      </c>
      <c r="P99" s="87">
        <f>IF(TrRoad_act!P21=0,0,P35/TrRoad_act!P21*1000)</f>
        <v>1010.9960692829081</v>
      </c>
      <c r="Q99" s="87">
        <f>IF(TrRoad_act!Q21=0,0,Q35/TrRoad_act!Q21*1000)</f>
        <v>992.79174018871913</v>
      </c>
      <c r="R99" s="87">
        <f>IF(TrRoad_act!R21=0,0,R35/TrRoad_act!R21*1000)</f>
        <v>962.97132749148454</v>
      </c>
      <c r="S99" s="87">
        <f>IF(TrRoad_act!S21=0,0,S35/TrRoad_act!S21*1000)</f>
        <v>948.11064345062266</v>
      </c>
      <c r="T99" s="87">
        <f>IF(TrRoad_act!T21=0,0,T35/TrRoad_act!T21*1000)</f>
        <v>940.66515617913399</v>
      </c>
      <c r="U99" s="87">
        <f>IF(TrRoad_act!U21=0,0,U35/TrRoad_act!U21*1000)</f>
        <v>912.19593729405926</v>
      </c>
      <c r="V99" s="87">
        <f>IF(TrRoad_act!V21=0,0,V35/TrRoad_act!V21*1000)</f>
        <v>874.89327631160222</v>
      </c>
      <c r="W99" s="87">
        <f>IF(TrRoad_act!W21=0,0,W35/TrRoad_act!W21*1000)</f>
        <v>853.12693190068637</v>
      </c>
      <c r="X99" s="87">
        <f>IF(TrRoad_act!X21=0,0,X35/TrRoad_act!X21*1000)</f>
        <v>835.62963184644593</v>
      </c>
      <c r="Y99" s="87">
        <f>IF(TrRoad_act!Y21=0,0,Y35/TrRoad_act!Y21*1000)</f>
        <v>809.43940895122989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958.16170319845662</v>
      </c>
      <c r="C100" s="87">
        <f>IF(TrRoad_act!C22=0,0,C36/TrRoad_act!C22*1000)</f>
        <v>1210.4460536482095</v>
      </c>
      <c r="D100" s="87">
        <f>IF(TrRoad_act!D22=0,0,D36/TrRoad_act!D22*1000)</f>
        <v>1357.8168155525732</v>
      </c>
      <c r="E100" s="87">
        <f>IF(TrRoad_act!E22=0,0,E36/TrRoad_act!E22*1000)</f>
        <v>1140.6834800989259</v>
      </c>
      <c r="F100" s="87">
        <f>IF(TrRoad_act!F22=0,0,F36/TrRoad_act!F22*1000)</f>
        <v>1154.0736985712776</v>
      </c>
      <c r="G100" s="87">
        <f>IF(TrRoad_act!G22=0,0,G36/TrRoad_act!G22*1000)</f>
        <v>1148.7000864380609</v>
      </c>
      <c r="H100" s="87">
        <f>IF(TrRoad_act!H22=0,0,H36/TrRoad_act!H22*1000)</f>
        <v>1112.519081304556</v>
      </c>
      <c r="I100" s="87">
        <f>IF(TrRoad_act!I22=0,0,I36/TrRoad_act!I22*1000)</f>
        <v>1113.1350471635094</v>
      </c>
      <c r="J100" s="87">
        <f>IF(TrRoad_act!J22=0,0,J36/TrRoad_act!J22*1000)</f>
        <v>1055.958771586648</v>
      </c>
      <c r="K100" s="87">
        <f>IF(TrRoad_act!K22=0,0,K36/TrRoad_act!K22*1000)</f>
        <v>962.15811571688437</v>
      </c>
      <c r="L100" s="87">
        <f>IF(TrRoad_act!L22=0,0,L36/TrRoad_act!L22*1000)</f>
        <v>1060.9209502084818</v>
      </c>
      <c r="M100" s="87">
        <f>IF(TrRoad_act!M22=0,0,M36/TrRoad_act!M22*1000)</f>
        <v>1068.6332182901399</v>
      </c>
      <c r="N100" s="87">
        <f>IF(TrRoad_act!N22=0,0,N36/TrRoad_act!N22*1000)</f>
        <v>1047.5270741006223</v>
      </c>
      <c r="O100" s="87">
        <f>IF(TrRoad_act!O22=0,0,O36/TrRoad_act!O22*1000)</f>
        <v>965.16311634599481</v>
      </c>
      <c r="P100" s="87">
        <f>IF(TrRoad_act!P22=0,0,P36/TrRoad_act!P22*1000)</f>
        <v>940.43260943859036</v>
      </c>
      <c r="Q100" s="87">
        <f>IF(TrRoad_act!Q22=0,0,Q36/TrRoad_act!Q22*1000)</f>
        <v>880.51836913275531</v>
      </c>
      <c r="R100" s="87">
        <f>IF(TrRoad_act!R22=0,0,R36/TrRoad_act!R22*1000)</f>
        <v>825.5866144043946</v>
      </c>
      <c r="S100" s="87">
        <f>IF(TrRoad_act!S22=0,0,S36/TrRoad_act!S22*1000)</f>
        <v>814.3743869418613</v>
      </c>
      <c r="T100" s="87">
        <f>IF(TrRoad_act!T22=0,0,T36/TrRoad_act!T22*1000)</f>
        <v>786.49344888254086</v>
      </c>
      <c r="U100" s="87">
        <f>IF(TrRoad_act!U22=0,0,U36/TrRoad_act!U22*1000)</f>
        <v>771.90236089723089</v>
      </c>
      <c r="V100" s="87">
        <f>IF(TrRoad_act!V22=0,0,V36/TrRoad_act!V22*1000)</f>
        <v>734.10573470357122</v>
      </c>
      <c r="W100" s="87">
        <f>IF(TrRoad_act!W22=0,0,W36/TrRoad_act!W22*1000)</f>
        <v>767.48994113754384</v>
      </c>
      <c r="X100" s="87">
        <f>IF(TrRoad_act!X22=0,0,X36/TrRoad_act!X22*1000)</f>
        <v>783.92471394053644</v>
      </c>
      <c r="Y100" s="87">
        <f>IF(TrRoad_act!Y22=0,0,Y36/TrRoad_act!Y22*1000)</f>
        <v>822.56754130561001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781.91134785655049</v>
      </c>
      <c r="O102" s="87">
        <f>IF(TrRoad_act!O24=0,0,O38/TrRoad_act!O24*1000)</f>
        <v>787.79280370818299</v>
      </c>
      <c r="P102" s="87">
        <f>IF(TrRoad_act!P24=0,0,P38/TrRoad_act!P24*1000)</f>
        <v>826.74489964504573</v>
      </c>
      <c r="Q102" s="87">
        <f>IF(TrRoad_act!Q24=0,0,Q38/TrRoad_act!Q24*1000)</f>
        <v>801.84032983120551</v>
      </c>
      <c r="R102" s="87">
        <f>IF(TrRoad_act!R24=0,0,R38/TrRoad_act!R24*1000)</f>
        <v>804.41772406530356</v>
      </c>
      <c r="S102" s="87">
        <f>IF(TrRoad_act!S24=0,0,S38/TrRoad_act!S24*1000)</f>
        <v>712.1144311539208</v>
      </c>
      <c r="T102" s="87">
        <f>IF(TrRoad_act!T24=0,0,T38/TrRoad_act!T24*1000)</f>
        <v>608.36293906515584</v>
      </c>
      <c r="U102" s="87">
        <f>IF(TrRoad_act!U24=0,0,U38/TrRoad_act!U24*1000)</f>
        <v>569.47669945275572</v>
      </c>
      <c r="V102" s="87">
        <f>IF(TrRoad_act!V24=0,0,V38/TrRoad_act!V24*1000)</f>
        <v>595.43728597706058</v>
      </c>
      <c r="W102" s="87">
        <f>IF(TrRoad_act!W24=0,0,W38/TrRoad_act!W24*1000)</f>
        <v>572.13787043877028</v>
      </c>
      <c r="X102" s="87">
        <f>IF(TrRoad_act!X24=0,0,X38/TrRoad_act!X24*1000)</f>
        <v>526.76496221843638</v>
      </c>
      <c r="Y102" s="87">
        <f>IF(TrRoad_act!Y24=0,0,Y38/TrRoad_act!Y24*1000)</f>
        <v>474.93784783093628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117.59803768185235</v>
      </c>
      <c r="C104" s="116">
        <f>IF(TrRoad_act!C26=0,0,C40/TrRoad_act!C26*1000)</f>
        <v>138.11643296390275</v>
      </c>
      <c r="D104" s="116">
        <f>IF(TrRoad_act!D26=0,0,D40/TrRoad_act!D26*1000)</f>
        <v>153.10005982506465</v>
      </c>
      <c r="E104" s="116">
        <f>IF(TrRoad_act!E26=0,0,E40/TrRoad_act!E26*1000)</f>
        <v>116.8754986524437</v>
      </c>
      <c r="F104" s="116">
        <f>IF(TrRoad_act!F26=0,0,F40/TrRoad_act!F26*1000)</f>
        <v>131.18282838379545</v>
      </c>
      <c r="G104" s="116">
        <f>IF(TrRoad_act!G26=0,0,G40/TrRoad_act!G26*1000)</f>
        <v>117.27911776801267</v>
      </c>
      <c r="H104" s="116">
        <f>IF(TrRoad_act!H26=0,0,H40/TrRoad_act!H26*1000)</f>
        <v>115.68255390591874</v>
      </c>
      <c r="I104" s="116">
        <f>IF(TrRoad_act!I26=0,0,I40/TrRoad_act!I26*1000)</f>
        <v>129.22141085525195</v>
      </c>
      <c r="J104" s="116">
        <f>IF(TrRoad_act!J26=0,0,J40/TrRoad_act!J26*1000)</f>
        <v>136.73286732927295</v>
      </c>
      <c r="K104" s="116">
        <f>IF(TrRoad_act!K26=0,0,K40/TrRoad_act!K26*1000)</f>
        <v>128.14379866245397</v>
      </c>
      <c r="L104" s="116">
        <f>IF(TrRoad_act!L26=0,0,L40/TrRoad_act!L26*1000)</f>
        <v>141.14206054175293</v>
      </c>
      <c r="M104" s="116">
        <f>IF(TrRoad_act!M26=0,0,M40/TrRoad_act!M26*1000)</f>
        <v>141.34850619832926</v>
      </c>
      <c r="N104" s="116">
        <f>IF(TrRoad_act!N26=0,0,N40/TrRoad_act!N26*1000)</f>
        <v>136.55481519461827</v>
      </c>
      <c r="O104" s="116">
        <f>IF(TrRoad_act!O26=0,0,O40/TrRoad_act!O26*1000)</f>
        <v>120.29332199670257</v>
      </c>
      <c r="P104" s="116">
        <f>IF(TrRoad_act!P26=0,0,P40/TrRoad_act!P26*1000)</f>
        <v>114.06400715623064</v>
      </c>
      <c r="Q104" s="116">
        <f>IF(TrRoad_act!Q26=0,0,Q40/TrRoad_act!Q26*1000)</f>
        <v>102.75939297963231</v>
      </c>
      <c r="R104" s="116">
        <f>IF(TrRoad_act!R26=0,0,R40/TrRoad_act!R26*1000)</f>
        <v>88.751871275090494</v>
      </c>
      <c r="S104" s="116">
        <f>IF(TrRoad_act!S26=0,0,S40/TrRoad_act!S26*1000)</f>
        <v>81.569246509790716</v>
      </c>
      <c r="T104" s="116">
        <f>IF(TrRoad_act!T26=0,0,T40/TrRoad_act!T26*1000)</f>
        <v>77.860988955492274</v>
      </c>
      <c r="U104" s="116">
        <f>IF(TrRoad_act!U26=0,0,U40/TrRoad_act!U26*1000)</f>
        <v>71.635161841236837</v>
      </c>
      <c r="V104" s="116">
        <f>IF(TrRoad_act!V26=0,0,V40/TrRoad_act!V26*1000)</f>
        <v>67.041125267229532</v>
      </c>
      <c r="W104" s="116">
        <f>IF(TrRoad_act!W26=0,0,W40/TrRoad_act!W26*1000)</f>
        <v>76.236609346109233</v>
      </c>
      <c r="X104" s="116">
        <f>IF(TrRoad_act!X26=0,0,X40/TrRoad_act!X26*1000)</f>
        <v>81.899048894548741</v>
      </c>
      <c r="Y104" s="116">
        <f>IF(TrRoad_act!Y26=0,0,Y40/TrRoad_act!Y26*1000)</f>
        <v>93.933773369305953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146.14998286098233</v>
      </c>
      <c r="C105" s="101">
        <f>IF(TrRoad_act!C27=0,0,C41/TrRoad_act!C27*1000)</f>
        <v>183.09463473517212</v>
      </c>
      <c r="D105" s="101">
        <f>IF(TrRoad_act!D27=0,0,D41/TrRoad_act!D27*1000)</f>
        <v>194.31065808909173</v>
      </c>
      <c r="E105" s="101">
        <f>IF(TrRoad_act!E27=0,0,E41/TrRoad_act!E27*1000)</f>
        <v>128.6238946549212</v>
      </c>
      <c r="F105" s="101">
        <f>IF(TrRoad_act!F27=0,0,F41/TrRoad_act!F27*1000)</f>
        <v>151.40865199607441</v>
      </c>
      <c r="G105" s="101">
        <f>IF(TrRoad_act!G27=0,0,G41/TrRoad_act!G27*1000)</f>
        <v>126.91951955467925</v>
      </c>
      <c r="H105" s="101">
        <f>IF(TrRoad_act!H27=0,0,H41/TrRoad_act!H27*1000)</f>
        <v>125.29213563100164</v>
      </c>
      <c r="I105" s="101">
        <f>IF(TrRoad_act!I27=0,0,I41/TrRoad_act!I27*1000)</f>
        <v>144.59822336797274</v>
      </c>
      <c r="J105" s="101">
        <f>IF(TrRoad_act!J27=0,0,J41/TrRoad_act!J27*1000)</f>
        <v>155.3074198854585</v>
      </c>
      <c r="K105" s="101">
        <f>IF(TrRoad_act!K27=0,0,K41/TrRoad_act!K27*1000)</f>
        <v>146.37234322945585</v>
      </c>
      <c r="L105" s="101">
        <f>IF(TrRoad_act!L27=0,0,L41/TrRoad_act!L27*1000)</f>
        <v>156.80717033250392</v>
      </c>
      <c r="M105" s="101">
        <f>IF(TrRoad_act!M27=0,0,M41/TrRoad_act!M27*1000)</f>
        <v>156.95240431246719</v>
      </c>
      <c r="N105" s="101">
        <f>IF(TrRoad_act!N27=0,0,N41/TrRoad_act!N27*1000)</f>
        <v>149.05749919703655</v>
      </c>
      <c r="O105" s="101">
        <f>IF(TrRoad_act!O27=0,0,O41/TrRoad_act!O27*1000)</f>
        <v>134.3786047812649</v>
      </c>
      <c r="P105" s="101">
        <f>IF(TrRoad_act!P27=0,0,P41/TrRoad_act!P27*1000)</f>
        <v>125.9110542051955</v>
      </c>
      <c r="Q105" s="101">
        <f>IF(TrRoad_act!Q27=0,0,Q41/TrRoad_act!Q27*1000)</f>
        <v>114.52802273435702</v>
      </c>
      <c r="R105" s="101">
        <f>IF(TrRoad_act!R27=0,0,R41/TrRoad_act!R27*1000)</f>
        <v>97.151586603125054</v>
      </c>
      <c r="S105" s="101">
        <f>IF(TrRoad_act!S27=0,0,S41/TrRoad_act!S27*1000)</f>
        <v>86.538534968298862</v>
      </c>
      <c r="T105" s="101">
        <f>IF(TrRoad_act!T27=0,0,T41/TrRoad_act!T27*1000)</f>
        <v>83.26482579916113</v>
      </c>
      <c r="U105" s="101">
        <f>IF(TrRoad_act!U27=0,0,U41/TrRoad_act!U27*1000)</f>
        <v>73.867470018950726</v>
      </c>
      <c r="V105" s="101">
        <f>IF(TrRoad_act!V27=0,0,V41/TrRoad_act!V27*1000)</f>
        <v>72.209497096068617</v>
      </c>
      <c r="W105" s="101">
        <f>IF(TrRoad_act!W27=0,0,W41/TrRoad_act!W27*1000)</f>
        <v>80.928514663665595</v>
      </c>
      <c r="X105" s="101">
        <f>IF(TrRoad_act!X27=0,0,X41/TrRoad_act!X27*1000)</f>
        <v>87.959332307949254</v>
      </c>
      <c r="Y105" s="101">
        <f>IF(TrRoad_act!Y27=0,0,Y41/TrRoad_act!Y27*1000)</f>
        <v>100.39743198516913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83.236228129699256</v>
      </c>
      <c r="C106" s="88">
        <f>IF(TrRoad_act!C28=0,0,C42/TrRoad_act!C28*1000)</f>
        <v>99.384884964644669</v>
      </c>
      <c r="D106" s="88">
        <f>IF(TrRoad_act!D28=0,0,D42/TrRoad_act!D28*1000)</f>
        <v>106.50414157069504</v>
      </c>
      <c r="E106" s="88">
        <f>IF(TrRoad_act!E28=0,0,E42/TrRoad_act!E28*1000)</f>
        <v>89.978689049613521</v>
      </c>
      <c r="F106" s="88">
        <f>IF(TrRoad_act!F28=0,0,F42/TrRoad_act!F28*1000)</f>
        <v>93.57684046592172</v>
      </c>
      <c r="G106" s="88">
        <f>IF(TrRoad_act!G28=0,0,G42/TrRoad_act!G28*1000)</f>
        <v>95.649590046446633</v>
      </c>
      <c r="H106" s="88">
        <f>IF(TrRoad_act!H28=0,0,H42/TrRoad_act!H28*1000)</f>
        <v>94.316097507651335</v>
      </c>
      <c r="I106" s="88">
        <f>IF(TrRoad_act!I28=0,0,I42/TrRoad_act!I28*1000)</f>
        <v>99.163914497629349</v>
      </c>
      <c r="J106" s="88">
        <f>IF(TrRoad_act!J28=0,0,J42/TrRoad_act!J28*1000)</f>
        <v>100.51541186471917</v>
      </c>
      <c r="K106" s="88">
        <f>IF(TrRoad_act!K28=0,0,K42/TrRoad_act!K28*1000)</f>
        <v>95.923930687243285</v>
      </c>
      <c r="L106" s="88">
        <f>IF(TrRoad_act!L28=0,0,L42/TrRoad_act!L28*1000)</f>
        <v>113.36427806553267</v>
      </c>
      <c r="M106" s="88">
        <f>IF(TrRoad_act!M28=0,0,M42/TrRoad_act!M28*1000)</f>
        <v>114.8835797620043</v>
      </c>
      <c r="N106" s="88">
        <f>IF(TrRoad_act!N28=0,0,N42/TrRoad_act!N28*1000)</f>
        <v>115.14184996319531</v>
      </c>
      <c r="O106" s="88">
        <f>IF(TrRoad_act!O28=0,0,O42/TrRoad_act!O28*1000)</f>
        <v>99.821405011287837</v>
      </c>
      <c r="P106" s="88">
        <f>IF(TrRoad_act!P28=0,0,P42/TrRoad_act!P28*1000)</f>
        <v>97.48414573645573</v>
      </c>
      <c r="Q106" s="88">
        <f>IF(TrRoad_act!Q28=0,0,Q42/TrRoad_act!Q28*1000)</f>
        <v>89.090219926200817</v>
      </c>
      <c r="R106" s="88">
        <f>IF(TrRoad_act!R28=0,0,R42/TrRoad_act!R28*1000)</f>
        <v>77.373860900799414</v>
      </c>
      <c r="S106" s="88">
        <f>IF(TrRoad_act!S28=0,0,S42/TrRoad_act!S28*1000)</f>
        <v>75.244946075668835</v>
      </c>
      <c r="T106" s="88">
        <f>IF(TrRoad_act!T28=0,0,T42/TrRoad_act!T28*1000)</f>
        <v>71.000394890412693</v>
      </c>
      <c r="U106" s="88">
        <f>IF(TrRoad_act!U28=0,0,U42/TrRoad_act!U28*1000)</f>
        <v>68.624714693058024</v>
      </c>
      <c r="V106" s="88">
        <f>IF(TrRoad_act!V28=0,0,V42/TrRoad_act!V28*1000)</f>
        <v>62.5896115066665</v>
      </c>
      <c r="W106" s="88">
        <f>IF(TrRoad_act!W28=0,0,W42/TrRoad_act!W28*1000)</f>
        <v>70.076558600958634</v>
      </c>
      <c r="X106" s="88">
        <f>IF(TrRoad_act!X28=0,0,X42/TrRoad_act!X28*1000)</f>
        <v>75.213763876819627</v>
      </c>
      <c r="Y106" s="88">
        <f>IF(TrRoad_act!Y28=0,0,Y42/TrRoad_act!Y28*1000)</f>
        <v>87.175512626053106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187.41203514812003</v>
      </c>
      <c r="C110" s="152">
        <f>IF(C19=0,0,1000000*C19/TrRoad_act!C59)</f>
        <v>186.61800041787902</v>
      </c>
      <c r="D110" s="152">
        <f>IF(D19=0,0,1000000*D19/TrRoad_act!D59)</f>
        <v>184.03979292625763</v>
      </c>
      <c r="E110" s="152">
        <f>IF(E19=0,0,1000000*E19/TrRoad_act!E59)</f>
        <v>180.75878677843565</v>
      </c>
      <c r="F110" s="152">
        <f>IF(F19=0,0,1000000*F19/TrRoad_act!F59)</f>
        <v>178.22178364840767</v>
      </c>
      <c r="G110" s="152">
        <f>IF(G19=0,0,1000000*G19/TrRoad_act!G59)</f>
        <v>175.36884511543457</v>
      </c>
      <c r="H110" s="152">
        <f>IF(H19=0,0,1000000*H19/TrRoad_act!H59)</f>
        <v>172.06304586443147</v>
      </c>
      <c r="I110" s="152">
        <f>IF(I19=0,0,1000000*I19/TrRoad_act!I59)</f>
        <v>169.74629822237029</v>
      </c>
      <c r="J110" s="152">
        <f>IF(J19=0,0,1000000*J19/TrRoad_act!J59)</f>
        <v>165.82825310952836</v>
      </c>
      <c r="K110" s="152">
        <f>IF(K19=0,0,1000000*K19/TrRoad_act!K59)</f>
        <v>163.69977763801253</v>
      </c>
      <c r="L110" s="152">
        <f>IF(L19=0,0,1000000*L19/TrRoad_act!L59)</f>
        <v>158.94374081054588</v>
      </c>
      <c r="M110" s="152">
        <f>IF(M19=0,0,1000000*M19/TrRoad_act!M59)</f>
        <v>154.70999720425866</v>
      </c>
      <c r="N110" s="152">
        <f>IF(N19=0,0,1000000*N19/TrRoad_act!N59)</f>
        <v>146.92001924669421</v>
      </c>
      <c r="O110" s="152">
        <f>IF(O19=0,0,1000000*O19/TrRoad_act!O59)</f>
        <v>144.71484083915777</v>
      </c>
      <c r="P110" s="152">
        <f>IF(P19=0,0,1000000*P19/TrRoad_act!P59)</f>
        <v>140.94634291770083</v>
      </c>
      <c r="Q110" s="152">
        <f>IF(Q19=0,0,1000000*Q19/TrRoad_act!Q59)</f>
        <v>140.31706817635146</v>
      </c>
      <c r="R110" s="152">
        <f>IF(R19=0,0,1000000*R19/TrRoad_act!R59)</f>
        <v>140.72486793796855</v>
      </c>
      <c r="S110" s="152">
        <f>IF(S19=0,0,1000000*S19/TrRoad_act!S59)</f>
        <v>125.70569934938426</v>
      </c>
      <c r="T110" s="152">
        <f>IF(T19=0,0,1000000*T19/TrRoad_act!T59)</f>
        <v>112.35241872944863</v>
      </c>
      <c r="U110" s="152">
        <f>IF(U19=0,0,1000000*U19/TrRoad_act!U59)</f>
        <v>111.55068990962944</v>
      </c>
      <c r="V110" s="152">
        <f>IF(V19=0,0,1000000*V19/TrRoad_act!V59)</f>
        <v>95.168454040799034</v>
      </c>
      <c r="W110" s="152">
        <f>IF(W19=0,0,1000000*W19/TrRoad_act!W59)</f>
        <v>95.008277169527787</v>
      </c>
      <c r="X110" s="152">
        <f>IF(X19=0,0,1000000*X19/TrRoad_act!X59)</f>
        <v>92.377160090294367</v>
      </c>
      <c r="Y110" s="152">
        <f>IF(Y19=0,0,1000000*Y19/TrRoad_act!Y59)</f>
        <v>95.588523890701325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1970.6935660062525</v>
      </c>
      <c r="C111" s="116">
        <f>IF(C20=0,0,1000000*C20/TrRoad_act!C60)</f>
        <v>2513.4726764588509</v>
      </c>
      <c r="D111" s="116">
        <f>IF(D20=0,0,1000000*D20/TrRoad_act!D60)</f>
        <v>2445.7002402606422</v>
      </c>
      <c r="E111" s="116">
        <f>IF(E20=0,0,1000000*E20/TrRoad_act!E60)</f>
        <v>2255.576731185201</v>
      </c>
      <c r="F111" s="116">
        <f>IF(F20=0,0,1000000*F20/TrRoad_act!F60)</f>
        <v>2128.5008981981809</v>
      </c>
      <c r="G111" s="116">
        <f>IF(G20=0,0,1000000*G20/TrRoad_act!G60)</f>
        <v>2192.2838432236522</v>
      </c>
      <c r="H111" s="116">
        <f>IF(H20=0,0,1000000*H20/TrRoad_act!H60)</f>
        <v>2425.3201960792899</v>
      </c>
      <c r="I111" s="116">
        <f>IF(I20=0,0,1000000*I20/TrRoad_act!I60)</f>
        <v>2602.9798818742579</v>
      </c>
      <c r="J111" s="116">
        <f>IF(J20=0,0,1000000*J20/TrRoad_act!J60)</f>
        <v>2428.4006678200117</v>
      </c>
      <c r="K111" s="116">
        <f>IF(K20=0,0,1000000*K20/TrRoad_act!K60)</f>
        <v>2368.138904151871</v>
      </c>
      <c r="L111" s="116">
        <f>IF(L20=0,0,1000000*L20/TrRoad_act!L60)</f>
        <v>2335.3620352871844</v>
      </c>
      <c r="M111" s="116">
        <f>IF(M20=0,0,1000000*M20/TrRoad_act!M60)</f>
        <v>2256.6647743263898</v>
      </c>
      <c r="N111" s="116">
        <f>IF(N20=0,0,1000000*N20/TrRoad_act!N60)</f>
        <v>2217.8162010560136</v>
      </c>
      <c r="O111" s="116">
        <f>IF(O20=0,0,1000000*O20/TrRoad_act!O60)</f>
        <v>2098.7672210777382</v>
      </c>
      <c r="P111" s="116">
        <f>IF(P20=0,0,1000000*P20/TrRoad_act!P60)</f>
        <v>2053.2247798204221</v>
      </c>
      <c r="Q111" s="116">
        <f>IF(Q20=0,0,1000000*Q20/TrRoad_act!Q60)</f>
        <v>2092.0997899310109</v>
      </c>
      <c r="R111" s="116">
        <f>IF(R20=0,0,1000000*R20/TrRoad_act!R60)</f>
        <v>2072.9400444140215</v>
      </c>
      <c r="S111" s="116">
        <f>IF(S20=0,0,1000000*S20/TrRoad_act!S60)</f>
        <v>2081.5149600257741</v>
      </c>
      <c r="T111" s="116">
        <f>IF(T20=0,0,1000000*T20/TrRoad_act!T60)</f>
        <v>2069.8475777526269</v>
      </c>
      <c r="U111" s="116">
        <f>IF(U20=0,0,1000000*U20/TrRoad_act!U60)</f>
        <v>1937.2858566876425</v>
      </c>
      <c r="V111" s="116">
        <f>IF(V20=0,0,1000000*V20/TrRoad_act!V60)</f>
        <v>1760.8540935335143</v>
      </c>
      <c r="W111" s="116">
        <f>IF(W20=0,0,1000000*W20/TrRoad_act!W60)</f>
        <v>1740.7204782152844</v>
      </c>
      <c r="X111" s="116">
        <f>IF(X20=0,0,1000000*X20/TrRoad_act!X60)</f>
        <v>1725.4932847467373</v>
      </c>
      <c r="Y111" s="116">
        <f>IF(Y20=0,0,1000000*Y20/TrRoad_act!Y60)</f>
        <v>1737.743431232838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1986.6520710000539</v>
      </c>
      <c r="C112" s="87">
        <f>IF(C21=0,0,1000000*C21/TrRoad_act!C61)</f>
        <v>2520.3822775122771</v>
      </c>
      <c r="D112" s="87">
        <f>IF(D21=0,0,1000000*D21/TrRoad_act!D61)</f>
        <v>2369.4876090641001</v>
      </c>
      <c r="E112" s="87">
        <f>IF(E21=0,0,1000000*E21/TrRoad_act!E61)</f>
        <v>2132.1725993111459</v>
      </c>
      <c r="F112" s="87">
        <f>IF(F21=0,0,1000000*F21/TrRoad_act!F61)</f>
        <v>1926.7072981308095</v>
      </c>
      <c r="G112" s="87">
        <f>IF(G21=0,0,1000000*G21/TrRoad_act!G61)</f>
        <v>1946.5797771243965</v>
      </c>
      <c r="H112" s="87">
        <f>IF(H21=0,0,1000000*H21/TrRoad_act!H61)</f>
        <v>2108.7541610109452</v>
      </c>
      <c r="I112" s="87">
        <f>IF(I21=0,0,1000000*I21/TrRoad_act!I61)</f>
        <v>2274.4650107586308</v>
      </c>
      <c r="J112" s="87">
        <f>IF(J21=0,0,1000000*J21/TrRoad_act!J61)</f>
        <v>2184.4277906778912</v>
      </c>
      <c r="K112" s="87">
        <f>IF(K21=0,0,1000000*K21/TrRoad_act!K61)</f>
        <v>2028.4838435419606</v>
      </c>
      <c r="L112" s="87">
        <f>IF(L21=0,0,1000000*L21/TrRoad_act!L61)</f>
        <v>1924.5544912884095</v>
      </c>
      <c r="M112" s="87">
        <f>IF(M21=0,0,1000000*M21/TrRoad_act!M61)</f>
        <v>1755.4177914424149</v>
      </c>
      <c r="N112" s="87">
        <f>IF(N21=0,0,1000000*N21/TrRoad_act!N61)</f>
        <v>1661.1881063866192</v>
      </c>
      <c r="O112" s="87">
        <f>IF(O21=0,0,1000000*O21/TrRoad_act!O61)</f>
        <v>1553.6241508276075</v>
      </c>
      <c r="P112" s="87">
        <f>IF(P21=0,0,1000000*P21/TrRoad_act!P61)</f>
        <v>1554.3684261467117</v>
      </c>
      <c r="Q112" s="87">
        <f>IF(Q21=0,0,1000000*Q21/TrRoad_act!Q61)</f>
        <v>1530.1314292654786</v>
      </c>
      <c r="R112" s="87">
        <f>IF(R21=0,0,1000000*R21/TrRoad_act!R61)</f>
        <v>1592.721203131543</v>
      </c>
      <c r="S112" s="87">
        <f>IF(S21=0,0,1000000*S21/TrRoad_act!S61)</f>
        <v>1654.9974321750801</v>
      </c>
      <c r="T112" s="87">
        <f>IF(T21=0,0,1000000*T21/TrRoad_act!T61)</f>
        <v>1674.5086439570071</v>
      </c>
      <c r="U112" s="87">
        <f>IF(U21=0,0,1000000*U21/TrRoad_act!U61)</f>
        <v>1610.1019399670067</v>
      </c>
      <c r="V112" s="87">
        <f>IF(V21=0,0,1000000*V21/TrRoad_act!V61)</f>
        <v>1260.3628342244613</v>
      </c>
      <c r="W112" s="87">
        <f>IF(W21=0,0,1000000*W21/TrRoad_act!W61)</f>
        <v>1173.3309580079288</v>
      </c>
      <c r="X112" s="87">
        <f>IF(X21=0,0,1000000*X21/TrRoad_act!X61)</f>
        <v>1230.9620842306624</v>
      </c>
      <c r="Y112" s="87">
        <f>IF(Y21=0,0,1000000*Y21/TrRoad_act!Y61)</f>
        <v>1214.6703767434124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1757.1880742782248</v>
      </c>
      <c r="C113" s="87">
        <f>IF(C22=0,0,1000000*C22/TrRoad_act!C62)</f>
        <v>2438.719602882486</v>
      </c>
      <c r="D113" s="87">
        <f>IF(D22=0,0,1000000*D22/TrRoad_act!D62)</f>
        <v>3019.6082510958386</v>
      </c>
      <c r="E113" s="87">
        <f>IF(E22=0,0,1000000*E22/TrRoad_act!E62)</f>
        <v>3114.2339870257642</v>
      </c>
      <c r="F113" s="87">
        <f>IF(F22=0,0,1000000*F22/TrRoad_act!F62)</f>
        <v>3324.2774869120312</v>
      </c>
      <c r="G113" s="87">
        <f>IF(G22=0,0,1000000*G22/TrRoad_act!G62)</f>
        <v>3466.9029821242302</v>
      </c>
      <c r="H113" s="87">
        <f>IF(H22=0,0,1000000*H22/TrRoad_act!H62)</f>
        <v>3795.4479065570749</v>
      </c>
      <c r="I113" s="87">
        <f>IF(I22=0,0,1000000*I22/TrRoad_act!I62)</f>
        <v>3745.3357575645623</v>
      </c>
      <c r="J113" s="87">
        <f>IF(J22=0,0,1000000*J22/TrRoad_act!J62)</f>
        <v>3214.3846730228711</v>
      </c>
      <c r="K113" s="87">
        <f>IF(K22=0,0,1000000*K22/TrRoad_act!K62)</f>
        <v>3453.6757264069333</v>
      </c>
      <c r="L113" s="87">
        <f>IF(L22=0,0,1000000*L22/TrRoad_act!L62)</f>
        <v>3567.8932286526529</v>
      </c>
      <c r="M113" s="87">
        <f>IF(M22=0,0,1000000*M22/TrRoad_act!M62)</f>
        <v>3613.5975020587643</v>
      </c>
      <c r="N113" s="87">
        <f>IF(N22=0,0,1000000*N22/TrRoad_act!N62)</f>
        <v>3546.7343669701932</v>
      </c>
      <c r="O113" s="87">
        <f>IF(O22=0,0,1000000*O22/TrRoad_act!O62)</f>
        <v>3245.3241625211481</v>
      </c>
      <c r="P113" s="87">
        <f>IF(P22=0,0,1000000*P22/TrRoad_act!P62)</f>
        <v>3006.5618460868109</v>
      </c>
      <c r="Q113" s="87">
        <f>IF(Q22=0,0,1000000*Q22/TrRoad_act!Q62)</f>
        <v>3090.4641952531802</v>
      </c>
      <c r="R113" s="87">
        <f>IF(R22=0,0,1000000*R22/TrRoad_act!R62)</f>
        <v>2881.6740049642049</v>
      </c>
      <c r="S113" s="87">
        <f>IF(S22=0,0,1000000*S22/TrRoad_act!S62)</f>
        <v>2758.6980827414359</v>
      </c>
      <c r="T113" s="87">
        <f>IF(T22=0,0,1000000*T22/TrRoad_act!T62)</f>
        <v>2657.8445703390053</v>
      </c>
      <c r="U113" s="87">
        <f>IF(U22=0,0,1000000*U22/TrRoad_act!U62)</f>
        <v>2400.1705036679209</v>
      </c>
      <c r="V113" s="87">
        <f>IF(V22=0,0,1000000*V22/TrRoad_act!V62)</f>
        <v>2456.9643317946216</v>
      </c>
      <c r="W113" s="87">
        <f>IF(W22=0,0,1000000*W22/TrRoad_act!W62)</f>
        <v>2505.9147021203221</v>
      </c>
      <c r="X113" s="87">
        <f>IF(X22=0,0,1000000*X22/TrRoad_act!X62)</f>
        <v>2372.2070069699548</v>
      </c>
      <c r="Y113" s="87">
        <f>IF(Y22=0,0,1000000*Y22/TrRoad_act!Y62)</f>
        <v>2440.2981783018517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3349.4742000000001</v>
      </c>
      <c r="C114" s="87">
        <f>IF(C23=0,0,1000000*C23/TrRoad_act!C63)</f>
        <v>3645.7377142857154</v>
      </c>
      <c r="D114" s="87">
        <f>IF(D23=0,0,1000000*D23/TrRoad_act!D63)</f>
        <v>3734.0245664739891</v>
      </c>
      <c r="E114" s="87">
        <f>IF(E23=0,0,1000000*E23/TrRoad_act!E63)</f>
        <v>3488.5482867557735</v>
      </c>
      <c r="F114" s="87">
        <f>IF(F23=0,0,1000000*F23/TrRoad_act!F63)</f>
        <v>3705.6909090909085</v>
      </c>
      <c r="G114" s="87">
        <f>IF(G23=0,0,1000000*G23/TrRoad_act!G63)</f>
        <v>3548.5020976491869</v>
      </c>
      <c r="H114" s="87">
        <f>IF(H23=0,0,1000000*H23/TrRoad_act!H63)</f>
        <v>3550.1685889570567</v>
      </c>
      <c r="I114" s="87">
        <f>IF(I23=0,0,1000000*I23/TrRoad_act!I63)</f>
        <v>3516.9459826361494</v>
      </c>
      <c r="J114" s="87">
        <f>IF(J23=0,0,1000000*J23/TrRoad_act!J63)</f>
        <v>4008.8593746011493</v>
      </c>
      <c r="K114" s="87">
        <f>IF(K23=0,0,1000000*K23/TrRoad_act!K63)</f>
        <v>3665.2126091825307</v>
      </c>
      <c r="L114" s="87">
        <f>IF(L23=0,0,1000000*L23/TrRoad_act!L63)</f>
        <v>3309.3370884658461</v>
      </c>
      <c r="M114" s="87">
        <f>IF(M23=0,0,1000000*M23/TrRoad_act!M63)</f>
        <v>3037.4718435754203</v>
      </c>
      <c r="N114" s="87">
        <f>IF(N23=0,0,1000000*N23/TrRoad_act!N63)</f>
        <v>2903.0955721056202</v>
      </c>
      <c r="O114" s="87">
        <f>IF(O23=0,0,1000000*O23/TrRoad_act!O63)</f>
        <v>2945.7758199356917</v>
      </c>
      <c r="P114" s="87">
        <f>IF(P23=0,0,1000000*P23/TrRoad_act!P63)</f>
        <v>2964.9828487084878</v>
      </c>
      <c r="Q114" s="87">
        <f>IF(Q23=0,0,1000000*Q23/TrRoad_act!Q63)</f>
        <v>3293.3256082474231</v>
      </c>
      <c r="R114" s="87">
        <f>IF(R23=0,0,1000000*R23/TrRoad_act!R63)</f>
        <v>3176.554284501452</v>
      </c>
      <c r="S114" s="87">
        <f>IF(S23=0,0,1000000*S23/TrRoad_act!S63)</f>
        <v>3248.6054081055399</v>
      </c>
      <c r="T114" s="87">
        <f>IF(T23=0,0,1000000*T23/TrRoad_act!T63)</f>
        <v>3351.7418512316244</v>
      </c>
      <c r="U114" s="87">
        <f>IF(U23=0,0,1000000*U23/TrRoad_act!U63)</f>
        <v>3321.083860986435</v>
      </c>
      <c r="V114" s="87">
        <f>IF(V23=0,0,1000000*V23/TrRoad_act!V63)</f>
        <v>2971.8191163538149</v>
      </c>
      <c r="W114" s="87">
        <f>IF(W23=0,0,1000000*W23/TrRoad_act!W63)</f>
        <v>3067.6992395369548</v>
      </c>
      <c r="X114" s="87">
        <f>IF(X23=0,0,1000000*X23/TrRoad_act!X63)</f>
        <v>3282.333245404488</v>
      </c>
      <c r="Y114" s="87">
        <f>IF(Y23=0,0,1000000*Y23/TrRoad_act!Y63)</f>
        <v>2872.3626118102793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3745.7117004796492</v>
      </c>
      <c r="M115" s="87">
        <f>IF(M24=0,0,1000000*M24/TrRoad_act!M64)</f>
        <v>3697.3720031392027</v>
      </c>
      <c r="N115" s="87">
        <f>IF(N24=0,0,1000000*N24/TrRoad_act!N64)</f>
        <v>3630.9144112925155</v>
      </c>
      <c r="O115" s="87">
        <f>IF(O24=0,0,1000000*O24/TrRoad_act!O64)</f>
        <v>3438.2373886682321</v>
      </c>
      <c r="P115" s="87">
        <f>IF(P24=0,0,1000000*P24/TrRoad_act!P64)</f>
        <v>3326.4735420250745</v>
      </c>
      <c r="Q115" s="87">
        <f>IF(Q24=0,0,1000000*Q24/TrRoad_act!Q64)</f>
        <v>3107.1440035435248</v>
      </c>
      <c r="R115" s="87">
        <f>IF(R24=0,0,1000000*R24/TrRoad_act!R64)</f>
        <v>2755.6676539207729</v>
      </c>
      <c r="S115" s="87">
        <f>IF(S24=0,0,1000000*S24/TrRoad_act!S64)</f>
        <v>2955.6879418685221</v>
      </c>
      <c r="T115" s="87">
        <f>IF(T24=0,0,1000000*T24/TrRoad_act!T64)</f>
        <v>2696.3039572734406</v>
      </c>
      <c r="U115" s="87">
        <f>IF(U24=0,0,1000000*U24/TrRoad_act!U64)</f>
        <v>2163.2269754427493</v>
      </c>
      <c r="V115" s="87">
        <f>IF(V24=0,0,1000000*V24/TrRoad_act!V64)</f>
        <v>2085.9599031679086</v>
      </c>
      <c r="W115" s="87">
        <f>IF(W24=0,0,1000000*W24/TrRoad_act!W64)</f>
        <v>2000.152857250047</v>
      </c>
      <c r="X115" s="87">
        <f>IF(X24=0,0,1000000*X24/TrRoad_act!X64)</f>
        <v>1850.4530209297484</v>
      </c>
      <c r="Y115" s="87">
        <f>IF(Y24=0,0,1000000*Y24/TrRoad_act!Y64)</f>
        <v>1750.2577456147089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493.63851485719817</v>
      </c>
      <c r="Q116" s="87">
        <f>IF(Q25=0,0,1000000*Q25/TrRoad_act!Q65)</f>
        <v>619.06426664251796</v>
      </c>
      <c r="R116" s="87">
        <f>IF(R25=0,0,1000000*R25/TrRoad_act!R65)</f>
        <v>602.97853081836513</v>
      </c>
      <c r="S116" s="87">
        <f>IF(S25=0,0,1000000*S25/TrRoad_act!S65)</f>
        <v>546.00666197568148</v>
      </c>
      <c r="T116" s="87">
        <f>IF(T25=0,0,1000000*T25/TrRoad_act!T65)</f>
        <v>543.9665721613876</v>
      </c>
      <c r="U116" s="87">
        <f>IF(U25=0,0,1000000*U25/TrRoad_act!U65)</f>
        <v>540.54695595961039</v>
      </c>
      <c r="V116" s="87">
        <f>IF(V25=0,0,1000000*V25/TrRoad_act!V65)</f>
        <v>492.4520213435456</v>
      </c>
      <c r="W116" s="87">
        <f>IF(W25=0,0,1000000*W25/TrRoad_act!W65)</f>
        <v>373.62469103295632</v>
      </c>
      <c r="X116" s="87">
        <f>IF(X25=0,0,1000000*X25/TrRoad_act!X65)</f>
        <v>334.29865174494762</v>
      </c>
      <c r="Y116" s="87">
        <f>IF(Y25=0,0,1000000*Y25/TrRoad_act!Y65)</f>
        <v>294.51221797643609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43021.243038091896</v>
      </c>
      <c r="C118" s="116">
        <f>IF(C27=0,0,1000000*C27/TrRoad_act!C67)</f>
        <v>53823.111597839852</v>
      </c>
      <c r="D118" s="116">
        <f>IF(D27=0,0,1000000*D27/TrRoad_act!D67)</f>
        <v>61742.211173471565</v>
      </c>
      <c r="E118" s="116">
        <f>IF(E27=0,0,1000000*E27/TrRoad_act!E67)</f>
        <v>55134.925209707188</v>
      </c>
      <c r="F118" s="116">
        <f>IF(F27=0,0,1000000*F27/TrRoad_act!F67)</f>
        <v>58003.003606865714</v>
      </c>
      <c r="G118" s="116">
        <f>IF(G27=0,0,1000000*G27/TrRoad_act!G67)</f>
        <v>60799.709138125691</v>
      </c>
      <c r="H118" s="116">
        <f>IF(H27=0,0,1000000*H27/TrRoad_act!H67)</f>
        <v>61006.238287244269</v>
      </c>
      <c r="I118" s="116">
        <f>IF(I27=0,0,1000000*I27/TrRoad_act!I67)</f>
        <v>61790.668768808297</v>
      </c>
      <c r="J118" s="116">
        <f>IF(J27=0,0,1000000*J27/TrRoad_act!J67)</f>
        <v>58973.169835275723</v>
      </c>
      <c r="K118" s="116">
        <f>IF(K27=0,0,1000000*K27/TrRoad_act!K67)</f>
        <v>54030.612608587959</v>
      </c>
      <c r="L118" s="116">
        <f>IF(L27=0,0,1000000*L27/TrRoad_act!L67)</f>
        <v>56921.35970965265</v>
      </c>
      <c r="M118" s="116">
        <f>IF(M27=0,0,1000000*M27/TrRoad_act!M67)</f>
        <v>56786.356826935385</v>
      </c>
      <c r="N118" s="116">
        <f>IF(N27=0,0,1000000*N27/TrRoad_act!N67)</f>
        <v>55673.911848825286</v>
      </c>
      <c r="O118" s="116">
        <f>IF(O27=0,0,1000000*O27/TrRoad_act!O67)</f>
        <v>53114.272910596839</v>
      </c>
      <c r="P118" s="116">
        <f>IF(P27=0,0,1000000*P27/TrRoad_act!P67)</f>
        <v>53833.987247121549</v>
      </c>
      <c r="Q118" s="116">
        <f>IF(Q27=0,0,1000000*Q27/TrRoad_act!Q67)</f>
        <v>52920.984139318505</v>
      </c>
      <c r="R118" s="116">
        <f>IF(R27=0,0,1000000*R27/TrRoad_act!R67)</f>
        <v>58173.86390752899</v>
      </c>
      <c r="S118" s="116">
        <f>IF(S27=0,0,1000000*S27/TrRoad_act!S67)</f>
        <v>64033.053432282031</v>
      </c>
      <c r="T118" s="116">
        <f>IF(T27=0,0,1000000*T27/TrRoad_act!T67)</f>
        <v>62307.293419357717</v>
      </c>
      <c r="U118" s="116">
        <f>IF(U27=0,0,1000000*U27/TrRoad_act!U67)</f>
        <v>56325.45619547517</v>
      </c>
      <c r="V118" s="116">
        <f>IF(V27=0,0,1000000*V27/TrRoad_act!V67)</f>
        <v>52056.039039511634</v>
      </c>
      <c r="W118" s="116">
        <f>IF(W27=0,0,1000000*W27/TrRoad_act!W67)</f>
        <v>55009.617792352219</v>
      </c>
      <c r="X118" s="116">
        <f>IF(X27=0,0,1000000*X27/TrRoad_act!X67)</f>
        <v>52084.79329388716</v>
      </c>
      <c r="Y118" s="116">
        <f>IF(Y27=0,0,1000000*Y27/TrRoad_act!Y67)</f>
        <v>40962.087181535957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12311.675216159263</v>
      </c>
      <c r="C119" s="101">
        <f>IF(C28=0,0,1000000*C28/TrRoad_act!C68)</f>
        <v>12296.56032780155</v>
      </c>
      <c r="D119" s="101">
        <f>IF(D28=0,0,1000000*D28/TrRoad_act!D68)</f>
        <v>12289.353915265438</v>
      </c>
      <c r="E119" s="101">
        <f>IF(E28=0,0,1000000*E28/TrRoad_act!E68)</f>
        <v>12301.669750722001</v>
      </c>
      <c r="F119" s="101">
        <f>IF(F28=0,0,1000000*F28/TrRoad_act!F68)</f>
        <v>12308.25234687291</v>
      </c>
      <c r="G119" s="101">
        <f>IF(G28=0,0,1000000*G28/TrRoad_act!G68)</f>
        <v>12829.703181360004</v>
      </c>
      <c r="H119" s="101">
        <f>IF(H28=0,0,1000000*H28/TrRoad_act!H68)</f>
        <v>13018.550407521441</v>
      </c>
      <c r="I119" s="101">
        <f>IF(I28=0,0,1000000*I28/TrRoad_act!I68)</f>
        <v>12899.338514031693</v>
      </c>
      <c r="J119" s="101">
        <f>IF(J28=0,0,1000000*J28/TrRoad_act!J68)</f>
        <v>12306.662394106475</v>
      </c>
      <c r="K119" s="101">
        <f>IF(K28=0,0,1000000*K28/TrRoad_act!K68)</f>
        <v>11829.128176994998</v>
      </c>
      <c r="L119" s="101">
        <f>IF(L28=0,0,1000000*L28/TrRoad_act!L68)</f>
        <v>11194.806046561167</v>
      </c>
      <c r="M119" s="101">
        <f>IF(M28=0,0,1000000*M28/TrRoad_act!M68)</f>
        <v>10761.214240120053</v>
      </c>
      <c r="N119" s="101">
        <f>IF(N28=0,0,1000000*N28/TrRoad_act!N68)</f>
        <v>10645.727354662238</v>
      </c>
      <c r="O119" s="101">
        <f>IF(O28=0,0,1000000*O28/TrRoad_act!O68)</f>
        <v>10560.988965937289</v>
      </c>
      <c r="P119" s="101">
        <f>IF(P28=0,0,1000000*P28/TrRoad_act!P68)</f>
        <v>10938.911242201824</v>
      </c>
      <c r="Q119" s="101">
        <f>IF(Q28=0,0,1000000*Q28/TrRoad_act!Q68)</f>
        <v>11542.767834810225</v>
      </c>
      <c r="R119" s="101">
        <f>IF(R28=0,0,1000000*R28/TrRoad_act!R68)</f>
        <v>13312.636158351686</v>
      </c>
      <c r="S119" s="101">
        <f>IF(S28=0,0,1000000*S28/TrRoad_act!S68)</f>
        <v>14730.343463456387</v>
      </c>
      <c r="T119" s="101">
        <f>IF(T28=0,0,1000000*T28/TrRoad_act!T68)</f>
        <v>13951.929669523293</v>
      </c>
      <c r="U119" s="101">
        <f>IF(U28=0,0,1000000*U28/TrRoad_act!U68)</f>
        <v>12092.486925359957</v>
      </c>
      <c r="V119" s="101">
        <f>IF(V28=0,0,1000000*V28/TrRoad_act!V68)</f>
        <v>11383.378370197172</v>
      </c>
      <c r="W119" s="101">
        <f>IF(W28=0,0,1000000*W28/TrRoad_act!W68)</f>
        <v>11800.229897650339</v>
      </c>
      <c r="X119" s="101">
        <f>IF(X28=0,0,1000000*X28/TrRoad_act!X68)</f>
        <v>12491.809336004431</v>
      </c>
      <c r="Y119" s="101">
        <f>IF(Y28=0,0,1000000*Y28/TrRoad_act!Y68)</f>
        <v>9011.1323148458305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65841.38506457406</v>
      </c>
      <c r="C120" s="101">
        <f>IF(C29=0,0,1000000*C29/TrRoad_act!C69)</f>
        <v>80602.580429988448</v>
      </c>
      <c r="D120" s="101">
        <f>IF(D29=0,0,1000000*D29/TrRoad_act!D69)</f>
        <v>88319.010015949854</v>
      </c>
      <c r="E120" s="101">
        <f>IF(E29=0,0,1000000*E29/TrRoad_act!E69)</f>
        <v>73157.177764726759</v>
      </c>
      <c r="F120" s="101">
        <f>IF(F29=0,0,1000000*F29/TrRoad_act!F69)</f>
        <v>74722.001670703597</v>
      </c>
      <c r="G120" s="101">
        <f>IF(G29=0,0,1000000*G29/TrRoad_act!G69)</f>
        <v>73587.974744824212</v>
      </c>
      <c r="H120" s="101">
        <f>IF(H29=0,0,1000000*H29/TrRoad_act!H69)</f>
        <v>73564.484129162563</v>
      </c>
      <c r="I120" s="101">
        <f>IF(I29=0,0,1000000*I29/TrRoad_act!I69)</f>
        <v>69542.916915905633</v>
      </c>
      <c r="J120" s="101">
        <f>IF(J29=0,0,1000000*J29/TrRoad_act!J69)</f>
        <v>64497.920086497281</v>
      </c>
      <c r="K120" s="101">
        <f>IF(K29=0,0,1000000*K29/TrRoad_act!K69)</f>
        <v>57654.682663595311</v>
      </c>
      <c r="L120" s="101">
        <f>IF(L29=0,0,1000000*L29/TrRoad_act!L69)</f>
        <v>61749.345357776947</v>
      </c>
      <c r="M120" s="101">
        <f>IF(M29=0,0,1000000*M29/TrRoad_act!M69)</f>
        <v>61350.972478842275</v>
      </c>
      <c r="N120" s="101">
        <f>IF(N29=0,0,1000000*N29/TrRoad_act!N69)</f>
        <v>59680.350504270347</v>
      </c>
      <c r="O120" s="101">
        <f>IF(O29=0,0,1000000*O29/TrRoad_act!O69)</f>
        <v>56831.400928927396</v>
      </c>
      <c r="P120" s="101">
        <f>IF(P29=0,0,1000000*P29/TrRoad_act!P69)</f>
        <v>57492.272099600254</v>
      </c>
      <c r="Q120" s="101">
        <f>IF(Q29=0,0,1000000*Q29/TrRoad_act!Q69)</f>
        <v>56192.090199513514</v>
      </c>
      <c r="R120" s="101">
        <f>IF(R29=0,0,1000000*R29/TrRoad_act!R69)</f>
        <v>61809.691571362091</v>
      </c>
      <c r="S120" s="101">
        <f>IF(S29=0,0,1000000*S29/TrRoad_act!S69)</f>
        <v>69009.475464509946</v>
      </c>
      <c r="T120" s="101">
        <f>IF(T29=0,0,1000000*T29/TrRoad_act!T69)</f>
        <v>65585.766897987429</v>
      </c>
      <c r="U120" s="101">
        <f>IF(U29=0,0,1000000*U29/TrRoad_act!U69)</f>
        <v>59383.152779344979</v>
      </c>
      <c r="V120" s="101">
        <f>IF(V29=0,0,1000000*V29/TrRoad_act!V69)</f>
        <v>54444.649271295399</v>
      </c>
      <c r="W120" s="101">
        <f>IF(W29=0,0,1000000*W29/TrRoad_act!W69)</f>
        <v>59145.80799924711</v>
      </c>
      <c r="X120" s="101">
        <f>IF(X29=0,0,1000000*X29/TrRoad_act!X69)</f>
        <v>60992.388126829115</v>
      </c>
      <c r="Y120" s="101">
        <f>IF(Y29=0,0,1000000*Y29/TrRoad_act!Y69)</f>
        <v>46060.968788719561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30778.945206224897</v>
      </c>
      <c r="U121" s="101">
        <f>IF(U30=0,0,1000000*U30/TrRoad_act!U70)</f>
        <v>27961.441488321405</v>
      </c>
      <c r="V121" s="101">
        <f>IF(V30=0,0,1000000*V30/TrRoad_act!V70)</f>
        <v>26656.665131051515</v>
      </c>
      <c r="W121" s="101">
        <f>IF(W30=0,0,1000000*W30/TrRoad_act!W70)</f>
        <v>27835.426743200533</v>
      </c>
      <c r="X121" s="101">
        <f>IF(X30=0,0,1000000*X30/TrRoad_act!X70)</f>
        <v>28408.520116147596</v>
      </c>
      <c r="Y121" s="101">
        <f>IF(Y30=0,0,1000000*Y30/TrRoad_act!Y70)</f>
        <v>19925.212640074773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46744.288299520354</v>
      </c>
      <c r="M122" s="101">
        <f>IF(M31=0,0,1000000*M31/TrRoad_act!M71)</f>
        <v>82856.913711146539</v>
      </c>
      <c r="N122" s="101">
        <f>IF(N31=0,0,1000000*N31/TrRoad_act!N71)</f>
        <v>151184.18042311206</v>
      </c>
      <c r="O122" s="101">
        <f>IF(O31=0,0,1000000*O31/TrRoad_act!O71)</f>
        <v>50792.321368999561</v>
      </c>
      <c r="P122" s="101">
        <f>IF(P31=0,0,1000000*P31/TrRoad_act!P71)</f>
        <v>46444.357012225824</v>
      </c>
      <c r="Q122" s="101">
        <f>IF(Q31=0,0,1000000*Q31/TrRoad_act!Q71)</f>
        <v>51525.263262514127</v>
      </c>
      <c r="R122" s="101">
        <f>IF(R31=0,0,1000000*R31/TrRoad_act!R71)</f>
        <v>50120.58797836709</v>
      </c>
      <c r="S122" s="101">
        <f>IF(S31=0,0,1000000*S31/TrRoad_act!S71)</f>
        <v>32893.388054072799</v>
      </c>
      <c r="T122" s="101">
        <f>IF(T31=0,0,1000000*T31/TrRoad_act!T71)</f>
        <v>65011.352749782644</v>
      </c>
      <c r="U122" s="101">
        <f>IF(U31=0,0,1000000*U31/TrRoad_act!U71)</f>
        <v>54750.235179856667</v>
      </c>
      <c r="V122" s="101">
        <f>IF(V31=0,0,1000000*V31/TrRoad_act!V71)</f>
        <v>56087.581407769932</v>
      </c>
      <c r="W122" s="101">
        <f>IF(W31=0,0,1000000*W31/TrRoad_act!W71)</f>
        <v>41268.918845550186</v>
      </c>
      <c r="X122" s="101">
        <f>IF(X31=0,0,1000000*X31/TrRoad_act!X71)</f>
        <v>12587.292960455792</v>
      </c>
      <c r="Y122" s="101">
        <f>IF(Y31=0,0,1000000*Y31/TrRoad_act!Y71)</f>
        <v>22383.296287080528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4742.5401916079945</v>
      </c>
      <c r="C125" s="152">
        <f>IF(C34=0,0,1000000*C34/TrRoad_act!C74)</f>
        <v>5932.024362554891</v>
      </c>
      <c r="D125" s="152">
        <f>IF(D34=0,0,1000000*D34/TrRoad_act!D74)</f>
        <v>6600.4699986771238</v>
      </c>
      <c r="E125" s="152">
        <f>IF(E34=0,0,1000000*E34/TrRoad_act!E74)</f>
        <v>5619.511482499156</v>
      </c>
      <c r="F125" s="152">
        <f>IF(F34=0,0,1000000*F34/TrRoad_act!F74)</f>
        <v>5669.1330501668544</v>
      </c>
      <c r="G125" s="152">
        <f>IF(G34=0,0,1000000*G34/TrRoad_act!G74)</f>
        <v>5449.470781569974</v>
      </c>
      <c r="H125" s="152">
        <f>IF(H34=0,0,1000000*H34/TrRoad_act!H74)</f>
        <v>5278.4022965410604</v>
      </c>
      <c r="I125" s="152">
        <f>IF(I34=0,0,1000000*I34/TrRoad_act!I74)</f>
        <v>5076.4877738127698</v>
      </c>
      <c r="J125" s="152">
        <f>IF(J34=0,0,1000000*J34/TrRoad_act!J74)</f>
        <v>4664.1920224838932</v>
      </c>
      <c r="K125" s="152">
        <f>IF(K34=0,0,1000000*K34/TrRoad_act!K74)</f>
        <v>4162.6179193927419</v>
      </c>
      <c r="L125" s="152">
        <f>IF(L34=0,0,1000000*L34/TrRoad_act!L74)</f>
        <v>4368.4569284558811</v>
      </c>
      <c r="M125" s="152">
        <f>IF(M34=0,0,1000000*M34/TrRoad_act!M74)</f>
        <v>4380.8582831866888</v>
      </c>
      <c r="N125" s="152">
        <f>IF(N34=0,0,1000000*N34/TrRoad_act!N74)</f>
        <v>4242.8134440990561</v>
      </c>
      <c r="O125" s="152">
        <f>IF(O34=0,0,1000000*O34/TrRoad_act!O74)</f>
        <v>3914.9094770330917</v>
      </c>
      <c r="P125" s="152">
        <f>IF(P34=0,0,1000000*P34/TrRoad_act!P74)</f>
        <v>3779.2689662740577</v>
      </c>
      <c r="Q125" s="152">
        <f>IF(Q34=0,0,1000000*Q34/TrRoad_act!Q74)</f>
        <v>3492.8121450917688</v>
      </c>
      <c r="R125" s="152">
        <f>IF(R34=0,0,1000000*R34/TrRoad_act!R74)</f>
        <v>3361.7279075034653</v>
      </c>
      <c r="S125" s="152">
        <f>IF(S34=0,0,1000000*S34/TrRoad_act!S74)</f>
        <v>3381.0928645465201</v>
      </c>
      <c r="T125" s="152">
        <f>IF(T34=0,0,1000000*T34/TrRoad_act!T74)</f>
        <v>3372.5656176248335</v>
      </c>
      <c r="U125" s="152">
        <f>IF(U34=0,0,1000000*U34/TrRoad_act!U74)</f>
        <v>3351.619020320752</v>
      </c>
      <c r="V125" s="152">
        <f>IF(V34=0,0,1000000*V34/TrRoad_act!V74)</f>
        <v>3155.4875627124434</v>
      </c>
      <c r="W125" s="152">
        <f>IF(W34=0,0,1000000*W34/TrRoad_act!W74)</f>
        <v>3332.0957413315282</v>
      </c>
      <c r="X125" s="152">
        <f>IF(X34=0,0,1000000*X34/TrRoad_act!X74)</f>
        <v>3449.2618600986293</v>
      </c>
      <c r="Y125" s="152">
        <f>IF(Y34=0,0,1000000*Y34/TrRoad_act!Y74)</f>
        <v>3538.7470500755626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4535.5080308801889</v>
      </c>
      <c r="C126" s="87">
        <f>IF(C35=0,0,1000000*C35/TrRoad_act!C75)</f>
        <v>5101.2936555388969</v>
      </c>
      <c r="D126" s="87">
        <f>IF(D35=0,0,1000000*D35/TrRoad_act!D75)</f>
        <v>5070.167054458354</v>
      </c>
      <c r="E126" s="87">
        <f>IF(E35=0,0,1000000*E35/TrRoad_act!E75)</f>
        <v>4827.7370459278736</v>
      </c>
      <c r="F126" s="87">
        <f>IF(F35=0,0,1000000*F35/TrRoad_act!F75)</f>
        <v>5124.5423324529047</v>
      </c>
      <c r="G126" s="87">
        <f>IF(G35=0,0,1000000*G35/TrRoad_act!G75)</f>
        <v>4666.4391113591</v>
      </c>
      <c r="H126" s="87">
        <f>IF(H35=0,0,1000000*H35/TrRoad_act!H75)</f>
        <v>4780.5274408728628</v>
      </c>
      <c r="I126" s="87">
        <f>IF(I35=0,0,1000000*I35/TrRoad_act!I75)</f>
        <v>4214.0341954087426</v>
      </c>
      <c r="J126" s="87">
        <f>IF(J35=0,0,1000000*J35/TrRoad_act!J75)</f>
        <v>3681.7576434414841</v>
      </c>
      <c r="K126" s="87">
        <f>IF(K35=0,0,1000000*K35/TrRoad_act!K75)</f>
        <v>3240.8542758203935</v>
      </c>
      <c r="L126" s="87">
        <f>IF(L35=0,0,1000000*L35/TrRoad_act!L75)</f>
        <v>2896.6786868015183</v>
      </c>
      <c r="M126" s="87">
        <f>IF(M35=0,0,1000000*M35/TrRoad_act!M75)</f>
        <v>2988.7278731122387</v>
      </c>
      <c r="N126" s="87">
        <f>IF(N35=0,0,1000000*N35/TrRoad_act!N75)</f>
        <v>2821.5060313467943</v>
      </c>
      <c r="O126" s="87">
        <f>IF(O35=0,0,1000000*O35/TrRoad_act!O75)</f>
        <v>2620.7371466847212</v>
      </c>
      <c r="P126" s="87">
        <f>IF(P35=0,0,1000000*P35/TrRoad_act!P75)</f>
        <v>2512.1391570668616</v>
      </c>
      <c r="Q126" s="87">
        <f>IF(Q35=0,0,1000000*Q35/TrRoad_act!Q75)</f>
        <v>2389.9750408653949</v>
      </c>
      <c r="R126" s="87">
        <f>IF(R35=0,0,1000000*R35/TrRoad_act!R75)</f>
        <v>2204.1529987425965</v>
      </c>
      <c r="S126" s="87">
        <f>IF(S35=0,0,1000000*S35/TrRoad_act!S75)</f>
        <v>2148.5439553484293</v>
      </c>
      <c r="T126" s="87">
        <f>IF(T35=0,0,1000000*T35/TrRoad_act!T75)</f>
        <v>2310.9814317734267</v>
      </c>
      <c r="U126" s="87">
        <f>IF(U35=0,0,1000000*U35/TrRoad_act!U75)</f>
        <v>2101.9825930194229</v>
      </c>
      <c r="V126" s="87">
        <f>IF(V35=0,0,1000000*V35/TrRoad_act!V75)</f>
        <v>1844.064495068287</v>
      </c>
      <c r="W126" s="87">
        <f>IF(W35=0,0,1000000*W35/TrRoad_act!W75)</f>
        <v>1683.7211169163013</v>
      </c>
      <c r="X126" s="87">
        <f>IF(X35=0,0,1000000*X35/TrRoad_act!X75)</f>
        <v>1543.8321509954287</v>
      </c>
      <c r="Y126" s="87">
        <f>IF(Y35=0,0,1000000*Y35/TrRoad_act!Y75)</f>
        <v>1353.2150808710292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4815.9637188620154</v>
      </c>
      <c r="C127" s="87">
        <f>IF(C36=0,0,1000000*C36/TrRoad_act!C76)</f>
        <v>6229.9852393321517</v>
      </c>
      <c r="D127" s="87">
        <f>IF(D36=0,0,1000000*D36/TrRoad_act!D76)</f>
        <v>7155.3849831591824</v>
      </c>
      <c r="E127" s="87">
        <f>IF(E36=0,0,1000000*E36/TrRoad_act!E76)</f>
        <v>5903.8373116104622</v>
      </c>
      <c r="F127" s="87">
        <f>IF(F36=0,0,1000000*F36/TrRoad_act!F76)</f>
        <v>5864.9347334264212</v>
      </c>
      <c r="G127" s="87">
        <f>IF(G36=0,0,1000000*G36/TrRoad_act!G76)</f>
        <v>5732.3870192296981</v>
      </c>
      <c r="H127" s="87">
        <f>IF(H36=0,0,1000000*H36/TrRoad_act!H76)</f>
        <v>5454.5649218641865</v>
      </c>
      <c r="I127" s="87">
        <f>IF(I36=0,0,1000000*I36/TrRoad_act!I76)</f>
        <v>5365.9505260503402</v>
      </c>
      <c r="J127" s="87">
        <f>IF(J36=0,0,1000000*J36/TrRoad_act!J76)</f>
        <v>5016.49482242454</v>
      </c>
      <c r="K127" s="87">
        <f>IF(K36=0,0,1000000*K36/TrRoad_act!K76)</f>
        <v>4496.8868113011631</v>
      </c>
      <c r="L127" s="87">
        <f>IF(L36=0,0,1000000*L36/TrRoad_act!L76)</f>
        <v>4880.3844395231454</v>
      </c>
      <c r="M127" s="87">
        <f>IF(M36=0,0,1000000*M36/TrRoad_act!M76)</f>
        <v>4844.348727224331</v>
      </c>
      <c r="N127" s="87">
        <f>IF(N36=0,0,1000000*N36/TrRoad_act!N76)</f>
        <v>4682.1392426745506</v>
      </c>
      <c r="O127" s="87">
        <f>IF(O36=0,0,1000000*O36/TrRoad_act!O76)</f>
        <v>4259.1710066242458</v>
      </c>
      <c r="P127" s="87">
        <f>IF(P36=0,0,1000000*P36/TrRoad_act!P76)</f>
        <v>4092.6097709145893</v>
      </c>
      <c r="Q127" s="87">
        <f>IF(Q36=0,0,1000000*Q36/TrRoad_act!Q76)</f>
        <v>3750.5392534144075</v>
      </c>
      <c r="R127" s="87">
        <f>IF(R36=0,0,1000000*R36/TrRoad_act!R76)</f>
        <v>3616.1502687260609</v>
      </c>
      <c r="S127" s="87">
        <f>IF(S36=0,0,1000000*S36/TrRoad_act!S76)</f>
        <v>3638.5500604671834</v>
      </c>
      <c r="T127" s="87">
        <f>IF(T36=0,0,1000000*T36/TrRoad_act!T76)</f>
        <v>3584.5355902711181</v>
      </c>
      <c r="U127" s="87">
        <f>IF(U36=0,0,1000000*U36/TrRoad_act!U76)</f>
        <v>3589.9279454825069</v>
      </c>
      <c r="V127" s="87">
        <f>IF(V36=0,0,1000000*V36/TrRoad_act!V76)</f>
        <v>3397.5669034545867</v>
      </c>
      <c r="W127" s="87">
        <f>IF(W36=0,0,1000000*W36/TrRoad_act!W76)</f>
        <v>3618.4582389534389</v>
      </c>
      <c r="X127" s="87">
        <f>IF(X36=0,0,1000000*X36/TrRoad_act!X76)</f>
        <v>3764.0983621135592</v>
      </c>
      <c r="Y127" s="87">
        <f>IF(Y36=0,0,1000000*Y36/TrRoad_act!Y76)</f>
        <v>3888.305710405602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1682.7490171288309</v>
      </c>
      <c r="S128" s="87">
        <f>IF(S37=0,0,1000000*S37/TrRoad_act!S77)</f>
        <v>1541.3383074119261</v>
      </c>
      <c r="T128" s="87">
        <f>IF(T37=0,0,1000000*T37/TrRoad_act!T77)</f>
        <v>1553.7181842979326</v>
      </c>
      <c r="U128" s="87">
        <f>IF(U37=0,0,1000000*U37/TrRoad_act!U77)</f>
        <v>1615.1882868494961</v>
      </c>
      <c r="V128" s="87">
        <f>IF(V37=0,0,1000000*V37/TrRoad_act!V77)</f>
        <v>1591.283837850327</v>
      </c>
      <c r="W128" s="87">
        <f>IF(W37=0,0,1000000*W37/TrRoad_act!W77)</f>
        <v>1612.2585404003189</v>
      </c>
      <c r="X128" s="87">
        <f>IF(X37=0,0,1000000*X37/TrRoad_act!X77)</f>
        <v>1635.215517505605</v>
      </c>
      <c r="Y128" s="87">
        <f>IF(Y37=0,0,1000000*Y37/TrRoad_act!Y77)</f>
        <v>1576.4795706274215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1943.7548570082972</v>
      </c>
      <c r="O129" s="87">
        <f>IF(O38=0,0,1000000*O38/TrRoad_act!O78)</f>
        <v>1949.0955094964613</v>
      </c>
      <c r="P129" s="87">
        <f>IF(P38=0,0,1000000*P38/TrRoad_act!P78)</f>
        <v>2033.4466225345577</v>
      </c>
      <c r="Q129" s="87">
        <f>IF(Q38=0,0,1000000*Q38/TrRoad_act!Q78)</f>
        <v>1961.4657516255008</v>
      </c>
      <c r="R129" s="87">
        <f>IF(R38=0,0,1000000*R38/TrRoad_act!R78)</f>
        <v>1991.37959533768</v>
      </c>
      <c r="S129" s="87">
        <f>IF(S38=0,0,1000000*S38/TrRoad_act!S78)</f>
        <v>1783.8190042934004</v>
      </c>
      <c r="T129" s="87">
        <f>IF(T38=0,0,1000000*T38/TrRoad_act!T78)</f>
        <v>1542.0748118239521</v>
      </c>
      <c r="U129" s="87">
        <f>IF(U38=0,0,1000000*U38/TrRoad_act!U78)</f>
        <v>1461.2091544991201</v>
      </c>
      <c r="V129" s="87">
        <f>IF(V38=0,0,1000000*V38/TrRoad_act!V78)</f>
        <v>1508.2267715030446</v>
      </c>
      <c r="W129" s="87">
        <f>IF(W38=0,0,1000000*W38/TrRoad_act!W78)</f>
        <v>1464.4715580729085</v>
      </c>
      <c r="X129" s="87">
        <f>IF(X38=0,0,1000000*X38/TrRoad_act!X78)</f>
        <v>1362.2004432233232</v>
      </c>
      <c r="Y129" s="87">
        <f>IF(Y38=0,0,1000000*Y38/TrRoad_act!Y78)</f>
        <v>1199.4200382516801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21883.238485859161</v>
      </c>
      <c r="C131" s="116">
        <f>IF(C40=0,0,1000000*C40/TrRoad_act!C80)</f>
        <v>30713.968798539208</v>
      </c>
      <c r="D131" s="116">
        <f>IF(D40=0,0,1000000*D40/TrRoad_act!D80)</f>
        <v>30144.146483827462</v>
      </c>
      <c r="E131" s="116">
        <f>IF(E40=0,0,1000000*E40/TrRoad_act!E80)</f>
        <v>23188.74528574619</v>
      </c>
      <c r="F131" s="116">
        <f>IF(F40=0,0,1000000*F40/TrRoad_act!F80)</f>
        <v>25824.365836854817</v>
      </c>
      <c r="G131" s="116">
        <f>IF(G40=0,0,1000000*G40/TrRoad_act!G80)</f>
        <v>26101.086962072204</v>
      </c>
      <c r="H131" s="116">
        <f>IF(H40=0,0,1000000*H40/TrRoad_act!H80)</f>
        <v>25357.15723533486</v>
      </c>
      <c r="I131" s="116">
        <f>IF(I40=0,0,1000000*I40/TrRoad_act!I80)</f>
        <v>27661.92190788165</v>
      </c>
      <c r="J131" s="116">
        <f>IF(J40=0,0,1000000*J40/TrRoad_act!J80)</f>
        <v>26408.623892431446</v>
      </c>
      <c r="K131" s="116">
        <f>IF(K40=0,0,1000000*K40/TrRoad_act!K80)</f>
        <v>21519.937076667833</v>
      </c>
      <c r="L131" s="116">
        <f>IF(L40=0,0,1000000*L40/TrRoad_act!L80)</f>
        <v>26637.515465223281</v>
      </c>
      <c r="M131" s="116">
        <f>IF(M40=0,0,1000000*M40/TrRoad_act!M80)</f>
        <v>28264.872322494411</v>
      </c>
      <c r="N131" s="116">
        <f>IF(N40=0,0,1000000*N40/TrRoad_act!N80)</f>
        <v>26263.886196387382</v>
      </c>
      <c r="O131" s="116">
        <f>IF(O40=0,0,1000000*O40/TrRoad_act!O80)</f>
        <v>26579.496380061366</v>
      </c>
      <c r="P131" s="116">
        <f>IF(P40=0,0,1000000*P40/TrRoad_act!P80)</f>
        <v>23631.301356390406</v>
      </c>
      <c r="Q131" s="116">
        <f>IF(Q40=0,0,1000000*Q40/TrRoad_act!Q80)</f>
        <v>21988.564888241282</v>
      </c>
      <c r="R131" s="116">
        <f>IF(R40=0,0,1000000*R40/TrRoad_act!R80)</f>
        <v>19509.929392440561</v>
      </c>
      <c r="S131" s="116">
        <f>IF(S40=0,0,1000000*S40/TrRoad_act!S80)</f>
        <v>15429.923881261455</v>
      </c>
      <c r="T131" s="116">
        <f>IF(T40=0,0,1000000*T40/TrRoad_act!T80)</f>
        <v>14358.359074391441</v>
      </c>
      <c r="U131" s="116">
        <f>IF(U40=0,0,1000000*U40/TrRoad_act!U80)</f>
        <v>11238.51606591525</v>
      </c>
      <c r="V131" s="116">
        <f>IF(V40=0,0,1000000*V40/TrRoad_act!V80)</f>
        <v>9409.2207341537905</v>
      </c>
      <c r="W131" s="116">
        <f>IF(W40=0,0,1000000*W40/TrRoad_act!W80)</f>
        <v>12354.164362045809</v>
      </c>
      <c r="X131" s="116">
        <f>IF(X40=0,0,1000000*X40/TrRoad_act!X80)</f>
        <v>13831.516391241446</v>
      </c>
      <c r="Y131" s="116">
        <f>IF(Y40=0,0,1000000*Y40/TrRoad_act!Y80)</f>
        <v>13844.665058401286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15965.964514224961</v>
      </c>
      <c r="C132" s="101">
        <f>IF(C41=0,0,1000000*C41/TrRoad_act!C81)</f>
        <v>20903.304132265486</v>
      </c>
      <c r="D132" s="101">
        <f>IF(D41=0,0,1000000*D41/TrRoad_act!D81)</f>
        <v>21968.05956437506</v>
      </c>
      <c r="E132" s="101">
        <f>IF(E41=0,0,1000000*E41/TrRoad_act!E81)</f>
        <v>18691.590993412083</v>
      </c>
      <c r="F132" s="101">
        <f>IF(F41=0,0,1000000*F41/TrRoad_act!F81)</f>
        <v>20571.979008107926</v>
      </c>
      <c r="G132" s="101">
        <f>IF(G41=0,0,1000000*G41/TrRoad_act!G81)</f>
        <v>20734.154662789013</v>
      </c>
      <c r="H132" s="101">
        <f>IF(H41=0,0,1000000*H41/TrRoad_act!H81)</f>
        <v>20083.681873785215</v>
      </c>
      <c r="I132" s="101">
        <f>IF(I41=0,0,1000000*I41/TrRoad_act!I81)</f>
        <v>21793.538981808535</v>
      </c>
      <c r="J132" s="101">
        <f>IF(J41=0,0,1000000*J41/TrRoad_act!J81)</f>
        <v>20988.727739020356</v>
      </c>
      <c r="K132" s="101">
        <f>IF(K41=0,0,1000000*K41/TrRoad_act!K81)</f>
        <v>16560.556921694406</v>
      </c>
      <c r="L132" s="101">
        <f>IF(L41=0,0,1000000*L41/TrRoad_act!L81)</f>
        <v>20054.211040404996</v>
      </c>
      <c r="M132" s="101">
        <f>IF(M41=0,0,1000000*M41/TrRoad_act!M81)</f>
        <v>21042.918760779979</v>
      </c>
      <c r="N132" s="101">
        <f>IF(N41=0,0,1000000*N41/TrRoad_act!N81)</f>
        <v>19239.824121412774</v>
      </c>
      <c r="O132" s="101">
        <f>IF(O41=0,0,1000000*O41/TrRoad_act!O81)</f>
        <v>19017.867574320804</v>
      </c>
      <c r="P132" s="101">
        <f>IF(P41=0,0,1000000*P41/TrRoad_act!P81)</f>
        <v>16391.732240449965</v>
      </c>
      <c r="Q132" s="101">
        <f>IF(Q41=0,0,1000000*Q41/TrRoad_act!Q81)</f>
        <v>14363.12595845623</v>
      </c>
      <c r="R132" s="101">
        <f>IF(R41=0,0,1000000*R41/TrRoad_act!R81)</f>
        <v>13337.596199555663</v>
      </c>
      <c r="S132" s="101">
        <f>IF(S41=0,0,1000000*S41/TrRoad_act!S81)</f>
        <v>9855.7608081345879</v>
      </c>
      <c r="T132" s="101">
        <f>IF(T41=0,0,1000000*T41/TrRoad_act!T81)</f>
        <v>9211.581121875699</v>
      </c>
      <c r="U132" s="101">
        <f>IF(U41=0,0,1000000*U41/TrRoad_act!U81)</f>
        <v>7048.3440506894549</v>
      </c>
      <c r="V132" s="101">
        <f>IF(V41=0,0,1000000*V41/TrRoad_act!V81)</f>
        <v>5010.2299996345646</v>
      </c>
      <c r="W132" s="101">
        <f>IF(W41=0,0,1000000*W41/TrRoad_act!W81)</f>
        <v>7908.3239085015257</v>
      </c>
      <c r="X132" s="101">
        <f>IF(X41=0,0,1000000*X41/TrRoad_act!X81)</f>
        <v>8356.04356932675</v>
      </c>
      <c r="Y132" s="101">
        <f>IF(Y41=0,0,1000000*Y41/TrRoad_act!Y81)</f>
        <v>8057.1665079994245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100921.11224983023</v>
      </c>
      <c r="C133" s="88">
        <f>IF(C42=0,0,1000000*C42/TrRoad_act!C82)</f>
        <v>120240.94674172145</v>
      </c>
      <c r="D133" s="88">
        <f>IF(D42=0,0,1000000*D42/TrRoad_act!D82)</f>
        <v>129794.82611693631</v>
      </c>
      <c r="E133" s="88">
        <f>IF(E42=0,0,1000000*E42/TrRoad_act!E82)</f>
        <v>109072.45292164879</v>
      </c>
      <c r="F133" s="88">
        <f>IF(F42=0,0,1000000*F42/TrRoad_act!F82)</f>
        <v>111356.49745827499</v>
      </c>
      <c r="G133" s="88">
        <f>IF(G42=0,0,1000000*G42/TrRoad_act!G82)</f>
        <v>113786.83345874232</v>
      </c>
      <c r="H133" s="88">
        <f>IF(H42=0,0,1000000*H42/TrRoad_act!H82)</f>
        <v>112983.43827664301</v>
      </c>
      <c r="I133" s="88">
        <f>IF(I42=0,0,1000000*I42/TrRoad_act!I82)</f>
        <v>118983.31563064978</v>
      </c>
      <c r="J133" s="88">
        <f>IF(J42=0,0,1000000*J42/TrRoad_act!J82)</f>
        <v>118942.77031011497</v>
      </c>
      <c r="K133" s="88">
        <f>IF(K42=0,0,1000000*K42/TrRoad_act!K82)</f>
        <v>111914.85996358618</v>
      </c>
      <c r="L133" s="88">
        <f>IF(L42=0,0,1000000*L42/TrRoad_act!L82)</f>
        <v>136727.81272647576</v>
      </c>
      <c r="M133" s="88">
        <f>IF(M42=0,0,1000000*M42/TrRoad_act!M82)</f>
        <v>138036.68083299196</v>
      </c>
      <c r="N133" s="88">
        <f>IF(N42=0,0,1000000*N42/TrRoad_act!N82)</f>
        <v>137820.40027944566</v>
      </c>
      <c r="O133" s="88">
        <f>IF(O42=0,0,1000000*O42/TrRoad_act!O82)</f>
        <v>119701.69970327341</v>
      </c>
      <c r="P133" s="88">
        <f>IF(P42=0,0,1000000*P42/TrRoad_act!P82)</f>
        <v>117184.55422253344</v>
      </c>
      <c r="Q133" s="88">
        <f>IF(Q42=0,0,1000000*Q42/TrRoad_act!Q82)</f>
        <v>106075.98219744994</v>
      </c>
      <c r="R133" s="88">
        <f>IF(R42=0,0,1000000*R42/TrRoad_act!R82)</f>
        <v>91638.367321470621</v>
      </c>
      <c r="S133" s="88">
        <f>IF(S42=0,0,1000000*S42/TrRoad_act!S82)</f>
        <v>89619.133333166552</v>
      </c>
      <c r="T133" s="88">
        <f>IF(T42=0,0,1000000*T42/TrRoad_act!T82)</f>
        <v>85406.272114554391</v>
      </c>
      <c r="U133" s="88">
        <f>IF(U42=0,0,1000000*U42/TrRoad_act!U82)</f>
        <v>82013.325382467083</v>
      </c>
      <c r="V133" s="88">
        <f>IF(V42=0,0,1000000*V42/TrRoad_act!V82)</f>
        <v>73769.892987921121</v>
      </c>
      <c r="W133" s="88">
        <f>IF(W42=0,0,1000000*W42/TrRoad_act!W82)</f>
        <v>83688.991151493276</v>
      </c>
      <c r="X133" s="88">
        <f>IF(X42=0,0,1000000*X42/TrRoad_act!X82)</f>
        <v>89433.00828856873</v>
      </c>
      <c r="Y133" s="88">
        <f>IF(Y42=0,0,1000000*Y42/TrRoad_act!Y82)</f>
        <v>102518.40284823846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0.72474297847402203</v>
      </c>
      <c r="C136" s="46">
        <f t="shared" si="40"/>
        <v>0.73864080575203994</v>
      </c>
      <c r="D136" s="46">
        <f t="shared" si="40"/>
        <v>0.70567276191144912</v>
      </c>
      <c r="E136" s="46">
        <f t="shared" si="40"/>
        <v>0.70504498223586964</v>
      </c>
      <c r="F136" s="46">
        <f t="shared" si="40"/>
        <v>0.70043031606548489</v>
      </c>
      <c r="G136" s="46">
        <f t="shared" si="40"/>
        <v>0.71657852039793135</v>
      </c>
      <c r="H136" s="46">
        <f t="shared" si="40"/>
        <v>0.73456921463610314</v>
      </c>
      <c r="I136" s="46">
        <f t="shared" si="40"/>
        <v>0.73343932141712309</v>
      </c>
      <c r="J136" s="46">
        <f t="shared" si="40"/>
        <v>0.73019038113200718</v>
      </c>
      <c r="K136" s="46">
        <f t="shared" si="40"/>
        <v>0.76873424425811088</v>
      </c>
      <c r="L136" s="46">
        <f t="shared" si="41"/>
        <v>0.75018402039354348</v>
      </c>
      <c r="M136" s="46">
        <f t="shared" si="40"/>
        <v>0.73111159223139077</v>
      </c>
      <c r="N136" s="46">
        <f t="shared" si="40"/>
        <v>0.73634548927695198</v>
      </c>
      <c r="O136" s="46">
        <f t="shared" si="40"/>
        <v>0.74110562432147686</v>
      </c>
      <c r="P136" s="46">
        <f t="shared" si="40"/>
        <v>0.75031493137668881</v>
      </c>
      <c r="Q136" s="46">
        <f t="shared" si="40"/>
        <v>0.76295432111852146</v>
      </c>
      <c r="R136" s="46">
        <f t="shared" si="40"/>
        <v>0.77224824305130979</v>
      </c>
      <c r="S136" s="46">
        <f t="shared" si="40"/>
        <v>0.78708008290483444</v>
      </c>
      <c r="T136" s="46">
        <f t="shared" si="40"/>
        <v>0.78379230301462188</v>
      </c>
      <c r="U136" s="46">
        <f t="shared" si="40"/>
        <v>0.78053074637641495</v>
      </c>
      <c r="V136" s="46">
        <f t="shared" si="40"/>
        <v>0.77909513116851314</v>
      </c>
      <c r="W136" s="46">
        <f t="shared" si="42"/>
        <v>0.75255693474940721</v>
      </c>
      <c r="X136" s="46">
        <f t="shared" si="42"/>
        <v>0.73383978244842962</v>
      </c>
      <c r="Y136" s="46">
        <f t="shared" si="42"/>
        <v>0.72368506075474814</v>
      </c>
      <c r="DA136" s="211"/>
    </row>
    <row r="137" spans="1:105" ht="11.45" customHeight="1" x14ac:dyDescent="0.25">
      <c r="A137" s="153" t="s">
        <v>173</v>
      </c>
      <c r="B137" s="154">
        <f t="shared" si="40"/>
        <v>8.4684186814187835E-4</v>
      </c>
      <c r="C137" s="154">
        <f t="shared" si="40"/>
        <v>7.0205396619426816E-4</v>
      </c>
      <c r="D137" s="154">
        <f t="shared" si="40"/>
        <v>7.161584763272623E-4</v>
      </c>
      <c r="E137" s="154">
        <f t="shared" si="40"/>
        <v>8.0405909074026467E-4</v>
      </c>
      <c r="F137" s="154">
        <f t="shared" si="40"/>
        <v>8.6181387408034858E-4</v>
      </c>
      <c r="G137" s="154">
        <f t="shared" si="40"/>
        <v>9.0969978197064962E-4</v>
      </c>
      <c r="H137" s="154">
        <f t="shared" si="40"/>
        <v>1.0192062929846937E-3</v>
      </c>
      <c r="I137" s="154">
        <f t="shared" si="40"/>
        <v>1.1122059107093515E-3</v>
      </c>
      <c r="J137" s="154">
        <f t="shared" si="40"/>
        <v>1.3296618375061404E-3</v>
      </c>
      <c r="K137" s="154">
        <f t="shared" si="40"/>
        <v>1.5358874679290186E-3</v>
      </c>
      <c r="L137" s="154">
        <f t="shared" si="41"/>
        <v>1.5277660493746511E-3</v>
      </c>
      <c r="M137" s="154">
        <f t="shared" si="40"/>
        <v>1.703703988167077E-3</v>
      </c>
      <c r="N137" s="154">
        <f t="shared" si="40"/>
        <v>2.4048589732604381E-3</v>
      </c>
      <c r="O137" s="154">
        <f t="shared" si="40"/>
        <v>2.6445688831532857E-3</v>
      </c>
      <c r="P137" s="154">
        <f t="shared" si="40"/>
        <v>2.7940685554631571E-3</v>
      </c>
      <c r="Q137" s="154">
        <f t="shared" si="40"/>
        <v>2.8997176322582098E-3</v>
      </c>
      <c r="R137" s="154">
        <f t="shared" si="40"/>
        <v>3.0275922860160025E-3</v>
      </c>
      <c r="S137" s="154">
        <f t="shared" si="40"/>
        <v>2.7768698406160247E-3</v>
      </c>
      <c r="T137" s="154">
        <f t="shared" si="40"/>
        <v>2.5674011216006158E-3</v>
      </c>
      <c r="U137" s="154">
        <f t="shared" si="40"/>
        <v>2.737477321953469E-3</v>
      </c>
      <c r="V137" s="154">
        <f t="shared" si="40"/>
        <v>2.6379868063891141E-3</v>
      </c>
      <c r="W137" s="154">
        <f t="shared" si="42"/>
        <v>2.6146614940700721E-3</v>
      </c>
      <c r="X137" s="154">
        <f t="shared" si="42"/>
        <v>2.5966804953577649E-3</v>
      </c>
      <c r="Y137" s="154">
        <f t="shared" si="42"/>
        <v>2.8171407134364554E-3</v>
      </c>
      <c r="DA137" s="212"/>
    </row>
    <row r="138" spans="1:105" ht="11.45" customHeight="1" x14ac:dyDescent="0.25">
      <c r="A138" s="155" t="s">
        <v>20</v>
      </c>
      <c r="B138" s="156">
        <f t="shared" si="40"/>
        <v>0.54809812884397946</v>
      </c>
      <c r="C138" s="156">
        <f t="shared" si="40"/>
        <v>0.56636529231985955</v>
      </c>
      <c r="D138" s="156">
        <f t="shared" si="40"/>
        <v>0.52239271166965329</v>
      </c>
      <c r="E138" s="156">
        <f t="shared" si="40"/>
        <v>0.53758960817158763</v>
      </c>
      <c r="F138" s="156">
        <f t="shared" si="40"/>
        <v>0.53272864329781366</v>
      </c>
      <c r="G138" s="156">
        <f t="shared" si="40"/>
        <v>0.54860548631074879</v>
      </c>
      <c r="H138" s="156">
        <f t="shared" si="40"/>
        <v>0.57570651184537625</v>
      </c>
      <c r="I138" s="156">
        <f t="shared" si="40"/>
        <v>0.60443103886162586</v>
      </c>
      <c r="J138" s="156">
        <f t="shared" si="40"/>
        <v>0.6097187090107532</v>
      </c>
      <c r="K138" s="156">
        <f t="shared" si="40"/>
        <v>0.65174828529812601</v>
      </c>
      <c r="L138" s="156">
        <f t="shared" si="41"/>
        <v>0.62976013167295741</v>
      </c>
      <c r="M138" s="156">
        <f t="shared" si="40"/>
        <v>0.6143963154568749</v>
      </c>
      <c r="N138" s="156">
        <f t="shared" si="40"/>
        <v>0.61966992307108959</v>
      </c>
      <c r="O138" s="156">
        <f t="shared" si="40"/>
        <v>0.62293870365016213</v>
      </c>
      <c r="P138" s="156">
        <f t="shared" si="40"/>
        <v>0.62828877654741522</v>
      </c>
      <c r="Q138" s="156">
        <f t="shared" si="40"/>
        <v>0.6429032669629331</v>
      </c>
      <c r="R138" s="156">
        <f t="shared" si="40"/>
        <v>0.64260197823525511</v>
      </c>
      <c r="S138" s="156">
        <f t="shared" si="40"/>
        <v>0.64564332987112227</v>
      </c>
      <c r="T138" s="156">
        <f t="shared" si="40"/>
        <v>0.64783145506934992</v>
      </c>
      <c r="U138" s="156">
        <f t="shared" si="40"/>
        <v>0.65308199594967553</v>
      </c>
      <c r="V138" s="156">
        <f t="shared" si="40"/>
        <v>0.65073412898028982</v>
      </c>
      <c r="W138" s="156">
        <f t="shared" si="42"/>
        <v>0.62203990755080008</v>
      </c>
      <c r="X138" s="156">
        <f t="shared" si="42"/>
        <v>0.61331451358384537</v>
      </c>
      <c r="Y138" s="156">
        <f t="shared" si="42"/>
        <v>0.63113523284160444</v>
      </c>
      <c r="DA138" s="213"/>
    </row>
    <row r="139" spans="1:105" ht="11.45" customHeight="1" x14ac:dyDescent="0.25">
      <c r="A139" s="157" t="s">
        <v>110</v>
      </c>
      <c r="B139" s="103">
        <f t="shared" si="40"/>
        <v>0.50853098455180856</v>
      </c>
      <c r="C139" s="103">
        <f t="shared" si="40"/>
        <v>0.50688559308826164</v>
      </c>
      <c r="D139" s="103">
        <f t="shared" si="40"/>
        <v>0.44774350583352024</v>
      </c>
      <c r="E139" s="103">
        <f t="shared" si="40"/>
        <v>0.44468828743122191</v>
      </c>
      <c r="F139" s="103">
        <f t="shared" si="40"/>
        <v>0.4128443483844122</v>
      </c>
      <c r="G139" s="103">
        <f t="shared" si="40"/>
        <v>0.40845325533601157</v>
      </c>
      <c r="H139" s="103">
        <f t="shared" si="40"/>
        <v>0.40640287884609705</v>
      </c>
      <c r="I139" s="103">
        <f t="shared" si="40"/>
        <v>0.40998884491278437</v>
      </c>
      <c r="J139" s="103">
        <f t="shared" si="40"/>
        <v>0.41974271846638389</v>
      </c>
      <c r="K139" s="103">
        <f t="shared" si="40"/>
        <v>0.42549054305368578</v>
      </c>
      <c r="L139" s="103">
        <f t="shared" si="41"/>
        <v>0.38897631091939883</v>
      </c>
      <c r="M139" s="103">
        <f t="shared" si="40"/>
        <v>0.34836087753144629</v>
      </c>
      <c r="N139" s="103">
        <f t="shared" si="40"/>
        <v>0.32547888854499551</v>
      </c>
      <c r="O139" s="103">
        <f t="shared" si="40"/>
        <v>0.3111044105597337</v>
      </c>
      <c r="P139" s="103">
        <f t="shared" si="40"/>
        <v>0.31055801243068748</v>
      </c>
      <c r="Q139" s="103">
        <f t="shared" si="40"/>
        <v>0.2996978298342341</v>
      </c>
      <c r="R139" s="103">
        <f t="shared" si="40"/>
        <v>0.3086986913764746</v>
      </c>
      <c r="S139" s="103">
        <f t="shared" si="40"/>
        <v>0.31484063575026733</v>
      </c>
      <c r="T139" s="103">
        <f t="shared" si="40"/>
        <v>0.31430933011084533</v>
      </c>
      <c r="U139" s="103">
        <f t="shared" si="40"/>
        <v>0.31978919156767349</v>
      </c>
      <c r="V139" s="103">
        <f t="shared" si="40"/>
        <v>0.26844290976946522</v>
      </c>
      <c r="W139" s="103">
        <f t="shared" si="42"/>
        <v>0.23648028112007752</v>
      </c>
      <c r="X139" s="103">
        <f t="shared" si="42"/>
        <v>0.2434994501193341</v>
      </c>
      <c r="Y139" s="103">
        <f t="shared" si="42"/>
        <v>0.2431581236709153</v>
      </c>
      <c r="DA139" s="191"/>
    </row>
    <row r="140" spans="1:105" ht="11.45" customHeight="1" x14ac:dyDescent="0.25">
      <c r="A140" s="157" t="s">
        <v>111</v>
      </c>
      <c r="B140" s="103">
        <f t="shared" si="40"/>
        <v>3.8211774102816259E-2</v>
      </c>
      <c r="C140" s="103">
        <f t="shared" si="40"/>
        <v>5.820902558412426E-2</v>
      </c>
      <c r="D140" s="103">
        <f t="shared" si="40"/>
        <v>7.3271813044636577E-2</v>
      </c>
      <c r="E140" s="103">
        <f t="shared" si="40"/>
        <v>9.1324624239946944E-2</v>
      </c>
      <c r="F140" s="103">
        <f t="shared" si="40"/>
        <v>0.11812977541339301</v>
      </c>
      <c r="G140" s="103">
        <f t="shared" si="40"/>
        <v>0.13816293030297089</v>
      </c>
      <c r="H140" s="103">
        <f t="shared" si="40"/>
        <v>0.16685406278809883</v>
      </c>
      <c r="I140" s="103">
        <f t="shared" si="40"/>
        <v>0.19246680433750302</v>
      </c>
      <c r="J140" s="103">
        <f t="shared" si="40"/>
        <v>0.18711762807992063</v>
      </c>
      <c r="K140" s="103">
        <f t="shared" si="40"/>
        <v>0.22295572764126206</v>
      </c>
      <c r="L140" s="103">
        <f t="shared" si="41"/>
        <v>0.23789633552251815</v>
      </c>
      <c r="M140" s="103">
        <f t="shared" si="40"/>
        <v>0.26292847860634011</v>
      </c>
      <c r="N140" s="103">
        <f t="shared" si="40"/>
        <v>0.29018785794176388</v>
      </c>
      <c r="O140" s="103">
        <f t="shared" si="40"/>
        <v>0.30688568891967061</v>
      </c>
      <c r="P140" s="103">
        <f t="shared" si="40"/>
        <v>0.31171311608243213</v>
      </c>
      <c r="Q140" s="103">
        <f t="shared" si="40"/>
        <v>0.33612403900270504</v>
      </c>
      <c r="R140" s="103">
        <f t="shared" si="40"/>
        <v>0.32571473364654385</v>
      </c>
      <c r="S140" s="103">
        <f t="shared" si="40"/>
        <v>0.32092916869061111</v>
      </c>
      <c r="T140" s="103">
        <f t="shared" si="40"/>
        <v>0.32108334891107088</v>
      </c>
      <c r="U140" s="103">
        <f t="shared" si="40"/>
        <v>0.31449732335945529</v>
      </c>
      <c r="V140" s="103">
        <f t="shared" si="40"/>
        <v>0.35733158049874747</v>
      </c>
      <c r="W140" s="103">
        <f t="shared" si="42"/>
        <v>0.35843366571126506</v>
      </c>
      <c r="X140" s="103">
        <f t="shared" si="42"/>
        <v>0.34526244811436213</v>
      </c>
      <c r="Y140" s="103">
        <f t="shared" si="42"/>
        <v>0.36722226463277102</v>
      </c>
      <c r="DA140" s="191"/>
    </row>
    <row r="141" spans="1:105" ht="11.45" customHeight="1" x14ac:dyDescent="0.25">
      <c r="A141" s="157" t="s">
        <v>112</v>
      </c>
      <c r="B141" s="103">
        <f t="shared" si="40"/>
        <v>1.3553701893547249E-3</v>
      </c>
      <c r="C141" s="103">
        <f t="shared" si="40"/>
        <v>1.2706736474736525E-3</v>
      </c>
      <c r="D141" s="103">
        <f t="shared" si="40"/>
        <v>1.3773927914964676E-3</v>
      </c>
      <c r="E141" s="103">
        <f t="shared" si="40"/>
        <v>1.5766965004187163E-3</v>
      </c>
      <c r="F141" s="103">
        <f t="shared" si="40"/>
        <v>1.7545195000085055E-3</v>
      </c>
      <c r="G141" s="103">
        <f t="shared" si="40"/>
        <v>1.9893006717662956E-3</v>
      </c>
      <c r="H141" s="103">
        <f t="shared" si="40"/>
        <v>2.4495702111803357E-3</v>
      </c>
      <c r="I141" s="103">
        <f t="shared" si="40"/>
        <v>1.9753896113385251E-3</v>
      </c>
      <c r="J141" s="103">
        <f t="shared" si="40"/>
        <v>2.8583624644486329E-3</v>
      </c>
      <c r="K141" s="103">
        <f t="shared" si="40"/>
        <v>3.3020146031780772E-3</v>
      </c>
      <c r="L141" s="103">
        <f t="shared" si="41"/>
        <v>2.8838300277016912E-3</v>
      </c>
      <c r="M141" s="103">
        <f t="shared" si="40"/>
        <v>3.094683206897745E-3</v>
      </c>
      <c r="N141" s="103">
        <f t="shared" si="40"/>
        <v>3.9795875432955541E-3</v>
      </c>
      <c r="O141" s="103">
        <f t="shared" si="40"/>
        <v>4.7586483667730276E-3</v>
      </c>
      <c r="P141" s="103">
        <f t="shared" si="40"/>
        <v>5.6484022057180332E-3</v>
      </c>
      <c r="Q141" s="103">
        <f t="shared" si="40"/>
        <v>6.5290911260646785E-3</v>
      </c>
      <c r="R141" s="103">
        <f t="shared" si="40"/>
        <v>7.1128100771078286E-3</v>
      </c>
      <c r="S141" s="103">
        <f t="shared" si="40"/>
        <v>8.2547687901092116E-3</v>
      </c>
      <c r="T141" s="103">
        <f t="shared" si="40"/>
        <v>9.7503376557428051E-3</v>
      </c>
      <c r="U141" s="103">
        <f t="shared" si="40"/>
        <v>1.1747494894699485E-2</v>
      </c>
      <c r="V141" s="103">
        <f t="shared" si="40"/>
        <v>1.2175066543480358E-2</v>
      </c>
      <c r="W141" s="103">
        <f t="shared" si="42"/>
        <v>1.189886015405262E-2</v>
      </c>
      <c r="X141" s="103">
        <f t="shared" si="42"/>
        <v>1.2315267664430987E-2</v>
      </c>
      <c r="Y141" s="103">
        <f t="shared" si="42"/>
        <v>9.1721209559699028E-3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3.6552033385645108E-6</v>
      </c>
      <c r="M142" s="103">
        <f t="shared" si="40"/>
        <v>1.2276112190671637E-5</v>
      </c>
      <c r="N142" s="103">
        <f t="shared" si="40"/>
        <v>2.3589041034671145E-5</v>
      </c>
      <c r="O142" s="103">
        <f t="shared" si="40"/>
        <v>1.8995580398477123E-4</v>
      </c>
      <c r="P142" s="103">
        <f t="shared" si="40"/>
        <v>3.6323097217500817E-4</v>
      </c>
      <c r="Q142" s="103">
        <f t="shared" si="40"/>
        <v>5.4049784452382275E-4</v>
      </c>
      <c r="R142" s="103">
        <f t="shared" si="40"/>
        <v>1.0605906654652525E-3</v>
      </c>
      <c r="S142" s="103">
        <f t="shared" si="40"/>
        <v>1.6000929317237394E-3</v>
      </c>
      <c r="T142" s="103">
        <f t="shared" si="40"/>
        <v>2.6590160848411061E-3</v>
      </c>
      <c r="U142" s="103">
        <f t="shared" si="40"/>
        <v>7.0124547191755902E-3</v>
      </c>
      <c r="V142" s="103">
        <f t="shared" si="40"/>
        <v>1.2722010633304059E-2</v>
      </c>
      <c r="W142" s="103">
        <f t="shared" si="42"/>
        <v>1.5091313893896832E-2</v>
      </c>
      <c r="X142" s="103">
        <f t="shared" si="42"/>
        <v>1.204567241640609E-2</v>
      </c>
      <c r="Y142" s="103">
        <f t="shared" si="42"/>
        <v>1.1278548878307362E-2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6.0148564026479038E-6</v>
      </c>
      <c r="Q143" s="103">
        <f t="shared" si="40"/>
        <v>1.18091554055049E-5</v>
      </c>
      <c r="R143" s="103">
        <f t="shared" si="40"/>
        <v>1.5152469663647125E-5</v>
      </c>
      <c r="S143" s="103">
        <f t="shared" si="40"/>
        <v>1.8663708410897015E-5</v>
      </c>
      <c r="T143" s="103">
        <f t="shared" si="40"/>
        <v>2.9422306849788523E-5</v>
      </c>
      <c r="U143" s="103">
        <f t="shared" si="40"/>
        <v>3.5531408671514079E-5</v>
      </c>
      <c r="V143" s="103">
        <f t="shared" si="40"/>
        <v>6.2561535292717676E-5</v>
      </c>
      <c r="W143" s="103">
        <f t="shared" si="42"/>
        <v>1.3578667150811421E-4</v>
      </c>
      <c r="X143" s="103">
        <f t="shared" si="42"/>
        <v>1.9167526931197326E-4</v>
      </c>
      <c r="Y143" s="103">
        <f t="shared" si="42"/>
        <v>3.0417470364088139E-4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0.17579800776190063</v>
      </c>
      <c r="C145" s="156">
        <f t="shared" si="40"/>
        <v>0.17157345946598601</v>
      </c>
      <c r="D145" s="156">
        <f t="shared" si="40"/>
        <v>0.18256389176546853</v>
      </c>
      <c r="E145" s="156">
        <f t="shared" si="40"/>
        <v>0.16665131497354183</v>
      </c>
      <c r="F145" s="156">
        <f t="shared" si="40"/>
        <v>0.16683985889359082</v>
      </c>
      <c r="G145" s="156">
        <f t="shared" si="40"/>
        <v>0.16706333430521186</v>
      </c>
      <c r="H145" s="156">
        <f t="shared" si="40"/>
        <v>0.1578434964977421</v>
      </c>
      <c r="I145" s="156">
        <f t="shared" si="40"/>
        <v>0.12789607664478803</v>
      </c>
      <c r="J145" s="156">
        <f t="shared" si="40"/>
        <v>0.11914201028374778</v>
      </c>
      <c r="K145" s="156">
        <f t="shared" si="40"/>
        <v>0.11545007149205595</v>
      </c>
      <c r="L145" s="156">
        <f t="shared" si="41"/>
        <v>0.11889612267121143</v>
      </c>
      <c r="M145" s="156">
        <f t="shared" si="40"/>
        <v>0.1150115727863487</v>
      </c>
      <c r="N145" s="156">
        <f t="shared" si="40"/>
        <v>0.11427070723260205</v>
      </c>
      <c r="O145" s="156">
        <f t="shared" si="40"/>
        <v>0.11552235178816141</v>
      </c>
      <c r="P145" s="156">
        <f t="shared" si="40"/>
        <v>0.1192320862738105</v>
      </c>
      <c r="Q145" s="156">
        <f t="shared" si="40"/>
        <v>0.11715133652333026</v>
      </c>
      <c r="R145" s="156">
        <f t="shared" si="40"/>
        <v>0.12661867253003867</v>
      </c>
      <c r="S145" s="156">
        <f t="shared" si="40"/>
        <v>0.13865988319309616</v>
      </c>
      <c r="T145" s="156">
        <f t="shared" si="40"/>
        <v>0.1333934468236713</v>
      </c>
      <c r="U145" s="156">
        <f t="shared" si="40"/>
        <v>0.12471127310478598</v>
      </c>
      <c r="V145" s="156">
        <f t="shared" si="40"/>
        <v>0.12572301538183411</v>
      </c>
      <c r="W145" s="156">
        <f t="shared" si="42"/>
        <v>0.12790236570453714</v>
      </c>
      <c r="X145" s="156">
        <f t="shared" si="42"/>
        <v>0.11792858836922654</v>
      </c>
      <c r="Y145" s="156">
        <f t="shared" si="42"/>
        <v>8.9732687199707326E-2</v>
      </c>
      <c r="DA145" s="213"/>
    </row>
    <row r="146" spans="1:105" ht="11.45" customHeight="1" x14ac:dyDescent="0.25">
      <c r="A146" s="157" t="s">
        <v>110</v>
      </c>
      <c r="B146" s="103">
        <f t="shared" si="40"/>
        <v>2.1447249223338846E-2</v>
      </c>
      <c r="C146" s="103">
        <f t="shared" si="40"/>
        <v>1.5367666547675627E-2</v>
      </c>
      <c r="D146" s="103">
        <f t="shared" si="40"/>
        <v>1.2702271787082867E-2</v>
      </c>
      <c r="E146" s="103">
        <f t="shared" si="40"/>
        <v>1.1011720968270531E-2</v>
      </c>
      <c r="F146" s="103">
        <f t="shared" si="40"/>
        <v>9.4836539197302987E-3</v>
      </c>
      <c r="G146" s="103">
        <f t="shared" si="40"/>
        <v>7.4199758097794983E-3</v>
      </c>
      <c r="H146" s="103">
        <f t="shared" si="40"/>
        <v>6.9864905255317168E-3</v>
      </c>
      <c r="I146" s="103">
        <f t="shared" si="40"/>
        <v>3.6540858853229955E-3</v>
      </c>
      <c r="J146" s="103">
        <f t="shared" si="40"/>
        <v>2.6318772280468903E-3</v>
      </c>
      <c r="K146" s="103">
        <f t="shared" si="40"/>
        <v>1.9989222761297477E-3</v>
      </c>
      <c r="L146" s="103">
        <f t="shared" si="41"/>
        <v>1.4693188565296016E-3</v>
      </c>
      <c r="M146" s="103">
        <f t="shared" si="40"/>
        <v>1.2760595634587054E-3</v>
      </c>
      <c r="N146" s="103">
        <f t="shared" si="40"/>
        <v>1.185639936707476E-3</v>
      </c>
      <c r="O146" s="103">
        <f t="shared" si="40"/>
        <v>1.1519865699233898E-3</v>
      </c>
      <c r="P146" s="103">
        <f t="shared" si="40"/>
        <v>1.153451916981772E-3</v>
      </c>
      <c r="Q146" s="103">
        <f t="shared" si="40"/>
        <v>1.1376364679164946E-3</v>
      </c>
      <c r="R146" s="103">
        <f t="shared" si="40"/>
        <v>1.2383780231663985E-3</v>
      </c>
      <c r="S146" s="103">
        <f t="shared" si="40"/>
        <v>1.3343161613243791E-3</v>
      </c>
      <c r="T146" s="103">
        <f t="shared" si="40"/>
        <v>1.2401806107952848E-3</v>
      </c>
      <c r="U146" s="103">
        <f t="shared" si="40"/>
        <v>1.1230705602162895E-3</v>
      </c>
      <c r="V146" s="103">
        <f t="shared" si="40"/>
        <v>1.1132267217670261E-3</v>
      </c>
      <c r="W146" s="103">
        <f t="shared" si="42"/>
        <v>1.0874576674081949E-3</v>
      </c>
      <c r="X146" s="103">
        <f t="shared" si="42"/>
        <v>1.1187936949203887E-3</v>
      </c>
      <c r="Y146" s="103">
        <f t="shared" si="42"/>
        <v>7.9761543679196978E-4</v>
      </c>
      <c r="DA146" s="191"/>
    </row>
    <row r="147" spans="1:105" ht="11.45" customHeight="1" x14ac:dyDescent="0.25">
      <c r="A147" s="157" t="s">
        <v>111</v>
      </c>
      <c r="B147" s="103">
        <f t="shared" si="40"/>
        <v>0.15435075853856181</v>
      </c>
      <c r="C147" s="103">
        <f t="shared" si="40"/>
        <v>0.15620579291831038</v>
      </c>
      <c r="D147" s="103">
        <f t="shared" si="40"/>
        <v>0.16986161997838567</v>
      </c>
      <c r="E147" s="103">
        <f t="shared" si="40"/>
        <v>0.15563959400527128</v>
      </c>
      <c r="F147" s="103">
        <f t="shared" si="40"/>
        <v>0.15735620497386052</v>
      </c>
      <c r="G147" s="103">
        <f t="shared" si="40"/>
        <v>0.15964335849543237</v>
      </c>
      <c r="H147" s="103">
        <f t="shared" si="40"/>
        <v>0.15085700597221038</v>
      </c>
      <c r="I147" s="103">
        <f t="shared" si="40"/>
        <v>0.12424199075946503</v>
      </c>
      <c r="J147" s="103">
        <f t="shared" si="40"/>
        <v>0.1165101330557009</v>
      </c>
      <c r="K147" s="103">
        <f t="shared" si="40"/>
        <v>0.11345114921592621</v>
      </c>
      <c r="L147" s="103">
        <f t="shared" si="41"/>
        <v>0.11738118901773166</v>
      </c>
      <c r="M147" s="103">
        <f t="shared" si="40"/>
        <v>0.11346040950932609</v>
      </c>
      <c r="N147" s="103">
        <f t="shared" si="40"/>
        <v>0.11252380925581797</v>
      </c>
      <c r="O147" s="103">
        <f t="shared" si="40"/>
        <v>0.1136508331343099</v>
      </c>
      <c r="P147" s="103">
        <f t="shared" si="40"/>
        <v>0.11677268275116225</v>
      </c>
      <c r="Q147" s="103">
        <f t="shared" si="40"/>
        <v>0.11367349436894393</v>
      </c>
      <c r="R147" s="103">
        <f t="shared" ref="R147:V147" si="43">IF(R29=0,0,R29/R$17)</f>
        <v>0.12224259593665922</v>
      </c>
      <c r="S147" s="103">
        <f t="shared" si="43"/>
        <v>0.13448653697728044</v>
      </c>
      <c r="T147" s="103">
        <f t="shared" si="43"/>
        <v>0.12652508342885768</v>
      </c>
      <c r="U147" s="103">
        <f t="shared" si="43"/>
        <v>0.11914162003992802</v>
      </c>
      <c r="V147" s="103">
        <f t="shared" si="43"/>
        <v>0.11703646484242818</v>
      </c>
      <c r="W147" s="103">
        <f t="shared" ref="W147:Y147" si="44">IF(W29=0,0,W29/W$17)</f>
        <v>0.11901798585332814</v>
      </c>
      <c r="X147" s="103">
        <f t="shared" si="44"/>
        <v>0.11315773854383367</v>
      </c>
      <c r="Y147" s="103">
        <f t="shared" si="44"/>
        <v>8.2391420917248576E-2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1.2905312650276092E-5</v>
      </c>
      <c r="U148" s="103">
        <f t="shared" si="47"/>
        <v>1.1857874738368277E-5</v>
      </c>
      <c r="V148" s="103">
        <f t="shared" si="47"/>
        <v>1.2181604465783943E-5</v>
      </c>
      <c r="W148" s="103">
        <f t="shared" ref="W148:Y148" si="48">IF(W30=0,0,W30/W$17)</f>
        <v>1.204315210710483E-5</v>
      </c>
      <c r="X148" s="103">
        <f t="shared" si="48"/>
        <v>1.1889388012030404E-5</v>
      </c>
      <c r="Y148" s="103">
        <f t="shared" si="48"/>
        <v>8.3586221492625909E-6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4.5614796950162954E-5</v>
      </c>
      <c r="M149" s="103">
        <f t="shared" ref="M149:V149" si="50">IF(M31=0,0,M31/M$17)</f>
        <v>2.7510371356391175E-4</v>
      </c>
      <c r="N149" s="103">
        <f t="shared" si="50"/>
        <v>5.6125804007660916E-4</v>
      </c>
      <c r="O149" s="103">
        <f t="shared" si="50"/>
        <v>7.1953208392811017E-4</v>
      </c>
      <c r="P149" s="103">
        <f t="shared" si="50"/>
        <v>1.3059516056664923E-3</v>
      </c>
      <c r="Q149" s="103">
        <f t="shared" si="50"/>
        <v>2.340205686469836E-3</v>
      </c>
      <c r="R149" s="103">
        <f t="shared" si="50"/>
        <v>3.1376985702130668E-3</v>
      </c>
      <c r="S149" s="103">
        <f t="shared" si="50"/>
        <v>2.8390300544913097E-3</v>
      </c>
      <c r="T149" s="103">
        <f t="shared" si="50"/>
        <v>5.615277471368048E-3</v>
      </c>
      <c r="U149" s="103">
        <f t="shared" si="50"/>
        <v>4.4347246299032816E-3</v>
      </c>
      <c r="V149" s="103">
        <f t="shared" si="50"/>
        <v>7.5611422131731214E-3</v>
      </c>
      <c r="W149" s="103">
        <f t="shared" ref="W149:Y149" si="51">IF(W31=0,0,W31/W$17)</f>
        <v>7.7848790316937221E-3</v>
      </c>
      <c r="X149" s="103">
        <f t="shared" si="51"/>
        <v>3.6401667424604389E-3</v>
      </c>
      <c r="Y149" s="103">
        <f t="shared" si="51"/>
        <v>6.5352922235175411E-3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0.27525702152597809</v>
      </c>
      <c r="C151" s="46">
        <f t="shared" si="55"/>
        <v>0.26135919424796011</v>
      </c>
      <c r="D151" s="46">
        <f t="shared" si="55"/>
        <v>0.29432723808855094</v>
      </c>
      <c r="E151" s="46">
        <f t="shared" si="55"/>
        <v>0.29495501776413041</v>
      </c>
      <c r="F151" s="46">
        <f t="shared" si="55"/>
        <v>0.29956968393451511</v>
      </c>
      <c r="G151" s="46">
        <f t="shared" si="55"/>
        <v>0.28342147960206859</v>
      </c>
      <c r="H151" s="46">
        <f t="shared" si="55"/>
        <v>0.26543078536389686</v>
      </c>
      <c r="I151" s="46">
        <f t="shared" si="55"/>
        <v>0.26656067858287691</v>
      </c>
      <c r="J151" s="46">
        <f t="shared" si="55"/>
        <v>0.26980961886799271</v>
      </c>
      <c r="K151" s="46">
        <f t="shared" si="55"/>
        <v>0.2312657557418891</v>
      </c>
      <c r="L151" s="46">
        <f t="shared" ref="L151" si="56">IF(L33=0,0,L33/L$17)</f>
        <v>0.24981597960645643</v>
      </c>
      <c r="M151" s="46">
        <f t="shared" ref="M151:V151" si="57">IF(M33=0,0,M33/M$17)</f>
        <v>0.26888840776860939</v>
      </c>
      <c r="N151" s="46">
        <f t="shared" si="57"/>
        <v>0.26365451072304802</v>
      </c>
      <c r="O151" s="46">
        <f t="shared" si="57"/>
        <v>0.25889437567852308</v>
      </c>
      <c r="P151" s="46">
        <f t="shared" si="57"/>
        <v>0.24968506862331125</v>
      </c>
      <c r="Q151" s="46">
        <f t="shared" si="57"/>
        <v>0.2370456788814784</v>
      </c>
      <c r="R151" s="46">
        <f t="shared" si="57"/>
        <v>0.22775175694869026</v>
      </c>
      <c r="S151" s="46">
        <f t="shared" si="57"/>
        <v>0.2129199170951655</v>
      </c>
      <c r="T151" s="46">
        <f t="shared" si="57"/>
        <v>0.21620769698537812</v>
      </c>
      <c r="U151" s="46">
        <f t="shared" si="57"/>
        <v>0.21946925362358508</v>
      </c>
      <c r="V151" s="46">
        <f t="shared" si="57"/>
        <v>0.22090486883148686</v>
      </c>
      <c r="W151" s="46">
        <f t="shared" ref="W151:Y151" si="58">IF(W33=0,0,W33/W$17)</f>
        <v>0.24744306525059284</v>
      </c>
      <c r="X151" s="46">
        <f t="shared" si="58"/>
        <v>0.26616021755157032</v>
      </c>
      <c r="Y151" s="46">
        <f t="shared" si="58"/>
        <v>0.27631493924525197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0.17143111369141195</v>
      </c>
      <c r="C152" s="154">
        <f t="shared" si="59"/>
        <v>0.17085990808156035</v>
      </c>
      <c r="D152" s="154">
        <f t="shared" si="59"/>
        <v>0.17713907532976714</v>
      </c>
      <c r="E152" s="154">
        <f t="shared" si="59"/>
        <v>0.15035514243672146</v>
      </c>
      <c r="F152" s="154">
        <f t="shared" si="59"/>
        <v>0.14112687910325683</v>
      </c>
      <c r="G152" s="154">
        <f t="shared" si="59"/>
        <v>0.12468831041559743</v>
      </c>
      <c r="H152" s="154">
        <f t="shared" si="59"/>
        <v>0.10932541918307737</v>
      </c>
      <c r="I152" s="154">
        <f t="shared" si="59"/>
        <v>9.8399679257954217E-2</v>
      </c>
      <c r="J152" s="154">
        <f t="shared" si="59"/>
        <v>9.7374724963114404E-2</v>
      </c>
      <c r="K152" s="154">
        <f t="shared" si="59"/>
        <v>9.7062445115644602E-2</v>
      </c>
      <c r="L152" s="154">
        <f t="shared" ref="L152" si="60">IF(L34=0,0,L34/L$17)</f>
        <v>0.10032524481334433</v>
      </c>
      <c r="M152" s="154">
        <f t="shared" ref="M152:V152" si="61">IF(M34=0,0,M34/M$17)</f>
        <v>0.10252666053133372</v>
      </c>
      <c r="N152" s="154">
        <f t="shared" si="61"/>
        <v>0.10316559453019075</v>
      </c>
      <c r="O152" s="154">
        <f t="shared" si="61"/>
        <v>0.10614896401036245</v>
      </c>
      <c r="P152" s="154">
        <f t="shared" si="61"/>
        <v>0.10844989220513521</v>
      </c>
      <c r="Q152" s="154">
        <f t="shared" si="61"/>
        <v>0.10467930777051562</v>
      </c>
      <c r="R152" s="154">
        <f t="shared" si="61"/>
        <v>0.1058718072918218</v>
      </c>
      <c r="S152" s="154">
        <f t="shared" si="61"/>
        <v>0.1114096652092874</v>
      </c>
      <c r="T152" s="154">
        <f t="shared" si="61"/>
        <v>0.11781157968572863</v>
      </c>
      <c r="U152" s="154">
        <f t="shared" si="61"/>
        <v>0.12900057618027624</v>
      </c>
      <c r="V152" s="154">
        <f t="shared" si="61"/>
        <v>0.13662369740480812</v>
      </c>
      <c r="W152" s="154">
        <f t="shared" ref="W152:Y152" si="62">IF(W34=0,0,W34/W$17)</f>
        <v>0.14285018986845047</v>
      </c>
      <c r="X152" s="154">
        <f t="shared" si="62"/>
        <v>0.14873074591404412</v>
      </c>
      <c r="Y152" s="154">
        <f t="shared" si="62"/>
        <v>0.15782351348111723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4.2921565946575375E-2</v>
      </c>
      <c r="C153" s="103">
        <f t="shared" si="63"/>
        <v>3.8788369461333135E-2</v>
      </c>
      <c r="D153" s="103">
        <f t="shared" si="63"/>
        <v>3.6210688532577945E-2</v>
      </c>
      <c r="E153" s="103">
        <f t="shared" si="63"/>
        <v>3.4129262701929015E-2</v>
      </c>
      <c r="F153" s="103">
        <f t="shared" si="63"/>
        <v>3.37367032668155E-2</v>
      </c>
      <c r="G153" s="103">
        <f t="shared" si="63"/>
        <v>2.8338633700113514E-2</v>
      </c>
      <c r="H153" s="103">
        <f t="shared" si="63"/>
        <v>2.5877612572488901E-2</v>
      </c>
      <c r="I153" s="103">
        <f t="shared" si="63"/>
        <v>2.0508397878558116E-2</v>
      </c>
      <c r="J153" s="103">
        <f t="shared" si="63"/>
        <v>2.0275693242367627E-2</v>
      </c>
      <c r="K153" s="103">
        <f t="shared" si="63"/>
        <v>2.0099553026041446E-2</v>
      </c>
      <c r="L153" s="103">
        <f t="shared" ref="L153" si="64">IF(L35=0,0,L35/L$17)</f>
        <v>1.7160808733443424E-2</v>
      </c>
      <c r="M153" s="103">
        <f t="shared" ref="M153:V153" si="65">IF(M35=0,0,M35/M$17)</f>
        <v>1.7463508079599673E-2</v>
      </c>
      <c r="N153" s="103">
        <f t="shared" si="65"/>
        <v>1.6187176071380809E-2</v>
      </c>
      <c r="O153" s="103">
        <f t="shared" si="65"/>
        <v>1.4824323260206414E-2</v>
      </c>
      <c r="P153" s="103">
        <f t="shared" si="65"/>
        <v>1.4155836539175085E-2</v>
      </c>
      <c r="Q153" s="103">
        <f t="shared" si="65"/>
        <v>1.3396073715714527E-2</v>
      </c>
      <c r="R153" s="103">
        <f t="shared" si="65"/>
        <v>1.2338136627138953E-2</v>
      </c>
      <c r="S153" s="103">
        <f t="shared" si="65"/>
        <v>1.1954514580512809E-2</v>
      </c>
      <c r="T153" s="103">
        <f t="shared" si="65"/>
        <v>1.2985194560784556E-2</v>
      </c>
      <c r="U153" s="103">
        <f t="shared" si="65"/>
        <v>1.2521604988979014E-2</v>
      </c>
      <c r="V153" s="103">
        <f t="shared" si="65"/>
        <v>1.2002625567959955E-2</v>
      </c>
      <c r="W153" s="103">
        <f t="shared" ref="W153:Y153" si="66">IF(W35=0,0,W35/W$17)</f>
        <v>1.0339921637958792E-2</v>
      </c>
      <c r="X153" s="103">
        <f t="shared" si="66"/>
        <v>9.0966771180728545E-3</v>
      </c>
      <c r="Y153" s="103">
        <f t="shared" si="66"/>
        <v>7.983191265982582E-3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0.12850954774483658</v>
      </c>
      <c r="C154" s="103">
        <f t="shared" si="67"/>
        <v>0.13207153862022722</v>
      </c>
      <c r="D154" s="103">
        <f t="shared" si="67"/>
        <v>0.14092838679718916</v>
      </c>
      <c r="E154" s="103">
        <f t="shared" si="67"/>
        <v>0.11622587973479244</v>
      </c>
      <c r="F154" s="103">
        <f t="shared" si="67"/>
        <v>0.10739017583644134</v>
      </c>
      <c r="G154" s="103">
        <f t="shared" si="67"/>
        <v>9.6349676715483917E-2</v>
      </c>
      <c r="H154" s="103">
        <f t="shared" si="67"/>
        <v>8.3447806610588468E-2</v>
      </c>
      <c r="I154" s="103">
        <f t="shared" si="67"/>
        <v>7.7891281379396091E-2</v>
      </c>
      <c r="J154" s="103">
        <f t="shared" si="67"/>
        <v>7.7099031720746766E-2</v>
      </c>
      <c r="K154" s="103">
        <f t="shared" si="67"/>
        <v>7.6962892089603163E-2</v>
      </c>
      <c r="L154" s="103">
        <f t="shared" ref="L154" si="68">IF(L36=0,0,L36/L$17)</f>
        <v>8.31644360799009E-2</v>
      </c>
      <c r="M154" s="103">
        <f t="shared" ref="M154:V154" si="69">IF(M36=0,0,M36/M$17)</f>
        <v>8.5063152451734042E-2</v>
      </c>
      <c r="N154" s="103">
        <f t="shared" si="69"/>
        <v>8.6977516456333254E-2</v>
      </c>
      <c r="O154" s="103">
        <f t="shared" si="69"/>
        <v>9.1280462836143106E-2</v>
      </c>
      <c r="P154" s="103">
        <f t="shared" si="69"/>
        <v>9.4235924974308577E-2</v>
      </c>
      <c r="Q154" s="103">
        <f t="shared" si="69"/>
        <v>9.1205728328034141E-2</v>
      </c>
      <c r="R154" s="103">
        <f t="shared" si="69"/>
        <v>9.3457426664434448E-2</v>
      </c>
      <c r="S154" s="103">
        <f t="shared" si="69"/>
        <v>9.9317017530044266E-2</v>
      </c>
      <c r="T154" s="103">
        <f t="shared" si="69"/>
        <v>0.10467371484536138</v>
      </c>
      <c r="U154" s="103">
        <f t="shared" si="69"/>
        <v>0.11629727625998416</v>
      </c>
      <c r="V154" s="103">
        <f t="shared" si="69"/>
        <v>0.12436529695038374</v>
      </c>
      <c r="W154" s="103">
        <f t="shared" ref="W154:Y154" si="70">IF(W36=0,0,W36/W$17)</f>
        <v>0.1322745530620866</v>
      </c>
      <c r="X154" s="103">
        <f t="shared" si="70"/>
        <v>0.13942153051992459</v>
      </c>
      <c r="Y154" s="103">
        <f t="shared" si="70"/>
        <v>0.14966066528883962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7.418670183704084E-7</v>
      </c>
      <c r="S155" s="103">
        <f t="shared" si="73"/>
        <v>8.5615290883968838E-6</v>
      </c>
      <c r="T155" s="103">
        <f t="shared" si="73"/>
        <v>1.0423342998630814E-5</v>
      </c>
      <c r="U155" s="103">
        <f t="shared" si="73"/>
        <v>1.4384333806222018E-5</v>
      </c>
      <c r="V155" s="103">
        <f t="shared" si="73"/>
        <v>1.4543747471927449E-5</v>
      </c>
      <c r="W155" s="103">
        <f t="shared" ref="W155:Y155" si="74">IF(W37=0,0,W37/W$17)</f>
        <v>1.3951052388850368E-5</v>
      </c>
      <c r="X155" s="103">
        <f t="shared" si="74"/>
        <v>1.3002878085066538E-5</v>
      </c>
      <c r="Y155" s="103">
        <f t="shared" si="74"/>
        <v>2.1162650228028913E-5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9.0200247669819156E-7</v>
      </c>
      <c r="O156" s="103">
        <f t="shared" si="77"/>
        <v>4.4177914012927784E-5</v>
      </c>
      <c r="P156" s="103">
        <f t="shared" si="77"/>
        <v>5.8130691651539435E-5</v>
      </c>
      <c r="Q156" s="103">
        <f t="shared" si="77"/>
        <v>7.7505726766953175E-5</v>
      </c>
      <c r="R156" s="103">
        <f t="shared" si="77"/>
        <v>7.5502133230032837E-5</v>
      </c>
      <c r="S156" s="103">
        <f t="shared" si="77"/>
        <v>1.2957156964193219E-4</v>
      </c>
      <c r="T156" s="103">
        <f t="shared" si="77"/>
        <v>1.4224693658408273E-4</v>
      </c>
      <c r="U156" s="103">
        <f t="shared" si="77"/>
        <v>1.6731059750685605E-4</v>
      </c>
      <c r="V156" s="103">
        <f t="shared" si="77"/>
        <v>2.4123113899248195E-4</v>
      </c>
      <c r="W156" s="103">
        <f t="shared" ref="W156:Y156" si="78">IF(W38=0,0,W38/W$17)</f>
        <v>2.2176411601622641E-4</v>
      </c>
      <c r="X156" s="103">
        <f t="shared" si="78"/>
        <v>1.9953539796156583E-4</v>
      </c>
      <c r="Y156" s="103">
        <f t="shared" si="78"/>
        <v>1.5849427606701364E-4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0.10382590783456615</v>
      </c>
      <c r="C158" s="156">
        <f t="shared" si="83"/>
        <v>9.0499286166399753E-2</v>
      </c>
      <c r="D158" s="156">
        <f t="shared" si="83"/>
        <v>0.11718816275878378</v>
      </c>
      <c r="E158" s="156">
        <f t="shared" si="83"/>
        <v>0.14459987532740892</v>
      </c>
      <c r="F158" s="156">
        <f t="shared" si="83"/>
        <v>0.15844280483125828</v>
      </c>
      <c r="G158" s="156">
        <f t="shared" si="83"/>
        <v>0.15873316918647112</v>
      </c>
      <c r="H158" s="156">
        <f t="shared" si="83"/>
        <v>0.15610536618081949</v>
      </c>
      <c r="I158" s="156">
        <f t="shared" si="83"/>
        <v>0.16816099932492268</v>
      </c>
      <c r="J158" s="156">
        <f t="shared" si="83"/>
        <v>0.17243489390487832</v>
      </c>
      <c r="K158" s="156">
        <f t="shared" si="83"/>
        <v>0.13420331062624447</v>
      </c>
      <c r="L158" s="156">
        <f t="shared" ref="L158" si="84">IF(L40=0,0,L40/L$17)</f>
        <v>0.14949073479311209</v>
      </c>
      <c r="M158" s="156">
        <f t="shared" ref="M158:V158" si="85">IF(M40=0,0,M40/M$17)</f>
        <v>0.16636174723727568</v>
      </c>
      <c r="N158" s="156">
        <f t="shared" si="85"/>
        <v>0.16048891619285727</v>
      </c>
      <c r="O158" s="156">
        <f t="shared" si="85"/>
        <v>0.15274541166816064</v>
      </c>
      <c r="P158" s="156">
        <f t="shared" si="85"/>
        <v>0.14123517641817604</v>
      </c>
      <c r="Q158" s="156">
        <f t="shared" si="85"/>
        <v>0.1323663711109628</v>
      </c>
      <c r="R158" s="156">
        <f t="shared" si="85"/>
        <v>0.12187994965686848</v>
      </c>
      <c r="S158" s="156">
        <f t="shared" si="85"/>
        <v>0.10151025188587813</v>
      </c>
      <c r="T158" s="156">
        <f t="shared" si="85"/>
        <v>9.8396117299649477E-2</v>
      </c>
      <c r="U158" s="156">
        <f t="shared" si="85"/>
        <v>9.0468677443308804E-2</v>
      </c>
      <c r="V158" s="156">
        <f t="shared" si="85"/>
        <v>8.4281171426678736E-2</v>
      </c>
      <c r="W158" s="156">
        <f t="shared" ref="W158:Y158" si="86">IF(W40=0,0,W40/W$17)</f>
        <v>0.10459287538214235</v>
      </c>
      <c r="X158" s="156">
        <f t="shared" si="86"/>
        <v>0.11742947163752623</v>
      </c>
      <c r="Y158" s="156">
        <f t="shared" si="86"/>
        <v>0.11849142576413475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7.0474962363895194E-2</v>
      </c>
      <c r="C159" s="103">
        <f t="shared" si="87"/>
        <v>5.5509105570527108E-2</v>
      </c>
      <c r="D159" s="103">
        <f t="shared" si="87"/>
        <v>7.8927097913961589E-2</v>
      </c>
      <c r="E159" s="103">
        <f t="shared" si="87"/>
        <v>0.11075701530200897</v>
      </c>
      <c r="F159" s="103">
        <f t="shared" si="87"/>
        <v>0.11891494251082585</v>
      </c>
      <c r="G159" s="103">
        <f t="shared" si="87"/>
        <v>0.11882164235441142</v>
      </c>
      <c r="H159" s="103">
        <f t="shared" si="87"/>
        <v>0.11662197908541799</v>
      </c>
      <c r="I159" s="103">
        <f t="shared" si="87"/>
        <v>0.12448660847507342</v>
      </c>
      <c r="J159" s="103">
        <f t="shared" si="87"/>
        <v>0.12946284774816399</v>
      </c>
      <c r="K159" s="103">
        <f t="shared" si="87"/>
        <v>9.790410745648849E-2</v>
      </c>
      <c r="L159" s="103">
        <f t="shared" ref="L159" si="88">IF(L41=0,0,L41/L$17)</f>
        <v>0.10619463642948229</v>
      </c>
      <c r="M159" s="103">
        <f t="shared" ref="M159:V159" si="89">IF(M41=0,0,M41/M$17)</f>
        <v>0.11620920666700908</v>
      </c>
      <c r="N159" s="103">
        <f t="shared" si="89"/>
        <v>0.11060341405979117</v>
      </c>
      <c r="O159" s="103">
        <f t="shared" si="89"/>
        <v>0.10108268066221104</v>
      </c>
      <c r="P159" s="103">
        <f t="shared" si="89"/>
        <v>9.0930457754993269E-2</v>
      </c>
      <c r="Q159" s="103">
        <f t="shared" si="89"/>
        <v>7.9273957735081182E-2</v>
      </c>
      <c r="R159" s="103">
        <f t="shared" si="89"/>
        <v>7.6752869508188187E-2</v>
      </c>
      <c r="S159" s="103">
        <f t="shared" si="89"/>
        <v>6.0307803586748858E-2</v>
      </c>
      <c r="T159" s="103">
        <f t="shared" si="89"/>
        <v>5.8861855201031363E-2</v>
      </c>
      <c r="U159" s="103">
        <f t="shared" si="89"/>
        <v>5.3566915143668514E-2</v>
      </c>
      <c r="V159" s="103">
        <f t="shared" si="89"/>
        <v>4.2006974357430574E-2</v>
      </c>
      <c r="W159" s="103">
        <f t="shared" ref="W159:Y159" si="90">IF(W41=0,0,W41/W$17)</f>
        <v>6.3025509096690954E-2</v>
      </c>
      <c r="X159" s="103">
        <f t="shared" si="90"/>
        <v>6.6151681973660406E-2</v>
      </c>
      <c r="Y159" s="103">
        <f t="shared" si="90"/>
        <v>6.4733367554580354E-2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3.335094547067094E-2</v>
      </c>
      <c r="C160" s="105">
        <f t="shared" si="91"/>
        <v>3.4990180595872639E-2</v>
      </c>
      <c r="D160" s="105">
        <f t="shared" si="91"/>
        <v>3.8261064844822175E-2</v>
      </c>
      <c r="E160" s="105">
        <f t="shared" si="91"/>
        <v>3.3842860025399935E-2</v>
      </c>
      <c r="F160" s="105">
        <f t="shared" si="91"/>
        <v>3.9527862320432441E-2</v>
      </c>
      <c r="G160" s="105">
        <f t="shared" si="91"/>
        <v>3.9911526832059702E-2</v>
      </c>
      <c r="H160" s="105">
        <f t="shared" si="91"/>
        <v>3.9483387095401508E-2</v>
      </c>
      <c r="I160" s="105">
        <f t="shared" si="91"/>
        <v>4.3674390849849275E-2</v>
      </c>
      <c r="J160" s="105">
        <f t="shared" si="91"/>
        <v>4.2972046156714329E-2</v>
      </c>
      <c r="K160" s="105">
        <f t="shared" si="91"/>
        <v>3.6299203169755954E-2</v>
      </c>
      <c r="L160" s="105">
        <f t="shared" ref="L160" si="92">IF(L42=0,0,L42/L$17)</f>
        <v>4.3296098363629805E-2</v>
      </c>
      <c r="M160" s="105">
        <f t="shared" ref="M160:V160" si="93">IF(M42=0,0,M42/M$17)</f>
        <v>5.0152540570266586E-2</v>
      </c>
      <c r="N160" s="105">
        <f t="shared" si="93"/>
        <v>4.9885502133066084E-2</v>
      </c>
      <c r="O160" s="105">
        <f t="shared" si="93"/>
        <v>5.1662731005949605E-2</v>
      </c>
      <c r="P160" s="105">
        <f t="shared" si="93"/>
        <v>5.0304718663182757E-2</v>
      </c>
      <c r="Q160" s="105">
        <f t="shared" si="93"/>
        <v>5.3092413375881616E-2</v>
      </c>
      <c r="R160" s="105">
        <f t="shared" si="93"/>
        <v>4.5127080148680297E-2</v>
      </c>
      <c r="S160" s="105">
        <f t="shared" si="93"/>
        <v>4.1202448299129266E-2</v>
      </c>
      <c r="T160" s="105">
        <f t="shared" si="93"/>
        <v>3.9534262098618114E-2</v>
      </c>
      <c r="U160" s="105">
        <f t="shared" si="93"/>
        <v>3.6901762299640289E-2</v>
      </c>
      <c r="V160" s="105">
        <f t="shared" si="93"/>
        <v>4.2274197069248155E-2</v>
      </c>
      <c r="W160" s="105">
        <f t="shared" ref="W160:Y160" si="94">IF(W42=0,0,W42/W$17)</f>
        <v>4.1567366285451407E-2</v>
      </c>
      <c r="X160" s="105">
        <f t="shared" si="94"/>
        <v>5.1277789663865807E-2</v>
      </c>
      <c r="Y160" s="105">
        <f t="shared" si="94"/>
        <v>5.3758058209554399E-2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485783</v>
      </c>
      <c r="C3" s="54">
        <f>TrRoad_act!C57</f>
        <v>477251</v>
      </c>
      <c r="D3" s="54">
        <f>TrRoad_act!D57</f>
        <v>471186</v>
      </c>
      <c r="E3" s="54">
        <f>TrRoad_act!E57</f>
        <v>507680</v>
      </c>
      <c r="F3" s="54">
        <f>TrRoad_act!F57</f>
        <v>543906</v>
      </c>
      <c r="G3" s="54">
        <f>TrRoad_act!G57</f>
        <v>566494</v>
      </c>
      <c r="H3" s="54">
        <f>TrRoad_act!H57</f>
        <v>579906</v>
      </c>
      <c r="I3" s="54">
        <f>TrRoad_act!I57</f>
        <v>600686</v>
      </c>
      <c r="J3" s="54">
        <f>TrRoad_act!J57</f>
        <v>634094</v>
      </c>
      <c r="K3" s="54">
        <f>TrRoad_act!K57</f>
        <v>627025</v>
      </c>
      <c r="L3" s="54">
        <f>TrRoad_act!L57</f>
        <v>635232</v>
      </c>
      <c r="M3" s="54">
        <f>TrRoad_act!M57</f>
        <v>663237</v>
      </c>
      <c r="N3" s="54">
        <f>TrRoad_act!N57</f>
        <v>707362</v>
      </c>
      <c r="O3" s="54">
        <f>TrRoad_act!O57</f>
        <v>741461</v>
      </c>
      <c r="P3" s="54">
        <f>TrRoad_act!P57</f>
        <v>773961</v>
      </c>
      <c r="Q3" s="54">
        <f>TrRoad_act!Q57</f>
        <v>806210</v>
      </c>
      <c r="R3" s="54">
        <f>TrRoad_act!R57</f>
        <v>842493</v>
      </c>
      <c r="S3" s="54">
        <f>TrRoad_act!S57</f>
        <v>875227</v>
      </c>
      <c r="T3" s="54">
        <f>TrRoad_act!T57</f>
        <v>905727</v>
      </c>
      <c r="U3" s="54">
        <f>TrRoad_act!U57</f>
        <v>967755</v>
      </c>
      <c r="V3" s="54">
        <f>TrRoad_act!V57</f>
        <v>988978</v>
      </c>
      <c r="W3" s="54">
        <f>TrRoad_act!W57</f>
        <v>1013575</v>
      </c>
      <c r="X3" s="54">
        <f>TrRoad_act!X57</f>
        <v>1045187</v>
      </c>
      <c r="Y3" s="54">
        <f>TrRoad_act!Y57</f>
        <v>1067967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425150</v>
      </c>
      <c r="C4" s="28">
        <f>TrRoad_act!C58</f>
        <v>419862</v>
      </c>
      <c r="D4" s="28">
        <f>TrRoad_act!D58</f>
        <v>413547</v>
      </c>
      <c r="E4" s="28">
        <f>TrRoad_act!E58</f>
        <v>447604</v>
      </c>
      <c r="F4" s="28">
        <f>TrRoad_act!F58</f>
        <v>485513</v>
      </c>
      <c r="G4" s="28">
        <f>TrRoad_act!G58</f>
        <v>509355</v>
      </c>
      <c r="H4" s="28">
        <f>TrRoad_act!H58</f>
        <v>522781</v>
      </c>
      <c r="I4" s="28">
        <f>TrRoad_act!I58</f>
        <v>543249</v>
      </c>
      <c r="J4" s="28">
        <f>TrRoad_act!J58</f>
        <v>573862</v>
      </c>
      <c r="K4" s="28">
        <f>TrRoad_act!K58</f>
        <v>568436</v>
      </c>
      <c r="L4" s="28">
        <f>TrRoad_act!L58</f>
        <v>576661</v>
      </c>
      <c r="M4" s="28">
        <f>TrRoad_act!M58</f>
        <v>601487</v>
      </c>
      <c r="N4" s="28">
        <f>TrRoad_act!N58</f>
        <v>641796</v>
      </c>
      <c r="O4" s="28">
        <f>TrRoad_act!O58</f>
        <v>671871</v>
      </c>
      <c r="P4" s="28">
        <f>TrRoad_act!P58</f>
        <v>699976</v>
      </c>
      <c r="Q4" s="28">
        <f>TrRoad_act!Q58</f>
        <v>726970</v>
      </c>
      <c r="R4" s="28">
        <f>TrRoad_act!R58</f>
        <v>756888</v>
      </c>
      <c r="S4" s="28">
        <f>TrRoad_act!S58</f>
        <v>782712</v>
      </c>
      <c r="T4" s="28">
        <f>TrRoad_act!T58</f>
        <v>806070</v>
      </c>
      <c r="U4" s="28">
        <f>TrRoad_act!U58</f>
        <v>858014</v>
      </c>
      <c r="V4" s="28">
        <f>TrRoad_act!V58</f>
        <v>874631</v>
      </c>
      <c r="W4" s="28">
        <f>TrRoad_act!W58</f>
        <v>894919</v>
      </c>
      <c r="X4" s="28">
        <f>TrRoad_act!X58</f>
        <v>921871</v>
      </c>
      <c r="Y4" s="28">
        <f>TrRoad_act!Y58</f>
        <v>941251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6700</v>
      </c>
      <c r="C5" s="137">
        <f>TrRoad_act!C59</f>
        <v>6800</v>
      </c>
      <c r="D5" s="137">
        <f>TrRoad_act!D59</f>
        <v>7300</v>
      </c>
      <c r="E5" s="137">
        <f>TrRoad_act!E59</f>
        <v>8100</v>
      </c>
      <c r="F5" s="137">
        <f>TrRoad_act!F59</f>
        <v>9100</v>
      </c>
      <c r="G5" s="137">
        <f>TrRoad_act!G59</f>
        <v>10234</v>
      </c>
      <c r="H5" s="137">
        <f>TrRoad_act!H59</f>
        <v>12594</v>
      </c>
      <c r="I5" s="137">
        <f>TrRoad_act!I59</f>
        <v>14780</v>
      </c>
      <c r="J5" s="137">
        <f>TrRoad_act!J59</f>
        <v>17622</v>
      </c>
      <c r="K5" s="137">
        <f>TrRoad_act!K59</f>
        <v>18600</v>
      </c>
      <c r="L5" s="137">
        <f>TrRoad_act!L59</f>
        <v>19700</v>
      </c>
      <c r="M5" s="137">
        <f>TrRoad_act!M59</f>
        <v>23217</v>
      </c>
      <c r="N5" s="137">
        <f>TrRoad_act!N59</f>
        <v>35273</v>
      </c>
      <c r="O5" s="137">
        <f>TrRoad_act!O59</f>
        <v>38700</v>
      </c>
      <c r="P5" s="137">
        <f>TrRoad_act!P59</f>
        <v>42300</v>
      </c>
      <c r="Q5" s="137">
        <f>TrRoad_act!Q59</f>
        <v>45500</v>
      </c>
      <c r="R5" s="137">
        <f>TrRoad_act!R59</f>
        <v>48800</v>
      </c>
      <c r="S5" s="137">
        <f>TrRoad_act!S59</f>
        <v>51700</v>
      </c>
      <c r="T5" s="137">
        <f>TrRoad_act!T59</f>
        <v>54500</v>
      </c>
      <c r="U5" s="137">
        <f>TrRoad_act!U59</f>
        <v>57867</v>
      </c>
      <c r="V5" s="137">
        <f>TrRoad_act!V59</f>
        <v>60657</v>
      </c>
      <c r="W5" s="137">
        <f>TrRoad_act!W59</f>
        <v>63608</v>
      </c>
      <c r="X5" s="137">
        <f>TrRoad_act!X59</f>
        <v>67165</v>
      </c>
      <c r="Y5" s="137">
        <f>TrRoad_act!Y59</f>
        <v>70254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412391</v>
      </c>
      <c r="C6" s="110">
        <f>TrRoad_act!C60</f>
        <v>407300</v>
      </c>
      <c r="D6" s="110">
        <f>TrRoad_act!D60</f>
        <v>400700</v>
      </c>
      <c r="E6" s="110">
        <f>TrRoad_act!E60</f>
        <v>434000</v>
      </c>
      <c r="F6" s="110">
        <f>TrRoad_act!F60</f>
        <v>471000</v>
      </c>
      <c r="G6" s="110">
        <f>TrRoad_act!G60</f>
        <v>493700</v>
      </c>
      <c r="H6" s="110">
        <f>TrRoad_act!H60</f>
        <v>504686</v>
      </c>
      <c r="I6" s="110">
        <f>TrRoad_act!I60</f>
        <v>523800</v>
      </c>
      <c r="J6" s="110">
        <f>TrRoad_act!J60</f>
        <v>551800</v>
      </c>
      <c r="K6" s="110">
        <f>TrRoad_act!K60</f>
        <v>545600</v>
      </c>
      <c r="L6" s="110">
        <f>TrRoad_act!L60</f>
        <v>552680</v>
      </c>
      <c r="M6" s="110">
        <f>TrRoad_act!M60</f>
        <v>574000</v>
      </c>
      <c r="N6" s="110">
        <f>TrRoad_act!N60</f>
        <v>602100</v>
      </c>
      <c r="O6" s="110">
        <f>TrRoad_act!O60</f>
        <v>628565</v>
      </c>
      <c r="P6" s="110">
        <f>TrRoad_act!P60</f>
        <v>652950</v>
      </c>
      <c r="Q6" s="110">
        <f>TrRoad_act!Q60</f>
        <v>676596</v>
      </c>
      <c r="R6" s="110">
        <f>TrRoad_act!R60</f>
        <v>703151</v>
      </c>
      <c r="S6" s="110">
        <f>TrRoad_act!S60</f>
        <v>725944</v>
      </c>
      <c r="T6" s="110">
        <f>TrRoad_act!T60</f>
        <v>746464</v>
      </c>
      <c r="U6" s="110">
        <f>TrRoad_act!U60</f>
        <v>794926</v>
      </c>
      <c r="V6" s="110">
        <f>TrRoad_act!V60</f>
        <v>808689</v>
      </c>
      <c r="W6" s="110">
        <f>TrRoad_act!W60</f>
        <v>825937</v>
      </c>
      <c r="X6" s="110">
        <f>TrRoad_act!X60</f>
        <v>849296</v>
      </c>
      <c r="Y6" s="110">
        <f>TrRoad_act!Y60</f>
        <v>865775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379547</v>
      </c>
      <c r="C7" s="84">
        <f>TrRoad_act!C61</f>
        <v>363526</v>
      </c>
      <c r="D7" s="84">
        <f>TrRoad_act!D61</f>
        <v>354487</v>
      </c>
      <c r="E7" s="84">
        <f>TrRoad_act!E61</f>
        <v>379778</v>
      </c>
      <c r="F7" s="84">
        <f>TrRoad_act!F61</f>
        <v>403236</v>
      </c>
      <c r="G7" s="84">
        <f>TrRoad_act!G61</f>
        <v>413971</v>
      </c>
      <c r="H7" s="84">
        <f>TrRoad_act!H61</f>
        <v>409751</v>
      </c>
      <c r="I7" s="84">
        <f>TrRoad_act!I61</f>
        <v>406614</v>
      </c>
      <c r="J7" s="84">
        <f>TrRoad_act!J61</f>
        <v>422297</v>
      </c>
      <c r="K7" s="84">
        <f>TrRoad_act!K61</f>
        <v>415834</v>
      </c>
      <c r="L7" s="84">
        <f>TrRoad_act!L61</f>
        <v>414234</v>
      </c>
      <c r="M7" s="84">
        <f>TrRoad_act!M61</f>
        <v>418388</v>
      </c>
      <c r="N7" s="84">
        <f>TrRoad_act!N61</f>
        <v>422219</v>
      </c>
      <c r="O7" s="84">
        <f>TrRoad_act!O61</f>
        <v>424062</v>
      </c>
      <c r="P7" s="84">
        <f>TrRoad_act!P61</f>
        <v>426330</v>
      </c>
      <c r="Q7" s="84">
        <f>TrRoad_act!Q61</f>
        <v>431242</v>
      </c>
      <c r="R7" s="84">
        <f>TrRoad_act!R61</f>
        <v>439631</v>
      </c>
      <c r="S7" s="84">
        <f>TrRoad_act!S61</f>
        <v>445229</v>
      </c>
      <c r="T7" s="84">
        <f>TrRoad_act!T61</f>
        <v>447667</v>
      </c>
      <c r="U7" s="84">
        <f>TrRoad_act!U61</f>
        <v>468342</v>
      </c>
      <c r="V7" s="84">
        <f>TrRoad_act!V61</f>
        <v>466077</v>
      </c>
      <c r="W7" s="84">
        <f>TrRoad_act!W61</f>
        <v>465835</v>
      </c>
      <c r="X7" s="84">
        <f>TrRoad_act!X61</f>
        <v>472653</v>
      </c>
      <c r="Y7" s="84">
        <f>TrRoad_act!Y61</f>
        <v>477198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32244</v>
      </c>
      <c r="C8" s="84">
        <f>TrRoad_act!C62</f>
        <v>43144</v>
      </c>
      <c r="D8" s="84">
        <f>TrRoad_act!D62</f>
        <v>45521</v>
      </c>
      <c r="E8" s="84">
        <f>TrRoad_act!E62</f>
        <v>53399</v>
      </c>
      <c r="F8" s="84">
        <f>TrRoad_act!F62</f>
        <v>66873</v>
      </c>
      <c r="G8" s="84">
        <f>TrRoad_act!G62</f>
        <v>78623</v>
      </c>
      <c r="H8" s="84">
        <f>TrRoad_act!H62</f>
        <v>93468</v>
      </c>
      <c r="I8" s="84">
        <f>TrRoad_act!I62</f>
        <v>115919</v>
      </c>
      <c r="J8" s="84">
        <f>TrRoad_act!J62</f>
        <v>127935</v>
      </c>
      <c r="K8" s="84">
        <f>TrRoad_act!K62</f>
        <v>127979</v>
      </c>
      <c r="L8" s="84">
        <f>TrRoad_act!L62</f>
        <v>136656</v>
      </c>
      <c r="M8" s="84">
        <f>TrRoad_act!M62</f>
        <v>153401</v>
      </c>
      <c r="N8" s="84">
        <f>TrRoad_act!N62</f>
        <v>176313</v>
      </c>
      <c r="O8" s="84">
        <f>TrRoad_act!O62</f>
        <v>200257</v>
      </c>
      <c r="P8" s="84">
        <f>TrRoad_act!P62</f>
        <v>221229</v>
      </c>
      <c r="Q8" s="84">
        <f>TrRoad_act!Q62</f>
        <v>239465</v>
      </c>
      <c r="R8" s="84">
        <f>TrRoad_act!R62</f>
        <v>256381</v>
      </c>
      <c r="S8" s="84">
        <f>TrRoad_act!S62</f>
        <v>272267</v>
      </c>
      <c r="T8" s="84">
        <f>TrRoad_act!T62</f>
        <v>288120</v>
      </c>
      <c r="U8" s="84">
        <f>TrRoad_act!U62</f>
        <v>308978</v>
      </c>
      <c r="V8" s="84">
        <f>TrRoad_act!V62</f>
        <v>318254</v>
      </c>
      <c r="W8" s="84">
        <f>TrRoad_act!W62</f>
        <v>330598</v>
      </c>
      <c r="X8" s="84">
        <f>TrRoad_act!X62</f>
        <v>347765</v>
      </c>
      <c r="Y8" s="84">
        <f>TrRoad_act!Y62</f>
        <v>358719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600</v>
      </c>
      <c r="C9" s="84">
        <f>TrRoad_act!C63</f>
        <v>630</v>
      </c>
      <c r="D9" s="84">
        <f>TrRoad_act!D63</f>
        <v>692</v>
      </c>
      <c r="E9" s="84">
        <f>TrRoad_act!E63</f>
        <v>823</v>
      </c>
      <c r="F9" s="84">
        <f>TrRoad_act!F63</f>
        <v>891</v>
      </c>
      <c r="G9" s="84">
        <f>TrRoad_act!G63</f>
        <v>1106</v>
      </c>
      <c r="H9" s="84">
        <f>TrRoad_act!H63</f>
        <v>1467</v>
      </c>
      <c r="I9" s="84">
        <f>TrRoad_act!I63</f>
        <v>1267</v>
      </c>
      <c r="J9" s="84">
        <f>TrRoad_act!J63</f>
        <v>1567</v>
      </c>
      <c r="K9" s="84">
        <f>TrRoad_act!K63</f>
        <v>1786</v>
      </c>
      <c r="L9" s="84">
        <f>TrRoad_act!L63</f>
        <v>1786</v>
      </c>
      <c r="M9" s="84">
        <f>TrRoad_act!M63</f>
        <v>2148</v>
      </c>
      <c r="N9" s="84">
        <f>TrRoad_act!N63</f>
        <v>2954</v>
      </c>
      <c r="O9" s="84">
        <f>TrRoad_act!O63</f>
        <v>3421</v>
      </c>
      <c r="P9" s="84">
        <f>TrRoad_act!P63</f>
        <v>4065</v>
      </c>
      <c r="Q9" s="84">
        <f>TrRoad_act!Q63</f>
        <v>4365</v>
      </c>
      <c r="R9" s="84">
        <f>TrRoad_act!R63</f>
        <v>5079</v>
      </c>
      <c r="S9" s="84">
        <f>TrRoad_act!S63</f>
        <v>5947</v>
      </c>
      <c r="T9" s="84">
        <f>TrRoad_act!T63</f>
        <v>6938</v>
      </c>
      <c r="U9" s="84">
        <f>TrRoad_act!U63</f>
        <v>8341</v>
      </c>
      <c r="V9" s="84">
        <f>TrRoad_act!V63</f>
        <v>8965</v>
      </c>
      <c r="W9" s="84">
        <f>TrRoad_act!W63</f>
        <v>8965</v>
      </c>
      <c r="X9" s="84">
        <f>TrRoad_act!X63</f>
        <v>8965</v>
      </c>
      <c r="Y9" s="84">
        <f>TrRoad_act!Y63</f>
        <v>7612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2</v>
      </c>
      <c r="M10" s="84">
        <f>TrRoad_act!M64</f>
        <v>7</v>
      </c>
      <c r="N10" s="84">
        <f>TrRoad_act!N64</f>
        <v>14</v>
      </c>
      <c r="O10" s="84">
        <f>TrRoad_act!O64</f>
        <v>117</v>
      </c>
      <c r="P10" s="84">
        <f>TrRoad_act!P64</f>
        <v>233</v>
      </c>
      <c r="Q10" s="84">
        <f>TrRoad_act!Q64</f>
        <v>383</v>
      </c>
      <c r="R10" s="84">
        <f>TrRoad_act!R64</f>
        <v>873</v>
      </c>
      <c r="S10" s="84">
        <f>TrRoad_act!S64</f>
        <v>1267</v>
      </c>
      <c r="T10" s="84">
        <f>TrRoad_act!T64</f>
        <v>2352</v>
      </c>
      <c r="U10" s="84">
        <f>TrRoad_act!U64</f>
        <v>7644</v>
      </c>
      <c r="V10" s="84">
        <f>TrRoad_act!V64</f>
        <v>13346</v>
      </c>
      <c r="W10" s="84">
        <f>TrRoad_act!W64</f>
        <v>17439</v>
      </c>
      <c r="X10" s="84">
        <f>TrRoad_act!X64</f>
        <v>15554</v>
      </c>
      <c r="Y10" s="84">
        <f>TrRoad_act!Y64</f>
        <v>15361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26</v>
      </c>
      <c r="Q11" s="84">
        <f>TrRoad_act!Q65</f>
        <v>42</v>
      </c>
      <c r="R11" s="84">
        <f>TrRoad_act!R65</f>
        <v>57</v>
      </c>
      <c r="S11" s="84">
        <f>TrRoad_act!S65</f>
        <v>80</v>
      </c>
      <c r="T11" s="84">
        <f>TrRoad_act!T65</f>
        <v>129</v>
      </c>
      <c r="U11" s="84">
        <f>TrRoad_act!U65</f>
        <v>155</v>
      </c>
      <c r="V11" s="84">
        <f>TrRoad_act!V65</f>
        <v>278</v>
      </c>
      <c r="W11" s="84">
        <f>TrRoad_act!W65</f>
        <v>840</v>
      </c>
      <c r="X11" s="84">
        <f>TrRoad_act!X65</f>
        <v>1370</v>
      </c>
      <c r="Y11" s="84">
        <f>TrRoad_act!Y65</f>
        <v>2462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</v>
      </c>
      <c r="K12" s="84">
        <f>TrRoad_act!K66</f>
        <v>1</v>
      </c>
      <c r="L12" s="84">
        <f>TrRoad_act!L66</f>
        <v>2</v>
      </c>
      <c r="M12" s="84">
        <f>TrRoad_act!M66</f>
        <v>56</v>
      </c>
      <c r="N12" s="84">
        <f>TrRoad_act!N66</f>
        <v>600</v>
      </c>
      <c r="O12" s="84">
        <f>TrRoad_act!O66</f>
        <v>708</v>
      </c>
      <c r="P12" s="84">
        <f>TrRoad_act!P66</f>
        <v>1067</v>
      </c>
      <c r="Q12" s="84">
        <f>TrRoad_act!Q66</f>
        <v>1099</v>
      </c>
      <c r="R12" s="84">
        <f>TrRoad_act!R66</f>
        <v>1130</v>
      </c>
      <c r="S12" s="84">
        <f>TrRoad_act!S66</f>
        <v>1154</v>
      </c>
      <c r="T12" s="84">
        <f>TrRoad_act!T66</f>
        <v>1258</v>
      </c>
      <c r="U12" s="84">
        <f>TrRoad_act!U66</f>
        <v>1466</v>
      </c>
      <c r="V12" s="84">
        <f>TrRoad_act!V66</f>
        <v>1769</v>
      </c>
      <c r="W12" s="84">
        <f>TrRoad_act!W66</f>
        <v>2260</v>
      </c>
      <c r="X12" s="84">
        <f>TrRoad_act!X66</f>
        <v>2989</v>
      </c>
      <c r="Y12" s="84">
        <f>TrRoad_act!Y66</f>
        <v>4423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6059</v>
      </c>
      <c r="C13" s="110">
        <f>TrRoad_act!C67</f>
        <v>5762</v>
      </c>
      <c r="D13" s="110">
        <f>TrRoad_act!D67</f>
        <v>5547</v>
      </c>
      <c r="E13" s="110">
        <f>TrRoad_act!E67</f>
        <v>5504</v>
      </c>
      <c r="F13" s="110">
        <f>TrRoad_act!F67</f>
        <v>5413</v>
      </c>
      <c r="G13" s="110">
        <f>TrRoad_act!G67</f>
        <v>5421</v>
      </c>
      <c r="H13" s="110">
        <f>TrRoad_act!H67</f>
        <v>5501</v>
      </c>
      <c r="I13" s="110">
        <f>TrRoad_act!I67</f>
        <v>4669</v>
      </c>
      <c r="J13" s="110">
        <f>TrRoad_act!J67</f>
        <v>4440</v>
      </c>
      <c r="K13" s="110">
        <f>TrRoad_act!K67</f>
        <v>4236</v>
      </c>
      <c r="L13" s="110">
        <f>TrRoad_act!L67</f>
        <v>4281</v>
      </c>
      <c r="M13" s="110">
        <f>TrRoad_act!M67</f>
        <v>4270</v>
      </c>
      <c r="N13" s="110">
        <f>TrRoad_act!N67</f>
        <v>4423</v>
      </c>
      <c r="O13" s="110">
        <f>TrRoad_act!O67</f>
        <v>4606</v>
      </c>
      <c r="P13" s="110">
        <f>TrRoad_act!P67</f>
        <v>4726</v>
      </c>
      <c r="Q13" s="110">
        <f>TrRoad_act!Q67</f>
        <v>4874</v>
      </c>
      <c r="R13" s="110">
        <f>TrRoad_act!R67</f>
        <v>4937</v>
      </c>
      <c r="S13" s="110">
        <f>TrRoad_act!S67</f>
        <v>5068</v>
      </c>
      <c r="T13" s="110">
        <f>TrRoad_act!T67</f>
        <v>5106</v>
      </c>
      <c r="U13" s="110">
        <f>TrRoad_act!U67</f>
        <v>5221</v>
      </c>
      <c r="V13" s="110">
        <f>TrRoad_act!V67</f>
        <v>5285</v>
      </c>
      <c r="W13" s="110">
        <f>TrRoad_act!W67</f>
        <v>5374</v>
      </c>
      <c r="X13" s="110">
        <f>TrRoad_act!X67</f>
        <v>5410</v>
      </c>
      <c r="Y13" s="110">
        <f>TrRoad_act!Y67</f>
        <v>5222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2583</v>
      </c>
      <c r="C14" s="102">
        <f>TrRoad_act!C68</f>
        <v>2259</v>
      </c>
      <c r="D14" s="102">
        <f>TrRoad_act!D68</f>
        <v>1939</v>
      </c>
      <c r="E14" s="102">
        <f>TrRoad_act!E68</f>
        <v>1630</v>
      </c>
      <c r="F14" s="102">
        <f>TrRoad_act!F68</f>
        <v>1450</v>
      </c>
      <c r="G14" s="102">
        <f>TrRoad_act!G68</f>
        <v>1141</v>
      </c>
      <c r="H14" s="102">
        <f>TrRoad_act!H68</f>
        <v>1141</v>
      </c>
      <c r="I14" s="102">
        <f>TrRoad_act!I68</f>
        <v>639</v>
      </c>
      <c r="J14" s="102">
        <f>TrRoad_act!J68</f>
        <v>470</v>
      </c>
      <c r="K14" s="102">
        <f>TrRoad_act!K68</f>
        <v>335</v>
      </c>
      <c r="L14" s="102">
        <f>TrRoad_act!L68</f>
        <v>269</v>
      </c>
      <c r="M14" s="102">
        <f>TrRoad_act!M68</f>
        <v>250</v>
      </c>
      <c r="N14" s="102">
        <f>TrRoad_act!N68</f>
        <v>240</v>
      </c>
      <c r="O14" s="102">
        <f>TrRoad_act!O68</f>
        <v>231</v>
      </c>
      <c r="P14" s="102">
        <f>TrRoad_act!P68</f>
        <v>225</v>
      </c>
      <c r="Q14" s="102">
        <f>TrRoad_act!Q68</f>
        <v>217</v>
      </c>
      <c r="R14" s="102">
        <f>TrRoad_act!R68</f>
        <v>211</v>
      </c>
      <c r="S14" s="102">
        <f>TrRoad_act!S68</f>
        <v>212</v>
      </c>
      <c r="T14" s="102">
        <f>TrRoad_act!T68</f>
        <v>212</v>
      </c>
      <c r="U14" s="102">
        <f>TrRoad_act!U68</f>
        <v>219</v>
      </c>
      <c r="V14" s="102">
        <f>TrRoad_act!V68</f>
        <v>214</v>
      </c>
      <c r="W14" s="102">
        <f>TrRoad_act!W68</f>
        <v>213</v>
      </c>
      <c r="X14" s="102">
        <f>TrRoad_act!X68</f>
        <v>214</v>
      </c>
      <c r="Y14" s="102">
        <f>TrRoad_act!Y68</f>
        <v>211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3476</v>
      </c>
      <c r="C15" s="102">
        <f>TrRoad_act!C69</f>
        <v>3503</v>
      </c>
      <c r="D15" s="102">
        <f>TrRoad_act!D69</f>
        <v>3608</v>
      </c>
      <c r="E15" s="102">
        <f>TrRoad_act!E69</f>
        <v>3874</v>
      </c>
      <c r="F15" s="102">
        <f>TrRoad_act!F69</f>
        <v>3963</v>
      </c>
      <c r="G15" s="102">
        <f>TrRoad_act!G69</f>
        <v>4280</v>
      </c>
      <c r="H15" s="102">
        <f>TrRoad_act!H69</f>
        <v>4360</v>
      </c>
      <c r="I15" s="102">
        <f>TrRoad_act!I69</f>
        <v>4030</v>
      </c>
      <c r="J15" s="102">
        <f>TrRoad_act!J69</f>
        <v>3970</v>
      </c>
      <c r="K15" s="102">
        <f>TrRoad_act!K69</f>
        <v>3901</v>
      </c>
      <c r="L15" s="102">
        <f>TrRoad_act!L69</f>
        <v>3896</v>
      </c>
      <c r="M15" s="102">
        <f>TrRoad_act!M69</f>
        <v>3899</v>
      </c>
      <c r="N15" s="102">
        <f>TrRoad_act!N69</f>
        <v>4063</v>
      </c>
      <c r="O15" s="102">
        <f>TrRoad_act!O69</f>
        <v>4235</v>
      </c>
      <c r="P15" s="102">
        <f>TrRoad_act!P69</f>
        <v>4334</v>
      </c>
      <c r="Q15" s="102">
        <f>TrRoad_act!Q69</f>
        <v>4454</v>
      </c>
      <c r="R15" s="102">
        <f>TrRoad_act!R69</f>
        <v>4486</v>
      </c>
      <c r="S15" s="102">
        <f>TrRoad_act!S69</f>
        <v>4561</v>
      </c>
      <c r="T15" s="102">
        <f>TrRoad_act!T69</f>
        <v>4601</v>
      </c>
      <c r="U15" s="102">
        <f>TrRoad_act!U69</f>
        <v>4731</v>
      </c>
      <c r="V15" s="102">
        <f>TrRoad_act!V69</f>
        <v>4704</v>
      </c>
      <c r="W15" s="102">
        <f>TrRoad_act!W69</f>
        <v>4651</v>
      </c>
      <c r="X15" s="102">
        <f>TrRoad_act!X69</f>
        <v>4433</v>
      </c>
      <c r="Y15" s="102">
        <f>TrRoad_act!Y69</f>
        <v>4264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1</v>
      </c>
      <c r="U16" s="102">
        <f>TrRoad_act!U70</f>
        <v>1</v>
      </c>
      <c r="V16" s="102">
        <f>TrRoad_act!V70</f>
        <v>1</v>
      </c>
      <c r="W16" s="102">
        <f>TrRoad_act!W70</f>
        <v>1</v>
      </c>
      <c r="X16" s="102">
        <f>TrRoad_act!X70</f>
        <v>1</v>
      </c>
      <c r="Y16" s="102">
        <f>TrRoad_act!Y70</f>
        <v>1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2</v>
      </c>
      <c r="M17" s="102">
        <f>TrRoad_act!M71</f>
        <v>7</v>
      </c>
      <c r="N17" s="102">
        <f>TrRoad_act!N71</f>
        <v>8</v>
      </c>
      <c r="O17" s="102">
        <f>TrRoad_act!O71</f>
        <v>30</v>
      </c>
      <c r="P17" s="102">
        <f>TrRoad_act!P71</f>
        <v>60</v>
      </c>
      <c r="Q17" s="102">
        <f>TrRoad_act!Q71</f>
        <v>100</v>
      </c>
      <c r="R17" s="102">
        <f>TrRoad_act!R71</f>
        <v>142</v>
      </c>
      <c r="S17" s="102">
        <f>TrRoad_act!S71</f>
        <v>202</v>
      </c>
      <c r="T17" s="102">
        <f>TrRoad_act!T71</f>
        <v>206</v>
      </c>
      <c r="U17" s="102">
        <f>TrRoad_act!U71</f>
        <v>191</v>
      </c>
      <c r="V17" s="102">
        <f>TrRoad_act!V71</f>
        <v>295</v>
      </c>
      <c r="W17" s="102">
        <f>TrRoad_act!W71</f>
        <v>436</v>
      </c>
      <c r="X17" s="102">
        <f>TrRoad_act!X71</f>
        <v>691</v>
      </c>
      <c r="Y17" s="102">
        <f>TrRoad_act!Y71</f>
        <v>696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114</v>
      </c>
      <c r="M18" s="102">
        <f>TrRoad_act!M72</f>
        <v>114</v>
      </c>
      <c r="N18" s="102">
        <f>TrRoad_act!N72</f>
        <v>112</v>
      </c>
      <c r="O18" s="102">
        <f>TrRoad_act!O72</f>
        <v>110</v>
      </c>
      <c r="P18" s="102">
        <f>TrRoad_act!P72</f>
        <v>107</v>
      </c>
      <c r="Q18" s="102">
        <f>TrRoad_act!Q72</f>
        <v>103</v>
      </c>
      <c r="R18" s="102">
        <f>TrRoad_act!R72</f>
        <v>98</v>
      </c>
      <c r="S18" s="102">
        <f>TrRoad_act!S72</f>
        <v>93</v>
      </c>
      <c r="T18" s="102">
        <f>TrRoad_act!T72</f>
        <v>86</v>
      </c>
      <c r="U18" s="102">
        <f>TrRoad_act!U72</f>
        <v>79</v>
      </c>
      <c r="V18" s="102">
        <f>TrRoad_act!V72</f>
        <v>71</v>
      </c>
      <c r="W18" s="102">
        <f>TrRoad_act!W72</f>
        <v>73</v>
      </c>
      <c r="X18" s="102">
        <f>TrRoad_act!X72</f>
        <v>71</v>
      </c>
      <c r="Y18" s="102">
        <f>TrRoad_act!Y72</f>
        <v>50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60633</v>
      </c>
      <c r="C19" s="28">
        <f>TrRoad_act!C73</f>
        <v>57389</v>
      </c>
      <c r="D19" s="28">
        <f>TrRoad_act!D73</f>
        <v>57639</v>
      </c>
      <c r="E19" s="28">
        <f>TrRoad_act!E73</f>
        <v>60076</v>
      </c>
      <c r="F19" s="28">
        <f>TrRoad_act!F73</f>
        <v>58393</v>
      </c>
      <c r="G19" s="28">
        <f>TrRoad_act!G73</f>
        <v>57139</v>
      </c>
      <c r="H19" s="28">
        <f>TrRoad_act!H73</f>
        <v>57125</v>
      </c>
      <c r="I19" s="28">
        <f>TrRoad_act!I73</f>
        <v>57437</v>
      </c>
      <c r="J19" s="28">
        <f>TrRoad_act!J73</f>
        <v>60232</v>
      </c>
      <c r="K19" s="28">
        <f>TrRoad_act!K73</f>
        <v>58589</v>
      </c>
      <c r="L19" s="28">
        <f>TrRoad_act!L73</f>
        <v>58571</v>
      </c>
      <c r="M19" s="28">
        <f>TrRoad_act!M73</f>
        <v>61750</v>
      </c>
      <c r="N19" s="28">
        <f>TrRoad_act!N73</f>
        <v>65566</v>
      </c>
      <c r="O19" s="28">
        <f>TrRoad_act!O73</f>
        <v>69590</v>
      </c>
      <c r="P19" s="28">
        <f>TrRoad_act!P73</f>
        <v>73985</v>
      </c>
      <c r="Q19" s="28">
        <f>TrRoad_act!Q73</f>
        <v>79240</v>
      </c>
      <c r="R19" s="28">
        <f>TrRoad_act!R73</f>
        <v>85605</v>
      </c>
      <c r="S19" s="28">
        <f>TrRoad_act!S73</f>
        <v>92515</v>
      </c>
      <c r="T19" s="28">
        <f>TrRoad_act!T73</f>
        <v>99657</v>
      </c>
      <c r="U19" s="28">
        <f>TrRoad_act!U73</f>
        <v>109741</v>
      </c>
      <c r="V19" s="28">
        <f>TrRoad_act!V73</f>
        <v>114347</v>
      </c>
      <c r="W19" s="28">
        <f>TrRoad_act!W73</f>
        <v>118656</v>
      </c>
      <c r="X19" s="28">
        <f>TrRoad_act!X73</f>
        <v>123316</v>
      </c>
      <c r="Y19" s="28">
        <f>TrRoad_act!Y73</f>
        <v>126716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53598</v>
      </c>
      <c r="C20" s="137">
        <f>TrRoad_act!C74</f>
        <v>52063</v>
      </c>
      <c r="D20" s="137">
        <f>TrRoad_act!D74</f>
        <v>50346</v>
      </c>
      <c r="E20" s="137">
        <f>TrRoad_act!E74</f>
        <v>48721</v>
      </c>
      <c r="F20" s="137">
        <f>TrRoad_act!F74</f>
        <v>46847</v>
      </c>
      <c r="G20" s="137">
        <f>TrRoad_act!G74</f>
        <v>45141</v>
      </c>
      <c r="H20" s="137">
        <f>TrRoad_act!H74</f>
        <v>44036</v>
      </c>
      <c r="I20" s="137">
        <f>TrRoad_act!I74</f>
        <v>43724</v>
      </c>
      <c r="J20" s="137">
        <f>TrRoad_act!J74</f>
        <v>45882</v>
      </c>
      <c r="K20" s="137">
        <f>TrRoad_act!K74</f>
        <v>46226</v>
      </c>
      <c r="L20" s="137">
        <f>TrRoad_act!L74</f>
        <v>47069</v>
      </c>
      <c r="M20" s="137">
        <f>TrRoad_act!M74</f>
        <v>49341</v>
      </c>
      <c r="N20" s="137">
        <f>TrRoad_act!N74</f>
        <v>52398</v>
      </c>
      <c r="O20" s="137">
        <f>TrRoad_act!O74</f>
        <v>57420</v>
      </c>
      <c r="P20" s="137">
        <f>TrRoad_act!P74</f>
        <v>61232</v>
      </c>
      <c r="Q20" s="137">
        <f>TrRoad_act!Q74</f>
        <v>65986</v>
      </c>
      <c r="R20" s="137">
        <f>TrRoad_act!R74</f>
        <v>71435</v>
      </c>
      <c r="S20" s="137">
        <f>TrRoad_act!S74</f>
        <v>77118</v>
      </c>
      <c r="T20" s="137">
        <f>TrRoad_act!T74</f>
        <v>83313</v>
      </c>
      <c r="U20" s="137">
        <f>TrRoad_act!U74</f>
        <v>90759</v>
      </c>
      <c r="V20" s="137">
        <f>TrRoad_act!V74</f>
        <v>94746</v>
      </c>
      <c r="W20" s="137">
        <f>TrRoad_act!W74</f>
        <v>99088</v>
      </c>
      <c r="X20" s="137">
        <f>TrRoad_act!X74</f>
        <v>103030</v>
      </c>
      <c r="Y20" s="137">
        <f>TrRoad_act!Y74</f>
        <v>106314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14032</v>
      </c>
      <c r="C21" s="84">
        <f>TrRoad_act!C75</f>
        <v>13744</v>
      </c>
      <c r="D21" s="84">
        <f>TrRoad_act!D75</f>
        <v>13398</v>
      </c>
      <c r="E21" s="84">
        <f>TrRoad_act!E75</f>
        <v>12873</v>
      </c>
      <c r="F21" s="84">
        <f>TrRoad_act!F75</f>
        <v>12389</v>
      </c>
      <c r="G21" s="84">
        <f>TrRoad_act!G75</f>
        <v>11981</v>
      </c>
      <c r="H21" s="84">
        <f>TrRoad_act!H75</f>
        <v>11509</v>
      </c>
      <c r="I21" s="84">
        <f>TrRoad_act!I75</f>
        <v>10978</v>
      </c>
      <c r="J21" s="84">
        <f>TrRoad_act!J75</f>
        <v>12103</v>
      </c>
      <c r="K21" s="84">
        <f>TrRoad_act!K75</f>
        <v>12295</v>
      </c>
      <c r="L21" s="84">
        <f>TrRoad_act!L75</f>
        <v>12142</v>
      </c>
      <c r="M21" s="84">
        <f>TrRoad_act!M75</f>
        <v>12319</v>
      </c>
      <c r="N21" s="84">
        <f>TrRoad_act!N75</f>
        <v>12363</v>
      </c>
      <c r="O21" s="84">
        <f>TrRoad_act!O75</f>
        <v>11979</v>
      </c>
      <c r="P21" s="84">
        <f>TrRoad_act!P75</f>
        <v>12024</v>
      </c>
      <c r="Q21" s="84">
        <f>TrRoad_act!Q75</f>
        <v>12341</v>
      </c>
      <c r="R21" s="84">
        <f>TrRoad_act!R75</f>
        <v>12697</v>
      </c>
      <c r="S21" s="84">
        <f>TrRoad_act!S75</f>
        <v>13022</v>
      </c>
      <c r="T21" s="84">
        <f>TrRoad_act!T75</f>
        <v>13401</v>
      </c>
      <c r="U21" s="84">
        <f>TrRoad_act!U75</f>
        <v>14047</v>
      </c>
      <c r="V21" s="84">
        <f>TrRoad_act!V75</f>
        <v>14243</v>
      </c>
      <c r="W21" s="84">
        <f>TrRoad_act!W75</f>
        <v>14194</v>
      </c>
      <c r="X21" s="84">
        <f>TrRoad_act!X75</f>
        <v>14079</v>
      </c>
      <c r="Y21" s="84">
        <f>TrRoad_act!Y75</f>
        <v>14063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39566</v>
      </c>
      <c r="C22" s="84">
        <f>TrRoad_act!C76</f>
        <v>38319</v>
      </c>
      <c r="D22" s="84">
        <f>TrRoad_act!D76</f>
        <v>36948</v>
      </c>
      <c r="E22" s="84">
        <f>TrRoad_act!E76</f>
        <v>35848</v>
      </c>
      <c r="F22" s="84">
        <f>TrRoad_act!F76</f>
        <v>34458</v>
      </c>
      <c r="G22" s="84">
        <f>TrRoad_act!G76</f>
        <v>33160</v>
      </c>
      <c r="H22" s="84">
        <f>TrRoad_act!H76</f>
        <v>32527</v>
      </c>
      <c r="I22" s="84">
        <f>TrRoad_act!I76</f>
        <v>32744</v>
      </c>
      <c r="J22" s="84">
        <f>TrRoad_act!J76</f>
        <v>33777</v>
      </c>
      <c r="K22" s="84">
        <f>TrRoad_act!K76</f>
        <v>33929</v>
      </c>
      <c r="L22" s="84">
        <f>TrRoad_act!L76</f>
        <v>34925</v>
      </c>
      <c r="M22" s="84">
        <f>TrRoad_act!M76</f>
        <v>37020</v>
      </c>
      <c r="N22" s="84">
        <f>TrRoad_act!N76</f>
        <v>40031</v>
      </c>
      <c r="O22" s="84">
        <f>TrRoad_act!O76</f>
        <v>45386</v>
      </c>
      <c r="P22" s="84">
        <f>TrRoad_act!P76</f>
        <v>49133</v>
      </c>
      <c r="Q22" s="84">
        <f>TrRoad_act!Q76</f>
        <v>53542</v>
      </c>
      <c r="R22" s="84">
        <f>TrRoad_act!R76</f>
        <v>58622</v>
      </c>
      <c r="S22" s="84">
        <f>TrRoad_act!S76</f>
        <v>63883</v>
      </c>
      <c r="T22" s="84">
        <f>TrRoad_act!T76</f>
        <v>69645</v>
      </c>
      <c r="U22" s="84">
        <f>TrRoad_act!U76</f>
        <v>76390</v>
      </c>
      <c r="V22" s="84">
        <f>TrRoad_act!V76</f>
        <v>80100</v>
      </c>
      <c r="W22" s="84">
        <f>TrRoad_act!W76</f>
        <v>84491</v>
      </c>
      <c r="X22" s="84">
        <f>TrRoad_act!X76</f>
        <v>88503</v>
      </c>
      <c r="Y22" s="84">
        <f>TrRoad_act!Y76</f>
        <v>91752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1</v>
      </c>
      <c r="S23" s="84">
        <f>TrRoad_act!S77</f>
        <v>13</v>
      </c>
      <c r="T23" s="84">
        <f>TrRoad_act!T77</f>
        <v>16</v>
      </c>
      <c r="U23" s="84">
        <f>TrRoad_act!U77</f>
        <v>21</v>
      </c>
      <c r="V23" s="84">
        <f>TrRoad_act!V77</f>
        <v>20</v>
      </c>
      <c r="W23" s="84">
        <f>TrRoad_act!W77</f>
        <v>20</v>
      </c>
      <c r="X23" s="84">
        <f>TrRoad_act!X77</f>
        <v>19</v>
      </c>
      <c r="Y23" s="84">
        <f>TrRoad_act!Y77</f>
        <v>32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1</v>
      </c>
      <c r="O24" s="84">
        <f>TrRoad_act!O78</f>
        <v>48</v>
      </c>
      <c r="P24" s="84">
        <f>TrRoad_act!P78</f>
        <v>61</v>
      </c>
      <c r="Q24" s="84">
        <f>TrRoad_act!Q78</f>
        <v>87</v>
      </c>
      <c r="R24" s="84">
        <f>TrRoad_act!R78</f>
        <v>86</v>
      </c>
      <c r="S24" s="84">
        <f>TrRoad_act!S78</f>
        <v>170</v>
      </c>
      <c r="T24" s="84">
        <f>TrRoad_act!T78</f>
        <v>220</v>
      </c>
      <c r="U24" s="84">
        <f>TrRoad_act!U78</f>
        <v>270</v>
      </c>
      <c r="V24" s="84">
        <f>TrRoad_act!V78</f>
        <v>350</v>
      </c>
      <c r="W24" s="84">
        <f>TrRoad_act!W78</f>
        <v>350</v>
      </c>
      <c r="X24" s="84">
        <f>TrRoad_act!X78</f>
        <v>350</v>
      </c>
      <c r="Y24" s="84">
        <f>TrRoad_act!Y78</f>
        <v>315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2</v>
      </c>
      <c r="J25" s="84">
        <f>TrRoad_act!J79</f>
        <v>2</v>
      </c>
      <c r="K25" s="84">
        <f>TrRoad_act!K79</f>
        <v>2</v>
      </c>
      <c r="L25" s="84">
        <f>TrRoad_act!L79</f>
        <v>2</v>
      </c>
      <c r="M25" s="84">
        <f>TrRoad_act!M79</f>
        <v>2</v>
      </c>
      <c r="N25" s="84">
        <f>TrRoad_act!N79</f>
        <v>3</v>
      </c>
      <c r="O25" s="84">
        <f>TrRoad_act!O79</f>
        <v>7</v>
      </c>
      <c r="P25" s="84">
        <f>TrRoad_act!P79</f>
        <v>14</v>
      </c>
      <c r="Q25" s="84">
        <f>TrRoad_act!Q79</f>
        <v>16</v>
      </c>
      <c r="R25" s="84">
        <f>TrRoad_act!R79</f>
        <v>29</v>
      </c>
      <c r="S25" s="84">
        <f>TrRoad_act!S79</f>
        <v>30</v>
      </c>
      <c r="T25" s="84">
        <f>TrRoad_act!T79</f>
        <v>31</v>
      </c>
      <c r="U25" s="84">
        <f>TrRoad_act!U79</f>
        <v>31</v>
      </c>
      <c r="V25" s="84">
        <f>TrRoad_act!V79</f>
        <v>33</v>
      </c>
      <c r="W25" s="84">
        <f>TrRoad_act!W79</f>
        <v>33</v>
      </c>
      <c r="X25" s="84">
        <f>TrRoad_act!X79</f>
        <v>79</v>
      </c>
      <c r="Y25" s="84">
        <f>TrRoad_act!Y79</f>
        <v>152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7035</v>
      </c>
      <c r="C26" s="110">
        <f>TrRoad_act!C80</f>
        <v>5326</v>
      </c>
      <c r="D26" s="110">
        <f>TrRoad_act!D80</f>
        <v>7293</v>
      </c>
      <c r="E26" s="110">
        <f>TrRoad_act!E80</f>
        <v>11355</v>
      </c>
      <c r="F26" s="110">
        <f>TrRoad_act!F80</f>
        <v>11546</v>
      </c>
      <c r="G26" s="110">
        <f>TrRoad_act!G80</f>
        <v>11998</v>
      </c>
      <c r="H26" s="110">
        <f>TrRoad_act!H80</f>
        <v>13089</v>
      </c>
      <c r="I26" s="110">
        <f>TrRoad_act!I80</f>
        <v>13713</v>
      </c>
      <c r="J26" s="110">
        <f>TrRoad_act!J80</f>
        <v>14350</v>
      </c>
      <c r="K26" s="110">
        <f>TrRoad_act!K80</f>
        <v>12363</v>
      </c>
      <c r="L26" s="110">
        <f>TrRoad_act!L80</f>
        <v>11502</v>
      </c>
      <c r="M26" s="110">
        <f>TrRoad_act!M80</f>
        <v>12409</v>
      </c>
      <c r="N26" s="110">
        <f>TrRoad_act!N80</f>
        <v>13168</v>
      </c>
      <c r="O26" s="110">
        <f>TrRoad_act!O80</f>
        <v>12170</v>
      </c>
      <c r="P26" s="110">
        <f>TrRoad_act!P80</f>
        <v>12753</v>
      </c>
      <c r="Q26" s="110">
        <f>TrRoad_act!Q80</f>
        <v>13254</v>
      </c>
      <c r="R26" s="110">
        <f>TrRoad_act!R80</f>
        <v>14170</v>
      </c>
      <c r="S26" s="110">
        <f>TrRoad_act!S80</f>
        <v>15397</v>
      </c>
      <c r="T26" s="110">
        <f>TrRoad_act!T80</f>
        <v>16344</v>
      </c>
      <c r="U26" s="110">
        <f>TrRoad_act!U80</f>
        <v>18982</v>
      </c>
      <c r="V26" s="110">
        <f>TrRoad_act!V80</f>
        <v>19601</v>
      </c>
      <c r="W26" s="110">
        <f>TrRoad_act!W80</f>
        <v>19568</v>
      </c>
      <c r="X26" s="110">
        <f>TrRoad_act!X80</f>
        <v>20286</v>
      </c>
      <c r="Y26" s="110">
        <f>TrRoad_act!Y80</f>
        <v>20402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6545</v>
      </c>
      <c r="C27" s="102">
        <f>TrRoad_act!C81</f>
        <v>4800</v>
      </c>
      <c r="D27" s="102">
        <f>TrRoad_act!D81</f>
        <v>6740</v>
      </c>
      <c r="E27" s="102">
        <f>TrRoad_act!E81</f>
        <v>10790</v>
      </c>
      <c r="F27" s="102">
        <f>TrRoad_act!F81</f>
        <v>10878</v>
      </c>
      <c r="G27" s="102">
        <f>TrRoad_act!G81</f>
        <v>11306</v>
      </c>
      <c r="H27" s="102">
        <f>TrRoad_act!H81</f>
        <v>12346</v>
      </c>
      <c r="I27" s="102">
        <f>TrRoad_act!I81</f>
        <v>12885</v>
      </c>
      <c r="J27" s="102">
        <f>TrRoad_act!J81</f>
        <v>13556</v>
      </c>
      <c r="K27" s="102">
        <f>TrRoad_act!K81</f>
        <v>11720</v>
      </c>
      <c r="L27" s="102">
        <f>TrRoad_act!L81</f>
        <v>10853</v>
      </c>
      <c r="M27" s="102">
        <f>TrRoad_act!M81</f>
        <v>11643</v>
      </c>
      <c r="N27" s="102">
        <f>TrRoad_act!N81</f>
        <v>12388</v>
      </c>
      <c r="O27" s="102">
        <f>TrRoad_act!O81</f>
        <v>11256</v>
      </c>
      <c r="P27" s="102">
        <f>TrRoad_act!P81</f>
        <v>11837</v>
      </c>
      <c r="Q27" s="102">
        <f>TrRoad_act!Q81</f>
        <v>12152</v>
      </c>
      <c r="R27" s="102">
        <f>TrRoad_act!R81</f>
        <v>13053</v>
      </c>
      <c r="S27" s="102">
        <f>TrRoad_act!S81</f>
        <v>14321</v>
      </c>
      <c r="T27" s="102">
        <f>TrRoad_act!T81</f>
        <v>15240</v>
      </c>
      <c r="U27" s="102">
        <f>TrRoad_act!U81</f>
        <v>17921</v>
      </c>
      <c r="V27" s="102">
        <f>TrRoad_act!V81</f>
        <v>18347</v>
      </c>
      <c r="W27" s="102">
        <f>TrRoad_act!W81</f>
        <v>18420</v>
      </c>
      <c r="X27" s="102">
        <f>TrRoad_act!X81</f>
        <v>18916</v>
      </c>
      <c r="Y27" s="102">
        <f>TrRoad_act!Y81</f>
        <v>19152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490</v>
      </c>
      <c r="C28" s="86">
        <f>TrRoad_act!C82</f>
        <v>526</v>
      </c>
      <c r="D28" s="86">
        <f>TrRoad_act!D82</f>
        <v>553</v>
      </c>
      <c r="E28" s="86">
        <f>TrRoad_act!E82</f>
        <v>565</v>
      </c>
      <c r="F28" s="86">
        <f>TrRoad_act!F82</f>
        <v>668</v>
      </c>
      <c r="G28" s="86">
        <f>TrRoad_act!G82</f>
        <v>692</v>
      </c>
      <c r="H28" s="86">
        <f>TrRoad_act!H82</f>
        <v>743</v>
      </c>
      <c r="I28" s="86">
        <f>TrRoad_act!I82</f>
        <v>828</v>
      </c>
      <c r="J28" s="86">
        <f>TrRoad_act!J82</f>
        <v>794</v>
      </c>
      <c r="K28" s="86">
        <f>TrRoad_act!K82</f>
        <v>643</v>
      </c>
      <c r="L28" s="86">
        <f>TrRoad_act!L82</f>
        <v>649</v>
      </c>
      <c r="M28" s="86">
        <f>TrRoad_act!M82</f>
        <v>766</v>
      </c>
      <c r="N28" s="86">
        <f>TrRoad_act!N82</f>
        <v>780</v>
      </c>
      <c r="O28" s="86">
        <f>TrRoad_act!O82</f>
        <v>914</v>
      </c>
      <c r="P28" s="86">
        <f>TrRoad_act!P82</f>
        <v>916</v>
      </c>
      <c r="Q28" s="86">
        <f>TrRoad_act!Q82</f>
        <v>1102</v>
      </c>
      <c r="R28" s="86">
        <f>TrRoad_act!R82</f>
        <v>1117</v>
      </c>
      <c r="S28" s="86">
        <f>TrRoad_act!S82</f>
        <v>1076</v>
      </c>
      <c r="T28" s="86">
        <f>TrRoad_act!T82</f>
        <v>1104</v>
      </c>
      <c r="U28" s="86">
        <f>TrRoad_act!U82</f>
        <v>1061</v>
      </c>
      <c r="V28" s="86">
        <f>TrRoad_act!V82</f>
        <v>1254</v>
      </c>
      <c r="W28" s="86">
        <f>TrRoad_act!W82</f>
        <v>1148</v>
      </c>
      <c r="X28" s="86">
        <f>TrRoad_act!X82</f>
        <v>1370</v>
      </c>
      <c r="Y28" s="86">
        <f>TrRoad_act!Y82</f>
        <v>1250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27741</v>
      </c>
      <c r="C30" s="54">
        <f>TrRoad_act!C111</f>
        <v>37936</v>
      </c>
      <c r="D30" s="54">
        <f>TrRoad_act!D111</f>
        <v>33684</v>
      </c>
      <c r="E30" s="54">
        <f>TrRoad_act!E111</f>
        <v>55661</v>
      </c>
      <c r="F30" s="54">
        <f>TrRoad_act!F111</f>
        <v>58167</v>
      </c>
      <c r="G30" s="54">
        <f>TrRoad_act!G111</f>
        <v>55249</v>
      </c>
      <c r="H30" s="54">
        <f>TrRoad_act!H111</f>
        <v>60680</v>
      </c>
      <c r="I30" s="54">
        <f>TrRoad_act!I111</f>
        <v>71035</v>
      </c>
      <c r="J30" s="54">
        <f>TrRoad_act!J111</f>
        <v>59142</v>
      </c>
      <c r="K30" s="54">
        <f>TrRoad_act!K111</f>
        <v>34905</v>
      </c>
      <c r="L30" s="54">
        <f>TrRoad_act!L111</f>
        <v>41139</v>
      </c>
      <c r="M30" s="54">
        <f>TrRoad_act!M111</f>
        <v>59095</v>
      </c>
      <c r="N30" s="54">
        <f>TrRoad_act!N111</f>
        <v>77521</v>
      </c>
      <c r="O30" s="54">
        <f>TrRoad_act!O111</f>
        <v>72564</v>
      </c>
      <c r="P30" s="54">
        <f>TrRoad_act!P111</f>
        <v>71197</v>
      </c>
      <c r="Q30" s="54">
        <f>TrRoad_act!Q111</f>
        <v>69928</v>
      </c>
      <c r="R30" s="54">
        <f>TrRoad_act!R111</f>
        <v>74313</v>
      </c>
      <c r="S30" s="54">
        <f>TrRoad_act!S111</f>
        <v>77008</v>
      </c>
      <c r="T30" s="54">
        <f>TrRoad_act!T111</f>
        <v>79612</v>
      </c>
      <c r="U30" s="54">
        <f>TrRoad_act!U111</f>
        <v>96015</v>
      </c>
      <c r="V30" s="54">
        <f>TrRoad_act!V111</f>
        <v>73126</v>
      </c>
      <c r="W30" s="54">
        <f>TrRoad_act!W111</f>
        <v>83954</v>
      </c>
      <c r="X30" s="54">
        <f>TrRoad_act!X111</f>
        <v>87164</v>
      </c>
      <c r="Y30" s="54">
        <f>TrRoad_act!Y111</f>
        <v>87508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26124</v>
      </c>
      <c r="C31" s="28">
        <f>TrRoad_act!C112</f>
        <v>36108</v>
      </c>
      <c r="D31" s="28">
        <f>TrRoad_act!D112</f>
        <v>29949</v>
      </c>
      <c r="E31" s="28">
        <f>TrRoad_act!E112</f>
        <v>49373</v>
      </c>
      <c r="F31" s="28">
        <f>TrRoad_act!F112</f>
        <v>54342</v>
      </c>
      <c r="G31" s="28">
        <f>TrRoad_act!G112</f>
        <v>51661</v>
      </c>
      <c r="H31" s="28">
        <f>TrRoad_act!H112</f>
        <v>55718</v>
      </c>
      <c r="I31" s="28">
        <f>TrRoad_act!I112</f>
        <v>65039</v>
      </c>
      <c r="J31" s="28">
        <f>TrRoad_act!J112</f>
        <v>52567</v>
      </c>
      <c r="K31" s="28">
        <f>TrRoad_act!K112</f>
        <v>29771</v>
      </c>
      <c r="L31" s="28">
        <f>TrRoad_act!L112</f>
        <v>35851</v>
      </c>
      <c r="M31" s="28">
        <f>TrRoad_act!M112</f>
        <v>52000</v>
      </c>
      <c r="N31" s="28">
        <f>TrRoad_act!N112</f>
        <v>69871</v>
      </c>
      <c r="O31" s="28">
        <f>TrRoad_act!O112</f>
        <v>63765</v>
      </c>
      <c r="P31" s="28">
        <f>TrRoad_act!P112</f>
        <v>62080</v>
      </c>
      <c r="Q31" s="28">
        <f>TrRoad_act!Q112</f>
        <v>60181</v>
      </c>
      <c r="R31" s="28">
        <f>TrRoad_act!R112</f>
        <v>63551</v>
      </c>
      <c r="S31" s="28">
        <f>TrRoad_act!S112</f>
        <v>65867</v>
      </c>
      <c r="T31" s="28">
        <f>TrRoad_act!T112</f>
        <v>67909</v>
      </c>
      <c r="U31" s="28">
        <f>TrRoad_act!U112</f>
        <v>81666</v>
      </c>
      <c r="V31" s="28">
        <f>TrRoad_act!V112</f>
        <v>62587</v>
      </c>
      <c r="W31" s="28">
        <f>TrRoad_act!W112</f>
        <v>73321</v>
      </c>
      <c r="X31" s="28">
        <f>TrRoad_act!X112</f>
        <v>75928</v>
      </c>
      <c r="Y31" s="28">
        <f>TrRoad_act!Y112</f>
        <v>76799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56</v>
      </c>
      <c r="C32" s="137">
        <f>TrRoad_act!C113</f>
        <v>211</v>
      </c>
      <c r="D32" s="137">
        <f>TrRoad_act!D113</f>
        <v>632</v>
      </c>
      <c r="E32" s="137">
        <f>TrRoad_act!E113</f>
        <v>956</v>
      </c>
      <c r="F32" s="137">
        <f>TrRoad_act!F113</f>
        <v>1178</v>
      </c>
      <c r="G32" s="137">
        <f>TrRoad_act!G113</f>
        <v>1335</v>
      </c>
      <c r="H32" s="137">
        <f>TrRoad_act!H113</f>
        <v>2640</v>
      </c>
      <c r="I32" s="137">
        <f>TrRoad_act!I113</f>
        <v>2494</v>
      </c>
      <c r="J32" s="137">
        <f>TrRoad_act!J113</f>
        <v>3217</v>
      </c>
      <c r="K32" s="137">
        <f>TrRoad_act!K113</f>
        <v>1304</v>
      </c>
      <c r="L32" s="137">
        <f>TrRoad_act!L113</f>
        <v>1448</v>
      </c>
      <c r="M32" s="137">
        <f>TrRoad_act!M113</f>
        <v>4004</v>
      </c>
      <c r="N32" s="137">
        <f>TrRoad_act!N113</f>
        <v>13024</v>
      </c>
      <c r="O32" s="137">
        <f>TrRoad_act!O113</f>
        <v>4154</v>
      </c>
      <c r="P32" s="137">
        <f>TrRoad_act!P113</f>
        <v>4389</v>
      </c>
      <c r="Q32" s="137">
        <f>TrRoad_act!Q113</f>
        <v>4027</v>
      </c>
      <c r="R32" s="137">
        <f>TrRoad_act!R113</f>
        <v>4181</v>
      </c>
      <c r="S32" s="137">
        <f>TrRoad_act!S113</f>
        <v>3814</v>
      </c>
      <c r="T32" s="137">
        <f>TrRoad_act!T113</f>
        <v>3755</v>
      </c>
      <c r="U32" s="137">
        <f>TrRoad_act!U113</f>
        <v>3987</v>
      </c>
      <c r="V32" s="137">
        <f>TrRoad_act!V113</f>
        <v>4179</v>
      </c>
      <c r="W32" s="137">
        <f>TrRoad_act!W113</f>
        <v>4382</v>
      </c>
      <c r="X32" s="137">
        <f>TrRoad_act!X113</f>
        <v>4737</v>
      </c>
      <c r="Y32" s="137">
        <f>TrRoad_act!Y113</f>
        <v>4301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25707</v>
      </c>
      <c r="C33" s="110">
        <f>TrRoad_act!C114</f>
        <v>35478</v>
      </c>
      <c r="D33" s="110">
        <f>TrRoad_act!D114</f>
        <v>28820</v>
      </c>
      <c r="E33" s="110">
        <f>TrRoad_act!E114</f>
        <v>47766</v>
      </c>
      <c r="F33" s="110">
        <f>TrRoad_act!F114</f>
        <v>52700</v>
      </c>
      <c r="G33" s="110">
        <f>TrRoad_act!G114</f>
        <v>49648</v>
      </c>
      <c r="H33" s="110">
        <f>TrRoad_act!H114</f>
        <v>52651</v>
      </c>
      <c r="I33" s="110">
        <f>TrRoad_act!I114</f>
        <v>62305</v>
      </c>
      <c r="J33" s="110">
        <f>TrRoad_act!J114</f>
        <v>49206</v>
      </c>
      <c r="K33" s="110">
        <f>TrRoad_act!K114</f>
        <v>28350</v>
      </c>
      <c r="L33" s="110">
        <f>TrRoad_act!L114</f>
        <v>33993</v>
      </c>
      <c r="M33" s="110">
        <f>TrRoad_act!M114</f>
        <v>47694</v>
      </c>
      <c r="N33" s="110">
        <f>TrRoad_act!N114</f>
        <v>56390</v>
      </c>
      <c r="O33" s="110">
        <f>TrRoad_act!O114</f>
        <v>59122</v>
      </c>
      <c r="P33" s="110">
        <f>TrRoad_act!P114</f>
        <v>57260</v>
      </c>
      <c r="Q33" s="110">
        <f>TrRoad_act!Q114</f>
        <v>55682</v>
      </c>
      <c r="R33" s="110">
        <f>TrRoad_act!R114</f>
        <v>58983</v>
      </c>
      <c r="S33" s="110">
        <f>TrRoad_act!S114</f>
        <v>61590</v>
      </c>
      <c r="T33" s="110">
        <f>TrRoad_act!T114</f>
        <v>63769</v>
      </c>
      <c r="U33" s="110">
        <f>TrRoad_act!U114</f>
        <v>77119</v>
      </c>
      <c r="V33" s="110">
        <f>TrRoad_act!V114</f>
        <v>57960</v>
      </c>
      <c r="W33" s="110">
        <f>TrRoad_act!W114</f>
        <v>68488</v>
      </c>
      <c r="X33" s="110">
        <f>TrRoad_act!X114</f>
        <v>70707</v>
      </c>
      <c r="Y33" s="110">
        <f>TrRoad_act!Y114</f>
        <v>72241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22342</v>
      </c>
      <c r="C34" s="84">
        <f>TrRoad_act!C115</f>
        <v>23108</v>
      </c>
      <c r="D34" s="84">
        <f>TrRoad_act!D115</f>
        <v>24056</v>
      </c>
      <c r="E34" s="84">
        <f>TrRoad_act!E115</f>
        <v>37974</v>
      </c>
      <c r="F34" s="84">
        <f>TrRoad_act!F115</f>
        <v>36925</v>
      </c>
      <c r="G34" s="84">
        <f>TrRoad_act!G115</f>
        <v>32043</v>
      </c>
      <c r="H34" s="84">
        <f>TrRoad_act!H115</f>
        <v>34015</v>
      </c>
      <c r="I34" s="84">
        <f>TrRoad_act!I115</f>
        <v>35981</v>
      </c>
      <c r="J34" s="84">
        <f>TrRoad_act!J115</f>
        <v>32612</v>
      </c>
      <c r="K34" s="84">
        <f>TrRoad_act!K115</f>
        <v>20372</v>
      </c>
      <c r="L34" s="84">
        <f>TrRoad_act!L115</f>
        <v>20743</v>
      </c>
      <c r="M34" s="84">
        <f>TrRoad_act!M115</f>
        <v>25393</v>
      </c>
      <c r="N34" s="84">
        <f>TrRoad_act!N115</f>
        <v>26214</v>
      </c>
      <c r="O34" s="84">
        <f>TrRoad_act!O115</f>
        <v>27766</v>
      </c>
      <c r="P34" s="84">
        <f>TrRoad_act!P115</f>
        <v>27721</v>
      </c>
      <c r="Q34" s="84">
        <f>TrRoad_act!Q115</f>
        <v>28904</v>
      </c>
      <c r="R34" s="84">
        <f>TrRoad_act!R115</f>
        <v>32174</v>
      </c>
      <c r="S34" s="84">
        <f>TrRoad_act!S115</f>
        <v>35220</v>
      </c>
      <c r="T34" s="84">
        <f>TrRoad_act!T115</f>
        <v>35941</v>
      </c>
      <c r="U34" s="84">
        <f>TrRoad_act!U115</f>
        <v>38730</v>
      </c>
      <c r="V34" s="84">
        <f>TrRoad_act!V115</f>
        <v>30900</v>
      </c>
      <c r="W34" s="84">
        <f>TrRoad_act!W115</f>
        <v>36709</v>
      </c>
      <c r="X34" s="84">
        <f>TrRoad_act!X115</f>
        <v>36240</v>
      </c>
      <c r="Y34" s="84">
        <f>TrRoad_act!Y115</f>
        <v>39697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3365</v>
      </c>
      <c r="C35" s="84">
        <f>TrRoad_act!C116</f>
        <v>12340</v>
      </c>
      <c r="D35" s="84">
        <f>TrRoad_act!D116</f>
        <v>4702</v>
      </c>
      <c r="E35" s="84">
        <f>TrRoad_act!E116</f>
        <v>9661</v>
      </c>
      <c r="F35" s="84">
        <f>TrRoad_act!F116</f>
        <v>15707</v>
      </c>
      <c r="G35" s="84">
        <f>TrRoad_act!G116</f>
        <v>17390</v>
      </c>
      <c r="H35" s="84">
        <f>TrRoad_act!H116</f>
        <v>18275</v>
      </c>
      <c r="I35" s="84">
        <f>TrRoad_act!I116</f>
        <v>26324</v>
      </c>
      <c r="J35" s="84">
        <f>TrRoad_act!J116</f>
        <v>16293</v>
      </c>
      <c r="K35" s="84">
        <f>TrRoad_act!K116</f>
        <v>7759</v>
      </c>
      <c r="L35" s="84">
        <f>TrRoad_act!L116</f>
        <v>13247</v>
      </c>
      <c r="M35" s="84">
        <f>TrRoad_act!M116</f>
        <v>21878</v>
      </c>
      <c r="N35" s="84">
        <f>TrRoad_act!N116</f>
        <v>28819</v>
      </c>
      <c r="O35" s="84">
        <f>TrRoad_act!O116</f>
        <v>30656</v>
      </c>
      <c r="P35" s="84">
        <f>TrRoad_act!P116</f>
        <v>28393</v>
      </c>
      <c r="Q35" s="84">
        <f>TrRoad_act!Q116</f>
        <v>26271</v>
      </c>
      <c r="R35" s="84">
        <f>TrRoad_act!R116</f>
        <v>25530</v>
      </c>
      <c r="S35" s="84">
        <f>TrRoad_act!S116</f>
        <v>25046</v>
      </c>
      <c r="T35" s="84">
        <f>TrRoad_act!T116</f>
        <v>25568</v>
      </c>
      <c r="U35" s="84">
        <f>TrRoad_act!U116</f>
        <v>31342</v>
      </c>
      <c r="V35" s="84">
        <f>TrRoad_act!V116</f>
        <v>20134</v>
      </c>
      <c r="W35" s="84">
        <f>TrRoad_act!W116</f>
        <v>26306</v>
      </c>
      <c r="X35" s="84">
        <f>TrRoad_act!X116</f>
        <v>32647</v>
      </c>
      <c r="Y35" s="84">
        <f>TrRoad_act!Y116</f>
        <v>29643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30</v>
      </c>
      <c r="D36" s="84">
        <f>TrRoad_act!D117</f>
        <v>62</v>
      </c>
      <c r="E36" s="84">
        <f>TrRoad_act!E117</f>
        <v>131</v>
      </c>
      <c r="F36" s="84">
        <f>TrRoad_act!F117</f>
        <v>68</v>
      </c>
      <c r="G36" s="84">
        <f>TrRoad_act!G117</f>
        <v>215</v>
      </c>
      <c r="H36" s="84">
        <f>TrRoad_act!H117</f>
        <v>361</v>
      </c>
      <c r="I36" s="84">
        <f>TrRoad_act!I117</f>
        <v>0</v>
      </c>
      <c r="J36" s="84">
        <f>TrRoad_act!J117</f>
        <v>300</v>
      </c>
      <c r="K36" s="84">
        <f>TrRoad_act!K117</f>
        <v>219</v>
      </c>
      <c r="L36" s="84">
        <f>TrRoad_act!L117</f>
        <v>0</v>
      </c>
      <c r="M36" s="84">
        <f>TrRoad_act!M117</f>
        <v>362</v>
      </c>
      <c r="N36" s="84">
        <f>TrRoad_act!N117</f>
        <v>806</v>
      </c>
      <c r="O36" s="84">
        <f>TrRoad_act!O117</f>
        <v>467</v>
      </c>
      <c r="P36" s="84">
        <f>TrRoad_act!P117</f>
        <v>644</v>
      </c>
      <c r="Q36" s="84">
        <f>TrRoad_act!Q117</f>
        <v>300</v>
      </c>
      <c r="R36" s="84">
        <f>TrRoad_act!R117</f>
        <v>714</v>
      </c>
      <c r="S36" s="84">
        <f>TrRoad_act!S117</f>
        <v>868</v>
      </c>
      <c r="T36" s="84">
        <f>TrRoad_act!T117</f>
        <v>991</v>
      </c>
      <c r="U36" s="84">
        <f>TrRoad_act!U117</f>
        <v>1403</v>
      </c>
      <c r="V36" s="84">
        <f>TrRoad_act!V117</f>
        <v>624</v>
      </c>
      <c r="W36" s="84">
        <f>TrRoad_act!W117</f>
        <v>233</v>
      </c>
      <c r="X36" s="84">
        <f>TrRoad_act!X117</f>
        <v>261</v>
      </c>
      <c r="Y36" s="84">
        <f>TrRoad_act!Y117</f>
        <v>285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2</v>
      </c>
      <c r="M37" s="84">
        <f>TrRoad_act!M118</f>
        <v>5</v>
      </c>
      <c r="N37" s="84">
        <f>TrRoad_act!N118</f>
        <v>7</v>
      </c>
      <c r="O37" s="84">
        <f>TrRoad_act!O118</f>
        <v>103</v>
      </c>
      <c r="P37" s="84">
        <f>TrRoad_act!P118</f>
        <v>116</v>
      </c>
      <c r="Q37" s="84">
        <f>TrRoad_act!Q118</f>
        <v>153</v>
      </c>
      <c r="R37" s="84">
        <f>TrRoad_act!R118</f>
        <v>500</v>
      </c>
      <c r="S37" s="84">
        <f>TrRoad_act!S118</f>
        <v>402</v>
      </c>
      <c r="T37" s="84">
        <f>TrRoad_act!T118</f>
        <v>1107</v>
      </c>
      <c r="U37" s="84">
        <f>TrRoad_act!U118</f>
        <v>5398</v>
      </c>
      <c r="V37" s="84">
        <f>TrRoad_act!V118</f>
        <v>5816</v>
      </c>
      <c r="W37" s="84">
        <f>TrRoad_act!W118</f>
        <v>4175</v>
      </c>
      <c r="X37" s="84">
        <f>TrRoad_act!X118</f>
        <v>285</v>
      </c>
      <c r="Y37" s="84">
        <f>TrRoad_act!Y118</f>
        <v>66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26</v>
      </c>
      <c r="Q38" s="84">
        <f>TrRoad_act!Q119</f>
        <v>17</v>
      </c>
      <c r="R38" s="84">
        <f>TrRoad_act!R119</f>
        <v>16</v>
      </c>
      <c r="S38" s="84">
        <f>TrRoad_act!S119</f>
        <v>25</v>
      </c>
      <c r="T38" s="84">
        <f>TrRoad_act!T119</f>
        <v>51</v>
      </c>
      <c r="U38" s="84">
        <f>TrRoad_act!U119</f>
        <v>30</v>
      </c>
      <c r="V38" s="84">
        <f>TrRoad_act!V119</f>
        <v>126</v>
      </c>
      <c r="W38" s="84">
        <f>TrRoad_act!W119</f>
        <v>562</v>
      </c>
      <c r="X38" s="84">
        <f>TrRoad_act!X119</f>
        <v>530</v>
      </c>
      <c r="Y38" s="84">
        <f>TrRoad_act!Y119</f>
        <v>1092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</v>
      </c>
      <c r="K39" s="84">
        <f>TrRoad_act!K120</f>
        <v>0</v>
      </c>
      <c r="L39" s="84">
        <f>TrRoad_act!L120</f>
        <v>1</v>
      </c>
      <c r="M39" s="84">
        <f>TrRoad_act!M120</f>
        <v>56</v>
      </c>
      <c r="N39" s="84">
        <f>TrRoad_act!N120</f>
        <v>544</v>
      </c>
      <c r="O39" s="84">
        <f>TrRoad_act!O120</f>
        <v>130</v>
      </c>
      <c r="P39" s="84">
        <f>TrRoad_act!P120</f>
        <v>360</v>
      </c>
      <c r="Q39" s="84">
        <f>TrRoad_act!Q120</f>
        <v>37</v>
      </c>
      <c r="R39" s="84">
        <f>TrRoad_act!R120</f>
        <v>49</v>
      </c>
      <c r="S39" s="84">
        <f>TrRoad_act!S120</f>
        <v>29</v>
      </c>
      <c r="T39" s="84">
        <f>TrRoad_act!T120</f>
        <v>111</v>
      </c>
      <c r="U39" s="84">
        <f>TrRoad_act!U120</f>
        <v>216</v>
      </c>
      <c r="V39" s="84">
        <f>TrRoad_act!V120</f>
        <v>360</v>
      </c>
      <c r="W39" s="84">
        <f>TrRoad_act!W120</f>
        <v>503</v>
      </c>
      <c r="X39" s="84">
        <f>TrRoad_act!X120</f>
        <v>744</v>
      </c>
      <c r="Y39" s="84">
        <f>TrRoad_act!Y120</f>
        <v>1458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361</v>
      </c>
      <c r="C40" s="110">
        <f>TrRoad_act!C121</f>
        <v>419</v>
      </c>
      <c r="D40" s="110">
        <f>TrRoad_act!D121</f>
        <v>497</v>
      </c>
      <c r="E40" s="110">
        <f>TrRoad_act!E121</f>
        <v>651</v>
      </c>
      <c r="F40" s="110">
        <f>TrRoad_act!F121</f>
        <v>464</v>
      </c>
      <c r="G40" s="110">
        <f>TrRoad_act!G121</f>
        <v>678</v>
      </c>
      <c r="H40" s="110">
        <f>TrRoad_act!H121</f>
        <v>427</v>
      </c>
      <c r="I40" s="110">
        <f>TrRoad_act!I121</f>
        <v>240</v>
      </c>
      <c r="J40" s="110">
        <f>TrRoad_act!J121</f>
        <v>144</v>
      </c>
      <c r="K40" s="110">
        <f>TrRoad_act!K121</f>
        <v>117</v>
      </c>
      <c r="L40" s="110">
        <f>TrRoad_act!L121</f>
        <v>410</v>
      </c>
      <c r="M40" s="110">
        <f>TrRoad_act!M121</f>
        <v>302</v>
      </c>
      <c r="N40" s="110">
        <f>TrRoad_act!N121</f>
        <v>457</v>
      </c>
      <c r="O40" s="110">
        <f>TrRoad_act!O121</f>
        <v>489</v>
      </c>
      <c r="P40" s="110">
        <f>TrRoad_act!P121</f>
        <v>431</v>
      </c>
      <c r="Q40" s="110">
        <f>TrRoad_act!Q121</f>
        <v>472</v>
      </c>
      <c r="R40" s="110">
        <f>TrRoad_act!R121</f>
        <v>387</v>
      </c>
      <c r="S40" s="110">
        <f>TrRoad_act!S121</f>
        <v>463</v>
      </c>
      <c r="T40" s="110">
        <f>TrRoad_act!T121</f>
        <v>385</v>
      </c>
      <c r="U40" s="110">
        <f>TrRoad_act!U121</f>
        <v>560</v>
      </c>
      <c r="V40" s="110">
        <f>TrRoad_act!V121</f>
        <v>448</v>
      </c>
      <c r="W40" s="110">
        <f>TrRoad_act!W121</f>
        <v>451</v>
      </c>
      <c r="X40" s="110">
        <f>TrRoad_act!X121</f>
        <v>484</v>
      </c>
      <c r="Y40" s="110">
        <f>TrRoad_act!Y121</f>
        <v>257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1</v>
      </c>
      <c r="T41" s="102">
        <f>TrRoad_act!T122</f>
        <v>0</v>
      </c>
      <c r="U41" s="102">
        <f>TrRoad_act!U122</f>
        <v>7</v>
      </c>
      <c r="V41" s="102">
        <f>TrRoad_act!V122</f>
        <v>0</v>
      </c>
      <c r="W41" s="102">
        <f>TrRoad_act!W122</f>
        <v>1</v>
      </c>
      <c r="X41" s="102">
        <f>TrRoad_act!X122</f>
        <v>1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361</v>
      </c>
      <c r="C42" s="102">
        <f>TrRoad_act!C123</f>
        <v>419</v>
      </c>
      <c r="D42" s="102">
        <f>TrRoad_act!D123</f>
        <v>497</v>
      </c>
      <c r="E42" s="102">
        <f>TrRoad_act!E123</f>
        <v>651</v>
      </c>
      <c r="F42" s="102">
        <f>TrRoad_act!F123</f>
        <v>464</v>
      </c>
      <c r="G42" s="102">
        <f>TrRoad_act!G123</f>
        <v>678</v>
      </c>
      <c r="H42" s="102">
        <f>TrRoad_act!H123</f>
        <v>427</v>
      </c>
      <c r="I42" s="102">
        <f>TrRoad_act!I123</f>
        <v>240</v>
      </c>
      <c r="J42" s="102">
        <f>TrRoad_act!J123</f>
        <v>144</v>
      </c>
      <c r="K42" s="102">
        <f>TrRoad_act!K123</f>
        <v>117</v>
      </c>
      <c r="L42" s="102">
        <f>TrRoad_act!L123</f>
        <v>294</v>
      </c>
      <c r="M42" s="102">
        <f>TrRoad_act!M123</f>
        <v>297</v>
      </c>
      <c r="N42" s="102">
        <f>TrRoad_act!N123</f>
        <v>456</v>
      </c>
      <c r="O42" s="102">
        <f>TrRoad_act!O123</f>
        <v>467</v>
      </c>
      <c r="P42" s="102">
        <f>TrRoad_act!P123</f>
        <v>401</v>
      </c>
      <c r="Q42" s="102">
        <f>TrRoad_act!Q123</f>
        <v>432</v>
      </c>
      <c r="R42" s="102">
        <f>TrRoad_act!R123</f>
        <v>343</v>
      </c>
      <c r="S42" s="102">
        <f>TrRoad_act!S123</f>
        <v>401</v>
      </c>
      <c r="T42" s="102">
        <f>TrRoad_act!T123</f>
        <v>379</v>
      </c>
      <c r="U42" s="102">
        <f>TrRoad_act!U123</f>
        <v>477</v>
      </c>
      <c r="V42" s="102">
        <f>TrRoad_act!V123</f>
        <v>327</v>
      </c>
      <c r="W42" s="102">
        <f>TrRoad_act!W123</f>
        <v>305</v>
      </c>
      <c r="X42" s="102">
        <f>TrRoad_act!X123</f>
        <v>225</v>
      </c>
      <c r="Y42" s="102">
        <f>TrRoad_act!Y123</f>
        <v>245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1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2</v>
      </c>
      <c r="M44" s="102">
        <f>TrRoad_act!M125</f>
        <v>5</v>
      </c>
      <c r="N44" s="102">
        <f>TrRoad_act!N125</f>
        <v>1</v>
      </c>
      <c r="O44" s="102">
        <f>TrRoad_act!O125</f>
        <v>22</v>
      </c>
      <c r="P44" s="102">
        <f>TrRoad_act!P125</f>
        <v>30</v>
      </c>
      <c r="Q44" s="102">
        <f>TrRoad_act!Q125</f>
        <v>40</v>
      </c>
      <c r="R44" s="102">
        <f>TrRoad_act!R125</f>
        <v>44</v>
      </c>
      <c r="S44" s="102">
        <f>TrRoad_act!S125</f>
        <v>61</v>
      </c>
      <c r="T44" s="102">
        <f>TrRoad_act!T125</f>
        <v>5</v>
      </c>
      <c r="U44" s="102">
        <f>TrRoad_act!U125</f>
        <v>76</v>
      </c>
      <c r="V44" s="102">
        <f>TrRoad_act!V125</f>
        <v>121</v>
      </c>
      <c r="W44" s="102">
        <f>TrRoad_act!W125</f>
        <v>143</v>
      </c>
      <c r="X44" s="102">
        <f>TrRoad_act!X125</f>
        <v>258</v>
      </c>
      <c r="Y44" s="102">
        <f>TrRoad_act!Y125</f>
        <v>12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114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0</v>
      </c>
      <c r="W45" s="102">
        <f>TrRoad_act!W126</f>
        <v>2</v>
      </c>
      <c r="X45" s="102">
        <f>TrRoad_act!X126</f>
        <v>0</v>
      </c>
      <c r="Y45" s="102">
        <f>TrRoad_act!Y126</f>
        <v>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1617</v>
      </c>
      <c r="C46" s="28">
        <f>TrRoad_act!C127</f>
        <v>1828</v>
      </c>
      <c r="D46" s="28">
        <f>TrRoad_act!D127</f>
        <v>3735</v>
      </c>
      <c r="E46" s="28">
        <f>TrRoad_act!E127</f>
        <v>6288</v>
      </c>
      <c r="F46" s="28">
        <f>TrRoad_act!F127</f>
        <v>3825</v>
      </c>
      <c r="G46" s="28">
        <f>TrRoad_act!G127</f>
        <v>3588</v>
      </c>
      <c r="H46" s="28">
        <f>TrRoad_act!H127</f>
        <v>4962</v>
      </c>
      <c r="I46" s="28">
        <f>TrRoad_act!I127</f>
        <v>5996</v>
      </c>
      <c r="J46" s="28">
        <f>TrRoad_act!J127</f>
        <v>6575</v>
      </c>
      <c r="K46" s="28">
        <f>TrRoad_act!K127</f>
        <v>5134</v>
      </c>
      <c r="L46" s="28">
        <f>TrRoad_act!L127</f>
        <v>5288</v>
      </c>
      <c r="M46" s="28">
        <f>TrRoad_act!M127</f>
        <v>7095</v>
      </c>
      <c r="N46" s="28">
        <f>TrRoad_act!N127</f>
        <v>7650</v>
      </c>
      <c r="O46" s="28">
        <f>TrRoad_act!O127</f>
        <v>8799</v>
      </c>
      <c r="P46" s="28">
        <f>TrRoad_act!P127</f>
        <v>9117</v>
      </c>
      <c r="Q46" s="28">
        <f>TrRoad_act!Q127</f>
        <v>9747</v>
      </c>
      <c r="R46" s="28">
        <f>TrRoad_act!R127</f>
        <v>10762</v>
      </c>
      <c r="S46" s="28">
        <f>TrRoad_act!S127</f>
        <v>11141</v>
      </c>
      <c r="T46" s="28">
        <f>TrRoad_act!T127</f>
        <v>11703</v>
      </c>
      <c r="U46" s="28">
        <f>TrRoad_act!U127</f>
        <v>14349</v>
      </c>
      <c r="V46" s="28">
        <f>TrRoad_act!V127</f>
        <v>10539</v>
      </c>
      <c r="W46" s="28">
        <f>TrRoad_act!W127</f>
        <v>10633</v>
      </c>
      <c r="X46" s="28">
        <f>TrRoad_act!X127</f>
        <v>11236</v>
      </c>
      <c r="Y46" s="28">
        <f>TrRoad_act!Y127</f>
        <v>10709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1302</v>
      </c>
      <c r="C47" s="137">
        <f>TrRoad_act!C128</f>
        <v>1513</v>
      </c>
      <c r="D47" s="137">
        <f>TrRoad_act!D128</f>
        <v>1742</v>
      </c>
      <c r="E47" s="137">
        <f>TrRoad_act!E128</f>
        <v>2195</v>
      </c>
      <c r="F47" s="137">
        <f>TrRoad_act!F128</f>
        <v>2242</v>
      </c>
      <c r="G47" s="137">
        <f>TrRoad_act!G128</f>
        <v>2630</v>
      </c>
      <c r="H47" s="137">
        <f>TrRoad_act!H128</f>
        <v>3369</v>
      </c>
      <c r="I47" s="137">
        <f>TrRoad_act!I128</f>
        <v>4215</v>
      </c>
      <c r="J47" s="137">
        <f>TrRoad_act!J128</f>
        <v>5333</v>
      </c>
      <c r="K47" s="137">
        <f>TrRoad_act!K128</f>
        <v>4878</v>
      </c>
      <c r="L47" s="137">
        <f>TrRoad_act!L128</f>
        <v>5084</v>
      </c>
      <c r="M47" s="137">
        <f>TrRoad_act!M128</f>
        <v>6136</v>
      </c>
      <c r="N47" s="137">
        <f>TrRoad_act!N128</f>
        <v>6840</v>
      </c>
      <c r="O47" s="137">
        <f>TrRoad_act!O128</f>
        <v>8445</v>
      </c>
      <c r="P47" s="137">
        <f>TrRoad_act!P128</f>
        <v>7701</v>
      </c>
      <c r="Q47" s="137">
        <f>TrRoad_act!Q128</f>
        <v>8288</v>
      </c>
      <c r="R47" s="137">
        <f>TrRoad_act!R128</f>
        <v>8991</v>
      </c>
      <c r="S47" s="137">
        <f>TrRoad_act!S128</f>
        <v>9441</v>
      </c>
      <c r="T47" s="137">
        <f>TrRoad_act!T128</f>
        <v>10085</v>
      </c>
      <c r="U47" s="137">
        <f>TrRoad_act!U128</f>
        <v>11457</v>
      </c>
      <c r="V47" s="137">
        <f>TrRoad_act!V128</f>
        <v>9111</v>
      </c>
      <c r="W47" s="137">
        <f>TrRoad_act!W128</f>
        <v>9301</v>
      </c>
      <c r="X47" s="137">
        <f>TrRoad_act!X128</f>
        <v>9621</v>
      </c>
      <c r="Y47" s="137">
        <f>TrRoad_act!Y128</f>
        <v>9505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286</v>
      </c>
      <c r="C48" s="84">
        <f>TrRoad_act!C129</f>
        <v>513</v>
      </c>
      <c r="D48" s="84">
        <f>TrRoad_act!D129</f>
        <v>563</v>
      </c>
      <c r="E48" s="84">
        <f>TrRoad_act!E129</f>
        <v>480</v>
      </c>
      <c r="F48" s="84">
        <f>TrRoad_act!F129</f>
        <v>599</v>
      </c>
      <c r="G48" s="84">
        <f>TrRoad_act!G129</f>
        <v>734</v>
      </c>
      <c r="H48" s="84">
        <f>TrRoad_act!H129</f>
        <v>707</v>
      </c>
      <c r="I48" s="84">
        <f>TrRoad_act!I129</f>
        <v>662</v>
      </c>
      <c r="J48" s="84">
        <f>TrRoad_act!J129</f>
        <v>1849</v>
      </c>
      <c r="K48" s="84">
        <f>TrRoad_act!K129</f>
        <v>1452</v>
      </c>
      <c r="L48" s="84">
        <f>TrRoad_act!L129</f>
        <v>1070</v>
      </c>
      <c r="M48" s="84">
        <f>TrRoad_act!M129</f>
        <v>1222</v>
      </c>
      <c r="N48" s="84">
        <f>TrRoad_act!N129</f>
        <v>1108</v>
      </c>
      <c r="O48" s="84">
        <f>TrRoad_act!O129</f>
        <v>707</v>
      </c>
      <c r="P48" s="84">
        <f>TrRoad_act!P129</f>
        <v>936</v>
      </c>
      <c r="Q48" s="84">
        <f>TrRoad_act!Q129</f>
        <v>1174</v>
      </c>
      <c r="R48" s="84">
        <f>TrRoad_act!R129</f>
        <v>1233</v>
      </c>
      <c r="S48" s="84">
        <f>TrRoad_act!S129</f>
        <v>1214</v>
      </c>
      <c r="T48" s="84">
        <f>TrRoad_act!T129</f>
        <v>1258</v>
      </c>
      <c r="U48" s="84">
        <f>TrRoad_act!U129</f>
        <v>1492</v>
      </c>
      <c r="V48" s="84">
        <f>TrRoad_act!V129</f>
        <v>1159</v>
      </c>
      <c r="W48" s="84">
        <f>TrRoad_act!W129</f>
        <v>941</v>
      </c>
      <c r="X48" s="84">
        <f>TrRoad_act!X129</f>
        <v>926</v>
      </c>
      <c r="Y48" s="84">
        <f>TrRoad_act!Y129</f>
        <v>1012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1016</v>
      </c>
      <c r="C49" s="84">
        <f>TrRoad_act!C130</f>
        <v>1000</v>
      </c>
      <c r="D49" s="84">
        <f>TrRoad_act!D130</f>
        <v>1179</v>
      </c>
      <c r="E49" s="84">
        <f>TrRoad_act!E130</f>
        <v>1715</v>
      </c>
      <c r="F49" s="84">
        <f>TrRoad_act!F130</f>
        <v>1643</v>
      </c>
      <c r="G49" s="84">
        <f>TrRoad_act!G130</f>
        <v>1896</v>
      </c>
      <c r="H49" s="84">
        <f>TrRoad_act!H130</f>
        <v>2662</v>
      </c>
      <c r="I49" s="84">
        <f>TrRoad_act!I130</f>
        <v>3551</v>
      </c>
      <c r="J49" s="84">
        <f>TrRoad_act!J130</f>
        <v>3484</v>
      </c>
      <c r="K49" s="84">
        <f>TrRoad_act!K130</f>
        <v>3426</v>
      </c>
      <c r="L49" s="84">
        <f>TrRoad_act!L130</f>
        <v>4014</v>
      </c>
      <c r="M49" s="84">
        <f>TrRoad_act!M130</f>
        <v>4914</v>
      </c>
      <c r="N49" s="84">
        <f>TrRoad_act!N130</f>
        <v>5730</v>
      </c>
      <c r="O49" s="84">
        <f>TrRoad_act!O130</f>
        <v>7687</v>
      </c>
      <c r="P49" s="84">
        <f>TrRoad_act!P130</f>
        <v>6745</v>
      </c>
      <c r="Q49" s="84">
        <f>TrRoad_act!Q130</f>
        <v>7086</v>
      </c>
      <c r="R49" s="84">
        <f>TrRoad_act!R130</f>
        <v>7744</v>
      </c>
      <c r="S49" s="84">
        <f>TrRoad_act!S130</f>
        <v>8129</v>
      </c>
      <c r="T49" s="84">
        <f>TrRoad_act!T130</f>
        <v>8771</v>
      </c>
      <c r="U49" s="84">
        <f>TrRoad_act!U130</f>
        <v>9906</v>
      </c>
      <c r="V49" s="84">
        <f>TrRoad_act!V130</f>
        <v>7854</v>
      </c>
      <c r="W49" s="84">
        <f>TrRoad_act!W130</f>
        <v>8344</v>
      </c>
      <c r="X49" s="84">
        <f>TrRoad_act!X130</f>
        <v>8613</v>
      </c>
      <c r="Y49" s="84">
        <f>TrRoad_act!Y130</f>
        <v>8358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1</v>
      </c>
      <c r="S50" s="84">
        <f>TrRoad_act!S131</f>
        <v>12</v>
      </c>
      <c r="T50" s="84">
        <f>TrRoad_act!T131</f>
        <v>4</v>
      </c>
      <c r="U50" s="84">
        <f>TrRoad_act!U131</f>
        <v>5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13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1</v>
      </c>
      <c r="O51" s="84">
        <f>TrRoad_act!O132</f>
        <v>47</v>
      </c>
      <c r="P51" s="84">
        <f>TrRoad_act!P132</f>
        <v>13</v>
      </c>
      <c r="Q51" s="84">
        <f>TrRoad_act!Q132</f>
        <v>26</v>
      </c>
      <c r="R51" s="84">
        <f>TrRoad_act!R132</f>
        <v>0</v>
      </c>
      <c r="S51" s="84">
        <f>TrRoad_act!S132</f>
        <v>85</v>
      </c>
      <c r="T51" s="84">
        <f>TrRoad_act!T132</f>
        <v>51</v>
      </c>
      <c r="U51" s="84">
        <f>TrRoad_act!U132</f>
        <v>51</v>
      </c>
      <c r="V51" s="84">
        <f>TrRoad_act!V132</f>
        <v>82</v>
      </c>
      <c r="W51" s="84">
        <f>TrRoad_act!W132</f>
        <v>2</v>
      </c>
      <c r="X51" s="84">
        <f>TrRoad_act!X132</f>
        <v>3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2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1</v>
      </c>
      <c r="O52" s="84">
        <f>TrRoad_act!O133</f>
        <v>4</v>
      </c>
      <c r="P52" s="84">
        <f>TrRoad_act!P133</f>
        <v>7</v>
      </c>
      <c r="Q52" s="84">
        <f>TrRoad_act!Q133</f>
        <v>2</v>
      </c>
      <c r="R52" s="84">
        <f>TrRoad_act!R133</f>
        <v>13</v>
      </c>
      <c r="S52" s="84">
        <f>TrRoad_act!S133</f>
        <v>1</v>
      </c>
      <c r="T52" s="84">
        <f>TrRoad_act!T133</f>
        <v>1</v>
      </c>
      <c r="U52" s="84">
        <f>TrRoad_act!U133</f>
        <v>3</v>
      </c>
      <c r="V52" s="84">
        <f>TrRoad_act!V133</f>
        <v>16</v>
      </c>
      <c r="W52" s="84">
        <f>TrRoad_act!W133</f>
        <v>14</v>
      </c>
      <c r="X52" s="84">
        <f>TrRoad_act!X133</f>
        <v>79</v>
      </c>
      <c r="Y52" s="84">
        <f>TrRoad_act!Y133</f>
        <v>122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315</v>
      </c>
      <c r="C53" s="110">
        <f>TrRoad_act!C134</f>
        <v>315</v>
      </c>
      <c r="D53" s="110">
        <f>TrRoad_act!D134</f>
        <v>1993</v>
      </c>
      <c r="E53" s="110">
        <f>TrRoad_act!E134</f>
        <v>4093</v>
      </c>
      <c r="F53" s="110">
        <f>TrRoad_act!F134</f>
        <v>1583</v>
      </c>
      <c r="G53" s="110">
        <f>TrRoad_act!G134</f>
        <v>958</v>
      </c>
      <c r="H53" s="110">
        <f>TrRoad_act!H134</f>
        <v>1593</v>
      </c>
      <c r="I53" s="110">
        <f>TrRoad_act!I134</f>
        <v>1781</v>
      </c>
      <c r="J53" s="110">
        <f>TrRoad_act!J134</f>
        <v>1242</v>
      </c>
      <c r="K53" s="110">
        <f>TrRoad_act!K134</f>
        <v>256</v>
      </c>
      <c r="L53" s="110">
        <f>TrRoad_act!L134</f>
        <v>204</v>
      </c>
      <c r="M53" s="110">
        <f>TrRoad_act!M134</f>
        <v>959</v>
      </c>
      <c r="N53" s="110">
        <f>TrRoad_act!N134</f>
        <v>810</v>
      </c>
      <c r="O53" s="110">
        <f>TrRoad_act!O134</f>
        <v>354</v>
      </c>
      <c r="P53" s="110">
        <f>TrRoad_act!P134</f>
        <v>1416</v>
      </c>
      <c r="Q53" s="110">
        <f>TrRoad_act!Q134</f>
        <v>1459</v>
      </c>
      <c r="R53" s="110">
        <f>TrRoad_act!R134</f>
        <v>1771</v>
      </c>
      <c r="S53" s="110">
        <f>TrRoad_act!S134</f>
        <v>1700</v>
      </c>
      <c r="T53" s="110">
        <f>TrRoad_act!T134</f>
        <v>1618</v>
      </c>
      <c r="U53" s="110">
        <f>TrRoad_act!U134</f>
        <v>2892</v>
      </c>
      <c r="V53" s="110">
        <f>TrRoad_act!V134</f>
        <v>1428</v>
      </c>
      <c r="W53" s="110">
        <f>TrRoad_act!W134</f>
        <v>1332</v>
      </c>
      <c r="X53" s="110">
        <f>TrRoad_act!X134</f>
        <v>1615</v>
      </c>
      <c r="Y53" s="110">
        <f>TrRoad_act!Y134</f>
        <v>1204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266</v>
      </c>
      <c r="C54" s="102">
        <f>TrRoad_act!C135</f>
        <v>257</v>
      </c>
      <c r="D54" s="102">
        <f>TrRoad_act!D135</f>
        <v>1940</v>
      </c>
      <c r="E54" s="102">
        <f>TrRoad_act!E135</f>
        <v>4050</v>
      </c>
      <c r="F54" s="102">
        <f>TrRoad_act!F135</f>
        <v>1445</v>
      </c>
      <c r="G54" s="102">
        <f>TrRoad_act!G135</f>
        <v>894</v>
      </c>
      <c r="H54" s="102">
        <f>TrRoad_act!H135</f>
        <v>1496</v>
      </c>
      <c r="I54" s="102">
        <f>TrRoad_act!I135</f>
        <v>1647</v>
      </c>
      <c r="J54" s="102">
        <f>TrRoad_act!J135</f>
        <v>1222</v>
      </c>
      <c r="K54" s="102">
        <f>TrRoad_act!K135</f>
        <v>256</v>
      </c>
      <c r="L54" s="102">
        <f>TrRoad_act!L135</f>
        <v>152</v>
      </c>
      <c r="M54" s="102">
        <f>TrRoad_act!M135</f>
        <v>790</v>
      </c>
      <c r="N54" s="102">
        <f>TrRoad_act!N135</f>
        <v>745</v>
      </c>
      <c r="O54" s="102">
        <f>TrRoad_act!O135</f>
        <v>166</v>
      </c>
      <c r="P54" s="102">
        <f>TrRoad_act!P135</f>
        <v>1358</v>
      </c>
      <c r="Q54" s="102">
        <f>TrRoad_act!Q135</f>
        <v>1212</v>
      </c>
      <c r="R54" s="102">
        <f>TrRoad_act!R135</f>
        <v>1691</v>
      </c>
      <c r="S54" s="102">
        <f>TrRoad_act!S135</f>
        <v>1670</v>
      </c>
      <c r="T54" s="102">
        <f>TrRoad_act!T135</f>
        <v>1515</v>
      </c>
      <c r="U54" s="102">
        <f>TrRoad_act!U135</f>
        <v>2857</v>
      </c>
      <c r="V54" s="102">
        <f>TrRoad_act!V135</f>
        <v>1152</v>
      </c>
      <c r="W54" s="102">
        <f>TrRoad_act!W135</f>
        <v>1332</v>
      </c>
      <c r="X54" s="102">
        <f>TrRoad_act!X135</f>
        <v>1309</v>
      </c>
      <c r="Y54" s="102">
        <f>TrRoad_act!Y135</f>
        <v>1204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49</v>
      </c>
      <c r="C55" s="86">
        <f>TrRoad_act!C136</f>
        <v>58</v>
      </c>
      <c r="D55" s="86">
        <f>TrRoad_act!D136</f>
        <v>53</v>
      </c>
      <c r="E55" s="86">
        <f>TrRoad_act!E136</f>
        <v>43</v>
      </c>
      <c r="F55" s="86">
        <f>TrRoad_act!F136</f>
        <v>138</v>
      </c>
      <c r="G55" s="86">
        <f>TrRoad_act!G136</f>
        <v>64</v>
      </c>
      <c r="H55" s="86">
        <f>TrRoad_act!H136</f>
        <v>97</v>
      </c>
      <c r="I55" s="86">
        <f>TrRoad_act!I136</f>
        <v>134</v>
      </c>
      <c r="J55" s="86">
        <f>TrRoad_act!J136</f>
        <v>20</v>
      </c>
      <c r="K55" s="86">
        <f>TrRoad_act!K136</f>
        <v>0</v>
      </c>
      <c r="L55" s="86">
        <f>TrRoad_act!L136</f>
        <v>52</v>
      </c>
      <c r="M55" s="86">
        <f>TrRoad_act!M136</f>
        <v>169</v>
      </c>
      <c r="N55" s="86">
        <f>TrRoad_act!N136</f>
        <v>65</v>
      </c>
      <c r="O55" s="86">
        <f>TrRoad_act!O136</f>
        <v>188</v>
      </c>
      <c r="P55" s="86">
        <f>TrRoad_act!P136</f>
        <v>58</v>
      </c>
      <c r="Q55" s="86">
        <f>TrRoad_act!Q136</f>
        <v>247</v>
      </c>
      <c r="R55" s="86">
        <f>TrRoad_act!R136</f>
        <v>80</v>
      </c>
      <c r="S55" s="86">
        <f>TrRoad_act!S136</f>
        <v>30</v>
      </c>
      <c r="T55" s="86">
        <f>TrRoad_act!T136</f>
        <v>103</v>
      </c>
      <c r="U55" s="86">
        <f>TrRoad_act!U136</f>
        <v>35</v>
      </c>
      <c r="V55" s="86">
        <f>TrRoad_act!V136</f>
        <v>276</v>
      </c>
      <c r="W55" s="86">
        <f>TrRoad_act!W136</f>
        <v>0</v>
      </c>
      <c r="X55" s="86">
        <f>TrRoad_act!X136</f>
        <v>306</v>
      </c>
      <c r="Y55" s="86">
        <f>TrRoad_act!Y136</f>
        <v>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426</v>
      </c>
      <c r="C59" s="54">
        <f t="shared" si="0"/>
        <v>47</v>
      </c>
      <c r="D59" s="54">
        <f t="shared" si="0"/>
        <v>237</v>
      </c>
      <c r="E59" s="54">
        <f t="shared" si="0"/>
        <v>438</v>
      </c>
      <c r="F59" s="54">
        <f t="shared" si="0"/>
        <v>625</v>
      </c>
      <c r="G59" s="54">
        <f t="shared" si="0"/>
        <v>4516</v>
      </c>
      <c r="H59" s="54">
        <f t="shared" si="0"/>
        <v>15116</v>
      </c>
      <c r="I59" s="54">
        <f t="shared" si="0"/>
        <v>28062</v>
      </c>
      <c r="J59" s="54">
        <f t="shared" si="0"/>
        <v>28989</v>
      </c>
      <c r="K59" s="54">
        <f t="shared" si="0"/>
        <v>20065</v>
      </c>
      <c r="L59" s="54">
        <f t="shared" ref="L59" si="1">L60+L75</f>
        <v>26731</v>
      </c>
      <c r="M59" s="54">
        <f t="shared" ref="M59:V59" si="2">M60+M75</f>
        <v>43081</v>
      </c>
      <c r="N59" s="54">
        <f t="shared" si="2"/>
        <v>62144</v>
      </c>
      <c r="O59" s="54">
        <f t="shared" si="2"/>
        <v>60918</v>
      </c>
      <c r="P59" s="54">
        <f t="shared" si="2"/>
        <v>63236</v>
      </c>
      <c r="Q59" s="54">
        <f t="shared" si="2"/>
        <v>64534</v>
      </c>
      <c r="R59" s="54">
        <f t="shared" si="2"/>
        <v>70364</v>
      </c>
      <c r="S59" s="54">
        <f t="shared" si="2"/>
        <v>74571</v>
      </c>
      <c r="T59" s="54">
        <f t="shared" si="2"/>
        <v>77755</v>
      </c>
      <c r="U59" s="54">
        <f t="shared" si="2"/>
        <v>94889</v>
      </c>
      <c r="V59" s="54">
        <f t="shared" si="2"/>
        <v>72744</v>
      </c>
      <c r="W59" s="54">
        <f t="shared" ref="W59:Y59" si="3">W60+W75</f>
        <v>83876</v>
      </c>
      <c r="X59" s="54">
        <f t="shared" si="3"/>
        <v>87095</v>
      </c>
      <c r="Y59" s="54">
        <f t="shared" si="3"/>
        <v>87508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426</v>
      </c>
      <c r="C60" s="28">
        <f t="shared" si="4"/>
        <v>47</v>
      </c>
      <c r="D60" s="28">
        <f t="shared" si="4"/>
        <v>237</v>
      </c>
      <c r="E60" s="28">
        <f t="shared" si="4"/>
        <v>438</v>
      </c>
      <c r="F60" s="28">
        <f t="shared" si="4"/>
        <v>625</v>
      </c>
      <c r="G60" s="28">
        <f t="shared" si="4"/>
        <v>4516</v>
      </c>
      <c r="H60" s="28">
        <f t="shared" si="4"/>
        <v>14949</v>
      </c>
      <c r="I60" s="28">
        <f t="shared" si="4"/>
        <v>26995</v>
      </c>
      <c r="J60" s="28">
        <f t="shared" si="4"/>
        <v>27239</v>
      </c>
      <c r="K60" s="28">
        <f t="shared" si="4"/>
        <v>17931</v>
      </c>
      <c r="L60" s="28">
        <f t="shared" ref="L60" si="5">L61+L62+L69</f>
        <v>24140</v>
      </c>
      <c r="M60" s="28">
        <f t="shared" ref="M60:V60" si="6">M61+M62+M69</f>
        <v>38832</v>
      </c>
      <c r="N60" s="28">
        <f t="shared" si="6"/>
        <v>57071</v>
      </c>
      <c r="O60" s="28">
        <f t="shared" si="6"/>
        <v>54682</v>
      </c>
      <c r="P60" s="28">
        <f t="shared" si="6"/>
        <v>55957</v>
      </c>
      <c r="Q60" s="28">
        <f t="shared" si="6"/>
        <v>56304</v>
      </c>
      <c r="R60" s="28">
        <f t="shared" si="6"/>
        <v>60765</v>
      </c>
      <c r="S60" s="28">
        <f t="shared" si="6"/>
        <v>64236</v>
      </c>
      <c r="T60" s="28">
        <f t="shared" si="6"/>
        <v>66600</v>
      </c>
      <c r="U60" s="28">
        <f t="shared" si="6"/>
        <v>80880</v>
      </c>
      <c r="V60" s="28">
        <f t="shared" si="6"/>
        <v>62371</v>
      </c>
      <c r="W60" s="28">
        <f t="shared" ref="W60:Y60" si="7">W61+W62+W69</f>
        <v>73287</v>
      </c>
      <c r="X60" s="28">
        <f t="shared" si="7"/>
        <v>75924</v>
      </c>
      <c r="Y60" s="28">
        <f t="shared" si="7"/>
        <v>76799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43</v>
      </c>
      <c r="D61" s="137">
        <v>231</v>
      </c>
      <c r="E61" s="137">
        <v>427</v>
      </c>
      <c r="F61" s="137">
        <v>618</v>
      </c>
      <c r="G61" s="137">
        <v>795</v>
      </c>
      <c r="H61" s="137">
        <v>1745</v>
      </c>
      <c r="I61" s="137">
        <v>1797</v>
      </c>
      <c r="J61" s="137">
        <v>2490</v>
      </c>
      <c r="K61" s="137">
        <v>1070</v>
      </c>
      <c r="L61" s="137">
        <v>1234</v>
      </c>
      <c r="M61" s="137">
        <v>3504</v>
      </c>
      <c r="N61" s="137">
        <v>11679</v>
      </c>
      <c r="O61" s="137">
        <v>3805</v>
      </c>
      <c r="P61" s="137">
        <v>4096</v>
      </c>
      <c r="Q61" s="137">
        <v>3818</v>
      </c>
      <c r="R61" s="137">
        <v>4018</v>
      </c>
      <c r="S61" s="137">
        <v>3707</v>
      </c>
      <c r="T61" s="137">
        <v>3683</v>
      </c>
      <c r="U61" s="137">
        <v>3939</v>
      </c>
      <c r="V61" s="137">
        <v>4151</v>
      </c>
      <c r="W61" s="137">
        <v>4369</v>
      </c>
      <c r="X61" s="137">
        <v>4734</v>
      </c>
      <c r="Y61" s="137">
        <v>4301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225</v>
      </c>
      <c r="C62" s="110">
        <f t="shared" si="8"/>
        <v>4</v>
      </c>
      <c r="D62" s="110">
        <f t="shared" si="8"/>
        <v>6</v>
      </c>
      <c r="E62" s="110">
        <f t="shared" si="8"/>
        <v>11</v>
      </c>
      <c r="F62" s="110">
        <f t="shared" si="8"/>
        <v>7</v>
      </c>
      <c r="G62" s="110">
        <f t="shared" si="8"/>
        <v>3721</v>
      </c>
      <c r="H62" s="110">
        <f t="shared" si="8"/>
        <v>13181</v>
      </c>
      <c r="I62" s="110">
        <f t="shared" si="8"/>
        <v>25158</v>
      </c>
      <c r="J62" s="110">
        <f t="shared" si="8"/>
        <v>24714</v>
      </c>
      <c r="K62" s="110">
        <f t="shared" si="8"/>
        <v>16823</v>
      </c>
      <c r="L62" s="110">
        <f t="shared" ref="L62" si="9">SUM(L63:L68)</f>
        <v>22736</v>
      </c>
      <c r="M62" s="110">
        <f t="shared" ref="M62:V62" si="10">SUM(M63:M68)</f>
        <v>35178</v>
      </c>
      <c r="N62" s="110">
        <f t="shared" si="10"/>
        <v>45121</v>
      </c>
      <c r="O62" s="110">
        <f t="shared" si="10"/>
        <v>50560</v>
      </c>
      <c r="P62" s="110">
        <f t="shared" si="10"/>
        <v>51558</v>
      </c>
      <c r="Q62" s="110">
        <f t="shared" si="10"/>
        <v>52129</v>
      </c>
      <c r="R62" s="110">
        <f t="shared" si="10"/>
        <v>56413</v>
      </c>
      <c r="S62" s="110">
        <f t="shared" si="10"/>
        <v>60101</v>
      </c>
      <c r="T62" s="110">
        <f t="shared" si="10"/>
        <v>62546</v>
      </c>
      <c r="U62" s="110">
        <f t="shared" si="10"/>
        <v>76392</v>
      </c>
      <c r="V62" s="110">
        <f t="shared" si="10"/>
        <v>57775</v>
      </c>
      <c r="W62" s="110">
        <f t="shared" ref="W62:Y62" si="11">SUM(W63:W68)</f>
        <v>68468</v>
      </c>
      <c r="X62" s="110">
        <f t="shared" si="11"/>
        <v>70707</v>
      </c>
      <c r="Y62" s="110">
        <f t="shared" si="11"/>
        <v>72241</v>
      </c>
      <c r="DA62" s="176" t="s">
        <v>841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3692</v>
      </c>
      <c r="H63" s="84">
        <v>11920</v>
      </c>
      <c r="I63" s="84">
        <v>15868</v>
      </c>
      <c r="J63" s="84">
        <v>17273</v>
      </c>
      <c r="K63" s="84">
        <v>12507</v>
      </c>
      <c r="L63" s="84">
        <v>14351</v>
      </c>
      <c r="M63" s="84">
        <v>19339</v>
      </c>
      <c r="N63" s="84">
        <v>21555</v>
      </c>
      <c r="O63" s="84">
        <v>24246</v>
      </c>
      <c r="P63" s="84">
        <v>25349</v>
      </c>
      <c r="Q63" s="84">
        <v>27346</v>
      </c>
      <c r="R63" s="84">
        <v>31179</v>
      </c>
      <c r="S63" s="84">
        <v>34674</v>
      </c>
      <c r="T63" s="84">
        <v>35720</v>
      </c>
      <c r="U63" s="84">
        <v>38655</v>
      </c>
      <c r="V63" s="84">
        <v>30882</v>
      </c>
      <c r="W63" s="84">
        <v>36705</v>
      </c>
      <c r="X63" s="84">
        <v>36240</v>
      </c>
      <c r="Y63" s="84">
        <v>39697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1194</v>
      </c>
      <c r="I64" s="84">
        <v>9290</v>
      </c>
      <c r="J64" s="84">
        <v>7344</v>
      </c>
      <c r="K64" s="84">
        <v>4228</v>
      </c>
      <c r="L64" s="84">
        <v>8385</v>
      </c>
      <c r="M64" s="84">
        <v>15598</v>
      </c>
      <c r="N64" s="84">
        <v>22575</v>
      </c>
      <c r="O64" s="84">
        <v>25855</v>
      </c>
      <c r="P64" s="84">
        <v>25349</v>
      </c>
      <c r="Q64" s="84">
        <v>24474</v>
      </c>
      <c r="R64" s="84">
        <v>24522</v>
      </c>
      <c r="S64" s="84">
        <v>24554</v>
      </c>
      <c r="T64" s="84">
        <v>25371</v>
      </c>
      <c r="U64" s="84">
        <v>31268</v>
      </c>
      <c r="V64" s="84">
        <v>20120</v>
      </c>
      <c r="W64" s="84">
        <v>26302</v>
      </c>
      <c r="X64" s="84">
        <v>32647</v>
      </c>
      <c r="Y64" s="84">
        <v>29643</v>
      </c>
      <c r="DA64" s="171" t="s">
        <v>843</v>
      </c>
    </row>
    <row r="65" spans="1:105" ht="11.45" customHeight="1" x14ac:dyDescent="0.25">
      <c r="A65" s="111" t="s">
        <v>112</v>
      </c>
      <c r="B65" s="84">
        <v>225</v>
      </c>
      <c r="C65" s="84">
        <v>4</v>
      </c>
      <c r="D65" s="84">
        <v>6</v>
      </c>
      <c r="E65" s="84">
        <v>11</v>
      </c>
      <c r="F65" s="84">
        <v>7</v>
      </c>
      <c r="G65" s="84">
        <v>29</v>
      </c>
      <c r="H65" s="84">
        <v>67</v>
      </c>
      <c r="I65" s="84">
        <v>0</v>
      </c>
      <c r="J65" s="84">
        <v>97</v>
      </c>
      <c r="K65" s="84">
        <v>88</v>
      </c>
      <c r="L65" s="84">
        <v>0</v>
      </c>
      <c r="M65" s="84">
        <v>209</v>
      </c>
      <c r="N65" s="84">
        <v>534</v>
      </c>
      <c r="O65" s="84">
        <v>345</v>
      </c>
      <c r="P65" s="84">
        <v>520</v>
      </c>
      <c r="Q65" s="84">
        <v>260</v>
      </c>
      <c r="R65" s="84">
        <v>649</v>
      </c>
      <c r="S65" s="84">
        <v>819</v>
      </c>
      <c r="T65" s="84">
        <v>960</v>
      </c>
      <c r="U65" s="84">
        <v>1382</v>
      </c>
      <c r="V65" s="84">
        <v>621</v>
      </c>
      <c r="W65" s="84">
        <v>233</v>
      </c>
      <c r="X65" s="84">
        <v>261</v>
      </c>
      <c r="Y65" s="84">
        <v>285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335</v>
      </c>
      <c r="U66" s="84">
        <v>4843</v>
      </c>
      <c r="V66" s="84">
        <v>5668</v>
      </c>
      <c r="W66" s="84">
        <v>4164</v>
      </c>
      <c r="X66" s="84">
        <v>285</v>
      </c>
      <c r="Y66" s="84">
        <v>66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15</v>
      </c>
      <c r="Q67" s="84">
        <v>15</v>
      </c>
      <c r="R67" s="84">
        <v>16</v>
      </c>
      <c r="S67" s="84">
        <v>25</v>
      </c>
      <c r="T67" s="84">
        <v>51</v>
      </c>
      <c r="U67" s="84">
        <v>30</v>
      </c>
      <c r="V67" s="84">
        <v>126</v>
      </c>
      <c r="W67" s="84">
        <v>562</v>
      </c>
      <c r="X67" s="84">
        <v>530</v>
      </c>
      <c r="Y67" s="84">
        <v>1092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32</v>
      </c>
      <c r="N68" s="84">
        <v>457</v>
      </c>
      <c r="O68" s="84">
        <v>114</v>
      </c>
      <c r="P68" s="84">
        <v>325</v>
      </c>
      <c r="Q68" s="84">
        <v>34</v>
      </c>
      <c r="R68" s="84">
        <v>47</v>
      </c>
      <c r="S68" s="84">
        <v>29</v>
      </c>
      <c r="T68" s="84">
        <v>109</v>
      </c>
      <c r="U68" s="84">
        <v>214</v>
      </c>
      <c r="V68" s="84">
        <v>358</v>
      </c>
      <c r="W68" s="84">
        <v>502</v>
      </c>
      <c r="X68" s="84">
        <v>744</v>
      </c>
      <c r="Y68" s="84">
        <v>1458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201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23</v>
      </c>
      <c r="I69" s="110">
        <f t="shared" si="12"/>
        <v>40</v>
      </c>
      <c r="J69" s="110">
        <f t="shared" si="12"/>
        <v>35</v>
      </c>
      <c r="K69" s="110">
        <f t="shared" si="12"/>
        <v>38</v>
      </c>
      <c r="L69" s="110">
        <f t="shared" ref="L69" si="13">SUM(L70:L74)</f>
        <v>170</v>
      </c>
      <c r="M69" s="110">
        <f t="shared" ref="M69:V69" si="14">SUM(M70:M74)</f>
        <v>150</v>
      </c>
      <c r="N69" s="110">
        <f t="shared" si="14"/>
        <v>271</v>
      </c>
      <c r="O69" s="110">
        <f t="shared" si="14"/>
        <v>317</v>
      </c>
      <c r="P69" s="110">
        <f t="shared" si="14"/>
        <v>303</v>
      </c>
      <c r="Q69" s="110">
        <f t="shared" si="14"/>
        <v>357</v>
      </c>
      <c r="R69" s="110">
        <f t="shared" si="14"/>
        <v>334</v>
      </c>
      <c r="S69" s="110">
        <f t="shared" si="14"/>
        <v>428</v>
      </c>
      <c r="T69" s="110">
        <f t="shared" si="14"/>
        <v>371</v>
      </c>
      <c r="U69" s="110">
        <f t="shared" si="14"/>
        <v>549</v>
      </c>
      <c r="V69" s="110">
        <f t="shared" si="14"/>
        <v>445</v>
      </c>
      <c r="W69" s="110">
        <f t="shared" ref="W69:Y69" si="15">SUM(W70:W74)</f>
        <v>450</v>
      </c>
      <c r="X69" s="110">
        <f t="shared" si="15"/>
        <v>483</v>
      </c>
      <c r="Y69" s="110">
        <f t="shared" si="15"/>
        <v>257</v>
      </c>
      <c r="DA69" s="176" t="s">
        <v>848</v>
      </c>
    </row>
    <row r="70" spans="1:105" ht="11.45" customHeight="1" x14ac:dyDescent="0.25">
      <c r="A70" s="111" t="s">
        <v>110</v>
      </c>
      <c r="B70" s="102">
        <v>201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1</v>
      </c>
      <c r="T70" s="102">
        <v>0</v>
      </c>
      <c r="U70" s="102">
        <v>7</v>
      </c>
      <c r="V70" s="102">
        <v>0</v>
      </c>
      <c r="W70" s="102">
        <v>1</v>
      </c>
      <c r="X70" s="102">
        <v>1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23</v>
      </c>
      <c r="I71" s="102">
        <v>40</v>
      </c>
      <c r="J71" s="102">
        <v>35</v>
      </c>
      <c r="K71" s="102">
        <v>38</v>
      </c>
      <c r="L71" s="102">
        <v>122</v>
      </c>
      <c r="M71" s="102">
        <v>150</v>
      </c>
      <c r="N71" s="102">
        <v>271</v>
      </c>
      <c r="O71" s="102">
        <v>317</v>
      </c>
      <c r="P71" s="102">
        <v>303</v>
      </c>
      <c r="Q71" s="102">
        <v>357</v>
      </c>
      <c r="R71" s="102">
        <v>302</v>
      </c>
      <c r="S71" s="102">
        <v>371</v>
      </c>
      <c r="T71" s="102">
        <v>365</v>
      </c>
      <c r="U71" s="102">
        <v>469</v>
      </c>
      <c r="V71" s="102">
        <v>326</v>
      </c>
      <c r="W71" s="102">
        <v>305</v>
      </c>
      <c r="X71" s="102">
        <v>225</v>
      </c>
      <c r="Y71" s="102">
        <v>245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1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32</v>
      </c>
      <c r="S73" s="102">
        <v>56</v>
      </c>
      <c r="T73" s="102">
        <v>5</v>
      </c>
      <c r="U73" s="102">
        <v>73</v>
      </c>
      <c r="V73" s="102">
        <v>119</v>
      </c>
      <c r="W73" s="102">
        <v>142</v>
      </c>
      <c r="X73" s="102">
        <v>257</v>
      </c>
      <c r="Y73" s="102">
        <v>12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48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0</v>
      </c>
      <c r="W74" s="102">
        <v>2</v>
      </c>
      <c r="X74" s="102">
        <v>0</v>
      </c>
      <c r="Y74" s="102">
        <v>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167</v>
      </c>
      <c r="I75" s="28">
        <f t="shared" si="16"/>
        <v>1067</v>
      </c>
      <c r="J75" s="28">
        <f t="shared" si="16"/>
        <v>1750</v>
      </c>
      <c r="K75" s="28">
        <f t="shared" si="16"/>
        <v>2134</v>
      </c>
      <c r="L75" s="28">
        <f t="shared" ref="L75" si="17">L76+L82</f>
        <v>2591</v>
      </c>
      <c r="M75" s="28">
        <f t="shared" ref="M75:V75" si="18">M76+M82</f>
        <v>4249</v>
      </c>
      <c r="N75" s="28">
        <f t="shared" si="18"/>
        <v>5073</v>
      </c>
      <c r="O75" s="28">
        <f t="shared" si="18"/>
        <v>6236</v>
      </c>
      <c r="P75" s="28">
        <f t="shared" si="18"/>
        <v>7279</v>
      </c>
      <c r="Q75" s="28">
        <f t="shared" si="18"/>
        <v>8230</v>
      </c>
      <c r="R75" s="28">
        <f t="shared" si="18"/>
        <v>9599</v>
      </c>
      <c r="S75" s="28">
        <f t="shared" si="18"/>
        <v>10335</v>
      </c>
      <c r="T75" s="28">
        <f t="shared" si="18"/>
        <v>11155</v>
      </c>
      <c r="U75" s="28">
        <f t="shared" si="18"/>
        <v>14009</v>
      </c>
      <c r="V75" s="28">
        <f t="shared" si="18"/>
        <v>10373</v>
      </c>
      <c r="W75" s="28">
        <f t="shared" ref="W75:Y75" si="19">W76+W82</f>
        <v>10589</v>
      </c>
      <c r="X75" s="28">
        <f t="shared" si="19"/>
        <v>11171</v>
      </c>
      <c r="Y75" s="28">
        <f t="shared" si="19"/>
        <v>10709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864</v>
      </c>
      <c r="K76" s="137">
        <f t="shared" si="20"/>
        <v>1932</v>
      </c>
      <c r="L76" s="137">
        <f t="shared" ref="L76" si="21">SUM(L77:L81)</f>
        <v>2462</v>
      </c>
      <c r="M76" s="137">
        <f t="shared" ref="M76:V76" si="22">SUM(M77:M81)</f>
        <v>3447</v>
      </c>
      <c r="N76" s="137">
        <f t="shared" si="22"/>
        <v>4348</v>
      </c>
      <c r="O76" s="137">
        <f t="shared" si="22"/>
        <v>5946</v>
      </c>
      <c r="P76" s="137">
        <f t="shared" si="22"/>
        <v>5934</v>
      </c>
      <c r="Q76" s="137">
        <f t="shared" si="22"/>
        <v>6863</v>
      </c>
      <c r="R76" s="137">
        <f t="shared" si="22"/>
        <v>7872</v>
      </c>
      <c r="S76" s="137">
        <f t="shared" si="22"/>
        <v>8653</v>
      </c>
      <c r="T76" s="137">
        <f t="shared" si="22"/>
        <v>9560</v>
      </c>
      <c r="U76" s="137">
        <f t="shared" si="22"/>
        <v>11124</v>
      </c>
      <c r="V76" s="137">
        <f t="shared" si="22"/>
        <v>8977</v>
      </c>
      <c r="W76" s="137">
        <f t="shared" ref="W76:Y76" si="23">SUM(W77:W81)</f>
        <v>9257</v>
      </c>
      <c r="X76" s="137">
        <f t="shared" si="23"/>
        <v>9570</v>
      </c>
      <c r="Y76" s="137">
        <f t="shared" si="23"/>
        <v>9505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401</v>
      </c>
      <c r="K77" s="84">
        <v>651</v>
      </c>
      <c r="L77" s="84">
        <v>569</v>
      </c>
      <c r="M77" s="84">
        <v>731</v>
      </c>
      <c r="N77" s="84">
        <v>733</v>
      </c>
      <c r="O77" s="84">
        <v>510</v>
      </c>
      <c r="P77" s="84">
        <v>726</v>
      </c>
      <c r="Q77" s="84">
        <v>969</v>
      </c>
      <c r="R77" s="84">
        <v>1070</v>
      </c>
      <c r="S77" s="84">
        <v>1098</v>
      </c>
      <c r="T77" s="84">
        <v>1175</v>
      </c>
      <c r="U77" s="84">
        <v>1430</v>
      </c>
      <c r="V77" s="84">
        <v>1132</v>
      </c>
      <c r="W77" s="84">
        <v>932</v>
      </c>
      <c r="X77" s="84">
        <v>924</v>
      </c>
      <c r="Y77" s="84">
        <v>1012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463</v>
      </c>
      <c r="K78" s="84">
        <v>1281</v>
      </c>
      <c r="L78" s="84">
        <v>1893</v>
      </c>
      <c r="M78" s="84">
        <v>2716</v>
      </c>
      <c r="N78" s="84">
        <v>3615</v>
      </c>
      <c r="O78" s="84">
        <v>5413</v>
      </c>
      <c r="P78" s="84">
        <v>5198</v>
      </c>
      <c r="Q78" s="84">
        <v>5874</v>
      </c>
      <c r="R78" s="84">
        <v>6802</v>
      </c>
      <c r="S78" s="84">
        <v>7468</v>
      </c>
      <c r="T78" s="84">
        <v>8332</v>
      </c>
      <c r="U78" s="84">
        <v>9639</v>
      </c>
      <c r="V78" s="84">
        <v>7764</v>
      </c>
      <c r="W78" s="84">
        <v>8323</v>
      </c>
      <c r="X78" s="84">
        <v>8613</v>
      </c>
      <c r="Y78" s="84">
        <v>8358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10</v>
      </c>
      <c r="T79" s="84">
        <v>4</v>
      </c>
      <c r="U79" s="84">
        <v>5</v>
      </c>
      <c r="V79" s="84">
        <v>0</v>
      </c>
      <c r="W79" s="84">
        <v>0</v>
      </c>
      <c r="X79" s="84">
        <v>0</v>
      </c>
      <c r="Y79" s="84">
        <v>13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23</v>
      </c>
      <c r="P80" s="84">
        <v>10</v>
      </c>
      <c r="Q80" s="84">
        <v>20</v>
      </c>
      <c r="R80" s="84">
        <v>0</v>
      </c>
      <c r="S80" s="84">
        <v>77</v>
      </c>
      <c r="T80" s="84">
        <v>49</v>
      </c>
      <c r="U80" s="84">
        <v>50</v>
      </c>
      <c r="V80" s="84">
        <v>81</v>
      </c>
      <c r="W80" s="84">
        <v>2</v>
      </c>
      <c r="X80" s="84">
        <v>3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30</v>
      </c>
      <c r="Y81" s="84">
        <v>122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167</v>
      </c>
      <c r="I82" s="110">
        <f t="shared" si="24"/>
        <v>1067</v>
      </c>
      <c r="J82" s="110">
        <f t="shared" si="24"/>
        <v>886</v>
      </c>
      <c r="K82" s="110">
        <f t="shared" si="24"/>
        <v>202</v>
      </c>
      <c r="L82" s="110">
        <f t="shared" ref="L82" si="25">SUM(L83:L84)</f>
        <v>129</v>
      </c>
      <c r="M82" s="110">
        <f t="shared" ref="M82:V82" si="26">SUM(M83:M84)</f>
        <v>802</v>
      </c>
      <c r="N82" s="110">
        <f t="shared" si="26"/>
        <v>725</v>
      </c>
      <c r="O82" s="110">
        <f t="shared" si="26"/>
        <v>290</v>
      </c>
      <c r="P82" s="110">
        <f t="shared" si="26"/>
        <v>1345</v>
      </c>
      <c r="Q82" s="110">
        <f t="shared" si="26"/>
        <v>1367</v>
      </c>
      <c r="R82" s="110">
        <f t="shared" si="26"/>
        <v>1727</v>
      </c>
      <c r="S82" s="110">
        <f t="shared" si="26"/>
        <v>1682</v>
      </c>
      <c r="T82" s="110">
        <f t="shared" si="26"/>
        <v>1595</v>
      </c>
      <c r="U82" s="110">
        <f t="shared" si="26"/>
        <v>2885</v>
      </c>
      <c r="V82" s="110">
        <f t="shared" si="26"/>
        <v>1396</v>
      </c>
      <c r="W82" s="110">
        <f t="shared" ref="W82:Y82" si="27">SUM(W83:W84)</f>
        <v>1332</v>
      </c>
      <c r="X82" s="110">
        <f t="shared" si="27"/>
        <v>1601</v>
      </c>
      <c r="Y82" s="110">
        <f t="shared" si="27"/>
        <v>1204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167</v>
      </c>
      <c r="I83" s="102">
        <v>1067</v>
      </c>
      <c r="J83" s="102">
        <v>886</v>
      </c>
      <c r="K83" s="102">
        <v>202</v>
      </c>
      <c r="L83" s="102">
        <v>129</v>
      </c>
      <c r="M83" s="102">
        <v>696</v>
      </c>
      <c r="N83" s="102">
        <v>681</v>
      </c>
      <c r="O83" s="102">
        <v>155</v>
      </c>
      <c r="P83" s="102">
        <v>1303</v>
      </c>
      <c r="Q83" s="102">
        <v>1181</v>
      </c>
      <c r="R83" s="102">
        <v>1666</v>
      </c>
      <c r="S83" s="102">
        <v>1658</v>
      </c>
      <c r="T83" s="102">
        <v>1510</v>
      </c>
      <c r="U83" s="102">
        <v>2854</v>
      </c>
      <c r="V83" s="102">
        <v>1152</v>
      </c>
      <c r="W83" s="102">
        <v>1332</v>
      </c>
      <c r="X83" s="102">
        <v>1309</v>
      </c>
      <c r="Y83" s="102">
        <v>1204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106</v>
      </c>
      <c r="N84" s="86">
        <v>44</v>
      </c>
      <c r="O84" s="86">
        <v>135</v>
      </c>
      <c r="P84" s="86">
        <v>42</v>
      </c>
      <c r="Q84" s="86">
        <v>186</v>
      </c>
      <c r="R84" s="86">
        <v>61</v>
      </c>
      <c r="S84" s="86">
        <v>24</v>
      </c>
      <c r="T84" s="86">
        <v>85</v>
      </c>
      <c r="U84" s="86">
        <v>31</v>
      </c>
      <c r="V84" s="86">
        <v>244</v>
      </c>
      <c r="W84" s="86">
        <v>0</v>
      </c>
      <c r="X84" s="86">
        <v>292</v>
      </c>
      <c r="Y84" s="86">
        <v>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4.7503327452855793</v>
      </c>
      <c r="C90" s="141">
        <v>4.7335545543318469</v>
      </c>
      <c r="D90" s="141">
        <v>4.6858050363380865</v>
      </c>
      <c r="E90" s="141">
        <v>4.6194223761410687</v>
      </c>
      <c r="F90" s="141">
        <v>4.553451353371897</v>
      </c>
      <c r="G90" s="141">
        <v>4.4871316829999337</v>
      </c>
      <c r="H90" s="141">
        <v>4.3770892483931654</v>
      </c>
      <c r="I90" s="141">
        <v>4.2941576484677304</v>
      </c>
      <c r="J90" s="141">
        <v>4.1834943497766632</v>
      </c>
      <c r="K90" s="141">
        <v>4.1281591451066486</v>
      </c>
      <c r="L90" s="141">
        <v>4.0643098045344006</v>
      </c>
      <c r="M90" s="141">
        <v>3.9134324964804144</v>
      </c>
      <c r="N90" s="141">
        <v>3.626338932493526</v>
      </c>
      <c r="O90" s="141">
        <v>3.5475669431783037</v>
      </c>
      <c r="P90" s="141">
        <v>3.4639056010783311</v>
      </c>
      <c r="Q90" s="141">
        <v>3.4019346040722596</v>
      </c>
      <c r="R90" s="141">
        <v>3.3252707395911627</v>
      </c>
      <c r="S90" s="141">
        <v>3.2575887220233675</v>
      </c>
      <c r="T90" s="141">
        <v>3.2115756466543774</v>
      </c>
      <c r="U90" s="141">
        <v>3.1679493106973453</v>
      </c>
      <c r="V90" s="141">
        <v>3.1140949851450883</v>
      </c>
      <c r="W90" s="141">
        <v>3.0623011100074398</v>
      </c>
      <c r="X90" s="141">
        <v>3.0148702887504779</v>
      </c>
      <c r="Y90" s="141">
        <v>2.9863790478055603</v>
      </c>
      <c r="DA90" s="174" t="s">
        <v>864</v>
      </c>
    </row>
    <row r="91" spans="1:105" ht="11.45" customHeight="1" x14ac:dyDescent="0.25">
      <c r="A91" s="109" t="s">
        <v>20</v>
      </c>
      <c r="B91" s="130">
        <v>9.1845251889031925</v>
      </c>
      <c r="C91" s="130">
        <v>9.0073340313150911</v>
      </c>
      <c r="D91" s="130">
        <v>8.9242246796144258</v>
      </c>
      <c r="E91" s="130">
        <v>8.8161242835801747</v>
      </c>
      <c r="F91" s="130">
        <v>8.6990040274498064</v>
      </c>
      <c r="G91" s="130">
        <v>8.5905847171820344</v>
      </c>
      <c r="H91" s="130">
        <v>8.4486922137389904</v>
      </c>
      <c r="I91" s="130">
        <v>8.2849197458691801</v>
      </c>
      <c r="J91" s="130">
        <v>8.1875218211008569</v>
      </c>
      <c r="K91" s="130">
        <v>8.1017322008576436</v>
      </c>
      <c r="L91" s="130">
        <v>8.0400793027000201</v>
      </c>
      <c r="M91" s="130">
        <v>7.9211009949171354</v>
      </c>
      <c r="N91" s="130">
        <v>7.7842330364041121</v>
      </c>
      <c r="O91" s="130">
        <v>7.6256712513264029</v>
      </c>
      <c r="P91" s="130">
        <v>7.4919324945859671</v>
      </c>
      <c r="Q91" s="130">
        <v>7.3246709515828821</v>
      </c>
      <c r="R91" s="130">
        <v>7.1817311764139955</v>
      </c>
      <c r="S91" s="130">
        <v>7.0017667484778769</v>
      </c>
      <c r="T91" s="130">
        <v>6.8173242328986259</v>
      </c>
      <c r="U91" s="130">
        <v>6.679427384494983</v>
      </c>
      <c r="V91" s="130">
        <v>6.5106676434043536</v>
      </c>
      <c r="W91" s="130">
        <v>6.3195532570322737</v>
      </c>
      <c r="X91" s="130">
        <v>6.1615733063160922</v>
      </c>
      <c r="Y91" s="130">
        <v>5.9899147996572735</v>
      </c>
      <c r="DA91" s="176" t="s">
        <v>865</v>
      </c>
    </row>
    <row r="92" spans="1:105" ht="11.45" customHeight="1" x14ac:dyDescent="0.25">
      <c r="A92" s="111" t="s">
        <v>110</v>
      </c>
      <c r="B92" s="96">
        <v>9.2955781998408398</v>
      </c>
      <c r="C92" s="96">
        <v>9.1454153057785597</v>
      </c>
      <c r="D92" s="96">
        <v>9.06117602872059</v>
      </c>
      <c r="E92" s="96">
        <v>8.9486482658456374</v>
      </c>
      <c r="F92" s="96">
        <v>8.8536373998042048</v>
      </c>
      <c r="G92" s="96">
        <v>8.7670849785121963</v>
      </c>
      <c r="H92" s="96">
        <v>8.6583851602806483</v>
      </c>
      <c r="I92" s="96">
        <v>8.5406141786086707</v>
      </c>
      <c r="J92" s="96">
        <v>8.4417734182122004</v>
      </c>
      <c r="K92" s="96">
        <v>8.3496254062761182</v>
      </c>
      <c r="L92" s="96">
        <v>8.2896830829643022</v>
      </c>
      <c r="M92" s="96">
        <v>8.1698966202871102</v>
      </c>
      <c r="N92" s="96">
        <v>8.0422952468078641</v>
      </c>
      <c r="O92" s="96">
        <v>7.8891787196445602</v>
      </c>
      <c r="P92" s="96">
        <v>7.7456643179860132</v>
      </c>
      <c r="Q92" s="96">
        <v>7.5585963209235052</v>
      </c>
      <c r="R92" s="96">
        <v>7.3745272513903695</v>
      </c>
      <c r="S92" s="96">
        <v>7.1417775956150411</v>
      </c>
      <c r="T92" s="96">
        <v>6.9155721958911434</v>
      </c>
      <c r="U92" s="96">
        <v>6.7498674969645904</v>
      </c>
      <c r="V92" s="96">
        <v>6.5625744516869675</v>
      </c>
      <c r="W92" s="96">
        <v>6.3485165265584964</v>
      </c>
      <c r="X92" s="96">
        <v>6.169250105853453</v>
      </c>
      <c r="Y92" s="96">
        <v>5.978923551033489</v>
      </c>
      <c r="DA92" s="171" t="s">
        <v>866</v>
      </c>
    </row>
    <row r="93" spans="1:105" ht="11.45" customHeight="1" x14ac:dyDescent="0.25">
      <c r="A93" s="111" t="s">
        <v>111</v>
      </c>
      <c r="B93" s="96">
        <v>7.8928488628401983</v>
      </c>
      <c r="C93" s="96">
        <v>7.5006767830510901</v>
      </c>
      <c r="D93" s="96">
        <v>7.4243973203561602</v>
      </c>
      <c r="E93" s="96">
        <v>7.3238795391104823</v>
      </c>
      <c r="F93" s="96">
        <v>7.2220063574403977</v>
      </c>
      <c r="G93" s="96">
        <v>7.1371592633781988</v>
      </c>
      <c r="H93" s="96">
        <v>7.0902641772456132</v>
      </c>
      <c r="I93" s="96">
        <v>7.0479891298989434</v>
      </c>
      <c r="J93" s="96">
        <v>7.0138296918305638</v>
      </c>
      <c r="K93" s="96">
        <v>6.9748264261228137</v>
      </c>
      <c r="L93" s="96">
        <v>6.9512438922940998</v>
      </c>
      <c r="M93" s="96">
        <v>6.9242795860005799</v>
      </c>
      <c r="N93" s="96">
        <v>6.8899955183867201</v>
      </c>
      <c r="O93" s="96">
        <v>6.8067195958389632</v>
      </c>
      <c r="P93" s="96">
        <v>6.7114047976698616</v>
      </c>
      <c r="Q93" s="96">
        <v>6.6052684706788733</v>
      </c>
      <c r="R93" s="96">
        <v>6.5131097321494016</v>
      </c>
      <c r="S93" s="96">
        <v>6.435954178137421</v>
      </c>
      <c r="T93" s="96">
        <v>6.3393335104323576</v>
      </c>
      <c r="U93" s="96">
        <v>6.2469108891019083</v>
      </c>
      <c r="V93" s="96">
        <v>6.1571623860545035</v>
      </c>
      <c r="W93" s="96">
        <v>6.0404119756670589</v>
      </c>
      <c r="X93" s="96">
        <v>5.9308560341424537</v>
      </c>
      <c r="Y93" s="96">
        <v>5.8409911129802623</v>
      </c>
      <c r="DA93" s="171" t="s">
        <v>867</v>
      </c>
    </row>
    <row r="94" spans="1:105" ht="11.45" customHeight="1" x14ac:dyDescent="0.25">
      <c r="A94" s="111" t="s">
        <v>112</v>
      </c>
      <c r="B94" s="96">
        <v>8.3494823809422645</v>
      </c>
      <c r="C94" s="96">
        <v>8.2833154549981352</v>
      </c>
      <c r="D94" s="96">
        <v>8.1829915694989293</v>
      </c>
      <c r="E94" s="96">
        <v>8.0620157082367623</v>
      </c>
      <c r="F94" s="96">
        <v>8.0324596078457198</v>
      </c>
      <c r="G94" s="96">
        <v>8.0131865252271517</v>
      </c>
      <c r="H94" s="96">
        <v>8.0612528854183747</v>
      </c>
      <c r="I94" s="96">
        <v>8.0373092906886097</v>
      </c>
      <c r="J94" s="96">
        <v>8.1689603606806784</v>
      </c>
      <c r="K94" s="96">
        <v>8.2102846269978613</v>
      </c>
      <c r="L94" s="96">
        <v>8.2102846269978631</v>
      </c>
      <c r="M94" s="96">
        <v>8.2128986354386448</v>
      </c>
      <c r="N94" s="96">
        <v>8.1733859190136524</v>
      </c>
      <c r="O94" s="96">
        <v>8.0906599492079057</v>
      </c>
      <c r="P94" s="96">
        <v>7.9229490267753739</v>
      </c>
      <c r="Q94" s="96">
        <v>7.7940040038208389</v>
      </c>
      <c r="R94" s="96">
        <v>7.5646698156528513</v>
      </c>
      <c r="S94" s="96">
        <v>7.3439275926900089</v>
      </c>
      <c r="T94" s="96">
        <v>7.107494657922274</v>
      </c>
      <c r="U94" s="96">
        <v>6.8373860344793984</v>
      </c>
      <c r="V94" s="96">
        <v>6.6744973905529985</v>
      </c>
      <c r="W94" s="96">
        <v>6.5817895815316252</v>
      </c>
      <c r="X94" s="96">
        <v>6.4763063525373976</v>
      </c>
      <c r="Y94" s="96">
        <v>6.1666126018325889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7.6824141716557461</v>
      </c>
      <c r="M95" s="96">
        <v>7.9325487125630101</v>
      </c>
      <c r="N95" s="96">
        <v>8.0325834483928702</v>
      </c>
      <c r="O95" s="96">
        <v>7.9196655367456961</v>
      </c>
      <c r="P95" s="96">
        <v>7.8317993734453957</v>
      </c>
      <c r="Q95" s="96">
        <v>7.1376969772324337</v>
      </c>
      <c r="R95" s="96">
        <v>6.0318313794945757</v>
      </c>
      <c r="S95" s="96">
        <v>6.1790093904682308</v>
      </c>
      <c r="T95" s="96">
        <v>6.0195153098171001</v>
      </c>
      <c r="U95" s="96">
        <v>5.1925905158980417</v>
      </c>
      <c r="V95" s="96">
        <v>4.9382151648578212</v>
      </c>
      <c r="W95" s="96">
        <v>4.8052973328759938</v>
      </c>
      <c r="X95" s="96">
        <v>4.6894801401490671</v>
      </c>
      <c r="Y95" s="96">
        <v>4.6784110587070629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3.0196164684340627</v>
      </c>
      <c r="Q96" s="96">
        <v>3.3183037704749525</v>
      </c>
      <c r="R96" s="96">
        <v>3.3790665987365318</v>
      </c>
      <c r="S96" s="96">
        <v>3.1936808500541618</v>
      </c>
      <c r="T96" s="96">
        <v>3.3099036883481148</v>
      </c>
      <c r="U96" s="96">
        <v>3.3639404359706626</v>
      </c>
      <c r="V96" s="96">
        <v>3.5147308336587355</v>
      </c>
      <c r="W96" s="96">
        <v>3.1824270489200246</v>
      </c>
      <c r="X96" s="96">
        <v>3.1346389617308157</v>
      </c>
      <c r="Y96" s="96">
        <v>3.0100554790763701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1.3660444793588575</v>
      </c>
      <c r="K97" s="96">
        <v>1.3660444793588575</v>
      </c>
      <c r="L97" s="96">
        <v>1.3545430146769482</v>
      </c>
      <c r="M97" s="96">
        <v>1.3438572636687782</v>
      </c>
      <c r="N97" s="96">
        <v>1.249282993742971</v>
      </c>
      <c r="O97" s="96">
        <v>1.2555210662883629</v>
      </c>
      <c r="P97" s="96">
        <v>1.2948811267723848</v>
      </c>
      <c r="Q97" s="96">
        <v>1.2955049214026282</v>
      </c>
      <c r="R97" s="96">
        <v>1.3026849215934087</v>
      </c>
      <c r="S97" s="96">
        <v>1.3054809114243526</v>
      </c>
      <c r="T97" s="96">
        <v>1.3462981248631669</v>
      </c>
      <c r="U97" s="96">
        <v>1.4066407479783882</v>
      </c>
      <c r="V97" s="96">
        <v>1.4423523991933598</v>
      </c>
      <c r="W97" s="96">
        <v>1.4738273697708968</v>
      </c>
      <c r="X97" s="96">
        <v>1.5336484295565018</v>
      </c>
      <c r="Y97" s="96">
        <v>1.5344053310088337</v>
      </c>
      <c r="DA97" s="171" t="s">
        <v>871</v>
      </c>
    </row>
    <row r="98" spans="1:105" ht="11.45" customHeight="1" x14ac:dyDescent="0.25">
      <c r="A98" s="109" t="s">
        <v>21</v>
      </c>
      <c r="B98" s="130">
        <v>38.142164714755204</v>
      </c>
      <c r="C98" s="130">
        <v>38.616047340651697</v>
      </c>
      <c r="D98" s="130">
        <v>39.545566049387851</v>
      </c>
      <c r="E98" s="130">
        <v>40.694978290362691</v>
      </c>
      <c r="F98" s="130">
        <v>41.173986441913769</v>
      </c>
      <c r="G98" s="130">
        <v>42.428129391746893</v>
      </c>
      <c r="H98" s="130">
        <v>42.189659089027288</v>
      </c>
      <c r="I98" s="130">
        <v>43.672382241760701</v>
      </c>
      <c r="J98" s="130">
        <v>44.479365928730623</v>
      </c>
      <c r="K98" s="130">
        <v>45.112059087500192</v>
      </c>
      <c r="L98" s="130">
        <v>44.588584885092978</v>
      </c>
      <c r="M98" s="130">
        <v>44.506390756294927</v>
      </c>
      <c r="N98" s="130">
        <v>44.252113849315947</v>
      </c>
      <c r="O98" s="130">
        <v>44.009358644093069</v>
      </c>
      <c r="P98" s="130">
        <v>43.735803351522378</v>
      </c>
      <c r="Q98" s="130">
        <v>43.430252180266095</v>
      </c>
      <c r="R98" s="130">
        <v>43.165424839923709</v>
      </c>
      <c r="S98" s="130">
        <v>42.703651457176584</v>
      </c>
      <c r="T98" s="130">
        <v>42.375763273995709</v>
      </c>
      <c r="U98" s="130">
        <v>41.819630357113709</v>
      </c>
      <c r="V98" s="130">
        <v>41.226702511114908</v>
      </c>
      <c r="W98" s="130">
        <v>40.703017423076375</v>
      </c>
      <c r="X98" s="130">
        <v>39.83937635474247</v>
      </c>
      <c r="Y98" s="130">
        <v>39.260628336482476</v>
      </c>
      <c r="DA98" s="176" t="s">
        <v>872</v>
      </c>
    </row>
    <row r="99" spans="1:105" ht="11.45" customHeight="1" x14ac:dyDescent="0.25">
      <c r="A99" s="111" t="s">
        <v>110</v>
      </c>
      <c r="B99" s="97">
        <v>19.411731867550504</v>
      </c>
      <c r="C99" s="97">
        <v>19.411731867550504</v>
      </c>
      <c r="D99" s="97">
        <v>19.411731867550504</v>
      </c>
      <c r="E99" s="97">
        <v>19.411731867550504</v>
      </c>
      <c r="F99" s="97">
        <v>19.411731867550508</v>
      </c>
      <c r="G99" s="97">
        <v>19.411731867550504</v>
      </c>
      <c r="H99" s="97">
        <v>19.411731867550504</v>
      </c>
      <c r="I99" s="97">
        <v>19.411731867550504</v>
      </c>
      <c r="J99" s="97">
        <v>19.411731867550504</v>
      </c>
      <c r="K99" s="97">
        <v>19.4117318675505</v>
      </c>
      <c r="L99" s="97">
        <v>19.411731867550504</v>
      </c>
      <c r="M99" s="97">
        <v>19.411731867550504</v>
      </c>
      <c r="N99" s="97">
        <v>19.411731867550504</v>
      </c>
      <c r="O99" s="97">
        <v>19.411731867550504</v>
      </c>
      <c r="P99" s="97">
        <v>19.411731867550504</v>
      </c>
      <c r="Q99" s="97">
        <v>19.411731867550508</v>
      </c>
      <c r="R99" s="97">
        <v>19.4117318675505</v>
      </c>
      <c r="S99" s="97">
        <v>19.317160028591985</v>
      </c>
      <c r="T99" s="97">
        <v>19.317160028591985</v>
      </c>
      <c r="U99" s="97">
        <v>18.62431708198174</v>
      </c>
      <c r="V99" s="97">
        <v>18.607835182671572</v>
      </c>
      <c r="W99" s="97">
        <v>18.495877919411981</v>
      </c>
      <c r="X99" s="97">
        <v>18.386741117600128</v>
      </c>
      <c r="Y99" s="97">
        <v>18.373633715852957</v>
      </c>
      <c r="DA99" s="175" t="s">
        <v>873</v>
      </c>
    </row>
    <row r="100" spans="1:105" ht="11.45" customHeight="1" x14ac:dyDescent="0.25">
      <c r="A100" s="111" t="s">
        <v>111</v>
      </c>
      <c r="B100" s="97">
        <v>52.060665302882285</v>
      </c>
      <c r="C100" s="97">
        <v>50.518312779427959</v>
      </c>
      <c r="D100" s="97">
        <v>49.749702525131923</v>
      </c>
      <c r="E100" s="97">
        <v>48.993407105454743</v>
      </c>
      <c r="F100" s="97">
        <v>48.522112873865773</v>
      </c>
      <c r="G100" s="97">
        <v>48.037073940713412</v>
      </c>
      <c r="H100" s="97">
        <v>47.715073364542626</v>
      </c>
      <c r="I100" s="97">
        <v>47.301783691019665</v>
      </c>
      <c r="J100" s="97">
        <v>47.224932730826339</v>
      </c>
      <c r="K100" s="97">
        <v>47.108395464141616</v>
      </c>
      <c r="L100" s="97">
        <v>46.735829832841169</v>
      </c>
      <c r="M100" s="97">
        <v>46.488818981751109</v>
      </c>
      <c r="N100" s="97">
        <v>46.051554878825016</v>
      </c>
      <c r="O100" s="97">
        <v>45.654461790107874</v>
      </c>
      <c r="P100" s="97">
        <v>45.291497385450171</v>
      </c>
      <c r="Q100" s="97">
        <v>44.895920717629942</v>
      </c>
      <c r="R100" s="97">
        <v>44.578439468618953</v>
      </c>
      <c r="S100" s="97">
        <v>44.10631887403197</v>
      </c>
      <c r="T100" s="97">
        <v>43.665063894816299</v>
      </c>
      <c r="U100" s="97">
        <v>43.004090719114451</v>
      </c>
      <c r="V100" s="97">
        <v>42.4502287113108</v>
      </c>
      <c r="W100" s="97">
        <v>41.98875117087146</v>
      </c>
      <c r="X100" s="97">
        <v>41.384052903865893</v>
      </c>
      <c r="Y100" s="97">
        <v>40.706973350289367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34.814694675567708</v>
      </c>
      <c r="U101" s="97">
        <v>34.814694675567708</v>
      </c>
      <c r="V101" s="97">
        <v>34.814694675567708</v>
      </c>
      <c r="W101" s="97">
        <v>34.814694675567708</v>
      </c>
      <c r="X101" s="97">
        <v>34.814694675567708</v>
      </c>
      <c r="Y101" s="97">
        <v>34.814694675567708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37.699597660645793</v>
      </c>
      <c r="M102" s="97">
        <v>37.41990859763299</v>
      </c>
      <c r="N102" s="97">
        <v>37.37767139561538</v>
      </c>
      <c r="O102" s="97">
        <v>36.911962664044232</v>
      </c>
      <c r="P102" s="97">
        <v>36.617113401631592</v>
      </c>
      <c r="Q102" s="97">
        <v>36.360602120114102</v>
      </c>
      <c r="R102" s="97">
        <v>36.157246748462953</v>
      </c>
      <c r="S102" s="97">
        <v>35.967703255759019</v>
      </c>
      <c r="T102" s="97">
        <v>35.946878428162606</v>
      </c>
      <c r="U102" s="97">
        <v>35.527668443447844</v>
      </c>
      <c r="V102" s="97">
        <v>35.374668771134843</v>
      </c>
      <c r="W102" s="97">
        <v>35.283922483055385</v>
      </c>
      <c r="X102" s="97">
        <v>35.180487250384807</v>
      </c>
      <c r="Y102" s="97">
        <v>35.174651758036056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26.728871449195552</v>
      </c>
      <c r="M103" s="97">
        <v>26.728871449195552</v>
      </c>
      <c r="N103" s="97">
        <v>26.728871449195552</v>
      </c>
      <c r="O103" s="97">
        <v>26.728871449195555</v>
      </c>
      <c r="P103" s="97">
        <v>26.728871449195552</v>
      </c>
      <c r="Q103" s="97">
        <v>26.728871449195548</v>
      </c>
      <c r="R103" s="97">
        <v>26.728871449195552</v>
      </c>
      <c r="S103" s="97">
        <v>26.728871449195552</v>
      </c>
      <c r="T103" s="97">
        <v>26.728871449195552</v>
      </c>
      <c r="U103" s="97">
        <v>26.728871449195552</v>
      </c>
      <c r="V103" s="97">
        <v>26.728871449195548</v>
      </c>
      <c r="W103" s="97">
        <v>26.633405677014576</v>
      </c>
      <c r="X103" s="97">
        <v>26.630753754205426</v>
      </c>
      <c r="Y103" s="97">
        <v>26.590350289735905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9.7129609498963418</v>
      </c>
      <c r="C105" s="141">
        <v>9.6569670842929387</v>
      </c>
      <c r="D105" s="141">
        <v>9.6190861796221832</v>
      </c>
      <c r="E105" s="141">
        <v>9.5676214422598544</v>
      </c>
      <c r="F105" s="141">
        <v>9.5106793751426757</v>
      </c>
      <c r="G105" s="141">
        <v>9.4411350736850945</v>
      </c>
      <c r="H105" s="141">
        <v>9.3486209725410188</v>
      </c>
      <c r="I105" s="141">
        <v>9.2343458907811922</v>
      </c>
      <c r="J105" s="141">
        <v>9.1216370373229942</v>
      </c>
      <c r="K105" s="141">
        <v>8.9789738503766028</v>
      </c>
      <c r="L105" s="141">
        <v>8.8686230570592599</v>
      </c>
      <c r="M105" s="141">
        <v>8.7674546091708319</v>
      </c>
      <c r="N105" s="141">
        <v>8.6066404894894344</v>
      </c>
      <c r="O105" s="141">
        <v>8.4644783028177386</v>
      </c>
      <c r="P105" s="141">
        <v>8.2928403963813029</v>
      </c>
      <c r="Q105" s="141">
        <v>8.0819979554996575</v>
      </c>
      <c r="R105" s="141">
        <v>7.9145448195191159</v>
      </c>
      <c r="S105" s="141">
        <v>7.7316567621153789</v>
      </c>
      <c r="T105" s="141">
        <v>7.5884971182040486</v>
      </c>
      <c r="U105" s="141">
        <v>7.4470903227183287</v>
      </c>
      <c r="V105" s="141">
        <v>7.3079813385477648</v>
      </c>
      <c r="W105" s="141">
        <v>7.1791719078342524</v>
      </c>
      <c r="X105" s="141">
        <v>7.0757533378862343</v>
      </c>
      <c r="Y105" s="141">
        <v>6.9636575231793456</v>
      </c>
      <c r="DA105" s="174" t="s">
        <v>878</v>
      </c>
    </row>
    <row r="106" spans="1:105" ht="11.45" customHeight="1" x14ac:dyDescent="0.25">
      <c r="A106" s="111" t="s">
        <v>110</v>
      </c>
      <c r="B106" s="96">
        <v>9.8775363314721289</v>
      </c>
      <c r="C106" s="96">
        <v>9.8034325430424438</v>
      </c>
      <c r="D106" s="96">
        <v>9.7458791062683776</v>
      </c>
      <c r="E106" s="96">
        <v>9.6900834077317786</v>
      </c>
      <c r="F106" s="96">
        <v>9.6173091164299578</v>
      </c>
      <c r="G106" s="96">
        <v>9.5242158068099236</v>
      </c>
      <c r="H106" s="96">
        <v>9.4243700209686647</v>
      </c>
      <c r="I106" s="96">
        <v>9.3209358852745776</v>
      </c>
      <c r="J106" s="96">
        <v>9.1195522393138955</v>
      </c>
      <c r="K106" s="96">
        <v>8.9436527977873581</v>
      </c>
      <c r="L106" s="96">
        <v>8.8290063225880733</v>
      </c>
      <c r="M106" s="96">
        <v>8.7085839309930932</v>
      </c>
      <c r="N106" s="96">
        <v>8.532592771547284</v>
      </c>
      <c r="O106" s="96">
        <v>8.3770819817024513</v>
      </c>
      <c r="P106" s="96">
        <v>8.2555379428623503</v>
      </c>
      <c r="Q106" s="96">
        <v>8.0097654975630164</v>
      </c>
      <c r="R106" s="96">
        <v>7.7603035966266152</v>
      </c>
      <c r="S106" s="96">
        <v>7.5544571722568268</v>
      </c>
      <c r="T106" s="96">
        <v>7.3619866367983198</v>
      </c>
      <c r="U106" s="96">
        <v>7.2230749244864088</v>
      </c>
      <c r="V106" s="96">
        <v>7.0184657429092816</v>
      </c>
      <c r="W106" s="96">
        <v>6.8353352616823013</v>
      </c>
      <c r="X106" s="96">
        <v>6.6585842726119147</v>
      </c>
      <c r="Y106" s="96">
        <v>6.5710227148973122</v>
      </c>
      <c r="DA106" s="171" t="s">
        <v>879</v>
      </c>
    </row>
    <row r="107" spans="1:105" ht="11.45" customHeight="1" x14ac:dyDescent="0.25">
      <c r="A107" s="111" t="s">
        <v>111</v>
      </c>
      <c r="B107" s="96">
        <v>9.654594631484791</v>
      </c>
      <c r="C107" s="96">
        <v>9.5790779304425762</v>
      </c>
      <c r="D107" s="96">
        <v>9.5305960276142816</v>
      </c>
      <c r="E107" s="96">
        <v>9.4596655535069516</v>
      </c>
      <c r="F107" s="96">
        <v>9.3868614369930157</v>
      </c>
      <c r="G107" s="96">
        <v>9.3029358986506185</v>
      </c>
      <c r="H107" s="96">
        <v>9.1959552869384282</v>
      </c>
      <c r="I107" s="96">
        <v>9.07080430784508</v>
      </c>
      <c r="J107" s="96">
        <v>8.9647703256083346</v>
      </c>
      <c r="K107" s="96">
        <v>8.8372469308264243</v>
      </c>
      <c r="L107" s="96">
        <v>8.7490575039412697</v>
      </c>
      <c r="M107" s="96">
        <v>8.6829620684346551</v>
      </c>
      <c r="N107" s="96">
        <v>8.5414043432592788</v>
      </c>
      <c r="O107" s="96">
        <v>8.3973791525925492</v>
      </c>
      <c r="P107" s="96">
        <v>8.219993735593528</v>
      </c>
      <c r="Q107" s="96">
        <v>8.0160514318614098</v>
      </c>
      <c r="R107" s="96">
        <v>7.8519933317018573</v>
      </c>
      <c r="S107" s="96">
        <v>7.6725126307199831</v>
      </c>
      <c r="T107" s="96">
        <v>7.529800957871867</v>
      </c>
      <c r="U107" s="96">
        <v>7.3898577804824743</v>
      </c>
      <c r="V107" s="96">
        <v>7.2669047610048443</v>
      </c>
      <c r="W107" s="96">
        <v>7.1488277945472198</v>
      </c>
      <c r="X107" s="96">
        <v>7.0492880028047127</v>
      </c>
      <c r="Y107" s="96">
        <v>6.9425704491459657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6.4099052044589628</v>
      </c>
      <c r="S108" s="96">
        <v>5.7329494538350492</v>
      </c>
      <c r="T108" s="96">
        <v>5.6785737381784092</v>
      </c>
      <c r="U108" s="96">
        <v>5.7968508909918093</v>
      </c>
      <c r="V108" s="96">
        <v>5.8026116426622965</v>
      </c>
      <c r="W108" s="96">
        <v>5.8026116426622965</v>
      </c>
      <c r="X108" s="96">
        <v>5.8089622862858121</v>
      </c>
      <c r="Y108" s="96">
        <v>5.7563747574598185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7.1676071396739962</v>
      </c>
      <c r="O109" s="96">
        <v>7.1172662777738385</v>
      </c>
      <c r="P109" s="96">
        <v>7.4474308005490117</v>
      </c>
      <c r="Q109" s="96">
        <v>7.1696591251046495</v>
      </c>
      <c r="R109" s="96">
        <v>7.1702632391490315</v>
      </c>
      <c r="S109" s="96">
        <v>6.1995973801865292</v>
      </c>
      <c r="T109" s="96">
        <v>6.0038354872550306</v>
      </c>
      <c r="U109" s="96">
        <v>5.9387099381792474</v>
      </c>
      <c r="V109" s="96">
        <v>5.9386053720360001</v>
      </c>
      <c r="W109" s="96">
        <v>5.9475354456100185</v>
      </c>
      <c r="X109" s="96">
        <v>5.9506657850474474</v>
      </c>
      <c r="Y109" s="96">
        <v>5.882781345208663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1.1248227778002144</v>
      </c>
      <c r="J110" s="96">
        <v>1.1248227778002144</v>
      </c>
      <c r="K110" s="96">
        <v>1.1248227778002144</v>
      </c>
      <c r="L110" s="96">
        <v>1.1248227778002144</v>
      </c>
      <c r="M110" s="96">
        <v>1.1248227778002144</v>
      </c>
      <c r="N110" s="96">
        <v>1.1061978170102058</v>
      </c>
      <c r="O110" s="96">
        <v>1.0870795748438908</v>
      </c>
      <c r="P110" s="96">
        <v>1.309615113928071</v>
      </c>
      <c r="Q110" s="96">
        <v>1.3185229572346324</v>
      </c>
      <c r="R110" s="96">
        <v>1.3389411930509543</v>
      </c>
      <c r="S110" s="96">
        <v>1.365453516198853</v>
      </c>
      <c r="T110" s="96">
        <v>1.3969660889806568</v>
      </c>
      <c r="U110" s="96">
        <v>1.4212987891914728</v>
      </c>
      <c r="V110" s="96">
        <v>1.9828347987763775</v>
      </c>
      <c r="W110" s="96">
        <v>2.371808323361396</v>
      </c>
      <c r="X110" s="96">
        <v>2.0760103181427345</v>
      </c>
      <c r="Y110" s="96">
        <v>2.0086842639497804</v>
      </c>
      <c r="DA110" s="171" t="s">
        <v>883</v>
      </c>
    </row>
    <row r="111" spans="1:105" ht="11.45" customHeight="1" x14ac:dyDescent="0.25">
      <c r="A111" s="109" t="s">
        <v>154</v>
      </c>
      <c r="B111" s="130">
        <v>32.515628846243843</v>
      </c>
      <c r="C111" s="130">
        <v>32.511509988635623</v>
      </c>
      <c r="D111" s="130">
        <v>31.956300318416446</v>
      </c>
      <c r="E111" s="130">
        <v>31.34524117469061</v>
      </c>
      <c r="F111" s="130">
        <v>31.075148081414639</v>
      </c>
      <c r="G111" s="130">
        <v>30.922432653454049</v>
      </c>
      <c r="H111" s="130">
        <v>30.700203222565353</v>
      </c>
      <c r="I111" s="130">
        <v>30.378877265220307</v>
      </c>
      <c r="J111" s="130">
        <v>30.15135641515943</v>
      </c>
      <c r="K111" s="130">
        <v>29.93397949967682</v>
      </c>
      <c r="L111" s="130">
        <v>29.856937078421595</v>
      </c>
      <c r="M111" s="130">
        <v>29.68155129063312</v>
      </c>
      <c r="N111" s="130">
        <v>29.502991775810361</v>
      </c>
      <c r="O111" s="130">
        <v>29.362102846105806</v>
      </c>
      <c r="P111" s="130">
        <v>28.920032616465765</v>
      </c>
      <c r="Q111" s="130">
        <v>28.467084050029836</v>
      </c>
      <c r="R111" s="130">
        <v>27.797363512233186</v>
      </c>
      <c r="S111" s="130">
        <v>27.176883259975618</v>
      </c>
      <c r="T111" s="130">
        <v>26.54397036851768</v>
      </c>
      <c r="U111" s="130">
        <v>25.597792935392363</v>
      </c>
      <c r="V111" s="130">
        <v>25.077186658159562</v>
      </c>
      <c r="W111" s="130">
        <v>24.432990308164825</v>
      </c>
      <c r="X111" s="130">
        <v>23.943797700114757</v>
      </c>
      <c r="Y111" s="130">
        <v>23.442413403990631</v>
      </c>
      <c r="DA111" s="176" t="s">
        <v>884</v>
      </c>
    </row>
    <row r="112" spans="1:105" ht="11.45" customHeight="1" x14ac:dyDescent="0.25">
      <c r="A112" s="128" t="s">
        <v>27</v>
      </c>
      <c r="B112" s="97">
        <v>32.199195965340735</v>
      </c>
      <c r="C112" s="97">
        <v>32.089138054767716</v>
      </c>
      <c r="D112" s="97">
        <v>31.620813294906373</v>
      </c>
      <c r="E112" s="97">
        <v>31.112744838943453</v>
      </c>
      <c r="F112" s="97">
        <v>30.826513990259343</v>
      </c>
      <c r="G112" s="97">
        <v>30.683736781725454</v>
      </c>
      <c r="H112" s="97">
        <v>30.47739698297454</v>
      </c>
      <c r="I112" s="97">
        <v>30.152540359737213</v>
      </c>
      <c r="J112" s="97">
        <v>29.941403712327908</v>
      </c>
      <c r="K112" s="97">
        <v>29.74630117606354</v>
      </c>
      <c r="L112" s="97">
        <v>29.669149028196141</v>
      </c>
      <c r="M112" s="97">
        <v>29.515513551555305</v>
      </c>
      <c r="N112" s="97">
        <v>29.358048310866263</v>
      </c>
      <c r="O112" s="97">
        <v>29.219693352639201</v>
      </c>
      <c r="P112" s="97">
        <v>28.76869348947525</v>
      </c>
      <c r="Q112" s="97">
        <v>28.316690951363572</v>
      </c>
      <c r="R112" s="97">
        <v>27.624490438465106</v>
      </c>
      <c r="S112" s="97">
        <v>26.992711253479687</v>
      </c>
      <c r="T112" s="97">
        <v>26.35337247021949</v>
      </c>
      <c r="U112" s="97">
        <v>25.400888124650891</v>
      </c>
      <c r="V112" s="97">
        <v>24.884614298829312</v>
      </c>
      <c r="W112" s="97">
        <v>24.229354832535211</v>
      </c>
      <c r="X112" s="97">
        <v>23.732681997229889</v>
      </c>
      <c r="Y112" s="97">
        <v>23.231444263913012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36.36585463229715</v>
      </c>
      <c r="D113" s="98">
        <v>36.04523800098044</v>
      </c>
      <c r="E113" s="98">
        <v>35.785303940552275</v>
      </c>
      <c r="F113" s="98">
        <v>35.124012817323802</v>
      </c>
      <c r="G113" s="98">
        <v>34.822281679123861</v>
      </c>
      <c r="H113" s="98">
        <v>34.402445260234444</v>
      </c>
      <c r="I113" s="98">
        <v>33.90104034148797</v>
      </c>
      <c r="J113" s="98">
        <v>33.735888958716259</v>
      </c>
      <c r="K113" s="98">
        <v>33.354803687464717</v>
      </c>
      <c r="L113" s="98">
        <v>32.99725095992676</v>
      </c>
      <c r="M113" s="98">
        <v>32.205281572725802</v>
      </c>
      <c r="N113" s="98">
        <v>31.804991319050732</v>
      </c>
      <c r="O113" s="98">
        <v>31.115889780963684</v>
      </c>
      <c r="P113" s="98">
        <v>30.875710832826822</v>
      </c>
      <c r="Q113" s="98">
        <v>30.125502321347835</v>
      </c>
      <c r="R113" s="98">
        <v>29.817517703723542</v>
      </c>
      <c r="S113" s="98">
        <v>29.628116814834524</v>
      </c>
      <c r="T113" s="98">
        <v>29.175050051547075</v>
      </c>
      <c r="U113" s="98">
        <v>28.923646953580768</v>
      </c>
      <c r="V113" s="98">
        <v>27.894670770306359</v>
      </c>
      <c r="W113" s="98">
        <v>27.700381824800235</v>
      </c>
      <c r="X113" s="98">
        <v>26.858735390457959</v>
      </c>
      <c r="Y113" s="98">
        <v>26.674798180603904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1.1276132004067394</v>
      </c>
      <c r="D117" s="150">
        <f>IF(TrRoad_act!D59=0,0,TrRoad_ene!D62/TrRoad_tech!D90)</f>
        <v>1.128346491930406</v>
      </c>
      <c r="E117" s="150">
        <f>IF(TrRoad_act!E59=0,0,TrRoad_ene!E62/TrRoad_tech!E90)</f>
        <v>1.1300056071038913</v>
      </c>
      <c r="F117" s="150">
        <f>IF(TrRoad_act!F59=0,0,TrRoad_ene!F62/TrRoad_tech!F90)</f>
        <v>1.1326461626635489</v>
      </c>
      <c r="G117" s="150">
        <f>IF(TrRoad_act!G59=0,0,TrRoad_ene!G62/TrRoad_tech!G90)</f>
        <v>1.1361815813779987</v>
      </c>
      <c r="H117" s="150">
        <f>IF(TrRoad_act!H59=0,0,TrRoad_ene!H62/TrRoad_tech!H90)</f>
        <v>1.1433512478544285</v>
      </c>
      <c r="I117" s="150">
        <f>IF(TrRoad_act!I59=0,0,TrRoad_ene!I62/TrRoad_tech!I90)</f>
        <v>1.150135969448663</v>
      </c>
      <c r="J117" s="150">
        <f>IF(TrRoad_act!J59=0,0,TrRoad_ene!J62/TrRoad_tech!J90)</f>
        <v>1.1585875955228417</v>
      </c>
      <c r="K117" s="150">
        <f>IF(TrRoad_act!K59=0,0,TrRoad_ene!K62/TrRoad_tech!K90)</f>
        <v>1.1625140462292478</v>
      </c>
      <c r="L117" s="150">
        <f>IF(TrRoad_act!L59=0,0,TrRoad_ene!L62/TrRoad_tech!L90)</f>
        <v>1.1673849717792242</v>
      </c>
      <c r="M117" s="150">
        <f>IF(TrRoad_act!M59=0,0,TrRoad_ene!M62/TrRoad_tech!M90)</f>
        <v>1.1799658887406392</v>
      </c>
      <c r="N117" s="150">
        <f>IF(TrRoad_act!N59=0,0,TrRoad_ene!N62/TrRoad_tech!N90)</f>
        <v>1.2100959127957422</v>
      </c>
      <c r="O117" s="150">
        <f>IF(TrRoad_act!O59=0,0,TrRoad_ene!O62/TrRoad_tech!O90)</f>
        <v>1.2193226394118204</v>
      </c>
      <c r="P117" s="150">
        <f>IF(TrRoad_act!P59=0,0,TrRoad_ene!P62/TrRoad_tech!P90)</f>
        <v>1.2295181414828196</v>
      </c>
      <c r="Q117" s="150">
        <f>IF(TrRoad_act!Q59=0,0,TrRoad_ene!Q62/TrRoad_tech!Q90)</f>
        <v>1.2380629112788746</v>
      </c>
      <c r="R117" s="150">
        <f>IF(TrRoad_act!R59=0,0,TrRoad_ene!R62/TrRoad_tech!R90)</f>
        <v>1.2483275394227666</v>
      </c>
      <c r="S117" s="150">
        <f>IF(TrRoad_act!S59=0,0,TrRoad_ene!S62/TrRoad_tech!S90)</f>
        <v>1.2582484094942252</v>
      </c>
      <c r="T117" s="150">
        <f>IF(TrRoad_act!T59=0,0,TrRoad_ene!T62/TrRoad_tech!T90)</f>
        <v>1.2663908386841989</v>
      </c>
      <c r="U117" s="150">
        <f>IF(TrRoad_act!U59=0,0,TrRoad_ene!U62/TrRoad_tech!U90)</f>
        <v>1.275305295389044</v>
      </c>
      <c r="V117" s="150">
        <f>IF(TrRoad_act!V59=0,0,TrRoad_ene!V62/TrRoad_tech!V90)</f>
        <v>1.2873005435723364</v>
      </c>
      <c r="W117" s="150">
        <f>IF(TrRoad_act!W59=0,0,TrRoad_ene!W62/TrRoad_tech!W90)</f>
        <v>1.2996639597156066</v>
      </c>
      <c r="X117" s="150">
        <f>IF(TrRoad_act!X59=0,0,TrRoad_ene!X62/TrRoad_tech!X90)</f>
        <v>1.3116341081232217</v>
      </c>
      <c r="Y117" s="150">
        <f>IF(TrRoad_act!Y59=0,0,TrRoad_ene!Y62/TrRoad_tech!Y90)</f>
        <v>1.3197272627667529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1.0261233274090518</v>
      </c>
      <c r="C118" s="151">
        <f>IF(TrRoad_act!C60=0,0,TrRoad_ene!C63/TrRoad_tech!C91)</f>
        <v>1.0518447547179728</v>
      </c>
      <c r="D118" s="151">
        <f>IF(TrRoad_act!D60=0,0,TrRoad_ene!D63/TrRoad_tech!D91)</f>
        <v>1.0762663822712972</v>
      </c>
      <c r="E118" s="151">
        <f>IF(TrRoad_act!E60=0,0,TrRoad_ene!E63/TrRoad_tech!E91)</f>
        <v>1.0608284350846526</v>
      </c>
      <c r="F118" s="151">
        <f>IF(TrRoad_act!F60=0,0,TrRoad_ene!F63/TrRoad_tech!F91)</f>
        <v>1.0640218405995616</v>
      </c>
      <c r="G118" s="151">
        <f>IF(TrRoad_act!G60=0,0,TrRoad_ene!G63/TrRoad_tech!G91)</f>
        <v>1.0601846091633573</v>
      </c>
      <c r="H118" s="151">
        <f>IF(TrRoad_act!H60=0,0,TrRoad_ene!H63/TrRoad_tech!H91)</f>
        <v>1.0546720790354236</v>
      </c>
      <c r="I118" s="151">
        <f>IF(TrRoad_act!I60=0,0,TrRoad_ene!I63/TrRoad_tech!I91)</f>
        <v>1.0548211150512474</v>
      </c>
      <c r="J118" s="151">
        <f>IF(TrRoad_act!J60=0,0,TrRoad_ene!J63/TrRoad_tech!J91)</f>
        <v>1.0355268640618274</v>
      </c>
      <c r="K118" s="151">
        <f>IF(TrRoad_act!K60=0,0,TrRoad_ene!K63/TrRoad_tech!K91)</f>
        <v>0.98752119328288168</v>
      </c>
      <c r="L118" s="151">
        <f>IF(TrRoad_act!L60=0,0,TrRoad_ene!L63/TrRoad_tech!L91)</f>
        <v>1.0094231413068118</v>
      </c>
      <c r="M118" s="151">
        <f>IF(TrRoad_act!M60=0,0,TrRoad_ene!M63/TrRoad_tech!M91)</f>
        <v>1.0149285537300299</v>
      </c>
      <c r="N118" s="151">
        <f>IF(TrRoad_act!N60=0,0,TrRoad_ene!N63/TrRoad_tech!N91)</f>
        <v>1.0177634308024779</v>
      </c>
      <c r="O118" s="151">
        <f>IF(TrRoad_act!O60=0,0,TrRoad_ene!O63/TrRoad_tech!O91)</f>
        <v>1.0058028797218199</v>
      </c>
      <c r="P118" s="151">
        <f>IF(TrRoad_act!P60=0,0,TrRoad_ene!P63/TrRoad_tech!P91)</f>
        <v>1.0096418497580306</v>
      </c>
      <c r="Q118" s="151">
        <f>IF(TrRoad_act!Q60=0,0,TrRoad_ene!Q63/TrRoad_tech!Q91)</f>
        <v>1.001408324493253</v>
      </c>
      <c r="R118" s="151">
        <f>IF(TrRoad_act!R60=0,0,TrRoad_ene!R63/TrRoad_tech!R91)</f>
        <v>0.99003585430550323</v>
      </c>
      <c r="S118" s="151">
        <f>IF(TrRoad_act!S60=0,0,TrRoad_ene!S63/TrRoad_tech!S91)</f>
        <v>0.99810895286578061</v>
      </c>
      <c r="T118" s="151">
        <f>IF(TrRoad_act!T60=0,0,TrRoad_ene!T63/TrRoad_tech!T91)</f>
        <v>0.99991084284102461</v>
      </c>
      <c r="U118" s="151">
        <f>IF(TrRoad_act!U60=0,0,TrRoad_ene!U63/TrRoad_tech!U91)</f>
        <v>1.0092595037951517</v>
      </c>
      <c r="V118" s="151">
        <f>IF(TrRoad_act!V60=0,0,TrRoad_ene!V63/TrRoad_tech!V91)</f>
        <v>1.0046780454589024</v>
      </c>
      <c r="W118" s="151">
        <f>IF(TrRoad_act!W60=0,0,TrRoad_ene!W63/TrRoad_tech!W91)</f>
        <v>1.0354405258993495</v>
      </c>
      <c r="X118" s="151">
        <f>IF(TrRoad_act!X60=0,0,TrRoad_ene!X63/TrRoad_tech!X91)</f>
        <v>1.0206286484460392</v>
      </c>
      <c r="Y118" s="151">
        <f>IF(TrRoad_act!Y60=0,0,TrRoad_ene!Y63/TrRoad_tech!Y91)</f>
        <v>1.0368073024985276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1.0272490463468025</v>
      </c>
      <c r="C119" s="91">
        <f>IF(TrRoad_act!C61=0,0,TrRoad_ene!C64/TrRoad_tech!C92)</f>
        <v>1.0277846207463368</v>
      </c>
      <c r="D119" s="91">
        <f>IF(TrRoad_act!D61=0,0,TrRoad_ene!D64/TrRoad_tech!D92)</f>
        <v>1.0276989083339878</v>
      </c>
      <c r="E119" s="91">
        <f>IF(TrRoad_act!E61=0,0,TrRoad_ene!E64/TrRoad_tech!E92)</f>
        <v>1.0278087630082766</v>
      </c>
      <c r="F119" s="91">
        <f>IF(TrRoad_act!F61=0,0,TrRoad_ene!F64/TrRoad_tech!F92)</f>
        <v>1.0276456377937213</v>
      </c>
      <c r="G119" s="91">
        <f>IF(TrRoad_act!G61=0,0,TrRoad_ene!G64/TrRoad_tech!G92)</f>
        <v>1.0281229584625557</v>
      </c>
      <c r="H119" s="91">
        <f>IF(TrRoad_act!H61=0,0,TrRoad_ene!H64/TrRoad_tech!H92)</f>
        <v>1.0290228220990754</v>
      </c>
      <c r="I119" s="91">
        <f>IF(TrRoad_act!I61=0,0,TrRoad_ene!I64/TrRoad_tech!I92)</f>
        <v>1.0301100784556507</v>
      </c>
      <c r="J119" s="91">
        <f>IF(TrRoad_act!J61=0,0,TrRoad_ene!J64/TrRoad_tech!J92)</f>
        <v>1.0299669757373544</v>
      </c>
      <c r="K119" s="91">
        <f>IF(TrRoad_act!K61=0,0,TrRoad_ene!K64/TrRoad_tech!K92)</f>
        <v>1.0036613447802005</v>
      </c>
      <c r="L119" s="91">
        <f>IF(TrRoad_act!L61=0,0,TrRoad_ene!L64/TrRoad_tech!L92)</f>
        <v>1.0055966607857172</v>
      </c>
      <c r="M119" s="91">
        <f>IF(TrRoad_act!M61=0,0,TrRoad_ene!M64/TrRoad_tech!M92)</f>
        <v>1.0083239742501982</v>
      </c>
      <c r="N119" s="91">
        <f>IF(TrRoad_act!N61=0,0,TrRoad_ene!N64/TrRoad_tech!N92)</f>
        <v>1.0106266493672782</v>
      </c>
      <c r="O119" s="91">
        <f>IF(TrRoad_act!O61=0,0,TrRoad_ene!O64/TrRoad_tech!O92)</f>
        <v>1.0144777708454504</v>
      </c>
      <c r="P119" s="91">
        <f>IF(TrRoad_act!P61=0,0,TrRoad_ene!P64/TrRoad_tech!P92)</f>
        <v>1.021413957294012</v>
      </c>
      <c r="Q119" s="91">
        <f>IF(TrRoad_act!Q61=0,0,TrRoad_ene!Q64/TrRoad_tech!Q92)</f>
        <v>1.0254041771266009</v>
      </c>
      <c r="R119" s="91">
        <f>IF(TrRoad_act!R61=0,0,TrRoad_ene!R64/TrRoad_tech!R92)</f>
        <v>1.0289995909344454</v>
      </c>
      <c r="S119" s="91">
        <f>IF(TrRoad_act!S61=0,0,TrRoad_ene!S64/TrRoad_tech!S92)</f>
        <v>1.0343963660755113</v>
      </c>
      <c r="T119" s="91">
        <f>IF(TrRoad_act!T61=0,0,TrRoad_ene!T64/TrRoad_tech!T92)</f>
        <v>1.035450889811067</v>
      </c>
      <c r="U119" s="91">
        <f>IF(TrRoad_act!U61=0,0,TrRoad_ene!U64/TrRoad_tech!U92)</f>
        <v>1.0484204628829454</v>
      </c>
      <c r="V119" s="91">
        <f>IF(TrRoad_act!V61=0,0,TrRoad_ene!V64/TrRoad_tech!V92)</f>
        <v>1.0577078544978051</v>
      </c>
      <c r="W119" s="91">
        <f>IF(TrRoad_act!W61=0,0,TrRoad_ene!W64/TrRoad_tech!W92)</f>
        <v>1.0806251758763956</v>
      </c>
      <c r="X119" s="91">
        <f>IF(TrRoad_act!X61=0,0,TrRoad_ene!X64/TrRoad_tech!X92)</f>
        <v>1.0503229889266819</v>
      </c>
      <c r="Y119" s="91">
        <f>IF(TrRoad_act!Y61=0,0,TrRoad_ene!Y64/TrRoad_tech!Y92)</f>
        <v>1.0506757392677799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1.0041149603920263</v>
      </c>
      <c r="C120" s="91">
        <f>IF(TrRoad_act!C62=0,0,TrRoad_ene!C65/TrRoad_tech!C93)</f>
        <v>1.3680224842509026</v>
      </c>
      <c r="D120" s="91">
        <f>IF(TrRoad_act!D62=0,0,TrRoad_ene!D65/TrRoad_tech!D93)</f>
        <v>1.63107509008417</v>
      </c>
      <c r="E120" s="91">
        <f>IF(TrRoad_act!E62=0,0,TrRoad_ene!E65/TrRoad_tech!E93)</f>
        <v>1.4005188078246573</v>
      </c>
      <c r="F120" s="91">
        <f>IF(TrRoad_act!F62=0,0,TrRoad_ene!F65/TrRoad_tech!F93)</f>
        <v>1.3676831549061623</v>
      </c>
      <c r="G120" s="91">
        <f>IF(TrRoad_act!G62=0,0,TrRoad_ene!G65/TrRoad_tech!G93)</f>
        <v>1.3181577085427556</v>
      </c>
      <c r="H120" s="91">
        <f>IF(TrRoad_act!H62=0,0,TrRoad_ene!H65/TrRoad_tech!H93)</f>
        <v>1.2573284977953985</v>
      </c>
      <c r="I120" s="91">
        <f>IF(TrRoad_act!I62=0,0,TrRoad_ene!I65/TrRoad_tech!I93)</f>
        <v>1.2222481527913536</v>
      </c>
      <c r="J120" s="91">
        <f>IF(TrRoad_act!J62=0,0,TrRoad_ene!J65/TrRoad_tech!J93)</f>
        <v>1.1376317378451071</v>
      </c>
      <c r="K120" s="91">
        <f>IF(TrRoad_act!K62=0,0,TrRoad_ene!K65/TrRoad_tech!K93)</f>
        <v>1.0478269748537241</v>
      </c>
      <c r="L120" s="91">
        <f>IF(TrRoad_act!L62=0,0,TrRoad_ene!L65/TrRoad_tech!L93)</f>
        <v>1.1143069136186341</v>
      </c>
      <c r="M120" s="91">
        <f>IF(TrRoad_act!M62=0,0,TrRoad_ene!M65/TrRoad_tech!M93)</f>
        <v>1.1215306763051136</v>
      </c>
      <c r="N120" s="91">
        <f>IF(TrRoad_act!N62=0,0,TrRoad_ene!N65/TrRoad_tech!N93)</f>
        <v>1.1175767722792884</v>
      </c>
      <c r="O120" s="91">
        <f>IF(TrRoad_act!O62=0,0,TrRoad_ene!O65/TrRoad_tech!O93)</f>
        <v>1.0785586867618566</v>
      </c>
      <c r="P120" s="91">
        <f>IF(TrRoad_act!P62=0,0,TrRoad_ene!P65/TrRoad_tech!P93)</f>
        <v>1.0769296736937235</v>
      </c>
      <c r="Q120" s="91">
        <f>IF(TrRoad_act!Q62=0,0,TrRoad_ene!Q65/TrRoad_tech!Q93)</f>
        <v>1.0544361210638442</v>
      </c>
      <c r="R120" s="91">
        <f>IF(TrRoad_act!R62=0,0,TrRoad_ene!R65/TrRoad_tech!R93)</f>
        <v>1.0249388827643817</v>
      </c>
      <c r="S120" s="91">
        <f>IF(TrRoad_act!S62=0,0,TrRoad_ene!S65/TrRoad_tech!S93)</f>
        <v>1.0258936276178918</v>
      </c>
      <c r="T120" s="91">
        <f>IF(TrRoad_act!T62=0,0,TrRoad_ene!T65/TrRoad_tech!T93)</f>
        <v>1.0218646827059603</v>
      </c>
      <c r="U120" s="91">
        <f>IF(TrRoad_act!U62=0,0,TrRoad_ene!U65/TrRoad_tech!U93)</f>
        <v>1.0288850870490867</v>
      </c>
      <c r="V120" s="91">
        <f>IF(TrRoad_act!V62=0,0,TrRoad_ene!V65/TrRoad_tech!V93)</f>
        <v>1.0253938393917257</v>
      </c>
      <c r="W120" s="91">
        <f>IF(TrRoad_act!W62=0,0,TrRoad_ene!W65/TrRoad_tech!W93)</f>
        <v>1.0658935033294497</v>
      </c>
      <c r="X120" s="91">
        <f>IF(TrRoad_act!X62=0,0,TrRoad_ene!X65/TrRoad_tech!X93)</f>
        <v>1.0495288875597835</v>
      </c>
      <c r="Y120" s="91">
        <f>IF(TrRoad_act!Y62=0,0,TrRoad_ene!Y65/TrRoad_tech!Y93)</f>
        <v>1.0764609466474182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1.240251689269813</v>
      </c>
      <c r="C121" s="91">
        <f>IF(TrRoad_act!C63=0,0,TrRoad_ene!C66/TrRoad_tech!C94)</f>
        <v>1.0392343295082707</v>
      </c>
      <c r="D121" s="91">
        <f>IF(TrRoad_act!D63=0,0,TrRoad_ene!D66/TrRoad_tech!D94)</f>
        <v>1.0996886528622085</v>
      </c>
      <c r="E121" s="91">
        <f>IF(TrRoad_act!E63=0,0,TrRoad_ene!E66/TrRoad_tech!E94)</f>
        <v>1.1305192023613295</v>
      </c>
      <c r="F121" s="91">
        <f>IF(TrRoad_act!F63=0,0,TrRoad_ene!F66/TrRoad_tech!F94)</f>
        <v>1.2833056776202802</v>
      </c>
      <c r="G121" s="91">
        <f>IF(TrRoad_act!G63=0,0,TrRoad_ene!G66/TrRoad_tech!G94)</f>
        <v>1.209517434108673</v>
      </c>
      <c r="H121" s="91">
        <f>IF(TrRoad_act!H63=0,0,TrRoad_ene!H66/TrRoad_tech!H94)</f>
        <v>1.0925919508478192</v>
      </c>
      <c r="I121" s="91">
        <f>IF(TrRoad_act!I63=0,0,TrRoad_ene!I66/TrRoad_tech!I94)</f>
        <v>1.028268589471047</v>
      </c>
      <c r="J121" s="91">
        <f>IF(TrRoad_act!J63=0,0,TrRoad_ene!J66/TrRoad_tech!J94)</f>
        <v>1.2568355192330423</v>
      </c>
      <c r="K121" s="91">
        <f>IF(TrRoad_act!K63=0,0,TrRoad_ene!K66/TrRoad_tech!K94)</f>
        <v>1.1551199155947602</v>
      </c>
      <c r="L121" s="91">
        <f>IF(TrRoad_act!L63=0,0,TrRoad_ene!L66/TrRoad_tech!L94)</f>
        <v>1.0859909685357041</v>
      </c>
      <c r="M121" s="91">
        <f>IF(TrRoad_act!M63=0,0,TrRoad_ene!M66/TrRoad_tech!M94)</f>
        <v>1.0509982523114036</v>
      </c>
      <c r="N121" s="91">
        <f>IF(TrRoad_act!N63=0,0,TrRoad_ene!N66/TrRoad_tech!N94)</f>
        <v>1.0359498593281147</v>
      </c>
      <c r="O121" s="91">
        <f>IF(TrRoad_act!O63=0,0,TrRoad_ene!O66/TrRoad_tech!O94)</f>
        <v>1.0695848952823115</v>
      </c>
      <c r="P121" s="91">
        <f>IF(TrRoad_act!P63=0,0,TrRoad_ene!P66/TrRoad_tech!P94)</f>
        <v>1.1260440464651245</v>
      </c>
      <c r="Q121" s="91">
        <f>IF(TrRoad_act!Q63=0,0,TrRoad_ene!Q66/TrRoad_tech!Q94)</f>
        <v>1.2405505142723192</v>
      </c>
      <c r="R121" s="91">
        <f>IF(TrRoad_act!R63=0,0,TrRoad_ene!R66/TrRoad_tech!R94)</f>
        <v>1.1811717023204666</v>
      </c>
      <c r="S121" s="91">
        <f>IF(TrRoad_act!S63=0,0,TrRoad_ene!S66/TrRoad_tech!S94)</f>
        <v>1.1920930475153335</v>
      </c>
      <c r="T121" s="91">
        <f>IF(TrRoad_act!T63=0,0,TrRoad_ene!T66/TrRoad_tech!T94)</f>
        <v>1.1968121918387011</v>
      </c>
      <c r="U121" s="91">
        <f>IF(TrRoad_act!U63=0,0,TrRoad_ene!U66/TrRoad_tech!U94)</f>
        <v>1.2585603501205676</v>
      </c>
      <c r="V121" s="91">
        <f>IF(TrRoad_act!V63=0,0,TrRoad_ene!V66/TrRoad_tech!V94)</f>
        <v>1.19371194481777</v>
      </c>
      <c r="W121" s="91">
        <f>IF(TrRoad_act!W63=0,0,TrRoad_ene!W66/TrRoad_tech!W94)</f>
        <v>1.23326859253165</v>
      </c>
      <c r="X121" s="91">
        <f>IF(TrRoad_act!X63=0,0,TrRoad_ene!X66/TrRoad_tech!X94)</f>
        <v>1.2987087040164806</v>
      </c>
      <c r="Y121" s="91">
        <f>IF(TrRoad_act!Y63=0,0,TrRoad_ene!Y66/TrRoad_tech!Y94)</f>
        <v>1.1509875623125083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1.059072812195712</v>
      </c>
      <c r="N122" s="91">
        <f>IF(TrRoad_act!N64=0,0,TrRoad_ene!N67/TrRoad_tech!N95)</f>
        <v>1.0624300057095155</v>
      </c>
      <c r="O122" s="91">
        <f>IF(TrRoad_act!O64=0,0,TrRoad_ene!O67/TrRoad_tech!O95)</f>
        <v>1.0701119997357542</v>
      </c>
      <c r="P122" s="91">
        <f>IF(TrRoad_act!P64=0,0,TrRoad_ene!P67/TrRoad_tech!P95)</f>
        <v>1.0735972890408403</v>
      </c>
      <c r="Q122" s="91">
        <f>IF(TrRoad_act!Q64=0,0,TrRoad_ene!Q67/TrRoad_tech!Q95)</f>
        <v>1.0771521307486305</v>
      </c>
      <c r="R122" s="91">
        <f>IF(TrRoad_act!R64=0,0,TrRoad_ene!R67/TrRoad_tech!R95)</f>
        <v>1.0830697582029858</v>
      </c>
      <c r="S122" s="91">
        <f>IF(TrRoad_act!S64=0,0,TrRoad_ene!S67/TrRoad_tech!S95)</f>
        <v>1.0862056525402823</v>
      </c>
      <c r="T122" s="91">
        <f>IF(TrRoad_act!T64=0,0,TrRoad_ene!T67/TrRoad_tech!T95)</f>
        <v>1.0902897937183531</v>
      </c>
      <c r="U122" s="91">
        <f>IF(TrRoad_act!U64=0,0,TrRoad_ene!U67/TrRoad_tech!U95)</f>
        <v>1.0946791860123821</v>
      </c>
      <c r="V122" s="91">
        <f>IF(TrRoad_act!V64=0,0,TrRoad_ene!V67/TrRoad_tech!V95)</f>
        <v>1.0961957326995386</v>
      </c>
      <c r="W122" s="91">
        <f>IF(TrRoad_act!W64=0,0,TrRoad_ene!W67/TrRoad_tech!W95)</f>
        <v>1.0968488140987764</v>
      </c>
      <c r="X122" s="91">
        <f>IF(TrRoad_act!X64=0,0,TrRoad_ene!X67/TrRoad_tech!X95)</f>
        <v>1.0976407584408472</v>
      </c>
      <c r="Y122" s="91">
        <f>IF(TrRoad_act!Y64=0,0,TrRoad_ene!Y67/TrRoad_tech!Y95)</f>
        <v>1.0976900335945952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1.0647518031986885</v>
      </c>
      <c r="Q123" s="91">
        <f>IF(TrRoad_act!Q65=0,0,TrRoad_ene!Q68/TrRoad_tech!Q96)</f>
        <v>1.0684213049253544</v>
      </c>
      <c r="R123" s="91">
        <f>IF(TrRoad_act!R65=0,0,TrRoad_ene!R68/TrRoad_tech!R96)</f>
        <v>1.0717921114591296</v>
      </c>
      <c r="S123" s="91">
        <f>IF(TrRoad_act!S65=0,0,TrRoad_ene!S68/TrRoad_tech!S96)</f>
        <v>1.0759755634160242</v>
      </c>
      <c r="T123" s="91">
        <f>IF(TrRoad_act!T65=0,0,TrRoad_ene!T68/TrRoad_tech!T96)</f>
        <v>1.0782324440562927</v>
      </c>
      <c r="U123" s="91">
        <f>IF(TrRoad_act!U65=0,0,TrRoad_ene!U68/TrRoad_tech!U96)</f>
        <v>1.0863463590816707</v>
      </c>
      <c r="V123" s="91">
        <f>IF(TrRoad_act!V65=0,0,TrRoad_ene!V68/TrRoad_tech!V96)</f>
        <v>1.0934588345744125</v>
      </c>
      <c r="W123" s="91">
        <f>IF(TrRoad_act!W65=0,0,TrRoad_ene!W68/TrRoad_tech!W96)</f>
        <v>1.1062864288415395</v>
      </c>
      <c r="X123" s="91">
        <f>IF(TrRoad_act!X65=0,0,TrRoad_ene!X68/TrRoad_tech!X96)</f>
        <v>1.089118222898944</v>
      </c>
      <c r="Y123" s="91">
        <f>IF(TrRoad_act!Y65=0,0,TrRoad_ene!Y68/TrRoad_tech!Y96)</f>
        <v>1.0887969218924973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1.0470370370414099</v>
      </c>
      <c r="L124" s="91">
        <f>IF(TrRoad_act!L66=0,0,TrRoad_ene!L69/TrRoad_tech!L97)</f>
        <v>1.0514180522294552</v>
      </c>
      <c r="M124" s="91">
        <f>IF(TrRoad_act!M66=0,0,TrRoad_ene!M69/TrRoad_tech!M97)</f>
        <v>1.0603703703752698</v>
      </c>
      <c r="N124" s="91">
        <f>IF(TrRoad_act!N66=0,0,TrRoad_ene!N69/TrRoad_tech!N97)</f>
        <v>1.065052071633362</v>
      </c>
      <c r="O124" s="91">
        <f>IF(TrRoad_act!O66=0,0,TrRoad_ene!O69/TrRoad_tech!O97)</f>
        <v>1.0663228623731773</v>
      </c>
      <c r="P124" s="91">
        <f>IF(TrRoad_act!P66=0,0,TrRoad_ene!P69/TrRoad_tech!P97)</f>
        <v>1.0703157126651854</v>
      </c>
      <c r="Q124" s="91">
        <f>IF(TrRoad_act!Q66=0,0,TrRoad_ene!Q69/TrRoad_tech!Q97)</f>
        <v>1.0708192668299499</v>
      </c>
      <c r="R124" s="91">
        <f>IF(TrRoad_act!R66=0,0,TrRoad_ene!R69/TrRoad_tech!R97)</f>
        <v>1.0718312207759764</v>
      </c>
      <c r="S124" s="91">
        <f>IF(TrRoad_act!S66=0,0,TrRoad_ene!S69/TrRoad_tech!S97)</f>
        <v>1.072442140126888</v>
      </c>
      <c r="T124" s="91">
        <f>IF(TrRoad_act!T66=0,0,TrRoad_ene!T69/TrRoad_tech!T97)</f>
        <v>1.0753419320967581</v>
      </c>
      <c r="U124" s="91">
        <f>IF(TrRoad_act!U66=0,0,TrRoad_ene!U69/TrRoad_tech!U97)</f>
        <v>1.0797864494932514</v>
      </c>
      <c r="V124" s="91">
        <f>IF(TrRoad_act!V66=0,0,TrRoad_ene!V69/TrRoad_tech!V97)</f>
        <v>1.084618433525379</v>
      </c>
      <c r="W124" s="91">
        <f>IF(TrRoad_act!W66=0,0,TrRoad_ene!W69/TrRoad_tech!W97)</f>
        <v>1.0886136927950143</v>
      </c>
      <c r="X124" s="91">
        <f>IF(TrRoad_act!X66=0,0,TrRoad_ene!X69/TrRoad_tech!X97)</f>
        <v>1.0921693598540767</v>
      </c>
      <c r="Y124" s="91">
        <f>IF(TrRoad_act!Y66=0,0,TrRoad_ene!Y69/TrRoad_tech!Y97)</f>
        <v>1.095279231808826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1.1924405608467556</v>
      </c>
      <c r="C125" s="151">
        <f>IF(TrRoad_act!C67=0,0,TrRoad_ene!C70/TrRoad_tech!C98)</f>
        <v>1.4444719876637901</v>
      </c>
      <c r="D125" s="151">
        <f>IF(TrRoad_act!D67=0,0,TrRoad_ene!D70/TrRoad_tech!D98)</f>
        <v>1.586522638943088</v>
      </c>
      <c r="E125" s="151">
        <f>IF(TrRoad_act!E67=0,0,TrRoad_ene!E70/TrRoad_tech!E98)</f>
        <v>1.3493919340907958</v>
      </c>
      <c r="F125" s="151">
        <f>IF(TrRoad_act!F67=0,0,TrRoad_ene!F70/TrRoad_tech!F98)</f>
        <v>1.3752803119571926</v>
      </c>
      <c r="G125" s="151">
        <f>IF(TrRoad_act!G67=0,0,TrRoad_ene!G70/TrRoad_tech!G98)</f>
        <v>1.3702992430440564</v>
      </c>
      <c r="H125" s="151">
        <f>IF(TrRoad_act!H67=0,0,TrRoad_ene!H70/TrRoad_tech!H98)</f>
        <v>1.3572806843891627</v>
      </c>
      <c r="I125" s="151">
        <f>IF(TrRoad_act!I67=0,0,TrRoad_ene!I70/TrRoad_tech!I98)</f>
        <v>1.3621520162160952</v>
      </c>
      <c r="J125" s="151">
        <f>IF(TrRoad_act!J67=0,0,TrRoad_ene!J70/TrRoad_tech!J98)</f>
        <v>1.3125389171184989</v>
      </c>
      <c r="K125" s="151">
        <f>IF(TrRoad_act!K67=0,0,TrRoad_ene!K70/TrRoad_tech!K98)</f>
        <v>1.2087272767066435</v>
      </c>
      <c r="L125" s="151">
        <f>IF(TrRoad_act!L67=0,0,TrRoad_ene!L70/TrRoad_tech!L98)</f>
        <v>1.3463083978104207</v>
      </c>
      <c r="M125" s="151">
        <f>IF(TrRoad_act!M67=0,0,TrRoad_ene!M70/TrRoad_tech!M98)</f>
        <v>1.364545301297444</v>
      </c>
      <c r="N125" s="151">
        <f>IF(TrRoad_act!N67=0,0,TrRoad_ene!N70/TrRoad_tech!N98)</f>
        <v>1.3680454280449266</v>
      </c>
      <c r="O125" s="151">
        <f>IF(TrRoad_act!O67=0,0,TrRoad_ene!O70/TrRoad_tech!O98)</f>
        <v>1.286744874357119</v>
      </c>
      <c r="P125" s="151">
        <f>IF(TrRoad_act!P67=0,0,TrRoad_ene!P70/TrRoad_tech!P98)</f>
        <v>1.284750377857244</v>
      </c>
      <c r="Q125" s="151">
        <f>IF(TrRoad_act!Q67=0,0,TrRoad_ene!Q70/TrRoad_tech!Q98)</f>
        <v>1.2467084324837852</v>
      </c>
      <c r="R125" s="151">
        <f>IF(TrRoad_act!R67=0,0,TrRoad_ene!R70/TrRoad_tech!R98)</f>
        <v>1.1827056125847837</v>
      </c>
      <c r="S125" s="151">
        <f>IF(TrRoad_act!S67=0,0,TrRoad_ene!S70/TrRoad_tech!S98)</f>
        <v>1.1712343155999314</v>
      </c>
      <c r="T125" s="151">
        <f>IF(TrRoad_act!T67=0,0,TrRoad_ene!T70/TrRoad_tech!T98)</f>
        <v>1.2107377484373254</v>
      </c>
      <c r="U125" s="151">
        <f>IF(TrRoad_act!U67=0,0,TrRoad_ene!U70/TrRoad_tech!U98)</f>
        <v>1.2214091064133203</v>
      </c>
      <c r="V125" s="151">
        <f>IF(TrRoad_act!V67=0,0,TrRoad_ene!V70/TrRoad_tech!V98)</f>
        <v>1.2249847363185207</v>
      </c>
      <c r="W125" s="151">
        <f>IF(TrRoad_act!W67=0,0,TrRoad_ene!W70/TrRoad_tech!W98)</f>
        <v>1.2615011484761118</v>
      </c>
      <c r="X125" s="151">
        <f>IF(TrRoad_act!X67=0,0,TrRoad_ene!X70/TrRoad_tech!X98)</f>
        <v>1.1420510522743001</v>
      </c>
      <c r="Y125" s="151">
        <f>IF(TrRoad_act!Y67=0,0,TrRoad_ene!Y70/TrRoad_tech!Y98)</f>
        <v>1.3022501276084568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1.1000000000067305</v>
      </c>
      <c r="E126" s="93">
        <f>IF(TrRoad_act!E68=0,0,TrRoad_ene!E71/TrRoad_tech!E99)</f>
        <v>1.10000000000673</v>
      </c>
      <c r="F126" s="93">
        <f>IF(TrRoad_act!F68=0,0,TrRoad_ene!F71/TrRoad_tech!F99)</f>
        <v>1.1000000000067305</v>
      </c>
      <c r="G126" s="93">
        <f>IF(TrRoad_act!G68=0,0,TrRoad_ene!G71/TrRoad_tech!G99)</f>
        <v>1.10000000000673</v>
      </c>
      <c r="H126" s="93">
        <f>IF(TrRoad_act!H68=0,0,TrRoad_ene!H71/TrRoad_tech!H99)</f>
        <v>1.1000000000067305</v>
      </c>
      <c r="I126" s="93">
        <f>IF(TrRoad_act!I68=0,0,TrRoad_ene!I71/TrRoad_tech!I99)</f>
        <v>1.10000000000673</v>
      </c>
      <c r="J126" s="93">
        <f>IF(TrRoad_act!J68=0,0,TrRoad_ene!J71/TrRoad_tech!J99)</f>
        <v>1.1000000000067303</v>
      </c>
      <c r="K126" s="93">
        <f>IF(TrRoad_act!K68=0,0,TrRoad_ene!K71/TrRoad_tech!K99)</f>
        <v>1.1000000000067303</v>
      </c>
      <c r="L126" s="93">
        <f>IF(TrRoad_act!L68=0,0,TrRoad_ene!L71/TrRoad_tech!L99)</f>
        <v>1.1000000000067303</v>
      </c>
      <c r="M126" s="93">
        <f>IF(TrRoad_act!M68=0,0,TrRoad_ene!M71/TrRoad_tech!M99)</f>
        <v>1.10000000000673</v>
      </c>
      <c r="N126" s="93">
        <f>IF(TrRoad_act!N68=0,0,TrRoad_ene!N71/TrRoad_tech!N99)</f>
        <v>1.1000000000067303</v>
      </c>
      <c r="O126" s="93">
        <f>IF(TrRoad_act!O68=0,0,TrRoad_ene!O71/TrRoad_tech!O99)</f>
        <v>1.1000000000067303</v>
      </c>
      <c r="P126" s="93">
        <f>IF(TrRoad_act!P68=0,0,TrRoad_ene!P71/TrRoad_tech!P99)</f>
        <v>1.1000000000067303</v>
      </c>
      <c r="Q126" s="93">
        <f>IF(TrRoad_act!Q68=0,0,TrRoad_ene!Q71/TrRoad_tech!Q99)</f>
        <v>1.1000000000067303</v>
      </c>
      <c r="R126" s="93">
        <f>IF(TrRoad_act!R68=0,0,TrRoad_ene!R71/TrRoad_tech!R99)</f>
        <v>1.1000000000067303</v>
      </c>
      <c r="S126" s="93">
        <f>IF(TrRoad_act!S68=0,0,TrRoad_ene!S71/TrRoad_tech!S99)</f>
        <v>1.1012700951202872</v>
      </c>
      <c r="T126" s="93">
        <f>IF(TrRoad_act!T68=0,0,TrRoad_ene!T71/TrRoad_tech!T99)</f>
        <v>1.1012700951202874</v>
      </c>
      <c r="U126" s="93">
        <f>IF(TrRoad_act!U68=0,0,TrRoad_ene!U71/TrRoad_tech!U99)</f>
        <v>1.1106084692019629</v>
      </c>
      <c r="V126" s="93">
        <f>IF(TrRoad_act!V68=0,0,TrRoad_ene!V71/TrRoad_tech!V99)</f>
        <v>1.1108401152225831</v>
      </c>
      <c r="W126" s="93">
        <f>IF(TrRoad_act!W68=0,0,TrRoad_ene!W71/TrRoad_tech!W99)</f>
        <v>1.1123375805849434</v>
      </c>
      <c r="X126" s="93">
        <f>IF(TrRoad_act!X68=0,0,TrRoad_ene!X71/TrRoad_tech!X99)</f>
        <v>1.1137661228644755</v>
      </c>
      <c r="Y126" s="93">
        <f>IF(TrRoad_act!Y68=0,0,TrRoad_ene!Y71/TrRoad_tech!Y99)</f>
        <v>1.1139521077002061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1.0499146656164509</v>
      </c>
      <c r="C127" s="93">
        <f>IF(TrRoad_act!C69=0,0,TrRoad_ene!C72/TrRoad_tech!C100)</f>
        <v>1.3296672355778043</v>
      </c>
      <c r="D127" s="93">
        <f>IF(TrRoad_act!D69=0,0,TrRoad_ene!D72/TrRoad_tech!D100)</f>
        <v>1.4924063883364576</v>
      </c>
      <c r="E127" s="93">
        <f>IF(TrRoad_act!E69=0,0,TrRoad_ene!E72/TrRoad_tech!E100)</f>
        <v>1.2720890575975279</v>
      </c>
      <c r="F127" s="93">
        <f>IF(TrRoad_act!F69=0,0,TrRoad_ene!F72/TrRoad_tech!F100)</f>
        <v>1.3060426494333506</v>
      </c>
      <c r="G127" s="93">
        <f>IF(TrRoad_act!G69=0,0,TrRoad_ene!G72/TrRoad_tech!G100)</f>
        <v>1.3235709614084992</v>
      </c>
      <c r="H127" s="93">
        <f>IF(TrRoad_act!H69=0,0,TrRoad_ene!H72/TrRoad_tech!H100)</f>
        <v>1.3087838460875911</v>
      </c>
      <c r="I127" s="93">
        <f>IF(TrRoad_act!I69=0,0,TrRoad_ene!I72/TrRoad_tech!I100)</f>
        <v>1.3323748888739224</v>
      </c>
      <c r="J127" s="93">
        <f>IF(TrRoad_act!J69=0,0,TrRoad_ene!J72/TrRoad_tech!J100)</f>
        <v>1.2900759617620325</v>
      </c>
      <c r="K127" s="93">
        <f>IF(TrRoad_act!K69=0,0,TrRoad_ene!K72/TrRoad_tech!K100)</f>
        <v>1.1922475327530671</v>
      </c>
      <c r="L127" s="93">
        <f>IF(TrRoad_act!L69=0,0,TrRoad_ene!L72/TrRoad_tech!L100)</f>
        <v>1.3427603918899114</v>
      </c>
      <c r="M127" s="93">
        <f>IF(TrRoad_act!M69=0,0,TrRoad_ene!M72/TrRoad_tech!M100)</f>
        <v>1.3622521661422322</v>
      </c>
      <c r="N127" s="93">
        <f>IF(TrRoad_act!N69=0,0,TrRoad_ene!N72/TrRoad_tech!N100)</f>
        <v>1.3633421330485354</v>
      </c>
      <c r="O127" s="93">
        <f>IF(TrRoad_act!O69=0,0,TrRoad_ene!O72/TrRoad_tech!O100)</f>
        <v>1.284772185650737</v>
      </c>
      <c r="P127" s="93">
        <f>IF(TrRoad_act!P69=0,0,TrRoad_ene!P72/TrRoad_tech!P100)</f>
        <v>1.2850992118283802</v>
      </c>
      <c r="Q127" s="93">
        <f>IF(TrRoad_act!Q69=0,0,TrRoad_ene!Q72/TrRoad_tech!Q100)</f>
        <v>1.2434214910408792</v>
      </c>
      <c r="R127" s="93">
        <f>IF(TrRoad_act!R69=0,0,TrRoad_ene!R72/TrRoad_tech!R100)</f>
        <v>1.1805763732378447</v>
      </c>
      <c r="S127" s="93">
        <f>IF(TrRoad_act!S69=0,0,TrRoad_ene!S72/TrRoad_tech!S100)</f>
        <v>1.1912112326658568</v>
      </c>
      <c r="T127" s="93">
        <f>IF(TrRoad_act!T69=0,0,TrRoad_ene!T72/TrRoad_tech!T100)</f>
        <v>1.1908328896776166</v>
      </c>
      <c r="U127" s="93">
        <f>IF(TrRoad_act!U69=0,0,TrRoad_ene!U72/TrRoad_tech!U100)</f>
        <v>1.2056389010144974</v>
      </c>
      <c r="V127" s="93">
        <f>IF(TrRoad_act!V69=0,0,TrRoad_ene!V72/TrRoad_tech!V100)</f>
        <v>1.1975698132959514</v>
      </c>
      <c r="W127" s="93">
        <f>IF(TrRoad_act!W69=0,0,TrRoad_ene!W72/TrRoad_tech!W100)</f>
        <v>1.2719743418213627</v>
      </c>
      <c r="X127" s="93">
        <f>IF(TrRoad_act!X69=0,0,TrRoad_ene!X72/TrRoad_tech!X100)</f>
        <v>1.2773970293711701</v>
      </c>
      <c r="Y127" s="93">
        <f>IF(TrRoad_act!Y69=0,0,TrRoad_ene!Y72/TrRoad_tech!Y100)</f>
        <v>1.3513384395264265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1.3402704049142131</v>
      </c>
      <c r="U128" s="93">
        <f>IF(TrRoad_act!U70=0,0,TrRoad_ene!U73/TrRoad_tech!U101)</f>
        <v>1.3402704049142133</v>
      </c>
      <c r="V128" s="93">
        <f>IF(TrRoad_act!V70=0,0,TrRoad_ene!V73/TrRoad_tech!V101)</f>
        <v>1.3402704049142133</v>
      </c>
      <c r="W128" s="93">
        <f>IF(TrRoad_act!W70=0,0,TrRoad_ene!W73/TrRoad_tech!W101)</f>
        <v>1.3402704049142131</v>
      </c>
      <c r="X128" s="93">
        <f>IF(TrRoad_act!X70=0,0,TrRoad_ene!X73/TrRoad_tech!X101)</f>
        <v>1.3402704049142133</v>
      </c>
      <c r="Y128" s="93">
        <f>IF(TrRoad_act!Y70=0,0,TrRoad_ene!Y73/TrRoad_tech!Y101)</f>
        <v>1.3402704049142136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1.3454395511027541</v>
      </c>
      <c r="M129" s="93">
        <f>IF(TrRoad_act!M71=0,0,TrRoad_ene!M74/TrRoad_tech!M102)</f>
        <v>2.4533257069845997</v>
      </c>
      <c r="N129" s="93">
        <f>IF(TrRoad_act!N71=0,0,TrRoad_ene!N74/TrRoad_tech!N102)</f>
        <v>4.4384620250242195</v>
      </c>
      <c r="O129" s="93">
        <f>IF(TrRoad_act!O71=0,0,TrRoad_ene!O74/TrRoad_tech!O102)</f>
        <v>1.4947166741927904</v>
      </c>
      <c r="P129" s="93">
        <f>IF(TrRoad_act!P71=0,0,TrRoad_ene!P74/TrRoad_tech!P102)</f>
        <v>1.3468336125019231</v>
      </c>
      <c r="Q129" s="93">
        <f>IF(TrRoad_act!Q71=0,0,TrRoad_ene!Q74/TrRoad_tech!Q102)</f>
        <v>1.4702831688465479</v>
      </c>
      <c r="R129" s="93">
        <f>IF(TrRoad_act!R71=0,0,TrRoad_ene!R74/TrRoad_tech!R102)</f>
        <v>1.2258402941228776</v>
      </c>
      <c r="S129" s="93">
        <f>IF(TrRoad_act!S71=0,0,TrRoad_ene!S74/TrRoad_tech!S102)</f>
        <v>0.71643018986967011</v>
      </c>
      <c r="T129" s="93">
        <f>IF(TrRoad_act!T71=0,0,TrRoad_ene!T74/TrRoad_tech!T102)</f>
        <v>1.6552111107761354</v>
      </c>
      <c r="U129" s="93">
        <f>IF(TrRoad_act!U71=0,0,TrRoad_ene!U74/TrRoad_tech!U102)</f>
        <v>1.63900870403738</v>
      </c>
      <c r="V129" s="93">
        <f>IF(TrRoad_act!V71=0,0,TrRoad_ene!V74/TrRoad_tech!V102)</f>
        <v>1.6818887343649567</v>
      </c>
      <c r="W129" s="93">
        <f>IF(TrRoad_act!W71=0,0,TrRoad_ene!W74/TrRoad_tech!W102)</f>
        <v>1.2296590296566361</v>
      </c>
      <c r="X129" s="93">
        <f>IF(TrRoad_act!X71=0,0,TrRoad_ene!X74/TrRoad_tech!X102)</f>
        <v>0.39773047220925478</v>
      </c>
      <c r="Y129" s="93">
        <f>IF(TrRoad_act!Y71=0,0,TrRoad_ene!Y74/TrRoad_tech!Y102)</f>
        <v>1.0921470407307805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1.2000000000070941</v>
      </c>
      <c r="M130" s="93">
        <f>IF(TrRoad_act!M72=0,0,TrRoad_ene!M75/TrRoad_tech!M103)</f>
        <v>1.2000000000070941</v>
      </c>
      <c r="N130" s="93">
        <f>IF(TrRoad_act!N72=0,0,TrRoad_ene!N75/TrRoad_tech!N103)</f>
        <v>1.2000000000070941</v>
      </c>
      <c r="O130" s="93">
        <f>IF(TrRoad_act!O72=0,0,TrRoad_ene!O75/TrRoad_tech!O103)</f>
        <v>1.2000000000070943</v>
      </c>
      <c r="P130" s="93">
        <f>IF(TrRoad_act!P72=0,0,TrRoad_ene!P75/TrRoad_tech!P103)</f>
        <v>1.2000000000070941</v>
      </c>
      <c r="Q130" s="93">
        <f>IF(TrRoad_act!Q72=0,0,TrRoad_ene!Q75/TrRoad_tech!Q103)</f>
        <v>1.2000000000070941</v>
      </c>
      <c r="R130" s="93">
        <f>IF(TrRoad_act!R72=0,0,TrRoad_ene!R75/TrRoad_tech!R103)</f>
        <v>1.2000000000070941</v>
      </c>
      <c r="S130" s="93">
        <f>IF(TrRoad_act!S72=0,0,TrRoad_ene!S75/TrRoad_tech!S103)</f>
        <v>1.2000000000070945</v>
      </c>
      <c r="T130" s="93">
        <f>IF(TrRoad_act!T72=0,0,TrRoad_ene!T75/TrRoad_tech!T103)</f>
        <v>1.2000000000070941</v>
      </c>
      <c r="U130" s="93">
        <f>IF(TrRoad_act!U72=0,0,TrRoad_ene!U75/TrRoad_tech!U103)</f>
        <v>1.2000000000070941</v>
      </c>
      <c r="V130" s="93">
        <f>IF(TrRoad_act!V72=0,0,TrRoad_ene!V75/TrRoad_tech!V103)</f>
        <v>1.2000000000070943</v>
      </c>
      <c r="W130" s="93">
        <f>IF(TrRoad_act!W72=0,0,TrRoad_ene!W75/TrRoad_tech!W103)</f>
        <v>1.2058430140456473</v>
      </c>
      <c r="X130" s="93">
        <f>IF(TrRoad_act!X72=0,0,TrRoad_ene!X75/TrRoad_tech!X103)</f>
        <v>1.2060059238725287</v>
      </c>
      <c r="Y130" s="93">
        <f>IF(TrRoad_act!Y72=0,0,TrRoad_ene!Y75/TrRoad_tech!Y103)</f>
        <v>1.2084919612574265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1.0623570740263002</v>
      </c>
      <c r="C132" s="150">
        <f>IF(TrRoad_act!C74=0,0,TrRoad_ene!C77/TrRoad_tech!C105)</f>
        <v>1.2637102021114908</v>
      </c>
      <c r="D132" s="150">
        <f>IF(TrRoad_act!D74=0,0,TrRoad_ene!D77/TrRoad_tech!D105)</f>
        <v>1.3794555754307416</v>
      </c>
      <c r="E132" s="150">
        <f>IF(TrRoad_act!E74=0,0,TrRoad_ene!E77/TrRoad_tech!E105)</f>
        <v>1.2161768270980293</v>
      </c>
      <c r="F132" s="150">
        <f>IF(TrRoad_act!F74=0,0,TrRoad_ene!F77/TrRoad_tech!F105)</f>
        <v>1.2336068390662289</v>
      </c>
      <c r="G132" s="150">
        <f>IF(TrRoad_act!G74=0,0,TrRoad_ene!G77/TrRoad_tech!G105)</f>
        <v>1.2421593085493965</v>
      </c>
      <c r="H132" s="150">
        <f>IF(TrRoad_act!H74=0,0,TrRoad_ene!H77/TrRoad_tech!H105)</f>
        <v>1.2268309727548792</v>
      </c>
      <c r="I132" s="150">
        <f>IF(TrRoad_act!I74=0,0,TrRoad_ene!I77/TrRoad_tech!I105)</f>
        <v>1.2469811940670763</v>
      </c>
      <c r="J132" s="150">
        <f>IF(TrRoad_act!J74=0,0,TrRoad_ene!J77/TrRoad_tech!J105)</f>
        <v>1.2168015783675024</v>
      </c>
      <c r="K132" s="150">
        <f>IF(TrRoad_act!K74=0,0,TrRoad_ene!K77/TrRoad_tech!K105)</f>
        <v>1.1483494034190653</v>
      </c>
      <c r="L132" s="150">
        <f>IF(TrRoad_act!L74=0,0,TrRoad_ene!L77/TrRoad_tech!L105)</f>
        <v>1.2646767885095171</v>
      </c>
      <c r="M132" s="150">
        <f>IF(TrRoad_act!M74=0,0,TrRoad_ene!M77/TrRoad_tech!M105)</f>
        <v>1.280759411833067</v>
      </c>
      <c r="N132" s="150">
        <f>IF(TrRoad_act!N74=0,0,TrRoad_ene!N77/TrRoad_tech!N105)</f>
        <v>1.2857071108993958</v>
      </c>
      <c r="O132" s="150">
        <f>IF(TrRoad_act!O74=0,0,TrRoad_ene!O77/TrRoad_tech!O105)</f>
        <v>1.2258612044632708</v>
      </c>
      <c r="P132" s="150">
        <f>IF(TrRoad_act!P74=0,0,TrRoad_ene!P77/TrRoad_tech!P105)</f>
        <v>1.2273047290020238</v>
      </c>
      <c r="Q132" s="150">
        <f>IF(TrRoad_act!Q74=0,0,TrRoad_ene!Q77/TrRoad_tech!Q105)</f>
        <v>1.192743524756114</v>
      </c>
      <c r="R132" s="150">
        <f>IF(TrRoad_act!R74=0,0,TrRoad_ene!R77/TrRoad_tech!R105)</f>
        <v>1.1420415172218392</v>
      </c>
      <c r="S132" s="150">
        <f>IF(TrRoad_act!S74=0,0,TrRoad_ene!S77/TrRoad_tech!S105)</f>
        <v>1.150588000590526</v>
      </c>
      <c r="T132" s="150">
        <f>IF(TrRoad_act!T74=0,0,TrRoad_ene!T77/TrRoad_tech!T105)</f>
        <v>1.1518873928751403</v>
      </c>
      <c r="U132" s="150">
        <f>IF(TrRoad_act!U74=0,0,TrRoad_ene!U77/TrRoad_tech!U105)</f>
        <v>1.1642803302642637</v>
      </c>
      <c r="V132" s="150">
        <f>IF(TrRoad_act!V74=0,0,TrRoad_ene!V77/TrRoad_tech!V105)</f>
        <v>1.159410621432045</v>
      </c>
      <c r="W132" s="150">
        <f>IF(TrRoad_act!W74=0,0,TrRoad_ene!W77/TrRoad_tech!W105)</f>
        <v>1.2332041237591047</v>
      </c>
      <c r="X132" s="150">
        <f>IF(TrRoad_act!X74=0,0,TrRoad_ene!X77/TrRoad_tech!X105)</f>
        <v>1.2362148360930003</v>
      </c>
      <c r="Y132" s="150">
        <f>IF(TrRoad_act!Y74=0,0,TrRoad_ene!Y77/TrRoad_tech!Y105)</f>
        <v>1.3063803656189308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1.1000437233170737</v>
      </c>
      <c r="D133" s="91">
        <f>IF(TrRoad_act!D75=0,0,TrRoad_ene!D78/TrRoad_tech!D106)</f>
        <v>1.1001601295484282</v>
      </c>
      <c r="E133" s="91">
        <f>IF(TrRoad_act!E75=0,0,TrRoad_ene!E78/TrRoad_tech!E106)</f>
        <v>1.100340462148574</v>
      </c>
      <c r="F133" s="91">
        <f>IF(TrRoad_act!F75=0,0,TrRoad_ene!F78/TrRoad_tech!F106)</f>
        <v>1.100692590245109</v>
      </c>
      <c r="G133" s="91">
        <f>IF(TrRoad_act!G75=0,0,TrRoad_ene!G78/TrRoad_tech!G106)</f>
        <v>1.1013009603225612</v>
      </c>
      <c r="H133" s="91">
        <f>IF(TrRoad_act!H75=0,0,TrRoad_ene!H78/TrRoad_tech!H106)</f>
        <v>1.1023295985511912</v>
      </c>
      <c r="I133" s="91">
        <f>IF(TrRoad_act!I75=0,0,TrRoad_ene!I78/TrRoad_tech!I106)</f>
        <v>1.1038536589270083</v>
      </c>
      <c r="J133" s="91">
        <f>IF(TrRoad_act!J75=0,0,TrRoad_ene!J78/TrRoad_tech!J106)</f>
        <v>1.1084835144771663</v>
      </c>
      <c r="K133" s="91">
        <f>IF(TrRoad_act!K75=0,0,TrRoad_ene!K78/TrRoad_tech!K106)</f>
        <v>1.1130879079160045</v>
      </c>
      <c r="L133" s="91">
        <f>IF(TrRoad_act!L75=0,0,TrRoad_ene!L78/TrRoad_tech!L106)</f>
        <v>1.1162657795529956</v>
      </c>
      <c r="M133" s="91">
        <f>IF(TrRoad_act!M75=0,0,TrRoad_ene!M78/TrRoad_tech!M106)</f>
        <v>1.1205466334055867</v>
      </c>
      <c r="N133" s="91">
        <f>IF(TrRoad_act!N75=0,0,TrRoad_ene!N78/TrRoad_tech!N106)</f>
        <v>1.1277180941355709</v>
      </c>
      <c r="O133" s="91">
        <f>IF(TrRoad_act!O75=0,0,TrRoad_ene!O78/TrRoad_tech!O106)</f>
        <v>1.1347364092691652</v>
      </c>
      <c r="P133" s="91">
        <f>IF(TrRoad_act!P75=0,0,TrRoad_ene!P78/TrRoad_tech!P106)</f>
        <v>1.1425671089674174</v>
      </c>
      <c r="Q133" s="91">
        <f>IF(TrRoad_act!Q75=0,0,TrRoad_ene!Q78/TrRoad_tech!Q106)</f>
        <v>1.1535782594973309</v>
      </c>
      <c r="R133" s="91">
        <f>IF(TrRoad_act!R75=0,0,TrRoad_ene!R78/TrRoad_tech!R106)</f>
        <v>1.1659791324808946</v>
      </c>
      <c r="S133" s="91">
        <f>IF(TrRoad_act!S75=0,0,TrRoad_ene!S78/TrRoad_tech!S106)</f>
        <v>1.17757943977574</v>
      </c>
      <c r="T133" s="91">
        <f>IF(TrRoad_act!T75=0,0,TrRoad_ene!T78/TrRoad_tech!T106)</f>
        <v>1.1917811660555397</v>
      </c>
      <c r="U133" s="91">
        <f>IF(TrRoad_act!U75=0,0,TrRoad_ene!U78/TrRoad_tech!U106)</f>
        <v>1.2075279025182946</v>
      </c>
      <c r="V133" s="91">
        <f>IF(TrRoad_act!V75=0,0,TrRoad_ene!V78/TrRoad_tech!V106)</f>
        <v>1.2209888758412608</v>
      </c>
      <c r="W133" s="91">
        <f>IF(TrRoad_act!W75=0,0,TrRoad_ene!W78/TrRoad_tech!W106)</f>
        <v>1.2334500895518785</v>
      </c>
      <c r="X133" s="91">
        <f>IF(TrRoad_act!X75=0,0,TrRoad_ene!X78/TrRoad_tech!X106)</f>
        <v>1.2466234023420375</v>
      </c>
      <c r="Y133" s="91">
        <f>IF(TrRoad_act!Y75=0,0,TrRoad_ene!Y78/TrRoad_tech!Y106)</f>
        <v>1.2561276695069874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1.0499146656164511</v>
      </c>
      <c r="C134" s="91">
        <f>IF(TrRoad_act!C76=0,0,TrRoad_ene!C79/TrRoad_tech!C107)</f>
        <v>1.3289133813507799</v>
      </c>
      <c r="D134" s="91">
        <f>IF(TrRoad_act!D76=0,0,TrRoad_ene!D79/TrRoad_tech!D107)</f>
        <v>1.4894759749101418</v>
      </c>
      <c r="E134" s="91">
        <f>IF(TrRoad_act!E76=0,0,TrRoad_ene!E79/TrRoad_tech!E107)</f>
        <v>1.2663606270337484</v>
      </c>
      <c r="F134" s="91">
        <f>IF(TrRoad_act!F76=0,0,TrRoad_ene!F79/TrRoad_tech!F107)</f>
        <v>1.2970779104219996</v>
      </c>
      <c r="G134" s="91">
        <f>IF(TrRoad_act!G76=0,0,TrRoad_ene!G79/TrRoad_tech!G107)</f>
        <v>1.309201587563271</v>
      </c>
      <c r="H134" s="91">
        <f>IF(TrRoad_act!H76=0,0,TrRoad_ene!H79/TrRoad_tech!H107)</f>
        <v>1.2916079124126314</v>
      </c>
      <c r="I134" s="91">
        <f>IF(TrRoad_act!I76=0,0,TrRoad_ene!I79/TrRoad_tech!I107)</f>
        <v>1.313515483265804</v>
      </c>
      <c r="J134" s="91">
        <f>IF(TrRoad_act!J76=0,0,TrRoad_ene!J79/TrRoad_tech!J107)</f>
        <v>1.2730798437240263</v>
      </c>
      <c r="K134" s="91">
        <f>IF(TrRoad_act!K76=0,0,TrRoad_ene!K79/TrRoad_tech!K107)</f>
        <v>1.1785164427415313</v>
      </c>
      <c r="L134" s="91">
        <f>IF(TrRoad_act!L76=0,0,TrRoad_ene!L79/TrRoad_tech!L107)</f>
        <v>1.3225648213524508</v>
      </c>
      <c r="M134" s="91">
        <f>IF(TrRoad_act!M76=0,0,TrRoad_ene!M79/TrRoad_tech!M107)</f>
        <v>1.3380940952869056</v>
      </c>
      <c r="N134" s="91">
        <f>IF(TrRoad_act!N76=0,0,TrRoad_ene!N79/TrRoad_tech!N107)</f>
        <v>1.3360617925155012</v>
      </c>
      <c r="O134" s="91">
        <f>IF(TrRoad_act!O76=0,0,TrRoad_ene!O79/TrRoad_tech!O107)</f>
        <v>1.2561346660060024</v>
      </c>
      <c r="P134" s="91">
        <f>IF(TrRoad_act!P76=0,0,TrRoad_ene!P79/TrRoad_tech!P107)</f>
        <v>1.2547244644400628</v>
      </c>
      <c r="Q134" s="91">
        <f>IF(TrRoad_act!Q76=0,0,TrRoad_ene!Q79/TrRoad_tech!Q107)</f>
        <v>1.2111541976225504</v>
      </c>
      <c r="R134" s="91">
        <f>IF(TrRoad_act!R76=0,0,TrRoad_ene!R79/TrRoad_tech!R107)</f>
        <v>1.1512565155189582</v>
      </c>
      <c r="S134" s="91">
        <f>IF(TrRoad_act!S76=0,0,TrRoad_ene!S79/TrRoad_tech!S107)</f>
        <v>1.159963839707661</v>
      </c>
      <c r="T134" s="91">
        <f>IF(TrRoad_act!T76=0,0,TrRoad_ene!T79/TrRoad_tech!T107)</f>
        <v>1.1608327674532413</v>
      </c>
      <c r="U134" s="91">
        <f>IF(TrRoad_act!U76=0,0,TrRoad_ene!U79/TrRoad_tech!U107)</f>
        <v>1.173040875079568</v>
      </c>
      <c r="V134" s="91">
        <f>IF(TrRoad_act!V76=0,0,TrRoad_ene!V79/TrRoad_tech!V107)</f>
        <v>1.165121388462421</v>
      </c>
      <c r="W134" s="91">
        <f>IF(TrRoad_act!W76=0,0,TrRoad_ene!W79/TrRoad_tech!W107)</f>
        <v>1.2439584812133626</v>
      </c>
      <c r="X134" s="91">
        <f>IF(TrRoad_act!X76=0,0,TrRoad_ene!X79/TrRoad_tech!X107)</f>
        <v>1.2461382753495007</v>
      </c>
      <c r="Y134" s="91">
        <f>IF(TrRoad_act!Y76=0,0,TrRoad_ene!Y79/TrRoad_tech!Y107)</f>
        <v>1.3192006610975056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1.3172635731932032</v>
      </c>
      <c r="S135" s="91">
        <f>IF(TrRoad_act!S77=0,0,TrRoad_ene!S80/TrRoad_tech!S108)</f>
        <v>1.329272685838307</v>
      </c>
      <c r="T135" s="91">
        <f>IF(TrRoad_act!T77=0,0,TrRoad_ene!T80/TrRoad_tech!T108)</f>
        <v>1.3329077163285228</v>
      </c>
      <c r="U135" s="91">
        <f>IF(TrRoad_act!U77=0,0,TrRoad_ene!U80/TrRoad_tech!U108)</f>
        <v>1.3368447242653971</v>
      </c>
      <c r="V135" s="91">
        <f>IF(TrRoad_act!V77=0,0,TrRoad_ene!V80/TrRoad_tech!V108)</f>
        <v>1.3371537415113031</v>
      </c>
      <c r="W135" s="91">
        <f>IF(TrRoad_act!W77=0,0,TrRoad_ene!W80/TrRoad_tech!W108)</f>
        <v>1.3371537415113028</v>
      </c>
      <c r="X135" s="91">
        <f>IF(TrRoad_act!X77=0,0,TrRoad_ene!X80/TrRoad_tech!X108)</f>
        <v>1.3374936913801483</v>
      </c>
      <c r="Y135" s="91">
        <f>IF(TrRoad_act!Y77=0,0,TrRoad_ene!Y80/TrRoad_tech!Y108)</f>
        <v>1.3403450277142799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1.2555952353742965</v>
      </c>
      <c r="P136" s="91">
        <f>IF(TrRoad_act!P78=0,0,TrRoad_ene!P81/TrRoad_tech!P109)</f>
        <v>1.2611184419129247</v>
      </c>
      <c r="Q136" s="91">
        <f>IF(TrRoad_act!Q78=0,0,TrRoad_ene!Q81/TrRoad_tech!Q109)</f>
        <v>1.272249595729428</v>
      </c>
      <c r="R136" s="91">
        <f>IF(TrRoad_act!R78=0,0,TrRoad_ene!R81/TrRoad_tech!R109)</f>
        <v>1.2724319559252237</v>
      </c>
      <c r="S136" s="91">
        <f>IF(TrRoad_act!S78=0,0,TrRoad_ene!S81/TrRoad_tech!S109)</f>
        <v>1.2989492781828971</v>
      </c>
      <c r="T136" s="91">
        <f>IF(TrRoad_act!T78=0,0,TrRoad_ene!T81/TrRoad_tech!T109)</f>
        <v>1.3085437097878996</v>
      </c>
      <c r="U136" s="91">
        <f>IF(TrRoad_act!U78=0,0,TrRoad_ene!U81/TrRoad_tech!U109)</f>
        <v>1.316503190413373</v>
      </c>
      <c r="V136" s="91">
        <f>IF(TrRoad_act!V78=0,0,TrRoad_ene!V81/TrRoad_tech!V109)</f>
        <v>1.3263651402949939</v>
      </c>
      <c r="W136" s="91">
        <f>IF(TrRoad_act!W78=0,0,TrRoad_ene!W81/TrRoad_tech!W109)</f>
        <v>1.3268144788022089</v>
      </c>
      <c r="X136" s="91">
        <f>IF(TrRoad_act!X78=0,0,TrRoad_ene!X81/TrRoad_tech!X109)</f>
        <v>1.3274627133662815</v>
      </c>
      <c r="Y136" s="91">
        <f>IF(TrRoad_act!Y78=0,0,TrRoad_ene!Y81/TrRoad_tech!Y109)</f>
        <v>1.3321255186668226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1.1560000000067705</v>
      </c>
      <c r="J137" s="91">
        <f>IF(TrRoad_act!J79=0,0,TrRoad_ene!J82/TrRoad_tech!J110)</f>
        <v>1.1560000000067703</v>
      </c>
      <c r="K137" s="91">
        <f>IF(TrRoad_act!K79=0,0,TrRoad_ene!K82/TrRoad_tech!K110)</f>
        <v>1.1560000000067703</v>
      </c>
      <c r="L137" s="91">
        <f>IF(TrRoad_act!L79=0,0,TrRoad_ene!L82/TrRoad_tech!L110)</f>
        <v>1.1560000000067703</v>
      </c>
      <c r="M137" s="91">
        <f>IF(TrRoad_act!M79=0,0,TrRoad_ene!M82/TrRoad_tech!M110)</f>
        <v>1.1560000000067705</v>
      </c>
      <c r="N137" s="91">
        <f>IF(TrRoad_act!N79=0,0,TrRoad_ene!N82/TrRoad_tech!N110)</f>
        <v>1.1851884076662718</v>
      </c>
      <c r="O137" s="91">
        <f>IF(TrRoad_act!O79=0,0,TrRoad_ene!O82/TrRoad_tech!O110)</f>
        <v>1.2278279197370048</v>
      </c>
      <c r="P137" s="91">
        <f>IF(TrRoad_act!P79=0,0,TrRoad_ene!P82/TrRoad_tech!P110)</f>
        <v>1.2578184183606995</v>
      </c>
      <c r="Q137" s="91">
        <f>IF(TrRoad_act!Q79=0,0,TrRoad_ene!Q82/TrRoad_tech!Q110)</f>
        <v>1.2637463319451419</v>
      </c>
      <c r="R137" s="91">
        <f>IF(TrRoad_act!R79=0,0,TrRoad_ene!R82/TrRoad_tech!R110)</f>
        <v>1.2896463107820229</v>
      </c>
      <c r="S137" s="91">
        <f>IF(TrRoad_act!S79=0,0,TrRoad_ene!S82/TrRoad_tech!S110)</f>
        <v>1.2918978767339302</v>
      </c>
      <c r="T137" s="91">
        <f>IF(TrRoad_act!T79=0,0,TrRoad_ene!T82/TrRoad_tech!T110)</f>
        <v>1.2947184575818638</v>
      </c>
      <c r="U137" s="91">
        <f>IF(TrRoad_act!U79=0,0,TrRoad_ene!U82/TrRoad_tech!U110)</f>
        <v>1.3069691682536735</v>
      </c>
      <c r="V137" s="91">
        <f>IF(TrRoad_act!V79=0,0,TrRoad_ene!V82/TrRoad_tech!V110)</f>
        <v>1.3433008053168454</v>
      </c>
      <c r="W137" s="91">
        <f>IF(TrRoad_act!W79=0,0,TrRoad_ene!W82/TrRoad_tech!W110)</f>
        <v>1.3550070513106247</v>
      </c>
      <c r="X137" s="91">
        <f>IF(TrRoad_act!X79=0,0,TrRoad_ene!X82/TrRoad_tech!X110)</f>
        <v>1.3608228067648136</v>
      </c>
      <c r="Y137" s="91">
        <f>IF(TrRoad_act!Y79=0,0,TrRoad_ene!Y82/TrRoad_tech!Y110)</f>
        <v>1.3627463025673789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1.0735963802601249</v>
      </c>
      <c r="C138" s="151">
        <f>IF(TrRoad_act!C80=0,0,TrRoad_ene!C83/TrRoad_tech!C111)</f>
        <v>1.29738960023753</v>
      </c>
      <c r="D138" s="151">
        <f>IF(TrRoad_act!D80=0,0,TrRoad_ene!D83/TrRoad_tech!D111)</f>
        <v>1.4090527458255095</v>
      </c>
      <c r="E138" s="151">
        <f>IF(TrRoad_act!E80=0,0,TrRoad_ene!E83/TrRoad_tech!E111)</f>
        <v>1.1873112286870975</v>
      </c>
      <c r="F138" s="151">
        <f>IF(TrRoad_act!F80=0,0,TrRoad_ene!F83/TrRoad_tech!F111)</f>
        <v>1.233123068011986</v>
      </c>
      <c r="G138" s="151">
        <f>IF(TrRoad_act!G80=0,0,TrRoad_ene!G83/TrRoad_tech!G111)</f>
        <v>1.2716971229166008</v>
      </c>
      <c r="H138" s="151">
        <f>IF(TrRoad_act!H80=0,0,TrRoad_ene!H83/TrRoad_tech!H111)</f>
        <v>1.2793754158694302</v>
      </c>
      <c r="I138" s="151">
        <f>IF(TrRoad_act!I80=0,0,TrRoad_ene!I83/TrRoad_tech!I111)</f>
        <v>1.3642791904939813</v>
      </c>
      <c r="J138" s="151">
        <f>IF(TrRoad_act!J80=0,0,TrRoad_ene!J83/TrRoad_tech!J111)</f>
        <v>1.3809572402235006</v>
      </c>
      <c r="K138" s="151">
        <f>IF(TrRoad_act!K80=0,0,TrRoad_ene!K83/TrRoad_tech!K111)</f>
        <v>1.3165859055200273</v>
      </c>
      <c r="L138" s="151">
        <f>IF(TrRoad_act!L80=0,0,TrRoad_ene!L83/TrRoad_tech!L111)</f>
        <v>1.62539255077494</v>
      </c>
      <c r="M138" s="151">
        <f>IF(TrRoad_act!M80=0,0,TrRoad_ene!M83/TrRoad_tech!M111)</f>
        <v>1.6505306511250697</v>
      </c>
      <c r="N138" s="151">
        <f>IF(TrRoad_act!N80=0,0,TrRoad_ene!N83/TrRoad_tech!N111)</f>
        <v>1.6624690079583933</v>
      </c>
      <c r="O138" s="151">
        <f>IF(TrRoad_act!O80=0,0,TrRoad_ene!O83/TrRoad_tech!O111)</f>
        <v>1.4570910525101797</v>
      </c>
      <c r="P138" s="151">
        <f>IF(TrRoad_act!P80=0,0,TrRoad_ene!P83/TrRoad_tech!P111)</f>
        <v>1.4485505771644336</v>
      </c>
      <c r="Q138" s="151">
        <f>IF(TrRoad_act!Q80=0,0,TrRoad_ene!Q83/TrRoad_tech!Q111)</f>
        <v>1.3376989489264435</v>
      </c>
      <c r="R138" s="151">
        <f>IF(TrRoad_act!R80=0,0,TrRoad_ene!R83/TrRoad_tech!R111)</f>
        <v>1.1744719297450297</v>
      </c>
      <c r="S138" s="151">
        <f>IF(TrRoad_act!S80=0,0,TrRoad_ene!S83/TrRoad_tech!S111)</f>
        <v>1.1753831354854833</v>
      </c>
      <c r="T138" s="151">
        <f>IF(TrRoad_act!T80=0,0,TrRoad_ene!T83/TrRoad_tech!T111)</f>
        <v>1.1644515663273252</v>
      </c>
      <c r="U138" s="151">
        <f>IF(TrRoad_act!U80=0,0,TrRoad_ene!U83/TrRoad_tech!U111)</f>
        <v>1.1644832483680791</v>
      </c>
      <c r="V138" s="151">
        <f>IF(TrRoad_act!V80=0,0,TrRoad_ene!V83/TrRoad_tech!V111)</f>
        <v>1.1073542308687607</v>
      </c>
      <c r="W138" s="151">
        <f>IF(TrRoad_act!W80=0,0,TrRoad_ene!W83/TrRoad_tech!W111)</f>
        <v>1.2750406258591183</v>
      </c>
      <c r="X138" s="151">
        <f>IF(TrRoad_act!X80=0,0,TrRoad_ene!X83/TrRoad_tech!X111)</f>
        <v>1.352699702664403</v>
      </c>
      <c r="Y138" s="151">
        <f>IF(TrRoad_act!Y80=0,0,TrRoad_ene!Y83/TrRoad_tech!Y111)</f>
        <v>1.5648387072938876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1.0410869693437625</v>
      </c>
      <c r="C139" s="93">
        <f>IF(TrRoad_act!C81=0,0,TrRoad_ene!C84/TrRoad_tech!C112)</f>
        <v>1.2546168268277325</v>
      </c>
      <c r="D139" s="93">
        <f>IF(TrRoad_act!D81=0,0,TrRoad_ene!D84/TrRoad_tech!D112)</f>
        <v>1.3675004993026769</v>
      </c>
      <c r="E139" s="93">
        <f>IF(TrRoad_act!E81=0,0,TrRoad_ene!E84/TrRoad_tech!E112)</f>
        <v>1.1607974840391224</v>
      </c>
      <c r="F139" s="93">
        <f>IF(TrRoad_act!F81=0,0,TrRoad_ene!F84/TrRoad_tech!F112)</f>
        <v>1.2061423264119788</v>
      </c>
      <c r="G139" s="93">
        <f>IF(TrRoad_act!G81=0,0,TrRoad_ene!G84/TrRoad_tech!G112)</f>
        <v>1.2442659778882665</v>
      </c>
      <c r="H139" s="93">
        <f>IF(TrRoad_act!H81=0,0,TrRoad_ene!H84/TrRoad_tech!H112)</f>
        <v>1.2524053671668689</v>
      </c>
      <c r="I139" s="93">
        <f>IF(TrRoad_act!I81=0,0,TrRoad_ene!I84/TrRoad_tech!I112)</f>
        <v>1.3358350543877735</v>
      </c>
      <c r="J139" s="93">
        <f>IF(TrRoad_act!J81=0,0,TrRoad_ene!J84/TrRoad_tech!J112)</f>
        <v>1.3532751560494178</v>
      </c>
      <c r="K139" s="93">
        <f>IF(TrRoad_act!K81=0,0,TrRoad_ene!K84/TrRoad_tech!K112)</f>
        <v>1.2885092378219201</v>
      </c>
      <c r="L139" s="93">
        <f>IF(TrRoad_act!L81=0,0,TrRoad_ene!L84/TrRoad_tech!L112)</f>
        <v>1.5895940875490528</v>
      </c>
      <c r="M139" s="93">
        <f>IF(TrRoad_act!M81=0,0,TrRoad_ene!M84/TrRoad_tech!M112)</f>
        <v>1.6142814409879729</v>
      </c>
      <c r="N139" s="93">
        <f>IF(TrRoad_act!N81=0,0,TrRoad_ene!N84/TrRoad_tech!N112)</f>
        <v>1.6253571798088355</v>
      </c>
      <c r="O139" s="93">
        <f>IF(TrRoad_act!O81=0,0,TrRoad_ene!O84/TrRoad_tech!O112)</f>
        <v>1.4225309954694885</v>
      </c>
      <c r="P139" s="93">
        <f>IF(TrRoad_act!P81=0,0,TrRoad_ene!P84/TrRoad_tech!P112)</f>
        <v>1.4116440936645185</v>
      </c>
      <c r="Q139" s="93">
        <f>IF(TrRoad_act!Q81=0,0,TrRoad_ene!Q84/TrRoad_tech!Q112)</f>
        <v>1.2985610574955049</v>
      </c>
      <c r="R139" s="93">
        <f>IF(TrRoad_act!R81=0,0,TrRoad_ene!R84/TrRoad_tech!R112)</f>
        <v>1.1412300570316647</v>
      </c>
      <c r="S139" s="93">
        <f>IF(TrRoad_act!S81=0,0,TrRoad_ene!S84/TrRoad_tech!S112)</f>
        <v>1.1346292648839318</v>
      </c>
      <c r="T139" s="93">
        <f>IF(TrRoad_act!T81=0,0,TrRoad_ene!T84/TrRoad_tech!T112)</f>
        <v>1.1211533716786477</v>
      </c>
      <c r="U139" s="93">
        <f>IF(TrRoad_act!U81=0,0,TrRoad_ene!U84/TrRoad_tech!U112)</f>
        <v>1.1125412213437187</v>
      </c>
      <c r="V139" s="93">
        <f>IF(TrRoad_act!V81=0,0,TrRoad_ene!V84/TrRoad_tech!V112)</f>
        <v>1.0422828599233398</v>
      </c>
      <c r="W139" s="93">
        <f>IF(TrRoad_act!W81=0,0,TrRoad_ene!W84/TrRoad_tech!W112)</f>
        <v>1.2144335716045558</v>
      </c>
      <c r="X139" s="93">
        <f>IF(TrRoad_act!X81=0,0,TrRoad_ene!X84/TrRoad_tech!X112)</f>
        <v>1.2773018424262172</v>
      </c>
      <c r="Y139" s="93">
        <f>IF(TrRoad_act!Y81=0,0,TrRoad_ene!Y84/TrRoad_tech!Y112)</f>
        <v>1.4695668625629117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1.0410869693437623</v>
      </c>
      <c r="C140" s="94">
        <f>IF(TrRoad_act!C82=0,0,TrRoad_ene!C85/TrRoad_tech!C113)</f>
        <v>1.2548457704942892</v>
      </c>
      <c r="D140" s="94">
        <f>IF(TrRoad_act!D82=0,0,TrRoad_ene!D85/TrRoad_tech!D113)</f>
        <v>1.3656048063405219</v>
      </c>
      <c r="E140" s="94">
        <f>IF(TrRoad_act!E82=0,0,TrRoad_ene!E85/TrRoad_tech!E113)</f>
        <v>1.1552498701190199</v>
      </c>
      <c r="F140" s="94">
        <f>IF(TrRoad_act!F82=0,0,TrRoad_ene!F85/TrRoad_tech!F113)</f>
        <v>1.2016526300370254</v>
      </c>
      <c r="G140" s="94">
        <f>IF(TrRoad_act!G82=0,0,TrRoad_ene!G85/TrRoad_tech!G113)</f>
        <v>1.2400145379686036</v>
      </c>
      <c r="H140" s="94">
        <f>IF(TrRoad_act!H82=0,0,TrRoad_ene!H85/TrRoad_tech!H113)</f>
        <v>1.2486608846346701</v>
      </c>
      <c r="I140" s="94">
        <f>IF(TrRoad_act!I82=0,0,TrRoad_ene!I85/TrRoad_tech!I113)</f>
        <v>1.3325289755750327</v>
      </c>
      <c r="J140" s="94">
        <f>IF(TrRoad_act!J82=0,0,TrRoad_ene!J85/TrRoad_tech!J113)</f>
        <v>1.3462109848305732</v>
      </c>
      <c r="K140" s="94">
        <f>IF(TrRoad_act!K82=0,0,TrRoad_ene!K85/TrRoad_tech!K113)</f>
        <v>1.2789627689791947</v>
      </c>
      <c r="L140" s="94">
        <f>IF(TrRoad_act!L82=0,0,TrRoad_ene!L85/TrRoad_tech!L113)</f>
        <v>1.5832959103059552</v>
      </c>
      <c r="M140" s="94">
        <f>IF(TrRoad_act!M82=0,0,TrRoad_ene!M85/TrRoad_tech!M113)</f>
        <v>1.6275647923407754</v>
      </c>
      <c r="N140" s="94">
        <f>IF(TrRoad_act!N82=0,0,TrRoad_ene!N85/TrRoad_tech!N113)</f>
        <v>1.6437596739040714</v>
      </c>
      <c r="O140" s="94">
        <f>IF(TrRoad_act!O82=0,0,TrRoad_ene!O85/TrRoad_tech!O113)</f>
        <v>1.4585430103083483</v>
      </c>
      <c r="P140" s="94">
        <f>IF(TrRoad_act!P82=0,0,TrRoad_ene!P85/TrRoad_tech!P113)</f>
        <v>1.4388352806468643</v>
      </c>
      <c r="Q140" s="94">
        <f>IF(TrRoad_act!Q82=0,0,TrRoad_ene!Q85/TrRoad_tech!Q113)</f>
        <v>1.3350442928757793</v>
      </c>
      <c r="R140" s="94">
        <f>IF(TrRoad_act!R82=0,0,TrRoad_ene!R85/TrRoad_tech!R113)</f>
        <v>1.1654020431491663</v>
      </c>
      <c r="S140" s="94">
        <f>IF(TrRoad_act!S82=0,0,TrRoad_ene!S85/TrRoad_tech!S113)</f>
        <v>1.1505297568851802</v>
      </c>
      <c r="T140" s="94">
        <f>IF(TrRoad_act!T82=0,0,TrRoad_ene!T85/TrRoad_tech!T113)</f>
        <v>1.1375709303848109</v>
      </c>
      <c r="U140" s="94">
        <f>IF(TrRoad_act!U82=0,0,TrRoad_ene!U85/TrRoad_tech!U113)</f>
        <v>1.1196510549915315</v>
      </c>
      <c r="V140" s="94">
        <f>IF(TrRoad_act!V82=0,0,TrRoad_ene!V85/TrRoad_tech!V113)</f>
        <v>1.0706751867438147</v>
      </c>
      <c r="W140" s="94">
        <f>IF(TrRoad_act!W82=0,0,TrRoad_ene!W85/TrRoad_tech!W113)</f>
        <v>1.2345794210144438</v>
      </c>
      <c r="X140" s="94">
        <f>IF(TrRoad_act!X82=0,0,TrRoad_ene!X85/TrRoad_tech!X113)</f>
        <v>1.3226930465777151</v>
      </c>
      <c r="Y140" s="94">
        <f>IF(TrRoad_act!Y82=0,0,TrRoad_ene!Y85/TrRoad_tech!Y113)</f>
        <v>1.5107439971064769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4.2349544738946534</v>
      </c>
      <c r="C144" s="141">
        <v>4.2118989994108267</v>
      </c>
      <c r="D144" s="141">
        <v>4.1864289860440715</v>
      </c>
      <c r="E144" s="141">
        <v>4.1340285227643001</v>
      </c>
      <c r="F144" s="141">
        <v>4.1283036115029645</v>
      </c>
      <c r="G144" s="141">
        <v>4.0726901878214239</v>
      </c>
      <c r="H144" s="141">
        <v>3.9905552364598198</v>
      </c>
      <c r="I144" s="141">
        <v>3.9320209396857613</v>
      </c>
      <c r="J144" s="141">
        <v>3.7411126743587904</v>
      </c>
      <c r="K144" s="141">
        <v>3.5351911213362777</v>
      </c>
      <c r="L144" s="141">
        <v>3.406614287803639</v>
      </c>
      <c r="M144" s="141">
        <v>3.2707344441575397</v>
      </c>
      <c r="N144" s="141">
        <v>3.1961395052837673</v>
      </c>
      <c r="O144" s="141">
        <v>3.0819937618339144</v>
      </c>
      <c r="P144" s="141">
        <v>2.9468222454768167</v>
      </c>
      <c r="Q144" s="141">
        <v>2.8399781350758744</v>
      </c>
      <c r="R144" s="141">
        <v>2.7675342610223184</v>
      </c>
      <c r="S144" s="141">
        <v>2.7095791617794736</v>
      </c>
      <c r="T144" s="141">
        <v>2.6632150823851974</v>
      </c>
      <c r="U144" s="141">
        <v>2.6261238188697766</v>
      </c>
      <c r="V144" s="141">
        <v>2.59645080805744</v>
      </c>
      <c r="W144" s="141">
        <v>2.5727123994075707</v>
      </c>
      <c r="X144" s="141">
        <v>2.5537216724876752</v>
      </c>
      <c r="Y144" s="141">
        <v>2.538529090951759</v>
      </c>
      <c r="DA144" s="174" t="s">
        <v>887</v>
      </c>
    </row>
    <row r="145" spans="1:105" ht="11.45" customHeight="1" x14ac:dyDescent="0.25">
      <c r="A145" s="109" t="s">
        <v>20</v>
      </c>
      <c r="B145" s="130">
        <v>7.8397092179869929</v>
      </c>
      <c r="C145" s="130">
        <v>7.809298937024904</v>
      </c>
      <c r="D145" s="130">
        <v>7.9971928616578678</v>
      </c>
      <c r="E145" s="130">
        <v>7.8727427527866958</v>
      </c>
      <c r="F145" s="130">
        <v>7.746759146538408</v>
      </c>
      <c r="G145" s="130">
        <v>7.6254972546243538</v>
      </c>
      <c r="H145" s="130">
        <v>7.541199699094677</v>
      </c>
      <c r="I145" s="130">
        <v>7.3861188966088989</v>
      </c>
      <c r="J145" s="130">
        <v>7.1012083686252003</v>
      </c>
      <c r="K145" s="130">
        <v>6.775441794876782</v>
      </c>
      <c r="L145" s="130">
        <v>6.4625323939006307</v>
      </c>
      <c r="M145" s="130">
        <v>6.2672688496211588</v>
      </c>
      <c r="N145" s="130">
        <v>6.1178079257581919</v>
      </c>
      <c r="O145" s="130">
        <v>5.8830515695503482</v>
      </c>
      <c r="P145" s="130">
        <v>5.7149468034221993</v>
      </c>
      <c r="Q145" s="130">
        <v>5.4799381670018326</v>
      </c>
      <c r="R145" s="130">
        <v>5.3450813149236494</v>
      </c>
      <c r="S145" s="130">
        <v>5.3358093229647778</v>
      </c>
      <c r="T145" s="130">
        <v>5.343126313129817</v>
      </c>
      <c r="U145" s="130">
        <v>5.3774479820941776</v>
      </c>
      <c r="V145" s="130">
        <v>5.0541285893801549</v>
      </c>
      <c r="W145" s="130">
        <v>4.9358082862397659</v>
      </c>
      <c r="X145" s="130">
        <v>5.0921276842739003</v>
      </c>
      <c r="Y145" s="130">
        <v>4.9853829242558243</v>
      </c>
      <c r="DA145" s="176" t="s">
        <v>888</v>
      </c>
    </row>
    <row r="146" spans="1:105" ht="11.45" customHeight="1" x14ac:dyDescent="0.25">
      <c r="A146" s="111" t="s">
        <v>110</v>
      </c>
      <c r="B146" s="96">
        <v>8.2870722106619663</v>
      </c>
      <c r="C146" s="96">
        <v>8.2419566413975733</v>
      </c>
      <c r="D146" s="96">
        <v>8.1921162378518133</v>
      </c>
      <c r="E146" s="96">
        <v>8.0895776094560627</v>
      </c>
      <c r="F146" s="96">
        <v>8.078374949943484</v>
      </c>
      <c r="G146" s="96">
        <v>7.969549114678431</v>
      </c>
      <c r="H146" s="96">
        <v>7.8088252445285677</v>
      </c>
      <c r="I146" s="96">
        <v>7.6942837666550528</v>
      </c>
      <c r="J146" s="96">
        <v>7.3207093657661861</v>
      </c>
      <c r="K146" s="96">
        <v>6.9177565618698429</v>
      </c>
      <c r="L146" s="96">
        <v>6.6661539742454856</v>
      </c>
      <c r="M146" s="96">
        <v>6.3998198514176696</v>
      </c>
      <c r="N146" s="96">
        <v>6.2537011177698201</v>
      </c>
      <c r="O146" s="96">
        <v>6.0302633452018224</v>
      </c>
      <c r="P146" s="96">
        <v>5.7722908267720214</v>
      </c>
      <c r="Q146" s="96">
        <v>5.5609788272511906</v>
      </c>
      <c r="R146" s="96">
        <v>5.4326155474749438</v>
      </c>
      <c r="S146" s="96">
        <v>5.3419346663404745</v>
      </c>
      <c r="T146" s="96">
        <v>5.3256011983441045</v>
      </c>
      <c r="U146" s="96">
        <v>5.3461757379659511</v>
      </c>
      <c r="V146" s="96">
        <v>5.180170820558855</v>
      </c>
      <c r="W146" s="96">
        <v>5.0299424982512173</v>
      </c>
      <c r="X146" s="96">
        <v>5.0324641261801295</v>
      </c>
      <c r="Y146" s="96">
        <v>4.9293394991381625</v>
      </c>
      <c r="DA146" s="171" t="s">
        <v>889</v>
      </c>
    </row>
    <row r="147" spans="1:105" ht="11.45" customHeight="1" x14ac:dyDescent="0.25">
      <c r="A147" s="111" t="s">
        <v>111</v>
      </c>
      <c r="B147" s="96">
        <v>7.001700352699376</v>
      </c>
      <c r="C147" s="96">
        <v>6.998221811069981</v>
      </c>
      <c r="D147" s="96">
        <v>6.9943587916645171</v>
      </c>
      <c r="E147" s="96">
        <v>7.010293746712061</v>
      </c>
      <c r="F147" s="96">
        <v>6.9640582332028949</v>
      </c>
      <c r="G147" s="96">
        <v>6.9848219625072732</v>
      </c>
      <c r="H147" s="96">
        <v>7.0296088437393873</v>
      </c>
      <c r="I147" s="96">
        <v>6.9649032686978414</v>
      </c>
      <c r="J147" s="96">
        <v>6.6506707839345083</v>
      </c>
      <c r="K147" s="96">
        <v>6.3893133772834849</v>
      </c>
      <c r="L147" s="96">
        <v>6.1438909256800072</v>
      </c>
      <c r="M147" s="96">
        <v>6.1224246550005752</v>
      </c>
      <c r="N147" s="96">
        <v>6.0799591219247802</v>
      </c>
      <c r="O147" s="96">
        <v>5.7604776497919872</v>
      </c>
      <c r="P147" s="96">
        <v>5.7072346732342236</v>
      </c>
      <c r="Q147" s="96">
        <v>5.3995574069382544</v>
      </c>
      <c r="R147" s="96">
        <v>5.2581948433463976</v>
      </c>
      <c r="S147" s="96">
        <v>5.3346509650166283</v>
      </c>
      <c r="T147" s="96">
        <v>5.3868159115426746</v>
      </c>
      <c r="U147" s="96">
        <v>5.4827188996304237</v>
      </c>
      <c r="V147" s="96">
        <v>5.0581070525403398</v>
      </c>
      <c r="W147" s="96">
        <v>4.9958505355567073</v>
      </c>
      <c r="X147" s="96">
        <v>5.2794770764573142</v>
      </c>
      <c r="Y147" s="96">
        <v>5.3138611669095503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8.1705489916932272</v>
      </c>
      <c r="D148" s="96">
        <v>8.4205647872577991</v>
      </c>
      <c r="E148" s="96">
        <v>8.6210862682407932</v>
      </c>
      <c r="F148" s="96">
        <v>8.4669018675452659</v>
      </c>
      <c r="G148" s="96">
        <v>8.1691697113834856</v>
      </c>
      <c r="H148" s="96">
        <v>8.2227508173331643</v>
      </c>
      <c r="I148" s="96">
        <v>0</v>
      </c>
      <c r="J148" s="96">
        <v>7.7278000769347708</v>
      </c>
      <c r="K148" s="96">
        <v>7.2171493698711915</v>
      </c>
      <c r="L148" s="96">
        <v>0</v>
      </c>
      <c r="M148" s="96">
        <v>6.4604626289482967</v>
      </c>
      <c r="N148" s="96">
        <v>6.3262093932375638</v>
      </c>
      <c r="O148" s="96">
        <v>6.0089964685980481</v>
      </c>
      <c r="P148" s="96">
        <v>5.7599188947701494</v>
      </c>
      <c r="Q148" s="96">
        <v>4.9804765692808415</v>
      </c>
      <c r="R148" s="96">
        <v>4.8655129401893698</v>
      </c>
      <c r="S148" s="96">
        <v>4.7842981005358247</v>
      </c>
      <c r="T148" s="96">
        <v>4.7617771467098216</v>
      </c>
      <c r="U148" s="96">
        <v>6.3671371991975718</v>
      </c>
      <c r="V148" s="96">
        <v>4.7298848531317512</v>
      </c>
      <c r="W148" s="96">
        <v>4.5454848477022871</v>
      </c>
      <c r="X148" s="96">
        <v>4.4510139676087173</v>
      </c>
      <c r="Y148" s="96">
        <v>4.5306809417820615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7.6824141716557461</v>
      </c>
      <c r="M149" s="96">
        <v>8.0289892470687878</v>
      </c>
      <c r="N149" s="96">
        <v>8.1280106971868147</v>
      </c>
      <c r="O149" s="96">
        <v>7.90521243442128</v>
      </c>
      <c r="P149" s="96">
        <v>7.746972273938594</v>
      </c>
      <c r="Q149" s="96">
        <v>6.1534064860099829</v>
      </c>
      <c r="R149" s="96">
        <v>5.2756428146207375</v>
      </c>
      <c r="S149" s="96">
        <v>6.504058915251405</v>
      </c>
      <c r="T149" s="96">
        <v>5.8753536068795782</v>
      </c>
      <c r="U149" s="96">
        <v>4.8909718606991115</v>
      </c>
      <c r="V149" s="96">
        <v>4.6526480310326637</v>
      </c>
      <c r="W149" s="96">
        <v>4.4142810361073854</v>
      </c>
      <c r="X149" s="96">
        <v>4.4788927495922586</v>
      </c>
      <c r="Y149" s="96">
        <v>4.4542508405251944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3.0196164684340623</v>
      </c>
      <c r="Q150" s="96">
        <v>3.7416871423976326</v>
      </c>
      <c r="R150" s="96">
        <v>3.5086316855129018</v>
      </c>
      <c r="S150" s="96">
        <v>2.7903498237423601</v>
      </c>
      <c r="T150" s="96">
        <v>3.4668375286791879</v>
      </c>
      <c r="U150" s="96">
        <v>3.5587559756853731</v>
      </c>
      <c r="V150" s="96">
        <v>3.6768066632629637</v>
      </c>
      <c r="W150" s="96">
        <v>3.0325295517195814</v>
      </c>
      <c r="X150" s="96">
        <v>3.0637629752854569</v>
      </c>
      <c r="Y150" s="96">
        <v>2.8653319133260351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1.3660444793588575</v>
      </c>
      <c r="K151" s="96">
        <v>0</v>
      </c>
      <c r="L151" s="96">
        <v>1.3438572636687782</v>
      </c>
      <c r="M151" s="96">
        <v>1.3438572636687782</v>
      </c>
      <c r="N151" s="96">
        <v>1.2398989921073802</v>
      </c>
      <c r="O151" s="96">
        <v>1.2910906806005691</v>
      </c>
      <c r="P151" s="96">
        <v>1.3669980491124893</v>
      </c>
      <c r="Q151" s="96">
        <v>1.3078245915735167</v>
      </c>
      <c r="R151" s="96">
        <v>1.434866723989682</v>
      </c>
      <c r="S151" s="96">
        <v>1.4044138721696757</v>
      </c>
      <c r="T151" s="96">
        <v>1.6985014126028746</v>
      </c>
      <c r="U151" s="96">
        <v>1.6913267300197652</v>
      </c>
      <c r="V151" s="96">
        <v>1.5432237581850654</v>
      </c>
      <c r="W151" s="96">
        <v>1.5618919443361479</v>
      </c>
      <c r="X151" s="96">
        <v>1.682111112908504</v>
      </c>
      <c r="Y151" s="96">
        <v>1.5336790740350172</v>
      </c>
      <c r="DA151" s="171" t="s">
        <v>894</v>
      </c>
    </row>
    <row r="152" spans="1:105" ht="11.45" customHeight="1" x14ac:dyDescent="0.25">
      <c r="A152" s="109" t="s">
        <v>21</v>
      </c>
      <c r="B152" s="130">
        <v>47.327877548074795</v>
      </c>
      <c r="C152" s="130">
        <v>47.263184452697367</v>
      </c>
      <c r="D152" s="130">
        <v>47.191406944367714</v>
      </c>
      <c r="E152" s="130">
        <v>47.042336840555286</v>
      </c>
      <c r="F152" s="130">
        <v>47.026033541771191</v>
      </c>
      <c r="G152" s="130">
        <v>46.866042176136979</v>
      </c>
      <c r="H152" s="130">
        <v>46.62612353313807</v>
      </c>
      <c r="I152" s="130">
        <v>46.453241200600814</v>
      </c>
      <c r="J152" s="130">
        <v>45.868081342743785</v>
      </c>
      <c r="K152" s="130">
        <v>45.209725362902788</v>
      </c>
      <c r="L152" s="130">
        <v>39.731474182094303</v>
      </c>
      <c r="M152" s="130">
        <v>44.210606021086377</v>
      </c>
      <c r="N152" s="130">
        <v>44.054346628404836</v>
      </c>
      <c r="O152" s="130">
        <v>43.354427028114657</v>
      </c>
      <c r="P152" s="130">
        <v>42.694727335084693</v>
      </c>
      <c r="Q152" s="130">
        <v>42.194440677876557</v>
      </c>
      <c r="R152" s="130">
        <v>41.422670792430623</v>
      </c>
      <c r="S152" s="130">
        <v>40.555309192492999</v>
      </c>
      <c r="T152" s="130">
        <v>40.453862714735997</v>
      </c>
      <c r="U152" s="130">
        <v>38.671449026524236</v>
      </c>
      <c r="V152" s="130">
        <v>37.755876086653707</v>
      </c>
      <c r="W152" s="130">
        <v>36.793179254641615</v>
      </c>
      <c r="X152" s="130">
        <v>35.798287342510541</v>
      </c>
      <c r="Y152" s="130">
        <v>35.825656233624343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10.281868020415109</v>
      </c>
      <c r="T153" s="97">
        <v>0</v>
      </c>
      <c r="U153" s="97">
        <v>9.7468079607991065</v>
      </c>
      <c r="V153" s="97">
        <v>0</v>
      </c>
      <c r="W153" s="97">
        <v>9.2984696096640604</v>
      </c>
      <c r="X153" s="97">
        <v>9.1002345723379801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47.327877548074802</v>
      </c>
      <c r="C154" s="97">
        <v>47.263184452697367</v>
      </c>
      <c r="D154" s="97">
        <v>47.191406944367714</v>
      </c>
      <c r="E154" s="97">
        <v>47.042336840555286</v>
      </c>
      <c r="F154" s="97">
        <v>47.026033541771191</v>
      </c>
      <c r="G154" s="97">
        <v>46.866042176136979</v>
      </c>
      <c r="H154" s="97">
        <v>46.62612353313807</v>
      </c>
      <c r="I154" s="97">
        <v>46.453241200600814</v>
      </c>
      <c r="J154" s="97">
        <v>45.868081342743785</v>
      </c>
      <c r="K154" s="97">
        <v>45.209725362902788</v>
      </c>
      <c r="L154" s="97">
        <v>44.787122020847207</v>
      </c>
      <c r="M154" s="97">
        <v>44.326742937606298</v>
      </c>
      <c r="N154" s="97">
        <v>44.069606974593242</v>
      </c>
      <c r="O154" s="97">
        <v>43.665306282111359</v>
      </c>
      <c r="P154" s="97">
        <v>43.170248599747119</v>
      </c>
      <c r="Q154" s="97">
        <v>42.767999999909243</v>
      </c>
      <c r="R154" s="97">
        <v>42.148748884497159</v>
      </c>
      <c r="S154" s="97">
        <v>41.386850903871029</v>
      </c>
      <c r="T154" s="97">
        <v>40.53483792909811</v>
      </c>
      <c r="U154" s="97">
        <v>39.629295693058474</v>
      </c>
      <c r="V154" s="97">
        <v>38.695420034556605</v>
      </c>
      <c r="W154" s="97">
        <v>37.750393703021864</v>
      </c>
      <c r="X154" s="97">
        <v>36.805820307322435</v>
      </c>
      <c r="Y154" s="97">
        <v>35.869447311633429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34.814694675567708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37.699597660645793</v>
      </c>
      <c r="M156" s="97">
        <v>37.312073179803285</v>
      </c>
      <c r="N156" s="97">
        <v>37.095628766492631</v>
      </c>
      <c r="O156" s="97">
        <v>36.75530831827556</v>
      </c>
      <c r="P156" s="97">
        <v>36.338593097430234</v>
      </c>
      <c r="Q156" s="97">
        <v>35.99999999992361</v>
      </c>
      <c r="R156" s="97">
        <v>35.762562029275557</v>
      </c>
      <c r="S156" s="97">
        <v>35.585230748386188</v>
      </c>
      <c r="T156" s="97">
        <v>35.443775073921614</v>
      </c>
      <c r="U156" s="97">
        <v>35.323812546566948</v>
      </c>
      <c r="V156" s="97">
        <v>35.21677797951115</v>
      </c>
      <c r="W156" s="97">
        <v>35.117560265302636</v>
      </c>
      <c r="X156" s="97">
        <v>35.023105697888433</v>
      </c>
      <c r="Y156" s="97">
        <v>34.931588390938728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26.728871449195552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0</v>
      </c>
      <c r="V157" s="97">
        <v>0</v>
      </c>
      <c r="W157" s="97">
        <v>24.372088436877242</v>
      </c>
      <c r="X157" s="97">
        <v>0</v>
      </c>
      <c r="Y157" s="97">
        <v>0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8.6558697446808672</v>
      </c>
      <c r="C159" s="141">
        <v>8.6861757052799753</v>
      </c>
      <c r="D159" s="141">
        <v>8.6665742747057237</v>
      </c>
      <c r="E159" s="141">
        <v>8.626292094552781</v>
      </c>
      <c r="F159" s="141">
        <v>8.6151789543310713</v>
      </c>
      <c r="G159" s="141">
        <v>8.6045320391128133</v>
      </c>
      <c r="H159" s="141">
        <v>8.5874579702428591</v>
      </c>
      <c r="I159" s="141">
        <v>8.546159183540583</v>
      </c>
      <c r="J159" s="141">
        <v>8.4267994835927738</v>
      </c>
      <c r="K159" s="141">
        <v>8.2998602030532496</v>
      </c>
      <c r="L159" s="141">
        <v>8.528020211648446</v>
      </c>
      <c r="M159" s="141">
        <v>8.5387339651094258</v>
      </c>
      <c r="N159" s="141">
        <v>8.0004639479437767</v>
      </c>
      <c r="O159" s="141">
        <v>7.7983317498569127</v>
      </c>
      <c r="P159" s="141">
        <v>7.4953354946015995</v>
      </c>
      <c r="Q159" s="141">
        <v>7.0227056637042393</v>
      </c>
      <c r="R159" s="141">
        <v>6.943330666848639</v>
      </c>
      <c r="S159" s="141">
        <v>6.7481544976553351</v>
      </c>
      <c r="T159" s="141">
        <v>6.7620597033856358</v>
      </c>
      <c r="U159" s="141">
        <v>6.778924884608502</v>
      </c>
      <c r="V159" s="141">
        <v>6.5388324290445397</v>
      </c>
      <c r="W159" s="141">
        <v>6.4738041713087391</v>
      </c>
      <c r="X159" s="141">
        <v>6.2752358029628486</v>
      </c>
      <c r="Y159" s="141">
        <v>6.3632895893487751</v>
      </c>
      <c r="DA159" s="174" t="s">
        <v>901</v>
      </c>
    </row>
    <row r="160" spans="1:105" ht="11.45" customHeight="1" x14ac:dyDescent="0.25">
      <c r="A160" s="111" t="s">
        <v>110</v>
      </c>
      <c r="B160" s="96">
        <v>8.8058919071594648</v>
      </c>
      <c r="C160" s="96">
        <v>8.7579518366287541</v>
      </c>
      <c r="D160" s="96">
        <v>8.7049911292671727</v>
      </c>
      <c r="E160" s="96">
        <v>8.5960329767365771</v>
      </c>
      <c r="F160" s="96">
        <v>8.58412896453145</v>
      </c>
      <c r="G160" s="96">
        <v>8.4684899888245067</v>
      </c>
      <c r="H160" s="96">
        <v>8.29770385453463</v>
      </c>
      <c r="I160" s="96">
        <v>8.1759914032128265</v>
      </c>
      <c r="J160" s="96">
        <v>7.7790290370255484</v>
      </c>
      <c r="K160" s="96">
        <v>7.3508490061778886</v>
      </c>
      <c r="L160" s="96">
        <v>7.0834946096117308</v>
      </c>
      <c r="M160" s="96">
        <v>6.8009548036031724</v>
      </c>
      <c r="N160" s="96">
        <v>6.6458468862470923</v>
      </c>
      <c r="O160" s="96">
        <v>6.8523885189396809</v>
      </c>
      <c r="P160" s="96">
        <v>7.0650476255322134</v>
      </c>
      <c r="Q160" s="96">
        <v>5.8450537459321525</v>
      </c>
      <c r="R160" s="96">
        <v>5.6354988399766732</v>
      </c>
      <c r="S160" s="96">
        <v>5.5923874509613327</v>
      </c>
      <c r="T160" s="96">
        <v>5.556374175173036</v>
      </c>
      <c r="U160" s="96">
        <v>5.5150540007710172</v>
      </c>
      <c r="V160" s="96">
        <v>5.6139093772781035</v>
      </c>
      <c r="W160" s="96">
        <v>5.5697296097331979</v>
      </c>
      <c r="X160" s="96">
        <v>5.613464484201085</v>
      </c>
      <c r="Y160" s="96">
        <v>6.8203094039395884</v>
      </c>
      <c r="DA160" s="171" t="s">
        <v>902</v>
      </c>
    </row>
    <row r="161" spans="1:105" ht="11.45" customHeight="1" x14ac:dyDescent="0.25">
      <c r="A161" s="111" t="s">
        <v>111</v>
      </c>
      <c r="B161" s="96">
        <v>8.5645347847331816</v>
      </c>
      <c r="C161" s="96">
        <v>8.5602798053304152</v>
      </c>
      <c r="D161" s="96">
        <v>8.5555545296965558</v>
      </c>
      <c r="E161" s="96">
        <v>8.5750462916862347</v>
      </c>
      <c r="F161" s="96">
        <v>8.5184906489434553</v>
      </c>
      <c r="G161" s="96">
        <v>8.5438890054754566</v>
      </c>
      <c r="H161" s="96">
        <v>8.5986726698555387</v>
      </c>
      <c r="I161" s="96">
        <v>8.5195243029883638</v>
      </c>
      <c r="J161" s="96">
        <v>8.1351526631464601</v>
      </c>
      <c r="K161" s="96">
        <v>7.8154582335430307</v>
      </c>
      <c r="L161" s="96">
        <v>7.5152555659292801</v>
      </c>
      <c r="M161" s="96">
        <v>7.4889978552773799</v>
      </c>
      <c r="N161" s="96">
        <v>7.4370536821681457</v>
      </c>
      <c r="O161" s="96">
        <v>7.2678836969947254</v>
      </c>
      <c r="P161" s="96">
        <v>7.115632064003762</v>
      </c>
      <c r="Q161" s="96">
        <v>6.6146344051904808</v>
      </c>
      <c r="R161" s="96">
        <v>6.5222674792820907</v>
      </c>
      <c r="S161" s="96">
        <v>6.2112168857737915</v>
      </c>
      <c r="T161" s="96">
        <v>6.3583322509922207</v>
      </c>
      <c r="U161" s="96">
        <v>6.2637722629795212</v>
      </c>
      <c r="V161" s="96">
        <v>6.760675593074045</v>
      </c>
      <c r="W161" s="96">
        <v>6.6460978486591307</v>
      </c>
      <c r="X161" s="96">
        <v>6.6871376431626635</v>
      </c>
      <c r="Y161" s="96">
        <v>6.6746386217954026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6.4099052044589619</v>
      </c>
      <c r="S162" s="96">
        <v>5.6785737381784092</v>
      </c>
      <c r="T162" s="96">
        <v>5.6785737381784092</v>
      </c>
      <c r="U162" s="96">
        <v>6.1517882163599431</v>
      </c>
      <c r="V162" s="96">
        <v>0</v>
      </c>
      <c r="W162" s="96">
        <v>0</v>
      </c>
      <c r="X162" s="96">
        <v>0</v>
      </c>
      <c r="Y162" s="96">
        <v>5.7724246015361533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7.1676071396739971</v>
      </c>
      <c r="O163" s="96">
        <v>7.1162338760070192</v>
      </c>
      <c r="P163" s="96">
        <v>8.6215910420854254</v>
      </c>
      <c r="Q163" s="96">
        <v>6.5597078933962143</v>
      </c>
      <c r="R163" s="96">
        <v>0</v>
      </c>
      <c r="S163" s="96">
        <v>5.3371754070052626</v>
      </c>
      <c r="T163" s="96">
        <v>5.4284091746463794</v>
      </c>
      <c r="U163" s="96">
        <v>5.7050535023323441</v>
      </c>
      <c r="V163" s="96">
        <v>5.9605036591531952</v>
      </c>
      <c r="W163" s="96">
        <v>7.493204600078303</v>
      </c>
      <c r="X163" s="96">
        <v>6.5263073110977583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1.1248227778002144</v>
      </c>
      <c r="J164" s="96">
        <v>0</v>
      </c>
      <c r="K164" s="96">
        <v>0</v>
      </c>
      <c r="L164" s="96">
        <v>0</v>
      </c>
      <c r="M164" s="96">
        <v>0</v>
      </c>
      <c r="N164" s="96">
        <v>1.0752054238138422</v>
      </c>
      <c r="O164" s="96">
        <v>1.0748065348237317</v>
      </c>
      <c r="P164" s="96">
        <v>1.5108709003807885</v>
      </c>
      <c r="Q164" s="96">
        <v>1.3757523645743766</v>
      </c>
      <c r="R164" s="96">
        <v>1.3614216107767265</v>
      </c>
      <c r="S164" s="96">
        <v>2.0634328000182762</v>
      </c>
      <c r="T164" s="96">
        <v>2.2269991401547724</v>
      </c>
      <c r="U164" s="96">
        <v>1.418744625967326</v>
      </c>
      <c r="V164" s="96">
        <v>2.466432965143198</v>
      </c>
      <c r="W164" s="96">
        <v>2.457314826188429</v>
      </c>
      <c r="X164" s="96">
        <v>2.0760103181427345</v>
      </c>
      <c r="Y164" s="96">
        <v>1.992726555121717</v>
      </c>
      <c r="DA164" s="171" t="s">
        <v>906</v>
      </c>
    </row>
    <row r="165" spans="1:105" ht="11.45" customHeight="1" x14ac:dyDescent="0.25">
      <c r="A165" s="109" t="s">
        <v>154</v>
      </c>
      <c r="B165" s="130">
        <v>31.193468641868211</v>
      </c>
      <c r="C165" s="130">
        <v>31.131075110394562</v>
      </c>
      <c r="D165" s="130">
        <v>30.536016885850128</v>
      </c>
      <c r="E165" s="130">
        <v>30.296393325026621</v>
      </c>
      <c r="F165" s="130">
        <v>30.276209768570329</v>
      </c>
      <c r="G165" s="130">
        <v>29.949383911446102</v>
      </c>
      <c r="H165" s="130">
        <v>29.626048375047144</v>
      </c>
      <c r="I165" s="130">
        <v>29.322730247871462</v>
      </c>
      <c r="J165" s="130">
        <v>28.782169706005547</v>
      </c>
      <c r="K165" s="130">
        <v>28.326325505017131</v>
      </c>
      <c r="L165" s="130">
        <v>28.578295318054288</v>
      </c>
      <c r="M165" s="130">
        <v>27.884959110234814</v>
      </c>
      <c r="N165" s="130">
        <v>27.115015598272912</v>
      </c>
      <c r="O165" s="130">
        <v>27.79618352979751</v>
      </c>
      <c r="P165" s="130">
        <v>25.903864973012208</v>
      </c>
      <c r="Q165" s="130">
        <v>25.654323633816826</v>
      </c>
      <c r="R165" s="130">
        <v>23.926588011404281</v>
      </c>
      <c r="S165" s="130">
        <v>22.846371886367564</v>
      </c>
      <c r="T165" s="130">
        <v>22.003852571282835</v>
      </c>
      <c r="U165" s="130">
        <v>20.512771993581005</v>
      </c>
      <c r="V165" s="130">
        <v>20.93457760338956</v>
      </c>
      <c r="W165" s="130">
        <v>20.34835615728435</v>
      </c>
      <c r="X165" s="130">
        <v>21.065353635621161</v>
      </c>
      <c r="Y165" s="130">
        <v>20.033886955112884</v>
      </c>
      <c r="DA165" s="176" t="s">
        <v>907</v>
      </c>
    </row>
    <row r="166" spans="1:105" ht="11.45" customHeight="1" x14ac:dyDescent="0.25">
      <c r="A166" s="128" t="s">
        <v>27</v>
      </c>
      <c r="B166" s="97">
        <v>30.760080465221883</v>
      </c>
      <c r="C166" s="97">
        <v>30.618556700969961</v>
      </c>
      <c r="D166" s="97">
        <v>30.462071621022645</v>
      </c>
      <c r="E166" s="97">
        <v>30.267218569019974</v>
      </c>
      <c r="F166" s="97">
        <v>30.034492670237089</v>
      </c>
      <c r="G166" s="97">
        <v>29.764481111522272</v>
      </c>
      <c r="H166" s="97">
        <v>29.457859479616104</v>
      </c>
      <c r="I166" s="97">
        <v>29.115387599837305</v>
      </c>
      <c r="J166" s="97">
        <v>28.737904922116556</v>
      </c>
      <c r="K166" s="97">
        <v>28.326325505017131</v>
      </c>
      <c r="L166" s="97">
        <v>27.881632652989762</v>
      </c>
      <c r="M166" s="97">
        <v>27.404873262969264</v>
      </c>
      <c r="N166" s="97">
        <v>26.897151938594412</v>
      </c>
      <c r="O166" s="97">
        <v>26.359624931014157</v>
      </c>
      <c r="P166" s="97">
        <v>25.793493963856609</v>
      </c>
      <c r="Q166" s="97">
        <v>25.19999999994652</v>
      </c>
      <c r="R166" s="97">
        <v>23.77630257067236</v>
      </c>
      <c r="S166" s="97">
        <v>22.779714370180447</v>
      </c>
      <c r="T166" s="97">
        <v>21.73329675966394</v>
      </c>
      <c r="U166" s="97">
        <v>20.454341902365986</v>
      </c>
      <c r="V166" s="97">
        <v>19.989473372218214</v>
      </c>
      <c r="W166" s="97">
        <v>20.34835615728435</v>
      </c>
      <c r="X166" s="97">
        <v>20.236249449608973</v>
      </c>
      <c r="Y166" s="97">
        <v>20.033886955112884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0</v>
      </c>
      <c r="X167" s="98">
        <v>24.612077098006637</v>
      </c>
      <c r="Y167" s="98">
        <v>0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137.82864344607432</v>
      </c>
      <c r="C171" s="152">
        <v>137.34183222197069</v>
      </c>
      <c r="D171" s="152">
        <v>135.95640268615227</v>
      </c>
      <c r="E171" s="152">
        <v>134.03034139868208</v>
      </c>
      <c r="F171" s="152">
        <v>132.11622357524141</v>
      </c>
      <c r="G171" s="152">
        <v>130.19198990756198</v>
      </c>
      <c r="H171" s="152">
        <v>126.99916104764546</v>
      </c>
      <c r="I171" s="152">
        <v>124.59294015125053</v>
      </c>
      <c r="J171" s="152">
        <v>121.38209721545941</v>
      </c>
      <c r="K171" s="152">
        <v>119.77657259151634</v>
      </c>
      <c r="L171" s="152">
        <v>117.92401436709866</v>
      </c>
      <c r="M171" s="152">
        <v>113.54638109151091</v>
      </c>
      <c r="N171" s="152">
        <v>105.2164979889678</v>
      </c>
      <c r="O171" s="152">
        <v>102.93096621445353</v>
      </c>
      <c r="P171" s="152">
        <v>100.50357219622167</v>
      </c>
      <c r="Q171" s="152">
        <v>98.705513216285084</v>
      </c>
      <c r="R171" s="152">
        <v>96.481147680365552</v>
      </c>
      <c r="S171" s="152">
        <v>94.51738615727632</v>
      </c>
      <c r="T171" s="152">
        <v>93.182338677668966</v>
      </c>
      <c r="U171" s="152">
        <v>91.916541306011581</v>
      </c>
      <c r="V171" s="152">
        <v>90.353983684771819</v>
      </c>
      <c r="W171" s="152">
        <v>88.851209051537523</v>
      </c>
      <c r="X171" s="152">
        <v>87.475026349837677</v>
      </c>
      <c r="Y171" s="152">
        <v>86.648366555651577</v>
      </c>
      <c r="DA171" s="174" t="s">
        <v>910</v>
      </c>
    </row>
    <row r="172" spans="1:105" ht="11.45" customHeight="1" x14ac:dyDescent="0.25">
      <c r="A172" s="109" t="s">
        <v>20</v>
      </c>
      <c r="B172" s="116">
        <v>272.19794122401123</v>
      </c>
      <c r="C172" s="116">
        <v>266.96506174415646</v>
      </c>
      <c r="D172" s="116">
        <v>261.43879040811606</v>
      </c>
      <c r="E172" s="116">
        <v>258.91783036602919</v>
      </c>
      <c r="F172" s="116">
        <v>257.04962727888739</v>
      </c>
      <c r="G172" s="116">
        <v>254.6872710070337</v>
      </c>
      <c r="H172" s="116">
        <v>250.46438891583239</v>
      </c>
      <c r="I172" s="116">
        <v>247.01645395546674</v>
      </c>
      <c r="J172" s="116">
        <v>242.51771550750951</v>
      </c>
      <c r="K172" s="116">
        <v>239.09699441738789</v>
      </c>
      <c r="L172" s="116">
        <v>239.26075792071157</v>
      </c>
      <c r="M172" s="116">
        <v>236.73578063095641</v>
      </c>
      <c r="N172" s="116">
        <v>233.05397067092952</v>
      </c>
      <c r="O172" s="116">
        <v>228.6708808169071</v>
      </c>
      <c r="P172" s="116">
        <v>224.15216740580343</v>
      </c>
      <c r="Q172" s="116">
        <v>219.10037851581649</v>
      </c>
      <c r="R172" s="116">
        <v>213.92228185753513</v>
      </c>
      <c r="S172" s="116">
        <v>208.29472783330218</v>
      </c>
      <c r="T172" s="116">
        <v>202.2267043241678</v>
      </c>
      <c r="U172" s="116">
        <v>196.45029192625424</v>
      </c>
      <c r="V172" s="116">
        <v>189.47432733533554</v>
      </c>
      <c r="W172" s="116">
        <v>185.42858561379225</v>
      </c>
      <c r="X172" s="116">
        <v>183.48236921622902</v>
      </c>
      <c r="Y172" s="116">
        <v>176.99988603153542</v>
      </c>
      <c r="DA172" s="176" t="s">
        <v>911</v>
      </c>
    </row>
    <row r="173" spans="1:105" ht="11.45" customHeight="1" x14ac:dyDescent="0.25">
      <c r="A173" s="111" t="s">
        <v>110</v>
      </c>
      <c r="B173" s="87">
        <v>269.70677677315888</v>
      </c>
      <c r="C173" s="87">
        <v>265.34987187947939</v>
      </c>
      <c r="D173" s="87">
        <v>262.90570935353827</v>
      </c>
      <c r="E173" s="87">
        <v>259.64076987693664</v>
      </c>
      <c r="F173" s="87">
        <v>256.88407482391676</v>
      </c>
      <c r="G173" s="87">
        <v>254.37279751908159</v>
      </c>
      <c r="H173" s="87">
        <v>251.21892403420674</v>
      </c>
      <c r="I173" s="87">
        <v>247.80185505998156</v>
      </c>
      <c r="J173" s="87">
        <v>244.93403744527993</v>
      </c>
      <c r="K173" s="87">
        <v>242.26040674140816</v>
      </c>
      <c r="L173" s="87">
        <v>240.52120876306176</v>
      </c>
      <c r="M173" s="87">
        <v>237.04566156683921</v>
      </c>
      <c r="N173" s="87">
        <v>233.34336845359275</v>
      </c>
      <c r="O173" s="87">
        <v>228.90076530141639</v>
      </c>
      <c r="P173" s="87">
        <v>224.73676325014881</v>
      </c>
      <c r="Q173" s="87">
        <v>219.30907435974675</v>
      </c>
      <c r="R173" s="87">
        <v>213.96839792411993</v>
      </c>
      <c r="S173" s="87">
        <v>207.21527745063491</v>
      </c>
      <c r="T173" s="87">
        <v>200.65203545141628</v>
      </c>
      <c r="U173" s="87">
        <v>195.84419248749904</v>
      </c>
      <c r="V173" s="87">
        <v>190.40997393025836</v>
      </c>
      <c r="W173" s="87">
        <v>184.19918512422811</v>
      </c>
      <c r="X173" s="87">
        <v>178.99785525828756</v>
      </c>
      <c r="Y173" s="87">
        <v>173.47562086562641</v>
      </c>
      <c r="DA173" s="171" t="s">
        <v>912</v>
      </c>
    </row>
    <row r="174" spans="1:105" ht="11.45" customHeight="1" x14ac:dyDescent="0.25">
      <c r="A174" s="111" t="s">
        <v>111</v>
      </c>
      <c r="B174" s="87">
        <v>244.86922697634054</v>
      </c>
      <c r="C174" s="87">
        <v>232.7024066446123</v>
      </c>
      <c r="D174" s="87">
        <v>230.33589825342574</v>
      </c>
      <c r="E174" s="87">
        <v>227.21741571071698</v>
      </c>
      <c r="F174" s="87">
        <v>224.0568829704261</v>
      </c>
      <c r="G174" s="87">
        <v>221.42457077298678</v>
      </c>
      <c r="H174" s="87">
        <v>219.96968880453323</v>
      </c>
      <c r="I174" s="87">
        <v>218.65813978794125</v>
      </c>
      <c r="J174" s="87">
        <v>217.59837095933349</v>
      </c>
      <c r="K174" s="87">
        <v>216.3883263114023</v>
      </c>
      <c r="L174" s="87">
        <v>215.65669734838389</v>
      </c>
      <c r="M174" s="87">
        <v>214.82015164064418</v>
      </c>
      <c r="N174" s="87">
        <v>213.7565162815871</v>
      </c>
      <c r="O174" s="87">
        <v>211.17294840459201</v>
      </c>
      <c r="P174" s="87">
        <v>208.21588418701177</v>
      </c>
      <c r="Q174" s="87">
        <v>204.92309082481384</v>
      </c>
      <c r="R174" s="87">
        <v>202.06394079483269</v>
      </c>
      <c r="S174" s="87">
        <v>199.67025238192082</v>
      </c>
      <c r="T174" s="87">
        <v>196.67267462235341</v>
      </c>
      <c r="U174" s="87">
        <v>193.80533784274473</v>
      </c>
      <c r="V174" s="87">
        <v>191.02096341148354</v>
      </c>
      <c r="W174" s="87">
        <v>187.39887673054628</v>
      </c>
      <c r="X174" s="87">
        <v>183.9999926041699</v>
      </c>
      <c r="Y174" s="87">
        <v>181.21200639542894</v>
      </c>
      <c r="DA174" s="171" t="s">
        <v>913</v>
      </c>
    </row>
    <row r="175" spans="1:105" ht="11.45" customHeight="1" x14ac:dyDescent="0.25">
      <c r="A175" s="111" t="s">
        <v>112</v>
      </c>
      <c r="B175" s="87">
        <v>220.5825369732585</v>
      </c>
      <c r="C175" s="87">
        <v>218.83449227748287</v>
      </c>
      <c r="D175" s="87">
        <v>216.18406484105392</v>
      </c>
      <c r="E175" s="87">
        <v>212.98803888732027</v>
      </c>
      <c r="F175" s="87">
        <v>212.20720490147062</v>
      </c>
      <c r="G175" s="87">
        <v>211.69803495951078</v>
      </c>
      <c r="H175" s="87">
        <v>212.96788609402554</v>
      </c>
      <c r="I175" s="87">
        <v>212.33532725638952</v>
      </c>
      <c r="J175" s="87">
        <v>215.81337843239757</v>
      </c>
      <c r="K175" s="87">
        <v>216.90511215754546</v>
      </c>
      <c r="L175" s="87">
        <v>216.90511215754549</v>
      </c>
      <c r="M175" s="87">
        <v>216.97417088325204</v>
      </c>
      <c r="N175" s="87">
        <v>215.93029596573334</v>
      </c>
      <c r="O175" s="87">
        <v>213.74478272541853</v>
      </c>
      <c r="P175" s="87">
        <v>209.3140768372628</v>
      </c>
      <c r="Q175" s="87">
        <v>205.90751592777369</v>
      </c>
      <c r="R175" s="87">
        <v>199.84880297614654</v>
      </c>
      <c r="S175" s="87">
        <v>194.01707864442031</v>
      </c>
      <c r="T175" s="87">
        <v>187.7708259792085</v>
      </c>
      <c r="U175" s="87">
        <v>180.63490512818916</v>
      </c>
      <c r="V175" s="87">
        <v>176.33159760778162</v>
      </c>
      <c r="W175" s="87">
        <v>173.88237707192621</v>
      </c>
      <c r="X175" s="87">
        <v>171.09564644623063</v>
      </c>
      <c r="Y175" s="87">
        <v>162.91393767693543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180.44414457831326</v>
      </c>
      <c r="M176" s="87">
        <v>186.31929166814692</v>
      </c>
      <c r="N176" s="87">
        <v>188.66890234151245</v>
      </c>
      <c r="O176" s="87">
        <v>186.01669230447504</v>
      </c>
      <c r="P176" s="87">
        <v>183.95289642991807</v>
      </c>
      <c r="Q176" s="87">
        <v>167.64985544099258</v>
      </c>
      <c r="R176" s="87">
        <v>141.67534178633687</v>
      </c>
      <c r="S176" s="87">
        <v>145.13225125482953</v>
      </c>
      <c r="T176" s="87">
        <v>141.38606258218795</v>
      </c>
      <c r="U176" s="87">
        <v>121.96329602270642</v>
      </c>
      <c r="V176" s="87">
        <v>115.98854100499194</v>
      </c>
      <c r="W176" s="87">
        <v>112.86657387913003</v>
      </c>
      <c r="X176" s="87">
        <v>110.14626567885401</v>
      </c>
      <c r="Y176" s="87">
        <v>109.88627566953649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58.423574494175362</v>
      </c>
      <c r="Q177" s="87">
        <v>65.834949981871233</v>
      </c>
      <c r="R177" s="87">
        <v>65.554142712440523</v>
      </c>
      <c r="S177" s="87">
        <v>60.549657458226164</v>
      </c>
      <c r="T177" s="87">
        <v>61.43386764744038</v>
      </c>
      <c r="U177" s="87">
        <v>62.326348302725556</v>
      </c>
      <c r="V177" s="87">
        <v>62.279833187463055</v>
      </c>
      <c r="W177" s="87">
        <v>47.957753681474514</v>
      </c>
      <c r="X177" s="87">
        <v>45.525859831826992</v>
      </c>
      <c r="Y177" s="87">
        <v>40.031151435213204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1183.3296888375321</v>
      </c>
      <c r="C179" s="116">
        <v>1198.0315125132784</v>
      </c>
      <c r="D179" s="116">
        <v>1226.8690756826259</v>
      </c>
      <c r="E179" s="116">
        <v>1262.528657136131</v>
      </c>
      <c r="F179" s="116">
        <v>1277.3894960833841</v>
      </c>
      <c r="G179" s="116">
        <v>1316.2982627378813</v>
      </c>
      <c r="H179" s="116">
        <v>1308.8999152338913</v>
      </c>
      <c r="I179" s="116">
        <v>1354.9001970762454</v>
      </c>
      <c r="J179" s="116">
        <v>1379.9362106937335</v>
      </c>
      <c r="K179" s="116">
        <v>1399.5650021977144</v>
      </c>
      <c r="L179" s="116">
        <v>1123.012925394843</v>
      </c>
      <c r="M179" s="116">
        <v>1376.08797809476</v>
      </c>
      <c r="N179" s="116">
        <v>1372.2714212107749</v>
      </c>
      <c r="O179" s="116">
        <v>1352.7043345049503</v>
      </c>
      <c r="P179" s="116">
        <v>1337.3410484621734</v>
      </c>
      <c r="Q179" s="116">
        <v>1323.7229912782307</v>
      </c>
      <c r="R179" s="116">
        <v>1307.2404863577783</v>
      </c>
      <c r="S179" s="116">
        <v>1287.5950317060701</v>
      </c>
      <c r="T179" s="116">
        <v>1310.6035935500558</v>
      </c>
      <c r="U179" s="116">
        <v>1258.08581666229</v>
      </c>
      <c r="V179" s="116">
        <v>1200.7530932043783</v>
      </c>
      <c r="W179" s="116">
        <v>1166.1907795253189</v>
      </c>
      <c r="X179" s="116">
        <v>1079.3630750445795</v>
      </c>
      <c r="Y179" s="116">
        <v>1204.5585973641923</v>
      </c>
      <c r="DA179" s="176" t="s">
        <v>918</v>
      </c>
    </row>
    <row r="180" spans="1:105" ht="11.45" customHeight="1" x14ac:dyDescent="0.25">
      <c r="A180" s="111" t="s">
        <v>110</v>
      </c>
      <c r="B180" s="101">
        <v>563.22216015260892</v>
      </c>
      <c r="C180" s="101">
        <v>563.22216015260892</v>
      </c>
      <c r="D180" s="101">
        <v>563.22216015260892</v>
      </c>
      <c r="E180" s="101">
        <v>563.22216015260892</v>
      </c>
      <c r="F180" s="101">
        <v>563.22216015260915</v>
      </c>
      <c r="G180" s="101">
        <v>563.22216015260904</v>
      </c>
      <c r="H180" s="101">
        <v>563.22216015260892</v>
      </c>
      <c r="I180" s="101">
        <v>563.22216015260904</v>
      </c>
      <c r="J180" s="101">
        <v>563.22216015260892</v>
      </c>
      <c r="K180" s="101">
        <v>563.22216015260881</v>
      </c>
      <c r="L180" s="101">
        <v>563.22216015260892</v>
      </c>
      <c r="M180" s="101">
        <v>563.22216015260892</v>
      </c>
      <c r="N180" s="101">
        <v>563.22216015260892</v>
      </c>
      <c r="O180" s="101">
        <v>563.22216015260904</v>
      </c>
      <c r="P180" s="101">
        <v>563.22216015260904</v>
      </c>
      <c r="Q180" s="101">
        <v>563.22216015260904</v>
      </c>
      <c r="R180" s="101">
        <v>563.22216015260881</v>
      </c>
      <c r="S180" s="101">
        <v>560.47820326142289</v>
      </c>
      <c r="T180" s="101">
        <v>560.47820326142278</v>
      </c>
      <c r="U180" s="101">
        <v>540.37569495876915</v>
      </c>
      <c r="V180" s="101">
        <v>539.89748049566879</v>
      </c>
      <c r="W180" s="101">
        <v>536.64909379384903</v>
      </c>
      <c r="X180" s="101">
        <v>533.48254143839574</v>
      </c>
      <c r="Y180" s="101">
        <v>533.10223641582479</v>
      </c>
      <c r="DA180" s="175" t="s">
        <v>919</v>
      </c>
    </row>
    <row r="181" spans="1:105" ht="11.45" customHeight="1" x14ac:dyDescent="0.25">
      <c r="A181" s="111" t="s">
        <v>111</v>
      </c>
      <c r="B181" s="101">
        <v>1615.1398677616971</v>
      </c>
      <c r="C181" s="101">
        <v>1567.2896331117754</v>
      </c>
      <c r="D181" s="101">
        <v>1543.4441240837675</v>
      </c>
      <c r="E181" s="101">
        <v>1519.980672800164</v>
      </c>
      <c r="F181" s="101">
        <v>1505.3591519560323</v>
      </c>
      <c r="G181" s="101">
        <v>1490.3112129065937</v>
      </c>
      <c r="H181" s="101">
        <v>1480.3214064953629</v>
      </c>
      <c r="I181" s="101">
        <v>1467.499429965528</v>
      </c>
      <c r="J181" s="101">
        <v>1465.1151913285098</v>
      </c>
      <c r="K181" s="101">
        <v>1461.4997172578767</v>
      </c>
      <c r="L181" s="101">
        <v>1449.9411710700729</v>
      </c>
      <c r="M181" s="101">
        <v>1442.277859987815</v>
      </c>
      <c r="N181" s="101">
        <v>1428.7120962529843</v>
      </c>
      <c r="O181" s="101">
        <v>1416.3926056151236</v>
      </c>
      <c r="P181" s="101">
        <v>1405.1319296877145</v>
      </c>
      <c r="Q181" s="101">
        <v>1392.8594847768463</v>
      </c>
      <c r="R181" s="101">
        <v>1383.0098868210546</v>
      </c>
      <c r="S181" s="101">
        <v>1368.3627287359161</v>
      </c>
      <c r="T181" s="101">
        <v>1354.6731513047932</v>
      </c>
      <c r="U181" s="101">
        <v>1334.166995238862</v>
      </c>
      <c r="V181" s="101">
        <v>1316.9838761827041</v>
      </c>
      <c r="W181" s="101">
        <v>1302.6669102103363</v>
      </c>
      <c r="X181" s="101">
        <v>1283.9066374914814</v>
      </c>
      <c r="Y181" s="101">
        <v>1262.9007941303671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919.75925274297822</v>
      </c>
      <c r="U182" s="101">
        <v>919.75925274297811</v>
      </c>
      <c r="V182" s="101">
        <v>919.75925274297811</v>
      </c>
      <c r="W182" s="101">
        <v>919.75925274297822</v>
      </c>
      <c r="X182" s="101">
        <v>919.75925274297811</v>
      </c>
      <c r="Y182" s="101">
        <v>919.75925274297811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885.48618947417015</v>
      </c>
      <c r="M183" s="101">
        <v>878.91686730595666</v>
      </c>
      <c r="N183" s="101">
        <v>877.92480210130157</v>
      </c>
      <c r="O183" s="101">
        <v>866.98625963101244</v>
      </c>
      <c r="P183" s="101">
        <v>860.06085548762587</v>
      </c>
      <c r="Q183" s="101">
        <v>854.03593184592989</v>
      </c>
      <c r="R183" s="101">
        <v>849.25953145106701</v>
      </c>
      <c r="S183" s="101">
        <v>844.80754375069864</v>
      </c>
      <c r="T183" s="101">
        <v>844.31841128300516</v>
      </c>
      <c r="U183" s="101">
        <v>834.47202896094404</v>
      </c>
      <c r="V183" s="101">
        <v>830.87838061363914</v>
      </c>
      <c r="W183" s="101">
        <v>828.74693651803568</v>
      </c>
      <c r="X183" s="101">
        <v>826.31745515170155</v>
      </c>
      <c r="Y183" s="101">
        <v>826.18039141085956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294.27288389270564</v>
      </c>
      <c r="C186" s="152">
        <v>290.93431628138131</v>
      </c>
      <c r="D186" s="152">
        <v>289.98917906323595</v>
      </c>
      <c r="E186" s="152">
        <v>291.03231143421283</v>
      </c>
      <c r="F186" s="152">
        <v>287.26211484052914</v>
      </c>
      <c r="G186" s="152">
        <v>284.91136203283025</v>
      </c>
      <c r="H186" s="152">
        <v>284.46935221330756</v>
      </c>
      <c r="I186" s="152">
        <v>280.86258423043506</v>
      </c>
      <c r="J186" s="152">
        <v>263.18364558160607</v>
      </c>
      <c r="K186" s="152">
        <v>252.90884744862456</v>
      </c>
      <c r="L186" s="152">
        <v>236.41924640832426</v>
      </c>
      <c r="M186" s="152">
        <v>231.40376479671042</v>
      </c>
      <c r="N186" s="152">
        <v>241.55926735911905</v>
      </c>
      <c r="O186" s="152">
        <v>241.85006589613135</v>
      </c>
      <c r="P186" s="152">
        <v>241.86879174936996</v>
      </c>
      <c r="Q186" s="152">
        <v>230.11908169053481</v>
      </c>
      <c r="R186" s="152">
        <v>224.24332465723421</v>
      </c>
      <c r="S186" s="152">
        <v>215.51801796586773</v>
      </c>
      <c r="T186" s="152">
        <v>215.88599504524586</v>
      </c>
      <c r="U186" s="152">
        <v>208.20758050335047</v>
      </c>
      <c r="V186" s="152">
        <v>226.64093261784245</v>
      </c>
      <c r="W186" s="152">
        <v>223.30185802506855</v>
      </c>
      <c r="X186" s="152">
        <v>227.14943668449126</v>
      </c>
      <c r="Y186" s="152">
        <v>222.55172837148382</v>
      </c>
      <c r="DA186" s="174" t="s">
        <v>924</v>
      </c>
    </row>
    <row r="187" spans="1:105" ht="11.45" customHeight="1" x14ac:dyDescent="0.25">
      <c r="A187" s="111" t="s">
        <v>110</v>
      </c>
      <c r="B187" s="87">
        <v>286.59201495037001</v>
      </c>
      <c r="C187" s="87">
        <v>284.44192880248607</v>
      </c>
      <c r="D187" s="87">
        <v>282.77204322992242</v>
      </c>
      <c r="E187" s="87">
        <v>281.15315759563549</v>
      </c>
      <c r="F187" s="87">
        <v>279.04164617407588</v>
      </c>
      <c r="G187" s="87">
        <v>276.34058810786593</v>
      </c>
      <c r="H187" s="87">
        <v>273.44361015827587</v>
      </c>
      <c r="I187" s="87">
        <v>270.44251794576047</v>
      </c>
      <c r="J187" s="87">
        <v>264.5994673168268</v>
      </c>
      <c r="K187" s="87">
        <v>259.49582874906844</v>
      </c>
      <c r="L187" s="87">
        <v>256.16941584288338</v>
      </c>
      <c r="M187" s="87">
        <v>252.67541747181346</v>
      </c>
      <c r="N187" s="87">
        <v>247.56911775228522</v>
      </c>
      <c r="O187" s="87">
        <v>243.05704620807333</v>
      </c>
      <c r="P187" s="87">
        <v>239.53050377609031</v>
      </c>
      <c r="Q187" s="87">
        <v>232.3995332634141</v>
      </c>
      <c r="R187" s="87">
        <v>225.16151495160929</v>
      </c>
      <c r="S187" s="87">
        <v>219.18897893141781</v>
      </c>
      <c r="T187" s="87">
        <v>213.60453796106412</v>
      </c>
      <c r="U187" s="87">
        <v>209.57408075030909</v>
      </c>
      <c r="V187" s="87">
        <v>203.63744274081921</v>
      </c>
      <c r="W187" s="87">
        <v>198.32399899812742</v>
      </c>
      <c r="X187" s="87">
        <v>193.19565318372096</v>
      </c>
      <c r="Y187" s="87">
        <v>190.65509626593322</v>
      </c>
      <c r="DA187" s="171" t="s">
        <v>925</v>
      </c>
    </row>
    <row r="188" spans="1:105" ht="11.45" customHeight="1" x14ac:dyDescent="0.25">
      <c r="A188" s="111" t="s">
        <v>111</v>
      </c>
      <c r="B188" s="87">
        <v>299.52595891097491</v>
      </c>
      <c r="C188" s="87">
        <v>297.18311458070144</v>
      </c>
      <c r="D188" s="87">
        <v>295.67900291275862</v>
      </c>
      <c r="E188" s="87">
        <v>293.47844254912371</v>
      </c>
      <c r="F188" s="87">
        <v>291.21975395122149</v>
      </c>
      <c r="G188" s="87">
        <v>288.61603227168581</v>
      </c>
      <c r="H188" s="87">
        <v>285.29704566157181</v>
      </c>
      <c r="I188" s="87">
        <v>281.41433815779567</v>
      </c>
      <c r="J188" s="87">
        <v>278.12471995849415</v>
      </c>
      <c r="K188" s="87">
        <v>274.16841018438203</v>
      </c>
      <c r="L188" s="87">
        <v>271.43240482508469</v>
      </c>
      <c r="M188" s="87">
        <v>269.38184760798561</v>
      </c>
      <c r="N188" s="87">
        <v>264.99013412929241</v>
      </c>
      <c r="O188" s="87">
        <v>260.521869537312</v>
      </c>
      <c r="P188" s="87">
        <v>255.01863101187593</v>
      </c>
      <c r="Q188" s="87">
        <v>248.69148663973758</v>
      </c>
      <c r="R188" s="87">
        <v>243.60171729746483</v>
      </c>
      <c r="S188" s="87">
        <v>238.03347428783133</v>
      </c>
      <c r="T188" s="87">
        <v>233.60596051959689</v>
      </c>
      <c r="U188" s="87">
        <v>229.26433707495102</v>
      </c>
      <c r="V188" s="87">
        <v>225.44981948350937</v>
      </c>
      <c r="W188" s="87">
        <v>221.78657747765828</v>
      </c>
      <c r="X188" s="87">
        <v>218.69843626515794</v>
      </c>
      <c r="Y188" s="87">
        <v>215.3876108175489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169.34141390428167</v>
      </c>
      <c r="S189" s="87">
        <v>151.45711759962765</v>
      </c>
      <c r="T189" s="87">
        <v>150.02058144540385</v>
      </c>
      <c r="U189" s="87">
        <v>153.14531100865247</v>
      </c>
      <c r="V189" s="87">
        <v>153.29750262489557</v>
      </c>
      <c r="W189" s="87">
        <v>153.2975026248956</v>
      </c>
      <c r="X189" s="87">
        <v>153.4652784243973</v>
      </c>
      <c r="Y189" s="87">
        <v>152.07598385590177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168.35238378109159</v>
      </c>
      <c r="O190" s="87">
        <v>167.16998023450549</v>
      </c>
      <c r="P190" s="87">
        <v>174.92486737689359</v>
      </c>
      <c r="Q190" s="87">
        <v>168.4005807081835</v>
      </c>
      <c r="R190" s="87">
        <v>168.41477010744404</v>
      </c>
      <c r="S190" s="87">
        <v>145.61582088675746</v>
      </c>
      <c r="T190" s="87">
        <v>141.01777572520083</v>
      </c>
      <c r="U190" s="87">
        <v>139.48811021503741</v>
      </c>
      <c r="V190" s="87">
        <v>139.48565417090225</v>
      </c>
      <c r="W190" s="87">
        <v>139.69540327464495</v>
      </c>
      <c r="X190" s="87">
        <v>139.76892852457365</v>
      </c>
      <c r="Y190" s="87">
        <v>138.17446233163116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1008.770982264092</v>
      </c>
      <c r="C192" s="116">
        <v>1008.6431980513095</v>
      </c>
      <c r="D192" s="116">
        <v>991.41826886301169</v>
      </c>
      <c r="E192" s="116">
        <v>972.46065510894232</v>
      </c>
      <c r="F192" s="116">
        <v>964.08123620564709</v>
      </c>
      <c r="G192" s="116">
        <v>959.34336405809734</v>
      </c>
      <c r="H192" s="116">
        <v>952.44887641507341</v>
      </c>
      <c r="I192" s="116">
        <v>942.47999950512065</v>
      </c>
      <c r="J192" s="116">
        <v>935.42134987891234</v>
      </c>
      <c r="K192" s="116">
        <v>928.67740758611956</v>
      </c>
      <c r="L192" s="116">
        <v>926.28722902512231</v>
      </c>
      <c r="M192" s="116">
        <v>920.84602737224452</v>
      </c>
      <c r="N192" s="116">
        <v>915.30636341519448</v>
      </c>
      <c r="O192" s="116">
        <v>910.93539877292176</v>
      </c>
      <c r="P192" s="116">
        <v>897.22052885936569</v>
      </c>
      <c r="Q192" s="116">
        <v>883.16816737992701</v>
      </c>
      <c r="R192" s="116">
        <v>862.39063150786285</v>
      </c>
      <c r="S192" s="116">
        <v>843.14073551153638</v>
      </c>
      <c r="T192" s="116">
        <v>823.50512697932186</v>
      </c>
      <c r="U192" s="116">
        <v>794.15074041268451</v>
      </c>
      <c r="V192" s="116">
        <v>777.99935339383399</v>
      </c>
      <c r="W192" s="116">
        <v>758.01368472268348</v>
      </c>
      <c r="X192" s="116">
        <v>742.83688128232779</v>
      </c>
      <c r="Y192" s="116">
        <v>727.28184061912532</v>
      </c>
      <c r="DA192" s="176" t="s">
        <v>930</v>
      </c>
    </row>
    <row r="193" spans="1:105" ht="11.45" customHeight="1" x14ac:dyDescent="0.25">
      <c r="A193" s="128" t="s">
        <v>27</v>
      </c>
      <c r="B193" s="101">
        <v>934.24434411708205</v>
      </c>
      <c r="C193" s="101">
        <v>931.05106622937114</v>
      </c>
      <c r="D193" s="101">
        <v>917.46284624458008</v>
      </c>
      <c r="E193" s="101">
        <v>902.72148183540082</v>
      </c>
      <c r="F193" s="101">
        <v>894.41663000671554</v>
      </c>
      <c r="G193" s="101">
        <v>890.27401726305595</v>
      </c>
      <c r="H193" s="101">
        <v>884.28716622004242</v>
      </c>
      <c r="I193" s="101">
        <v>874.86160592856402</v>
      </c>
      <c r="J193" s="101">
        <v>868.73557660502718</v>
      </c>
      <c r="K193" s="101">
        <v>863.0747693841239</v>
      </c>
      <c r="L193" s="101">
        <v>860.83623653817381</v>
      </c>
      <c r="M193" s="101">
        <v>856.37857631392671</v>
      </c>
      <c r="N193" s="101">
        <v>851.80979730878857</v>
      </c>
      <c r="O193" s="101">
        <v>847.79549405279056</v>
      </c>
      <c r="P193" s="101">
        <v>834.70994769902359</v>
      </c>
      <c r="Q193" s="101">
        <v>821.59530920892109</v>
      </c>
      <c r="R193" s="101">
        <v>801.51144081461632</v>
      </c>
      <c r="S193" s="101">
        <v>783.18066848915646</v>
      </c>
      <c r="T193" s="101">
        <v>764.63055801812266</v>
      </c>
      <c r="U193" s="101">
        <v>736.99467811399825</v>
      </c>
      <c r="V193" s="101">
        <v>722.0152388041264</v>
      </c>
      <c r="W193" s="101">
        <v>703.00319729310888</v>
      </c>
      <c r="X193" s="101">
        <v>688.59247139299464</v>
      </c>
      <c r="Y193" s="101">
        <v>674.04929714996649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1055.1379620092971</v>
      </c>
      <c r="D194" s="88">
        <v>1045.8354230651591</v>
      </c>
      <c r="E194" s="88">
        <v>1038.2935600304486</v>
      </c>
      <c r="F194" s="88">
        <v>1019.1065128645491</v>
      </c>
      <c r="G194" s="88">
        <v>1010.3519275136996</v>
      </c>
      <c r="H194" s="88">
        <v>998.17057366175857</v>
      </c>
      <c r="I194" s="88">
        <v>983.62254861307099</v>
      </c>
      <c r="J194" s="88">
        <v>978.83075985400797</v>
      </c>
      <c r="K194" s="88">
        <v>967.77375210523371</v>
      </c>
      <c r="L194" s="88">
        <v>957.39952991081816</v>
      </c>
      <c r="M194" s="88">
        <v>934.42091511861042</v>
      </c>
      <c r="N194" s="88">
        <v>922.80668394638928</v>
      </c>
      <c r="O194" s="88">
        <v>902.81273083112546</v>
      </c>
      <c r="P194" s="88">
        <v>895.84405297611386</v>
      </c>
      <c r="Q194" s="88">
        <v>874.07711011480239</v>
      </c>
      <c r="R194" s="88">
        <v>865.14108303511171</v>
      </c>
      <c r="S194" s="88">
        <v>859.64570639881993</v>
      </c>
      <c r="T194" s="88">
        <v>846.50018992181401</v>
      </c>
      <c r="U194" s="88">
        <v>839.20584870219625</v>
      </c>
      <c r="V194" s="88">
        <v>809.35059453715235</v>
      </c>
      <c r="W194" s="88">
        <v>803.71339326483019</v>
      </c>
      <c r="X194" s="88">
        <v>779.29342259609189</v>
      </c>
      <c r="Y194" s="88">
        <v>773.9565720062883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1.1276132004067392</v>
      </c>
      <c r="D198" s="150">
        <f>IF(TrRoad_act!D59=0,0,TrRoad_emi!D56/TrRoad_tech!D171)</f>
        <v>1.1283464919304063</v>
      </c>
      <c r="E198" s="150">
        <f>IF(TrRoad_act!E59=0,0,TrRoad_emi!E56/TrRoad_tech!E171)</f>
        <v>1.1300056071038915</v>
      </c>
      <c r="F198" s="150">
        <f>IF(TrRoad_act!F59=0,0,TrRoad_emi!F56/TrRoad_tech!F171)</f>
        <v>1.1326461626635489</v>
      </c>
      <c r="G198" s="150">
        <f>IF(TrRoad_act!G59=0,0,TrRoad_emi!G56/TrRoad_tech!G171)</f>
        <v>1.1361815813779987</v>
      </c>
      <c r="H198" s="150">
        <f>IF(TrRoad_act!H59=0,0,TrRoad_emi!H56/TrRoad_tech!H171)</f>
        <v>1.1433512478544285</v>
      </c>
      <c r="I198" s="150">
        <f>IF(TrRoad_act!I59=0,0,TrRoad_emi!I56/TrRoad_tech!I171)</f>
        <v>1.1501359694486628</v>
      </c>
      <c r="J198" s="150">
        <f>IF(TrRoad_act!J59=0,0,TrRoad_emi!J56/TrRoad_tech!J171)</f>
        <v>1.1541937568295817</v>
      </c>
      <c r="K198" s="150">
        <f>IF(TrRoad_act!K59=0,0,TrRoad_emi!K56/TrRoad_tech!K171)</f>
        <v>1.1621529177139747</v>
      </c>
      <c r="L198" s="150">
        <f>IF(TrRoad_act!L59=0,0,TrRoad_emi!L56/TrRoad_tech!L171)</f>
        <v>1.149562047204032</v>
      </c>
      <c r="M198" s="150">
        <f>IF(TrRoad_act!M59=0,0,TrRoad_emi!M56/TrRoad_tech!M171)</f>
        <v>1.1632939596270506</v>
      </c>
      <c r="N198" s="150">
        <f>IF(TrRoad_act!N59=0,0,TrRoad_emi!N56/TrRoad_tech!N171)</f>
        <v>1.1922388476252497</v>
      </c>
      <c r="O198" s="150">
        <f>IF(TrRoad_act!O59=0,0,TrRoad_emi!O56/TrRoad_tech!O171)</f>
        <v>1.2033198710842807</v>
      </c>
      <c r="P198" s="150">
        <f>IF(TrRoad_act!P59=0,0,TrRoad_emi!P56/TrRoad_tech!P171)</f>
        <v>1.2040100688174251</v>
      </c>
      <c r="Q198" s="150">
        <f>IF(TrRoad_act!Q59=0,0,TrRoad_emi!Q56/TrRoad_tech!Q171)</f>
        <v>1.2250295505573536</v>
      </c>
      <c r="R198" s="150">
        <f>IF(TrRoad_act!R59=0,0,TrRoad_emi!R56/TrRoad_tech!R171)</f>
        <v>1.2389725526662569</v>
      </c>
      <c r="S198" s="150">
        <f>IF(TrRoad_act!S59=0,0,TrRoad_emi!S56/TrRoad_tech!S171)</f>
        <v>1.2537385846191618</v>
      </c>
      <c r="T198" s="150">
        <f>IF(TrRoad_act!T59=0,0,TrRoad_emi!T56/TrRoad_tech!T171)</f>
        <v>1.2439911417340141</v>
      </c>
      <c r="U198" s="150">
        <f>IF(TrRoad_act!U59=0,0,TrRoad_emi!U56/TrRoad_tech!U171)</f>
        <v>1.2417784518421686</v>
      </c>
      <c r="V198" s="150">
        <f>IF(TrRoad_act!V59=0,0,TrRoad_emi!V56/TrRoad_tech!V171)</f>
        <v>1.2511870648243515</v>
      </c>
      <c r="W198" s="150">
        <f>IF(TrRoad_act!W59=0,0,TrRoad_emi!W56/TrRoad_tech!W171)</f>
        <v>1.2727572000593321</v>
      </c>
      <c r="X198" s="150">
        <f>IF(TrRoad_act!X59=0,0,TrRoad_emi!X56/TrRoad_tech!X171)</f>
        <v>1.2991495820022985</v>
      </c>
      <c r="Y198" s="150">
        <f>IF(TrRoad_act!Y59=0,0,TrRoad_emi!Y56/TrRoad_tech!Y171)</f>
        <v>1.3055771015470694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1.0088965752497963</v>
      </c>
      <c r="C199" s="151">
        <f>IF(TrRoad_act!C60=0,0,TrRoad_emi!C57/TrRoad_tech!C172)</f>
        <v>1.0363670278590582</v>
      </c>
      <c r="D199" s="151">
        <f>IF(TrRoad_act!D60=0,0,TrRoad_emi!D57/TrRoad_tech!D172)</f>
        <v>1.0754398114826882</v>
      </c>
      <c r="E199" s="151">
        <f>IF(TrRoad_act!E60=0,0,TrRoad_emi!E57/TrRoad_tech!E172)</f>
        <v>1.0593888304603558</v>
      </c>
      <c r="F199" s="151">
        <f>IF(TrRoad_act!F60=0,0,TrRoad_emi!F57/TrRoad_tech!F172)</f>
        <v>1.0596426699079411</v>
      </c>
      <c r="G199" s="151">
        <f>IF(TrRoad_act!G60=0,0,TrRoad_emi!G57/TrRoad_tech!G172)</f>
        <v>1.0542719675542871</v>
      </c>
      <c r="H199" s="151">
        <f>IF(TrRoad_act!H60=0,0,TrRoad_emi!H57/TrRoad_tech!H172)</f>
        <v>1.0506801862672275</v>
      </c>
      <c r="I199" s="151">
        <f>IF(TrRoad_act!I60=0,0,TrRoad_emi!I57/TrRoad_tech!I172)</f>
        <v>1.0473687315992604</v>
      </c>
      <c r="J199" s="151">
        <f>IF(TrRoad_act!J60=0,0,TrRoad_emi!J57/TrRoad_tech!J172)</f>
        <v>1.0294695600457682</v>
      </c>
      <c r="K199" s="151">
        <f>IF(TrRoad_act!K60=0,0,TrRoad_emi!K57/TrRoad_tech!K172)</f>
        <v>0.99062904390001982</v>
      </c>
      <c r="L199" s="151">
        <f>IF(TrRoad_act!L60=0,0,TrRoad_emi!L57/TrRoad_tech!L172)</f>
        <v>0.99561480954230253</v>
      </c>
      <c r="M199" s="151">
        <f>IF(TrRoad_act!M60=0,0,TrRoad_emi!M57/TrRoad_tech!M172)</f>
        <v>1.0038338866914231</v>
      </c>
      <c r="N199" s="151">
        <f>IF(TrRoad_act!N60=0,0,TrRoad_emi!N57/TrRoad_tech!N172)</f>
        <v>1.0080743174807976</v>
      </c>
      <c r="O199" s="151">
        <f>IF(TrRoad_act!O60=0,0,TrRoad_emi!O57/TrRoad_tech!O172)</f>
        <v>0.99725825352719166</v>
      </c>
      <c r="P199" s="151">
        <f>IF(TrRoad_act!P60=0,0,TrRoad_emi!P57/TrRoad_tech!P172)</f>
        <v>0.9992668232190477</v>
      </c>
      <c r="Q199" s="151">
        <f>IF(TrRoad_act!Q60=0,0,TrRoad_emi!Q57/TrRoad_tech!Q172)</f>
        <v>0.99853995801627915</v>
      </c>
      <c r="R199" s="151">
        <f>IF(TrRoad_act!R60=0,0,TrRoad_emi!R57/TrRoad_tech!R172)</f>
        <v>0.99137799452842545</v>
      </c>
      <c r="S199" s="151">
        <f>IF(TrRoad_act!S60=0,0,TrRoad_emi!S57/TrRoad_tech!S172)</f>
        <v>1.0001871339031925</v>
      </c>
      <c r="T199" s="151">
        <f>IF(TrRoad_act!T60=0,0,TrRoad_emi!T57/TrRoad_tech!T172)</f>
        <v>0.98592146259170022</v>
      </c>
      <c r="U199" s="151">
        <f>IF(TrRoad_act!U60=0,0,TrRoad_emi!U57/TrRoad_tech!U172)</f>
        <v>0.98731853541112446</v>
      </c>
      <c r="V199" s="151">
        <f>IF(TrRoad_act!V60=0,0,TrRoad_emi!V57/TrRoad_tech!V172)</f>
        <v>0.97945846300838957</v>
      </c>
      <c r="W199" s="151">
        <f>IF(TrRoad_act!W60=0,0,TrRoad_emi!W57/TrRoad_tech!W172)</f>
        <v>0.99568261555545978</v>
      </c>
      <c r="X199" s="151">
        <f>IF(TrRoad_act!X60=0,0,TrRoad_emi!X57/TrRoad_tech!X172)</f>
        <v>0.98584621064212297</v>
      </c>
      <c r="Y199" s="151">
        <f>IF(TrRoad_act!Y60=0,0,TrRoad_emi!Y57/TrRoad_tech!Y172)</f>
        <v>1.0131330140672041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1.0272490463468025</v>
      </c>
      <c r="C200" s="91">
        <f>IF(TrRoad_act!C61=0,0,TrRoad_emi!C58/TrRoad_tech!C173)</f>
        <v>1.0277846207463366</v>
      </c>
      <c r="D200" s="91">
        <f>IF(TrRoad_act!D61=0,0,TrRoad_emi!D58/TrRoad_tech!D173)</f>
        <v>1.0276989083339878</v>
      </c>
      <c r="E200" s="91">
        <f>IF(TrRoad_act!E61=0,0,TrRoad_emi!E58/TrRoad_tech!E173)</f>
        <v>1.0278087630082764</v>
      </c>
      <c r="F200" s="91">
        <f>IF(TrRoad_act!F61=0,0,TrRoad_emi!F58/TrRoad_tech!F173)</f>
        <v>1.0276456377937211</v>
      </c>
      <c r="G200" s="91">
        <f>IF(TrRoad_act!G61=0,0,TrRoad_emi!G58/TrRoad_tech!G173)</f>
        <v>1.028122958462556</v>
      </c>
      <c r="H200" s="91">
        <f>IF(TrRoad_act!H61=0,0,TrRoad_emi!H58/TrRoad_tech!H173)</f>
        <v>1.0290228220990756</v>
      </c>
      <c r="I200" s="91">
        <f>IF(TrRoad_act!I61=0,0,TrRoad_emi!I58/TrRoad_tech!I173)</f>
        <v>1.0301100784556509</v>
      </c>
      <c r="J200" s="91">
        <f>IF(TrRoad_act!J61=0,0,TrRoad_emi!J58/TrRoad_tech!J173)</f>
        <v>1.0260609191143912</v>
      </c>
      <c r="K200" s="91">
        <f>IF(TrRoad_act!K61=0,0,TrRoad_emi!K58/TrRoad_tech!K173)</f>
        <v>1.0033495629720983</v>
      </c>
      <c r="L200" s="91">
        <f>IF(TrRoad_act!L61=0,0,TrRoad_emi!L58/TrRoad_tech!L173)</f>
        <v>0.99024382185809834</v>
      </c>
      <c r="M200" s="91">
        <f>IF(TrRoad_act!M61=0,0,TrRoad_emi!M58/TrRoad_tech!M173)</f>
        <v>0.99407720154037604</v>
      </c>
      <c r="N200" s="91">
        <f>IF(TrRoad_act!N61=0,0,TrRoad_emi!N58/TrRoad_tech!N173)</f>
        <v>0.99571309933379881</v>
      </c>
      <c r="O200" s="91">
        <f>IF(TrRoad_act!O61=0,0,TrRoad_emi!O58/TrRoad_tech!O173)</f>
        <v>1.0011634500778888</v>
      </c>
      <c r="P200" s="91">
        <f>IF(TrRoad_act!P61=0,0,TrRoad_emi!P58/TrRoad_tech!P173)</f>
        <v>1.000223296851473</v>
      </c>
      <c r="Q200" s="91">
        <f>IF(TrRoad_act!Q61=0,0,TrRoad_emi!Q58/TrRoad_tech!Q173)</f>
        <v>1.0146095216982753</v>
      </c>
      <c r="R200" s="91">
        <f>IF(TrRoad_act!R61=0,0,TrRoad_emi!R58/TrRoad_tech!R173)</f>
        <v>1.0212882513687918</v>
      </c>
      <c r="S200" s="91">
        <f>IF(TrRoad_act!S61=0,0,TrRoad_emi!S58/TrRoad_tech!S173)</f>
        <v>1.0306888736382447</v>
      </c>
      <c r="T200" s="91">
        <f>IF(TrRoad_act!T61=0,0,TrRoad_emi!T58/TrRoad_tech!T173)</f>
        <v>1.0171360177904629</v>
      </c>
      <c r="U200" s="91">
        <f>IF(TrRoad_act!U61=0,0,TrRoad_emi!U58/TrRoad_tech!U173)</f>
        <v>1.0208582556549923</v>
      </c>
      <c r="V200" s="91">
        <f>IF(TrRoad_act!V61=0,0,TrRoad_emi!V58/TrRoad_tech!V173)</f>
        <v>1.0280352886656003</v>
      </c>
      <c r="W200" s="91">
        <f>IF(TrRoad_act!W61=0,0,TrRoad_emi!W58/TrRoad_tech!W173)</f>
        <v>1.058253145269201</v>
      </c>
      <c r="X200" s="91">
        <f>IF(TrRoad_act!X61=0,0,TrRoad_emi!X58/TrRoad_tech!X173)</f>
        <v>1.0403257002701494</v>
      </c>
      <c r="Y200" s="91">
        <f>IF(TrRoad_act!Y61=0,0,TrRoad_emi!Y58/TrRoad_tech!Y173)</f>
        <v>1.0394103577607854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1.0041149603920263</v>
      </c>
      <c r="C201" s="91">
        <f>IF(TrRoad_act!C62=0,0,TrRoad_emi!C59/TrRoad_tech!C174)</f>
        <v>1.3680224842509021</v>
      </c>
      <c r="D201" s="91">
        <f>IF(TrRoad_act!D62=0,0,TrRoad_emi!D59/TrRoad_tech!D174)</f>
        <v>1.63107509008417</v>
      </c>
      <c r="E201" s="91">
        <f>IF(TrRoad_act!E62=0,0,TrRoad_emi!E59/TrRoad_tech!E174)</f>
        <v>1.4005188078246573</v>
      </c>
      <c r="F201" s="91">
        <f>IF(TrRoad_act!F62=0,0,TrRoad_emi!F59/TrRoad_tech!F174)</f>
        <v>1.3676831549061623</v>
      </c>
      <c r="G201" s="91">
        <f>IF(TrRoad_act!G62=0,0,TrRoad_emi!G59/TrRoad_tech!G174)</f>
        <v>1.317575771188203</v>
      </c>
      <c r="H201" s="91">
        <f>IF(TrRoad_act!H62=0,0,TrRoad_emi!H59/TrRoad_tech!H174)</f>
        <v>1.253648700854491</v>
      </c>
      <c r="I201" s="91">
        <f>IF(TrRoad_act!I62=0,0,TrRoad_emi!I59/TrRoad_tech!I174)</f>
        <v>1.2207082711519053</v>
      </c>
      <c r="J201" s="91">
        <f>IF(TrRoad_act!J62=0,0,TrRoad_emi!J59/TrRoad_tech!J174)</f>
        <v>1.1293429296528552</v>
      </c>
      <c r="K201" s="91">
        <f>IF(TrRoad_act!K62=0,0,TrRoad_emi!K59/TrRoad_tech!K174)</f>
        <v>1.0428632062534497</v>
      </c>
      <c r="L201" s="91">
        <f>IF(TrRoad_act!L62=0,0,TrRoad_emi!L59/TrRoad_tech!L174)</f>
        <v>1.1050379615640635</v>
      </c>
      <c r="M201" s="91">
        <f>IF(TrRoad_act!M62=0,0,TrRoad_emi!M59/TrRoad_tech!M174)</f>
        <v>1.1198089224728371</v>
      </c>
      <c r="N201" s="91">
        <f>IF(TrRoad_act!N62=0,0,TrRoad_emi!N59/TrRoad_tech!N174)</f>
        <v>1.1175767722792882</v>
      </c>
      <c r="O201" s="91">
        <f>IF(TrRoad_act!O62=0,0,TrRoad_emi!O59/TrRoad_tech!O174)</f>
        <v>1.0785586867618566</v>
      </c>
      <c r="P201" s="91">
        <f>IF(TrRoad_act!P62=0,0,TrRoad_emi!P59/TrRoad_tech!P174)</f>
        <v>1.0769296736937235</v>
      </c>
      <c r="Q201" s="91">
        <f>IF(TrRoad_act!Q62=0,0,TrRoad_emi!Q59/TrRoad_tech!Q174)</f>
        <v>1.0544361210638444</v>
      </c>
      <c r="R201" s="91">
        <f>IF(TrRoad_act!R62=0,0,TrRoad_emi!R59/TrRoad_tech!R174)</f>
        <v>1.0249388827643817</v>
      </c>
      <c r="S201" s="91">
        <f>IF(TrRoad_act!S62=0,0,TrRoad_emi!S59/TrRoad_tech!S174)</f>
        <v>1.0227715763016088</v>
      </c>
      <c r="T201" s="91">
        <f>IF(TrRoad_act!T62=0,0,TrRoad_emi!T59/TrRoad_tech!T174)</f>
        <v>0.99680735571500834</v>
      </c>
      <c r="U201" s="91">
        <f>IF(TrRoad_act!U62=0,0,TrRoad_emi!U59/TrRoad_tech!U174)</f>
        <v>0.98823336370192272</v>
      </c>
      <c r="V201" s="91">
        <f>IF(TrRoad_act!V62=0,0,TrRoad_emi!V59/TrRoad_tech!V174)</f>
        <v>0.96014464483967221</v>
      </c>
      <c r="W201" s="91">
        <f>IF(TrRoad_act!W62=0,0,TrRoad_emi!W59/TrRoad_tech!W174)</f>
        <v>0.98887957111847546</v>
      </c>
      <c r="X201" s="91">
        <f>IF(TrRoad_act!X62=0,0,TrRoad_emi!X59/TrRoad_tech!X174)</f>
        <v>1.0022381912841316</v>
      </c>
      <c r="Y201" s="91">
        <f>IF(TrRoad_act!Y62=0,0,TrRoad_emi!Y59/TrRoad_tech!Y174)</f>
        <v>1.0386083720879342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1.2402516892698128</v>
      </c>
      <c r="C202" s="91">
        <f>IF(TrRoad_act!C63=0,0,TrRoad_emi!C60/TrRoad_tech!C175)</f>
        <v>1.0392343295082709</v>
      </c>
      <c r="D202" s="91">
        <f>IF(TrRoad_act!D63=0,0,TrRoad_emi!D60/TrRoad_tech!D175)</f>
        <v>1.0996886528622085</v>
      </c>
      <c r="E202" s="91">
        <f>IF(TrRoad_act!E63=0,0,TrRoad_emi!E60/TrRoad_tech!E175)</f>
        <v>1.1305192023613293</v>
      </c>
      <c r="F202" s="91">
        <f>IF(TrRoad_act!F63=0,0,TrRoad_emi!F60/TrRoad_tech!F175)</f>
        <v>1.2833056776202802</v>
      </c>
      <c r="G202" s="91">
        <f>IF(TrRoad_act!G63=0,0,TrRoad_emi!G60/TrRoad_tech!G175)</f>
        <v>1.2095174341086727</v>
      </c>
      <c r="H202" s="91">
        <f>IF(TrRoad_act!H63=0,0,TrRoad_emi!H60/TrRoad_tech!H175)</f>
        <v>1.0925919508478192</v>
      </c>
      <c r="I202" s="91">
        <f>IF(TrRoad_act!I63=0,0,TrRoad_emi!I60/TrRoad_tech!I175)</f>
        <v>1.028268589471047</v>
      </c>
      <c r="J202" s="91">
        <f>IF(TrRoad_act!J63=0,0,TrRoad_emi!J60/TrRoad_tech!J175)</f>
        <v>1.256835519233042</v>
      </c>
      <c r="K202" s="91">
        <f>IF(TrRoad_act!K63=0,0,TrRoad_emi!K60/TrRoad_tech!K175)</f>
        <v>1.1551199155947605</v>
      </c>
      <c r="L202" s="91">
        <f>IF(TrRoad_act!L63=0,0,TrRoad_emi!L60/TrRoad_tech!L175)</f>
        <v>1.0859909685357043</v>
      </c>
      <c r="M202" s="91">
        <f>IF(TrRoad_act!M63=0,0,TrRoad_emi!M60/TrRoad_tech!M175)</f>
        <v>1.0509982523114039</v>
      </c>
      <c r="N202" s="91">
        <f>IF(TrRoad_act!N63=0,0,TrRoad_emi!N60/TrRoad_tech!N175)</f>
        <v>1.0359498593281145</v>
      </c>
      <c r="O202" s="91">
        <f>IF(TrRoad_act!O63=0,0,TrRoad_emi!O60/TrRoad_tech!O175)</f>
        <v>1.0695848952823113</v>
      </c>
      <c r="P202" s="91">
        <f>IF(TrRoad_act!P63=0,0,TrRoad_emi!P60/TrRoad_tech!P175)</f>
        <v>1.1260440464651245</v>
      </c>
      <c r="Q202" s="91">
        <f>IF(TrRoad_act!Q63=0,0,TrRoad_emi!Q60/TrRoad_tech!Q175)</f>
        <v>1.2405505142723188</v>
      </c>
      <c r="R202" s="91">
        <f>IF(TrRoad_act!R63=0,0,TrRoad_emi!R60/TrRoad_tech!R175)</f>
        <v>1.1811717023204666</v>
      </c>
      <c r="S202" s="91">
        <f>IF(TrRoad_act!S63=0,0,TrRoad_emi!S60/TrRoad_tech!S175)</f>
        <v>1.1920930475153335</v>
      </c>
      <c r="T202" s="91">
        <f>IF(TrRoad_act!T63=0,0,TrRoad_emi!T60/TrRoad_tech!T175)</f>
        <v>1.1968121918387007</v>
      </c>
      <c r="U202" s="91">
        <f>IF(TrRoad_act!U63=0,0,TrRoad_emi!U60/TrRoad_tech!U175)</f>
        <v>1.2585603501205676</v>
      </c>
      <c r="V202" s="91">
        <f>IF(TrRoad_act!V63=0,0,TrRoad_emi!V60/TrRoad_tech!V175)</f>
        <v>1.19371194481777</v>
      </c>
      <c r="W202" s="91">
        <f>IF(TrRoad_act!W63=0,0,TrRoad_emi!W60/TrRoad_tech!W175)</f>
        <v>1.23326859253165</v>
      </c>
      <c r="X202" s="91">
        <f>IF(TrRoad_act!X63=0,0,TrRoad_emi!X60/TrRoad_tech!X175)</f>
        <v>1.2987087040164804</v>
      </c>
      <c r="Y202" s="91">
        <f>IF(TrRoad_act!Y63=0,0,TrRoad_emi!Y60/TrRoad_tech!Y175)</f>
        <v>1.1509875623125085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1.0555555555604401</v>
      </c>
      <c r="M203" s="91">
        <f>IF(TrRoad_act!M64=0,0,TrRoad_emi!M61/TrRoad_tech!M176)</f>
        <v>1.0590728121957118</v>
      </c>
      <c r="N203" s="91">
        <f>IF(TrRoad_act!N64=0,0,TrRoad_emi!N61/TrRoad_tech!N176)</f>
        <v>1.0624300057095155</v>
      </c>
      <c r="O203" s="91">
        <f>IF(TrRoad_act!O64=0,0,TrRoad_emi!O61/TrRoad_tech!O176)</f>
        <v>1.0701119997357542</v>
      </c>
      <c r="P203" s="91">
        <f>IF(TrRoad_act!P64=0,0,TrRoad_emi!P61/TrRoad_tech!P176)</f>
        <v>1.0735972890408403</v>
      </c>
      <c r="Q203" s="91">
        <f>IF(TrRoad_act!Q64=0,0,TrRoad_emi!Q61/TrRoad_tech!Q176)</f>
        <v>1.0771521307486307</v>
      </c>
      <c r="R203" s="91">
        <f>IF(TrRoad_act!R64=0,0,TrRoad_emi!R61/TrRoad_tech!R176)</f>
        <v>1.083069758202986</v>
      </c>
      <c r="S203" s="91">
        <f>IF(TrRoad_act!S64=0,0,TrRoad_emi!S61/TrRoad_tech!S176)</f>
        <v>1.0862056525402821</v>
      </c>
      <c r="T203" s="91">
        <f>IF(TrRoad_act!T64=0,0,TrRoad_emi!T61/TrRoad_tech!T176)</f>
        <v>0.95193686720235648</v>
      </c>
      <c r="U203" s="91">
        <f>IF(TrRoad_act!U64=0,0,TrRoad_emi!U61/TrRoad_tech!U176)</f>
        <v>0.89628437606530265</v>
      </c>
      <c r="V203" s="91">
        <f>IF(TrRoad_act!V64=0,0,TrRoad_emi!V61/TrRoad_tech!V176)</f>
        <v>0.93449085307676538</v>
      </c>
      <c r="W203" s="91">
        <f>IF(TrRoad_act!W64=0,0,TrRoad_emi!W61/TrRoad_tech!W176)</f>
        <v>0.89446078395193618</v>
      </c>
      <c r="X203" s="91">
        <f>IF(TrRoad_act!X64=0,0,TrRoad_emi!X61/TrRoad_tech!X176)</f>
        <v>0.82118181378353505</v>
      </c>
      <c r="Y203" s="91">
        <f>IF(TrRoad_act!Y64=0,0,TrRoad_emi!Y61/TrRoad_tech!Y176)</f>
        <v>0.75077734378506567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1.0366515181278197</v>
      </c>
      <c r="Q204" s="91">
        <f>IF(TrRoad_act!Q65=0,0,TrRoad_emi!Q62/TrRoad_tech!Q177)</f>
        <v>1.0518878030398278</v>
      </c>
      <c r="R204" s="91">
        <f>IF(TrRoad_act!R65=0,0,TrRoad_emi!R62/TrRoad_tech!R177)</f>
        <v>1.058457634093064</v>
      </c>
      <c r="S204" s="91">
        <f>IF(TrRoad_act!S65=0,0,TrRoad_emi!S62/TrRoad_tech!S177)</f>
        <v>1.0671565657835798</v>
      </c>
      <c r="T204" s="91">
        <f>IF(TrRoad_act!T65=0,0,TrRoad_emi!T62/TrRoad_tech!T177)</f>
        <v>1.0529586042476027</v>
      </c>
      <c r="U204" s="91">
        <f>IF(TrRoad_act!U65=0,0,TrRoad_emi!U62/TrRoad_tech!U177)</f>
        <v>1.0551077768148343</v>
      </c>
      <c r="V204" s="91">
        <f>IF(TrRoad_act!V65=0,0,TrRoad_emi!V62/TrRoad_tech!V177)</f>
        <v>1.0620364600266345</v>
      </c>
      <c r="W204" s="91">
        <f>IF(TrRoad_act!W65=0,0,TrRoad_emi!W62/TrRoad_tech!W177)</f>
        <v>1.091328559383385</v>
      </c>
      <c r="X204" s="91">
        <f>IF(TrRoad_act!X65=0,0,TrRoad_emi!X62/TrRoad_tech!X177)</f>
        <v>1.0695458235347617</v>
      </c>
      <c r="Y204" s="91">
        <f>IF(TrRoad_act!Y65=0,0,TrRoad_emi!Y62/TrRoad_tech!Y177)</f>
        <v>1.0648111793240649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1.1824486638822218</v>
      </c>
      <c r="C206" s="151">
        <f>IF(TrRoad_act!C67=0,0,TrRoad_emi!C64/TrRoad_tech!C179)</f>
        <v>1.4355658594180074</v>
      </c>
      <c r="D206" s="151">
        <f>IF(TrRoad_act!D67=0,0,TrRoad_emi!D64/TrRoad_tech!D179)</f>
        <v>1.5789135463421988</v>
      </c>
      <c r="E206" s="151">
        <f>IF(TrRoad_act!E67=0,0,TrRoad_emi!E64/TrRoad_tech!E179)</f>
        <v>1.3432442795390689</v>
      </c>
      <c r="F206" s="151">
        <f>IF(TrRoad_act!F67=0,0,TrRoad_emi!F64/TrRoad_tech!F179)</f>
        <v>1.3698868380866636</v>
      </c>
      <c r="G206" s="151">
        <f>IF(TrRoad_act!G67=0,0,TrRoad_emi!G64/TrRoad_tech!G179)</f>
        <v>1.3655221536687991</v>
      </c>
      <c r="H206" s="151">
        <f>IF(TrRoad_act!H67=0,0,TrRoad_emi!H64/TrRoad_tech!H179)</f>
        <v>1.3493584336266693</v>
      </c>
      <c r="I206" s="151">
        <f>IF(TrRoad_act!I67=0,0,TrRoad_emi!I64/TrRoad_tech!I179)</f>
        <v>1.3578011452974423</v>
      </c>
      <c r="J206" s="151">
        <f>IF(TrRoad_act!J67=0,0,TrRoad_emi!J64/TrRoad_tech!J179)</f>
        <v>1.301092755676525</v>
      </c>
      <c r="K206" s="151">
        <f>IF(TrRoad_act!K67=0,0,TrRoad_emi!K64/TrRoad_tech!K179)</f>
        <v>1.201658709070516</v>
      </c>
      <c r="L206" s="151">
        <f>IF(TrRoad_act!L67=0,0,TrRoad_emi!L64/TrRoad_tech!L179)</f>
        <v>1.6084054627039368</v>
      </c>
      <c r="M206" s="151">
        <f>IF(TrRoad_act!M67=0,0,TrRoad_emi!M64/TrRoad_tech!M179)</f>
        <v>1.335853627943369</v>
      </c>
      <c r="N206" s="151">
        <f>IF(TrRoad_act!N67=0,0,TrRoad_emi!N64/TrRoad_tech!N179)</f>
        <v>1.3372373710539482</v>
      </c>
      <c r="O206" s="151">
        <f>IF(TrRoad_act!O67=0,0,TrRoad_emi!O64/TrRoad_tech!O179)</f>
        <v>1.2687885594003612</v>
      </c>
      <c r="P206" s="151">
        <f>IF(TrRoad_act!P67=0,0,TrRoad_emi!P64/TrRoad_tech!P179)</f>
        <v>1.2731009834230629</v>
      </c>
      <c r="Q206" s="151">
        <f>IF(TrRoad_act!Q67=0,0,TrRoad_emi!Q64/TrRoad_tech!Q179)</f>
        <v>1.2371881926936854</v>
      </c>
      <c r="R206" s="151">
        <f>IF(TrRoad_act!R67=0,0,TrRoad_emi!R64/TrRoad_tech!R179)</f>
        <v>1.1827238253909522</v>
      </c>
      <c r="S206" s="151">
        <f>IF(TrRoad_act!S67=0,0,TrRoad_emi!S64/TrRoad_tech!S179)</f>
        <v>1.1776254045463161</v>
      </c>
      <c r="T206" s="151">
        <f>IF(TrRoad_act!T67=0,0,TrRoad_emi!T64/TrRoad_tech!T179)</f>
        <v>1.1472371547491085</v>
      </c>
      <c r="U206" s="151">
        <f>IF(TrRoad_act!U67=0,0,TrRoad_emi!U64/TrRoad_tech!U179)</f>
        <v>1.1725514412789828</v>
      </c>
      <c r="V206" s="151">
        <f>IF(TrRoad_act!V67=0,0,TrRoad_emi!V64/TrRoad_tech!V179)</f>
        <v>1.1769645119461198</v>
      </c>
      <c r="W206" s="151">
        <f>IF(TrRoad_act!W67=0,0,TrRoad_emi!W64/TrRoad_tech!W179)</f>
        <v>1.2171968567059597</v>
      </c>
      <c r="X206" s="151">
        <f>IF(TrRoad_act!X67=0,0,TrRoad_emi!X64/TrRoad_tech!X179)</f>
        <v>1.2096200171574165</v>
      </c>
      <c r="Y206" s="151">
        <f>IF(TrRoad_act!Y67=0,0,TrRoad_emi!Y64/TrRoad_tech!Y179)</f>
        <v>1.183621660141998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1.1000000000067305</v>
      </c>
      <c r="E207" s="93">
        <f>IF(TrRoad_act!E68=0,0,TrRoad_emi!E65/TrRoad_tech!E180)</f>
        <v>1.10000000000673</v>
      </c>
      <c r="F207" s="93">
        <f>IF(TrRoad_act!F68=0,0,TrRoad_emi!F65/TrRoad_tech!F180)</f>
        <v>1.1000000000067303</v>
      </c>
      <c r="G207" s="93">
        <f>IF(TrRoad_act!G68=0,0,TrRoad_emi!G65/TrRoad_tech!G180)</f>
        <v>1.1000000000067298</v>
      </c>
      <c r="H207" s="93">
        <f>IF(TrRoad_act!H68=0,0,TrRoad_emi!H65/TrRoad_tech!H180)</f>
        <v>1.1000000000067305</v>
      </c>
      <c r="I207" s="93">
        <f>IF(TrRoad_act!I68=0,0,TrRoad_emi!I65/TrRoad_tech!I180)</f>
        <v>1.1000000000067298</v>
      </c>
      <c r="J207" s="93">
        <f>IF(TrRoad_act!J68=0,0,TrRoad_emi!J65/TrRoad_tech!J180)</f>
        <v>1.0958283494718093</v>
      </c>
      <c r="K207" s="93">
        <f>IF(TrRoad_act!K68=0,0,TrRoad_emi!K65/TrRoad_tech!K180)</f>
        <v>1.0996582911318213</v>
      </c>
      <c r="L207" s="93">
        <f>IF(TrRoad_act!L68=0,0,TrRoad_emi!L65/TrRoad_tech!L180)</f>
        <v>1.0832058682449079</v>
      </c>
      <c r="M207" s="93">
        <f>IF(TrRoad_act!M68=0,0,TrRoad_emi!M65/TrRoad_tech!M180)</f>
        <v>1.0844579218839185</v>
      </c>
      <c r="N207" s="93">
        <f>IF(TrRoad_act!N68=0,0,TrRoad_emi!N65/TrRoad_tech!N180)</f>
        <v>1.0837675910877707</v>
      </c>
      <c r="O207" s="93">
        <f>IF(TrRoad_act!O68=0,0,TrRoad_emi!O65/TrRoad_tech!O180)</f>
        <v>1.0855632589905109</v>
      </c>
      <c r="P207" s="93">
        <f>IF(TrRoad_act!P68=0,0,TrRoad_emi!P65/TrRoad_tech!P180)</f>
        <v>1.0771789622477699</v>
      </c>
      <c r="Q207" s="93">
        <f>IF(TrRoad_act!Q68=0,0,TrRoad_emi!Q65/TrRoad_tech!Q180)</f>
        <v>1.088420057935005</v>
      </c>
      <c r="R207" s="93">
        <f>IF(TrRoad_act!R68=0,0,TrRoad_emi!R65/TrRoad_tech!R180)</f>
        <v>1.0917565822279462</v>
      </c>
      <c r="S207" s="93">
        <f>IF(TrRoad_act!S68=0,0,TrRoad_emi!S65/TrRoad_tech!S180)</f>
        <v>1.0973229132826934</v>
      </c>
      <c r="T207" s="93">
        <f>IF(TrRoad_act!T68=0,0,TrRoad_emi!T65/TrRoad_tech!T180)</f>
        <v>1.0817910246489422</v>
      </c>
      <c r="U207" s="93">
        <f>IF(TrRoad_act!U68=0,0,TrRoad_emi!U65/TrRoad_tech!U180)</f>
        <v>1.0814113847678315</v>
      </c>
      <c r="V207" s="93">
        <f>IF(TrRoad_act!V68=0,0,TrRoad_emi!V65/TrRoad_tech!V180)</f>
        <v>1.0796769955503307</v>
      </c>
      <c r="W207" s="93">
        <f>IF(TrRoad_act!W68=0,0,TrRoad_emi!W65/TrRoad_tech!W180)</f>
        <v>1.0893090125357148</v>
      </c>
      <c r="X207" s="93">
        <f>IF(TrRoad_act!X68=0,0,TrRoad_emi!X65/TrRoad_tech!X180)</f>
        <v>1.1031649634653828</v>
      </c>
      <c r="Y207" s="93">
        <f>IF(TrRoad_act!Y68=0,0,TrRoad_emi!Y65/TrRoad_tech!Y180)</f>
        <v>1.1020082747889133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1.0499146656164509</v>
      </c>
      <c r="C208" s="93">
        <f>IF(TrRoad_act!C69=0,0,TrRoad_emi!C66/TrRoad_tech!C181)</f>
        <v>1.3296672355778043</v>
      </c>
      <c r="D208" s="93">
        <f>IF(TrRoad_act!D69=0,0,TrRoad_emi!D66/TrRoad_tech!D181)</f>
        <v>1.4924063883364578</v>
      </c>
      <c r="E208" s="93">
        <f>IF(TrRoad_act!E69=0,0,TrRoad_emi!E66/TrRoad_tech!E181)</f>
        <v>1.2720890575975277</v>
      </c>
      <c r="F208" s="93">
        <f>IF(TrRoad_act!F69=0,0,TrRoad_emi!F66/TrRoad_tech!F181)</f>
        <v>1.3060426494333501</v>
      </c>
      <c r="G208" s="93">
        <f>IF(TrRoad_act!G69=0,0,TrRoad_emi!G66/TrRoad_tech!G181)</f>
        <v>1.3229866342230245</v>
      </c>
      <c r="H208" s="93">
        <f>IF(TrRoad_act!H69=0,0,TrRoad_emi!H66/TrRoad_tech!H181)</f>
        <v>1.3049534558581593</v>
      </c>
      <c r="I208" s="93">
        <f>IF(TrRoad_act!I69=0,0,TrRoad_emi!I66/TrRoad_tech!I181)</f>
        <v>1.3306962611553583</v>
      </c>
      <c r="J208" s="93">
        <f>IF(TrRoad_act!J69=0,0,TrRoad_emi!J66/TrRoad_tech!J181)</f>
        <v>1.280676441825348</v>
      </c>
      <c r="K208" s="93">
        <f>IF(TrRoad_act!K69=0,0,TrRoad_emi!K66/TrRoad_tech!K181)</f>
        <v>1.1865996147199773</v>
      </c>
      <c r="L208" s="93">
        <f>IF(TrRoad_act!L69=0,0,TrRoad_emi!L66/TrRoad_tech!L181)</f>
        <v>1.3315911336352118</v>
      </c>
      <c r="M208" s="93">
        <f>IF(TrRoad_act!M69=0,0,TrRoad_emi!M66/TrRoad_tech!M181)</f>
        <v>1.3601608609847939</v>
      </c>
      <c r="N208" s="93">
        <f>IF(TrRoad_act!N69=0,0,TrRoad_emi!N66/TrRoad_tech!N181)</f>
        <v>1.3633421330485356</v>
      </c>
      <c r="O208" s="93">
        <f>IF(TrRoad_act!O69=0,0,TrRoad_emi!O66/TrRoad_tech!O181)</f>
        <v>1.2847721856507366</v>
      </c>
      <c r="P208" s="93">
        <f>IF(TrRoad_act!P69=0,0,TrRoad_emi!P66/TrRoad_tech!P181)</f>
        <v>1.2850992118283804</v>
      </c>
      <c r="Q208" s="93">
        <f>IF(TrRoad_act!Q69=0,0,TrRoad_emi!Q66/TrRoad_tech!Q181)</f>
        <v>1.2434214910408792</v>
      </c>
      <c r="R208" s="93">
        <f>IF(TrRoad_act!R69=0,0,TrRoad_emi!R66/TrRoad_tech!R181)</f>
        <v>1.1805763732378447</v>
      </c>
      <c r="S208" s="93">
        <f>IF(TrRoad_act!S69=0,0,TrRoad_emi!S66/TrRoad_tech!S181)</f>
        <v>1.1875860784619543</v>
      </c>
      <c r="T208" s="93">
        <f>IF(TrRoad_act!T69=0,0,TrRoad_emi!T66/TrRoad_tech!T181)</f>
        <v>1.161632263006366</v>
      </c>
      <c r="U208" s="93">
        <f>IF(TrRoad_act!U69=0,0,TrRoad_emi!U66/TrRoad_tech!U181)</f>
        <v>1.1580035531242987</v>
      </c>
      <c r="V208" s="93">
        <f>IF(TrRoad_act!V69=0,0,TrRoad_emi!V66/TrRoad_tech!V181)</f>
        <v>1.1213644932174067</v>
      </c>
      <c r="W208" s="93">
        <f>IF(TrRoad_act!W69=0,0,TrRoad_emi!W66/TrRoad_tech!W181)</f>
        <v>1.1800704645304896</v>
      </c>
      <c r="X208" s="93">
        <f>IF(TrRoad_act!X69=0,0,TrRoad_emi!X66/TrRoad_tech!X181)</f>
        <v>1.219838828110158</v>
      </c>
      <c r="Y208" s="93">
        <f>IF(TrRoad_act!Y69=0,0,TrRoad_emi!Y66/TrRoad_tech!Y181)</f>
        <v>1.3038200978749441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1.3402704049142131</v>
      </c>
      <c r="U209" s="93">
        <f>IF(TrRoad_act!U70=0,0,TrRoad_emi!U67/TrRoad_tech!U182)</f>
        <v>1.3402704049142133</v>
      </c>
      <c r="V209" s="93">
        <f>IF(TrRoad_act!V70=0,0,TrRoad_emi!V67/TrRoad_tech!V182)</f>
        <v>1.3402704049142133</v>
      </c>
      <c r="W209" s="93">
        <f>IF(TrRoad_act!W70=0,0,TrRoad_emi!W67/TrRoad_tech!W182)</f>
        <v>1.3402704049142131</v>
      </c>
      <c r="X209" s="93">
        <f>IF(TrRoad_act!X70=0,0,TrRoad_emi!X67/TrRoad_tech!X182)</f>
        <v>1.3402704049142136</v>
      </c>
      <c r="Y209" s="93">
        <f>IF(TrRoad_act!Y70=0,0,TrRoad_emi!Y67/TrRoad_tech!Y182)</f>
        <v>1.3402704049142136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1.3454395511027539</v>
      </c>
      <c r="M210" s="93">
        <f>IF(TrRoad_act!M71=0,0,TrRoad_emi!M68/TrRoad_tech!M183)</f>
        <v>2.4533257069846002</v>
      </c>
      <c r="N210" s="93">
        <f>IF(TrRoad_act!N71=0,0,TrRoad_emi!N68/TrRoad_tech!N183)</f>
        <v>4.4384620250242195</v>
      </c>
      <c r="O210" s="93">
        <f>IF(TrRoad_act!O71=0,0,TrRoad_emi!O68/TrRoad_tech!O183)</f>
        <v>1.4947166741927909</v>
      </c>
      <c r="P210" s="93">
        <f>IF(TrRoad_act!P71=0,0,TrRoad_emi!P68/TrRoad_tech!P183)</f>
        <v>1.3468336125019233</v>
      </c>
      <c r="Q210" s="93">
        <f>IF(TrRoad_act!Q71=0,0,TrRoad_emi!Q68/TrRoad_tech!Q183)</f>
        <v>1.4702831688465474</v>
      </c>
      <c r="R210" s="93">
        <f>IF(TrRoad_act!R71=0,0,TrRoad_emi!R68/TrRoad_tech!R183)</f>
        <v>1.2258402941228776</v>
      </c>
      <c r="S210" s="93">
        <f>IF(TrRoad_act!S71=0,0,TrRoad_emi!S68/TrRoad_tech!S183)</f>
        <v>0.71643018986967011</v>
      </c>
      <c r="T210" s="93">
        <f>IF(TrRoad_act!T71=0,0,TrRoad_emi!T68/TrRoad_tech!T183)</f>
        <v>1.4451721812208351</v>
      </c>
      <c r="U210" s="93">
        <f>IF(TrRoad_act!U71=0,0,TrRoad_emi!U68/TrRoad_tech!U183)</f>
        <v>1.3419620217819033</v>
      </c>
      <c r="V210" s="93">
        <f>IF(TrRoad_act!V71=0,0,TrRoad_emi!V68/TrRoad_tech!V183)</f>
        <v>1.4337855834252802</v>
      </c>
      <c r="W210" s="93">
        <f>IF(TrRoad_act!W71=0,0,TrRoad_emi!W68/TrRoad_tech!W183)</f>
        <v>1.00276516282143</v>
      </c>
      <c r="X210" s="93">
        <f>IF(TrRoad_act!X71=0,0,TrRoad_emi!X68/TrRoad_tech!X183)</f>
        <v>0.29755548712468743</v>
      </c>
      <c r="Y210" s="93">
        <f>IF(TrRoad_act!Y71=0,0,TrRoad_emi!Y68/TrRoad_tech!Y183)</f>
        <v>0.74698615198086715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1.0693144863481709</v>
      </c>
      <c r="C213" s="150">
        <f>IF(TrRoad_act!C74=0,0,TrRoad_emi!C71/TrRoad_tech!C186)</f>
        <v>1.2812028730551759</v>
      </c>
      <c r="D213" s="150">
        <f>IF(TrRoad_act!D74=0,0,TrRoad_emi!D71/TrRoad_tech!D186)</f>
        <v>1.3997618303123884</v>
      </c>
      <c r="E213" s="150">
        <f>IF(TrRoad_act!E74=0,0,TrRoad_emi!E71/TrRoad_tech!E186)</f>
        <v>1.2211947446957949</v>
      </c>
      <c r="F213" s="150">
        <f>IF(TrRoad_act!F74=0,0,TrRoad_emi!F71/TrRoad_tech!F186)</f>
        <v>1.2464599549635724</v>
      </c>
      <c r="G213" s="150">
        <f>IF(TrRoad_act!G74=0,0,TrRoad_emi!G71/TrRoad_tech!G186)</f>
        <v>1.2567903418854955</v>
      </c>
      <c r="H213" s="150">
        <f>IF(TrRoad_act!H74=0,0,TrRoad_emi!H71/TrRoad_tech!H186)</f>
        <v>1.2279436255223504</v>
      </c>
      <c r="I213" s="150">
        <f>IF(TrRoad_act!I74=0,0,TrRoad_emi!I71/TrRoad_tech!I186)</f>
        <v>1.252620014997085</v>
      </c>
      <c r="J213" s="150">
        <f>IF(TrRoad_act!J74=0,0,TrRoad_emi!J71/TrRoad_tech!J186)</f>
        <v>1.2813637718095061</v>
      </c>
      <c r="K213" s="150">
        <f>IF(TrRoad_act!K74=0,0,TrRoad_emi!K71/TrRoad_tech!K186)</f>
        <v>1.2422486209580168</v>
      </c>
      <c r="L213" s="150">
        <f>IF(TrRoad_act!L74=0,0,TrRoad_emi!L71/TrRoad_tech!L186)</f>
        <v>1.440640115248053</v>
      </c>
      <c r="M213" s="150">
        <f>IF(TrRoad_act!M74=0,0,TrRoad_emi!M71/TrRoad_tech!M186)</f>
        <v>1.48221516794022</v>
      </c>
      <c r="N213" s="150">
        <f>IF(TrRoad_act!N74=0,0,TrRoad_emi!N71/TrRoad_tech!N186)</f>
        <v>1.4024151757908019</v>
      </c>
      <c r="O213" s="150">
        <f>IF(TrRoad_act!O74=0,0,TrRoad_emi!O71/TrRoad_tech!O186)</f>
        <v>1.3155263480161443</v>
      </c>
      <c r="P213" s="150">
        <f>IF(TrRoad_act!P74=0,0,TrRoad_emi!P71/TrRoad_tech!P186)</f>
        <v>1.2897682876991565</v>
      </c>
      <c r="Q213" s="150">
        <f>IF(TrRoad_act!Q74=0,0,TrRoad_emi!Q71/TrRoad_tech!Q186)</f>
        <v>1.2859959804425631</v>
      </c>
      <c r="R213" s="150">
        <f>IF(TrRoad_act!R74=0,0,TrRoad_emi!R71/TrRoad_tech!R186)</f>
        <v>1.2389949614780222</v>
      </c>
      <c r="S213" s="150">
        <f>IF(TrRoad_act!S74=0,0,TrRoad_emi!S71/TrRoad_tech!S186)</f>
        <v>1.266647000442604</v>
      </c>
      <c r="T213" s="150">
        <f>IF(TrRoad_act!T74=0,0,TrRoad_emi!T71/TrRoad_tech!T186)</f>
        <v>1.2162839328072803</v>
      </c>
      <c r="U213" s="150">
        <f>IF(TrRoad_act!U74=0,0,TrRoad_emi!U71/TrRoad_tech!U186)</f>
        <v>1.2334018197894523</v>
      </c>
      <c r="V213" s="150">
        <f>IF(TrRoad_act!V74=0,0,TrRoad_emi!V71/TrRoad_tech!V186)</f>
        <v>1.0822180819481646</v>
      </c>
      <c r="W213" s="150">
        <f>IF(TrRoad_act!W74=0,0,TrRoad_emi!W71/TrRoad_tech!W186)</f>
        <v>1.1391036609509193</v>
      </c>
      <c r="X213" s="150">
        <f>IF(TrRoad_act!X74=0,0,TrRoad_emi!X71/TrRoad_tech!X186)</f>
        <v>1.1374727758027261</v>
      </c>
      <c r="Y213" s="150">
        <f>IF(TrRoad_act!Y74=0,0,TrRoad_emi!Y71/TrRoad_tech!Y186)</f>
        <v>1.2195119531994387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1.1000437233170735</v>
      </c>
      <c r="D214" s="91">
        <f>IF(TrRoad_act!D75=0,0,TrRoad_emi!D72/TrRoad_tech!D187)</f>
        <v>1.1001601295484282</v>
      </c>
      <c r="E214" s="91">
        <f>IF(TrRoad_act!E75=0,0,TrRoad_emi!E72/TrRoad_tech!E187)</f>
        <v>1.100340462148574</v>
      </c>
      <c r="F214" s="91">
        <f>IF(TrRoad_act!F75=0,0,TrRoad_emi!F72/TrRoad_tech!F187)</f>
        <v>1.1006925902451086</v>
      </c>
      <c r="G214" s="91">
        <f>IF(TrRoad_act!G75=0,0,TrRoad_emi!G72/TrRoad_tech!G187)</f>
        <v>1.1013009603225612</v>
      </c>
      <c r="H214" s="91">
        <f>IF(TrRoad_act!H75=0,0,TrRoad_emi!H72/TrRoad_tech!H187)</f>
        <v>1.1023295985511909</v>
      </c>
      <c r="I214" s="91">
        <f>IF(TrRoad_act!I75=0,0,TrRoad_emi!I72/TrRoad_tech!I187)</f>
        <v>1.1038536589270083</v>
      </c>
      <c r="J214" s="91">
        <f>IF(TrRoad_act!J75=0,0,TrRoad_emi!J72/TrRoad_tech!J187)</f>
        <v>1.1042796909807191</v>
      </c>
      <c r="K214" s="91">
        <f>IF(TrRoad_act!K75=0,0,TrRoad_emi!K72/TrRoad_tech!K187)</f>
        <v>1.1127421333553804</v>
      </c>
      <c r="L214" s="91">
        <f>IF(TrRoad_act!L75=0,0,TrRoad_emi!L72/TrRoad_tech!L187)</f>
        <v>1.0992233117503487</v>
      </c>
      <c r="M214" s="91">
        <f>IF(TrRoad_act!M75=0,0,TrRoad_emi!M72/TrRoad_tech!M187)</f>
        <v>1.1047142485723713</v>
      </c>
      <c r="N214" s="91">
        <f>IF(TrRoad_act!N75=0,0,TrRoad_emi!N72/TrRoad_tech!N187)</f>
        <v>1.1110766566362922</v>
      </c>
      <c r="O214" s="91">
        <f>IF(TrRoad_act!O75=0,0,TrRoad_emi!O72/TrRoad_tech!O187)</f>
        <v>1.1198437768489895</v>
      </c>
      <c r="P214" s="91">
        <f>IF(TrRoad_act!P75=0,0,TrRoad_emi!P72/TrRoad_tech!P187)</f>
        <v>1.1188629570258435</v>
      </c>
      <c r="Q214" s="91">
        <f>IF(TrRoad_act!Q75=0,0,TrRoad_emi!Q72/TrRoad_tech!Q187)</f>
        <v>1.1414342872972412</v>
      </c>
      <c r="R214" s="91">
        <f>IF(TrRoad_act!R75=0,0,TrRoad_emi!R72/TrRoad_tech!R187)</f>
        <v>1.157241266016962</v>
      </c>
      <c r="S214" s="91">
        <f>IF(TrRoad_act!S75=0,0,TrRoad_emi!S72/TrRoad_tech!S187)</f>
        <v>1.1733587493224147</v>
      </c>
      <c r="T214" s="91">
        <f>IF(TrRoad_act!T75=0,0,TrRoad_emi!T72/TrRoad_tech!T187)</f>
        <v>1.1707011517857597</v>
      </c>
      <c r="U214" s="91">
        <f>IF(TrRoad_act!U75=0,0,TrRoad_emi!U72/TrRoad_tech!U187)</f>
        <v>1.1757828770623566</v>
      </c>
      <c r="V214" s="91">
        <f>IF(TrRoad_act!V75=0,0,TrRoad_emi!V72/TrRoad_tech!V187)</f>
        <v>1.1867356814031886</v>
      </c>
      <c r="W214" s="91">
        <f>IF(TrRoad_act!W75=0,0,TrRoad_emi!W72/TrRoad_tech!W187)</f>
        <v>1.2079141463109468</v>
      </c>
      <c r="X214" s="91">
        <f>IF(TrRoad_act!X75=0,0,TrRoad_emi!X72/TrRoad_tech!X187)</f>
        <v>1.2347576675817828</v>
      </c>
      <c r="Y214" s="91">
        <f>IF(TrRoad_act!Y75=0,0,TrRoad_emi!Y72/TrRoad_tech!Y187)</f>
        <v>1.2426594253193466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1.0499146656164511</v>
      </c>
      <c r="C215" s="91">
        <f>IF(TrRoad_act!C76=0,0,TrRoad_emi!C73/TrRoad_tech!C188)</f>
        <v>1.3289133813507796</v>
      </c>
      <c r="D215" s="91">
        <f>IF(TrRoad_act!D76=0,0,TrRoad_emi!D73/TrRoad_tech!D188)</f>
        <v>1.4894759749101421</v>
      </c>
      <c r="E215" s="91">
        <f>IF(TrRoad_act!E76=0,0,TrRoad_emi!E73/TrRoad_tech!E188)</f>
        <v>1.2663606270337484</v>
      </c>
      <c r="F215" s="91">
        <f>IF(TrRoad_act!F76=0,0,TrRoad_emi!F73/TrRoad_tech!F188)</f>
        <v>1.2970779104219994</v>
      </c>
      <c r="G215" s="91">
        <f>IF(TrRoad_act!G76=0,0,TrRoad_emi!G73/TrRoad_tech!G188)</f>
        <v>1.3086236041372323</v>
      </c>
      <c r="H215" s="91">
        <f>IF(TrRoad_act!H76=0,0,TrRoad_emi!H73/TrRoad_tech!H188)</f>
        <v>1.2878277906280049</v>
      </c>
      <c r="I215" s="91">
        <f>IF(TrRoad_act!I76=0,0,TrRoad_emi!I73/TrRoad_tech!I188)</f>
        <v>1.3118606160678514</v>
      </c>
      <c r="J215" s="91">
        <f>IF(TrRoad_act!J76=0,0,TrRoad_emi!J73/TrRoad_tech!J188)</f>
        <v>1.2638041578522183</v>
      </c>
      <c r="K215" s="91">
        <f>IF(TrRoad_act!K76=0,0,TrRoad_emi!K73/TrRoad_tech!K188)</f>
        <v>1.1729335716628362</v>
      </c>
      <c r="L215" s="91">
        <f>IF(TrRoad_act!L76=0,0,TrRoad_emi!L73/TrRoad_tech!L188)</f>
        <v>1.3115635525203584</v>
      </c>
      <c r="M215" s="91">
        <f>IF(TrRoad_act!M76=0,0,TrRoad_emi!M73/TrRoad_tech!M188)</f>
        <v>1.3360398771677033</v>
      </c>
      <c r="N215" s="91">
        <f>IF(TrRoad_act!N76=0,0,TrRoad_emi!N73/TrRoad_tech!N188)</f>
        <v>1.3360617925155014</v>
      </c>
      <c r="O215" s="91">
        <f>IF(TrRoad_act!O76=0,0,TrRoad_emi!O73/TrRoad_tech!O188)</f>
        <v>1.2561346660060022</v>
      </c>
      <c r="P215" s="91">
        <f>IF(TrRoad_act!P76=0,0,TrRoad_emi!P73/TrRoad_tech!P188)</f>
        <v>1.254724464440063</v>
      </c>
      <c r="Q215" s="91">
        <f>IF(TrRoad_act!Q76=0,0,TrRoad_emi!Q73/TrRoad_tech!Q188)</f>
        <v>1.2111541976225506</v>
      </c>
      <c r="R215" s="91">
        <f>IF(TrRoad_act!R76=0,0,TrRoad_emi!R73/TrRoad_tech!R188)</f>
        <v>1.151256515518958</v>
      </c>
      <c r="S215" s="91">
        <f>IF(TrRoad_act!S76=0,0,TrRoad_emi!S73/TrRoad_tech!S188)</f>
        <v>1.1564337791486445</v>
      </c>
      <c r="T215" s="91">
        <f>IF(TrRoad_act!T76=0,0,TrRoad_emi!T73/TrRoad_tech!T188)</f>
        <v>1.1323677791547291</v>
      </c>
      <c r="U215" s="91">
        <f>IF(TrRoad_act!U76=0,0,TrRoad_emi!U73/TrRoad_tech!U188)</f>
        <v>1.1266934901977279</v>
      </c>
      <c r="V215" s="91">
        <f>IF(TrRoad_act!V76=0,0,TrRoad_emi!V73/TrRoad_tech!V188)</f>
        <v>1.0909808687596296</v>
      </c>
      <c r="W215" s="91">
        <f>IF(TrRoad_act!W76=0,0,TrRoad_emi!W73/TrRoad_tech!W188)</f>
        <v>1.1540788320306048</v>
      </c>
      <c r="X215" s="91">
        <f>IF(TrRoad_act!X76=0,0,TrRoad_emi!X73/TrRoad_tech!X188)</f>
        <v>1.1899885615154822</v>
      </c>
      <c r="Y215" s="91">
        <f>IF(TrRoad_act!Y76=0,0,TrRoad_emi!Y73/TrRoad_tech!Y188)</f>
        <v>1.2728124093558755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1.3172635731932032</v>
      </c>
      <c r="S216" s="91">
        <f>IF(TrRoad_act!S77=0,0,TrRoad_emi!S74/TrRoad_tech!S189)</f>
        <v>1.329272685838307</v>
      </c>
      <c r="T216" s="91">
        <f>IF(TrRoad_act!T77=0,0,TrRoad_emi!T74/TrRoad_tech!T189)</f>
        <v>1.332907716328523</v>
      </c>
      <c r="U216" s="91">
        <f>IF(TrRoad_act!U77=0,0,TrRoad_emi!U74/TrRoad_tech!U189)</f>
        <v>1.3368447242653974</v>
      </c>
      <c r="V216" s="91">
        <f>IF(TrRoad_act!V77=0,0,TrRoad_emi!V74/TrRoad_tech!V189)</f>
        <v>1.3371537415113033</v>
      </c>
      <c r="W216" s="91">
        <f>IF(TrRoad_act!W77=0,0,TrRoad_emi!W74/TrRoad_tech!W189)</f>
        <v>1.3371537415113026</v>
      </c>
      <c r="X216" s="91">
        <f>IF(TrRoad_act!X77=0,0,TrRoad_emi!X74/TrRoad_tech!X189)</f>
        <v>1.3374936913801483</v>
      </c>
      <c r="Y216" s="91">
        <f>IF(TrRoad_act!Y77=0,0,TrRoad_emi!Y74/TrRoad_tech!Y189)</f>
        <v>1.3403450277142803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1.2360000000066975</v>
      </c>
      <c r="O217" s="91">
        <f>IF(TrRoad_act!O78=0,0,TrRoad_emi!O75/TrRoad_tech!O190)</f>
        <v>1.2555952353742963</v>
      </c>
      <c r="P217" s="91">
        <f>IF(TrRoad_act!P78=0,0,TrRoad_emi!P75/TrRoad_tech!P190)</f>
        <v>1.2611184419129247</v>
      </c>
      <c r="Q217" s="91">
        <f>IF(TrRoad_act!Q78=0,0,TrRoad_emi!Q75/TrRoad_tech!Q190)</f>
        <v>1.272249595729428</v>
      </c>
      <c r="R217" s="91">
        <f>IF(TrRoad_act!R78=0,0,TrRoad_emi!R75/TrRoad_tech!R190)</f>
        <v>1.2724319559252237</v>
      </c>
      <c r="S217" s="91">
        <f>IF(TrRoad_act!S78=0,0,TrRoad_emi!S75/TrRoad_tech!S190)</f>
        <v>1.2989492781828968</v>
      </c>
      <c r="T217" s="91">
        <f>IF(TrRoad_act!T78=0,0,TrRoad_emi!T75/TrRoad_tech!T190)</f>
        <v>1.1424953318554341</v>
      </c>
      <c r="U217" s="91">
        <f>IF(TrRoad_act!U78=0,0,TrRoad_emi!U75/TrRoad_tech!U190)</f>
        <v>1.0779059798386301</v>
      </c>
      <c r="V217" s="91">
        <f>IF(TrRoad_act!V78=0,0,TrRoad_emi!V75/TrRoad_tech!V190)</f>
        <v>1.1307069116143753</v>
      </c>
      <c r="W217" s="91">
        <f>IF(TrRoad_act!W78=0,0,TrRoad_emi!W75/TrRoad_tech!W190)</f>
        <v>1.081993711087085</v>
      </c>
      <c r="X217" s="91">
        <f>IF(TrRoad_act!X78=0,0,TrRoad_emi!X75/TrRoad_tech!X190)</f>
        <v>0.99311931550406374</v>
      </c>
      <c r="Y217" s="91">
        <f>IF(TrRoad_act!Y78=0,0,TrRoad_emi!Y75/TrRoad_tech!Y190)</f>
        <v>0.91112210905100854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1.0735963802601252</v>
      </c>
      <c r="C219" s="151">
        <f>IF(TrRoad_act!C80=0,0,TrRoad_emi!C77/TrRoad_tech!C192)</f>
        <v>1.29738960023753</v>
      </c>
      <c r="D219" s="151">
        <f>IF(TrRoad_act!D80=0,0,TrRoad_emi!D77/TrRoad_tech!D192)</f>
        <v>1.4090527458255095</v>
      </c>
      <c r="E219" s="151">
        <f>IF(TrRoad_act!E80=0,0,TrRoad_emi!E77/TrRoad_tech!E192)</f>
        <v>1.1873112286870975</v>
      </c>
      <c r="F219" s="151">
        <f>IF(TrRoad_act!F80=0,0,TrRoad_emi!F77/TrRoad_tech!F192)</f>
        <v>1.233123068011986</v>
      </c>
      <c r="G219" s="151">
        <f>IF(TrRoad_act!G80=0,0,TrRoad_emi!G77/TrRoad_tech!G192)</f>
        <v>1.2711356968788012</v>
      </c>
      <c r="H219" s="151">
        <f>IF(TrRoad_act!H80=0,0,TrRoad_emi!H77/TrRoad_tech!H192)</f>
        <v>1.2756310946758493</v>
      </c>
      <c r="I219" s="151">
        <f>IF(TrRoad_act!I80=0,0,TrRoad_emi!I77/TrRoad_tech!I192)</f>
        <v>1.3625603672977868</v>
      </c>
      <c r="J219" s="151">
        <f>IF(TrRoad_act!J80=0,0,TrRoad_emi!J77/TrRoad_tech!J192)</f>
        <v>1.370895557426574</v>
      </c>
      <c r="K219" s="151">
        <f>IF(TrRoad_act!K80=0,0,TrRoad_emi!K77/TrRoad_tech!K192)</f>
        <v>1.3103489714324157</v>
      </c>
      <c r="L219" s="151">
        <f>IF(TrRoad_act!L80=0,0,TrRoad_emi!L77/TrRoad_tech!L192)</f>
        <v>1.6118723209003316</v>
      </c>
      <c r="M219" s="151">
        <f>IF(TrRoad_act!M80=0,0,TrRoad_emi!M77/TrRoad_tech!M192)</f>
        <v>1.6479967859942228</v>
      </c>
      <c r="N219" s="151">
        <f>IF(TrRoad_act!N80=0,0,TrRoad_emi!N77/TrRoad_tech!N192)</f>
        <v>1.6624690079583937</v>
      </c>
      <c r="O219" s="151">
        <f>IF(TrRoad_act!O80=0,0,TrRoad_emi!O77/TrRoad_tech!O192)</f>
        <v>1.4570910525101792</v>
      </c>
      <c r="P219" s="151">
        <f>IF(TrRoad_act!P80=0,0,TrRoad_emi!P77/TrRoad_tech!P192)</f>
        <v>1.4485505771644338</v>
      </c>
      <c r="Q219" s="151">
        <f>IF(TrRoad_act!Q80=0,0,TrRoad_emi!Q77/TrRoad_tech!Q192)</f>
        <v>1.3376989489264435</v>
      </c>
      <c r="R219" s="151">
        <f>IF(TrRoad_act!R80=0,0,TrRoad_emi!R77/TrRoad_tech!R192)</f>
        <v>1.1744719297450295</v>
      </c>
      <c r="S219" s="151">
        <f>IF(TrRoad_act!S80=0,0,TrRoad_emi!S77/TrRoad_tech!S192)</f>
        <v>1.1718061501465646</v>
      </c>
      <c r="T219" s="151">
        <f>IF(TrRoad_act!T80=0,0,TrRoad_emi!T77/TrRoad_tech!T192)</f>
        <v>1.135897840813175</v>
      </c>
      <c r="U219" s="151">
        <f>IF(TrRoad_act!U80=0,0,TrRoad_emi!U77/TrRoad_tech!U192)</f>
        <v>1.1184739792563694</v>
      </c>
      <c r="V219" s="151">
        <f>IF(TrRoad_act!V80=0,0,TrRoad_emi!V77/TrRoad_tech!V192)</f>
        <v>1.0368896260776328</v>
      </c>
      <c r="W219" s="151">
        <f>IF(TrRoad_act!W80=0,0,TrRoad_emi!W77/TrRoad_tech!W192)</f>
        <v>1.182915200552157</v>
      </c>
      <c r="X219" s="151">
        <f>IF(TrRoad_act!X80=0,0,TrRoad_emi!X77/TrRoad_tech!X192)</f>
        <v>1.2917484401035402</v>
      </c>
      <c r="Y219" s="151">
        <f>IF(TrRoad_act!Y80=0,0,TrRoad_emi!Y77/TrRoad_tech!Y192)</f>
        <v>1.5098128616968998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1.1131968892983088</v>
      </c>
      <c r="C220" s="93">
        <f>IF(TrRoad_act!C81=0,0,TrRoad_emi!C78/TrRoad_tech!C193)</f>
        <v>1.3415166936209952</v>
      </c>
      <c r="D220" s="93">
        <f>IF(TrRoad_act!D81=0,0,TrRoad_emi!D78/TrRoad_tech!D193)</f>
        <v>1.4622191486050271</v>
      </c>
      <c r="E220" s="93">
        <f>IF(TrRoad_act!E81=0,0,TrRoad_emi!E78/TrRoad_tech!E193)</f>
        <v>1.2411990413751661</v>
      </c>
      <c r="F220" s="93">
        <f>IF(TrRoad_act!F81=0,0,TrRoad_emi!F78/TrRoad_tech!F193)</f>
        <v>1.2896846520509035</v>
      </c>
      <c r="G220" s="93">
        <f>IF(TrRoad_act!G81=0,0,TrRoad_emi!G78/TrRoad_tech!G193)</f>
        <v>1.3298615391198072</v>
      </c>
      <c r="H220" s="93">
        <f>IF(TrRoad_act!H81=0,0,TrRoad_emi!H78/TrRoad_tech!H193)</f>
        <v>1.3352327910230692</v>
      </c>
      <c r="I220" s="93">
        <f>IF(TrRoad_act!I81=0,0,TrRoad_emi!I78/TrRoad_tech!I193)</f>
        <v>1.4265608684856876</v>
      </c>
      <c r="J220" s="93">
        <f>IF(TrRoad_act!J81=0,0,TrRoad_emi!J78/TrRoad_tech!J193)</f>
        <v>1.4364655665585899</v>
      </c>
      <c r="K220" s="93">
        <f>IF(TrRoad_act!K81=0,0,TrRoad_emi!K78/TrRoad_tech!K193)</f>
        <v>1.3712299187148493</v>
      </c>
      <c r="L220" s="93">
        <f>IF(TrRoad_act!L81=0,0,TrRoad_emi!L78/TrRoad_tech!L193)</f>
        <v>1.6855575480634313</v>
      </c>
      <c r="M220" s="93">
        <f>IF(TrRoad_act!M81=0,0,TrRoad_emi!M78/TrRoad_tech!M193)</f>
        <v>1.723443275212281</v>
      </c>
      <c r="N220" s="93">
        <f>IF(TrRoad_act!N81=0,0,TrRoad_emi!N78/TrRoad_tech!N193)</f>
        <v>1.7379360320899673</v>
      </c>
      <c r="O220" s="93">
        <f>IF(TrRoad_act!O81=0,0,TrRoad_emi!O78/TrRoad_tech!O193)</f>
        <v>1.5210612808699726</v>
      </c>
      <c r="P220" s="93">
        <f>IF(TrRoad_act!P81=0,0,TrRoad_emi!P78/TrRoad_tech!P193)</f>
        <v>1.5094203079443116</v>
      </c>
      <c r="Q220" s="93">
        <f>IF(TrRoad_act!Q81=0,0,TrRoad_emi!Q78/TrRoad_tech!Q193)</f>
        <v>1.3885046805254968</v>
      </c>
      <c r="R220" s="93">
        <f>IF(TrRoad_act!R81=0,0,TrRoad_emi!R78/TrRoad_tech!R193)</f>
        <v>1.2202762947481436</v>
      </c>
      <c r="S220" s="93">
        <f>IF(TrRoad_act!S81=0,0,TrRoad_emi!S78/TrRoad_tech!S193)</f>
        <v>1.2095261776380311</v>
      </c>
      <c r="T220" s="93">
        <f>IF(TrRoad_act!T81=0,0,TrRoad_emi!T78/TrRoad_tech!T193)</f>
        <v>1.1694128057646807</v>
      </c>
      <c r="U220" s="93">
        <f>IF(TrRoad_act!U81=0,0,TrRoad_emi!U78/TrRoad_tech!U193)</f>
        <v>1.1425986960597616</v>
      </c>
      <c r="V220" s="93">
        <f>IF(TrRoad_act!V81=0,0,TrRoad_emi!V78/TrRoad_tech!V193)</f>
        <v>1.0435578503395271</v>
      </c>
      <c r="W220" s="93">
        <f>IF(TrRoad_act!W81=0,0,TrRoad_emi!W78/TrRoad_tech!W193)</f>
        <v>1.2047261228807007</v>
      </c>
      <c r="X220" s="93">
        <f>IF(TrRoad_act!X81=0,0,TrRoad_emi!X78/TrRoad_tech!X193)</f>
        <v>1.304232635312895</v>
      </c>
      <c r="Y220" s="93">
        <f>IF(TrRoad_act!Y81=0,0,TrRoad_emi!Y78/TrRoad_tech!Y193)</f>
        <v>1.5161000580698805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1.1131968892983084</v>
      </c>
      <c r="C221" s="94">
        <f>IF(TrRoad_act!C82=0,0,TrRoad_emi!C79/TrRoad_tech!C194)</f>
        <v>1.3417614948575296</v>
      </c>
      <c r="D221" s="94">
        <f>IF(TrRoad_act!D82=0,0,TrRoad_emi!D79/TrRoad_tech!D194)</f>
        <v>1.4601921522342374</v>
      </c>
      <c r="E221" s="94">
        <f>IF(TrRoad_act!E82=0,0,TrRoad_emi!E79/TrRoad_tech!E194)</f>
        <v>1.2352671771402506</v>
      </c>
      <c r="F221" s="94">
        <f>IF(TrRoad_act!F82=0,0,TrRoad_emi!F79/TrRoad_tech!F194)</f>
        <v>1.2848839810352608</v>
      </c>
      <c r="G221" s="94">
        <f>IF(TrRoad_act!G82=0,0,TrRoad_emi!G79/TrRoad_tech!G194)</f>
        <v>1.3253176340902459</v>
      </c>
      <c r="H221" s="94">
        <f>IF(TrRoad_act!H82=0,0,TrRoad_emi!H79/TrRoad_tech!H194)</f>
        <v>1.3312406683497886</v>
      </c>
      <c r="I221" s="94">
        <f>IF(TrRoad_act!I82=0,0,TrRoad_emi!I79/TrRoad_tech!I194)</f>
        <v>1.4230302509540591</v>
      </c>
      <c r="J221" s="94">
        <f>IF(TrRoad_act!J82=0,0,TrRoad_emi!J79/TrRoad_tech!J194)</f>
        <v>1.4289671367922683</v>
      </c>
      <c r="K221" s="94">
        <f>IF(TrRoad_act!K82=0,0,TrRoad_emi!K79/TrRoad_tech!K194)</f>
        <v>1.361070578516907</v>
      </c>
      <c r="L221" s="94">
        <f>IF(TrRoad_act!L82=0,0,TrRoad_emi!L79/TrRoad_tech!L194)</f>
        <v>1.6788791511857017</v>
      </c>
      <c r="M221" s="94">
        <f>IF(TrRoad_act!M82=0,0,TrRoad_emi!M79/TrRoad_tech!M194)</f>
        <v>1.7376248807117898</v>
      </c>
      <c r="N221" s="94">
        <f>IF(TrRoad_act!N82=0,0,TrRoad_emi!N79/TrRoad_tech!N194)</f>
        <v>1.7576131578108467</v>
      </c>
      <c r="O221" s="94">
        <f>IF(TrRoad_act!O82=0,0,TrRoad_emi!O79/TrRoad_tech!O194)</f>
        <v>1.5595676343989699</v>
      </c>
      <c r="P221" s="94">
        <f>IF(TrRoad_act!P82=0,0,TrRoad_emi!P79/TrRoad_tech!P194)</f>
        <v>1.538494867185175</v>
      </c>
      <c r="Q221" s="94">
        <f>IF(TrRoad_act!Q82=0,0,TrRoad_emi!Q79/TrRoad_tech!Q194)</f>
        <v>1.4275148932481279</v>
      </c>
      <c r="R221" s="94">
        <f>IF(TrRoad_act!R82=0,0,TrRoad_emi!R79/TrRoad_tech!R194)</f>
        <v>1.2461225309863377</v>
      </c>
      <c r="S221" s="94">
        <f>IF(TrRoad_act!S82=0,0,TrRoad_emi!S79/TrRoad_tech!S194)</f>
        <v>1.2264762616064726</v>
      </c>
      <c r="T221" s="94">
        <f>IF(TrRoad_act!T82=0,0,TrRoad_emi!T79/TrRoad_tech!T194)</f>
        <v>1.1865370493118721</v>
      </c>
      <c r="U221" s="94">
        <f>IF(TrRoad_act!U82=0,0,TrRoad_emi!U79/TrRoad_tech!U194)</f>
        <v>1.1499006157543692</v>
      </c>
      <c r="V221" s="94">
        <f>IF(TrRoad_act!V82=0,0,TrRoad_emi!V79/TrRoad_tech!V194)</f>
        <v>1.0719849085616029</v>
      </c>
      <c r="W221" s="94">
        <f>IF(TrRoad_act!W82=0,0,TrRoad_emi!W79/TrRoad_tech!W194)</f>
        <v>1.2247109385340149</v>
      </c>
      <c r="X221" s="94">
        <f>IF(TrRoad_act!X82=0,0,TrRoad_emi!X79/TrRoad_tech!X194)</f>
        <v>1.3505808733284941</v>
      </c>
      <c r="Y221" s="94">
        <f>IF(TrRoad_act!Y82=0,0,TrRoad_emi!Y79/TrRoad_tech!Y194)</f>
        <v>1.5585810486685496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122.8751882217238</v>
      </c>
      <c r="C225" s="152">
        <v>122.20624460398142</v>
      </c>
      <c r="D225" s="152">
        <v>121.46724428987137</v>
      </c>
      <c r="E225" s="152">
        <v>119.94686979042933</v>
      </c>
      <c r="F225" s="152">
        <v>119.78076421523944</v>
      </c>
      <c r="G225" s="152">
        <v>118.16716719910922</v>
      </c>
      <c r="H225" s="152">
        <v>115.78406068158912</v>
      </c>
      <c r="I225" s="152">
        <v>114.08571592301507</v>
      </c>
      <c r="J225" s="152">
        <v>108.54660347688733</v>
      </c>
      <c r="K225" s="152">
        <v>102.57188763459834</v>
      </c>
      <c r="L225" s="152">
        <v>98.841292012221587</v>
      </c>
      <c r="M225" s="152">
        <v>94.898803027635594</v>
      </c>
      <c r="N225" s="152">
        <v>92.734466383403998</v>
      </c>
      <c r="O225" s="152">
        <v>89.422581970580396</v>
      </c>
      <c r="P225" s="152">
        <v>85.500644765120995</v>
      </c>
      <c r="Q225" s="152">
        <v>82.400613759634211</v>
      </c>
      <c r="R225" s="152">
        <v>80.298689237254322</v>
      </c>
      <c r="S225" s="152">
        <v>78.617149619350414</v>
      </c>
      <c r="T225" s="152">
        <v>77.271917925027296</v>
      </c>
      <c r="U225" s="152">
        <v>76.19573256956879</v>
      </c>
      <c r="V225" s="152">
        <v>75.334784285201991</v>
      </c>
      <c r="W225" s="152">
        <v>74.646025657708563</v>
      </c>
      <c r="X225" s="152">
        <v>74.095018755713795</v>
      </c>
      <c r="Y225" s="152">
        <v>73.654213234118004</v>
      </c>
      <c r="DA225" s="174" t="s">
        <v>933</v>
      </c>
    </row>
    <row r="226" spans="1:105" ht="11.45" customHeight="1" x14ac:dyDescent="0.25">
      <c r="A226" s="109" t="s">
        <v>20</v>
      </c>
      <c r="B226" s="116">
        <v>232.34219135347561</v>
      </c>
      <c r="C226" s="116">
        <v>231.45694005055591</v>
      </c>
      <c r="D226" s="116">
        <v>234.28101638769877</v>
      </c>
      <c r="E226" s="116">
        <v>231.2119710446768</v>
      </c>
      <c r="F226" s="116">
        <v>228.91144146541777</v>
      </c>
      <c r="G226" s="116">
        <v>226.07507518870915</v>
      </c>
      <c r="H226" s="116">
        <v>223.56146093883009</v>
      </c>
      <c r="I226" s="116">
        <v>220.218536123235</v>
      </c>
      <c r="J226" s="116">
        <v>210.34067066098359</v>
      </c>
      <c r="K226" s="116">
        <v>199.95572907649301</v>
      </c>
      <c r="L226" s="116">
        <v>192.31531685670814</v>
      </c>
      <c r="M226" s="116">
        <v>187.30815128997892</v>
      </c>
      <c r="N226" s="116">
        <v>183.16248013544333</v>
      </c>
      <c r="O226" s="116">
        <v>176.4149725266964</v>
      </c>
      <c r="P226" s="116">
        <v>170.98628605125305</v>
      </c>
      <c r="Q226" s="116">
        <v>163.919517282057</v>
      </c>
      <c r="R226" s="116">
        <v>159.21397828949139</v>
      </c>
      <c r="S226" s="116">
        <v>158.73435814452944</v>
      </c>
      <c r="T226" s="116">
        <v>158.49661658714476</v>
      </c>
      <c r="U226" s="116">
        <v>158.15745348963324</v>
      </c>
      <c r="V226" s="116">
        <v>147.08593145730913</v>
      </c>
      <c r="W226" s="116">
        <v>144.82668507616654</v>
      </c>
      <c r="X226" s="116">
        <v>151.63588996082848</v>
      </c>
      <c r="Y226" s="116">
        <v>147.31632067076029</v>
      </c>
      <c r="DA226" s="176" t="s">
        <v>934</v>
      </c>
    </row>
    <row r="227" spans="1:105" ht="11.45" customHeight="1" x14ac:dyDescent="0.25">
      <c r="A227" s="111" t="s">
        <v>110</v>
      </c>
      <c r="B227" s="87">
        <v>240.44545554598471</v>
      </c>
      <c r="C227" s="87">
        <v>239.13644877878932</v>
      </c>
      <c r="D227" s="87">
        <v>237.69035319394118</v>
      </c>
      <c r="E227" s="87">
        <v>234.71524369942557</v>
      </c>
      <c r="F227" s="87">
        <v>234.39020386613404</v>
      </c>
      <c r="G227" s="87">
        <v>231.23267405701608</v>
      </c>
      <c r="H227" s="87">
        <v>226.56934746918</v>
      </c>
      <c r="I227" s="87">
        <v>223.24598101042344</v>
      </c>
      <c r="J227" s="87">
        <v>212.40689759004781</v>
      </c>
      <c r="K227" s="87">
        <v>200.71541379053002</v>
      </c>
      <c r="L227" s="87">
        <v>193.41528447344103</v>
      </c>
      <c r="M227" s="87">
        <v>185.6877266746344</v>
      </c>
      <c r="N227" s="87">
        <v>181.4481611703593</v>
      </c>
      <c r="O227" s="87">
        <v>174.96522055567857</v>
      </c>
      <c r="P227" s="87">
        <v>167.48027072835666</v>
      </c>
      <c r="Q227" s="87">
        <v>161.34915364677153</v>
      </c>
      <c r="R227" s="87">
        <v>157.62475418498491</v>
      </c>
      <c r="S227" s="87">
        <v>154.9936915829677</v>
      </c>
      <c r="T227" s="87">
        <v>154.51978378378379</v>
      </c>
      <c r="U227" s="87">
        <v>155.11674425743081</v>
      </c>
      <c r="V227" s="87">
        <v>150.30019059720459</v>
      </c>
      <c r="W227" s="87">
        <v>145.9413873341299</v>
      </c>
      <c r="X227" s="87">
        <v>146.01455116819241</v>
      </c>
      <c r="Y227" s="87">
        <v>143.02243920189221</v>
      </c>
      <c r="DA227" s="171" t="s">
        <v>935</v>
      </c>
    </row>
    <row r="228" spans="1:105" ht="11.45" customHeight="1" x14ac:dyDescent="0.25">
      <c r="A228" s="111" t="s">
        <v>111</v>
      </c>
      <c r="B228" s="87">
        <v>217.22206806181177</v>
      </c>
      <c r="C228" s="87">
        <v>217.11414913233563</v>
      </c>
      <c r="D228" s="87">
        <v>216.99430209205281</v>
      </c>
      <c r="E228" s="87">
        <v>217.48867113321938</v>
      </c>
      <c r="F228" s="87">
        <v>216.05425186983447</v>
      </c>
      <c r="G228" s="87">
        <v>216.69842971135461</v>
      </c>
      <c r="H228" s="87">
        <v>218.0879063346334</v>
      </c>
      <c r="I228" s="87">
        <v>216.08046840989635</v>
      </c>
      <c r="J228" s="87">
        <v>206.33166072689158</v>
      </c>
      <c r="K228" s="87">
        <v>198.22325940775778</v>
      </c>
      <c r="L228" s="87">
        <v>190.60922712979055</v>
      </c>
      <c r="M228" s="87">
        <v>189.94325351257299</v>
      </c>
      <c r="N228" s="87">
        <v>188.62579483090934</v>
      </c>
      <c r="O228" s="87">
        <v>178.71414157694477</v>
      </c>
      <c r="P228" s="87">
        <v>177.06232146253714</v>
      </c>
      <c r="Q228" s="87">
        <v>167.51688410964491</v>
      </c>
      <c r="R228" s="87">
        <v>163.13122536060919</v>
      </c>
      <c r="S228" s="87">
        <v>165.5032144530573</v>
      </c>
      <c r="T228" s="87">
        <v>167.1215895610913</v>
      </c>
      <c r="U228" s="87">
        <v>170.0969018932874</v>
      </c>
      <c r="V228" s="87">
        <v>156.92366412213741</v>
      </c>
      <c r="W228" s="87">
        <v>154.99220623501199</v>
      </c>
      <c r="X228" s="87">
        <v>163.79148936170211</v>
      </c>
      <c r="Y228" s="87">
        <v>164.85822784810131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215.85534801123779</v>
      </c>
      <c r="D229" s="87">
        <v>222.46044230964594</v>
      </c>
      <c r="E229" s="87">
        <v>227.75796076346325</v>
      </c>
      <c r="F229" s="87">
        <v>223.68460810333309</v>
      </c>
      <c r="G229" s="87">
        <v>215.81890920748461</v>
      </c>
      <c r="H229" s="87">
        <v>217.23445279988624</v>
      </c>
      <c r="I229" s="87">
        <v>0</v>
      </c>
      <c r="J229" s="87">
        <v>204.15849371491728</v>
      </c>
      <c r="K229" s="87">
        <v>190.66776179501105</v>
      </c>
      <c r="L229" s="87">
        <v>0</v>
      </c>
      <c r="M229" s="87">
        <v>170.6770757390974</v>
      </c>
      <c r="N229" s="87">
        <v>167.1302787068004</v>
      </c>
      <c r="O229" s="87">
        <v>158.74992307692304</v>
      </c>
      <c r="P229" s="87">
        <v>152.16961538461533</v>
      </c>
      <c r="Q229" s="87">
        <v>131.57775618467235</v>
      </c>
      <c r="R229" s="87">
        <v>128.54056563708446</v>
      </c>
      <c r="S229" s="87">
        <v>126.39497450301062</v>
      </c>
      <c r="T229" s="87">
        <v>125.79999999999998</v>
      </c>
      <c r="U229" s="87">
        <v>168.21153846153851</v>
      </c>
      <c r="V229" s="87">
        <v>124.95744680851061</v>
      </c>
      <c r="W229" s="87">
        <v>120.0858369098712</v>
      </c>
      <c r="X229" s="87">
        <v>117.5900383141762</v>
      </c>
      <c r="Y229" s="87">
        <v>119.6947368421053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180.44414457831326</v>
      </c>
      <c r="M230" s="87">
        <v>188.58448192771084</v>
      </c>
      <c r="N230" s="87">
        <v>190.91029259896769</v>
      </c>
      <c r="O230" s="87">
        <v>185.67721858864047</v>
      </c>
      <c r="P230" s="87">
        <v>181.96048192771147</v>
      </c>
      <c r="Q230" s="87">
        <v>144.53089156626521</v>
      </c>
      <c r="R230" s="87">
        <v>123.91402409638553</v>
      </c>
      <c r="S230" s="87">
        <v>152.76699759036143</v>
      </c>
      <c r="T230" s="87">
        <v>138</v>
      </c>
      <c r="U230" s="87">
        <v>114.878892733564</v>
      </c>
      <c r="V230" s="87">
        <v>109.2811550151976</v>
      </c>
      <c r="W230" s="87">
        <v>103.6824034334764</v>
      </c>
      <c r="X230" s="87">
        <v>105.2</v>
      </c>
      <c r="Y230" s="87">
        <v>104.6212121212121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58.423574494175348</v>
      </c>
      <c r="Q231" s="87">
        <v>76.94168139358753</v>
      </c>
      <c r="R231" s="87">
        <v>64.005058246474547</v>
      </c>
      <c r="S231" s="87">
        <v>50.184819129368485</v>
      </c>
      <c r="T231" s="87">
        <v>62.286123032904158</v>
      </c>
      <c r="U231" s="87">
        <v>65.966666666666669</v>
      </c>
      <c r="V231" s="87">
        <v>61.67460317460317</v>
      </c>
      <c r="W231" s="87">
        <v>41.723502304147473</v>
      </c>
      <c r="X231" s="87">
        <v>41.844875346260388</v>
      </c>
      <c r="Y231" s="87">
        <v>33.705223880597018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1468.3089706924518</v>
      </c>
      <c r="C233" s="116">
        <v>1466.3019199391601</v>
      </c>
      <c r="D233" s="116">
        <v>1464.0750810265695</v>
      </c>
      <c r="E233" s="116">
        <v>1459.4503021007135</v>
      </c>
      <c r="F233" s="116">
        <v>1458.9445054942155</v>
      </c>
      <c r="G233" s="116">
        <v>1453.9809032884027</v>
      </c>
      <c r="H233" s="116">
        <v>1446.5376222032996</v>
      </c>
      <c r="I233" s="116">
        <v>1441.1740882167853</v>
      </c>
      <c r="J233" s="116">
        <v>1423.0199787765757</v>
      </c>
      <c r="K233" s="116">
        <v>1402.5950190870642</v>
      </c>
      <c r="L233" s="116">
        <v>1000.6812094725298</v>
      </c>
      <c r="M233" s="116">
        <v>1366.9426438785304</v>
      </c>
      <c r="N233" s="116">
        <v>1366.1385999351016</v>
      </c>
      <c r="O233" s="116">
        <v>1332.5738699166589</v>
      </c>
      <c r="P233" s="116">
        <v>1305.5073199226213</v>
      </c>
      <c r="Q233" s="116">
        <v>1286.0563415012709</v>
      </c>
      <c r="R233" s="116">
        <v>1254.4621653498093</v>
      </c>
      <c r="S233" s="116">
        <v>1222.818490777604</v>
      </c>
      <c r="T233" s="116">
        <v>1251.1627815197187</v>
      </c>
      <c r="U233" s="116">
        <v>1163.3771297017918</v>
      </c>
      <c r="V233" s="116">
        <v>1099.6631366641075</v>
      </c>
      <c r="W233" s="116">
        <v>1054.169177439383</v>
      </c>
      <c r="X233" s="116">
        <v>969.87837267543</v>
      </c>
      <c r="Y233" s="116">
        <v>1099.1699331089367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298.32350644316671</v>
      </c>
      <c r="T234" s="101">
        <v>0</v>
      </c>
      <c r="U234" s="101">
        <v>282.79899350199673</v>
      </c>
      <c r="V234" s="101">
        <v>0</v>
      </c>
      <c r="W234" s="101">
        <v>269.79066965286853</v>
      </c>
      <c r="X234" s="101">
        <v>264.03897440473008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1468.3089706924518</v>
      </c>
      <c r="C235" s="101">
        <v>1466.3019199391601</v>
      </c>
      <c r="D235" s="101">
        <v>1464.0750810265695</v>
      </c>
      <c r="E235" s="101">
        <v>1459.4503021007135</v>
      </c>
      <c r="F235" s="101">
        <v>1458.9445054942155</v>
      </c>
      <c r="G235" s="101">
        <v>1453.9809032884027</v>
      </c>
      <c r="H235" s="101">
        <v>1446.5376222032996</v>
      </c>
      <c r="I235" s="101">
        <v>1441.1740882167853</v>
      </c>
      <c r="J235" s="101">
        <v>1423.0199787765757</v>
      </c>
      <c r="K235" s="101">
        <v>1402.5950190870642</v>
      </c>
      <c r="L235" s="101">
        <v>1389.4840935537036</v>
      </c>
      <c r="M235" s="101">
        <v>1375.2012063239699</v>
      </c>
      <c r="N235" s="101">
        <v>1367.2237718658919</v>
      </c>
      <c r="O235" s="101">
        <v>1354.6806711738041</v>
      </c>
      <c r="P235" s="101">
        <v>1339.3219085652913</v>
      </c>
      <c r="Q235" s="101">
        <v>1326.8424723811845</v>
      </c>
      <c r="R235" s="101">
        <v>1307.6307093574303</v>
      </c>
      <c r="S235" s="101">
        <v>1283.9934431696647</v>
      </c>
      <c r="T235" s="101">
        <v>1257.5604324618705</v>
      </c>
      <c r="U235" s="101">
        <v>1229.4667198890365</v>
      </c>
      <c r="V235" s="101">
        <v>1200.4939858910507</v>
      </c>
      <c r="W235" s="101">
        <v>1171.1753113165664</v>
      </c>
      <c r="X235" s="101">
        <v>1141.8706887085889</v>
      </c>
      <c r="Y235" s="101">
        <v>1112.82047685221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919.75925274297822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885.48618947417015</v>
      </c>
      <c r="M237" s="101">
        <v>876.38403461941436</v>
      </c>
      <c r="N237" s="101">
        <v>871.30019949468317</v>
      </c>
      <c r="O237" s="101">
        <v>863.30677050362397</v>
      </c>
      <c r="P237" s="101">
        <v>853.5189850656003</v>
      </c>
      <c r="Q237" s="101">
        <v>845.56612799820584</v>
      </c>
      <c r="R237" s="101">
        <v>839.98919729039881</v>
      </c>
      <c r="S237" s="101">
        <v>835.82404938609602</v>
      </c>
      <c r="T237" s="101">
        <v>832.50154585996711</v>
      </c>
      <c r="U237" s="101">
        <v>829.68387225551214</v>
      </c>
      <c r="V237" s="101">
        <v>827.16984991030301</v>
      </c>
      <c r="W237" s="101">
        <v>824.83942939829456</v>
      </c>
      <c r="X237" s="101">
        <v>822.62088543050743</v>
      </c>
      <c r="Y237" s="101">
        <v>820.47133168377263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262.24626717911809</v>
      </c>
      <c r="C240" s="152">
        <v>261.68739810927957</v>
      </c>
      <c r="D240" s="152">
        <v>261.27354639327973</v>
      </c>
      <c r="E240" s="152">
        <v>262.39852219648338</v>
      </c>
      <c r="F240" s="152">
        <v>260.21427371623867</v>
      </c>
      <c r="G240" s="152">
        <v>259.66464029858105</v>
      </c>
      <c r="H240" s="152">
        <v>261.30790981142997</v>
      </c>
      <c r="I240" s="152">
        <v>259.93138896065511</v>
      </c>
      <c r="J240" s="152">
        <v>243.13572219576253</v>
      </c>
      <c r="K240" s="152">
        <v>233.78039772895229</v>
      </c>
      <c r="L240" s="152">
        <v>227.33947522868672</v>
      </c>
      <c r="M240" s="152">
        <v>225.36702774110299</v>
      </c>
      <c r="N240" s="152">
        <v>224.54594358373035</v>
      </c>
      <c r="O240" s="152">
        <v>222.81669113085781</v>
      </c>
      <c r="P240" s="152">
        <v>218.6087821763137</v>
      </c>
      <c r="Q240" s="152">
        <v>199.95780588076465</v>
      </c>
      <c r="R240" s="152">
        <v>196.72584948773746</v>
      </c>
      <c r="S240" s="152">
        <v>188.10313584901357</v>
      </c>
      <c r="T240" s="152">
        <v>192.37458549187187</v>
      </c>
      <c r="U240" s="152">
        <v>189.52684706032869</v>
      </c>
      <c r="V240" s="152">
        <v>202.78747458391044</v>
      </c>
      <c r="W240" s="152">
        <v>201.36201201229903</v>
      </c>
      <c r="X240" s="152">
        <v>201.45081514828243</v>
      </c>
      <c r="Y240" s="152">
        <v>203.36455253923418</v>
      </c>
      <c r="DA240" s="174" t="s">
        <v>947</v>
      </c>
    </row>
    <row r="241" spans="1:105" ht="11.45" customHeight="1" x14ac:dyDescent="0.25">
      <c r="A241" s="111" t="s">
        <v>110</v>
      </c>
      <c r="B241" s="87">
        <v>255.49876208168405</v>
      </c>
      <c r="C241" s="87">
        <v>254.1078037547091</v>
      </c>
      <c r="D241" s="87">
        <v>252.57117403990949</v>
      </c>
      <c r="E241" s="87">
        <v>249.40980510831486</v>
      </c>
      <c r="F241" s="87">
        <v>249.06441586049294</v>
      </c>
      <c r="G241" s="87">
        <v>245.7092060245084</v>
      </c>
      <c r="H241" s="87">
        <v>240.75392763228757</v>
      </c>
      <c r="I241" s="87">
        <v>237.22249879231225</v>
      </c>
      <c r="J241" s="87">
        <v>225.70482469147467</v>
      </c>
      <c r="K241" s="87">
        <v>213.2813849101245</v>
      </c>
      <c r="L241" s="87">
        <v>205.52422435445018</v>
      </c>
      <c r="M241" s="87">
        <v>197.32646637205954</v>
      </c>
      <c r="N241" s="87">
        <v>192.82608398134155</v>
      </c>
      <c r="O241" s="87">
        <v>198.81879114009982</v>
      </c>
      <c r="P241" s="87">
        <v>204.98899389214742</v>
      </c>
      <c r="Q241" s="87">
        <v>169.59145219263834</v>
      </c>
      <c r="R241" s="87">
        <v>163.51131634447538</v>
      </c>
      <c r="S241" s="87">
        <v>162.26045991321641</v>
      </c>
      <c r="T241" s="87">
        <v>161.21555185853825</v>
      </c>
      <c r="U241" s="87">
        <v>160.01666666666671</v>
      </c>
      <c r="V241" s="87">
        <v>162.88490836086061</v>
      </c>
      <c r="W241" s="87">
        <v>161.6030534351145</v>
      </c>
      <c r="X241" s="87">
        <v>162.87200000000001</v>
      </c>
      <c r="Y241" s="87">
        <v>197.8880308880309</v>
      </c>
      <c r="DA241" s="171" t="s">
        <v>948</v>
      </c>
    </row>
    <row r="242" spans="1:105" ht="11.45" customHeight="1" x14ac:dyDescent="0.25">
      <c r="A242" s="111" t="s">
        <v>111</v>
      </c>
      <c r="B242" s="87">
        <v>265.70773729410178</v>
      </c>
      <c r="C242" s="87">
        <v>265.57573001317422</v>
      </c>
      <c r="D242" s="87">
        <v>265.42913217355749</v>
      </c>
      <c r="E242" s="87">
        <v>266.03384826197657</v>
      </c>
      <c r="F242" s="87">
        <v>264.27925536906378</v>
      </c>
      <c r="G242" s="87">
        <v>265.06721875700367</v>
      </c>
      <c r="H242" s="87">
        <v>266.76683746006023</v>
      </c>
      <c r="I242" s="87">
        <v>264.31132364647999</v>
      </c>
      <c r="J242" s="87">
        <v>252.38650563015642</v>
      </c>
      <c r="K242" s="87">
        <v>242.4682455435869</v>
      </c>
      <c r="L242" s="87">
        <v>233.15470154543638</v>
      </c>
      <c r="M242" s="87">
        <v>232.34007739372225</v>
      </c>
      <c r="N242" s="87">
        <v>230.7285516016768</v>
      </c>
      <c r="O242" s="87">
        <v>225.48019017769943</v>
      </c>
      <c r="P242" s="87">
        <v>220.75670689248076</v>
      </c>
      <c r="Q242" s="87">
        <v>205.21366133789766</v>
      </c>
      <c r="R242" s="87">
        <v>202.34805246353372</v>
      </c>
      <c r="S242" s="87">
        <v>192.69796037302063</v>
      </c>
      <c r="T242" s="87">
        <v>197.26209512124586</v>
      </c>
      <c r="U242" s="87">
        <v>194.32844827586209</v>
      </c>
      <c r="V242" s="87">
        <v>209.74447060654069</v>
      </c>
      <c r="W242" s="87">
        <v>206.18978912319639</v>
      </c>
      <c r="X242" s="87">
        <v>207.46301542335539</v>
      </c>
      <c r="Y242" s="87">
        <v>207.07524343464149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169.34141390428164</v>
      </c>
      <c r="S243" s="87">
        <v>150.02058144540385</v>
      </c>
      <c r="T243" s="87">
        <v>150.02058144540385</v>
      </c>
      <c r="U243" s="87">
        <v>162.52229656585419</v>
      </c>
      <c r="V243" s="87">
        <v>0</v>
      </c>
      <c r="W243" s="87">
        <v>0</v>
      </c>
      <c r="X243" s="87">
        <v>0</v>
      </c>
      <c r="Y243" s="87">
        <v>152.5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168.35238378109159</v>
      </c>
      <c r="O244" s="87">
        <v>167.14573123549133</v>
      </c>
      <c r="P244" s="87">
        <v>202.50348207376831</v>
      </c>
      <c r="Q244" s="87">
        <v>154.07407789527983</v>
      </c>
      <c r="R244" s="87">
        <v>0</v>
      </c>
      <c r="S244" s="87">
        <v>125.35929842661848</v>
      </c>
      <c r="T244" s="87">
        <v>127.5021924168171</v>
      </c>
      <c r="U244" s="87">
        <v>134</v>
      </c>
      <c r="V244" s="87">
        <v>140</v>
      </c>
      <c r="W244" s="87">
        <v>176</v>
      </c>
      <c r="X244" s="87">
        <v>153.289566755084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967.75203551742402</v>
      </c>
      <c r="C246" s="116">
        <v>965.81632686700175</v>
      </c>
      <c r="D246" s="116">
        <v>947.35512863778888</v>
      </c>
      <c r="E246" s="116">
        <v>939.92100223757097</v>
      </c>
      <c r="F246" s="116">
        <v>939.29482378756245</v>
      </c>
      <c r="G246" s="116">
        <v>929.15531695287928</v>
      </c>
      <c r="H246" s="116">
        <v>919.12409448455719</v>
      </c>
      <c r="I246" s="116">
        <v>909.71389588325076</v>
      </c>
      <c r="J246" s="116">
        <v>892.94344400702084</v>
      </c>
      <c r="K246" s="116">
        <v>878.8012478168464</v>
      </c>
      <c r="L246" s="116">
        <v>886.61840666683599</v>
      </c>
      <c r="M246" s="116">
        <v>865.10821380823756</v>
      </c>
      <c r="N246" s="116">
        <v>841.22134154375124</v>
      </c>
      <c r="O246" s="116">
        <v>862.35402351094172</v>
      </c>
      <c r="P246" s="116">
        <v>803.64637684934564</v>
      </c>
      <c r="Q246" s="116">
        <v>795.90455942837639</v>
      </c>
      <c r="R246" s="116">
        <v>742.30296466435266</v>
      </c>
      <c r="S246" s="116">
        <v>708.79013652058188</v>
      </c>
      <c r="T246" s="116">
        <v>682.65165889576213</v>
      </c>
      <c r="U246" s="116">
        <v>636.39209472999187</v>
      </c>
      <c r="V246" s="116">
        <v>649.47827126814718</v>
      </c>
      <c r="W246" s="116">
        <v>631.29122691454722</v>
      </c>
      <c r="X246" s="116">
        <v>653.53549147799436</v>
      </c>
      <c r="Y246" s="116">
        <v>621.53507526616966</v>
      </c>
      <c r="DA246" s="176" t="s">
        <v>953</v>
      </c>
    </row>
    <row r="247" spans="1:105" ht="11.45" customHeight="1" x14ac:dyDescent="0.25">
      <c r="A247" s="128" t="s">
        <v>27</v>
      </c>
      <c r="B247" s="101">
        <v>892.48909290011159</v>
      </c>
      <c r="C247" s="101">
        <v>888.38284824565369</v>
      </c>
      <c r="D247" s="101">
        <v>883.84250813788049</v>
      </c>
      <c r="E247" s="101">
        <v>878.18893958407568</v>
      </c>
      <c r="F247" s="101">
        <v>871.43650840841815</v>
      </c>
      <c r="G247" s="101">
        <v>863.60225155780972</v>
      </c>
      <c r="H247" s="101">
        <v>854.70577085994898</v>
      </c>
      <c r="I247" s="101">
        <v>844.76911228478195</v>
      </c>
      <c r="J247" s="101">
        <v>833.81663207246902</v>
      </c>
      <c r="K247" s="101">
        <v>821.87485119713176</v>
      </c>
      <c r="L247" s="101">
        <v>808.97229976935523</v>
      </c>
      <c r="M247" s="101">
        <v>795.13935300538003</v>
      </c>
      <c r="N247" s="101">
        <v>780.40806045399404</v>
      </c>
      <c r="O247" s="101">
        <v>764.81197019190859</v>
      </c>
      <c r="P247" s="101">
        <v>748.38594965817288</v>
      </c>
      <c r="Q247" s="101">
        <v>731.16600479844828</v>
      </c>
      <c r="R247" s="101">
        <v>689.85810156803495</v>
      </c>
      <c r="S247" s="101">
        <v>660.94256930674544</v>
      </c>
      <c r="T247" s="101">
        <v>630.58126043239156</v>
      </c>
      <c r="U247" s="101">
        <v>593.47299403040358</v>
      </c>
      <c r="V247" s="101">
        <v>579.98505490558637</v>
      </c>
      <c r="W247" s="101">
        <v>590.3978680860746</v>
      </c>
      <c r="X247" s="101">
        <v>587.14514532566636</v>
      </c>
      <c r="Y247" s="101">
        <v>581.27369387240981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0</v>
      </c>
      <c r="X248" s="88">
        <v>714.10770164996393</v>
      </c>
      <c r="Y248" s="88">
        <v>0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365.7</v>
      </c>
      <c r="C4" s="28">
        <f t="shared" ref="C4:V4" si="1">SUM(C5,C6,C9)</f>
        <v>270.24900000000002</v>
      </c>
      <c r="D4" s="28">
        <f t="shared" si="1"/>
        <v>269.35000000000002</v>
      </c>
      <c r="E4" s="28">
        <f t="shared" si="1"/>
        <v>275.11399999999998</v>
      </c>
      <c r="F4" s="28">
        <f t="shared" si="1"/>
        <v>276.39999999999998</v>
      </c>
      <c r="G4" s="28">
        <f t="shared" si="1"/>
        <v>323.3</v>
      </c>
      <c r="H4" s="28">
        <f t="shared" si="1"/>
        <v>335.6</v>
      </c>
      <c r="I4" s="28">
        <f t="shared" si="1"/>
        <v>353.2</v>
      </c>
      <c r="J4" s="28">
        <f t="shared" si="1"/>
        <v>345.84699999999998</v>
      </c>
      <c r="K4" s="28">
        <f t="shared" si="1"/>
        <v>320.84699999999998</v>
      </c>
      <c r="L4" s="28">
        <f t="shared" si="1"/>
        <v>318.84699999999998</v>
      </c>
      <c r="M4" s="28">
        <f t="shared" si="1"/>
        <v>307.84800000000001</v>
      </c>
      <c r="N4" s="28">
        <f t="shared" si="1"/>
        <v>327.40100000000001</v>
      </c>
      <c r="O4" s="28">
        <f t="shared" si="1"/>
        <v>298.76400000000001</v>
      </c>
      <c r="P4" s="28">
        <f t="shared" si="1"/>
        <v>338.51800000000003</v>
      </c>
      <c r="Q4" s="28">
        <f t="shared" si="1"/>
        <v>341.14600000000002</v>
      </c>
      <c r="R4" s="28">
        <f t="shared" si="1"/>
        <v>373.03399999999999</v>
      </c>
      <c r="S4" s="28">
        <f t="shared" si="1"/>
        <v>425.60500000000002</v>
      </c>
      <c r="T4" s="28">
        <f t="shared" si="1"/>
        <v>500.892</v>
      </c>
      <c r="U4" s="28">
        <f t="shared" si="1"/>
        <v>479.34800000000001</v>
      </c>
      <c r="V4" s="28">
        <f t="shared" si="1"/>
        <v>341.57499999999999</v>
      </c>
      <c r="W4" s="28">
        <f t="shared" ref="W4:Y4" si="2">SUM(W5,W6,W9)</f>
        <v>355.71699999999998</v>
      </c>
      <c r="X4" s="28">
        <f t="shared" si="2"/>
        <v>468.23899999999998</v>
      </c>
      <c r="Y4" s="28">
        <f t="shared" si="2"/>
        <v>513.43429999999989</v>
      </c>
      <c r="DA4" s="173" t="s">
        <v>376</v>
      </c>
    </row>
    <row r="5" spans="1:105" ht="11.45" customHeight="1" x14ac:dyDescent="0.25">
      <c r="A5" s="107" t="s">
        <v>23</v>
      </c>
      <c r="B5" s="108">
        <v>104.7</v>
      </c>
      <c r="C5" s="108">
        <v>87.6</v>
      </c>
      <c r="D5" s="108">
        <v>92.4</v>
      </c>
      <c r="E5" s="108">
        <v>93.3</v>
      </c>
      <c r="F5" s="108">
        <v>83.4</v>
      </c>
      <c r="G5" s="108">
        <v>75.300000000000011</v>
      </c>
      <c r="H5" s="108">
        <v>78.600000000000009</v>
      </c>
      <c r="I5" s="108">
        <v>79.199999999999989</v>
      </c>
      <c r="J5" s="108">
        <v>71.846999999999994</v>
      </c>
      <c r="K5" s="108">
        <v>71.846999999999994</v>
      </c>
      <c r="L5" s="108">
        <v>71.846999999999994</v>
      </c>
      <c r="M5" s="108">
        <v>64.847999999999999</v>
      </c>
      <c r="N5" s="108">
        <v>92.400999999999996</v>
      </c>
      <c r="O5" s="108">
        <v>75.763999999999996</v>
      </c>
      <c r="P5" s="108">
        <v>58.518000000000001</v>
      </c>
      <c r="Q5" s="108">
        <v>55.146000000000001</v>
      </c>
      <c r="R5" s="108">
        <v>57.033999999999999</v>
      </c>
      <c r="S5" s="108">
        <v>59.604999999999997</v>
      </c>
      <c r="T5" s="108">
        <v>83.891999999999996</v>
      </c>
      <c r="U5" s="108">
        <v>87.347999999999999</v>
      </c>
      <c r="V5" s="108">
        <v>78.575000000000003</v>
      </c>
      <c r="W5" s="108">
        <v>65.716999999999999</v>
      </c>
      <c r="X5" s="108">
        <v>86.23899999999999</v>
      </c>
      <c r="Y5" s="108">
        <v>105.43429999999992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261</v>
      </c>
      <c r="C6" s="110">
        <f t="shared" ref="C6:V6" si="4">SUM(C7:C8)</f>
        <v>182.649</v>
      </c>
      <c r="D6" s="110">
        <f t="shared" si="4"/>
        <v>176.95</v>
      </c>
      <c r="E6" s="110">
        <f t="shared" si="4"/>
        <v>181.81399999999999</v>
      </c>
      <c r="F6" s="110">
        <f t="shared" si="4"/>
        <v>193</v>
      </c>
      <c r="G6" s="110">
        <f t="shared" si="4"/>
        <v>248</v>
      </c>
      <c r="H6" s="110">
        <f t="shared" si="4"/>
        <v>257</v>
      </c>
      <c r="I6" s="110">
        <f t="shared" si="4"/>
        <v>274</v>
      </c>
      <c r="J6" s="110">
        <f t="shared" si="4"/>
        <v>274</v>
      </c>
      <c r="K6" s="110">
        <f t="shared" si="4"/>
        <v>249</v>
      </c>
      <c r="L6" s="110">
        <f t="shared" si="4"/>
        <v>247</v>
      </c>
      <c r="M6" s="110">
        <f t="shared" si="4"/>
        <v>243</v>
      </c>
      <c r="N6" s="110">
        <f t="shared" si="4"/>
        <v>235</v>
      </c>
      <c r="O6" s="110">
        <f t="shared" si="4"/>
        <v>223</v>
      </c>
      <c r="P6" s="110">
        <f t="shared" si="4"/>
        <v>280</v>
      </c>
      <c r="Q6" s="110">
        <f t="shared" si="4"/>
        <v>286</v>
      </c>
      <c r="R6" s="110">
        <f t="shared" si="4"/>
        <v>316</v>
      </c>
      <c r="S6" s="110">
        <f t="shared" si="4"/>
        <v>366</v>
      </c>
      <c r="T6" s="110">
        <f t="shared" si="4"/>
        <v>417</v>
      </c>
      <c r="U6" s="110">
        <f t="shared" si="4"/>
        <v>392</v>
      </c>
      <c r="V6" s="110">
        <f t="shared" si="4"/>
        <v>263</v>
      </c>
      <c r="W6" s="110">
        <f t="shared" ref="W6:Y6" si="5">SUM(W7:W8)</f>
        <v>290</v>
      </c>
      <c r="X6" s="110">
        <f t="shared" si="5"/>
        <v>382</v>
      </c>
      <c r="Y6" s="110">
        <f t="shared" si="5"/>
        <v>408</v>
      </c>
      <c r="DA6" s="176" t="s">
        <v>378</v>
      </c>
    </row>
    <row r="7" spans="1:105" ht="11.45" customHeight="1" x14ac:dyDescent="0.25">
      <c r="A7" s="111" t="s">
        <v>90</v>
      </c>
      <c r="B7" s="84">
        <v>179.63799670439508</v>
      </c>
      <c r="C7" s="84">
        <v>99.363967764623141</v>
      </c>
      <c r="D7" s="84">
        <v>97.913604074433565</v>
      </c>
      <c r="E7" s="84">
        <v>95.815049995244593</v>
      </c>
      <c r="F7" s="84">
        <v>104.9348148148148</v>
      </c>
      <c r="G7" s="84">
        <v>124.63169510430127</v>
      </c>
      <c r="H7" s="84">
        <v>143.96935639432627</v>
      </c>
      <c r="I7" s="84">
        <v>181.71075130197568</v>
      </c>
      <c r="J7" s="84">
        <v>126.83989280424883</v>
      </c>
      <c r="K7" s="84">
        <v>123.78897573576117</v>
      </c>
      <c r="L7" s="84">
        <v>146.74269036979655</v>
      </c>
      <c r="M7" s="84">
        <v>149.19601258978804</v>
      </c>
      <c r="N7" s="84">
        <v>118.44362793142164</v>
      </c>
      <c r="O7" s="84">
        <v>159.45927398767012</v>
      </c>
      <c r="P7" s="84">
        <v>189.01374041990579</v>
      </c>
      <c r="Q7" s="84">
        <v>195.95118591857965</v>
      </c>
      <c r="R7" s="84">
        <v>203.53578631547109</v>
      </c>
      <c r="S7" s="84">
        <v>249.55443119082904</v>
      </c>
      <c r="T7" s="84">
        <v>325.99041610297314</v>
      </c>
      <c r="U7" s="84">
        <v>310.08643590311431</v>
      </c>
      <c r="V7" s="84">
        <v>224.30089538707301</v>
      </c>
      <c r="W7" s="84">
        <v>227.05931322685436</v>
      </c>
      <c r="X7" s="84">
        <v>304.64012291360632</v>
      </c>
      <c r="Y7" s="84">
        <v>305.04271281636449</v>
      </c>
      <c r="DA7" s="171" t="s">
        <v>1031</v>
      </c>
    </row>
    <row r="8" spans="1:105" ht="11.45" customHeight="1" x14ac:dyDescent="0.25">
      <c r="A8" s="111" t="s">
        <v>93</v>
      </c>
      <c r="B8" s="84">
        <v>81.362003295604922</v>
      </c>
      <c r="C8" s="84">
        <v>83.28503223537686</v>
      </c>
      <c r="D8" s="84">
        <v>79.036395925566424</v>
      </c>
      <c r="E8" s="84">
        <v>85.9989500047554</v>
      </c>
      <c r="F8" s="84">
        <v>88.0651851851852</v>
      </c>
      <c r="G8" s="84">
        <v>123.36830489569873</v>
      </c>
      <c r="H8" s="84">
        <v>113.03064360567373</v>
      </c>
      <c r="I8" s="84">
        <v>92.289248698024323</v>
      </c>
      <c r="J8" s="84">
        <v>147.16010719575115</v>
      </c>
      <c r="K8" s="84">
        <v>125.21102426423883</v>
      </c>
      <c r="L8" s="84">
        <v>100.25730963020345</v>
      </c>
      <c r="M8" s="84">
        <v>93.80398741021196</v>
      </c>
      <c r="N8" s="84">
        <v>116.55637206857836</v>
      </c>
      <c r="O8" s="84">
        <v>63.540726012329884</v>
      </c>
      <c r="P8" s="84">
        <v>90.986259580094213</v>
      </c>
      <c r="Q8" s="84">
        <v>90.048814081420346</v>
      </c>
      <c r="R8" s="84">
        <v>112.46421368452891</v>
      </c>
      <c r="S8" s="84">
        <v>116.44556880917096</v>
      </c>
      <c r="T8" s="84">
        <v>91.009583897026857</v>
      </c>
      <c r="U8" s="84">
        <v>81.913564096885693</v>
      </c>
      <c r="V8" s="84">
        <v>38.699104612926988</v>
      </c>
      <c r="W8" s="84">
        <v>62.940686773145643</v>
      </c>
      <c r="X8" s="84">
        <v>77.359877086393681</v>
      </c>
      <c r="Y8" s="84">
        <v>102.95728718363551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8102.0000000000009</v>
      </c>
      <c r="C10" s="28">
        <f t="shared" ref="C10:V10" si="7">SUM(C11:C12)</f>
        <v>8557</v>
      </c>
      <c r="D10" s="28">
        <f t="shared" si="7"/>
        <v>9697</v>
      </c>
      <c r="E10" s="28">
        <f t="shared" si="7"/>
        <v>9670</v>
      </c>
      <c r="F10" s="28">
        <f t="shared" si="7"/>
        <v>10488</v>
      </c>
      <c r="G10" s="28">
        <f t="shared" si="7"/>
        <v>10639</v>
      </c>
      <c r="H10" s="28">
        <f t="shared" si="7"/>
        <v>10418</v>
      </c>
      <c r="I10" s="28">
        <f t="shared" si="7"/>
        <v>8430</v>
      </c>
      <c r="J10" s="28">
        <f t="shared" si="7"/>
        <v>5943</v>
      </c>
      <c r="K10" s="28">
        <f t="shared" si="7"/>
        <v>5947</v>
      </c>
      <c r="L10" s="28">
        <f t="shared" si="7"/>
        <v>6638.0000000000009</v>
      </c>
      <c r="M10" s="28">
        <f t="shared" si="7"/>
        <v>6271</v>
      </c>
      <c r="N10" s="28">
        <f t="shared" si="7"/>
        <v>5129</v>
      </c>
      <c r="O10" s="28">
        <f t="shared" si="7"/>
        <v>4722</v>
      </c>
      <c r="P10" s="28">
        <f t="shared" si="7"/>
        <v>3255.9999999999995</v>
      </c>
      <c r="Q10" s="28">
        <f t="shared" si="7"/>
        <v>3117</v>
      </c>
      <c r="R10" s="28">
        <f t="shared" si="7"/>
        <v>2340</v>
      </c>
      <c r="S10" s="28">
        <f t="shared" si="7"/>
        <v>2324.9999999999995</v>
      </c>
      <c r="T10" s="28">
        <f t="shared" si="7"/>
        <v>2588</v>
      </c>
      <c r="U10" s="28">
        <f t="shared" si="7"/>
        <v>2155</v>
      </c>
      <c r="V10" s="28">
        <f t="shared" si="7"/>
        <v>1729</v>
      </c>
      <c r="W10" s="28">
        <f t="shared" ref="W10:Y10" si="8">SUM(W11:W12)</f>
        <v>2124</v>
      </c>
      <c r="X10" s="28">
        <f t="shared" si="8"/>
        <v>1286.0000000000002</v>
      </c>
      <c r="Y10" s="28">
        <f t="shared" si="8"/>
        <v>770.99999999999989</v>
      </c>
      <c r="DA10" s="173" t="s">
        <v>384</v>
      </c>
    </row>
    <row r="11" spans="1:105" ht="11.45" customHeight="1" x14ac:dyDescent="0.25">
      <c r="A11" s="83" t="s">
        <v>90</v>
      </c>
      <c r="B11" s="84">
        <v>8102.0000000000009</v>
      </c>
      <c r="C11" s="84">
        <v>8557</v>
      </c>
      <c r="D11" s="84">
        <v>9697</v>
      </c>
      <c r="E11" s="84">
        <v>9670</v>
      </c>
      <c r="F11" s="84">
        <v>10488</v>
      </c>
      <c r="G11" s="84">
        <v>10639</v>
      </c>
      <c r="H11" s="84">
        <v>10418</v>
      </c>
      <c r="I11" s="84">
        <v>8430</v>
      </c>
      <c r="J11" s="84">
        <v>5943</v>
      </c>
      <c r="K11" s="84">
        <v>5947</v>
      </c>
      <c r="L11" s="84">
        <v>6638.0000000000009</v>
      </c>
      <c r="M11" s="84">
        <v>6271</v>
      </c>
      <c r="N11" s="84">
        <v>5129</v>
      </c>
      <c r="O11" s="84">
        <v>4722</v>
      </c>
      <c r="P11" s="84">
        <v>3255.9999999999995</v>
      </c>
      <c r="Q11" s="84">
        <v>3117</v>
      </c>
      <c r="R11" s="84">
        <v>2340</v>
      </c>
      <c r="S11" s="84">
        <v>2324.9999999999995</v>
      </c>
      <c r="T11" s="84">
        <v>2588</v>
      </c>
      <c r="U11" s="84">
        <v>2155</v>
      </c>
      <c r="V11" s="84">
        <v>1729</v>
      </c>
      <c r="W11" s="84">
        <v>2124</v>
      </c>
      <c r="X11" s="84">
        <v>1286.0000000000002</v>
      </c>
      <c r="Y11" s="84">
        <v>770.99999999999989</v>
      </c>
      <c r="DA11" s="171" t="s">
        <v>1033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11.628583499582129</v>
      </c>
      <c r="C14" s="62">
        <f t="shared" ref="C14:V14" si="10">C15+C21</f>
        <v>10.685263696747466</v>
      </c>
      <c r="D14" s="62">
        <f t="shared" si="10"/>
        <v>13.152540651146605</v>
      </c>
      <c r="E14" s="62">
        <f t="shared" si="10"/>
        <v>12.070458409849939</v>
      </c>
      <c r="F14" s="62">
        <f t="shared" si="10"/>
        <v>10.412502225973586</v>
      </c>
      <c r="G14" s="62">
        <f t="shared" si="10"/>
        <v>11.05555028153789</v>
      </c>
      <c r="H14" s="62">
        <f t="shared" si="10"/>
        <v>11.698342855255824</v>
      </c>
      <c r="I14" s="62">
        <f t="shared" si="10"/>
        <v>10.449977402239707</v>
      </c>
      <c r="J14" s="62">
        <f t="shared" si="10"/>
        <v>7.7927445292793447</v>
      </c>
      <c r="K14" s="62">
        <f t="shared" si="10"/>
        <v>10.01482987773667</v>
      </c>
      <c r="L14" s="62">
        <f t="shared" si="10"/>
        <v>14.079722533523713</v>
      </c>
      <c r="M14" s="62">
        <f t="shared" si="10"/>
        <v>10.209650927981446</v>
      </c>
      <c r="N14" s="62">
        <f t="shared" si="10"/>
        <v>9.4307986244523256</v>
      </c>
      <c r="O14" s="62">
        <f t="shared" si="10"/>
        <v>8.5385557319324192</v>
      </c>
      <c r="P14" s="62">
        <f t="shared" si="10"/>
        <v>7.2833417996051644</v>
      </c>
      <c r="Q14" s="62">
        <f t="shared" si="10"/>
        <v>7.1426474012649832</v>
      </c>
      <c r="R14" s="62">
        <f t="shared" si="10"/>
        <v>6.1564707579555282</v>
      </c>
      <c r="S14" s="62">
        <f t="shared" si="10"/>
        <v>6.6581355783216427</v>
      </c>
      <c r="T14" s="62">
        <f t="shared" si="10"/>
        <v>6.7753741207249298</v>
      </c>
      <c r="U14" s="62">
        <f t="shared" si="10"/>
        <v>7.8210896016969267</v>
      </c>
      <c r="V14" s="62">
        <f t="shared" si="10"/>
        <v>7.9065052523968138</v>
      </c>
      <c r="W14" s="62">
        <f t="shared" ref="W14:Y14" si="11">W15+W21</f>
        <v>6.9005361904628408</v>
      </c>
      <c r="X14" s="62">
        <f t="shared" si="11"/>
        <v>6.9699702713073304</v>
      </c>
      <c r="Y14" s="62">
        <f t="shared" si="11"/>
        <v>8.7267456510083754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3.1400764858461354</v>
      </c>
      <c r="C15" s="29">
        <f t="shared" ref="C15:V15" si="13">SUM(C16,C17,C20)</f>
        <v>2.5200695458988323</v>
      </c>
      <c r="D15" s="29">
        <f t="shared" si="13"/>
        <v>2.5969664429847055</v>
      </c>
      <c r="E15" s="29">
        <f t="shared" si="13"/>
        <v>2.7010265371698932</v>
      </c>
      <c r="F15" s="29">
        <f t="shared" si="13"/>
        <v>2.3494413023715151</v>
      </c>
      <c r="G15" s="29">
        <f t="shared" si="13"/>
        <v>2.3747946829347821</v>
      </c>
      <c r="H15" s="29">
        <f t="shared" si="13"/>
        <v>2.5559784990689334</v>
      </c>
      <c r="I15" s="29">
        <f t="shared" si="13"/>
        <v>2.7885669773276285</v>
      </c>
      <c r="J15" s="29">
        <f t="shared" si="13"/>
        <v>2.2992867424179697</v>
      </c>
      <c r="K15" s="29">
        <f t="shared" si="13"/>
        <v>2.2760514020230458</v>
      </c>
      <c r="L15" s="29">
        <f t="shared" si="13"/>
        <v>2.6319853987469561</v>
      </c>
      <c r="M15" s="29">
        <f t="shared" si="13"/>
        <v>2.461428057645517</v>
      </c>
      <c r="N15" s="29">
        <f t="shared" si="13"/>
        <v>2.4844299255900366</v>
      </c>
      <c r="O15" s="29">
        <f t="shared" si="13"/>
        <v>2.6199303315531912</v>
      </c>
      <c r="P15" s="29">
        <f t="shared" si="13"/>
        <v>2.8500204841614312</v>
      </c>
      <c r="Q15" s="29">
        <f t="shared" si="13"/>
        <v>2.8912781979837003</v>
      </c>
      <c r="R15" s="29">
        <f t="shared" si="13"/>
        <v>2.8879613318676722</v>
      </c>
      <c r="S15" s="29">
        <f t="shared" si="13"/>
        <v>3.3137110860838153</v>
      </c>
      <c r="T15" s="29">
        <f t="shared" si="13"/>
        <v>3.8395677346938539</v>
      </c>
      <c r="U15" s="29">
        <f t="shared" si="13"/>
        <v>4.717889043512832</v>
      </c>
      <c r="V15" s="29">
        <f t="shared" si="13"/>
        <v>5.2872743141046676</v>
      </c>
      <c r="W15" s="29">
        <f t="shared" ref="W15:Y15" si="14">SUM(W16,W17,W20)</f>
        <v>3.808347374129466</v>
      </c>
      <c r="X15" s="29">
        <f t="shared" si="14"/>
        <v>4.5965536998274548</v>
      </c>
      <c r="Y15" s="29">
        <f t="shared" si="14"/>
        <v>6.1812104109309756</v>
      </c>
      <c r="DA15" s="173" t="s">
        <v>1036</v>
      </c>
    </row>
    <row r="16" spans="1:105" ht="11.45" customHeight="1" x14ac:dyDescent="0.25">
      <c r="A16" s="107" t="s">
        <v>23</v>
      </c>
      <c r="B16" s="115">
        <v>1.3239274187780692</v>
      </c>
      <c r="C16" s="115">
        <v>1.1787888139298324</v>
      </c>
      <c r="D16" s="115">
        <v>1.2950354893311145</v>
      </c>
      <c r="E16" s="115">
        <v>1.3237704484936759</v>
      </c>
      <c r="F16" s="115">
        <v>1.0571698606443556</v>
      </c>
      <c r="G16" s="115">
        <v>0.88341266765442827</v>
      </c>
      <c r="H16" s="115">
        <v>0.91387137778955041</v>
      </c>
      <c r="I16" s="115">
        <v>0.93388058873096158</v>
      </c>
      <c r="J16" s="115">
        <v>0.71109077999978976</v>
      </c>
      <c r="K16" s="115">
        <v>0.79656684687515278</v>
      </c>
      <c r="L16" s="115">
        <v>0.86489454365646445</v>
      </c>
      <c r="M16" s="115">
        <v>0.77521822897492854</v>
      </c>
      <c r="N16" s="115">
        <v>1.0805204330147127</v>
      </c>
      <c r="O16" s="115">
        <v>0.9354095359928104</v>
      </c>
      <c r="P16" s="115">
        <v>0.73176002292790254</v>
      </c>
      <c r="Q16" s="115">
        <v>0.69579678726090188</v>
      </c>
      <c r="R16" s="115">
        <v>0.70780998636817916</v>
      </c>
      <c r="S16" s="115">
        <v>0.71577348440477084</v>
      </c>
      <c r="T16" s="115">
        <v>1.0744189907146171</v>
      </c>
      <c r="U16" s="115">
        <v>1.1426949628942484</v>
      </c>
      <c r="V16" s="115">
        <v>1.7650939399559915</v>
      </c>
      <c r="W16" s="115">
        <v>1.3214358794845</v>
      </c>
      <c r="X16" s="115">
        <v>1.3175972870061872</v>
      </c>
      <c r="Y16" s="115">
        <v>1.5729527921370556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1.8161490670680662</v>
      </c>
      <c r="C17" s="116">
        <f t="shared" ref="C17:V17" si="16">SUM(C18:C19)</f>
        <v>1.3412807319689997</v>
      </c>
      <c r="D17" s="116">
        <f t="shared" si="16"/>
        <v>1.301930953653591</v>
      </c>
      <c r="E17" s="116">
        <f t="shared" si="16"/>
        <v>1.3772560886762173</v>
      </c>
      <c r="F17" s="116">
        <f t="shared" si="16"/>
        <v>1.2922714417271595</v>
      </c>
      <c r="G17" s="116">
        <f t="shared" si="16"/>
        <v>1.4913820152803541</v>
      </c>
      <c r="H17" s="116">
        <f t="shared" si="16"/>
        <v>1.6421071212793827</v>
      </c>
      <c r="I17" s="116">
        <f t="shared" si="16"/>
        <v>1.8546863885966669</v>
      </c>
      <c r="J17" s="116">
        <f t="shared" si="16"/>
        <v>1.5881959624181801</v>
      </c>
      <c r="K17" s="116">
        <f t="shared" si="16"/>
        <v>1.4794845551478932</v>
      </c>
      <c r="L17" s="116">
        <f t="shared" si="16"/>
        <v>1.7670908550904918</v>
      </c>
      <c r="M17" s="116">
        <f t="shared" si="16"/>
        <v>1.6862098286705884</v>
      </c>
      <c r="N17" s="116">
        <f t="shared" si="16"/>
        <v>1.4039094925753239</v>
      </c>
      <c r="O17" s="116">
        <f t="shared" si="16"/>
        <v>1.6845207955603807</v>
      </c>
      <c r="P17" s="116">
        <f t="shared" si="16"/>
        <v>2.1182604612335285</v>
      </c>
      <c r="Q17" s="116">
        <f t="shared" si="16"/>
        <v>2.1954814107227985</v>
      </c>
      <c r="R17" s="116">
        <f t="shared" si="16"/>
        <v>2.180151345499493</v>
      </c>
      <c r="S17" s="116">
        <f t="shared" si="16"/>
        <v>2.5979376016790443</v>
      </c>
      <c r="T17" s="116">
        <f t="shared" si="16"/>
        <v>2.7651487439792368</v>
      </c>
      <c r="U17" s="116">
        <f t="shared" si="16"/>
        <v>3.5751940806185836</v>
      </c>
      <c r="V17" s="116">
        <f t="shared" si="16"/>
        <v>3.5221803741486761</v>
      </c>
      <c r="W17" s="116">
        <f t="shared" ref="W17:Y17" si="17">SUM(W18:W19)</f>
        <v>2.486911494644966</v>
      </c>
      <c r="X17" s="116">
        <f t="shared" si="17"/>
        <v>3.2789564128212674</v>
      </c>
      <c r="Y17" s="116">
        <f t="shared" si="17"/>
        <v>4.6082576187939202</v>
      </c>
      <c r="DA17" s="176" t="s">
        <v>1038</v>
      </c>
    </row>
    <row r="18" spans="1:105" ht="11.45" customHeight="1" x14ac:dyDescent="0.25">
      <c r="A18" s="111" t="s">
        <v>92</v>
      </c>
      <c r="B18" s="87">
        <v>1.292693177738877</v>
      </c>
      <c r="C18" s="87">
        <v>0.71290283604074012</v>
      </c>
      <c r="D18" s="87">
        <v>0.70171923218652166</v>
      </c>
      <c r="E18" s="87">
        <v>0.68407350818639201</v>
      </c>
      <c r="F18" s="87">
        <v>0.74897823187468116</v>
      </c>
      <c r="G18" s="87">
        <v>0.88249249013169584</v>
      </c>
      <c r="H18" s="87">
        <v>1.0165623086662647</v>
      </c>
      <c r="I18" s="87">
        <v>1.2771095421094951</v>
      </c>
      <c r="J18" s="87">
        <v>0.92216007999392957</v>
      </c>
      <c r="K18" s="87">
        <v>0.89472479648704284</v>
      </c>
      <c r="L18" s="87">
        <v>1.0574889404818217</v>
      </c>
      <c r="M18" s="87">
        <v>1.0782709772534762</v>
      </c>
      <c r="N18" s="87">
        <v>0.86267608649477756</v>
      </c>
      <c r="O18" s="87">
        <v>1.1531218296410972</v>
      </c>
      <c r="P18" s="87">
        <v>1.3582023710846369</v>
      </c>
      <c r="Q18" s="87">
        <v>1.4024751301830043</v>
      </c>
      <c r="R18" s="87">
        <v>1.4406613951118581</v>
      </c>
      <c r="S18" s="87">
        <v>1.7669671746977456</v>
      </c>
      <c r="T18" s="87">
        <v>2.2726685489751461</v>
      </c>
      <c r="U18" s="87">
        <v>2.9268935940554233</v>
      </c>
      <c r="V18" s="87">
        <v>3.1022716389670926</v>
      </c>
      <c r="W18" s="87">
        <v>1.7845956694762424</v>
      </c>
      <c r="X18" s="87">
        <v>2.6229659735648911</v>
      </c>
      <c r="Y18" s="87">
        <v>3.0808598152245175</v>
      </c>
      <c r="DA18" s="171" t="s">
        <v>1039</v>
      </c>
    </row>
    <row r="19" spans="1:105" ht="11.45" customHeight="1" x14ac:dyDescent="0.25">
      <c r="A19" s="111" t="s">
        <v>93</v>
      </c>
      <c r="B19" s="87">
        <v>0.52345588932918918</v>
      </c>
      <c r="C19" s="87">
        <v>0.62837789592825954</v>
      </c>
      <c r="D19" s="87">
        <v>0.60021172146706936</v>
      </c>
      <c r="E19" s="87">
        <v>0.69318258048982528</v>
      </c>
      <c r="F19" s="87">
        <v>0.54329320985247831</v>
      </c>
      <c r="G19" s="87">
        <v>0.60888952514865824</v>
      </c>
      <c r="H19" s="87">
        <v>0.62554481261311801</v>
      </c>
      <c r="I19" s="87">
        <v>0.57757684648717178</v>
      </c>
      <c r="J19" s="87">
        <v>0.66603588242425049</v>
      </c>
      <c r="K19" s="87">
        <v>0.58475975866085039</v>
      </c>
      <c r="L19" s="87">
        <v>0.70960191460867006</v>
      </c>
      <c r="M19" s="87">
        <v>0.60793885141711224</v>
      </c>
      <c r="N19" s="87">
        <v>0.54123340608054638</v>
      </c>
      <c r="O19" s="87">
        <v>0.53139896591928348</v>
      </c>
      <c r="P19" s="87">
        <v>0.76005809014889159</v>
      </c>
      <c r="Q19" s="87">
        <v>0.79300628053979416</v>
      </c>
      <c r="R19" s="87">
        <v>0.73948995038763488</v>
      </c>
      <c r="S19" s="87">
        <v>0.83097042698129875</v>
      </c>
      <c r="T19" s="87">
        <v>0.49248019500409068</v>
      </c>
      <c r="U19" s="87">
        <v>0.64830048656316031</v>
      </c>
      <c r="V19" s="87">
        <v>0.41990873518158356</v>
      </c>
      <c r="W19" s="87">
        <v>0.7023158251687236</v>
      </c>
      <c r="X19" s="87">
        <v>0.65599043925637623</v>
      </c>
      <c r="Y19" s="87">
        <v>1.5273978035694025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8.4885070137359939</v>
      </c>
      <c r="C21" s="29">
        <f t="shared" ref="C21:V21" si="19">SUM(C22:C23)</f>
        <v>8.1651941508486328</v>
      </c>
      <c r="D21" s="29">
        <f t="shared" si="19"/>
        <v>10.5555742081619</v>
      </c>
      <c r="E21" s="29">
        <f t="shared" si="19"/>
        <v>9.3694318726800461</v>
      </c>
      <c r="F21" s="29">
        <f t="shared" si="19"/>
        <v>8.0630609236020714</v>
      </c>
      <c r="G21" s="29">
        <f t="shared" si="19"/>
        <v>8.680755598603108</v>
      </c>
      <c r="H21" s="29">
        <f t="shared" si="19"/>
        <v>9.1423643561868904</v>
      </c>
      <c r="I21" s="29">
        <f t="shared" si="19"/>
        <v>7.661410424912078</v>
      </c>
      <c r="J21" s="29">
        <f t="shared" si="19"/>
        <v>5.4934577868613745</v>
      </c>
      <c r="K21" s="29">
        <f t="shared" si="19"/>
        <v>7.7387784757136231</v>
      </c>
      <c r="L21" s="29">
        <f t="shared" si="19"/>
        <v>11.447737134776757</v>
      </c>
      <c r="M21" s="29">
        <f t="shared" si="19"/>
        <v>7.7482228703359297</v>
      </c>
      <c r="N21" s="29">
        <f t="shared" si="19"/>
        <v>6.9463686988622895</v>
      </c>
      <c r="O21" s="29">
        <f t="shared" si="19"/>
        <v>5.9186254003792289</v>
      </c>
      <c r="P21" s="29">
        <f t="shared" si="19"/>
        <v>4.4333213154437328</v>
      </c>
      <c r="Q21" s="29">
        <f t="shared" si="19"/>
        <v>4.2513692032812829</v>
      </c>
      <c r="R21" s="29">
        <f t="shared" si="19"/>
        <v>3.268509426087856</v>
      </c>
      <c r="S21" s="29">
        <f t="shared" si="19"/>
        <v>3.3444244922378279</v>
      </c>
      <c r="T21" s="29">
        <f t="shared" si="19"/>
        <v>2.9358063860310755</v>
      </c>
      <c r="U21" s="29">
        <f t="shared" si="19"/>
        <v>3.1032005581840947</v>
      </c>
      <c r="V21" s="29">
        <f t="shared" si="19"/>
        <v>2.6192309382921461</v>
      </c>
      <c r="W21" s="29">
        <f t="shared" ref="W21:Y21" si="20">SUM(W22:W23)</f>
        <v>3.0921888163333748</v>
      </c>
      <c r="X21" s="29">
        <f t="shared" si="20"/>
        <v>2.3734165714798761</v>
      </c>
      <c r="Y21" s="29">
        <f t="shared" si="20"/>
        <v>2.5455352400773994</v>
      </c>
      <c r="DA21" s="173" t="s">
        <v>1042</v>
      </c>
    </row>
    <row r="22" spans="1:105" ht="11.45" customHeight="1" x14ac:dyDescent="0.25">
      <c r="A22" s="83" t="s">
        <v>92</v>
      </c>
      <c r="B22" s="87">
        <v>8.4885070137359939</v>
      </c>
      <c r="C22" s="87">
        <v>8.1651941508486328</v>
      </c>
      <c r="D22" s="87">
        <v>10.5555742081619</v>
      </c>
      <c r="E22" s="87">
        <v>9.3694318726800461</v>
      </c>
      <c r="F22" s="87">
        <v>8.0630609236020714</v>
      </c>
      <c r="G22" s="87">
        <v>8.680755598603108</v>
      </c>
      <c r="H22" s="87">
        <v>9.1423643561868904</v>
      </c>
      <c r="I22" s="87">
        <v>7.661410424912078</v>
      </c>
      <c r="J22" s="87">
        <v>5.4934577868613745</v>
      </c>
      <c r="K22" s="87">
        <v>7.7387784757136231</v>
      </c>
      <c r="L22" s="87">
        <v>11.447737134776757</v>
      </c>
      <c r="M22" s="87">
        <v>7.7482228703359297</v>
      </c>
      <c r="N22" s="87">
        <v>6.9463686988622895</v>
      </c>
      <c r="O22" s="87">
        <v>5.9186254003792289</v>
      </c>
      <c r="P22" s="87">
        <v>4.4333213154437328</v>
      </c>
      <c r="Q22" s="87">
        <v>4.2513692032812829</v>
      </c>
      <c r="R22" s="87">
        <v>3.268509426087856</v>
      </c>
      <c r="S22" s="87">
        <v>3.3444244922378279</v>
      </c>
      <c r="T22" s="87">
        <v>2.9358063860310755</v>
      </c>
      <c r="U22" s="87">
        <v>3.1032005581840947</v>
      </c>
      <c r="V22" s="87">
        <v>2.6192309382921461</v>
      </c>
      <c r="W22" s="87">
        <v>3.0921888163333748</v>
      </c>
      <c r="X22" s="87">
        <v>2.3734165714798761</v>
      </c>
      <c r="Y22" s="87">
        <v>2.5455352400773994</v>
      </c>
      <c r="DA22" s="171" t="s">
        <v>1043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66.585900999999993</v>
      </c>
      <c r="C25" s="62">
        <f t="shared" ref="C25:V25" si="22">C26+C32</f>
        <v>63.603450999999993</v>
      </c>
      <c r="D25" s="62">
        <f t="shared" si="22"/>
        <v>75.446698999999995</v>
      </c>
      <c r="E25" s="62">
        <f t="shared" si="22"/>
        <v>71.221683999999996</v>
      </c>
      <c r="F25" s="62">
        <f t="shared" si="22"/>
        <v>64.563096000000002</v>
      </c>
      <c r="G25" s="62">
        <f t="shared" si="22"/>
        <v>62.973462999999995</v>
      </c>
      <c r="H25" s="62">
        <f t="shared" si="22"/>
        <v>65.082770999999994</v>
      </c>
      <c r="I25" s="62">
        <f t="shared" si="22"/>
        <v>62.321969999999993</v>
      </c>
      <c r="J25" s="62">
        <f t="shared" si="22"/>
        <v>56.602078999999996</v>
      </c>
      <c r="K25" s="62">
        <f t="shared" si="22"/>
        <v>56.817153999999995</v>
      </c>
      <c r="L25" s="62">
        <f t="shared" si="22"/>
        <v>76.881970999999993</v>
      </c>
      <c r="M25" s="62">
        <f t="shared" si="22"/>
        <v>71.612055999999995</v>
      </c>
      <c r="N25" s="62">
        <f t="shared" si="22"/>
        <v>68.932513</v>
      </c>
      <c r="O25" s="62">
        <f t="shared" si="22"/>
        <v>64.496520000000004</v>
      </c>
      <c r="P25" s="62">
        <f t="shared" si="22"/>
        <v>61.799184999999994</v>
      </c>
      <c r="Q25" s="62">
        <f t="shared" si="22"/>
        <v>56.979391</v>
      </c>
      <c r="R25" s="62">
        <f t="shared" si="22"/>
        <v>52.749954000000002</v>
      </c>
      <c r="S25" s="62">
        <f t="shared" si="22"/>
        <v>51.355531999999997</v>
      </c>
      <c r="T25" s="62">
        <f t="shared" si="22"/>
        <v>53.394064999999998</v>
      </c>
      <c r="U25" s="62">
        <f t="shared" si="22"/>
        <v>53.783033000000003</v>
      </c>
      <c r="V25" s="62">
        <f t="shared" si="22"/>
        <v>56.017168999999996</v>
      </c>
      <c r="W25" s="62">
        <f t="shared" ref="W25:Y25" si="23">W26+W32</f>
        <v>54.805806000000004</v>
      </c>
      <c r="X25" s="62">
        <f t="shared" si="23"/>
        <v>48.837742999999996</v>
      </c>
      <c r="Y25" s="62">
        <f t="shared" si="23"/>
        <v>57.748967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24.143364999999996</v>
      </c>
      <c r="C26" s="29">
        <f t="shared" ref="C26:V26" si="25">SUM(C27,C28,C31)</f>
        <v>22.777480000000001</v>
      </c>
      <c r="D26" s="29">
        <f t="shared" si="25"/>
        <v>22.668827</v>
      </c>
      <c r="E26" s="29">
        <f t="shared" si="25"/>
        <v>22.688064999999998</v>
      </c>
      <c r="F26" s="29">
        <f t="shared" si="25"/>
        <v>20.27373</v>
      </c>
      <c r="G26" s="29">
        <f t="shared" si="25"/>
        <v>19.569685</v>
      </c>
      <c r="H26" s="29">
        <f t="shared" si="25"/>
        <v>19.370949</v>
      </c>
      <c r="I26" s="29">
        <f t="shared" si="25"/>
        <v>20.854400999999999</v>
      </c>
      <c r="J26" s="29">
        <f t="shared" si="25"/>
        <v>19.378762999999999</v>
      </c>
      <c r="K26" s="29">
        <f t="shared" si="25"/>
        <v>18.123260999999999</v>
      </c>
      <c r="L26" s="29">
        <f t="shared" si="25"/>
        <v>19.643284999999999</v>
      </c>
      <c r="M26" s="29">
        <f t="shared" si="25"/>
        <v>18.617623000000002</v>
      </c>
      <c r="N26" s="29">
        <f t="shared" si="25"/>
        <v>20.182333</v>
      </c>
      <c r="O26" s="29">
        <f t="shared" si="25"/>
        <v>19.990592999999997</v>
      </c>
      <c r="P26" s="29">
        <f t="shared" si="25"/>
        <v>21.537510999999999</v>
      </c>
      <c r="Q26" s="29">
        <f t="shared" si="25"/>
        <v>20.961970000000001</v>
      </c>
      <c r="R26" s="29">
        <f t="shared" si="25"/>
        <v>20.976786000000001</v>
      </c>
      <c r="S26" s="29">
        <f t="shared" si="25"/>
        <v>23.826616999999999</v>
      </c>
      <c r="T26" s="29">
        <f t="shared" si="25"/>
        <v>30.109403</v>
      </c>
      <c r="U26" s="29">
        <f t="shared" si="25"/>
        <v>34.742623999999999</v>
      </c>
      <c r="V26" s="29">
        <f t="shared" si="25"/>
        <v>41.221012999999999</v>
      </c>
      <c r="W26" s="29">
        <f t="shared" ref="W26:Y26" si="26">SUM(W27,W28,W31)</f>
        <v>39.344861000000002</v>
      </c>
      <c r="X26" s="29">
        <f t="shared" si="26"/>
        <v>36.970659999999995</v>
      </c>
      <c r="Y26" s="29">
        <f t="shared" si="26"/>
        <v>45.02129</v>
      </c>
      <c r="DA26" s="173" t="s">
        <v>1046</v>
      </c>
    </row>
    <row r="27" spans="1:105" ht="11.45" customHeight="1" x14ac:dyDescent="0.25">
      <c r="A27" s="107" t="s">
        <v>23</v>
      </c>
      <c r="B27" s="115">
        <v>12.035703999999999</v>
      </c>
      <c r="C27" s="115">
        <v>10.832134</v>
      </c>
      <c r="D27" s="115">
        <v>11.77305</v>
      </c>
      <c r="E27" s="115">
        <v>12.034276999999999</v>
      </c>
      <c r="F27" s="115">
        <v>10.830706999999999</v>
      </c>
      <c r="G27" s="115">
        <v>9.6271369999999994</v>
      </c>
      <c r="H27" s="115">
        <v>8.4235669999999985</v>
      </c>
      <c r="I27" s="115">
        <v>8.4898239999999987</v>
      </c>
      <c r="J27" s="115">
        <v>7.2862540000000005</v>
      </c>
      <c r="K27" s="115">
        <v>7.241517</v>
      </c>
      <c r="L27" s="115">
        <v>7.8626779999999998</v>
      </c>
      <c r="M27" s="115">
        <v>7.0474389999999998</v>
      </c>
      <c r="N27" s="115">
        <v>9.822913999999999</v>
      </c>
      <c r="O27" s="115">
        <v>8.6193439999999999</v>
      </c>
      <c r="P27" s="115">
        <v>7.4157739999999999</v>
      </c>
      <c r="Q27" s="115">
        <v>6.3254260000000002</v>
      </c>
      <c r="R27" s="115">
        <v>6.4346370000000004</v>
      </c>
      <c r="S27" s="115">
        <v>6.5070319999999997</v>
      </c>
      <c r="T27" s="115">
        <v>9.7674459999999996</v>
      </c>
      <c r="U27" s="115">
        <v>10.388136999999999</v>
      </c>
      <c r="V27" s="115">
        <v>16.046309000000001</v>
      </c>
      <c r="W27" s="115">
        <v>14.842739</v>
      </c>
      <c r="X27" s="115">
        <v>13.639168999999999</v>
      </c>
      <c r="Y27" s="115">
        <v>14.299570999999998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12.107660999999998</v>
      </c>
      <c r="C28" s="116">
        <f t="shared" ref="C28:V28" si="28">SUM(C29:C30)</f>
        <v>11.945346000000001</v>
      </c>
      <c r="D28" s="116">
        <f t="shared" si="28"/>
        <v>10.895777000000001</v>
      </c>
      <c r="E28" s="116">
        <f t="shared" si="28"/>
        <v>10.653787999999999</v>
      </c>
      <c r="F28" s="116">
        <f t="shared" si="28"/>
        <v>9.4430230000000002</v>
      </c>
      <c r="G28" s="116">
        <f t="shared" si="28"/>
        <v>9.9425479999999986</v>
      </c>
      <c r="H28" s="116">
        <f t="shared" si="28"/>
        <v>10.947382000000001</v>
      </c>
      <c r="I28" s="116">
        <f t="shared" si="28"/>
        <v>12.364577000000001</v>
      </c>
      <c r="J28" s="116">
        <f t="shared" si="28"/>
        <v>12.092509</v>
      </c>
      <c r="K28" s="116">
        <f t="shared" si="28"/>
        <v>10.881744000000001</v>
      </c>
      <c r="L28" s="116">
        <f t="shared" si="28"/>
        <v>11.780607</v>
      </c>
      <c r="M28" s="116">
        <f t="shared" si="28"/>
        <v>11.570184000000001</v>
      </c>
      <c r="N28" s="116">
        <f t="shared" si="28"/>
        <v>10.359419000000001</v>
      </c>
      <c r="O28" s="116">
        <f t="shared" si="28"/>
        <v>11.371248999999999</v>
      </c>
      <c r="P28" s="116">
        <f t="shared" si="28"/>
        <v>14.121737</v>
      </c>
      <c r="Q28" s="116">
        <f t="shared" si="28"/>
        <v>14.636543999999999</v>
      </c>
      <c r="R28" s="116">
        <f t="shared" si="28"/>
        <v>14.542149</v>
      </c>
      <c r="S28" s="116">
        <f t="shared" si="28"/>
        <v>17.319585</v>
      </c>
      <c r="T28" s="116">
        <f t="shared" si="28"/>
        <v>20.341957000000001</v>
      </c>
      <c r="U28" s="116">
        <f t="shared" si="28"/>
        <v>24.354487000000002</v>
      </c>
      <c r="V28" s="116">
        <f t="shared" si="28"/>
        <v>25.174703999999998</v>
      </c>
      <c r="W28" s="116">
        <f t="shared" ref="W28:Y28" si="29">SUM(W29:W30)</f>
        <v>24.502122000000004</v>
      </c>
      <c r="X28" s="116">
        <f t="shared" si="29"/>
        <v>23.331491</v>
      </c>
      <c r="Y28" s="116">
        <f t="shared" si="29"/>
        <v>30.721719</v>
      </c>
      <c r="DA28" s="176" t="s">
        <v>1048</v>
      </c>
    </row>
    <row r="29" spans="1:105" ht="11.45" customHeight="1" x14ac:dyDescent="0.25">
      <c r="A29" s="111" t="s">
        <v>92</v>
      </c>
      <c r="B29" s="87">
        <v>8.6179549999999985</v>
      </c>
      <c r="C29" s="87">
        <v>7.7561600000000004</v>
      </c>
      <c r="D29" s="87">
        <v>6.8943650000000005</v>
      </c>
      <c r="E29" s="87">
        <v>6.0325699999999998</v>
      </c>
      <c r="F29" s="87">
        <v>5.1707749999999999</v>
      </c>
      <c r="G29" s="87">
        <v>5.8832839999999997</v>
      </c>
      <c r="H29" s="87">
        <v>6.7770830000000002</v>
      </c>
      <c r="I29" s="87">
        <v>8.5140639999999994</v>
      </c>
      <c r="J29" s="87">
        <v>7.6522690000000004</v>
      </c>
      <c r="K29" s="87">
        <v>6.7904740000000006</v>
      </c>
      <c r="L29" s="87">
        <v>7.0499270000000003</v>
      </c>
      <c r="M29" s="87">
        <v>7.1884740000000003</v>
      </c>
      <c r="N29" s="87">
        <v>6.3266790000000004</v>
      </c>
      <c r="O29" s="87">
        <v>7.6874789999999997</v>
      </c>
      <c r="P29" s="87">
        <v>9.0546829999999989</v>
      </c>
      <c r="Q29" s="87">
        <v>9.3498349999999988</v>
      </c>
      <c r="R29" s="87">
        <v>9.6044099999999997</v>
      </c>
      <c r="S29" s="87">
        <v>11.779781999999999</v>
      </c>
      <c r="T29" s="87">
        <v>15.151123999999999</v>
      </c>
      <c r="U29" s="87">
        <v>19.512624000000002</v>
      </c>
      <c r="V29" s="87">
        <v>20.681811</v>
      </c>
      <c r="W29" s="87">
        <v>19.820016000000003</v>
      </c>
      <c r="X29" s="87">
        <v>18.958221000000002</v>
      </c>
      <c r="Y29" s="87">
        <v>20.539066000000002</v>
      </c>
      <c r="DA29" s="171" t="s">
        <v>1049</v>
      </c>
    </row>
    <row r="30" spans="1:105" ht="11.45" customHeight="1" x14ac:dyDescent="0.25">
      <c r="A30" s="111" t="s">
        <v>93</v>
      </c>
      <c r="B30" s="87">
        <v>3.489706</v>
      </c>
      <c r="C30" s="87">
        <v>4.1891860000000003</v>
      </c>
      <c r="D30" s="87">
        <v>4.0014120000000002</v>
      </c>
      <c r="E30" s="87">
        <v>4.6212179999999998</v>
      </c>
      <c r="F30" s="87">
        <v>4.2722480000000003</v>
      </c>
      <c r="G30" s="87">
        <v>4.0592639999999998</v>
      </c>
      <c r="H30" s="87">
        <v>4.170299</v>
      </c>
      <c r="I30" s="87">
        <v>3.8505130000000003</v>
      </c>
      <c r="J30" s="87">
        <v>4.4402400000000002</v>
      </c>
      <c r="K30" s="87">
        <v>4.0912699999999997</v>
      </c>
      <c r="L30" s="87">
        <v>4.7306800000000004</v>
      </c>
      <c r="M30" s="87">
        <v>4.38171</v>
      </c>
      <c r="N30" s="87">
        <v>4.0327400000000004</v>
      </c>
      <c r="O30" s="87">
        <v>3.68377</v>
      </c>
      <c r="P30" s="87">
        <v>5.0670539999999997</v>
      </c>
      <c r="Q30" s="87">
        <v>5.2867090000000001</v>
      </c>
      <c r="R30" s="87">
        <v>4.9377390000000005</v>
      </c>
      <c r="S30" s="87">
        <v>5.539803</v>
      </c>
      <c r="T30" s="87">
        <v>5.1908330000000005</v>
      </c>
      <c r="U30" s="87">
        <v>4.841863</v>
      </c>
      <c r="V30" s="87">
        <v>4.4928930000000005</v>
      </c>
      <c r="W30" s="87">
        <v>4.6821060000000001</v>
      </c>
      <c r="X30" s="87">
        <v>4.3732699999999998</v>
      </c>
      <c r="Y30" s="87">
        <v>10.182652999999998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42.442535999999997</v>
      </c>
      <c r="C32" s="29">
        <f t="shared" ref="C32:V32" si="31">SUM(C33:C34)</f>
        <v>40.825970999999996</v>
      </c>
      <c r="D32" s="29">
        <f t="shared" si="31"/>
        <v>52.777871999999995</v>
      </c>
      <c r="E32" s="29">
        <f t="shared" si="31"/>
        <v>48.533618999999995</v>
      </c>
      <c r="F32" s="29">
        <f t="shared" si="31"/>
        <v>44.289365999999994</v>
      </c>
      <c r="G32" s="29">
        <f t="shared" si="31"/>
        <v>43.403777999999996</v>
      </c>
      <c r="H32" s="29">
        <f t="shared" si="31"/>
        <v>45.711821999999998</v>
      </c>
      <c r="I32" s="29">
        <f t="shared" si="31"/>
        <v>41.467568999999997</v>
      </c>
      <c r="J32" s="29">
        <f t="shared" si="31"/>
        <v>37.223315999999997</v>
      </c>
      <c r="K32" s="29">
        <f t="shared" si="31"/>
        <v>38.693892999999996</v>
      </c>
      <c r="L32" s="29">
        <f t="shared" si="31"/>
        <v>57.238685999999994</v>
      </c>
      <c r="M32" s="29">
        <f t="shared" si="31"/>
        <v>52.994433000000001</v>
      </c>
      <c r="N32" s="29">
        <f t="shared" si="31"/>
        <v>48.75018</v>
      </c>
      <c r="O32" s="29">
        <f t="shared" si="31"/>
        <v>44.505927</v>
      </c>
      <c r="P32" s="29">
        <f t="shared" si="31"/>
        <v>40.261673999999999</v>
      </c>
      <c r="Q32" s="29">
        <f t="shared" si="31"/>
        <v>36.017420999999999</v>
      </c>
      <c r="R32" s="29">
        <f t="shared" si="31"/>
        <v>31.773168000000002</v>
      </c>
      <c r="S32" s="29">
        <f t="shared" si="31"/>
        <v>27.528915000000001</v>
      </c>
      <c r="T32" s="29">
        <f t="shared" si="31"/>
        <v>23.284662000000001</v>
      </c>
      <c r="U32" s="29">
        <f t="shared" si="31"/>
        <v>19.040409</v>
      </c>
      <c r="V32" s="29">
        <f t="shared" si="31"/>
        <v>14.796156</v>
      </c>
      <c r="W32" s="29">
        <f t="shared" ref="W32:Y32" si="32">SUM(W33:W34)</f>
        <v>15.460944999999999</v>
      </c>
      <c r="X32" s="29">
        <f t="shared" si="32"/>
        <v>11.867082999999999</v>
      </c>
      <c r="Y32" s="29">
        <f t="shared" si="32"/>
        <v>12.727677</v>
      </c>
      <c r="DA32" s="173" t="s">
        <v>1052</v>
      </c>
    </row>
    <row r="33" spans="1:105" ht="11.45" customHeight="1" x14ac:dyDescent="0.25">
      <c r="A33" s="83" t="s">
        <v>92</v>
      </c>
      <c r="B33" s="87">
        <v>42.442535999999997</v>
      </c>
      <c r="C33" s="87">
        <v>40.825970999999996</v>
      </c>
      <c r="D33" s="87">
        <v>52.777871999999995</v>
      </c>
      <c r="E33" s="87">
        <v>48.533618999999995</v>
      </c>
      <c r="F33" s="87">
        <v>44.289365999999994</v>
      </c>
      <c r="G33" s="87">
        <v>43.403777999999996</v>
      </c>
      <c r="H33" s="87">
        <v>45.711821999999998</v>
      </c>
      <c r="I33" s="87">
        <v>41.467568999999997</v>
      </c>
      <c r="J33" s="87">
        <v>37.223315999999997</v>
      </c>
      <c r="K33" s="87">
        <v>38.693892999999996</v>
      </c>
      <c r="L33" s="87">
        <v>57.238685999999994</v>
      </c>
      <c r="M33" s="87">
        <v>52.994433000000001</v>
      </c>
      <c r="N33" s="87">
        <v>48.75018</v>
      </c>
      <c r="O33" s="87">
        <v>44.505927</v>
      </c>
      <c r="P33" s="87">
        <v>40.261673999999999</v>
      </c>
      <c r="Q33" s="87">
        <v>36.017420999999999</v>
      </c>
      <c r="R33" s="87">
        <v>31.773168000000002</v>
      </c>
      <c r="S33" s="87">
        <v>27.528915000000001</v>
      </c>
      <c r="T33" s="87">
        <v>23.284662000000001</v>
      </c>
      <c r="U33" s="87">
        <v>19.040409</v>
      </c>
      <c r="V33" s="87">
        <v>14.796156</v>
      </c>
      <c r="W33" s="87">
        <v>15.460944999999999</v>
      </c>
      <c r="X33" s="87">
        <v>11.867082999999999</v>
      </c>
      <c r="Y33" s="87">
        <v>12.727677</v>
      </c>
      <c r="DA33" s="171" t="s">
        <v>1053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0.83564599999999523</v>
      </c>
      <c r="D36" s="54">
        <f t="shared" ref="D36:V36" si="34">D37+D43</f>
        <v>14.886927999999996</v>
      </c>
      <c r="E36" s="54">
        <f t="shared" si="34"/>
        <v>1.3617969999999993</v>
      </c>
      <c r="F36" s="54">
        <f t="shared" si="34"/>
        <v>0</v>
      </c>
      <c r="G36" s="54">
        <f t="shared" si="34"/>
        <v>1.7184989999999978</v>
      </c>
      <c r="H36" s="54">
        <f t="shared" si="34"/>
        <v>5.3241479999999992</v>
      </c>
      <c r="I36" s="54">
        <f t="shared" si="34"/>
        <v>2.4228490000000003</v>
      </c>
      <c r="J36" s="54">
        <f t="shared" si="34"/>
        <v>0.70941899999999958</v>
      </c>
      <c r="K36" s="54">
        <f t="shared" si="34"/>
        <v>3.4199509999999949</v>
      </c>
      <c r="L36" s="54">
        <f t="shared" si="34"/>
        <v>22.437158999999994</v>
      </c>
      <c r="M36" s="54">
        <f t="shared" si="34"/>
        <v>0.39708599999999983</v>
      </c>
      <c r="N36" s="54">
        <f t="shared" si="34"/>
        <v>3.1365469999999993</v>
      </c>
      <c r="O36" s="54">
        <f t="shared" si="34"/>
        <v>1.6193389999999992</v>
      </c>
      <c r="P36" s="54">
        <f t="shared" si="34"/>
        <v>3.1287189999999994</v>
      </c>
      <c r="Q36" s="54">
        <f t="shared" si="34"/>
        <v>0.89303800000000066</v>
      </c>
      <c r="R36" s="54">
        <f t="shared" si="34"/>
        <v>0.98339700000000185</v>
      </c>
      <c r="S36" s="54">
        <f t="shared" si="34"/>
        <v>3.5891339999999987</v>
      </c>
      <c r="T36" s="54">
        <f t="shared" si="34"/>
        <v>7.251367000000001</v>
      </c>
      <c r="U36" s="54">
        <f t="shared" si="34"/>
        <v>5.6018020000000011</v>
      </c>
      <c r="V36" s="54">
        <f t="shared" si="34"/>
        <v>7.4469699999999985</v>
      </c>
      <c r="W36" s="54">
        <f t="shared" ref="W36:Y36" si="35">W37+W43</f>
        <v>2.6067329999999984</v>
      </c>
      <c r="X36" s="54">
        <f t="shared" si="35"/>
        <v>0</v>
      </c>
      <c r="Y36" s="54">
        <f t="shared" si="35"/>
        <v>11.283565999999999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0.81917200000000001</v>
      </c>
      <c r="D37" s="28">
        <f t="shared" ref="D37:V37" si="37">SUM(D38,D39,D42)</f>
        <v>1.3019879999999997</v>
      </c>
      <c r="E37" s="28">
        <f t="shared" si="37"/>
        <v>1.3617969999999993</v>
      </c>
      <c r="F37" s="28">
        <f t="shared" si="37"/>
        <v>0</v>
      </c>
      <c r="G37" s="28">
        <f t="shared" si="37"/>
        <v>0.97104799999999969</v>
      </c>
      <c r="H37" s="28">
        <f t="shared" si="37"/>
        <v>1.3830650000000002</v>
      </c>
      <c r="I37" s="28">
        <f t="shared" si="37"/>
        <v>2.4228490000000003</v>
      </c>
      <c r="J37" s="28">
        <f t="shared" si="37"/>
        <v>0.70941899999999958</v>
      </c>
      <c r="K37" s="28">
        <f t="shared" si="37"/>
        <v>0.31633499999999959</v>
      </c>
      <c r="L37" s="28">
        <f t="shared" si="37"/>
        <v>2.259326999999999</v>
      </c>
      <c r="M37" s="28">
        <f t="shared" si="37"/>
        <v>0.39708599999999983</v>
      </c>
      <c r="N37" s="28">
        <f t="shared" si="37"/>
        <v>3.1365469999999993</v>
      </c>
      <c r="O37" s="28">
        <f t="shared" si="37"/>
        <v>1.6193389999999992</v>
      </c>
      <c r="P37" s="28">
        <f t="shared" si="37"/>
        <v>3.1287189999999994</v>
      </c>
      <c r="Q37" s="28">
        <f t="shared" si="37"/>
        <v>0.89303800000000066</v>
      </c>
      <c r="R37" s="28">
        <f t="shared" si="37"/>
        <v>0.98339700000000185</v>
      </c>
      <c r="S37" s="28">
        <f t="shared" si="37"/>
        <v>3.5891339999999987</v>
      </c>
      <c r="T37" s="28">
        <f t="shared" si="37"/>
        <v>7.251367000000001</v>
      </c>
      <c r="U37" s="28">
        <f t="shared" si="37"/>
        <v>5.6018020000000011</v>
      </c>
      <c r="V37" s="28">
        <f t="shared" si="37"/>
        <v>7.4469699999999985</v>
      </c>
      <c r="W37" s="28">
        <f t="shared" ref="W37:Y37" si="38">SUM(W38,W39,W42)</f>
        <v>0.30890499999999932</v>
      </c>
      <c r="X37" s="28">
        <f t="shared" si="38"/>
        <v>0</v>
      </c>
      <c r="Y37" s="28">
        <f t="shared" si="38"/>
        <v>8.7899329999999978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1.3019879999999997</v>
      </c>
      <c r="E38" s="108">
        <v>0.62229899999999994</v>
      </c>
      <c r="F38" s="108">
        <v>0</v>
      </c>
      <c r="G38" s="108">
        <v>0</v>
      </c>
      <c r="H38" s="108">
        <v>0</v>
      </c>
      <c r="I38" s="108">
        <v>0.42732900000000029</v>
      </c>
      <c r="J38" s="108">
        <v>0</v>
      </c>
      <c r="K38" s="108">
        <v>0.31633499999999959</v>
      </c>
      <c r="L38" s="108">
        <v>0.98223299999999902</v>
      </c>
      <c r="M38" s="108">
        <v>0</v>
      </c>
      <c r="N38" s="108">
        <v>3.1365469999999993</v>
      </c>
      <c r="O38" s="108">
        <v>0</v>
      </c>
      <c r="P38" s="108">
        <v>0</v>
      </c>
      <c r="Q38" s="108">
        <v>0</v>
      </c>
      <c r="R38" s="108">
        <v>0.47028300000000023</v>
      </c>
      <c r="S38" s="108">
        <v>0.43346699999999938</v>
      </c>
      <c r="T38" s="108">
        <v>3.621486</v>
      </c>
      <c r="U38" s="108">
        <v>0.98176299999999905</v>
      </c>
      <c r="V38" s="108">
        <v>6.0192440000000023</v>
      </c>
      <c r="W38" s="108">
        <v>0</v>
      </c>
      <c r="X38" s="108">
        <v>0</v>
      </c>
      <c r="Y38" s="108">
        <v>1.0214739999999995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0.81917200000000001</v>
      </c>
      <c r="D39" s="110">
        <f t="shared" ref="D39:V39" si="40">SUM(D40:D41)</f>
        <v>0</v>
      </c>
      <c r="E39" s="110">
        <f t="shared" si="40"/>
        <v>0.73949799999999932</v>
      </c>
      <c r="F39" s="110">
        <f t="shared" si="40"/>
        <v>0</v>
      </c>
      <c r="G39" s="110">
        <f t="shared" si="40"/>
        <v>0.97104799999999969</v>
      </c>
      <c r="H39" s="110">
        <f t="shared" si="40"/>
        <v>1.3830650000000002</v>
      </c>
      <c r="I39" s="110">
        <f t="shared" si="40"/>
        <v>1.99552</v>
      </c>
      <c r="J39" s="110">
        <f t="shared" si="40"/>
        <v>0.70941899999999958</v>
      </c>
      <c r="K39" s="110">
        <f t="shared" si="40"/>
        <v>0</v>
      </c>
      <c r="L39" s="110">
        <f t="shared" si="40"/>
        <v>1.277094</v>
      </c>
      <c r="M39" s="110">
        <f t="shared" si="40"/>
        <v>0.39708599999999983</v>
      </c>
      <c r="N39" s="110">
        <f t="shared" si="40"/>
        <v>0</v>
      </c>
      <c r="O39" s="110">
        <f t="shared" si="40"/>
        <v>1.6193389999999992</v>
      </c>
      <c r="P39" s="110">
        <f t="shared" si="40"/>
        <v>3.1287189999999994</v>
      </c>
      <c r="Q39" s="110">
        <f t="shared" si="40"/>
        <v>0.89303800000000066</v>
      </c>
      <c r="R39" s="110">
        <f t="shared" si="40"/>
        <v>0.51311400000000162</v>
      </c>
      <c r="S39" s="110">
        <f t="shared" si="40"/>
        <v>3.1556669999999993</v>
      </c>
      <c r="T39" s="110">
        <f t="shared" si="40"/>
        <v>3.629881000000001</v>
      </c>
      <c r="U39" s="110">
        <f t="shared" si="40"/>
        <v>4.620039000000002</v>
      </c>
      <c r="V39" s="110">
        <f t="shared" si="40"/>
        <v>1.4277259999999963</v>
      </c>
      <c r="W39" s="110">
        <f t="shared" ref="W39:Y39" si="41">SUM(W40:W41)</f>
        <v>0.30890499999999932</v>
      </c>
      <c r="X39" s="110">
        <f t="shared" si="41"/>
        <v>0</v>
      </c>
      <c r="Y39" s="110">
        <f t="shared" si="41"/>
        <v>7.7684589999999982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0.97104799999999969</v>
      </c>
      <c r="H40" s="84">
        <v>1.1523380000000003</v>
      </c>
      <c r="I40" s="84">
        <v>1.99552</v>
      </c>
      <c r="J40" s="84">
        <v>0</v>
      </c>
      <c r="K40" s="84">
        <v>0</v>
      </c>
      <c r="L40" s="84">
        <v>0.51799199999999956</v>
      </c>
      <c r="M40" s="84">
        <v>0.39708599999999983</v>
      </c>
      <c r="N40" s="84">
        <v>0</v>
      </c>
      <c r="O40" s="84">
        <v>1.6193389999999992</v>
      </c>
      <c r="P40" s="84">
        <v>1.6257429999999999</v>
      </c>
      <c r="Q40" s="84">
        <v>0.5536910000000006</v>
      </c>
      <c r="R40" s="84">
        <v>0.51311400000000162</v>
      </c>
      <c r="S40" s="84">
        <v>2.4339110000000002</v>
      </c>
      <c r="T40" s="84">
        <v>3.629881000000001</v>
      </c>
      <c r="U40" s="84">
        <v>4.620039000000002</v>
      </c>
      <c r="V40" s="84">
        <v>1.4277259999999963</v>
      </c>
      <c r="W40" s="84">
        <v>0</v>
      </c>
      <c r="X40" s="84">
        <v>0</v>
      </c>
      <c r="Y40" s="84">
        <v>1.839383999999999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0.81917200000000001</v>
      </c>
      <c r="D41" s="84">
        <v>0</v>
      </c>
      <c r="E41" s="84">
        <v>0.73949799999999932</v>
      </c>
      <c r="F41" s="84">
        <v>0</v>
      </c>
      <c r="G41" s="84">
        <v>0</v>
      </c>
      <c r="H41" s="84">
        <v>0.2307269999999999</v>
      </c>
      <c r="I41" s="84">
        <v>0</v>
      </c>
      <c r="J41" s="84">
        <v>0.70941899999999958</v>
      </c>
      <c r="K41" s="84">
        <v>0</v>
      </c>
      <c r="L41" s="84">
        <v>0.75910200000000039</v>
      </c>
      <c r="M41" s="84">
        <v>0</v>
      </c>
      <c r="N41" s="84">
        <v>0</v>
      </c>
      <c r="O41" s="84">
        <v>0</v>
      </c>
      <c r="P41" s="84">
        <v>1.5029759999999994</v>
      </c>
      <c r="Q41" s="84">
        <v>0.33934700000000007</v>
      </c>
      <c r="R41" s="84">
        <v>0</v>
      </c>
      <c r="S41" s="84">
        <v>0.72175599999999918</v>
      </c>
      <c r="T41" s="84">
        <v>0</v>
      </c>
      <c r="U41" s="84">
        <v>0</v>
      </c>
      <c r="V41" s="84">
        <v>0</v>
      </c>
      <c r="W41" s="84">
        <v>0.30890499999999932</v>
      </c>
      <c r="X41" s="84">
        <v>0</v>
      </c>
      <c r="Y41" s="84">
        <v>5.9290749999999992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1.6473999999995215E-2</v>
      </c>
      <c r="D43" s="28">
        <f t="shared" ref="D43:V43" si="43">SUM(D44:D45)</f>
        <v>13.584939999999996</v>
      </c>
      <c r="E43" s="28">
        <f t="shared" si="43"/>
        <v>0</v>
      </c>
      <c r="F43" s="28">
        <f t="shared" si="43"/>
        <v>0</v>
      </c>
      <c r="G43" s="28">
        <f t="shared" si="43"/>
        <v>0.74745099999999809</v>
      </c>
      <c r="H43" s="28">
        <f t="shared" si="43"/>
        <v>3.941082999999999</v>
      </c>
      <c r="I43" s="28">
        <f t="shared" si="43"/>
        <v>0</v>
      </c>
      <c r="J43" s="28">
        <f t="shared" si="43"/>
        <v>0</v>
      </c>
      <c r="K43" s="28">
        <f t="shared" si="43"/>
        <v>3.1036159999999953</v>
      </c>
      <c r="L43" s="28">
        <f t="shared" si="43"/>
        <v>20.177831999999995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:Y43" si="44">SUM(W44:W45)</f>
        <v>2.2978279999999991</v>
      </c>
      <c r="X43" s="28">
        <f t="shared" si="44"/>
        <v>0</v>
      </c>
      <c r="Y43" s="28">
        <f t="shared" si="44"/>
        <v>2.4936330000000009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1.6473999999995215E-2</v>
      </c>
      <c r="D44" s="84">
        <v>13.584939999999996</v>
      </c>
      <c r="E44" s="84">
        <v>0</v>
      </c>
      <c r="F44" s="84">
        <v>0</v>
      </c>
      <c r="G44" s="84">
        <v>0.74745099999999809</v>
      </c>
      <c r="H44" s="84">
        <v>3.941082999999999</v>
      </c>
      <c r="I44" s="84">
        <v>0</v>
      </c>
      <c r="J44" s="84">
        <v>0</v>
      </c>
      <c r="K44" s="84">
        <v>3.1036159999999953</v>
      </c>
      <c r="L44" s="84">
        <v>20.177831999999995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2.2978279999999991</v>
      </c>
      <c r="X44" s="84">
        <v>0</v>
      </c>
      <c r="Y44" s="84">
        <v>2.4936330000000009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116.46213130424982</v>
      </c>
      <c r="C50" s="29">
        <f t="shared" si="45"/>
        <v>107.23870713798512</v>
      </c>
      <c r="D50" s="29">
        <f t="shared" si="45"/>
        <v>103.71716612958419</v>
      </c>
      <c r="E50" s="29">
        <f t="shared" si="45"/>
        <v>101.85534877723249</v>
      </c>
      <c r="F50" s="29">
        <f t="shared" si="45"/>
        <v>117.6449906286244</v>
      </c>
      <c r="G50" s="29">
        <f t="shared" si="45"/>
        <v>136.13808483033338</v>
      </c>
      <c r="H50" s="29">
        <f t="shared" si="45"/>
        <v>131.30000902677745</v>
      </c>
      <c r="I50" s="29">
        <f t="shared" si="45"/>
        <v>126.66003824605377</v>
      </c>
      <c r="J50" s="29">
        <f t="shared" si="45"/>
        <v>150.41490633582364</v>
      </c>
      <c r="K50" s="29">
        <f t="shared" ref="K50:V50" si="46">IF(K4=0,0,K4/K15)</f>
        <v>140.96650001613244</v>
      </c>
      <c r="L50" s="29">
        <f t="shared" si="46"/>
        <v>121.14314925599422</v>
      </c>
      <c r="M50" s="29">
        <f t="shared" si="46"/>
        <v>125.0688595361477</v>
      </c>
      <c r="N50" s="29">
        <f t="shared" si="46"/>
        <v>131.78113684258747</v>
      </c>
      <c r="O50" s="29">
        <f t="shared" si="46"/>
        <v>114.03509337703713</v>
      </c>
      <c r="P50" s="29">
        <f t="shared" si="46"/>
        <v>118.77739191043149</v>
      </c>
      <c r="Q50" s="29">
        <f t="shared" si="46"/>
        <v>117.99141301515228</v>
      </c>
      <c r="R50" s="29">
        <f t="shared" si="46"/>
        <v>129.16862697699463</v>
      </c>
      <c r="S50" s="29">
        <f t="shared" si="46"/>
        <v>128.43757012714866</v>
      </c>
      <c r="T50" s="29">
        <f t="shared" si="46"/>
        <v>130.45531023557743</v>
      </c>
      <c r="U50" s="29">
        <f t="shared" si="46"/>
        <v>101.60221988669078</v>
      </c>
      <c r="V50" s="29">
        <f t="shared" si="46"/>
        <v>64.60323026720836</v>
      </c>
      <c r="W50" s="29">
        <f t="shared" ref="W50:Y50" si="47">IF(W4=0,0,W4/W15)</f>
        <v>93.404557162097589</v>
      </c>
      <c r="X50" s="29">
        <f t="shared" si="47"/>
        <v>101.86740557769981</v>
      </c>
      <c r="Y50" s="29">
        <f t="shared" si="47"/>
        <v>83.063715011550556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79.082885145345671</v>
      </c>
      <c r="C51" s="115">
        <f t="shared" si="48"/>
        <v>74.313565725110792</v>
      </c>
      <c r="D51" s="115">
        <f t="shared" si="48"/>
        <v>71.349396029080708</v>
      </c>
      <c r="E51" s="115">
        <f t="shared" si="48"/>
        <v>70.480497661937136</v>
      </c>
      <c r="F51" s="115">
        <f t="shared" si="48"/>
        <v>78.889876740495495</v>
      </c>
      <c r="G51" s="115">
        <f t="shared" si="48"/>
        <v>85.237627619638943</v>
      </c>
      <c r="H51" s="115">
        <f t="shared" si="48"/>
        <v>86.007727028409349</v>
      </c>
      <c r="I51" s="115">
        <f t="shared" si="48"/>
        <v>84.807416446704238</v>
      </c>
      <c r="J51" s="115">
        <f t="shared" si="48"/>
        <v>101.0377324819501</v>
      </c>
      <c r="K51" s="115">
        <f t="shared" ref="K51:V51" si="49">IF(K5=0,0,K5/K16)</f>
        <v>90.195820076931582</v>
      </c>
      <c r="L51" s="115">
        <f t="shared" si="49"/>
        <v>83.070243102999129</v>
      </c>
      <c r="M51" s="115">
        <f t="shared" si="49"/>
        <v>83.65128369820269</v>
      </c>
      <c r="N51" s="115">
        <f t="shared" si="49"/>
        <v>85.515273174609035</v>
      </c>
      <c r="O51" s="115">
        <f t="shared" si="49"/>
        <v>80.995539477354995</v>
      </c>
      <c r="P51" s="115">
        <f t="shared" si="49"/>
        <v>79.968839737731273</v>
      </c>
      <c r="Q51" s="115">
        <f t="shared" si="49"/>
        <v>79.255899149936695</v>
      </c>
      <c r="R51" s="115">
        <f t="shared" si="49"/>
        <v>80.578122799093734</v>
      </c>
      <c r="S51" s="115">
        <f t="shared" si="49"/>
        <v>83.273551338056123</v>
      </c>
      <c r="T51" s="115">
        <f t="shared" si="49"/>
        <v>78.081270644892257</v>
      </c>
      <c r="U51" s="115">
        <f t="shared" si="49"/>
        <v>76.440347456124812</v>
      </c>
      <c r="V51" s="115">
        <f t="shared" si="49"/>
        <v>44.51604428598236</v>
      </c>
      <c r="W51" s="115">
        <f t="shared" ref="W51:Y51" si="50">IF(W5=0,0,W5/W16)</f>
        <v>49.731508747618228</v>
      </c>
      <c r="X51" s="115">
        <f t="shared" si="50"/>
        <v>65.451713395638635</v>
      </c>
      <c r="Y51" s="115">
        <f t="shared" si="50"/>
        <v>67.029538665781615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143.71067041393809</v>
      </c>
      <c r="C52" s="116">
        <f t="shared" si="51"/>
        <v>136.17507181503407</v>
      </c>
      <c r="D52" s="116">
        <f t="shared" si="51"/>
        <v>135.91350563056176</v>
      </c>
      <c r="E52" s="116">
        <f t="shared" si="51"/>
        <v>132.0117598280178</v>
      </c>
      <c r="F52" s="116">
        <f t="shared" si="51"/>
        <v>149.34942750266904</v>
      </c>
      <c r="G52" s="116">
        <f t="shared" si="51"/>
        <v>166.28871574086958</v>
      </c>
      <c r="H52" s="116">
        <f t="shared" si="51"/>
        <v>156.50623316204161</v>
      </c>
      <c r="I52" s="116">
        <f t="shared" si="51"/>
        <v>147.73387117340081</v>
      </c>
      <c r="J52" s="116">
        <f t="shared" si="51"/>
        <v>172.5227909425036</v>
      </c>
      <c r="K52" s="116">
        <f t="shared" ref="K52:V52" si="52">IF(K6=0,0,K6/K17)</f>
        <v>168.30185832869969</v>
      </c>
      <c r="L52" s="116">
        <f t="shared" si="52"/>
        <v>139.77775918451644</v>
      </c>
      <c r="M52" s="116">
        <f t="shared" si="52"/>
        <v>144.11017885691115</v>
      </c>
      <c r="N52" s="116">
        <f t="shared" si="52"/>
        <v>167.38970798531841</v>
      </c>
      <c r="O52" s="116">
        <f t="shared" si="52"/>
        <v>132.38186230037948</v>
      </c>
      <c r="P52" s="116">
        <f t="shared" si="52"/>
        <v>132.18393352673323</v>
      </c>
      <c r="Q52" s="116">
        <f t="shared" si="52"/>
        <v>130.26755708482307</v>
      </c>
      <c r="R52" s="116">
        <f t="shared" si="52"/>
        <v>144.94406576512304</v>
      </c>
      <c r="S52" s="116">
        <f t="shared" si="52"/>
        <v>140.88098180782117</v>
      </c>
      <c r="T52" s="116">
        <f t="shared" si="52"/>
        <v>150.80563058604531</v>
      </c>
      <c r="U52" s="116">
        <f t="shared" si="52"/>
        <v>109.64439724407235</v>
      </c>
      <c r="V52" s="116">
        <f t="shared" si="52"/>
        <v>74.66965687796953</v>
      </c>
      <c r="W52" s="116">
        <f t="shared" ref="W52:Y52" si="53">IF(W6=0,0,W6/W17)</f>
        <v>116.61050287654113</v>
      </c>
      <c r="X52" s="116">
        <f t="shared" si="53"/>
        <v>116.50048122210963</v>
      </c>
      <c r="Y52" s="116">
        <f t="shared" si="53"/>
        <v>88.536716857158339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138.96414075504759</v>
      </c>
      <c r="C53" s="87">
        <f t="shared" si="54"/>
        <v>139.37939750171623</v>
      </c>
      <c r="D53" s="87">
        <f t="shared" si="54"/>
        <v>139.53387563476025</v>
      </c>
      <c r="E53" s="87">
        <f t="shared" si="54"/>
        <v>140.06542988233585</v>
      </c>
      <c r="F53" s="87">
        <f t="shared" si="54"/>
        <v>140.103958097907</v>
      </c>
      <c r="G53" s="87">
        <f t="shared" si="54"/>
        <v>141.22691864006941</v>
      </c>
      <c r="H53" s="87">
        <f t="shared" si="54"/>
        <v>141.62374029312068</v>
      </c>
      <c r="I53" s="87">
        <f t="shared" si="54"/>
        <v>142.28282329002943</v>
      </c>
      <c r="J53" s="87">
        <f t="shared" si="54"/>
        <v>137.54650147627709</v>
      </c>
      <c r="K53" s="87">
        <f t="shared" ref="K53:V53" si="55">IF(K7=0,0,K7/K18)</f>
        <v>138.35424727446218</v>
      </c>
      <c r="L53" s="87">
        <f t="shared" si="55"/>
        <v>138.76522463009064</v>
      </c>
      <c r="M53" s="87">
        <f t="shared" si="55"/>
        <v>138.36597268880729</v>
      </c>
      <c r="N53" s="87">
        <f t="shared" si="55"/>
        <v>137.29791492503446</v>
      </c>
      <c r="O53" s="87">
        <f t="shared" si="55"/>
        <v>138.28484544196075</v>
      </c>
      <c r="P53" s="87">
        <f t="shared" si="55"/>
        <v>139.16463735000158</v>
      </c>
      <c r="Q53" s="87">
        <f t="shared" si="55"/>
        <v>139.71811813376729</v>
      </c>
      <c r="R53" s="87">
        <f t="shared" si="55"/>
        <v>141.27940611587488</v>
      </c>
      <c r="S53" s="87">
        <f t="shared" si="55"/>
        <v>141.23320159216732</v>
      </c>
      <c r="T53" s="87">
        <f t="shared" si="55"/>
        <v>143.43948933951572</v>
      </c>
      <c r="U53" s="87">
        <f t="shared" si="55"/>
        <v>105.94387050246917</v>
      </c>
      <c r="V53" s="87">
        <f t="shared" si="55"/>
        <v>72.30214548902444</v>
      </c>
      <c r="W53" s="87">
        <f t="shared" ref="W53:Y53" si="56">IF(W7=0,0,W7/W18)</f>
        <v>127.23291729912893</v>
      </c>
      <c r="X53" s="87">
        <f t="shared" si="56"/>
        <v>116.14337585156235</v>
      </c>
      <c r="Y53" s="87">
        <f t="shared" si="56"/>
        <v>99.012201499383877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155.43239641428173</v>
      </c>
      <c r="C54" s="87">
        <f t="shared" si="57"/>
        <v>132.53972295181643</v>
      </c>
      <c r="D54" s="87">
        <f t="shared" si="57"/>
        <v>131.68086043435051</v>
      </c>
      <c r="E54" s="87">
        <f t="shared" si="57"/>
        <v>124.06392258730125</v>
      </c>
      <c r="F54" s="87">
        <f t="shared" si="57"/>
        <v>162.09513314016522</v>
      </c>
      <c r="G54" s="87">
        <f t="shared" si="57"/>
        <v>202.61196785341116</v>
      </c>
      <c r="H54" s="87">
        <f t="shared" si="57"/>
        <v>180.69152093757356</v>
      </c>
      <c r="I54" s="87">
        <f t="shared" si="57"/>
        <v>159.78696040073018</v>
      </c>
      <c r="J54" s="87">
        <f t="shared" si="57"/>
        <v>220.94921772099559</v>
      </c>
      <c r="K54" s="87">
        <f t="shared" ref="K54:V54" si="58">IF(K8=0,0,K8/K19)</f>
        <v>214.12387294054352</v>
      </c>
      <c r="L54" s="87">
        <f t="shared" si="58"/>
        <v>141.28669549249057</v>
      </c>
      <c r="M54" s="87">
        <f t="shared" si="58"/>
        <v>154.29839233263974</v>
      </c>
      <c r="N54" s="87">
        <f t="shared" si="58"/>
        <v>215.35324826426628</v>
      </c>
      <c r="O54" s="87">
        <f t="shared" si="58"/>
        <v>119.5725435829722</v>
      </c>
      <c r="P54" s="87">
        <f t="shared" si="58"/>
        <v>119.70961267219781</v>
      </c>
      <c r="Q54" s="87">
        <f t="shared" si="58"/>
        <v>113.55372118884696</v>
      </c>
      <c r="R54" s="87">
        <f t="shared" si="58"/>
        <v>152.08349163579038</v>
      </c>
      <c r="S54" s="87">
        <f t="shared" si="58"/>
        <v>140.13202519395026</v>
      </c>
      <c r="T54" s="87">
        <f t="shared" si="58"/>
        <v>184.79846462916322</v>
      </c>
      <c r="U54" s="87">
        <f t="shared" si="58"/>
        <v>126.3512303239731</v>
      </c>
      <c r="V54" s="87">
        <f t="shared" si="58"/>
        <v>92.160751540908308</v>
      </c>
      <c r="W54" s="87">
        <f t="shared" ref="W54:Y54" si="59">IF(W8=0,0,W8/W19)</f>
        <v>89.618779069978729</v>
      </c>
      <c r="X54" s="87">
        <f t="shared" si="59"/>
        <v>117.92836062380424</v>
      </c>
      <c r="Y54" s="87">
        <f t="shared" si="59"/>
        <v>67.406989157004702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954.46702074810651</v>
      </c>
      <c r="C56" s="29">
        <f t="shared" si="63"/>
        <v>1047.9848784870162</v>
      </c>
      <c r="D56" s="29">
        <f t="shared" si="63"/>
        <v>918.66153453802417</v>
      </c>
      <c r="E56" s="29">
        <f t="shared" si="63"/>
        <v>1032.0796534308947</v>
      </c>
      <c r="F56" s="29">
        <f t="shared" si="63"/>
        <v>1300.7467138564814</v>
      </c>
      <c r="G56" s="29">
        <f t="shared" si="63"/>
        <v>1225.5845564540498</v>
      </c>
      <c r="H56" s="29">
        <f t="shared" si="63"/>
        <v>1139.5301690147419</v>
      </c>
      <c r="I56" s="29">
        <f t="shared" si="63"/>
        <v>1100.3195929288363</v>
      </c>
      <c r="J56" s="29">
        <f t="shared" si="63"/>
        <v>1081.8322868000896</v>
      </c>
      <c r="K56" s="29">
        <f t="shared" ref="K56:V56" si="64">IF(K10=0,0,K10/K21)</f>
        <v>768.46753252639189</v>
      </c>
      <c r="L56" s="29">
        <f t="shared" si="64"/>
        <v>579.85258762053581</v>
      </c>
      <c r="M56" s="29">
        <f t="shared" si="64"/>
        <v>809.34687927066773</v>
      </c>
      <c r="N56" s="29">
        <f t="shared" si="64"/>
        <v>738.37140272154761</v>
      </c>
      <c r="O56" s="29">
        <f t="shared" si="64"/>
        <v>797.82038574319017</v>
      </c>
      <c r="P56" s="29">
        <f t="shared" si="64"/>
        <v>734.4380811419046</v>
      </c>
      <c r="Q56" s="29">
        <f t="shared" si="64"/>
        <v>733.17556085090041</v>
      </c>
      <c r="R56" s="29">
        <f t="shared" si="64"/>
        <v>715.92267145479605</v>
      </c>
      <c r="S56" s="29">
        <f t="shared" si="64"/>
        <v>695.18687158169053</v>
      </c>
      <c r="T56" s="29">
        <f t="shared" si="64"/>
        <v>881.5295219446416</v>
      </c>
      <c r="U56" s="29">
        <f t="shared" si="64"/>
        <v>694.44431953216883</v>
      </c>
      <c r="V56" s="29">
        <f t="shared" si="64"/>
        <v>660.11743169442866</v>
      </c>
      <c r="W56" s="29">
        <f t="shared" ref="W56:Y56" si="65">IF(W10=0,0,W10/W21)</f>
        <v>686.89207747623118</v>
      </c>
      <c r="X56" s="29">
        <f t="shared" si="65"/>
        <v>541.83492921267998</v>
      </c>
      <c r="Y56" s="29">
        <f t="shared" si="65"/>
        <v>302.88325530176394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954.46702074810651</v>
      </c>
      <c r="C57" s="87">
        <f t="shared" si="66"/>
        <v>1047.9848784870162</v>
      </c>
      <c r="D57" s="87">
        <f t="shared" si="66"/>
        <v>918.66153453802417</v>
      </c>
      <c r="E57" s="87">
        <f t="shared" si="66"/>
        <v>1032.0796534308947</v>
      </c>
      <c r="F57" s="87">
        <f t="shared" si="66"/>
        <v>1300.7467138564814</v>
      </c>
      <c r="G57" s="87">
        <f t="shared" si="66"/>
        <v>1225.5845564540498</v>
      </c>
      <c r="H57" s="87">
        <f t="shared" si="66"/>
        <v>1139.5301690147419</v>
      </c>
      <c r="I57" s="87">
        <f t="shared" si="66"/>
        <v>1100.3195929288363</v>
      </c>
      <c r="J57" s="87">
        <f t="shared" si="66"/>
        <v>1081.8322868000896</v>
      </c>
      <c r="K57" s="87">
        <f t="shared" ref="K57:V57" si="67">IF(K11=0,0,K11/K22)</f>
        <v>768.46753252639189</v>
      </c>
      <c r="L57" s="87">
        <f t="shared" si="67"/>
        <v>579.85258762053581</v>
      </c>
      <c r="M57" s="87">
        <f t="shared" si="67"/>
        <v>809.34687927066773</v>
      </c>
      <c r="N57" s="87">
        <f t="shared" si="67"/>
        <v>738.37140272154761</v>
      </c>
      <c r="O57" s="87">
        <f t="shared" si="67"/>
        <v>797.82038574319017</v>
      </c>
      <c r="P57" s="87">
        <f t="shared" si="67"/>
        <v>734.4380811419046</v>
      </c>
      <c r="Q57" s="87">
        <f t="shared" si="67"/>
        <v>733.17556085090041</v>
      </c>
      <c r="R57" s="87">
        <f t="shared" si="67"/>
        <v>715.92267145479605</v>
      </c>
      <c r="S57" s="87">
        <f t="shared" si="67"/>
        <v>695.18687158169053</v>
      </c>
      <c r="T57" s="87">
        <f t="shared" si="67"/>
        <v>881.5295219446416</v>
      </c>
      <c r="U57" s="87">
        <f t="shared" si="67"/>
        <v>694.44431953216883</v>
      </c>
      <c r="V57" s="87">
        <f t="shared" si="67"/>
        <v>660.11743169442866</v>
      </c>
      <c r="W57" s="87">
        <f t="shared" ref="W57:Y57" si="68">IF(W11=0,0,W11/W22)</f>
        <v>686.89207747623118</v>
      </c>
      <c r="X57" s="87">
        <f t="shared" si="68"/>
        <v>541.83492921267998</v>
      </c>
      <c r="Y57" s="87">
        <f t="shared" si="68"/>
        <v>302.88325530176394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:Y58" si="71">IF(W12=0,0,W12/W23)</f>
        <v>0</v>
      </c>
      <c r="X58" s="88">
        <f t="shared" si="71"/>
        <v>0</v>
      </c>
      <c r="Y58" s="88">
        <f t="shared" si="71"/>
        <v>0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359.88078380954772</v>
      </c>
      <c r="C61" s="29">
        <f t="shared" ref="C61" si="73">IF(C26=0,0,(C62*C27+C64*C29+C65*C30+C66*C31)/(C27+C29+C30+C31))</f>
        <v>358.04506556475957</v>
      </c>
      <c r="D61" s="29">
        <f t="shared" ref="D61" si="74">IF(D26=0,0,(D62*D27+D64*D29+D65*D30+D66*D31)/(D27+D29+D30+D31))</f>
        <v>361.54798128725412</v>
      </c>
      <c r="E61" s="29">
        <f t="shared" ref="E61" si="75">IF(E26=0,0,(E62*E27+E64*E29+E65*E30+E66*E31)/(E27+E29+E30+E31))</f>
        <v>362.43385938818494</v>
      </c>
      <c r="F61" s="29">
        <f t="shared" ref="F61" si="76">IF(F26=0,0,(F62*F27+F64*F29+F65*F30+F66*F31)/(F27+F29+F30+F31))</f>
        <v>362.73789578927995</v>
      </c>
      <c r="G61" s="29">
        <f t="shared" ref="G61" si="77">IF(G26=0,0,(G62*G27+G64*G29+G65*G30+G66*G31)/(G27+G29+G30+G31))</f>
        <v>359.35530694541069</v>
      </c>
      <c r="H61" s="29">
        <f t="shared" ref="H61" si="78">IF(H26=0,0,(H62*H27+H64*H29+H65*H30+H66*H31)/(H27+H29+H30+H31))</f>
        <v>354.78845357550625</v>
      </c>
      <c r="I61" s="29">
        <f t="shared" ref="I61" si="79">IF(I26=0,0,(I62*I27+I64*I29+I65*I30+I66*I31)/(I27+I29+I30+I31))</f>
        <v>352.56798984540484</v>
      </c>
      <c r="J61" s="29">
        <f t="shared" ref="J61" si="80">IF(J26=0,0,(J62*J27+J64*J29+J65*J30+J66*J31)/(J27+J29+J30+J31))</f>
        <v>350.07933581725524</v>
      </c>
      <c r="K61" s="29">
        <f t="shared" ref="K61" si="81">IF(K26=0,0,(K62*K27+K64*K29+K65*K30+K66*K31)/(K27+K29+K30+K31))</f>
        <v>351.96562472945681</v>
      </c>
      <c r="L61" s="29">
        <f t="shared" ref="L61" si="82">IF(L26=0,0,(L62*L27+L64*L29+L65*L30+L66*L31)/(L27+L29+L30+L31))</f>
        <v>352.02184563325329</v>
      </c>
      <c r="M61" s="29">
        <f t="shared" ref="M61" si="83">IF(M26=0,0,(M62*M27+M64*M29+M65*M30+M66*M31)/(M27+M29+M30+M31))</f>
        <v>350.28287338292324</v>
      </c>
      <c r="N61" s="29">
        <f t="shared" ref="N61" si="84">IF(N26=0,0,(N62*N27+N64*N29+N65*N30+N66*N31)/(N27+N29+N30+N31))</f>
        <v>358.93668388089725</v>
      </c>
      <c r="O61" s="29">
        <f t="shared" ref="O61" si="85">IF(O26=0,0,(O62*O27+O64*O29+O65*O30+O66*O31)/(O27+O29+O30+O31))</f>
        <v>354.49360006479037</v>
      </c>
      <c r="P61" s="29">
        <f t="shared" ref="P61" si="86">IF(P26=0,0,(P62*P27+P64*P29+P65*P30+P66*P31)/(P27+P29+P30+P31))</f>
        <v>347.54551907135414</v>
      </c>
      <c r="Q61" s="29">
        <f t="shared" ref="Q61" si="87">IF(Q26=0,0,(Q62*Q27+Q64*Q29+Q65*Q30+Q66*Q31)/(Q27+Q29+Q30+Q31))</f>
        <v>344.14057839029442</v>
      </c>
      <c r="R61" s="29">
        <f t="shared" ref="R61" si="88">IF(R26=0,0,(R62*R27+R64*R29+R65*R30+R66*R31)/(R27+R29+R30+R31))</f>
        <v>344.54003010756742</v>
      </c>
      <c r="S61" s="29">
        <f t="shared" ref="S61" si="89">IF(S26=0,0,(S62*S27+S64*S29+S65*S30+S66*S31)/(S27+S29+S30+S31))</f>
        <v>341.8479425761534</v>
      </c>
      <c r="T61" s="29">
        <f t="shared" ref="T61" si="90">IF(T26=0,0,(T62*T27+T64*T29+T65*T30+T66*T31)/(T27+T29+T30+T31))</f>
        <v>345.95188220769438</v>
      </c>
      <c r="U61" s="29">
        <f t="shared" ref="U61" si="91">IF(U26=0,0,(U62*U27+U64*U29+U65*U30+U66*U31)/(U27+U29+U30+U31))</f>
        <v>343.92021281984916</v>
      </c>
      <c r="V61" s="29">
        <f t="shared" ref="V61" si="92">IF(V26=0,0,(V62*V27+V64*V29+V65*V30+V66*V31)/(V27+V29+V30+V31))</f>
        <v>351.14199837835127</v>
      </c>
      <c r="W61" s="29">
        <f t="shared" ref="W61:Y61" si="93">IF(W26=0,0,(W62*W27+W64*W29+W65*W30+W66*W31)/(W27+W29+W30+W31))</f>
        <v>350.17977671848934</v>
      </c>
      <c r="X61" s="29">
        <f t="shared" si="93"/>
        <v>349.51349854181672</v>
      </c>
      <c r="Y61" s="29">
        <f t="shared" si="93"/>
        <v>345.40943806807849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320.00000000000006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319.99999999999994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320.00000000000006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0.3236130867323071</v>
      </c>
      <c r="C72" s="30">
        <f t="shared" ref="C72:J72" si="138">IF(C50=0,0,C50/C61)</f>
        <v>0.29951175830012622</v>
      </c>
      <c r="D72" s="30">
        <f t="shared" si="138"/>
        <v>0.28686971438841941</v>
      </c>
      <c r="E72" s="30">
        <f t="shared" si="138"/>
        <v>0.28103154862289031</v>
      </c>
      <c r="F72" s="30">
        <f t="shared" si="138"/>
        <v>0.3243250622398885</v>
      </c>
      <c r="G72" s="30">
        <f t="shared" si="138"/>
        <v>0.37883977834509619</v>
      </c>
      <c r="H72" s="30">
        <f t="shared" si="138"/>
        <v>0.37007971286425789</v>
      </c>
      <c r="I72" s="30">
        <f t="shared" si="138"/>
        <v>0.35924996566362161</v>
      </c>
      <c r="J72" s="30">
        <f t="shared" si="138"/>
        <v>0.4296594827132032</v>
      </c>
      <c r="K72" s="30">
        <f t="shared" ref="K72:V72" si="139">IF(K50=0,0,K50/K61)</f>
        <v>0.400512124229428</v>
      </c>
      <c r="L72" s="30">
        <f t="shared" si="139"/>
        <v>0.34413531648318413</v>
      </c>
      <c r="M72" s="30">
        <f t="shared" si="139"/>
        <v>0.35705102658394766</v>
      </c>
      <c r="N72" s="30">
        <f t="shared" si="139"/>
        <v>0.36714312791254078</v>
      </c>
      <c r="O72" s="30">
        <f t="shared" si="139"/>
        <v>0.32168449121844533</v>
      </c>
      <c r="P72" s="30">
        <f t="shared" si="139"/>
        <v>0.3417606770698875</v>
      </c>
      <c r="Q72" s="30">
        <f t="shared" si="139"/>
        <v>0.34285818187164385</v>
      </c>
      <c r="R72" s="30">
        <f t="shared" si="139"/>
        <v>0.37490165347889309</v>
      </c>
      <c r="S72" s="30">
        <f t="shared" si="139"/>
        <v>0.37571549841502017</v>
      </c>
      <c r="T72" s="30">
        <f t="shared" si="139"/>
        <v>0.377090910455743</v>
      </c>
      <c r="U72" s="30">
        <f t="shared" si="139"/>
        <v>0.29542381081251429</v>
      </c>
      <c r="V72" s="30">
        <f t="shared" si="139"/>
        <v>0.18398035713631486</v>
      </c>
      <c r="W72" s="30">
        <f t="shared" ref="W72:Y72" si="140">IF(W50=0,0,W50/W61)</f>
        <v>0.26673315643006368</v>
      </c>
      <c r="X72" s="30">
        <f t="shared" si="140"/>
        <v>0.29145485368288898</v>
      </c>
      <c r="Y72" s="30">
        <f t="shared" si="140"/>
        <v>0.24047899639377865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0.19770721286336418</v>
      </c>
      <c r="C73" s="118">
        <f t="shared" si="141"/>
        <v>0.18578391431277697</v>
      </c>
      <c r="D73" s="118">
        <f t="shared" si="141"/>
        <v>0.17837349007270176</v>
      </c>
      <c r="E73" s="118">
        <f t="shared" si="141"/>
        <v>0.17620124415484284</v>
      </c>
      <c r="F73" s="118">
        <f t="shared" si="141"/>
        <v>0.19722469185123873</v>
      </c>
      <c r="G73" s="118">
        <f t="shared" si="141"/>
        <v>0.21309406904909736</v>
      </c>
      <c r="H73" s="118">
        <f t="shared" si="141"/>
        <v>0.21501931757102338</v>
      </c>
      <c r="I73" s="118">
        <f t="shared" si="141"/>
        <v>0.21201854111676061</v>
      </c>
      <c r="J73" s="118">
        <f t="shared" si="141"/>
        <v>0.25259433120487523</v>
      </c>
      <c r="K73" s="118">
        <f t="shared" ref="K73:V73" si="142">IF(K51=0,0,K51/K62)</f>
        <v>0.22548955019232897</v>
      </c>
      <c r="L73" s="118">
        <f t="shared" si="142"/>
        <v>0.20767560775749783</v>
      </c>
      <c r="M73" s="118">
        <f t="shared" si="142"/>
        <v>0.20912820924550674</v>
      </c>
      <c r="N73" s="118">
        <f t="shared" si="142"/>
        <v>0.21378818293652257</v>
      </c>
      <c r="O73" s="118">
        <f t="shared" si="142"/>
        <v>0.20248884869338749</v>
      </c>
      <c r="P73" s="118">
        <f t="shared" si="142"/>
        <v>0.19992209934432817</v>
      </c>
      <c r="Q73" s="118">
        <f t="shared" si="142"/>
        <v>0.19813974787484173</v>
      </c>
      <c r="R73" s="118">
        <f t="shared" si="142"/>
        <v>0.20144530699773433</v>
      </c>
      <c r="S73" s="118">
        <f t="shared" si="142"/>
        <v>0.20818387834514029</v>
      </c>
      <c r="T73" s="118">
        <f t="shared" si="142"/>
        <v>0.19520317661223063</v>
      </c>
      <c r="U73" s="118">
        <f t="shared" si="142"/>
        <v>0.19110086864031203</v>
      </c>
      <c r="V73" s="118">
        <f t="shared" si="142"/>
        <v>0.1112901107149559</v>
      </c>
      <c r="W73" s="118">
        <f t="shared" ref="W73:Y73" si="143">IF(W51=0,0,W51/W62)</f>
        <v>0.12432877186904558</v>
      </c>
      <c r="X73" s="118">
        <f t="shared" si="143"/>
        <v>0.16362928348909658</v>
      </c>
      <c r="Y73" s="118">
        <f t="shared" si="143"/>
        <v>0.16757384666445405</v>
      </c>
      <c r="DA73" s="203"/>
    </row>
    <row r="74" spans="1:105" ht="11.45" customHeight="1" x14ac:dyDescent="0.25">
      <c r="A74" s="109" t="s">
        <v>24</v>
      </c>
      <c r="B74" s="119">
        <f t="shared" si="141"/>
        <v>0.44909584504355654</v>
      </c>
      <c r="C74" s="119">
        <f t="shared" si="141"/>
        <v>0.42554709942198149</v>
      </c>
      <c r="D74" s="119">
        <f t="shared" si="141"/>
        <v>0.42472970509550551</v>
      </c>
      <c r="E74" s="119">
        <f t="shared" si="141"/>
        <v>0.41253674946255553</v>
      </c>
      <c r="F74" s="119">
        <f t="shared" si="141"/>
        <v>0.46671696094584075</v>
      </c>
      <c r="G74" s="119">
        <f t="shared" si="141"/>
        <v>0.51965223669021743</v>
      </c>
      <c r="H74" s="119">
        <f t="shared" si="141"/>
        <v>0.48908197863138003</v>
      </c>
      <c r="I74" s="119">
        <f t="shared" si="141"/>
        <v>0.46166834741687757</v>
      </c>
      <c r="J74" s="119">
        <f t="shared" si="141"/>
        <v>0.5391337216953237</v>
      </c>
      <c r="K74" s="119">
        <f t="shared" ref="K74:V74" si="144">IF(K52=0,0,K52/K63)</f>
        <v>0.52594330727718652</v>
      </c>
      <c r="L74" s="119">
        <f t="shared" si="144"/>
        <v>0.4368054974516139</v>
      </c>
      <c r="M74" s="119">
        <f t="shared" si="144"/>
        <v>0.45034430892784733</v>
      </c>
      <c r="N74" s="119">
        <f t="shared" si="144"/>
        <v>0.52309283745412016</v>
      </c>
      <c r="O74" s="119">
        <f t="shared" si="144"/>
        <v>0.41369331968868589</v>
      </c>
      <c r="P74" s="119">
        <f t="shared" si="144"/>
        <v>0.41307479227104132</v>
      </c>
      <c r="Q74" s="119">
        <f t="shared" si="144"/>
        <v>0.4070861158900721</v>
      </c>
      <c r="R74" s="119">
        <f t="shared" si="144"/>
        <v>0.45295020551600951</v>
      </c>
      <c r="S74" s="119">
        <f t="shared" si="144"/>
        <v>0.44025306814944126</v>
      </c>
      <c r="T74" s="119">
        <f t="shared" si="144"/>
        <v>0.47126759558139159</v>
      </c>
      <c r="U74" s="119">
        <f t="shared" si="144"/>
        <v>0.3426387413877261</v>
      </c>
      <c r="V74" s="119">
        <f t="shared" si="144"/>
        <v>0.23334267774365477</v>
      </c>
      <c r="W74" s="119">
        <f t="shared" ref="W74:Y74" si="145">IF(W52=0,0,W52/W63)</f>
        <v>0.36440782148919104</v>
      </c>
      <c r="X74" s="119">
        <f t="shared" si="145"/>
        <v>0.36406400381909254</v>
      </c>
      <c r="Y74" s="119">
        <f t="shared" si="145"/>
        <v>0.27667724017861983</v>
      </c>
      <c r="DA74" s="176"/>
    </row>
    <row r="75" spans="1:105" ht="11.45" customHeight="1" x14ac:dyDescent="0.25">
      <c r="A75" s="111" t="s">
        <v>92</v>
      </c>
      <c r="B75" s="120">
        <f t="shared" si="141"/>
        <v>0.43426293985952374</v>
      </c>
      <c r="C75" s="120">
        <f t="shared" si="141"/>
        <v>0.43556061719286321</v>
      </c>
      <c r="D75" s="120">
        <f t="shared" si="141"/>
        <v>0.43604336135862576</v>
      </c>
      <c r="E75" s="120">
        <f t="shared" si="141"/>
        <v>0.43770446838229954</v>
      </c>
      <c r="F75" s="120">
        <f t="shared" si="141"/>
        <v>0.43782486905595935</v>
      </c>
      <c r="G75" s="120">
        <f t="shared" si="141"/>
        <v>0.44133412075021694</v>
      </c>
      <c r="H75" s="120">
        <f t="shared" si="141"/>
        <v>0.4425741884160021</v>
      </c>
      <c r="I75" s="120">
        <f t="shared" si="141"/>
        <v>0.44463382278134195</v>
      </c>
      <c r="J75" s="120">
        <f t="shared" si="141"/>
        <v>0.42983281711336591</v>
      </c>
      <c r="K75" s="120">
        <f t="shared" ref="K75:V75" si="146">IF(K53=0,0,K53/K64)</f>
        <v>0.43235702273269433</v>
      </c>
      <c r="L75" s="120">
        <f t="shared" si="146"/>
        <v>0.43364132696903324</v>
      </c>
      <c r="M75" s="120">
        <f t="shared" si="146"/>
        <v>0.43239366465252277</v>
      </c>
      <c r="N75" s="120">
        <f t="shared" si="146"/>
        <v>0.4290559841407327</v>
      </c>
      <c r="O75" s="120">
        <f t="shared" si="146"/>
        <v>0.43214014200612738</v>
      </c>
      <c r="P75" s="120">
        <f t="shared" si="146"/>
        <v>0.43488949171875496</v>
      </c>
      <c r="Q75" s="120">
        <f t="shared" si="146"/>
        <v>0.43661911916802276</v>
      </c>
      <c r="R75" s="120">
        <f t="shared" si="146"/>
        <v>0.44149814411210897</v>
      </c>
      <c r="S75" s="120">
        <f t="shared" si="146"/>
        <v>0.44135375497552287</v>
      </c>
      <c r="T75" s="120">
        <f t="shared" si="146"/>
        <v>0.4482484041859866</v>
      </c>
      <c r="U75" s="120">
        <f t="shared" si="146"/>
        <v>0.33107459532021616</v>
      </c>
      <c r="V75" s="120">
        <f t="shared" si="146"/>
        <v>0.22594420465320136</v>
      </c>
      <c r="W75" s="120">
        <f t="shared" ref="W75:Y75" si="147">IF(W53=0,0,W53/W64)</f>
        <v>0.39760286655977789</v>
      </c>
      <c r="X75" s="120">
        <f t="shared" si="147"/>
        <v>0.36294804953613236</v>
      </c>
      <c r="Y75" s="120">
        <f t="shared" si="147"/>
        <v>0.30941312968557461</v>
      </c>
      <c r="DA75" s="171"/>
    </row>
    <row r="76" spans="1:105" ht="11.45" customHeight="1" x14ac:dyDescent="0.25">
      <c r="A76" s="111" t="s">
        <v>93</v>
      </c>
      <c r="B76" s="120">
        <f t="shared" si="141"/>
        <v>0.48572623879463039</v>
      </c>
      <c r="C76" s="120">
        <f t="shared" si="141"/>
        <v>0.41418663422442636</v>
      </c>
      <c r="D76" s="120">
        <f t="shared" si="141"/>
        <v>0.41150268885734531</v>
      </c>
      <c r="E76" s="120">
        <f t="shared" si="141"/>
        <v>0.38769975808531643</v>
      </c>
      <c r="F76" s="120">
        <f t="shared" si="141"/>
        <v>0.50654729106301633</v>
      </c>
      <c r="G76" s="120">
        <f t="shared" si="141"/>
        <v>0.63316239954190989</v>
      </c>
      <c r="H76" s="120">
        <f t="shared" si="141"/>
        <v>0.56466100292991739</v>
      </c>
      <c r="I76" s="120">
        <f t="shared" si="141"/>
        <v>0.49933425125228181</v>
      </c>
      <c r="J76" s="120">
        <f t="shared" si="141"/>
        <v>0.69046630537811127</v>
      </c>
      <c r="K76" s="120">
        <f t="shared" ref="K76:V76" si="148">IF(K54=0,0,K54/K65)</f>
        <v>0.66913710293919848</v>
      </c>
      <c r="L76" s="120">
        <f t="shared" si="148"/>
        <v>0.44152092341403304</v>
      </c>
      <c r="M76" s="120">
        <f t="shared" si="148"/>
        <v>0.48218247603949915</v>
      </c>
      <c r="N76" s="120">
        <f t="shared" si="148"/>
        <v>0.67297890082583212</v>
      </c>
      <c r="O76" s="120">
        <f t="shared" si="148"/>
        <v>0.37366419869678813</v>
      </c>
      <c r="P76" s="120">
        <f t="shared" si="148"/>
        <v>0.37409253960061817</v>
      </c>
      <c r="Q76" s="120">
        <f t="shared" si="148"/>
        <v>0.35485537871514677</v>
      </c>
      <c r="R76" s="120">
        <f t="shared" si="148"/>
        <v>0.47526091136184495</v>
      </c>
      <c r="S76" s="120">
        <f t="shared" si="148"/>
        <v>0.43791257873109457</v>
      </c>
      <c r="T76" s="120">
        <f t="shared" si="148"/>
        <v>0.57749520196613502</v>
      </c>
      <c r="U76" s="120">
        <f t="shared" si="148"/>
        <v>0.39484759476241593</v>
      </c>
      <c r="V76" s="120">
        <f t="shared" si="148"/>
        <v>0.28800234856533846</v>
      </c>
      <c r="W76" s="120">
        <f t="shared" ref="W76:Y76" si="149">IF(W54=0,0,W54/W65)</f>
        <v>0.28005868459368355</v>
      </c>
      <c r="X76" s="120">
        <f t="shared" si="149"/>
        <v>0.36852612694938824</v>
      </c>
      <c r="Y76" s="120">
        <f t="shared" si="149"/>
        <v>0.21064684111563969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0.45450810511814593</v>
      </c>
      <c r="C78" s="30">
        <f t="shared" si="141"/>
        <v>0.49904041832715057</v>
      </c>
      <c r="D78" s="30">
        <f t="shared" si="141"/>
        <v>0.43745787358953531</v>
      </c>
      <c r="E78" s="30">
        <f t="shared" si="141"/>
        <v>0.49146650163375938</v>
      </c>
      <c r="F78" s="30">
        <f t="shared" si="141"/>
        <v>0.61940319707451497</v>
      </c>
      <c r="G78" s="30">
        <f t="shared" si="141"/>
        <v>0.58361169354954756</v>
      </c>
      <c r="H78" s="30">
        <f t="shared" si="141"/>
        <v>0.54263341381654373</v>
      </c>
      <c r="I78" s="30">
        <f t="shared" si="141"/>
        <v>0.52396171091849353</v>
      </c>
      <c r="J78" s="30">
        <f t="shared" si="141"/>
        <v>0.51515823180956644</v>
      </c>
      <c r="K78" s="30">
        <f t="shared" ref="K78:V78" si="152">IF(K56=0,0,K56/K67)</f>
        <v>0.36593692025066282</v>
      </c>
      <c r="L78" s="30">
        <f t="shared" si="152"/>
        <v>0.27612027981930276</v>
      </c>
      <c r="M78" s="30">
        <f t="shared" si="152"/>
        <v>0.38540327584317513</v>
      </c>
      <c r="N78" s="30">
        <f t="shared" si="152"/>
        <v>0.35160542986740362</v>
      </c>
      <c r="O78" s="30">
        <f t="shared" si="152"/>
        <v>0.37991446940151913</v>
      </c>
      <c r="P78" s="30">
        <f t="shared" si="152"/>
        <v>0.34973241959138313</v>
      </c>
      <c r="Q78" s="30">
        <f t="shared" si="152"/>
        <v>0.34913121945280973</v>
      </c>
      <c r="R78" s="30">
        <f t="shared" si="152"/>
        <v>0.34091555783561717</v>
      </c>
      <c r="S78" s="30">
        <f t="shared" si="152"/>
        <v>0.33104136741985263</v>
      </c>
      <c r="T78" s="30">
        <f t="shared" si="152"/>
        <v>0.41977596283078172</v>
      </c>
      <c r="U78" s="30">
        <f t="shared" si="152"/>
        <v>0.33068777120579468</v>
      </c>
      <c r="V78" s="30">
        <f t="shared" si="152"/>
        <v>0.31434163414020411</v>
      </c>
      <c r="W78" s="30">
        <f t="shared" ref="W78:Y78" si="153">IF(W56=0,0,W56/W67)</f>
        <v>0.327091465464872</v>
      </c>
      <c r="X78" s="30">
        <f t="shared" si="153"/>
        <v>0.25801663295841903</v>
      </c>
      <c r="Y78" s="30">
        <f t="shared" si="153"/>
        <v>0.14423012157226855</v>
      </c>
      <c r="DA78" s="173"/>
    </row>
    <row r="79" spans="1:105" ht="11.45" customHeight="1" x14ac:dyDescent="0.25">
      <c r="A79" s="83" t="s">
        <v>92</v>
      </c>
      <c r="B79" s="120">
        <f t="shared" si="141"/>
        <v>0.45450810511814593</v>
      </c>
      <c r="C79" s="120">
        <f t="shared" si="141"/>
        <v>0.49904041832715057</v>
      </c>
      <c r="D79" s="120">
        <f t="shared" si="141"/>
        <v>0.43745787358953531</v>
      </c>
      <c r="E79" s="120">
        <f t="shared" si="141"/>
        <v>0.49146650163375938</v>
      </c>
      <c r="F79" s="120">
        <f t="shared" si="141"/>
        <v>0.61940319707451497</v>
      </c>
      <c r="G79" s="120">
        <f t="shared" si="141"/>
        <v>0.58361169354954756</v>
      </c>
      <c r="H79" s="120">
        <f t="shared" si="141"/>
        <v>0.54263341381654373</v>
      </c>
      <c r="I79" s="120">
        <f t="shared" si="141"/>
        <v>0.52396171091849353</v>
      </c>
      <c r="J79" s="120">
        <f t="shared" si="141"/>
        <v>0.51515823180956644</v>
      </c>
      <c r="K79" s="120">
        <f t="shared" ref="K79:V79" si="154">IF(K57=0,0,K57/K68)</f>
        <v>0.36593692025066282</v>
      </c>
      <c r="L79" s="120">
        <f t="shared" si="154"/>
        <v>0.27612027981930276</v>
      </c>
      <c r="M79" s="120">
        <f t="shared" si="154"/>
        <v>0.38540327584317513</v>
      </c>
      <c r="N79" s="120">
        <f t="shared" si="154"/>
        <v>0.35160542986740362</v>
      </c>
      <c r="O79" s="120">
        <f t="shared" si="154"/>
        <v>0.37991446940151913</v>
      </c>
      <c r="P79" s="120">
        <f t="shared" si="154"/>
        <v>0.34973241959138313</v>
      </c>
      <c r="Q79" s="120">
        <f t="shared" si="154"/>
        <v>0.34913121945280973</v>
      </c>
      <c r="R79" s="120">
        <f t="shared" si="154"/>
        <v>0.34091555783561717</v>
      </c>
      <c r="S79" s="120">
        <f t="shared" si="154"/>
        <v>0.33104136741985263</v>
      </c>
      <c r="T79" s="120">
        <f t="shared" si="154"/>
        <v>0.41977596283078172</v>
      </c>
      <c r="U79" s="120">
        <f t="shared" si="154"/>
        <v>0.33068777120579468</v>
      </c>
      <c r="V79" s="120">
        <f t="shared" si="154"/>
        <v>0.31434163414020411</v>
      </c>
      <c r="W79" s="120">
        <f t="shared" ref="W79:Y79" si="155">IF(W57=0,0,W57/W68)</f>
        <v>0.327091465464872</v>
      </c>
      <c r="X79" s="120">
        <f t="shared" si="155"/>
        <v>0.25801663295841903</v>
      </c>
      <c r="Y79" s="120">
        <f t="shared" si="155"/>
        <v>0.14423012157226855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:Y80" si="157">IF(W58=0,0,W58/W69)</f>
        <v>0</v>
      </c>
      <c r="X80" s="122">
        <f t="shared" si="157"/>
        <v>0</v>
      </c>
      <c r="Y80" s="122">
        <f t="shared" si="157"/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174640.32662983911</v>
      </c>
      <c r="C82" s="54">
        <f t="shared" si="158"/>
        <v>167998.17507932812</v>
      </c>
      <c r="D82" s="54">
        <f t="shared" si="158"/>
        <v>174328.90803011283</v>
      </c>
      <c r="E82" s="54">
        <f t="shared" si="158"/>
        <v>169477.29584503983</v>
      </c>
      <c r="F82" s="54">
        <f t="shared" si="158"/>
        <v>161276.37723527983</v>
      </c>
      <c r="G82" s="54">
        <f t="shared" si="158"/>
        <v>175558.87440298291</v>
      </c>
      <c r="H82" s="54">
        <f t="shared" si="158"/>
        <v>179745.6173962818</v>
      </c>
      <c r="I82" s="54">
        <f t="shared" si="158"/>
        <v>167677.26376813359</v>
      </c>
      <c r="J82" s="54">
        <f t="shared" si="158"/>
        <v>137675.94171371945</v>
      </c>
      <c r="K82" s="54">
        <f t="shared" ref="K82:V82" si="159">IF(K14=0,0,K14/K25*1000000)</f>
        <v>176264.19439693636</v>
      </c>
      <c r="L82" s="54">
        <f t="shared" si="159"/>
        <v>183134.25566995042</v>
      </c>
      <c r="M82" s="54">
        <f t="shared" si="159"/>
        <v>142568.88432279401</v>
      </c>
      <c r="N82" s="54">
        <f t="shared" si="159"/>
        <v>136812.05303587765</v>
      </c>
      <c r="O82" s="54">
        <f t="shared" si="159"/>
        <v>132387.85180863121</v>
      </c>
      <c r="P82" s="54">
        <f t="shared" si="159"/>
        <v>117854.98141448249</v>
      </c>
      <c r="Q82" s="54">
        <f t="shared" si="159"/>
        <v>125354.92703431989</v>
      </c>
      <c r="R82" s="54">
        <f t="shared" si="159"/>
        <v>116710.44789831528</v>
      </c>
      <c r="S82" s="54">
        <f t="shared" si="159"/>
        <v>129647.87470844705</v>
      </c>
      <c r="T82" s="54">
        <f t="shared" si="159"/>
        <v>126893.76845020003</v>
      </c>
      <c r="U82" s="54">
        <f t="shared" si="159"/>
        <v>145419.27380140361</v>
      </c>
      <c r="V82" s="54">
        <f t="shared" si="159"/>
        <v>141144.3204564089</v>
      </c>
      <c r="W82" s="54">
        <f t="shared" ref="W82:Y82" si="160">IF(W14=0,0,W14/W25*1000000)</f>
        <v>125908.85335146499</v>
      </c>
      <c r="X82" s="54">
        <f t="shared" si="160"/>
        <v>142716.87926502523</v>
      </c>
      <c r="Y82" s="54">
        <f t="shared" si="160"/>
        <v>151115.18186997829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130059.60378125153</v>
      </c>
      <c r="C83" s="28">
        <f t="shared" si="161"/>
        <v>110638.64597395463</v>
      </c>
      <c r="D83" s="28">
        <f t="shared" si="161"/>
        <v>114561.13026865949</v>
      </c>
      <c r="E83" s="28">
        <f t="shared" si="161"/>
        <v>119050.54649525613</v>
      </c>
      <c r="F83" s="28">
        <f t="shared" si="161"/>
        <v>115885.99149596621</v>
      </c>
      <c r="G83" s="28">
        <f t="shared" si="161"/>
        <v>121350.68515077182</v>
      </c>
      <c r="H83" s="28">
        <f t="shared" si="161"/>
        <v>131949.0593397842</v>
      </c>
      <c r="I83" s="28">
        <f t="shared" si="161"/>
        <v>133715.99487933645</v>
      </c>
      <c r="J83" s="28">
        <f t="shared" si="161"/>
        <v>118649.82003329984</v>
      </c>
      <c r="K83" s="28">
        <f t="shared" ref="K83:V83" si="162">IF(K15=0,0,K15/K26*1000000)</f>
        <v>125587.29921855927</v>
      </c>
      <c r="L83" s="28">
        <f t="shared" si="162"/>
        <v>133989.06541074757</v>
      </c>
      <c r="M83" s="28">
        <f t="shared" si="162"/>
        <v>132209.57678891212</v>
      </c>
      <c r="N83" s="28">
        <f t="shared" si="162"/>
        <v>123099.24356069423</v>
      </c>
      <c r="O83" s="28">
        <f t="shared" si="162"/>
        <v>131058.15978311359</v>
      </c>
      <c r="P83" s="28">
        <f t="shared" si="162"/>
        <v>132328.21954966994</v>
      </c>
      <c r="Q83" s="28">
        <f t="shared" si="162"/>
        <v>137929.69830524994</v>
      </c>
      <c r="R83" s="28">
        <f t="shared" si="162"/>
        <v>137674.15713101483</v>
      </c>
      <c r="S83" s="28">
        <f t="shared" si="162"/>
        <v>139076.02099298508</v>
      </c>
      <c r="T83" s="28">
        <f t="shared" si="162"/>
        <v>127520.55345281518</v>
      </c>
      <c r="U83" s="28">
        <f t="shared" si="162"/>
        <v>135795.41497823631</v>
      </c>
      <c r="V83" s="28">
        <f t="shared" si="162"/>
        <v>128266.4818087966</v>
      </c>
      <c r="W83" s="28">
        <f t="shared" ref="W83:Y83" si="163">IF(W15=0,0,W15/W26*1000000)</f>
        <v>96794.022836412259</v>
      </c>
      <c r="X83" s="28">
        <f t="shared" si="163"/>
        <v>124329.77122473484</v>
      </c>
      <c r="Y83" s="28">
        <f t="shared" si="163"/>
        <v>137295.27543371092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109999.99823675203</v>
      </c>
      <c r="C84" s="108">
        <f t="shared" si="161"/>
        <v>108823.3227109111</v>
      </c>
      <c r="D84" s="108">
        <f t="shared" si="161"/>
        <v>109999.99909378747</v>
      </c>
      <c r="E84" s="108">
        <f t="shared" si="161"/>
        <v>109999.998212911</v>
      </c>
      <c r="F84" s="108">
        <f t="shared" si="161"/>
        <v>97608.573534890718</v>
      </c>
      <c r="G84" s="108">
        <f t="shared" si="161"/>
        <v>91762.760585460477</v>
      </c>
      <c r="H84" s="108">
        <f t="shared" si="161"/>
        <v>108489.83308253506</v>
      </c>
      <c r="I84" s="108">
        <f t="shared" si="161"/>
        <v>109999.99396111883</v>
      </c>
      <c r="J84" s="108">
        <f t="shared" si="161"/>
        <v>97593.4657232358</v>
      </c>
      <c r="K84" s="108">
        <f t="shared" ref="K84:V84" si="164">IF(K16=0,0,K16/K27*1000000)</f>
        <v>109999.99680662944</v>
      </c>
      <c r="L84" s="108">
        <f t="shared" si="164"/>
        <v>109999.99537771539</v>
      </c>
      <c r="M84" s="108">
        <f t="shared" si="164"/>
        <v>109999.99134081593</v>
      </c>
      <c r="N84" s="108">
        <f t="shared" si="164"/>
        <v>109999.98910859982</v>
      </c>
      <c r="O84" s="108">
        <f t="shared" si="164"/>
        <v>108524.44640715238</v>
      </c>
      <c r="P84" s="108">
        <f t="shared" si="164"/>
        <v>98676.14937131344</v>
      </c>
      <c r="Q84" s="108">
        <f t="shared" si="164"/>
        <v>109999.98850052184</v>
      </c>
      <c r="R84" s="108">
        <f t="shared" si="164"/>
        <v>109999.98700286886</v>
      </c>
      <c r="S84" s="108">
        <f t="shared" si="164"/>
        <v>109999.99452972889</v>
      </c>
      <c r="T84" s="108">
        <f t="shared" si="164"/>
        <v>109999.99290649952</v>
      </c>
      <c r="U84" s="108">
        <f t="shared" si="164"/>
        <v>109999.98968960927</v>
      </c>
      <c r="V84" s="108">
        <f t="shared" si="164"/>
        <v>109999.99688127602</v>
      </c>
      <c r="W84" s="108">
        <f t="shared" ref="W84:Y84" si="165">IF(W16=0,0,W16/W27*1000000)</f>
        <v>89029.112449157808</v>
      </c>
      <c r="X84" s="108">
        <f t="shared" si="165"/>
        <v>96603.927043222895</v>
      </c>
      <c r="Y84" s="108">
        <f t="shared" si="165"/>
        <v>109999.99875080559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149999.99315045791</v>
      </c>
      <c r="C85" s="110">
        <f t="shared" si="161"/>
        <v>112284.79543154294</v>
      </c>
      <c r="D85" s="110">
        <f t="shared" si="161"/>
        <v>119489.50071698337</v>
      </c>
      <c r="E85" s="110">
        <f t="shared" si="161"/>
        <v>129273.84031634734</v>
      </c>
      <c r="F85" s="110">
        <f t="shared" si="161"/>
        <v>136849.33751905078</v>
      </c>
      <c r="G85" s="110">
        <f t="shared" si="161"/>
        <v>149999.98142129707</v>
      </c>
      <c r="H85" s="110">
        <f t="shared" si="161"/>
        <v>149999.98367457924</v>
      </c>
      <c r="I85" s="110">
        <f t="shared" si="161"/>
        <v>149999.98694631178</v>
      </c>
      <c r="J85" s="110">
        <f t="shared" si="161"/>
        <v>131337.17431330259</v>
      </c>
      <c r="K85" s="110">
        <f t="shared" ref="K85:V85" si="166">IF(K17=0,0,K17/K28*1000000)</f>
        <v>135960.24269160285</v>
      </c>
      <c r="L85" s="110">
        <f t="shared" si="166"/>
        <v>149999.98345505385</v>
      </c>
      <c r="M85" s="110">
        <f t="shared" si="166"/>
        <v>145737.51192466676</v>
      </c>
      <c r="N85" s="110">
        <f t="shared" si="166"/>
        <v>135520.09939701483</v>
      </c>
      <c r="O85" s="110">
        <f t="shared" si="166"/>
        <v>148138.59019008209</v>
      </c>
      <c r="P85" s="110">
        <f t="shared" si="166"/>
        <v>149999.99371419597</v>
      </c>
      <c r="Q85" s="110">
        <f t="shared" si="166"/>
        <v>149999.98706817665</v>
      </c>
      <c r="R85" s="110">
        <f t="shared" si="166"/>
        <v>149919.4751408126</v>
      </c>
      <c r="S85" s="110">
        <f t="shared" si="166"/>
        <v>149999.99143622923</v>
      </c>
      <c r="T85" s="110">
        <f t="shared" si="166"/>
        <v>135933.27052944005</v>
      </c>
      <c r="U85" s="110">
        <f t="shared" si="166"/>
        <v>146798.16826437705</v>
      </c>
      <c r="V85" s="110">
        <f t="shared" si="166"/>
        <v>139909.50495976739</v>
      </c>
      <c r="W85" s="110">
        <f t="shared" ref="W85:Y85" si="167">IF(W17=0,0,W17/W28*1000000)</f>
        <v>101497.80066579398</v>
      </c>
      <c r="X85" s="110">
        <f t="shared" si="167"/>
        <v>140537.7998697669</v>
      </c>
      <c r="Y85" s="110">
        <f t="shared" si="167"/>
        <v>149999.99247418155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149999.99161504989</v>
      </c>
      <c r="C86" s="84">
        <f t="shared" si="161"/>
        <v>91914.405587396352</v>
      </c>
      <c r="D86" s="84">
        <f t="shared" si="161"/>
        <v>101781.5610555173</v>
      </c>
      <c r="E86" s="84">
        <f t="shared" si="161"/>
        <v>113396.69629799439</v>
      </c>
      <c r="F86" s="84">
        <f t="shared" si="161"/>
        <v>144848.35094829716</v>
      </c>
      <c r="G86" s="84">
        <f t="shared" si="161"/>
        <v>149999.98132534412</v>
      </c>
      <c r="H86" s="84">
        <f t="shared" si="161"/>
        <v>149999.97914534391</v>
      </c>
      <c r="I86" s="84">
        <f t="shared" si="161"/>
        <v>149999.99320060259</v>
      </c>
      <c r="J86" s="84">
        <f t="shared" si="161"/>
        <v>120508.05845873027</v>
      </c>
      <c r="K86" s="84">
        <f t="shared" ref="K86:V86" si="168">IF(K18=0,0,K18/K29*1000000)</f>
        <v>131761.75867649927</v>
      </c>
      <c r="L86" s="84">
        <f t="shared" si="168"/>
        <v>149999.98446534577</v>
      </c>
      <c r="M86" s="84">
        <f t="shared" si="168"/>
        <v>149999.98292453671</v>
      </c>
      <c r="N86" s="84">
        <f t="shared" si="168"/>
        <v>136355.27999678464</v>
      </c>
      <c r="O86" s="84">
        <f t="shared" si="168"/>
        <v>149999.99735168021</v>
      </c>
      <c r="P86" s="84">
        <f t="shared" si="168"/>
        <v>149999.99128458026</v>
      </c>
      <c r="Q86" s="84">
        <f t="shared" si="168"/>
        <v>149999.98718512192</v>
      </c>
      <c r="R86" s="84">
        <f t="shared" si="168"/>
        <v>149999.98907916865</v>
      </c>
      <c r="S86" s="84">
        <f t="shared" si="168"/>
        <v>149999.98936293946</v>
      </c>
      <c r="T86" s="84">
        <f t="shared" si="168"/>
        <v>149999.9966322727</v>
      </c>
      <c r="U86" s="84">
        <f t="shared" si="168"/>
        <v>149999.9996953471</v>
      </c>
      <c r="V86" s="84">
        <f t="shared" si="168"/>
        <v>149999.99946654055</v>
      </c>
      <c r="W86" s="84">
        <f t="shared" ref="W86:Y86" si="169">IF(W18=0,0,W18/W29*1000000)</f>
        <v>90040.072090569563</v>
      </c>
      <c r="X86" s="84">
        <f t="shared" si="169"/>
        <v>138355.06894686431</v>
      </c>
      <c r="Y86" s="84">
        <f t="shared" si="169"/>
        <v>149999.99587247625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149999.99694220349</v>
      </c>
      <c r="C87" s="84">
        <f t="shared" si="161"/>
        <v>149999.99902803541</v>
      </c>
      <c r="D87" s="84">
        <f t="shared" si="161"/>
        <v>149999.98037369541</v>
      </c>
      <c r="E87" s="84">
        <f t="shared" si="161"/>
        <v>149999.97413881478</v>
      </c>
      <c r="F87" s="84">
        <f t="shared" si="161"/>
        <v>127167.99442646548</v>
      </c>
      <c r="G87" s="84">
        <f t="shared" si="161"/>
        <v>149999.98156036617</v>
      </c>
      <c r="H87" s="84">
        <f t="shared" si="161"/>
        <v>149999.99103496366</v>
      </c>
      <c r="I87" s="84">
        <f t="shared" si="161"/>
        <v>149999.97311713314</v>
      </c>
      <c r="J87" s="84">
        <f t="shared" si="161"/>
        <v>149999.97352040667</v>
      </c>
      <c r="K87" s="84">
        <f t="shared" ref="K87:V87" si="170">IF(K19=0,0,K19/K30*1000000)</f>
        <v>142928.66485488621</v>
      </c>
      <c r="L87" s="84">
        <f t="shared" si="170"/>
        <v>149999.98194945967</v>
      </c>
      <c r="M87" s="84">
        <f t="shared" si="170"/>
        <v>138744.65708983756</v>
      </c>
      <c r="N87" s="84">
        <f t="shared" si="170"/>
        <v>134209.84394742688</v>
      </c>
      <c r="O87" s="84">
        <f t="shared" si="170"/>
        <v>144254.11084820266</v>
      </c>
      <c r="P87" s="84">
        <f t="shared" si="170"/>
        <v>149999.99805585094</v>
      </c>
      <c r="Q87" s="84">
        <f t="shared" si="170"/>
        <v>149999.98686135252</v>
      </c>
      <c r="R87" s="84">
        <f t="shared" si="170"/>
        <v>149762.86725313647</v>
      </c>
      <c r="S87" s="84">
        <f t="shared" si="170"/>
        <v>149999.995844852</v>
      </c>
      <c r="T87" s="84">
        <f t="shared" si="170"/>
        <v>94874.983457200535</v>
      </c>
      <c r="U87" s="84">
        <f t="shared" si="170"/>
        <v>133894.84307242074</v>
      </c>
      <c r="V87" s="84">
        <f t="shared" si="170"/>
        <v>93460.657794784667</v>
      </c>
      <c r="W87" s="84">
        <f t="shared" ref="W87:Y87" si="171">IF(W19=0,0,W19/W30*1000000)</f>
        <v>149999.9840176031</v>
      </c>
      <c r="X87" s="84">
        <f t="shared" si="171"/>
        <v>149999.98611025076</v>
      </c>
      <c r="Y87" s="84">
        <f t="shared" si="171"/>
        <v>149999.98561960255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199999.9956113837</v>
      </c>
      <c r="C89" s="28">
        <f t="shared" si="161"/>
        <v>199999.99879607599</v>
      </c>
      <c r="D89" s="28">
        <f t="shared" si="161"/>
        <v>199999.99636517934</v>
      </c>
      <c r="E89" s="28">
        <f t="shared" si="161"/>
        <v>193050.34460092595</v>
      </c>
      <c r="F89" s="28">
        <f t="shared" si="161"/>
        <v>182054.1058005227</v>
      </c>
      <c r="G89" s="28">
        <f t="shared" si="161"/>
        <v>199999.99996781637</v>
      </c>
      <c r="H89" s="28">
        <f t="shared" si="161"/>
        <v>199999.99904153659</v>
      </c>
      <c r="I89" s="28">
        <f t="shared" si="161"/>
        <v>184756.68117685121</v>
      </c>
      <c r="J89" s="28">
        <f t="shared" si="161"/>
        <v>147581.09639832666</v>
      </c>
      <c r="K89" s="28">
        <f t="shared" ref="K89:V89" si="174">IF(K21=0,0,K21/K32*1000000)</f>
        <v>199999.99678795884</v>
      </c>
      <c r="L89" s="28">
        <f t="shared" si="174"/>
        <v>199999.99886050422</v>
      </c>
      <c r="M89" s="28">
        <f t="shared" si="174"/>
        <v>146208.24172863457</v>
      </c>
      <c r="N89" s="28">
        <f t="shared" si="174"/>
        <v>142489.0882220802</v>
      </c>
      <c r="O89" s="28">
        <f t="shared" si="174"/>
        <v>132985.10556536051</v>
      </c>
      <c r="P89" s="28">
        <f t="shared" si="174"/>
        <v>110112.69217081566</v>
      </c>
      <c r="Q89" s="28">
        <f t="shared" si="174"/>
        <v>118036.46916533205</v>
      </c>
      <c r="R89" s="28">
        <f t="shared" si="174"/>
        <v>102870.11437096407</v>
      </c>
      <c r="S89" s="28">
        <f t="shared" si="174"/>
        <v>121487.69728984333</v>
      </c>
      <c r="T89" s="28">
        <f t="shared" si="174"/>
        <v>126083.27258652393</v>
      </c>
      <c r="U89" s="28">
        <f t="shared" si="174"/>
        <v>162979.72161123715</v>
      </c>
      <c r="V89" s="28">
        <f t="shared" si="174"/>
        <v>177021.04102525994</v>
      </c>
      <c r="W89" s="28">
        <f t="shared" ref="W89:Y89" si="175">IF(W21=0,0,W21/W32*1000000)</f>
        <v>199999.98812060809</v>
      </c>
      <c r="X89" s="28">
        <f t="shared" si="175"/>
        <v>199999.99759670309</v>
      </c>
      <c r="Y89" s="28">
        <f t="shared" si="175"/>
        <v>199999.98743505194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199999.9956113837</v>
      </c>
      <c r="C90" s="84">
        <f t="shared" si="161"/>
        <v>199999.99879607599</v>
      </c>
      <c r="D90" s="84">
        <f t="shared" si="161"/>
        <v>199999.99636517934</v>
      </c>
      <c r="E90" s="84">
        <f t="shared" si="161"/>
        <v>193050.34460092595</v>
      </c>
      <c r="F90" s="84">
        <f t="shared" si="161"/>
        <v>182054.1058005227</v>
      </c>
      <c r="G90" s="84">
        <f t="shared" si="161"/>
        <v>199999.99996781637</v>
      </c>
      <c r="H90" s="84">
        <f t="shared" si="161"/>
        <v>199999.99904153659</v>
      </c>
      <c r="I90" s="84">
        <f t="shared" si="161"/>
        <v>184756.68117685121</v>
      </c>
      <c r="J90" s="84">
        <f t="shared" si="161"/>
        <v>147581.09639832666</v>
      </c>
      <c r="K90" s="84">
        <f t="shared" ref="K90:V90" si="176">IF(K22=0,0,K22/K33*1000000)</f>
        <v>199999.99678795884</v>
      </c>
      <c r="L90" s="84">
        <f t="shared" si="176"/>
        <v>199999.99886050422</v>
      </c>
      <c r="M90" s="84">
        <f t="shared" si="176"/>
        <v>146208.24172863457</v>
      </c>
      <c r="N90" s="84">
        <f t="shared" si="176"/>
        <v>142489.0882220802</v>
      </c>
      <c r="O90" s="84">
        <f t="shared" si="176"/>
        <v>132985.10556536051</v>
      </c>
      <c r="P90" s="84">
        <f t="shared" si="176"/>
        <v>110112.69217081566</v>
      </c>
      <c r="Q90" s="84">
        <f t="shared" si="176"/>
        <v>118036.46916533205</v>
      </c>
      <c r="R90" s="84">
        <f t="shared" si="176"/>
        <v>102870.11437096407</v>
      </c>
      <c r="S90" s="84">
        <f t="shared" si="176"/>
        <v>121487.69728984333</v>
      </c>
      <c r="T90" s="84">
        <f t="shared" si="176"/>
        <v>126083.27258652393</v>
      </c>
      <c r="U90" s="84">
        <f t="shared" si="176"/>
        <v>162979.72161123715</v>
      </c>
      <c r="V90" s="84">
        <f t="shared" si="176"/>
        <v>177021.04102525994</v>
      </c>
      <c r="W90" s="84">
        <f t="shared" ref="W90:Y90" si="177">IF(W22=0,0,W22/W33*1000000)</f>
        <v>199999.98812060809</v>
      </c>
      <c r="X90" s="84">
        <f t="shared" si="177"/>
        <v>199999.99759670309</v>
      </c>
      <c r="Y90" s="84">
        <f t="shared" si="177"/>
        <v>199999.98743505194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:Y91" si="179">IF(W23=0,0,W23/W34*1000000)</f>
        <v>0</v>
      </c>
      <c r="X91" s="86">
        <f t="shared" si="179"/>
        <v>0</v>
      </c>
      <c r="Y91" s="86">
        <f t="shared" si="179"/>
        <v>0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15147018.652950823</v>
      </c>
      <c r="C94" s="28">
        <f t="shared" si="180"/>
        <v>11864745.353744138</v>
      </c>
      <c r="D94" s="28">
        <f t="shared" si="180"/>
        <v>11881955.78006749</v>
      </c>
      <c r="E94" s="28">
        <f t="shared" si="180"/>
        <v>12125934.935394445</v>
      </c>
      <c r="F94" s="28">
        <f t="shared" si="180"/>
        <v>13633406.38353179</v>
      </c>
      <c r="G94" s="28">
        <f t="shared" si="180"/>
        <v>16520449.869274853</v>
      </c>
      <c r="H94" s="28">
        <f t="shared" si="180"/>
        <v>17324912.682388458</v>
      </c>
      <c r="I94" s="28">
        <f t="shared" si="180"/>
        <v>16936473.025525883</v>
      </c>
      <c r="J94" s="28">
        <f t="shared" si="180"/>
        <v>17846701.567071129</v>
      </c>
      <c r="K94" s="28">
        <f t="shared" ref="K94:V94" si="181">IF(K4=0,0,K4/K26*1000000)</f>
        <v>17703602.017319068</v>
      </c>
      <c r="L94" s="28">
        <f t="shared" si="181"/>
        <v>16231857.349725364</v>
      </c>
      <c r="M94" s="28">
        <f t="shared" si="181"/>
        <v>16535300.988745984</v>
      </c>
      <c r="N94" s="28">
        <f t="shared" si="181"/>
        <v>16222158.260890851</v>
      </c>
      <c r="O94" s="28">
        <f t="shared" si="181"/>
        <v>14945229.488690009</v>
      </c>
      <c r="P94" s="28">
        <f t="shared" si="181"/>
        <v>15717600.794260768</v>
      </c>
      <c r="Q94" s="28">
        <f t="shared" si="181"/>
        <v>16274519.999790097</v>
      </c>
      <c r="R94" s="28">
        <f t="shared" si="181"/>
        <v>17783181.846828204</v>
      </c>
      <c r="S94" s="28">
        <f t="shared" si="181"/>
        <v>17862586.199291326</v>
      </c>
      <c r="T94" s="28">
        <f t="shared" si="181"/>
        <v>16635733.362099539</v>
      </c>
      <c r="U94" s="28">
        <f t="shared" si="181"/>
        <v>13797115.612223187</v>
      </c>
      <c r="V94" s="28">
        <f t="shared" si="181"/>
        <v>8286429.059858378</v>
      </c>
      <c r="W94" s="28">
        <f t="shared" ref="W94:Y94" si="182">IF(W4=0,0,W4/W26*1000000)</f>
        <v>9041002.8389730472</v>
      </c>
      <c r="X94" s="28">
        <f t="shared" si="182"/>
        <v>12665151.230732694</v>
      </c>
      <c r="Y94" s="28">
        <f t="shared" si="182"/>
        <v>11404255.631058104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8699117.2265452873</v>
      </c>
      <c r="C95" s="108">
        <f t="shared" si="180"/>
        <v>8087049.1447022343</v>
      </c>
      <c r="D95" s="108">
        <f t="shared" si="180"/>
        <v>7848433.4985411605</v>
      </c>
      <c r="E95" s="108">
        <f t="shared" si="180"/>
        <v>7752854.6168581629</v>
      </c>
      <c r="F95" s="108">
        <f t="shared" si="180"/>
        <v>7700328.3349831197</v>
      </c>
      <c r="G95" s="108">
        <f t="shared" si="180"/>
        <v>7821640.0161335627</v>
      </c>
      <c r="H95" s="108">
        <f t="shared" si="180"/>
        <v>9330963.9491203688</v>
      </c>
      <c r="I95" s="108">
        <f t="shared" si="180"/>
        <v>9328815.296995556</v>
      </c>
      <c r="J95" s="108">
        <f t="shared" si="180"/>
        <v>9860622.481730666</v>
      </c>
      <c r="K95" s="108">
        <f t="shared" ref="K95:V95" si="183">IF(K5=0,0,K5/K27*1000000)</f>
        <v>9921539.9204337969</v>
      </c>
      <c r="L95" s="108">
        <f t="shared" si="183"/>
        <v>9137726.3573555984</v>
      </c>
      <c r="M95" s="108">
        <f t="shared" si="183"/>
        <v>9201640.4824504331</v>
      </c>
      <c r="N95" s="108">
        <f t="shared" si="183"/>
        <v>9406679.1178259328</v>
      </c>
      <c r="O95" s="108">
        <f t="shared" si="183"/>
        <v>8789996.0832286067</v>
      </c>
      <c r="P95" s="108">
        <f t="shared" si="183"/>
        <v>7891017.1750109978</v>
      </c>
      <c r="Q95" s="108">
        <f t="shared" si="183"/>
        <v>8718147.9950915556</v>
      </c>
      <c r="R95" s="108">
        <f t="shared" si="183"/>
        <v>8863592.4606158827</v>
      </c>
      <c r="S95" s="108">
        <f t="shared" si="183"/>
        <v>9160090.1916572712</v>
      </c>
      <c r="T95" s="108">
        <f t="shared" si="183"/>
        <v>8588939.2170686163</v>
      </c>
      <c r="U95" s="108">
        <f t="shared" si="183"/>
        <v>8408437.4320438784</v>
      </c>
      <c r="V95" s="108">
        <f t="shared" si="183"/>
        <v>4896764.7326248046</v>
      </c>
      <c r="W95" s="108">
        <f t="shared" ref="W95:Y95" si="184">IF(W5=0,0,W5/W27*1000000)</f>
        <v>4427552.0845579775</v>
      </c>
      <c r="X95" s="108">
        <f t="shared" si="184"/>
        <v>6322892.5457262099</v>
      </c>
      <c r="Y95" s="108">
        <f t="shared" si="184"/>
        <v>7373249.1695030527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21556599.577738427</v>
      </c>
      <c r="C96" s="110">
        <f t="shared" si="180"/>
        <v>15290390.081626767</v>
      </c>
      <c r="D96" s="110">
        <f t="shared" si="180"/>
        <v>16240236.928490734</v>
      </c>
      <c r="E96" s="110">
        <f t="shared" si="180"/>
        <v>17065667.159887169</v>
      </c>
      <c r="F96" s="110">
        <f t="shared" si="180"/>
        <v>20438370.212589759</v>
      </c>
      <c r="G96" s="110">
        <f t="shared" si="180"/>
        <v>24943304.271701783</v>
      </c>
      <c r="H96" s="110">
        <f t="shared" si="180"/>
        <v>23475932.419276129</v>
      </c>
      <c r="I96" s="110">
        <f t="shared" si="180"/>
        <v>22160078.747538228</v>
      </c>
      <c r="J96" s="110">
        <f t="shared" si="180"/>
        <v>22658655.867033053</v>
      </c>
      <c r="K96" s="110">
        <f t="shared" ref="K96:V96" si="185">IF(K6=0,0,K6/K28*1000000)</f>
        <v>22882361.503817771</v>
      </c>
      <c r="L96" s="110">
        <f t="shared" si="185"/>
        <v>20966661.565061968</v>
      </c>
      <c r="M96" s="110">
        <f t="shared" si="185"/>
        <v>21002258.909624945</v>
      </c>
      <c r="N96" s="110">
        <f t="shared" si="185"/>
        <v>22684669.864207637</v>
      </c>
      <c r="O96" s="110">
        <f t="shared" si="185"/>
        <v>19610862.447915792</v>
      </c>
      <c r="P96" s="110">
        <f t="shared" si="185"/>
        <v>19827589.198127683</v>
      </c>
      <c r="Q96" s="110">
        <f t="shared" si="185"/>
        <v>19540131.878126424</v>
      </c>
      <c r="R96" s="110">
        <f t="shared" si="185"/>
        <v>21729938.264282674</v>
      </c>
      <c r="S96" s="110">
        <f t="shared" si="185"/>
        <v>21132146.064700741</v>
      </c>
      <c r="T96" s="110">
        <f t="shared" si="185"/>
        <v>20499502.579815697</v>
      </c>
      <c r="U96" s="110">
        <f t="shared" si="185"/>
        <v>16095596.675881531</v>
      </c>
      <c r="V96" s="110">
        <f t="shared" si="185"/>
        <v>10446994.729312411</v>
      </c>
      <c r="W96" s="110">
        <f t="shared" ref="W96:Y96" si="186">IF(W6=0,0,W6/W28*1000000)</f>
        <v>11835709.576501168</v>
      </c>
      <c r="X96" s="110">
        <f t="shared" si="186"/>
        <v>16372721.31472438</v>
      </c>
      <c r="Y96" s="110">
        <f t="shared" si="186"/>
        <v>13280506.862262493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20844619.948049754</v>
      </c>
      <c r="C97" s="84">
        <f t="shared" si="180"/>
        <v>12810974.472499682</v>
      </c>
      <c r="D97" s="84">
        <f t="shared" si="180"/>
        <v>14201975.682232309</v>
      </c>
      <c r="E97" s="84">
        <f t="shared" si="180"/>
        <v>15882957.014215268</v>
      </c>
      <c r="F97" s="84">
        <f t="shared" si="180"/>
        <v>20293827.291811153</v>
      </c>
      <c r="G97" s="84">
        <f t="shared" si="180"/>
        <v>21184035.158646308</v>
      </c>
      <c r="H97" s="84">
        <f t="shared" si="180"/>
        <v>21243558.090453703</v>
      </c>
      <c r="I97" s="84">
        <f t="shared" si="180"/>
        <v>21342422.526066951</v>
      </c>
      <c r="J97" s="84">
        <f t="shared" si="180"/>
        <v>16575461.840697031</v>
      </c>
      <c r="K97" s="84">
        <f t="shared" ref="K97:V97" si="187">IF(K7=0,0,K7/K29*1000000)</f>
        <v>18229798.941246394</v>
      </c>
      <c r="L97" s="84">
        <f t="shared" si="187"/>
        <v>20814781.538843814</v>
      </c>
      <c r="M97" s="84">
        <f t="shared" si="187"/>
        <v>20754893.540658008</v>
      </c>
      <c r="N97" s="84">
        <f t="shared" si="187"/>
        <v>18721295.632577792</v>
      </c>
      <c r="O97" s="84">
        <f t="shared" si="187"/>
        <v>20742726.450071618</v>
      </c>
      <c r="P97" s="84">
        <f t="shared" si="187"/>
        <v>20874694.38962201</v>
      </c>
      <c r="Q97" s="84">
        <f t="shared" si="187"/>
        <v>20957715.929594446</v>
      </c>
      <c r="R97" s="84">
        <f t="shared" si="187"/>
        <v>21191909.374492664</v>
      </c>
      <c r="S97" s="84">
        <f t="shared" si="187"/>
        <v>21184978.736518983</v>
      </c>
      <c r="T97" s="84">
        <f t="shared" si="187"/>
        <v>21515922.917862277</v>
      </c>
      <c r="U97" s="84">
        <f t="shared" si="187"/>
        <v>15891580.54309427</v>
      </c>
      <c r="V97" s="84">
        <f t="shared" si="187"/>
        <v>10845321.784783402</v>
      </c>
      <c r="W97" s="84">
        <f t="shared" ref="W97:Y97" si="188">IF(W7=0,0,W7/W29*1000000)</f>
        <v>11456061.045907043</v>
      </c>
      <c r="X97" s="84">
        <f t="shared" si="188"/>
        <v>16069024.773664484</v>
      </c>
      <c r="Y97" s="84">
        <f t="shared" si="188"/>
        <v>14851829.816232368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23314858.986861624</v>
      </c>
      <c r="C98" s="84">
        <f t="shared" si="180"/>
        <v>19880958.313948546</v>
      </c>
      <c r="D98" s="84">
        <f t="shared" si="180"/>
        <v>19752126.480743904</v>
      </c>
      <c r="E98" s="84">
        <f t="shared" si="180"/>
        <v>18609585.179655105</v>
      </c>
      <c r="F98" s="84">
        <f t="shared" si="180"/>
        <v>20613312.987725709</v>
      </c>
      <c r="G98" s="84">
        <f t="shared" si="180"/>
        <v>30391791.441921178</v>
      </c>
      <c r="H98" s="84">
        <f t="shared" si="180"/>
        <v>27103726.520729985</v>
      </c>
      <c r="I98" s="84">
        <f t="shared" si="180"/>
        <v>23968039.764577944</v>
      </c>
      <c r="J98" s="84">
        <f t="shared" si="180"/>
        <v>33142376.807503909</v>
      </c>
      <c r="K98" s="84">
        <f t="shared" ref="K98:V98" si="189">IF(K8=0,0,K8/K30*1000000)</f>
        <v>30604439.272949189</v>
      </c>
      <c r="L98" s="84">
        <f t="shared" si="189"/>
        <v>21193001.773572389</v>
      </c>
      <c r="M98" s="84">
        <f t="shared" si="189"/>
        <v>21408077.533705324</v>
      </c>
      <c r="N98" s="84">
        <f t="shared" si="189"/>
        <v>28902525.84311866</v>
      </c>
      <c r="O98" s="84">
        <f t="shared" si="189"/>
        <v>17248830.956419613</v>
      </c>
      <c r="P98" s="84">
        <f t="shared" si="189"/>
        <v>17956441.668096337</v>
      </c>
      <c r="Q98" s="84">
        <f t="shared" si="189"/>
        <v>17033056.686384734</v>
      </c>
      <c r="R98" s="84">
        <f t="shared" si="189"/>
        <v>22776459.769244365</v>
      </c>
      <c r="S98" s="84">
        <f t="shared" si="189"/>
        <v>21019803.196823236</v>
      </c>
      <c r="T98" s="84">
        <f t="shared" si="189"/>
        <v>17532751.274607919</v>
      </c>
      <c r="U98" s="84">
        <f t="shared" si="189"/>
        <v>16917778.156235665</v>
      </c>
      <c r="V98" s="84">
        <f t="shared" si="189"/>
        <v>8613404.4618750066</v>
      </c>
      <c r="W98" s="84">
        <f t="shared" ref="W98:Y98" si="190">IF(W8=0,0,W8/W30*1000000)</f>
        <v>13442815.428173913</v>
      </c>
      <c r="X98" s="84">
        <f t="shared" si="190"/>
        <v>17689252.455575276</v>
      </c>
      <c r="Y98" s="84">
        <f t="shared" si="190"/>
        <v>10111047.404211409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190893399.96083176</v>
      </c>
      <c r="C100" s="28">
        <f t="shared" si="180"/>
        <v>209596974.43570909</v>
      </c>
      <c r="D100" s="28">
        <f t="shared" si="180"/>
        <v>183732303.56843489</v>
      </c>
      <c r="E100" s="28">
        <f t="shared" si="180"/>
        <v>199243332.75043845</v>
      </c>
      <c r="F100" s="28">
        <f t="shared" si="180"/>
        <v>236806279.86411008</v>
      </c>
      <c r="G100" s="28">
        <f t="shared" si="180"/>
        <v>245116911.25136623</v>
      </c>
      <c r="H100" s="28">
        <f t="shared" si="180"/>
        <v>227906032.71075043</v>
      </c>
      <c r="I100" s="28">
        <f t="shared" si="180"/>
        <v>203291396.22339571</v>
      </c>
      <c r="J100" s="28">
        <f t="shared" si="180"/>
        <v>159657995.00506619</v>
      </c>
      <c r="K100" s="28">
        <f t="shared" ref="K100:V100" si="193">IF(K10=0,0,K10/K32*1000000)</f>
        <v>153693504.03692907</v>
      </c>
      <c r="L100" s="28">
        <f t="shared" si="193"/>
        <v>115970516.86336757</v>
      </c>
      <c r="M100" s="28">
        <f t="shared" si="193"/>
        <v>118333184.16672181</v>
      </c>
      <c r="N100" s="28">
        <f t="shared" si="193"/>
        <v>105209867.9430517</v>
      </c>
      <c r="O100" s="28">
        <f t="shared" si="193"/>
        <v>106098228.22025479</v>
      </c>
      <c r="P100" s="28">
        <f t="shared" si="193"/>
        <v>80870954.347303078</v>
      </c>
      <c r="Q100" s="28">
        <f t="shared" si="193"/>
        <v>86541454.481152326</v>
      </c>
      <c r="R100" s="28">
        <f t="shared" si="193"/>
        <v>73647047.09332101</v>
      </c>
      <c r="S100" s="28">
        <f t="shared" si="193"/>
        <v>84456652.214589626</v>
      </c>
      <c r="T100" s="28">
        <f t="shared" si="193"/>
        <v>111146127.00841439</v>
      </c>
      <c r="U100" s="28">
        <f t="shared" si="193"/>
        <v>113180341.8718579</v>
      </c>
      <c r="V100" s="28">
        <f t="shared" si="193"/>
        <v>116854674.95746869</v>
      </c>
      <c r="W100" s="28">
        <f t="shared" ref="W100:Y100" si="194">IF(W10=0,0,W10/W32*1000000)</f>
        <v>137378407.33538604</v>
      </c>
      <c r="X100" s="28">
        <f t="shared" si="194"/>
        <v>108366984.54034579</v>
      </c>
      <c r="Y100" s="28">
        <f t="shared" si="194"/>
        <v>60576647.254640415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190893399.96083176</v>
      </c>
      <c r="C101" s="84">
        <f t="shared" si="180"/>
        <v>209596974.43570909</v>
      </c>
      <c r="D101" s="84">
        <f t="shared" si="180"/>
        <v>183732303.56843489</v>
      </c>
      <c r="E101" s="84">
        <f t="shared" si="180"/>
        <v>199243332.75043845</v>
      </c>
      <c r="F101" s="84">
        <f t="shared" si="180"/>
        <v>236806279.86411008</v>
      </c>
      <c r="G101" s="84">
        <f t="shared" si="180"/>
        <v>245116911.25136623</v>
      </c>
      <c r="H101" s="84">
        <f t="shared" si="180"/>
        <v>227906032.71075043</v>
      </c>
      <c r="I101" s="84">
        <f t="shared" si="180"/>
        <v>203291396.22339571</v>
      </c>
      <c r="J101" s="84">
        <f t="shared" si="180"/>
        <v>159657995.00506619</v>
      </c>
      <c r="K101" s="84">
        <f t="shared" ref="K101:V101" si="195">IF(K11=0,0,K11/K33*1000000)</f>
        <v>153693504.03692907</v>
      </c>
      <c r="L101" s="84">
        <f t="shared" si="195"/>
        <v>115970516.86336757</v>
      </c>
      <c r="M101" s="84">
        <f t="shared" si="195"/>
        <v>118333184.16672181</v>
      </c>
      <c r="N101" s="84">
        <f t="shared" si="195"/>
        <v>105209867.9430517</v>
      </c>
      <c r="O101" s="84">
        <f t="shared" si="195"/>
        <v>106098228.22025479</v>
      </c>
      <c r="P101" s="84">
        <f t="shared" si="195"/>
        <v>80870954.347303078</v>
      </c>
      <c r="Q101" s="84">
        <f t="shared" si="195"/>
        <v>86541454.481152326</v>
      </c>
      <c r="R101" s="84">
        <f t="shared" si="195"/>
        <v>73647047.09332101</v>
      </c>
      <c r="S101" s="84">
        <f t="shared" si="195"/>
        <v>84456652.214589626</v>
      </c>
      <c r="T101" s="84">
        <f t="shared" si="195"/>
        <v>111146127.00841439</v>
      </c>
      <c r="U101" s="84">
        <f t="shared" si="195"/>
        <v>113180341.8718579</v>
      </c>
      <c r="V101" s="84">
        <f t="shared" si="195"/>
        <v>116854674.95746869</v>
      </c>
      <c r="W101" s="84">
        <f t="shared" ref="W101:Y101" si="196">IF(W11=0,0,W11/W33*1000000)</f>
        <v>137378407.33538604</v>
      </c>
      <c r="X101" s="84">
        <f t="shared" si="196"/>
        <v>108366984.54034579</v>
      </c>
      <c r="Y101" s="84">
        <f t="shared" si="196"/>
        <v>60576647.254640415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:Y102" si="198">IF(W12=0,0,W12/W34*1000000)</f>
        <v>0</v>
      </c>
      <c r="X102" s="86">
        <f t="shared" si="198"/>
        <v>0</v>
      </c>
      <c r="Y102" s="86">
        <f t="shared" si="198"/>
        <v>0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0.28630024610336341</v>
      </c>
      <c r="C106" s="123">
        <f t="shared" si="199"/>
        <v>0.32414551025165678</v>
      </c>
      <c r="D106" s="123">
        <f t="shared" si="199"/>
        <v>0.34304807870800075</v>
      </c>
      <c r="E106" s="123">
        <f t="shared" si="199"/>
        <v>0.33913214158494298</v>
      </c>
      <c r="F106" s="123">
        <f t="shared" si="199"/>
        <v>0.30173661360347326</v>
      </c>
      <c r="G106" s="123">
        <f t="shared" si="199"/>
        <v>0.23291060934116922</v>
      </c>
      <c r="H106" s="123">
        <f t="shared" si="199"/>
        <v>0.23420738974970204</v>
      </c>
      <c r="I106" s="123">
        <f t="shared" si="199"/>
        <v>0.22423556058890146</v>
      </c>
      <c r="J106" s="123">
        <f t="shared" si="199"/>
        <v>0.20774215187640777</v>
      </c>
      <c r="K106" s="123">
        <f t="shared" ref="K106:V106" si="202">IF(K5=0,0,K5/K$4)</f>
        <v>0.22392916249801306</v>
      </c>
      <c r="L106" s="123">
        <f t="shared" si="202"/>
        <v>0.22533378077886887</v>
      </c>
      <c r="M106" s="123">
        <f t="shared" si="202"/>
        <v>0.21064941139783269</v>
      </c>
      <c r="N106" s="123">
        <f t="shared" si="202"/>
        <v>0.2822257720654488</v>
      </c>
      <c r="O106" s="123">
        <f t="shared" si="202"/>
        <v>0.25359146349627126</v>
      </c>
      <c r="P106" s="123">
        <f t="shared" si="202"/>
        <v>0.17286525384174548</v>
      </c>
      <c r="Q106" s="123">
        <f t="shared" si="202"/>
        <v>0.16164926453776388</v>
      </c>
      <c r="R106" s="123">
        <f t="shared" si="202"/>
        <v>0.15289222966271171</v>
      </c>
      <c r="S106" s="123">
        <f t="shared" si="202"/>
        <v>0.14004769680807319</v>
      </c>
      <c r="T106" s="123">
        <f t="shared" si="202"/>
        <v>0.16748520639179704</v>
      </c>
      <c r="U106" s="123">
        <f t="shared" si="202"/>
        <v>0.18222251892153507</v>
      </c>
      <c r="V106" s="123">
        <f t="shared" si="202"/>
        <v>0.23003732708775526</v>
      </c>
      <c r="W106" s="123">
        <f t="shared" ref="W106:Y106" si="203">IF(W5=0,0,W5/W$4)</f>
        <v>0.18474517664323042</v>
      </c>
      <c r="X106" s="123">
        <f t="shared" si="203"/>
        <v>0.18417731115947197</v>
      </c>
      <c r="Y106" s="123">
        <f t="shared" si="203"/>
        <v>0.20535110334467321</v>
      </c>
      <c r="DA106" s="203"/>
    </row>
    <row r="107" spans="1:105" ht="11.45" customHeight="1" x14ac:dyDescent="0.25">
      <c r="A107" s="109" t="s">
        <v>24</v>
      </c>
      <c r="B107" s="124">
        <f t="shared" si="199"/>
        <v>0.71369975389663665</v>
      </c>
      <c r="C107" s="124">
        <f t="shared" si="199"/>
        <v>0.67585448974834317</v>
      </c>
      <c r="D107" s="124">
        <f t="shared" si="199"/>
        <v>0.6569519212919992</v>
      </c>
      <c r="E107" s="124">
        <f t="shared" si="199"/>
        <v>0.66086785841505702</v>
      </c>
      <c r="F107" s="124">
        <f t="shared" si="199"/>
        <v>0.69826338639652685</v>
      </c>
      <c r="G107" s="124">
        <f t="shared" si="199"/>
        <v>0.76708939065883075</v>
      </c>
      <c r="H107" s="124">
        <f t="shared" si="199"/>
        <v>0.76579261025029788</v>
      </c>
      <c r="I107" s="124">
        <f t="shared" si="199"/>
        <v>0.77576443941109852</v>
      </c>
      <c r="J107" s="124">
        <f t="shared" si="199"/>
        <v>0.79225784812359223</v>
      </c>
      <c r="K107" s="124">
        <f t="shared" ref="K107:V107" si="204">IF(K6=0,0,K6/K$4)</f>
        <v>0.77607083750198702</v>
      </c>
      <c r="L107" s="124">
        <f t="shared" si="204"/>
        <v>0.77466621922113121</v>
      </c>
      <c r="M107" s="124">
        <f t="shared" si="204"/>
        <v>0.78935058860216722</v>
      </c>
      <c r="N107" s="124">
        <f t="shared" si="204"/>
        <v>0.71777422793455115</v>
      </c>
      <c r="O107" s="124">
        <f t="shared" si="204"/>
        <v>0.74640853650372863</v>
      </c>
      <c r="P107" s="124">
        <f t="shared" si="204"/>
        <v>0.82713474615825444</v>
      </c>
      <c r="Q107" s="124">
        <f t="shared" si="204"/>
        <v>0.83835073546223604</v>
      </c>
      <c r="R107" s="124">
        <f t="shared" si="204"/>
        <v>0.84710777033728835</v>
      </c>
      <c r="S107" s="124">
        <f t="shared" si="204"/>
        <v>0.85995230319192673</v>
      </c>
      <c r="T107" s="124">
        <f t="shared" si="204"/>
        <v>0.83251479360820302</v>
      </c>
      <c r="U107" s="124">
        <f t="shared" si="204"/>
        <v>0.81777748107846493</v>
      </c>
      <c r="V107" s="124">
        <f t="shared" si="204"/>
        <v>0.76996267291224474</v>
      </c>
      <c r="W107" s="124">
        <f t="shared" ref="W107:Y107" si="205">IF(W6=0,0,W6/W$4)</f>
        <v>0.81525482335676958</v>
      </c>
      <c r="X107" s="124">
        <f t="shared" si="205"/>
        <v>0.81582268884052811</v>
      </c>
      <c r="Y107" s="124">
        <f t="shared" si="205"/>
        <v>0.7946488966553269</v>
      </c>
      <c r="DA107" s="176"/>
    </row>
    <row r="108" spans="1:105" ht="11.45" customHeight="1" x14ac:dyDescent="0.25">
      <c r="A108" s="111" t="s">
        <v>92</v>
      </c>
      <c r="B108" s="125">
        <f t="shared" si="199"/>
        <v>0.49121683539621297</v>
      </c>
      <c r="C108" s="125">
        <f t="shared" si="199"/>
        <v>0.36767561680014776</v>
      </c>
      <c r="D108" s="125">
        <f t="shared" si="199"/>
        <v>0.36351811425444053</v>
      </c>
      <c r="E108" s="125">
        <f t="shared" si="199"/>
        <v>0.34827398822031813</v>
      </c>
      <c r="F108" s="125">
        <f t="shared" si="199"/>
        <v>0.37964838934448192</v>
      </c>
      <c r="G108" s="125">
        <f t="shared" si="199"/>
        <v>0.38549859296103084</v>
      </c>
      <c r="H108" s="125">
        <f t="shared" si="199"/>
        <v>0.42899093085317719</v>
      </c>
      <c r="I108" s="125">
        <f t="shared" si="199"/>
        <v>0.51446985079834562</v>
      </c>
      <c r="J108" s="125">
        <f t="shared" si="199"/>
        <v>0.36675146178584417</v>
      </c>
      <c r="K108" s="125">
        <f t="shared" ref="K108:V108" si="206">IF(K7=0,0,K7/K$4)</f>
        <v>0.38581933362556353</v>
      </c>
      <c r="L108" s="125">
        <f t="shared" si="206"/>
        <v>0.46022917063606228</v>
      </c>
      <c r="M108" s="125">
        <f t="shared" si="206"/>
        <v>0.48464181215985824</v>
      </c>
      <c r="N108" s="125">
        <f t="shared" si="206"/>
        <v>0.36176929188188689</v>
      </c>
      <c r="O108" s="125">
        <f t="shared" si="206"/>
        <v>0.53372988039947955</v>
      </c>
      <c r="P108" s="125">
        <f t="shared" si="206"/>
        <v>0.55835654358086062</v>
      </c>
      <c r="Q108" s="125">
        <f t="shared" si="206"/>
        <v>0.57439098192146365</v>
      </c>
      <c r="R108" s="125">
        <f t="shared" si="206"/>
        <v>0.54562261433400461</v>
      </c>
      <c r="S108" s="125">
        <f t="shared" si="206"/>
        <v>0.58635220730684323</v>
      </c>
      <c r="T108" s="125">
        <f t="shared" si="206"/>
        <v>0.65081976973673594</v>
      </c>
      <c r="U108" s="125">
        <f t="shared" si="206"/>
        <v>0.64689210323838697</v>
      </c>
      <c r="V108" s="125">
        <f t="shared" si="206"/>
        <v>0.65666660436821489</v>
      </c>
      <c r="W108" s="125">
        <f t="shared" ref="W108:Y108" si="207">IF(W7=0,0,W7/W$4)</f>
        <v>0.63831448378023647</v>
      </c>
      <c r="X108" s="125">
        <f t="shared" si="207"/>
        <v>0.65060817854473108</v>
      </c>
      <c r="Y108" s="125">
        <f t="shared" si="207"/>
        <v>0.59412219404968569</v>
      </c>
      <c r="DA108" s="171"/>
    </row>
    <row r="109" spans="1:105" ht="11.45" customHeight="1" x14ac:dyDescent="0.25">
      <c r="A109" s="111" t="s">
        <v>93</v>
      </c>
      <c r="B109" s="125">
        <f t="shared" si="199"/>
        <v>0.22248291850042365</v>
      </c>
      <c r="C109" s="125">
        <f t="shared" si="199"/>
        <v>0.3081788729481954</v>
      </c>
      <c r="D109" s="125">
        <f t="shared" si="199"/>
        <v>0.29343380703755861</v>
      </c>
      <c r="E109" s="125">
        <f t="shared" si="199"/>
        <v>0.31259387019473894</v>
      </c>
      <c r="F109" s="125">
        <f t="shared" si="199"/>
        <v>0.31861499705204488</v>
      </c>
      <c r="G109" s="125">
        <f t="shared" si="199"/>
        <v>0.38159079769779997</v>
      </c>
      <c r="H109" s="125">
        <f t="shared" si="199"/>
        <v>0.33680167939712075</v>
      </c>
      <c r="I109" s="125">
        <f t="shared" si="199"/>
        <v>0.2612945886127529</v>
      </c>
      <c r="J109" s="125">
        <f t="shared" si="199"/>
        <v>0.42550638633774807</v>
      </c>
      <c r="K109" s="125">
        <f t="shared" ref="K109:V109" si="208">IF(K8=0,0,K8/K$4)</f>
        <v>0.39025150387642343</v>
      </c>
      <c r="L109" s="125">
        <f t="shared" si="208"/>
        <v>0.31443704858506888</v>
      </c>
      <c r="M109" s="125">
        <f t="shared" si="208"/>
        <v>0.30470877644230904</v>
      </c>
      <c r="N109" s="125">
        <f t="shared" si="208"/>
        <v>0.35600493605266431</v>
      </c>
      <c r="O109" s="125">
        <f t="shared" si="208"/>
        <v>0.2126786561042491</v>
      </c>
      <c r="P109" s="125">
        <f t="shared" si="208"/>
        <v>0.26877820257739382</v>
      </c>
      <c r="Q109" s="125">
        <f t="shared" si="208"/>
        <v>0.26395975354077239</v>
      </c>
      <c r="R109" s="125">
        <f t="shared" si="208"/>
        <v>0.30148515600328368</v>
      </c>
      <c r="S109" s="125">
        <f t="shared" si="208"/>
        <v>0.27360009588508349</v>
      </c>
      <c r="T109" s="125">
        <f t="shared" si="208"/>
        <v>0.18169502387146702</v>
      </c>
      <c r="U109" s="125">
        <f t="shared" si="208"/>
        <v>0.17088537784007796</v>
      </c>
      <c r="V109" s="125">
        <f t="shared" si="208"/>
        <v>0.11329606854402983</v>
      </c>
      <c r="W109" s="125">
        <f t="shared" ref="W109:Y109" si="209">IF(W8=0,0,W8/W$4)</f>
        <v>0.17694033957653316</v>
      </c>
      <c r="X109" s="125">
        <f t="shared" si="209"/>
        <v>0.16521451029579698</v>
      </c>
      <c r="Y109" s="125">
        <f t="shared" si="209"/>
        <v>0.20052670260564115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1</v>
      </c>
      <c r="E112" s="125">
        <f t="shared" si="212"/>
        <v>1</v>
      </c>
      <c r="F112" s="125">
        <f t="shared" si="212"/>
        <v>1</v>
      </c>
      <c r="G112" s="125">
        <f t="shared" si="212"/>
        <v>1</v>
      </c>
      <c r="H112" s="125">
        <f t="shared" si="212"/>
        <v>1</v>
      </c>
      <c r="I112" s="125">
        <f t="shared" si="212"/>
        <v>1</v>
      </c>
      <c r="J112" s="125">
        <f t="shared" si="212"/>
        <v>1</v>
      </c>
      <c r="K112" s="125">
        <f t="shared" ref="K112:V112" si="215">IF(K11=0,0,K11/K$10)</f>
        <v>1</v>
      </c>
      <c r="L112" s="125">
        <f t="shared" si="215"/>
        <v>1</v>
      </c>
      <c r="M112" s="125">
        <f t="shared" si="215"/>
        <v>1</v>
      </c>
      <c r="N112" s="125">
        <f t="shared" si="215"/>
        <v>1</v>
      </c>
      <c r="O112" s="125">
        <f t="shared" si="215"/>
        <v>1</v>
      </c>
      <c r="P112" s="125">
        <f t="shared" si="215"/>
        <v>1</v>
      </c>
      <c r="Q112" s="125">
        <f t="shared" si="215"/>
        <v>1</v>
      </c>
      <c r="R112" s="125">
        <f t="shared" si="215"/>
        <v>1</v>
      </c>
      <c r="S112" s="125">
        <f t="shared" si="215"/>
        <v>1</v>
      </c>
      <c r="T112" s="125">
        <f t="shared" si="215"/>
        <v>1</v>
      </c>
      <c r="U112" s="125">
        <f t="shared" si="215"/>
        <v>1</v>
      </c>
      <c r="V112" s="125">
        <f t="shared" si="215"/>
        <v>1</v>
      </c>
      <c r="W112" s="125">
        <f t="shared" ref="W112:Y112" si="216">IF(W11=0,0,W11/W$10)</f>
        <v>1</v>
      </c>
      <c r="X112" s="125">
        <f t="shared" si="216"/>
        <v>1</v>
      </c>
      <c r="Y112" s="125">
        <f t="shared" si="216"/>
        <v>1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:Y113" si="218">IF(W12=0,0,W12/W$10)</f>
        <v>0</v>
      </c>
      <c r="X113" s="127">
        <f t="shared" si="218"/>
        <v>0</v>
      </c>
      <c r="Y113" s="127">
        <f t="shared" si="218"/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0.42162266579991259</v>
      </c>
      <c r="C117" s="123">
        <f t="shared" si="219"/>
        <v>0.46776042980567595</v>
      </c>
      <c r="D117" s="123">
        <f t="shared" si="219"/>
        <v>0.49867240018809184</v>
      </c>
      <c r="E117" s="123">
        <f t="shared" si="219"/>
        <v>0.49009901616172513</v>
      </c>
      <c r="F117" s="123">
        <f t="shared" si="219"/>
        <v>0.44996649185372423</v>
      </c>
      <c r="G117" s="123">
        <f t="shared" si="219"/>
        <v>0.37199538722341369</v>
      </c>
      <c r="H117" s="123">
        <f t="shared" si="219"/>
        <v>0.35754267030119635</v>
      </c>
      <c r="I117" s="123">
        <f t="shared" si="219"/>
        <v>0.33489623750257874</v>
      </c>
      <c r="J117" s="123">
        <f t="shared" si="219"/>
        <v>0.30926581138461851</v>
      </c>
      <c r="K117" s="123">
        <f t="shared" ref="K117:V117" si="222">IF(K16=0,0,K16/K$15)</f>
        <v>0.34997752957913525</v>
      </c>
      <c r="L117" s="123">
        <f t="shared" si="222"/>
        <v>0.32860917240203008</v>
      </c>
      <c r="M117" s="123">
        <f t="shared" si="222"/>
        <v>0.31494653137108741</v>
      </c>
      <c r="N117" s="123">
        <f t="shared" si="222"/>
        <v>0.43491684828184307</v>
      </c>
      <c r="O117" s="123">
        <f t="shared" si="222"/>
        <v>0.3570360344041153</v>
      </c>
      <c r="P117" s="123">
        <f t="shared" si="222"/>
        <v>0.25675605736679824</v>
      </c>
      <c r="Q117" s="123">
        <f t="shared" si="222"/>
        <v>0.24065369695179517</v>
      </c>
      <c r="R117" s="123">
        <f t="shared" si="222"/>
        <v>0.24508984194412037</v>
      </c>
      <c r="S117" s="123">
        <f t="shared" si="222"/>
        <v>0.21600358806496942</v>
      </c>
      <c r="T117" s="123">
        <f t="shared" si="222"/>
        <v>0.27982811216124709</v>
      </c>
      <c r="U117" s="123">
        <f t="shared" si="222"/>
        <v>0.24220471324256154</v>
      </c>
      <c r="V117" s="123">
        <f t="shared" si="222"/>
        <v>0.33383816217882156</v>
      </c>
      <c r="W117" s="123">
        <f t="shared" ref="W117:Y117" si="223">IF(W16=0,0,W16/W$15)</f>
        <v>0.34698407200487102</v>
      </c>
      <c r="X117" s="123">
        <f t="shared" si="223"/>
        <v>0.28664894898446353</v>
      </c>
      <c r="Y117" s="123">
        <f t="shared" si="223"/>
        <v>0.25447326454951519</v>
      </c>
      <c r="DA117" s="203"/>
    </row>
    <row r="118" spans="1:105" ht="11.45" customHeight="1" x14ac:dyDescent="0.25">
      <c r="A118" s="109" t="s">
        <v>24</v>
      </c>
      <c r="B118" s="124">
        <f t="shared" si="219"/>
        <v>0.57837733420008741</v>
      </c>
      <c r="C118" s="124">
        <f t="shared" si="219"/>
        <v>0.532239570194324</v>
      </c>
      <c r="D118" s="124">
        <f t="shared" si="219"/>
        <v>0.50132759981190811</v>
      </c>
      <c r="E118" s="124">
        <f t="shared" si="219"/>
        <v>0.50990098383827487</v>
      </c>
      <c r="F118" s="124">
        <f t="shared" si="219"/>
        <v>0.55003350814627572</v>
      </c>
      <c r="G118" s="124">
        <f t="shared" si="219"/>
        <v>0.62800461277658637</v>
      </c>
      <c r="H118" s="124">
        <f t="shared" si="219"/>
        <v>0.64245732969880354</v>
      </c>
      <c r="I118" s="124">
        <f t="shared" si="219"/>
        <v>0.6651037624974212</v>
      </c>
      <c r="J118" s="124">
        <f t="shared" si="219"/>
        <v>0.69073418861538149</v>
      </c>
      <c r="K118" s="124">
        <f t="shared" ref="K118:V118" si="224">IF(K17=0,0,K17/K$15)</f>
        <v>0.65002247042086481</v>
      </c>
      <c r="L118" s="124">
        <f t="shared" si="224"/>
        <v>0.67139082759796997</v>
      </c>
      <c r="M118" s="124">
        <f t="shared" si="224"/>
        <v>0.68505346862891259</v>
      </c>
      <c r="N118" s="124">
        <f t="shared" si="224"/>
        <v>0.56508315171815693</v>
      </c>
      <c r="O118" s="124">
        <f t="shared" si="224"/>
        <v>0.64296396559588465</v>
      </c>
      <c r="P118" s="124">
        <f t="shared" si="224"/>
        <v>0.7432439426332017</v>
      </c>
      <c r="Q118" s="124">
        <f t="shared" si="224"/>
        <v>0.75934630304820483</v>
      </c>
      <c r="R118" s="124">
        <f t="shared" si="224"/>
        <v>0.75491015805587958</v>
      </c>
      <c r="S118" s="124">
        <f t="shared" si="224"/>
        <v>0.78399641193503056</v>
      </c>
      <c r="T118" s="124">
        <f t="shared" si="224"/>
        <v>0.72017188783875297</v>
      </c>
      <c r="U118" s="124">
        <f t="shared" si="224"/>
        <v>0.75779528675743846</v>
      </c>
      <c r="V118" s="124">
        <f t="shared" si="224"/>
        <v>0.66616183782117844</v>
      </c>
      <c r="W118" s="124">
        <f t="shared" ref="W118:Y118" si="225">IF(W17=0,0,W17/W$15)</f>
        <v>0.65301592799512898</v>
      </c>
      <c r="X118" s="124">
        <f t="shared" si="225"/>
        <v>0.71335105101553642</v>
      </c>
      <c r="Y118" s="124">
        <f t="shared" si="225"/>
        <v>0.74552673545048487</v>
      </c>
      <c r="DA118" s="176"/>
    </row>
    <row r="119" spans="1:105" ht="11.45" customHeight="1" x14ac:dyDescent="0.25">
      <c r="A119" s="111" t="s">
        <v>92</v>
      </c>
      <c r="B119" s="125">
        <f t="shared" si="219"/>
        <v>0.41167569757159711</v>
      </c>
      <c r="C119" s="125">
        <f t="shared" si="219"/>
        <v>0.28289014372675547</v>
      </c>
      <c r="D119" s="125">
        <f t="shared" si="219"/>
        <v>0.27020727744946621</v>
      </c>
      <c r="E119" s="125">
        <f t="shared" si="219"/>
        <v>0.25326426777841171</v>
      </c>
      <c r="F119" s="125">
        <f t="shared" si="219"/>
        <v>0.3187899315120859</v>
      </c>
      <c r="G119" s="125">
        <f t="shared" si="219"/>
        <v>0.37160791055886466</v>
      </c>
      <c r="H119" s="125">
        <f t="shared" si="219"/>
        <v>0.39771942879666944</v>
      </c>
      <c r="I119" s="125">
        <f t="shared" si="219"/>
        <v>0.45798058733858688</v>
      </c>
      <c r="J119" s="125">
        <f t="shared" si="219"/>
        <v>0.40106353982808168</v>
      </c>
      <c r="K119" s="125">
        <f t="shared" ref="K119:V119" si="226">IF(K18=0,0,K18/K$15)</f>
        <v>0.39310394997748099</v>
      </c>
      <c r="L119" s="125">
        <f t="shared" si="226"/>
        <v>0.40178374127199734</v>
      </c>
      <c r="M119" s="125">
        <f t="shared" si="226"/>
        <v>0.43806723251741025</v>
      </c>
      <c r="N119" s="125">
        <f t="shared" si="226"/>
        <v>0.34723301213251057</v>
      </c>
      <c r="O119" s="125">
        <f t="shared" si="226"/>
        <v>0.44013453936291663</v>
      </c>
      <c r="P119" s="125">
        <f t="shared" si="226"/>
        <v>0.4765588102375567</v>
      </c>
      <c r="Q119" s="125">
        <f t="shared" si="226"/>
        <v>0.48507097350958922</v>
      </c>
      <c r="R119" s="125">
        <f t="shared" si="226"/>
        <v>0.4988506526090391</v>
      </c>
      <c r="S119" s="125">
        <f t="shared" si="226"/>
        <v>0.53322909837199151</v>
      </c>
      <c r="T119" s="125">
        <f t="shared" si="226"/>
        <v>0.59190739843956841</v>
      </c>
      <c r="U119" s="125">
        <f t="shared" si="226"/>
        <v>0.62038203252786239</v>
      </c>
      <c r="V119" s="125">
        <f t="shared" si="226"/>
        <v>0.58674308436981915</v>
      </c>
      <c r="W119" s="125">
        <f t="shared" ref="W119:Y119" si="227">IF(W18=0,0,W18/W$15)</f>
        <v>0.4686010739459332</v>
      </c>
      <c r="X119" s="125">
        <f t="shared" si="227"/>
        <v>0.57063751341866231</v>
      </c>
      <c r="Y119" s="125">
        <f t="shared" si="227"/>
        <v>0.49842338480765253</v>
      </c>
      <c r="DA119" s="171"/>
    </row>
    <row r="120" spans="1:105" ht="11.45" customHeight="1" x14ac:dyDescent="0.25">
      <c r="A120" s="111" t="s">
        <v>93</v>
      </c>
      <c r="B120" s="125">
        <f t="shared" si="219"/>
        <v>0.16670163662849027</v>
      </c>
      <c r="C120" s="125">
        <f t="shared" si="219"/>
        <v>0.24934942646756847</v>
      </c>
      <c r="D120" s="125">
        <f t="shared" si="219"/>
        <v>0.23112032236244195</v>
      </c>
      <c r="E120" s="125">
        <f t="shared" si="219"/>
        <v>0.25663671605986316</v>
      </c>
      <c r="F120" s="125">
        <f t="shared" si="219"/>
        <v>0.23124357663418987</v>
      </c>
      <c r="G120" s="125">
        <f t="shared" si="219"/>
        <v>0.25639670221772176</v>
      </c>
      <c r="H120" s="125">
        <f t="shared" si="219"/>
        <v>0.24473790090213407</v>
      </c>
      <c r="I120" s="125">
        <f t="shared" si="219"/>
        <v>0.20712317515883441</v>
      </c>
      <c r="J120" s="125">
        <f t="shared" si="219"/>
        <v>0.28967064878729987</v>
      </c>
      <c r="K120" s="125">
        <f t="shared" ref="K120:V120" si="228">IF(K19=0,0,K19/K$15)</f>
        <v>0.25691852044338387</v>
      </c>
      <c r="L120" s="125">
        <f t="shared" si="228"/>
        <v>0.26960708632597263</v>
      </c>
      <c r="M120" s="125">
        <f t="shared" si="228"/>
        <v>0.24698623611150233</v>
      </c>
      <c r="N120" s="125">
        <f t="shared" si="228"/>
        <v>0.21785013958564631</v>
      </c>
      <c r="O120" s="125">
        <f t="shared" si="228"/>
        <v>0.20282942623296804</v>
      </c>
      <c r="P120" s="125">
        <f t="shared" si="228"/>
        <v>0.26668513239564501</v>
      </c>
      <c r="Q120" s="125">
        <f t="shared" si="228"/>
        <v>0.27427532953861561</v>
      </c>
      <c r="R120" s="125">
        <f t="shared" si="228"/>
        <v>0.25605950544684047</v>
      </c>
      <c r="S120" s="125">
        <f t="shared" si="228"/>
        <v>0.25076731356303905</v>
      </c>
      <c r="T120" s="125">
        <f t="shared" si="228"/>
        <v>0.1282644893991845</v>
      </c>
      <c r="U120" s="125">
        <f t="shared" si="228"/>
        <v>0.13741325422957609</v>
      </c>
      <c r="V120" s="125">
        <f t="shared" si="228"/>
        <v>7.941875345135932E-2</v>
      </c>
      <c r="W120" s="125">
        <f t="shared" ref="W120:Y120" si="229">IF(W19=0,0,W19/W$15)</f>
        <v>0.1844148540491958</v>
      </c>
      <c r="X120" s="125">
        <f t="shared" si="229"/>
        <v>0.14271353759687411</v>
      </c>
      <c r="Y120" s="125">
        <f t="shared" si="229"/>
        <v>0.24710335064283231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1</v>
      </c>
      <c r="E123" s="125">
        <f t="shared" si="232"/>
        <v>1</v>
      </c>
      <c r="F123" s="125">
        <f t="shared" si="232"/>
        <v>1</v>
      </c>
      <c r="G123" s="125">
        <f t="shared" si="232"/>
        <v>1</v>
      </c>
      <c r="H123" s="125">
        <f t="shared" si="232"/>
        <v>1</v>
      </c>
      <c r="I123" s="125">
        <f t="shared" si="232"/>
        <v>1</v>
      </c>
      <c r="J123" s="125">
        <f t="shared" si="232"/>
        <v>1</v>
      </c>
      <c r="K123" s="125">
        <f t="shared" ref="K123:V123" si="235">IF(K22=0,0,K22/K$21)</f>
        <v>1</v>
      </c>
      <c r="L123" s="125">
        <f t="shared" si="235"/>
        <v>1</v>
      </c>
      <c r="M123" s="125">
        <f t="shared" si="235"/>
        <v>1</v>
      </c>
      <c r="N123" s="125">
        <f t="shared" si="235"/>
        <v>1</v>
      </c>
      <c r="O123" s="125">
        <f t="shared" si="235"/>
        <v>1</v>
      </c>
      <c r="P123" s="125">
        <f t="shared" si="235"/>
        <v>1</v>
      </c>
      <c r="Q123" s="125">
        <f t="shared" si="235"/>
        <v>1</v>
      </c>
      <c r="R123" s="125">
        <f t="shared" si="235"/>
        <v>1</v>
      </c>
      <c r="S123" s="125">
        <f t="shared" si="235"/>
        <v>1</v>
      </c>
      <c r="T123" s="125">
        <f t="shared" si="235"/>
        <v>1</v>
      </c>
      <c r="U123" s="125">
        <f t="shared" si="235"/>
        <v>1</v>
      </c>
      <c r="V123" s="125">
        <f t="shared" si="235"/>
        <v>1</v>
      </c>
      <c r="W123" s="125">
        <f t="shared" ref="W123:Y123" si="236">IF(W22=0,0,W22/W$21)</f>
        <v>1</v>
      </c>
      <c r="X123" s="125">
        <f t="shared" si="236"/>
        <v>1</v>
      </c>
      <c r="Y123" s="125">
        <f t="shared" si="236"/>
        <v>1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:Y124" si="238">IF(W23=0,0,W23/W$21)</f>
        <v>0</v>
      </c>
      <c r="X124" s="127">
        <f t="shared" si="238"/>
        <v>0</v>
      </c>
      <c r="Y124" s="127">
        <f t="shared" si="238"/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44.819432502149617</v>
      </c>
      <c r="C4" s="146">
        <f t="shared" ref="C4:V4" si="0">SUM(C5,C8)</f>
        <v>41.874462596732585</v>
      </c>
      <c r="D4" s="146">
        <f t="shared" si="0"/>
        <v>52.987962166809972</v>
      </c>
      <c r="E4" s="146">
        <f t="shared" si="0"/>
        <v>47.012037833190021</v>
      </c>
      <c r="F4" s="146">
        <f t="shared" si="0"/>
        <v>40.606190885640579</v>
      </c>
      <c r="G4" s="146">
        <f t="shared" si="0"/>
        <v>43.637145313843511</v>
      </c>
      <c r="H4" s="146">
        <f t="shared" si="0"/>
        <v>45.657781599312123</v>
      </c>
      <c r="I4" s="146">
        <f t="shared" si="0"/>
        <v>38.499570077386075</v>
      </c>
      <c r="J4" s="146">
        <f t="shared" si="0"/>
        <v>27.386070507308684</v>
      </c>
      <c r="K4" s="146">
        <f t="shared" si="0"/>
        <v>36.392949269131556</v>
      </c>
      <c r="L4" s="146">
        <f t="shared" si="0"/>
        <v>51.719690455717974</v>
      </c>
      <c r="M4" s="146">
        <f t="shared" si="0"/>
        <v>35.38263112639725</v>
      </c>
      <c r="N4" s="146">
        <f t="shared" si="0"/>
        <v>31.341358555460012</v>
      </c>
      <c r="O4" s="146">
        <f t="shared" si="0"/>
        <v>27.214101461736885</v>
      </c>
      <c r="P4" s="146">
        <f t="shared" si="0"/>
        <v>21.324161650902841</v>
      </c>
      <c r="Q4" s="146">
        <f t="shared" si="0"/>
        <v>20.313843508168532</v>
      </c>
      <c r="R4" s="146">
        <f t="shared" si="0"/>
        <v>16.186586414445401</v>
      </c>
      <c r="S4" s="146">
        <f t="shared" si="0"/>
        <v>16.882803095442821</v>
      </c>
      <c r="T4" s="146">
        <f t="shared" si="0"/>
        <v>15.651934651762685</v>
      </c>
      <c r="U4" s="146">
        <f t="shared" si="0"/>
        <v>17.240326741186582</v>
      </c>
      <c r="V4" s="146">
        <f t="shared" si="0"/>
        <v>15.490971625107482</v>
      </c>
      <c r="W4" s="146">
        <f t="shared" ref="W4:Y4" si="1">SUM(W5,W8)</f>
        <v>15.14858125537403</v>
      </c>
      <c r="X4" s="146">
        <f t="shared" si="1"/>
        <v>13.699656061908858</v>
      </c>
      <c r="Y4" s="146">
        <f t="shared" si="1"/>
        <v>15.891745485812553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43.443680137575242</v>
      </c>
      <c r="C5" s="101">
        <f t="shared" ref="C5:V5" si="2">SUM(C6:C7)</f>
        <v>40.41272570937231</v>
      </c>
      <c r="D5" s="101">
        <f t="shared" si="2"/>
        <v>51.526225279449697</v>
      </c>
      <c r="E5" s="101">
        <f t="shared" si="2"/>
        <v>45.464316423043847</v>
      </c>
      <c r="F5" s="101">
        <f t="shared" si="2"/>
        <v>39.402407566637997</v>
      </c>
      <c r="G5" s="101">
        <f t="shared" si="2"/>
        <v>42.433361994840929</v>
      </c>
      <c r="H5" s="101">
        <f t="shared" si="2"/>
        <v>44.453998280309541</v>
      </c>
      <c r="I5" s="101">
        <f t="shared" si="2"/>
        <v>37.381771281169392</v>
      </c>
      <c r="J5" s="101">
        <f t="shared" si="2"/>
        <v>26.268271711092002</v>
      </c>
      <c r="K5" s="101">
        <f t="shared" si="2"/>
        <v>35.361134995700773</v>
      </c>
      <c r="L5" s="101">
        <f t="shared" si="2"/>
        <v>50.515907136715391</v>
      </c>
      <c r="M5" s="101">
        <f t="shared" si="2"/>
        <v>34.350816852966467</v>
      </c>
      <c r="N5" s="101">
        <f t="shared" si="2"/>
        <v>30.309544282029229</v>
      </c>
      <c r="O5" s="101">
        <f t="shared" si="2"/>
        <v>26.268271711092002</v>
      </c>
      <c r="P5" s="101">
        <f t="shared" si="2"/>
        <v>20.206362854686159</v>
      </c>
      <c r="Q5" s="101">
        <f t="shared" si="2"/>
        <v>19.196044711951849</v>
      </c>
      <c r="R5" s="101">
        <f t="shared" si="2"/>
        <v>15.15477214101462</v>
      </c>
      <c r="S5" s="101">
        <f t="shared" si="2"/>
        <v>15.76500429922614</v>
      </c>
      <c r="T5" s="101">
        <f t="shared" si="2"/>
        <v>14.7920894239037</v>
      </c>
      <c r="U5" s="101">
        <f t="shared" si="2"/>
        <v>16.208512467755799</v>
      </c>
      <c r="V5" s="101">
        <f t="shared" si="2"/>
        <v>14.502149613069649</v>
      </c>
      <c r="W5" s="101">
        <f t="shared" ref="W5:Y5" si="3">SUM(W6:W7)</f>
        <v>14.02424763542562</v>
      </c>
      <c r="X5" s="101">
        <f t="shared" si="3"/>
        <v>12.62897678417885</v>
      </c>
      <c r="Y5" s="101">
        <f t="shared" si="3"/>
        <v>13.883834909716249</v>
      </c>
      <c r="DA5" s="175"/>
    </row>
    <row r="6" spans="1:105" ht="11.45" customHeight="1" x14ac:dyDescent="0.25">
      <c r="A6" s="164" t="s">
        <v>175</v>
      </c>
      <c r="B6" s="165">
        <v>43.443680137575242</v>
      </c>
      <c r="C6" s="165">
        <v>40.41272570937231</v>
      </c>
      <c r="D6" s="165">
        <v>51.526225279449697</v>
      </c>
      <c r="E6" s="165">
        <v>45.464316423043847</v>
      </c>
      <c r="F6" s="165">
        <v>39.402407566637997</v>
      </c>
      <c r="G6" s="165">
        <v>42.433361994840929</v>
      </c>
      <c r="H6" s="165">
        <v>44.453998280309541</v>
      </c>
      <c r="I6" s="165">
        <v>37.381771281169392</v>
      </c>
      <c r="J6" s="165">
        <v>26.268271711092002</v>
      </c>
      <c r="K6" s="165">
        <v>35.361134995700773</v>
      </c>
      <c r="L6" s="165">
        <v>50.515907136715391</v>
      </c>
      <c r="M6" s="165">
        <v>34.350816852966467</v>
      </c>
      <c r="N6" s="165">
        <v>30.309544282029229</v>
      </c>
      <c r="O6" s="165">
        <v>26.268271711092002</v>
      </c>
      <c r="P6" s="165">
        <v>20.206362854686159</v>
      </c>
      <c r="Q6" s="165">
        <v>19.196044711951849</v>
      </c>
      <c r="R6" s="165">
        <v>15.15477214101462</v>
      </c>
      <c r="S6" s="165">
        <v>15.76500429922614</v>
      </c>
      <c r="T6" s="165">
        <v>14.7920894239037</v>
      </c>
      <c r="U6" s="165">
        <v>16.208512467755799</v>
      </c>
      <c r="V6" s="165">
        <v>14.502149613069649</v>
      </c>
      <c r="W6" s="165">
        <v>14.02424763542562</v>
      </c>
      <c r="X6" s="165">
        <v>12.62897678417885</v>
      </c>
      <c r="Y6" s="165">
        <v>13.883834909716249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1.375752364574377</v>
      </c>
      <c r="C8" s="88">
        <v>1.461736887360275</v>
      </c>
      <c r="D8" s="88">
        <v>1.461736887360275</v>
      </c>
      <c r="E8" s="88">
        <v>1.547721410146174</v>
      </c>
      <c r="F8" s="88">
        <v>1.20378331900258</v>
      </c>
      <c r="G8" s="88">
        <v>1.20378331900258</v>
      </c>
      <c r="H8" s="88">
        <v>1.20378331900258</v>
      </c>
      <c r="I8" s="88">
        <v>1.1177987962166811</v>
      </c>
      <c r="J8" s="88">
        <v>1.1177987962166811</v>
      </c>
      <c r="K8" s="88">
        <v>1.031814273430782</v>
      </c>
      <c r="L8" s="88">
        <v>1.20378331900258</v>
      </c>
      <c r="M8" s="88">
        <v>1.031814273430782</v>
      </c>
      <c r="N8" s="88">
        <v>1.031814273430782</v>
      </c>
      <c r="O8" s="88">
        <v>0.94582975064488384</v>
      </c>
      <c r="P8" s="88">
        <v>1.1177987962166811</v>
      </c>
      <c r="Q8" s="88">
        <v>1.1177987962166811</v>
      </c>
      <c r="R8" s="88">
        <v>1.031814273430782</v>
      </c>
      <c r="S8" s="88">
        <v>1.1177987962166811</v>
      </c>
      <c r="T8" s="88">
        <v>0.85984522785898532</v>
      </c>
      <c r="U8" s="88">
        <v>1.031814273430782</v>
      </c>
      <c r="V8" s="88">
        <v>0.98882201203783315</v>
      </c>
      <c r="W8" s="88">
        <v>1.1243336199484091</v>
      </c>
      <c r="X8" s="88">
        <v>1.070679277730008</v>
      </c>
      <c r="Y8" s="88">
        <v>2.007910576096303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44.819432502149617</v>
      </c>
      <c r="C10" s="62">
        <f t="shared" ref="C10:V10" si="5">SUM(C11,C17)</f>
        <v>41.874462596732585</v>
      </c>
      <c r="D10" s="62">
        <f t="shared" si="5"/>
        <v>52.987962166809972</v>
      </c>
      <c r="E10" s="62">
        <f t="shared" si="5"/>
        <v>47.012037833190021</v>
      </c>
      <c r="F10" s="62">
        <f t="shared" si="5"/>
        <v>40.606190885640579</v>
      </c>
      <c r="G10" s="62">
        <f t="shared" si="5"/>
        <v>43.637145313843504</v>
      </c>
      <c r="H10" s="62">
        <f t="shared" si="5"/>
        <v>45.657781599312123</v>
      </c>
      <c r="I10" s="62">
        <f t="shared" si="5"/>
        <v>38.499570077386075</v>
      </c>
      <c r="J10" s="62">
        <f t="shared" si="5"/>
        <v>27.386070507308681</v>
      </c>
      <c r="K10" s="62">
        <f t="shared" si="5"/>
        <v>36.392949269131556</v>
      </c>
      <c r="L10" s="62">
        <f t="shared" si="5"/>
        <v>51.719690455717966</v>
      </c>
      <c r="M10" s="62">
        <f t="shared" si="5"/>
        <v>35.38263112639725</v>
      </c>
      <c r="N10" s="62">
        <f t="shared" si="5"/>
        <v>31.341358555460008</v>
      </c>
      <c r="O10" s="62">
        <f t="shared" si="5"/>
        <v>27.214101461736888</v>
      </c>
      <c r="P10" s="62">
        <f t="shared" si="5"/>
        <v>21.324161650902841</v>
      </c>
      <c r="Q10" s="62">
        <f t="shared" si="5"/>
        <v>20.313843508168532</v>
      </c>
      <c r="R10" s="62">
        <f t="shared" si="5"/>
        <v>16.186586414445401</v>
      </c>
      <c r="S10" s="62">
        <f t="shared" si="5"/>
        <v>16.882803095442821</v>
      </c>
      <c r="T10" s="62">
        <f t="shared" si="5"/>
        <v>15.651934651762684</v>
      </c>
      <c r="U10" s="62">
        <f t="shared" si="5"/>
        <v>17.240326741186578</v>
      </c>
      <c r="V10" s="62">
        <f t="shared" si="5"/>
        <v>15.490971625107484</v>
      </c>
      <c r="W10" s="62">
        <f t="shared" ref="W10:Y10" si="6">SUM(W11,W17)</f>
        <v>15.148581255374028</v>
      </c>
      <c r="X10" s="62">
        <f t="shared" si="6"/>
        <v>13.699656061908858</v>
      </c>
      <c r="Y10" s="62">
        <f t="shared" si="6"/>
        <v>15.891745485812553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4.4089920072364084</v>
      </c>
      <c r="C11" s="29">
        <f t="shared" ref="C11:V11" si="8">SUM(C12,C13,C16)</f>
        <v>3.1337102228720686</v>
      </c>
      <c r="D11" s="29">
        <f t="shared" si="8"/>
        <v>3.1018199110662006</v>
      </c>
      <c r="E11" s="29">
        <f t="shared" si="8"/>
        <v>3.06160485099088</v>
      </c>
      <c r="F11" s="29">
        <f t="shared" si="8"/>
        <v>2.8146338508290869</v>
      </c>
      <c r="G11" s="29">
        <f t="shared" si="8"/>
        <v>3.066123523289543</v>
      </c>
      <c r="H11" s="29">
        <f t="shared" si="8"/>
        <v>3.3375872458273155</v>
      </c>
      <c r="I11" s="29">
        <f t="shared" si="8"/>
        <v>3.8046897728599536</v>
      </c>
      <c r="J11" s="29">
        <f t="shared" si="8"/>
        <v>3.0080025394609411</v>
      </c>
      <c r="K11" s="29">
        <f t="shared" si="8"/>
        <v>2.8428838553506797</v>
      </c>
      <c r="L11" s="29">
        <f t="shared" si="8"/>
        <v>3.2895175909418017</v>
      </c>
      <c r="M11" s="29">
        <f t="shared" si="8"/>
        <v>3.1278012786578215</v>
      </c>
      <c r="N11" s="29">
        <f t="shared" si="8"/>
        <v>2.6672927381341123</v>
      </c>
      <c r="O11" s="29">
        <f t="shared" si="8"/>
        <v>3.0577967608926944</v>
      </c>
      <c r="P11" s="29">
        <f t="shared" si="8"/>
        <v>3.5393469024011304</v>
      </c>
      <c r="Q11" s="29">
        <f t="shared" si="8"/>
        <v>3.5428201939686113</v>
      </c>
      <c r="R11" s="29">
        <f t="shared" si="8"/>
        <v>3.4540937409510772</v>
      </c>
      <c r="S11" s="29">
        <f t="shared" si="8"/>
        <v>4.0415358697828054</v>
      </c>
      <c r="T11" s="29">
        <f t="shared" si="8"/>
        <v>4.5568894351371823</v>
      </c>
      <c r="U11" s="29">
        <f t="shared" si="8"/>
        <v>5.7092204863643978</v>
      </c>
      <c r="V11" s="29">
        <f t="shared" si="8"/>
        <v>5.8808359506071133</v>
      </c>
      <c r="W11" s="29">
        <f t="shared" ref="W11:Y11" si="9">SUM(W12,W13,W16)</f>
        <v>3.9104867363766136</v>
      </c>
      <c r="X11" s="29">
        <f t="shared" si="9"/>
        <v>5.1351197128800976</v>
      </c>
      <c r="Y11" s="29">
        <f t="shared" si="9"/>
        <v>6.7551076901621716</v>
      </c>
      <c r="DA11" s="173" t="s">
        <v>395</v>
      </c>
    </row>
    <row r="12" spans="1:105" ht="11.45" customHeight="1" x14ac:dyDescent="0.25">
      <c r="A12" s="107" t="s">
        <v>23</v>
      </c>
      <c r="B12" s="115">
        <v>0.54333608215994622</v>
      </c>
      <c r="C12" s="115">
        <v>0.47905988358336832</v>
      </c>
      <c r="D12" s="115">
        <v>0.52602226821378684</v>
      </c>
      <c r="E12" s="115">
        <v>0.53085991846870195</v>
      </c>
      <c r="F12" s="115">
        <v>0.42117517046143926</v>
      </c>
      <c r="G12" s="115">
        <v>0.33841241116509607</v>
      </c>
      <c r="H12" s="115">
        <v>0.34215947987325662</v>
      </c>
      <c r="I12" s="115">
        <v>0.34262082527599358</v>
      </c>
      <c r="J12" s="115">
        <v>0.2575764791824911</v>
      </c>
      <c r="K12" s="115">
        <v>0.28606972416333859</v>
      </c>
      <c r="L12" s="115">
        <v>0.31035285484563119</v>
      </c>
      <c r="M12" s="115">
        <v>0.27236515242598563</v>
      </c>
      <c r="N12" s="115">
        <v>0.37507859973874025</v>
      </c>
      <c r="O12" s="115">
        <v>0.32146493941667509</v>
      </c>
      <c r="P12" s="115">
        <v>0.24558626953566659</v>
      </c>
      <c r="Q12" s="115">
        <v>0.2300318115527733</v>
      </c>
      <c r="R12" s="115">
        <v>0.23137941818594182</v>
      </c>
      <c r="S12" s="115">
        <v>0.23201206199436039</v>
      </c>
      <c r="T12" s="115">
        <v>0.34606192758104104</v>
      </c>
      <c r="U12" s="115">
        <v>0.36630627649022818</v>
      </c>
      <c r="V12" s="115">
        <v>0.5638094742190799</v>
      </c>
      <c r="W12" s="115">
        <v>0.42096730435840057</v>
      </c>
      <c r="X12" s="115">
        <v>0.41890300415595871</v>
      </c>
      <c r="Y12" s="115">
        <v>0.49933567026014597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3.8656559250764619</v>
      </c>
      <c r="C13" s="116">
        <f t="shared" ref="C13:V13" si="11">SUM(C14:C15)</f>
        <v>2.6546503392887004</v>
      </c>
      <c r="D13" s="116">
        <f t="shared" si="11"/>
        <v>2.5757976428524136</v>
      </c>
      <c r="E13" s="116">
        <f t="shared" si="11"/>
        <v>2.530744932522178</v>
      </c>
      <c r="F13" s="116">
        <f t="shared" si="11"/>
        <v>2.3934586803676479</v>
      </c>
      <c r="G13" s="116">
        <f t="shared" si="11"/>
        <v>2.7277111121244468</v>
      </c>
      <c r="H13" s="116">
        <f t="shared" si="11"/>
        <v>2.9954277659540587</v>
      </c>
      <c r="I13" s="116">
        <f t="shared" si="11"/>
        <v>3.4620689475839601</v>
      </c>
      <c r="J13" s="116">
        <f t="shared" si="11"/>
        <v>2.7504260602784498</v>
      </c>
      <c r="K13" s="116">
        <f t="shared" si="11"/>
        <v>2.5568141311873411</v>
      </c>
      <c r="L13" s="116">
        <f t="shared" si="11"/>
        <v>2.9791647360961706</v>
      </c>
      <c r="M13" s="116">
        <f t="shared" si="11"/>
        <v>2.8554361262318357</v>
      </c>
      <c r="N13" s="116">
        <f t="shared" si="11"/>
        <v>2.292214138395372</v>
      </c>
      <c r="O13" s="116">
        <f t="shared" si="11"/>
        <v>2.7363318214760195</v>
      </c>
      <c r="P13" s="116">
        <f t="shared" si="11"/>
        <v>3.2937606328654638</v>
      </c>
      <c r="Q13" s="116">
        <f t="shared" si="11"/>
        <v>3.312788382415838</v>
      </c>
      <c r="R13" s="116">
        <f t="shared" si="11"/>
        <v>3.2227143227651354</v>
      </c>
      <c r="S13" s="116">
        <f t="shared" si="11"/>
        <v>3.8095238077884455</v>
      </c>
      <c r="T13" s="116">
        <f t="shared" si="11"/>
        <v>4.2108275075561412</v>
      </c>
      <c r="U13" s="116">
        <f t="shared" si="11"/>
        <v>5.34291420987417</v>
      </c>
      <c r="V13" s="116">
        <f t="shared" si="11"/>
        <v>5.3170264763880333</v>
      </c>
      <c r="W13" s="116">
        <f t="shared" ref="W13:Y13" si="12">SUM(W14:W15)</f>
        <v>3.4895194320182132</v>
      </c>
      <c r="X13" s="116">
        <f t="shared" si="12"/>
        <v>4.7162167087241391</v>
      </c>
      <c r="Y13" s="116">
        <f t="shared" si="12"/>
        <v>6.2557720199020252</v>
      </c>
      <c r="DA13" s="176" t="s">
        <v>397</v>
      </c>
    </row>
    <row r="14" spans="1:105" ht="11.45" customHeight="1" x14ac:dyDescent="0.25">
      <c r="A14" s="111" t="s">
        <v>95</v>
      </c>
      <c r="B14" s="87">
        <v>3.0332396426620312</v>
      </c>
      <c r="C14" s="87">
        <v>1.6719733355117936</v>
      </c>
      <c r="D14" s="87">
        <v>1.6400830237059256</v>
      </c>
      <c r="E14" s="87">
        <v>1.5138834408447059</v>
      </c>
      <c r="F14" s="87">
        <v>1.6108505318265072</v>
      </c>
      <c r="G14" s="87">
        <v>1.8623402042869628</v>
      </c>
      <c r="H14" s="87">
        <v>2.1338039268247355</v>
      </c>
      <c r="I14" s="87">
        <v>2.6868909766432725</v>
      </c>
      <c r="J14" s="87">
        <v>1.8902037432442598</v>
      </c>
      <c r="K14" s="87">
        <v>1.8110695819198979</v>
      </c>
      <c r="L14" s="87">
        <v>2.0857342719392218</v>
      </c>
      <c r="M14" s="87">
        <v>2.0959870052270393</v>
      </c>
      <c r="N14" s="87">
        <v>1.6354784647033305</v>
      </c>
      <c r="O14" s="87">
        <v>2.111967010247811</v>
      </c>
      <c r="P14" s="87">
        <v>2.4215481061844493</v>
      </c>
      <c r="Q14" s="87">
        <v>2.4250213977519302</v>
      </c>
      <c r="R14" s="87">
        <v>2.422279467520295</v>
      </c>
      <c r="S14" s="87">
        <v>2.9237370735661248</v>
      </c>
      <c r="T14" s="87">
        <v>3.6970442072781973</v>
      </c>
      <c r="U14" s="87">
        <v>4.677406212933616</v>
      </c>
      <c r="V14" s="87">
        <v>4.8920139385692805</v>
      </c>
      <c r="W14" s="87">
        <v>2.7861531164282045</v>
      </c>
      <c r="X14" s="87">
        <v>4.0644404351500896</v>
      </c>
      <c r="Y14" s="87">
        <v>4.7471971140658678</v>
      </c>
      <c r="DA14" s="171" t="s">
        <v>1108</v>
      </c>
    </row>
    <row r="15" spans="1:105" ht="11.45" customHeight="1" x14ac:dyDescent="0.25">
      <c r="A15" s="111" t="s">
        <v>93</v>
      </c>
      <c r="B15" s="87">
        <v>0.83241628241443066</v>
      </c>
      <c r="C15" s="87">
        <v>0.98267700377690659</v>
      </c>
      <c r="D15" s="87">
        <v>0.93571461914648812</v>
      </c>
      <c r="E15" s="87">
        <v>1.0168614916774721</v>
      </c>
      <c r="F15" s="87">
        <v>0.78260814854114069</v>
      </c>
      <c r="G15" s="87">
        <v>0.86537090783748394</v>
      </c>
      <c r="H15" s="87">
        <v>0.86162383912932328</v>
      </c>
      <c r="I15" s="87">
        <v>0.77517797094068741</v>
      </c>
      <c r="J15" s="87">
        <v>0.86022231703418994</v>
      </c>
      <c r="K15" s="87">
        <v>0.74574454926744338</v>
      </c>
      <c r="L15" s="87">
        <v>0.89343046415694893</v>
      </c>
      <c r="M15" s="87">
        <v>0.75944912100479633</v>
      </c>
      <c r="N15" s="87">
        <v>0.65673567369204178</v>
      </c>
      <c r="O15" s="87">
        <v>0.62436481122820875</v>
      </c>
      <c r="P15" s="87">
        <v>0.87221252668101457</v>
      </c>
      <c r="Q15" s="87">
        <v>0.8877669846639078</v>
      </c>
      <c r="R15" s="87">
        <v>0.80043485524484015</v>
      </c>
      <c r="S15" s="87">
        <v>0.88578673422232068</v>
      </c>
      <c r="T15" s="87">
        <v>0.51378330027794439</v>
      </c>
      <c r="U15" s="87">
        <v>0.66550799694055385</v>
      </c>
      <c r="V15" s="87">
        <v>0.4250125378187532</v>
      </c>
      <c r="W15" s="87">
        <v>0.70336631559000862</v>
      </c>
      <c r="X15" s="87">
        <v>0.65177627357404933</v>
      </c>
      <c r="Y15" s="87">
        <v>1.5085749058361571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40.41044049491321</v>
      </c>
      <c r="C17" s="29">
        <f t="shared" si="13"/>
        <v>38.740752373860516</v>
      </c>
      <c r="D17" s="29">
        <f t="shared" si="13"/>
        <v>49.886142255743771</v>
      </c>
      <c r="E17" s="29">
        <f t="shared" si="13"/>
        <v>43.950432982199139</v>
      </c>
      <c r="F17" s="29">
        <f t="shared" si="13"/>
        <v>37.79155703481149</v>
      </c>
      <c r="G17" s="29">
        <f t="shared" si="13"/>
        <v>40.571021790553964</v>
      </c>
      <c r="H17" s="29">
        <f t="shared" si="13"/>
        <v>42.320194353484808</v>
      </c>
      <c r="I17" s="29">
        <f t="shared" si="13"/>
        <v>34.694880304526123</v>
      </c>
      <c r="J17" s="29">
        <f t="shared" si="13"/>
        <v>24.378067967847741</v>
      </c>
      <c r="K17" s="29">
        <f t="shared" si="13"/>
        <v>33.550065413780878</v>
      </c>
      <c r="L17" s="29">
        <f t="shared" si="13"/>
        <v>48.430172864776168</v>
      </c>
      <c r="M17" s="29">
        <f t="shared" si="13"/>
        <v>32.25482984773943</v>
      </c>
      <c r="N17" s="29">
        <f t="shared" si="13"/>
        <v>28.674065817325896</v>
      </c>
      <c r="O17" s="29">
        <f t="shared" si="13"/>
        <v>24.156304700844192</v>
      </c>
      <c r="P17" s="29">
        <f t="shared" si="13"/>
        <v>17.784814748501709</v>
      </c>
      <c r="Q17" s="29">
        <f t="shared" si="13"/>
        <v>16.771023314199919</v>
      </c>
      <c r="R17" s="29">
        <f t="shared" si="13"/>
        <v>12.732492673494324</v>
      </c>
      <c r="S17" s="29">
        <f t="shared" si="13"/>
        <v>12.841267225660015</v>
      </c>
      <c r="T17" s="29">
        <f t="shared" si="13"/>
        <v>11.095045216625502</v>
      </c>
      <c r="U17" s="29">
        <f t="shared" si="13"/>
        <v>11.531106254822182</v>
      </c>
      <c r="V17" s="29">
        <f t="shared" si="13"/>
        <v>9.6101356745003699</v>
      </c>
      <c r="W17" s="29">
        <f t="shared" si="13"/>
        <v>11.238094518997414</v>
      </c>
      <c r="X17" s="29">
        <f t="shared" ref="X17:Y17" si="14">SUM(X18:X19)</f>
        <v>8.56453634902876</v>
      </c>
      <c r="Y17" s="29">
        <f t="shared" si="14"/>
        <v>9.1366377956503815</v>
      </c>
      <c r="DA17" s="173" t="s">
        <v>402</v>
      </c>
    </row>
    <row r="18" spans="1:105" ht="11.45" customHeight="1" x14ac:dyDescent="0.25">
      <c r="A18" s="83" t="s">
        <v>95</v>
      </c>
      <c r="B18" s="87">
        <v>40.41044049491321</v>
      </c>
      <c r="C18" s="87">
        <v>38.740752373860516</v>
      </c>
      <c r="D18" s="87">
        <v>49.886142255743771</v>
      </c>
      <c r="E18" s="87">
        <v>43.950432982199139</v>
      </c>
      <c r="F18" s="87">
        <v>37.79155703481149</v>
      </c>
      <c r="G18" s="87">
        <v>40.571021790553964</v>
      </c>
      <c r="H18" s="87">
        <v>42.320194353484808</v>
      </c>
      <c r="I18" s="87">
        <v>34.694880304526123</v>
      </c>
      <c r="J18" s="87">
        <v>24.378067967847741</v>
      </c>
      <c r="K18" s="87">
        <v>33.550065413780878</v>
      </c>
      <c r="L18" s="87">
        <v>48.430172864776168</v>
      </c>
      <c r="M18" s="87">
        <v>32.25482984773943</v>
      </c>
      <c r="N18" s="87">
        <v>28.674065817325896</v>
      </c>
      <c r="O18" s="87">
        <v>24.156304700844192</v>
      </c>
      <c r="P18" s="87">
        <v>17.784814748501709</v>
      </c>
      <c r="Q18" s="87">
        <v>16.771023314199919</v>
      </c>
      <c r="R18" s="87">
        <v>12.732492673494324</v>
      </c>
      <c r="S18" s="87">
        <v>12.841267225660015</v>
      </c>
      <c r="T18" s="87">
        <v>11.095045216625502</v>
      </c>
      <c r="U18" s="87">
        <v>11.531106254822182</v>
      </c>
      <c r="V18" s="87">
        <v>9.6101356745003699</v>
      </c>
      <c r="W18" s="87">
        <v>11.238094518997414</v>
      </c>
      <c r="X18" s="87">
        <v>8.56453634902876</v>
      </c>
      <c r="Y18" s="87">
        <v>9.1366377956503815</v>
      </c>
      <c r="DA18" s="171" t="s">
        <v>1110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385.42469513814984</v>
      </c>
      <c r="C23" s="62">
        <f>IF(C10=0,0,C10/TrRail_act!C14*100)</f>
        <v>391.88983805312108</v>
      </c>
      <c r="D23" s="62">
        <f>IF(D10=0,0,D10/TrRail_act!D14*100)</f>
        <v>402.87244550117106</v>
      </c>
      <c r="E23" s="62">
        <f>IF(E10=0,0,E10/TrRail_act!E14*100)</f>
        <v>389.48013602222818</v>
      </c>
      <c r="F23" s="62">
        <f>IF(F10=0,0,F10/TrRail_act!F14*100)</f>
        <v>389.97533930268935</v>
      </c>
      <c r="G23" s="62">
        <f>IF(G10=0,0,G10/TrRail_act!G14*100)</f>
        <v>394.70803535410568</v>
      </c>
      <c r="H23" s="62">
        <f>IF(H10=0,0,H10/TrRail_act!H14*100)</f>
        <v>390.29272918598912</v>
      </c>
      <c r="I23" s="62">
        <f>IF(I10=0,0,I10/TrRail_act!I14*100)</f>
        <v>368.41773523007424</v>
      </c>
      <c r="J23" s="62">
        <f>IF(J10=0,0,J10/TrRail_act!J14*100)</f>
        <v>351.43036454502226</v>
      </c>
      <c r="K23" s="62">
        <f>IF(K10=0,0,K10/TrRail_act!K14*100)</f>
        <v>363.39058889092468</v>
      </c>
      <c r="L23" s="62">
        <f>IF(L10=0,0,L10/TrRail_act!L14*100)</f>
        <v>367.33458583841963</v>
      </c>
      <c r="M23" s="62">
        <f>IF(M10=0,0,M10/TrRail_act!M14*100)</f>
        <v>346.56063538298423</v>
      </c>
      <c r="N23" s="62">
        <f>IF(N10=0,0,N10/TrRail_act!N14*100)</f>
        <v>332.32984610865969</v>
      </c>
      <c r="O23" s="62">
        <f>IF(O10=0,0,O10/TrRail_act!O14*100)</f>
        <v>318.72019479783705</v>
      </c>
      <c r="P23" s="62">
        <f>IF(P10=0,0,P10/TrRail_act!P14*100)</f>
        <v>292.77991116740998</v>
      </c>
      <c r="Q23" s="62">
        <f>IF(Q10=0,0,Q10/TrRail_act!Q14*100)</f>
        <v>284.40216024902605</v>
      </c>
      <c r="R23" s="62">
        <f>IF(R10=0,0,R10/TrRail_act!R14*100)</f>
        <v>262.9198943815129</v>
      </c>
      <c r="S23" s="62">
        <f>IF(S10=0,0,S10/TrRail_act!S14*100)</f>
        <v>253.56652619709155</v>
      </c>
      <c r="T23" s="62">
        <f>IF(T10=0,0,T10/TrRail_act!T14*100)</f>
        <v>231.01210904185479</v>
      </c>
      <c r="U23" s="62">
        <f>IF(U10=0,0,U10/TrRail_act!U14*100)</f>
        <v>220.43382212941248</v>
      </c>
      <c r="V23" s="62">
        <f>IF(V10=0,0,V10/TrRail_act!V14*100)</f>
        <v>195.92691246757195</v>
      </c>
      <c r="W23" s="62">
        <f>IF(W10=0,0,W10/TrRail_act!W14*100)</f>
        <v>219.52759665706449</v>
      </c>
      <c r="X23" s="62">
        <f>IF(X10=0,0,X10/TrRail_act!X14*100)</f>
        <v>196.55257524275302</v>
      </c>
      <c r="Y23" s="62">
        <f>IF(Y10=0,0,Y10/TrRail_act!Y14*100)</f>
        <v>182.10391503705924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140.41033800004229</v>
      </c>
      <c r="C24" s="29">
        <f>IF(C11=0,0,C11/TrRail_act!C15*100)</f>
        <v>124.3501485096662</v>
      </c>
      <c r="D24" s="29">
        <f>IF(D11=0,0,D11/TrRail_act!D15*100)</f>
        <v>119.44012289589945</v>
      </c>
      <c r="E24" s="29">
        <f>IF(E11=0,0,E11/TrRail_act!E15*100)</f>
        <v>113.34967683060222</v>
      </c>
      <c r="F24" s="29">
        <f>IF(F11=0,0,F11/TrRail_act!F15*100)</f>
        <v>119.80013495072248</v>
      </c>
      <c r="G24" s="29">
        <f>IF(G11=0,0,G11/TrRail_act!G15*100)</f>
        <v>129.1110993856704</v>
      </c>
      <c r="H24" s="29">
        <f>IF(H11=0,0,H11/TrRail_act!H15*100)</f>
        <v>130.57962917305835</v>
      </c>
      <c r="I24" s="29">
        <f>IF(I11=0,0,I11/TrRail_act!I15*100)</f>
        <v>136.43888792321951</v>
      </c>
      <c r="J24" s="29">
        <f>IF(J11=0,0,J11/TrRail_act!J15*100)</f>
        <v>130.82328897776679</v>
      </c>
      <c r="K24" s="29">
        <f>IF(K11=0,0,K11/TrRail_act!K15*100)</f>
        <v>124.90420263900062</v>
      </c>
      <c r="L24" s="29">
        <f>IF(L11=0,0,L11/TrRail_act!L15*100)</f>
        <v>124.98236473910096</v>
      </c>
      <c r="M24" s="29">
        <f>IF(M11=0,0,M11/TrRail_act!M15*100)</f>
        <v>127.07262635373245</v>
      </c>
      <c r="N24" s="29">
        <f>IF(N11=0,0,N11/TrRail_act!N15*100)</f>
        <v>107.36035299931621</v>
      </c>
      <c r="O24" s="29">
        <f>IF(O11=0,0,O11/TrRail_act!O15*100)</f>
        <v>116.7129035480848</v>
      </c>
      <c r="P24" s="29">
        <f>IF(P11=0,0,P11/TrRail_act!P15*100)</f>
        <v>124.18671802783625</v>
      </c>
      <c r="Q24" s="29">
        <f>IF(Q11=0,0,Q11/TrRail_act!Q15*100)</f>
        <v>122.53473901056213</v>
      </c>
      <c r="R24" s="29">
        <f>IF(R11=0,0,R11/TrRail_act!R15*100)</f>
        <v>119.60318522399611</v>
      </c>
      <c r="S24" s="29">
        <f>IF(S11=0,0,S11/TrRail_act!S15*100)</f>
        <v>121.96403865006657</v>
      </c>
      <c r="T24" s="29">
        <f>IF(T11=0,0,T11/TrRail_act!T15*100)</f>
        <v>118.68235567149132</v>
      </c>
      <c r="U24" s="29">
        <f>IF(U11=0,0,U11/TrRail_act!U15*100)</f>
        <v>121.0121822219338</v>
      </c>
      <c r="V24" s="29">
        <f>IF(V11=0,0,V11/TrRail_act!V15*100)</f>
        <v>111.22623115882266</v>
      </c>
      <c r="W24" s="29">
        <f>IF(W11=0,0,W11/TrRail_act!W15*100)</f>
        <v>102.68198649474552</v>
      </c>
      <c r="X24" s="29">
        <f>IF(X11=0,0,X11/TrRail_act!X15*100)</f>
        <v>111.71673493280106</v>
      </c>
      <c r="Y24" s="29">
        <f>IF(Y11=0,0,Y11/TrRail_act!Y15*100)</f>
        <v>109.28454527637992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41.039718224237944</v>
      </c>
      <c r="C25" s="115">
        <f>IF(C12=0,0,C12/TrRail_act!C16*100)</f>
        <v>40.640009297872801</v>
      </c>
      <c r="D25" s="115">
        <f>IF(D12=0,0,D12/TrRail_act!D16*100)</f>
        <v>40.618367029113408</v>
      </c>
      <c r="E25" s="115">
        <f>IF(E12=0,0,E12/TrRail_act!E16*100)</f>
        <v>40.102112800053042</v>
      </c>
      <c r="F25" s="115">
        <f>IF(F12=0,0,F12/TrRail_act!F16*100)</f>
        <v>39.839876839160816</v>
      </c>
      <c r="G25" s="115">
        <f>IF(G12=0,0,G12/TrRail_act!G16*100)</f>
        <v>38.307398518930405</v>
      </c>
      <c r="H25" s="115">
        <f>IF(H12=0,0,H12/TrRail_act!H16*100)</f>
        <v>37.440660489976558</v>
      </c>
      <c r="I25" s="115">
        <f>IF(I12=0,0,I12/TrRail_act!I16*100)</f>
        <v>36.687862389513484</v>
      </c>
      <c r="J25" s="115">
        <f>IF(J12=0,0,J12/TrRail_act!J16*100)</f>
        <v>36.222728015481685</v>
      </c>
      <c r="K25" s="115">
        <f>IF(K12=0,0,K12/TrRail_act!K16*100)</f>
        <v>35.912833340423312</v>
      </c>
      <c r="L25" s="115">
        <f>IF(L12=0,0,L12/TrRail_act!L16*100)</f>
        <v>35.883317465915603</v>
      </c>
      <c r="M25" s="115">
        <f>IF(M12=0,0,M12/TrRail_act!M16*100)</f>
        <v>35.133997401755401</v>
      </c>
      <c r="N25" s="115">
        <f>IF(N12=0,0,N12/TrRail_act!N16*100)</f>
        <v>34.712772500955843</v>
      </c>
      <c r="O25" s="115">
        <f>IF(O12=0,0,O12/TrRail_act!O16*100)</f>
        <v>34.366224316441638</v>
      </c>
      <c r="P25" s="115">
        <f>IF(P12=0,0,P12/TrRail_act!P16*100)</f>
        <v>33.561039390076552</v>
      </c>
      <c r="Q25" s="115">
        <f>IF(Q12=0,0,Q12/TrRail_act!Q16*100)</f>
        <v>33.060200300482073</v>
      </c>
      <c r="R25" s="115">
        <f>IF(R12=0,0,R12/TrRail_act!R16*100)</f>
        <v>32.689482013833292</v>
      </c>
      <c r="S25" s="115">
        <f>IF(S12=0,0,S12/TrRail_act!S16*100)</f>
        <v>32.414173904094675</v>
      </c>
      <c r="T25" s="115">
        <f>IF(T12=0,0,T12/TrRail_act!T16*100)</f>
        <v>32.209215452424985</v>
      </c>
      <c r="U25" s="115">
        <f>IF(U12=0,0,U12/TrRail_act!U16*100)</f>
        <v>32.056348228090357</v>
      </c>
      <c r="V25" s="115">
        <f>IF(V12=0,0,V12/TrRail_act!V16*100)</f>
        <v>31.942179475905807</v>
      </c>
      <c r="W25" s="115">
        <f>IF(W12=0,0,W12/TrRail_act!W16*100)</f>
        <v>31.856809013133685</v>
      </c>
      <c r="X25" s="115">
        <f>IF(X12=0,0,X12/TrRail_act!X16*100)</f>
        <v>31.792946774183186</v>
      </c>
      <c r="Y25" s="115">
        <f>IF(Y12=0,0,Y12/TrRail_act!Y16*100)</f>
        <v>31.74511484109674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212.84904390128366</v>
      </c>
      <c r="C26" s="116">
        <f>IF(C13=0,0,C13/TrRail_act!C17*100)</f>
        <v>197.91906914160128</v>
      </c>
      <c r="D26" s="116">
        <f>IF(D13=0,0,D13/TrRail_act!D17*100)</f>
        <v>197.84441222662292</v>
      </c>
      <c r="E26" s="116">
        <f>IF(E13=0,0,E13/TrRail_act!E17*100)</f>
        <v>183.75267703152173</v>
      </c>
      <c r="F26" s="116">
        <f>IF(F13=0,0,F13/TrRail_act!F17*100)</f>
        <v>185.21330759803209</v>
      </c>
      <c r="G26" s="116">
        <f>IF(G13=0,0,G13/TrRail_act!G17*100)</f>
        <v>182.89821683357798</v>
      </c>
      <c r="H26" s="116">
        <f>IF(H13=0,0,H13/TrRail_act!H17*100)</f>
        <v>182.41366395270788</v>
      </c>
      <c r="I26" s="116">
        <f>IF(I13=0,0,I13/TrRail_act!I17*100)</f>
        <v>186.66600288167888</v>
      </c>
      <c r="J26" s="116">
        <f>IF(J13=0,0,J13/TrRail_act!J17*100)</f>
        <v>173.1792628468003</v>
      </c>
      <c r="K26" s="116">
        <f>IF(K13=0,0,K13/TrRail_act!K17*100)</f>
        <v>172.81789946984307</v>
      </c>
      <c r="L26" s="116">
        <f>IF(L13=0,0,L13/TrRail_act!L17*100)</f>
        <v>168.59148625629717</v>
      </c>
      <c r="M26" s="116">
        <f>IF(M13=0,0,M13/TrRail_act!M17*100)</f>
        <v>169.34049829866476</v>
      </c>
      <c r="N26" s="116">
        <f>IF(N13=0,0,N13/TrRail_act!N17*100)</f>
        <v>163.27364053864662</v>
      </c>
      <c r="O26" s="116">
        <f>IF(O13=0,0,O13/TrRail_act!O17*100)</f>
        <v>162.4397768604417</v>
      </c>
      <c r="P26" s="116">
        <f>IF(P13=0,0,P13/TrRail_act!P17*100)</f>
        <v>155.4936559098783</v>
      </c>
      <c r="Q26" s="116">
        <f>IF(Q13=0,0,Q13/TrRail_act!Q17*100)</f>
        <v>150.89120619450833</v>
      </c>
      <c r="R26" s="116">
        <f>IF(R13=0,0,R13/TrRail_act!R17*100)</f>
        <v>147.82066985477019</v>
      </c>
      <c r="S26" s="116">
        <f>IF(S13=0,0,S13/TrRail_act!S17*100)</f>
        <v>146.63646291297968</v>
      </c>
      <c r="T26" s="116">
        <f>IF(T13=0,0,T13/TrRail_act!T17*100)</f>
        <v>152.28213370888955</v>
      </c>
      <c r="U26" s="116">
        <f>IF(U13=0,0,U13/TrRail_act!U17*100)</f>
        <v>149.44403267052101</v>
      </c>
      <c r="V26" s="116">
        <f>IF(V13=0,0,V13/TrRail_act!V17*100)</f>
        <v>150.95838121786076</v>
      </c>
      <c r="W26" s="116">
        <f>IF(W13=0,0,W13/TrRail_act!W17*100)</f>
        <v>140.31538474658828</v>
      </c>
      <c r="X26" s="116">
        <f>IF(X13=0,0,X13/TrRail_act!X17*100)</f>
        <v>143.8328576214964</v>
      </c>
      <c r="Y26" s="116">
        <f>IF(Y13=0,0,Y13/TrRail_act!Y17*100)</f>
        <v>135.75135197279388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234.64497955869484</v>
      </c>
      <c r="C27" s="87">
        <f>IF(C14=0,0,C14/TrRail_act!C18*100)</f>
        <v>234.53032460881468</v>
      </c>
      <c r="D27" s="87">
        <f>IF(D14=0,0,D14/TrRail_act!D18*100)</f>
        <v>233.72353905642714</v>
      </c>
      <c r="E27" s="87">
        <f>IF(E14=0,0,E14/TrRail_act!E18*100)</f>
        <v>221.30420528318612</v>
      </c>
      <c r="F27" s="87">
        <f>IF(F14=0,0,F14/TrRail_act!F18*100)</f>
        <v>215.07307733024129</v>
      </c>
      <c r="G27" s="87">
        <f>IF(G14=0,0,G14/TrRail_act!G18*100)</f>
        <v>211.03184730886974</v>
      </c>
      <c r="H27" s="87">
        <f>IF(H14=0,0,H14/TrRail_act!H18*100)</f>
        <v>209.90389950856016</v>
      </c>
      <c r="I27" s="87">
        <f>IF(I14=0,0,I14/TrRail_act!I18*100)</f>
        <v>210.38845048523706</v>
      </c>
      <c r="J27" s="87">
        <f>IF(J14=0,0,J14/TrRail_act!J18*100)</f>
        <v>204.97566358074212</v>
      </c>
      <c r="K27" s="87">
        <f>IF(K14=0,0,K14/TrRail_act!K18*100)</f>
        <v>202.41638423688477</v>
      </c>
      <c r="L27" s="87">
        <f>IF(L14=0,0,L14/TrRail_act!L18*100)</f>
        <v>197.23461797991973</v>
      </c>
      <c r="M27" s="87">
        <f>IF(M14=0,0,M14/TrRail_act!M18*100)</f>
        <v>194.38406944475534</v>
      </c>
      <c r="N27" s="87">
        <f>IF(N14=0,0,N14/TrRail_act!N18*100)</f>
        <v>189.58198683223048</v>
      </c>
      <c r="O27" s="87">
        <f>IF(O14=0,0,O14/TrRail_act!O18*100)</f>
        <v>183.15211419639405</v>
      </c>
      <c r="P27" s="87">
        <f>IF(P14=0,0,P14/TrRail_act!P18*100)</f>
        <v>178.29066991325033</v>
      </c>
      <c r="Q27" s="87">
        <f>IF(Q14=0,0,Q14/TrRail_act!Q18*100)</f>
        <v>172.9101176600185</v>
      </c>
      <c r="R27" s="87">
        <f>IF(R14=0,0,R14/TrRail_act!R18*100)</f>
        <v>168.13662639528289</v>
      </c>
      <c r="S27" s="87">
        <f>IF(S14=0,0,S14/TrRail_act!S18*100)</f>
        <v>165.46640568273457</v>
      </c>
      <c r="T27" s="87">
        <f>IF(T14=0,0,T14/TrRail_act!T18*100)</f>
        <v>162.67414836824179</v>
      </c>
      <c r="U27" s="87">
        <f>IF(U14=0,0,U14/TrRail_act!U18*100)</f>
        <v>159.80786668956867</v>
      </c>
      <c r="V27" s="87">
        <f>IF(V14=0,0,V14/TrRail_act!V18*100)</f>
        <v>157.69134711227565</v>
      </c>
      <c r="W27" s="87">
        <f>IF(W14=0,0,W14/TrRail_act!W18*100)</f>
        <v>156.12237349236128</v>
      </c>
      <c r="X27" s="87">
        <f>IF(X14=0,0,X14/TrRail_act!X18*100)</f>
        <v>154.95589634455229</v>
      </c>
      <c r="Y27" s="87">
        <f>IF(Y14=0,0,Y14/TrRail_act!Y18*100)</f>
        <v>154.08676144908969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159.0231955325167</v>
      </c>
      <c r="C28" s="87">
        <f>IF(C15=0,0,C15/TrRail_act!C19*100)</f>
        <v>156.38312711895529</v>
      </c>
      <c r="D28" s="87">
        <f>IF(D15=0,0,D15/TrRail_act!D19*100)</f>
        <v>155.89742513847693</v>
      </c>
      <c r="E28" s="87">
        <f>IF(E15=0,0,E15/TrRail_act!E19*100)</f>
        <v>146.69461124642297</v>
      </c>
      <c r="F28" s="87">
        <f>IF(F15=0,0,F15/TrRail_act!F19*100)</f>
        <v>144.04894711525</v>
      </c>
      <c r="G28" s="87">
        <f>IF(G15=0,0,G15/TrRail_act!G19*100)</f>
        <v>142.1228108048347</v>
      </c>
      <c r="H28" s="87">
        <f>IF(H15=0,0,H15/TrRail_act!H19*100)</f>
        <v>137.73974649873941</v>
      </c>
      <c r="I28" s="87">
        <f>IF(I15=0,0,I15/TrRail_act!I19*100)</f>
        <v>134.21209240905822</v>
      </c>
      <c r="J28" s="87">
        <f>IF(J15=0,0,J15/TrRail_act!J19*100)</f>
        <v>129.15555148517461</v>
      </c>
      <c r="K28" s="87">
        <f>IF(K15=0,0,K15/TrRail_act!K19*100)</f>
        <v>127.53007337154354</v>
      </c>
      <c r="L28" s="87">
        <f>IF(L15=0,0,L15/TrRail_act!L19*100)</f>
        <v>125.90587000454421</v>
      </c>
      <c r="M28" s="87">
        <f>IF(M15=0,0,M15/TrRail_act!M19*100)</f>
        <v>124.92195871912315</v>
      </c>
      <c r="N28" s="87">
        <f>IF(N15=0,0,N15/TrRail_act!N19*100)</f>
        <v>121.34056514506911</v>
      </c>
      <c r="O28" s="87">
        <f>IF(O15=0,0,O15/TrRail_act!O19*100)</f>
        <v>117.4945476508598</v>
      </c>
      <c r="P28" s="87">
        <f>IF(P15=0,0,P15/TrRail_act!P19*100)</f>
        <v>114.75603483283132</v>
      </c>
      <c r="Q28" s="87">
        <f>IF(Q15=0,0,Q15/TrRail_act!Q19*100)</f>
        <v>111.94955279037772</v>
      </c>
      <c r="R28" s="87">
        <f>IF(R15=0,0,R15/TrRail_act!R19*100)</f>
        <v>108.24147844406249</v>
      </c>
      <c r="S28" s="87">
        <f>IF(S15=0,0,S15/TrRail_act!S19*100)</f>
        <v>106.59666162129926</v>
      </c>
      <c r="T28" s="87">
        <f>IF(T15=0,0,T15/TrRail_act!T19*100)</f>
        <v>104.32567755819638</v>
      </c>
      <c r="U28" s="87">
        <f>IF(U15=0,0,U15/TrRail_act!U19*100)</f>
        <v>102.65424918445085</v>
      </c>
      <c r="V28" s="87">
        <f>IF(V15=0,0,V15/TrRail_act!V19*100)</f>
        <v>101.21545521908769</v>
      </c>
      <c r="W28" s="87">
        <f>IF(W15=0,0,W15/TrRail_act!W19*100)</f>
        <v>100.1495752172511</v>
      </c>
      <c r="X28" s="87">
        <f>IF(X15=0,0,X15/TrRail_act!X19*100)</f>
        <v>99.357587332049519</v>
      </c>
      <c r="Y28" s="87">
        <f>IF(Y15=0,0,Y15/TrRail_act!Y19*100)</f>
        <v>98.767649286305243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476.06063621696427</v>
      </c>
      <c r="C30" s="29">
        <f>IF(C17=0,0,C17/TrRail_act!C21*100)</f>
        <v>474.46210902203808</v>
      </c>
      <c r="D30" s="29">
        <f>IF(D17=0,0,D17/TrRail_act!D21*100)</f>
        <v>472.60472307769146</v>
      </c>
      <c r="E30" s="29">
        <f>IF(E17=0,0,E17/TrRail_act!E21*100)</f>
        <v>469.08322275497261</v>
      </c>
      <c r="F30" s="29">
        <f>IF(F17=0,0,F17/TrRail_act!F21*100)</f>
        <v>468.69988200372649</v>
      </c>
      <c r="G30" s="29">
        <f>IF(G17=0,0,G17/TrRail_act!G21*100)</f>
        <v>467.36740056456119</v>
      </c>
      <c r="H30" s="29">
        <f>IF(H17=0,0,H17/TrRail_act!H21*100)</f>
        <v>462.90207548822497</v>
      </c>
      <c r="I30" s="29">
        <f>IF(I17=0,0,I17/TrRail_act!I21*100)</f>
        <v>452.85239114342681</v>
      </c>
      <c r="J30" s="29">
        <f>IF(J17=0,0,J17/TrRail_act!J21*100)</f>
        <v>443.76545545052562</v>
      </c>
      <c r="K30" s="29">
        <f>IF(K17=0,0,K17/TrRail_act!K21*100)</f>
        <v>433.53179728648445</v>
      </c>
      <c r="L30" s="29">
        <f>IF(L17=0,0,L17/TrRail_act!L21*100)</f>
        <v>423.05455038490987</v>
      </c>
      <c r="M30" s="29">
        <f>IF(M17=0,0,M17/TrRail_act!M21*100)</f>
        <v>416.2868103759256</v>
      </c>
      <c r="N30" s="29">
        <f>IF(N17=0,0,N17/TrRail_act!N21*100)</f>
        <v>412.7921660999981</v>
      </c>
      <c r="O30" s="29">
        <f>IF(O17=0,0,O17/TrRail_act!O21*100)</f>
        <v>408.14045604738567</v>
      </c>
      <c r="P30" s="29">
        <f>IF(P17=0,0,P17/TrRail_act!P21*100)</f>
        <v>401.16232240030223</v>
      </c>
      <c r="Q30" s="29">
        <f>IF(Q17=0,0,Q17/TrRail_act!Q21*100)</f>
        <v>394.4852237546375</v>
      </c>
      <c r="R30" s="29">
        <f>IF(R17=0,0,R17/TrRail_act!R21*100)</f>
        <v>389.55043457635361</v>
      </c>
      <c r="S30" s="29">
        <f>IF(S17=0,0,S17/TrRail_act!S21*100)</f>
        <v>383.96044687101431</v>
      </c>
      <c r="T30" s="29">
        <f>IF(T17=0,0,T17/TrRail_act!T21*100)</f>
        <v>377.9215574098169</v>
      </c>
      <c r="U30" s="29">
        <f>IF(U17=0,0,U17/TrRail_act!U21*100)</f>
        <v>371.58752837972742</v>
      </c>
      <c r="V30" s="29">
        <f>IF(V17=0,0,V17/TrRail_act!V21*100)</f>
        <v>366.90677152609538</v>
      </c>
      <c r="W30" s="29">
        <f>IF(W17=0,0,W17/TrRail_act!W21*100)</f>
        <v>363.43493837233433</v>
      </c>
      <c r="X30" s="29">
        <f>IF(X17=0,0,X17/TrRail_act!X21*100)</f>
        <v>360.85263969015722</v>
      </c>
      <c r="Y30" s="29">
        <f>IF(Y17=0,0,Y17/TrRail_act!Y21*100)</f>
        <v>358.92796343187035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476.06063621696427</v>
      </c>
      <c r="C31" s="87">
        <f>IF(C18=0,0,C18/TrRail_act!C22*100)</f>
        <v>474.46210902203808</v>
      </c>
      <c r="D31" s="87">
        <f>IF(D18=0,0,D18/TrRail_act!D22*100)</f>
        <v>472.60472307769146</v>
      </c>
      <c r="E31" s="87">
        <f>IF(E18=0,0,E18/TrRail_act!E22*100)</f>
        <v>469.08322275497261</v>
      </c>
      <c r="F31" s="87">
        <f>IF(F18=0,0,F18/TrRail_act!F22*100)</f>
        <v>468.69988200372649</v>
      </c>
      <c r="G31" s="87">
        <f>IF(G18=0,0,G18/TrRail_act!G22*100)</f>
        <v>467.36740056456119</v>
      </c>
      <c r="H31" s="87">
        <f>IF(H18=0,0,H18/TrRail_act!H22*100)</f>
        <v>462.90207548822497</v>
      </c>
      <c r="I31" s="87">
        <f>IF(I18=0,0,I18/TrRail_act!I22*100)</f>
        <v>452.85239114342681</v>
      </c>
      <c r="J31" s="87">
        <f>IF(J18=0,0,J18/TrRail_act!J22*100)</f>
        <v>443.76545545052562</v>
      </c>
      <c r="K31" s="87">
        <f>IF(K18=0,0,K18/TrRail_act!K22*100)</f>
        <v>433.53179728648445</v>
      </c>
      <c r="L31" s="87">
        <f>IF(L18=0,0,L18/TrRail_act!L22*100)</f>
        <v>423.05455038490987</v>
      </c>
      <c r="M31" s="87">
        <f>IF(M18=0,0,M18/TrRail_act!M22*100)</f>
        <v>416.2868103759256</v>
      </c>
      <c r="N31" s="87">
        <f>IF(N18=0,0,N18/TrRail_act!N22*100)</f>
        <v>412.7921660999981</v>
      </c>
      <c r="O31" s="87">
        <f>IF(O18=0,0,O18/TrRail_act!O22*100)</f>
        <v>408.14045604738567</v>
      </c>
      <c r="P31" s="87">
        <f>IF(P18=0,0,P18/TrRail_act!P22*100)</f>
        <v>401.16232240030223</v>
      </c>
      <c r="Q31" s="87">
        <f>IF(Q18=0,0,Q18/TrRail_act!Q22*100)</f>
        <v>394.4852237546375</v>
      </c>
      <c r="R31" s="87">
        <f>IF(R18=0,0,R18/TrRail_act!R22*100)</f>
        <v>389.55043457635361</v>
      </c>
      <c r="S31" s="87">
        <f>IF(S18=0,0,S18/TrRail_act!S22*100)</f>
        <v>383.96044687101431</v>
      </c>
      <c r="T31" s="87">
        <f>IF(T18=0,0,T18/TrRail_act!T22*100)</f>
        <v>377.9215574098169</v>
      </c>
      <c r="U31" s="87">
        <f>IF(U18=0,0,U18/TrRail_act!U22*100)</f>
        <v>371.58752837972742</v>
      </c>
      <c r="V31" s="87">
        <f>IF(V18=0,0,V18/TrRail_act!V22*100)</f>
        <v>366.90677152609538</v>
      </c>
      <c r="W31" s="87">
        <f>IF(W18=0,0,W18/TrRail_act!W22*100)</f>
        <v>363.43493837233433</v>
      </c>
      <c r="X31" s="87">
        <f>IF(X18=0,0,X18/TrRail_act!X22*100)</f>
        <v>360.85263969015722</v>
      </c>
      <c r="Y31" s="87">
        <f>IF(Y18=0,0,Y18/TrRail_act!Y22*100)</f>
        <v>358.92796343187035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X32" s="88">
        <f>IF(X19=0,0,X19/TrRail_act!X23*100)</f>
        <v>0</v>
      </c>
      <c r="Y32" s="88">
        <f>IF(Y19=0,0,Y19/TrRail_act!Y23*100)</f>
        <v>0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12.056308469336637</v>
      </c>
      <c r="C35" s="29">
        <f>IF(C11=0,0,C11/TrRail_act!C4*1000)</f>
        <v>11.595640401526252</v>
      </c>
      <c r="D35" s="29">
        <f>IF(D11=0,0,D11/TrRail_act!D4*1000)</f>
        <v>11.515945465254132</v>
      </c>
      <c r="E35" s="29">
        <f>IF(E11=0,0,E11/TrRail_act!E4*1000)</f>
        <v>11.128495281922694</v>
      </c>
      <c r="F35" s="29">
        <f>IF(F11=0,0,F11/TrRail_act!F4*1000)</f>
        <v>10.183190487804222</v>
      </c>
      <c r="G35" s="29">
        <f>IF(G11=0,0,G11/TrRail_act!G4*1000)</f>
        <v>9.4838339724390437</v>
      </c>
      <c r="H35" s="29">
        <f>IF(H11=0,0,H11/TrRail_act!H4*1000)</f>
        <v>9.9451348207011776</v>
      </c>
      <c r="I35" s="29">
        <f>IF(I11=0,0,I11/TrRail_act!I4*1000)</f>
        <v>10.772054849546869</v>
      </c>
      <c r="J35" s="29">
        <f>IF(J11=0,0,J11/TrRail_act!J4*1000)</f>
        <v>8.6974949600862281</v>
      </c>
      <c r="K35" s="29">
        <f>IF(K11=0,0,K11/TrRail_act!K4*1000)</f>
        <v>8.8605592551922872</v>
      </c>
      <c r="L35" s="29">
        <f>IF(L11=0,0,L11/TrRail_act!L4*1000)</f>
        <v>10.316915608244084</v>
      </c>
      <c r="M35" s="29">
        <f>IF(M11=0,0,M11/TrRail_act!M4*1000)</f>
        <v>10.160213087815485</v>
      </c>
      <c r="N35" s="29">
        <f>IF(N11=0,0,N11/TrRail_act!N4*1000)</f>
        <v>8.146868024636797</v>
      </c>
      <c r="O35" s="29">
        <f>IF(O11=0,0,O11/TrRail_act!O4*1000)</f>
        <v>10.234823341810573</v>
      </c>
      <c r="P35" s="29">
        <f>IF(P11=0,0,P11/TrRail_act!P4*1000)</f>
        <v>10.455417148869868</v>
      </c>
      <c r="Q35" s="29">
        <f>IF(Q11=0,0,Q11/TrRail_act!Q4*1000)</f>
        <v>10.385055647636529</v>
      </c>
      <c r="R35" s="29">
        <f>IF(R11=0,0,R11/TrRail_act!R4*1000)</f>
        <v>9.2594609095982605</v>
      </c>
      <c r="S35" s="29">
        <f>IF(S11=0,0,S11/TrRail_act!S4*1000)</f>
        <v>9.4959783597063119</v>
      </c>
      <c r="T35" s="29">
        <f>IF(T11=0,0,T11/TrRail_act!T4*1000)</f>
        <v>9.0975488431382061</v>
      </c>
      <c r="U35" s="29">
        <f>IF(U11=0,0,U11/TrRail_act!U4*1000)</f>
        <v>11.910387623113891</v>
      </c>
      <c r="V35" s="29">
        <f>IF(V11=0,0,V11/TrRail_act!V4*1000)</f>
        <v>17.21682192961169</v>
      </c>
      <c r="W35" s="29">
        <f>IF(W11=0,0,W11/TrRail_act!W4*1000)</f>
        <v>10.993252322426576</v>
      </c>
      <c r="X35" s="29">
        <f>IF(X11=0,0,X11/TrRail_act!X4*1000)</f>
        <v>10.966877412774455</v>
      </c>
      <c r="Y35" s="29">
        <f>IF(Y11=0,0,Y11/TrRail_act!Y4*1000)</f>
        <v>13.156712923468833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5.1894563721102784</v>
      </c>
      <c r="C36" s="115">
        <f>IF(C12=0,0,C12/TrRail_act!C5*1000)</f>
        <v>5.4687201322302323</v>
      </c>
      <c r="D36" s="115">
        <f>IF(D12=0,0,D12/TrRail_act!D5*1000)</f>
        <v>5.6928816906253985</v>
      </c>
      <c r="E36" s="115">
        <f>IF(E12=0,0,E12/TrRail_act!E5*1000)</f>
        <v>5.6898169182068807</v>
      </c>
      <c r="F36" s="115">
        <f>IF(F12=0,0,F12/TrRail_act!F5*1000)</f>
        <v>5.050061995940518</v>
      </c>
      <c r="G36" s="115">
        <f>IF(G12=0,0,G12/TrRail_act!G5*1000)</f>
        <v>4.4941887272921113</v>
      </c>
      <c r="H36" s="115">
        <f>IF(H12=0,0,H12/TrRail_act!H5*1000)</f>
        <v>4.3531740441890152</v>
      </c>
      <c r="I36" s="115">
        <f>IF(I12=0,0,I12/TrRail_act!I5*1000)</f>
        <v>4.3260205211615359</v>
      </c>
      <c r="J36" s="115">
        <f>IF(J12=0,0,J12/TrRail_act!J5*1000)</f>
        <v>3.5850693721726881</v>
      </c>
      <c r="K36" s="115">
        <f>IF(K12=0,0,K12/TrRail_act!K5*1000)</f>
        <v>3.9816516230787449</v>
      </c>
      <c r="L36" s="115">
        <f>IF(L12=0,0,L12/TrRail_act!L5*1000)</f>
        <v>4.3196355428289444</v>
      </c>
      <c r="M36" s="115">
        <f>IF(M12=0,0,M12/TrRail_act!M5*1000)</f>
        <v>4.2000547808102899</v>
      </c>
      <c r="N36" s="115">
        <f>IF(N12=0,0,N12/TrRail_act!N5*1000)</f>
        <v>4.0592482737063484</v>
      </c>
      <c r="O36" s="115">
        <f>IF(O12=0,0,O12/TrRail_act!O5*1000)</f>
        <v>4.2429773958169461</v>
      </c>
      <c r="P36" s="115">
        <f>IF(P12=0,0,P12/TrRail_act!P5*1000)</f>
        <v>4.1967645773209368</v>
      </c>
      <c r="Q36" s="115">
        <f>IF(Q12=0,0,Q12/TrRail_act!Q5*1000)</f>
        <v>4.1713236055701826</v>
      </c>
      <c r="R36" s="115">
        <f>IF(R12=0,0,R12/TrRail_act!R5*1000)</f>
        <v>4.0568681520837018</v>
      </c>
      <c r="S36" s="115">
        <f>IF(S12=0,0,S12/TrRail_act!S5*1000)</f>
        <v>3.8924932806704202</v>
      </c>
      <c r="T36" s="115">
        <f>IF(T12=0,0,T12/TrRail_act!T5*1000)</f>
        <v>4.1250885374176454</v>
      </c>
      <c r="U36" s="115">
        <f>IF(U12=0,0,U12/TrRail_act!U5*1000)</f>
        <v>4.1936424015458647</v>
      </c>
      <c r="V36" s="115">
        <f>IF(V12=0,0,V12/TrRail_act!V5*1000)</f>
        <v>7.1754307886615321</v>
      </c>
      <c r="W36" s="115">
        <f>IF(W12=0,0,W12/TrRail_act!W5*1000)</f>
        <v>6.4057596110352053</v>
      </c>
      <c r="X36" s="115">
        <f>IF(X12=0,0,X12/TrRail_act!X5*1000)</f>
        <v>4.8574659278975725</v>
      </c>
      <c r="Y36" s="115">
        <f>IF(Y12=0,0,Y12/TrRail_act!Y5*1000)</f>
        <v>4.7359888599833866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14.810942241672269</v>
      </c>
      <c r="C37" s="116">
        <f>IF(C13=0,0,C13/TrRail_act!C6*1000)</f>
        <v>14.534163008221784</v>
      </c>
      <c r="D37" s="116">
        <f>IF(D13=0,0,D13/TrRail_act!D6*1000)</f>
        <v>14.556641101172161</v>
      </c>
      <c r="E37" s="116">
        <f>IF(E13=0,0,E13/TrRail_act!E6*1000)</f>
        <v>13.919417275469316</v>
      </c>
      <c r="F37" s="116">
        <f>IF(F13=0,0,F13/TrRail_act!F6*1000)</f>
        <v>12.40134031278574</v>
      </c>
      <c r="G37" s="116">
        <f>IF(G13=0,0,G13/TrRail_act!G6*1000)</f>
        <v>10.99883512953406</v>
      </c>
      <c r="H37" s="116">
        <f>IF(H13=0,0,H13/TrRail_act!H6*1000)</f>
        <v>11.655360957019685</v>
      </c>
      <c r="I37" s="116">
        <f>IF(I13=0,0,I13/TrRail_act!I6*1000)</f>
        <v>12.635288129868469</v>
      </c>
      <c r="J37" s="116">
        <f>IF(J13=0,0,J13/TrRail_act!J6*1000)</f>
        <v>10.038051314884854</v>
      </c>
      <c r="K37" s="116">
        <f>IF(K13=0,0,K13/TrRail_act!K6*1000)</f>
        <v>10.268329844125867</v>
      </c>
      <c r="L37" s="116">
        <f>IF(L13=0,0,L13/TrRail_act!L6*1000)</f>
        <v>12.061395692697046</v>
      </c>
      <c r="M37" s="116">
        <f>IF(M13=0,0,M13/TrRail_act!M6*1000)</f>
        <v>11.75076595157134</v>
      </c>
      <c r="N37" s="116">
        <f>IF(N13=0,0,N13/TrRail_act!N6*1000)</f>
        <v>9.7541027165760514</v>
      </c>
      <c r="O37" s="116">
        <f>IF(O13=0,0,O13/TrRail_act!O6*1000)</f>
        <v>12.270546284645828</v>
      </c>
      <c r="P37" s="116">
        <f>IF(P13=0,0,P13/TrRail_act!P6*1000)</f>
        <v>11.763430831662371</v>
      </c>
      <c r="Q37" s="116">
        <f>IF(Q13=0,0,Q13/TrRail_act!Q6*1000)</f>
        <v>11.583176162293139</v>
      </c>
      <c r="R37" s="116">
        <f>IF(R13=0,0,R13/TrRail_act!R6*1000)</f>
        <v>10.198463046725111</v>
      </c>
      <c r="S37" s="116">
        <f>IF(S13=0,0,S13/TrRail_act!S6*1000)</f>
        <v>10.408534993957502</v>
      </c>
      <c r="T37" s="116">
        <f>IF(T13=0,0,T13/TrRail_act!T6*1000)</f>
        <v>10.097907691981154</v>
      </c>
      <c r="U37" s="116">
        <f>IF(U13=0,0,U13/TrRail_act!U6*1000)</f>
        <v>13.629883188454516</v>
      </c>
      <c r="V37" s="116">
        <f>IF(V13=0,0,V13/TrRail_act!V6*1000)</f>
        <v>20.216830708699746</v>
      </c>
      <c r="W37" s="116">
        <f>IF(W13=0,0,W13/TrRail_act!W6*1000)</f>
        <v>12.032825627649011</v>
      </c>
      <c r="X37" s="116">
        <f>IF(X13=0,0,X13/TrRail_act!X6*1000)</f>
        <v>12.346117038544866</v>
      </c>
      <c r="Y37" s="116">
        <f>IF(Y13=0,0,Y13/TrRail_act!Y6*1000)</f>
        <v>15.332774558583395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16.885289851308048</v>
      </c>
      <c r="C38" s="87">
        <f>IF(C14=0,0,C14/TrRail_act!C7*1000)</f>
        <v>16.826756953510781</v>
      </c>
      <c r="D38" s="87">
        <f>IF(D14=0,0,D14/TrRail_act!D7*1000)</f>
        <v>16.75030798027964</v>
      </c>
      <c r="E38" s="87">
        <f>IF(E14=0,0,E14/TrRail_act!E7*1000)</f>
        <v>15.800058977371943</v>
      </c>
      <c r="F38" s="87">
        <f>IF(F14=0,0,F14/TrRail_act!F7*1000)</f>
        <v>15.350963687974087</v>
      </c>
      <c r="G38" s="87">
        <f>IF(G14=0,0,G14/TrRail_act!G7*1000)</f>
        <v>14.942749536772448</v>
      </c>
      <c r="H38" s="87">
        <f>IF(H14=0,0,H14/TrRail_act!H7*1000)</f>
        <v>14.821236826122446</v>
      </c>
      <c r="I38" s="87">
        <f>IF(I14=0,0,I14/TrRail_act!I7*1000)</f>
        <v>14.786637319979311</v>
      </c>
      <c r="J38" s="87">
        <f>IF(J14=0,0,J14/TrRail_act!J7*1000)</f>
        <v>14.902281147157691</v>
      </c>
      <c r="K38" s="87">
        <f>IF(K14=0,0,K14/TrRail_act!K7*1000)</f>
        <v>14.630297820589377</v>
      </c>
      <c r="L38" s="87">
        <f>IF(L14=0,0,L14/TrRail_act!L7*1000)</f>
        <v>14.213547991270303</v>
      </c>
      <c r="M38" s="87">
        <f>IF(M14=0,0,M14/TrRail_act!M7*1000)</f>
        <v>14.048545727491529</v>
      </c>
      <c r="N38" s="87">
        <f>IF(N14=0,0,N14/TrRail_act!N7*1000)</f>
        <v>13.808074720999473</v>
      </c>
      <c r="O38" s="87">
        <f>IF(O14=0,0,O14/TrRail_act!O7*1000)</f>
        <v>13.244554282939447</v>
      </c>
      <c r="P38" s="87">
        <f>IF(P14=0,0,P14/TrRail_act!P7*1000)</f>
        <v>12.811492438617581</v>
      </c>
      <c r="Q38" s="87">
        <f>IF(Q14=0,0,Q14/TrRail_act!Q7*1000)</f>
        <v>12.37564032278712</v>
      </c>
      <c r="R38" s="87">
        <f>IF(R14=0,0,R14/TrRail_act!R7*1000)</f>
        <v>11.901000366421428</v>
      </c>
      <c r="S38" s="87">
        <f>IF(S14=0,0,S14/TrRail_act!S7*1000)</f>
        <v>11.71582912639369</v>
      </c>
      <c r="T38" s="87">
        <f>IF(T14=0,0,T14/TrRail_act!T7*1000)</f>
        <v>11.340959809414713</v>
      </c>
      <c r="U38" s="87">
        <f>IF(U14=0,0,U14/TrRail_act!U7*1000)</f>
        <v>15.084201278623679</v>
      </c>
      <c r="V38" s="87">
        <f>IF(V14=0,0,V14/TrRail_act!V7*1000)</f>
        <v>21.810050869958403</v>
      </c>
      <c r="W38" s="87">
        <f>IF(W14=0,0,W14/TrRail_act!W7*1000)</f>
        <v>12.270596069514957</v>
      </c>
      <c r="X38" s="87">
        <f>IF(X14=0,0,X14/TrRail_act!X7*1000)</f>
        <v>13.341776507563761</v>
      </c>
      <c r="Y38" s="87">
        <f>IF(Y14=0,0,Y14/TrRail_act!Y7*1000)</f>
        <v>15.562401311726063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10.231019993326502</v>
      </c>
      <c r="C39" s="87">
        <f>IF(C15=0,0,C15/TrRail_act!C8*1000)</f>
        <v>11.798962879664904</v>
      </c>
      <c r="D39" s="87">
        <f>IF(D15=0,0,D15/TrRail_act!D8*1000)</f>
        <v>11.83903451300727</v>
      </c>
      <c r="E39" s="87">
        <f>IF(E15=0,0,E15/TrRail_act!E8*1000)</f>
        <v>11.824115197002332</v>
      </c>
      <c r="F39" s="87">
        <f>IF(F15=0,0,F15/TrRail_act!F8*1000)</f>
        <v>8.8866916806619649</v>
      </c>
      <c r="G39" s="87">
        <f>IF(G15=0,0,G15/TrRail_act!G8*1000)</f>
        <v>7.0145318813378248</v>
      </c>
      <c r="H39" s="87">
        <f>IF(H15=0,0,H15/TrRail_act!H8*1000)</f>
        <v>7.6229225247556931</v>
      </c>
      <c r="I39" s="87">
        <f>IF(I15=0,0,I15/TrRail_act!I8*1000)</f>
        <v>8.3994396083677518</v>
      </c>
      <c r="J39" s="87">
        <f>IF(J15=0,0,J15/TrRail_act!J8*1000)</f>
        <v>5.8454858006452071</v>
      </c>
      <c r="K39" s="87">
        <f>IF(K15=0,0,K15/TrRail_act!K8*1000)</f>
        <v>5.9559016759871151</v>
      </c>
      <c r="L39" s="87">
        <f>IF(L15=0,0,L15/TrRail_act!L8*1000)</f>
        <v>8.9113748159844359</v>
      </c>
      <c r="M39" s="87">
        <f>IF(M15=0,0,M15/TrRail_act!M8*1000)</f>
        <v>8.0961283413642917</v>
      </c>
      <c r="N39" s="87">
        <f>IF(N15=0,0,N15/TrRail_act!N8*1000)</f>
        <v>5.6344896639854047</v>
      </c>
      <c r="O39" s="87">
        <f>IF(O15=0,0,O15/TrRail_act!O8*1000)</f>
        <v>9.8262146250430416</v>
      </c>
      <c r="P39" s="87">
        <f>IF(P15=0,0,P15/TrRail_act!P8*1000)</f>
        <v>9.5862004956167617</v>
      </c>
      <c r="Q39" s="87">
        <f>IF(Q15=0,0,Q15/TrRail_act!Q8*1000)</f>
        <v>9.8587304421489286</v>
      </c>
      <c r="R39" s="87">
        <f>IF(R15=0,0,R15/TrRail_act!R8*1000)</f>
        <v>7.1172404894069121</v>
      </c>
      <c r="S39" s="87">
        <f>IF(S15=0,0,S15/TrRail_act!S8*1000)</f>
        <v>7.6068736945579527</v>
      </c>
      <c r="T39" s="87">
        <f>IF(T15=0,0,T15/TrRail_act!T8*1000)</f>
        <v>5.645375775580586</v>
      </c>
      <c r="U39" s="87">
        <f>IF(U15=0,0,U15/TrRail_act!U8*1000)</f>
        <v>8.1245152042634174</v>
      </c>
      <c r="V39" s="87">
        <f>IF(V15=0,0,V15/TrRail_act!V8*1000)</f>
        <v>10.9824902170161</v>
      </c>
      <c r="W39" s="87">
        <f>IF(W15=0,0,W15/TrRail_act!W8*1000)</f>
        <v>11.175065790513552</v>
      </c>
      <c r="X39" s="87">
        <f>IF(X15=0,0,X15/TrRail_act!X8*1000)</f>
        <v>8.4252496012391678</v>
      </c>
      <c r="Y39" s="87">
        <f>IF(Y15=0,0,Y15/TrRail_act!Y8*1000)</f>
        <v>14.652434491066668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4.9877117372146644</v>
      </c>
      <c r="C41" s="29">
        <f>IF(C17=0,0,C17/TrRail_act!C10*1000)</f>
        <v>4.5273755257520767</v>
      </c>
      <c r="D41" s="29">
        <f>IF(D17=0,0,D17/TrRail_act!D10*1000)</f>
        <v>5.1444923435850027</v>
      </c>
      <c r="E41" s="29">
        <f>IF(E17=0,0,E17/TrRail_act!E10*1000)</f>
        <v>4.5450292639295906</v>
      </c>
      <c r="F41" s="29">
        <f>IF(F17=0,0,F17/TrRail_act!F10*1000)</f>
        <v>3.6033139811986548</v>
      </c>
      <c r="G41" s="29">
        <f>IF(G17=0,0,G17/TrRail_act!G10*1000)</f>
        <v>3.8134243623041604</v>
      </c>
      <c r="H41" s="29">
        <f>IF(H17=0,0,H17/TrRail_act!H10*1000)</f>
        <v>4.0622186939417171</v>
      </c>
      <c r="I41" s="29">
        <f>IF(I17=0,0,I17/TrRail_act!I10*1000)</f>
        <v>4.1156441642379749</v>
      </c>
      <c r="J41" s="29">
        <f>IF(J17=0,0,J17/TrRail_act!J10*1000)</f>
        <v>4.1019801392979538</v>
      </c>
      <c r="K41" s="29">
        <f>IF(K17=0,0,K17/TrRail_act!K10*1000)</f>
        <v>5.6415109153826934</v>
      </c>
      <c r="L41" s="29">
        <f>IF(L17=0,0,L17/TrRail_act!L10*1000)</f>
        <v>7.2958982923736304</v>
      </c>
      <c r="M41" s="29">
        <f>IF(M17=0,0,M17/TrRail_act!M10*1000)</f>
        <v>5.1434906470641728</v>
      </c>
      <c r="N41" s="29">
        <f>IF(N17=0,0,N17/TrRail_act!N10*1000)</f>
        <v>5.5905762950528164</v>
      </c>
      <c r="O41" s="29">
        <f>IF(O17=0,0,O17/TrRail_act!O10*1000)</f>
        <v>5.1156934986963565</v>
      </c>
      <c r="P41" s="29">
        <f>IF(P17=0,0,P17/TrRail_act!P10*1000)</f>
        <v>5.46216669180028</v>
      </c>
      <c r="Q41" s="29">
        <f>IF(Q17=0,0,Q17/TrRail_act!Q10*1000)</f>
        <v>5.3805015444978892</v>
      </c>
      <c r="R41" s="29">
        <f>IF(R17=0,0,R17/TrRail_act!R10*1000)</f>
        <v>5.4412361852539846</v>
      </c>
      <c r="S41" s="29">
        <f>IF(S17=0,0,S17/TrRail_act!S10*1000)</f>
        <v>5.5231256884559219</v>
      </c>
      <c r="T41" s="29">
        <f>IF(T17=0,0,T17/TrRail_act!T10*1000)</f>
        <v>4.2871117529464842</v>
      </c>
      <c r="U41" s="29">
        <f>IF(U17=0,0,U17/TrRail_act!U10*1000)</f>
        <v>5.3508613711471842</v>
      </c>
      <c r="V41" s="29">
        <f>IF(V17=0,0,V17/TrRail_act!V10*1000)</f>
        <v>5.5582045543668999</v>
      </c>
      <c r="W41" s="29">
        <f>IF(W17=0,0,W17/TrRail_act!W10*1000)</f>
        <v>5.2910049524469942</v>
      </c>
      <c r="X41" s="29">
        <f>IF(X17=0,0,X17/TrRail_act!X10*1000)</f>
        <v>6.6598260878917248</v>
      </c>
      <c r="Y41" s="29">
        <f>IF(Y17=0,0,Y17/TrRail_act!Y10*1000)</f>
        <v>11.850373275811132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4.9877117372146644</v>
      </c>
      <c r="C42" s="87">
        <f>IF(C18=0,0,C18/TrRail_act!C11*1000)</f>
        <v>4.5273755257520767</v>
      </c>
      <c r="D42" s="87">
        <f>IF(D18=0,0,D18/TrRail_act!D11*1000)</f>
        <v>5.1444923435850027</v>
      </c>
      <c r="E42" s="87">
        <f>IF(E18=0,0,E18/TrRail_act!E11*1000)</f>
        <v>4.5450292639295906</v>
      </c>
      <c r="F42" s="87">
        <f>IF(F18=0,0,F18/TrRail_act!F11*1000)</f>
        <v>3.6033139811986548</v>
      </c>
      <c r="G42" s="87">
        <f>IF(G18=0,0,G18/TrRail_act!G11*1000)</f>
        <v>3.8134243623041604</v>
      </c>
      <c r="H42" s="87">
        <f>IF(H18=0,0,H18/TrRail_act!H11*1000)</f>
        <v>4.0622186939417171</v>
      </c>
      <c r="I42" s="87">
        <f>IF(I18=0,0,I18/TrRail_act!I11*1000)</f>
        <v>4.1156441642379749</v>
      </c>
      <c r="J42" s="87">
        <f>IF(J18=0,0,J18/TrRail_act!J11*1000)</f>
        <v>4.1019801392979538</v>
      </c>
      <c r="K42" s="87">
        <f>IF(K18=0,0,K18/TrRail_act!K11*1000)</f>
        <v>5.6415109153826934</v>
      </c>
      <c r="L42" s="87">
        <f>IF(L18=0,0,L18/TrRail_act!L11*1000)</f>
        <v>7.2958982923736304</v>
      </c>
      <c r="M42" s="87">
        <f>IF(M18=0,0,M18/TrRail_act!M11*1000)</f>
        <v>5.1434906470641728</v>
      </c>
      <c r="N42" s="87">
        <f>IF(N18=0,0,N18/TrRail_act!N11*1000)</f>
        <v>5.5905762950528164</v>
      </c>
      <c r="O42" s="87">
        <f>IF(O18=0,0,O18/TrRail_act!O11*1000)</f>
        <v>5.1156934986963565</v>
      </c>
      <c r="P42" s="87">
        <f>IF(P18=0,0,P18/TrRail_act!P11*1000)</f>
        <v>5.46216669180028</v>
      </c>
      <c r="Q42" s="87">
        <f>IF(Q18=0,0,Q18/TrRail_act!Q11*1000)</f>
        <v>5.3805015444978892</v>
      </c>
      <c r="R42" s="87">
        <f>IF(R18=0,0,R18/TrRail_act!R11*1000)</f>
        <v>5.4412361852539846</v>
      </c>
      <c r="S42" s="87">
        <f>IF(S18=0,0,S18/TrRail_act!S11*1000)</f>
        <v>5.5231256884559219</v>
      </c>
      <c r="T42" s="87">
        <f>IF(T18=0,0,T18/TrRail_act!T11*1000)</f>
        <v>4.2871117529464842</v>
      </c>
      <c r="U42" s="87">
        <f>IF(U18=0,0,U18/TrRail_act!U11*1000)</f>
        <v>5.3508613711471842</v>
      </c>
      <c r="V42" s="87">
        <f>IF(V18=0,0,V18/TrRail_act!V11*1000)</f>
        <v>5.5582045543668999</v>
      </c>
      <c r="W42" s="87">
        <f>IF(W18=0,0,W18/TrRail_act!W11*1000)</f>
        <v>5.2910049524469942</v>
      </c>
      <c r="X42" s="87">
        <f>IF(X18=0,0,X18/TrRail_act!X11*1000)</f>
        <v>6.6598260878917248</v>
      </c>
      <c r="Y42" s="87">
        <f>IF(Y18=0,0,Y18/TrRail_act!Y11*1000)</f>
        <v>11.850373275811132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X43" s="88">
        <f>IF(X19=0,0,X19/TrRail_act!X12*1000)</f>
        <v>0</v>
      </c>
      <c r="Y43" s="88">
        <f>IF(Y19=0,0,Y19/TrRail_act!Y12*1000)</f>
        <v>0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673106.94650132651</v>
      </c>
      <c r="C45" s="54">
        <f>IF(C10=0,0,1000000*C10/TrRail_act!C25)</f>
        <v>658367.77625057788</v>
      </c>
      <c r="D45" s="54">
        <f>IF(D10=0,0,1000000*D10/TrRail_act!D25)</f>
        <v>702323.13499640289</v>
      </c>
      <c r="E45" s="54">
        <f>IF(E10=0,0,1000000*E10/TrRail_act!E25)</f>
        <v>660080.4023840552</v>
      </c>
      <c r="F45" s="54">
        <f>IF(F10=0,0,1000000*F10/TrRail_act!F25)</f>
        <v>628938.09933836781</v>
      </c>
      <c r="G45" s="54">
        <f>IF(G10=0,0,1000000*G10/TrRail_act!G25)</f>
        <v>692944.98404579575</v>
      </c>
      <c r="H45" s="54">
        <f>IF(H10=0,0,1000000*H10/TrRail_act!H25)</f>
        <v>701534.07572815439</v>
      </c>
      <c r="I45" s="54">
        <f>IF(I10=0,0,1000000*I10/TrRail_act!I25)</f>
        <v>617752.77767031558</v>
      </c>
      <c r="J45" s="54">
        <f>IF(J10=0,0,1000000*J10/TrRail_act!J25)</f>
        <v>483835.06385531672</v>
      </c>
      <c r="K45" s="54">
        <f>IF(K10=0,0,1000000*K10/TrRail_act!K25)</f>
        <v>640527.49402287137</v>
      </c>
      <c r="L45" s="54">
        <f>IF(L10=0,0,1000000*L10/TrRail_act!L25)</f>
        <v>672715.45959348476</v>
      </c>
      <c r="M45" s="54">
        <f>IF(M10=0,0,1000000*M10/TrRail_act!M25)</f>
        <v>494087.63136750681</v>
      </c>
      <c r="N45" s="54">
        <f>IF(N10=0,0,1000000*N10/TrRail_act!N25)</f>
        <v>454667.28531223012</v>
      </c>
      <c r="O45" s="54">
        <f>IF(O10=0,0,1000000*O10/TrRail_act!O25)</f>
        <v>421946.81917314121</v>
      </c>
      <c r="P45" s="54">
        <f>IF(P10=0,0,1000000*P10/TrRail_act!P25)</f>
        <v>345055.70989168942</v>
      </c>
      <c r="Q45" s="54">
        <f>IF(Q10=0,0,1000000*Q10/TrRail_act!Q25)</f>
        <v>356512.12046419608</v>
      </c>
      <c r="R45" s="54">
        <f>IF(R10=0,0,1000000*R10/TrRail_act!R25)</f>
        <v>306854.98634644115</v>
      </c>
      <c r="S45" s="54">
        <f>IF(S10=0,0,1000000*S10/TrRail_act!S25)</f>
        <v>328743.61218656681</v>
      </c>
      <c r="T45" s="54">
        <f>IF(T10=0,0,1000000*T10/TrRail_act!T25)</f>
        <v>293139.97073949478</v>
      </c>
      <c r="U45" s="54">
        <f>IF(U10=0,0,1000000*U10/TrRail_act!U25)</f>
        <v>320553.26335326937</v>
      </c>
      <c r="V45" s="54">
        <f>IF(V10=0,0,1000000*V10/TrRail_act!V25)</f>
        <v>276539.70919357752</v>
      </c>
      <c r="W45" s="54">
        <f>IF(W10=0,0,1000000*W10/TrRail_act!W25)</f>
        <v>276404.67974093888</v>
      </c>
      <c r="X45" s="54">
        <f>IF(X10=0,0,1000000*X10/TrRail_act!X25)</f>
        <v>280513.70150149771</v>
      </c>
      <c r="Y45" s="54">
        <f>IF(Y10=0,0,1000000*Y10/TrRail_act!Y25)</f>
        <v>275186.66240060283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182617.12927077102</v>
      </c>
      <c r="C46" s="28">
        <f>IF(C11=0,0,1000000*C11/TrRail_act!C26)</f>
        <v>137579.3205776964</v>
      </c>
      <c r="D46" s="28">
        <f>IF(D11=0,0,1000000*D11/TrRail_act!D26)</f>
        <v>136831.95478381834</v>
      </c>
      <c r="E46" s="28">
        <f>IF(E11=0,0,1000000*E11/TrRail_act!E26)</f>
        <v>134943.40971743866</v>
      </c>
      <c r="F46" s="28">
        <f>IF(F11=0,0,1000000*F11/TrRail_act!F26)</f>
        <v>138831.5742011503</v>
      </c>
      <c r="G46" s="28">
        <f>IF(G11=0,0,1000000*G11/TrRail_act!G26)</f>
        <v>156677.20371020501</v>
      </c>
      <c r="H46" s="28">
        <f>IF(H11=0,0,1000000*H11/TrRail_act!H26)</f>
        <v>172298.59238322891</v>
      </c>
      <c r="I46" s="28">
        <f>IF(I11=0,0,1000000*I11/TrRail_act!I26)</f>
        <v>182440.6163888358</v>
      </c>
      <c r="J46" s="28">
        <f>IF(J11=0,0,1000000*J11/TrRail_act!J26)</f>
        <v>155221.59693376411</v>
      </c>
      <c r="K46" s="28">
        <f>IF(K11=0,0,1000000*K11/TrRail_act!K26)</f>
        <v>156863.81470479732</v>
      </c>
      <c r="L46" s="28">
        <f>IF(L11=0,0,1000000*L11/TrRail_act!L26)</f>
        <v>167462.70244217309</v>
      </c>
      <c r="M46" s="28">
        <f>IF(M11=0,0,1000000*M11/TrRail_act!M26)</f>
        <v>168002.18151682528</v>
      </c>
      <c r="N46" s="28">
        <f>IF(N11=0,0,1000000*N11/TrRail_act!N26)</f>
        <v>132159.78242624935</v>
      </c>
      <c r="O46" s="28">
        <f>IF(O11=0,0,1000000*O11/TrRail_act!O26)</f>
        <v>152961.78361956021</v>
      </c>
      <c r="P46" s="28">
        <f>IF(P11=0,0,1000000*P11/TrRail_act!P26)</f>
        <v>164334.0728834047</v>
      </c>
      <c r="Q46" s="28">
        <f>IF(Q11=0,0,1000000*Q11/TrRail_act!Q26)</f>
        <v>169011.79583639378</v>
      </c>
      <c r="R46" s="28">
        <f>IF(R11=0,0,1000000*R11/TrRail_act!R26)</f>
        <v>164662.67715898313</v>
      </c>
      <c r="S46" s="28">
        <f>IF(S11=0,0,1000000*S11/TrRail_act!S26)</f>
        <v>169622.73199685905</v>
      </c>
      <c r="T46" s="28">
        <f>IF(T11=0,0,1000000*T11/TrRail_act!T26)</f>
        <v>151344.39680312434</v>
      </c>
      <c r="U46" s="28">
        <f>IF(U11=0,0,1000000*U11/TrRail_act!U26)</f>
        <v>164328.99502249452</v>
      </c>
      <c r="V46" s="28">
        <f>IF(V11=0,0,1000000*V11/TrRail_act!V26)</f>
        <v>142665.97355594134</v>
      </c>
      <c r="W46" s="28">
        <f>IF(W11=0,0,1000000*W11/TrRail_act!W26)</f>
        <v>99390.025456605712</v>
      </c>
      <c r="X46" s="28">
        <f>IF(X11=0,0,1000000*X11/TrRail_act!X26)</f>
        <v>138897.16096169499</v>
      </c>
      <c r="Y46" s="28">
        <f>IF(Y11=0,0,1000000*Y11/TrRail_act!Y26)</f>
        <v>150042.51744368434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45143.689323029736</v>
      </c>
      <c r="C47" s="108">
        <f>IF(C12=0,0,1000000*C12/TrRail_act!C27)</f>
        <v>44225.808467968389</v>
      </c>
      <c r="D47" s="108">
        <f>IF(D12=0,0,1000000*D12/TrRail_act!D27)</f>
        <v>44680.203363936016</v>
      </c>
      <c r="E47" s="108">
        <f>IF(E12=0,0,1000000*E12/TrRail_act!E27)</f>
        <v>44112.323363397903</v>
      </c>
      <c r="F47" s="108">
        <f>IF(F12=0,0,1000000*F12/TrRail_act!F27)</f>
        <v>38887.135480762176</v>
      </c>
      <c r="G47" s="108">
        <f>IF(G12=0,0,1000000*G12/TrRail_act!G27)</f>
        <v>35151.92638944435</v>
      </c>
      <c r="H47" s="108">
        <f>IF(H12=0,0,1000000*H12/TrRail_act!H27)</f>
        <v>40619.310070574225</v>
      </c>
      <c r="I47" s="108">
        <f>IF(I12=0,0,1000000*I12/TrRail_act!I27)</f>
        <v>40356.646412928421</v>
      </c>
      <c r="J47" s="108">
        <f>IF(J12=0,0,1000000*J12/TrRail_act!J27)</f>
        <v>35351.015649810055</v>
      </c>
      <c r="K47" s="108">
        <f>IF(K12=0,0,1000000*K12/TrRail_act!K27)</f>
        <v>39504.115527635797</v>
      </c>
      <c r="L47" s="108">
        <f>IF(L12=0,0,1000000*L12/TrRail_act!L27)</f>
        <v>39471.647553878101</v>
      </c>
      <c r="M47" s="108">
        <f>IF(M12=0,0,1000000*M12/TrRail_act!M27)</f>
        <v>38647.394099613433</v>
      </c>
      <c r="N47" s="108">
        <f>IF(N12=0,0,1000000*N12/TrRail_act!N27)</f>
        <v>38184.045970344472</v>
      </c>
      <c r="O47" s="108">
        <f>IF(O12=0,0,1000000*O12/TrRail_act!O27)</f>
        <v>37295.754690458474</v>
      </c>
      <c r="P47" s="108">
        <f>IF(P12=0,0,1000000*P12/TrRail_act!P27)</f>
        <v>33116.741359117281</v>
      </c>
      <c r="Q47" s="108">
        <f>IF(Q12=0,0,1000000*Q12/TrRail_act!Q27)</f>
        <v>36366.216528779769</v>
      </c>
      <c r="R47" s="108">
        <f>IF(R12=0,0,1000000*R12/TrRail_act!R27)</f>
        <v>35958.425966521776</v>
      </c>
      <c r="S47" s="108">
        <f>IF(S12=0,0,1000000*S12/TrRail_act!S27)</f>
        <v>35655.589521360955</v>
      </c>
      <c r="T47" s="108">
        <f>IF(T12=0,0,1000000*T12/TrRail_act!T27)</f>
        <v>35430.134712906634</v>
      </c>
      <c r="U47" s="108">
        <f>IF(U12=0,0,1000000*U12/TrRail_act!U27)</f>
        <v>35261.979745764642</v>
      </c>
      <c r="V47" s="108">
        <f>IF(V12=0,0,1000000*V12/TrRail_act!V27)</f>
        <v>35136.396427307984</v>
      </c>
      <c r="W47" s="108">
        <f>IF(W12=0,0,1000000*W12/TrRail_act!W27)</f>
        <v>28361.834319016227</v>
      </c>
      <c r="X47" s="108">
        <f>IF(X12=0,0,1000000*X12/TrRail_act!X27)</f>
        <v>30713.235106622607</v>
      </c>
      <c r="Y47" s="108">
        <f>IF(Y12=0,0,1000000*Y12/TrRail_act!Y27)</f>
        <v>34919.625928648209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319273.55127274065</v>
      </c>
      <c r="C48" s="110">
        <f>IF(C13=0,0,1000000*C13/TrRail_act!C28)</f>
        <v>222233.02190566101</v>
      </c>
      <c r="D48" s="110">
        <f>IF(D13=0,0,1000000*D13/TrRail_act!D28)</f>
        <v>236403.30036604212</v>
      </c>
      <c r="E48" s="110">
        <f>IF(E13=0,0,1000000*E13/TrRail_act!E28)</f>
        <v>237544.14228274286</v>
      </c>
      <c r="F48" s="110">
        <f>IF(F13=0,0,1000000*F13/TrRail_act!F28)</f>
        <v>253463.18444502863</v>
      </c>
      <c r="G48" s="110">
        <f>IF(G13=0,0,1000000*G13/TrRail_act!G28)</f>
        <v>274347.29127025057</v>
      </c>
      <c r="H48" s="110">
        <f>IF(H13=0,0,1000000*H13/TrRail_act!H28)</f>
        <v>273620.46614926367</v>
      </c>
      <c r="I48" s="110">
        <f>IF(I13=0,0,1000000*I13/TrRail_act!I28)</f>
        <v>279998.97995572025</v>
      </c>
      <c r="J48" s="110">
        <f>IF(J13=0,0,1000000*J13/TrRail_act!J28)</f>
        <v>227448.75031959452</v>
      </c>
      <c r="K48" s="110">
        <f>IF(K13=0,0,1000000*K13/TrRail_act!K28)</f>
        <v>234963.63553372887</v>
      </c>
      <c r="L48" s="110">
        <f>IF(L13=0,0,1000000*L13/TrRail_act!L28)</f>
        <v>252887.20149107519</v>
      </c>
      <c r="M48" s="110">
        <f>IF(M13=0,0,1000000*M13/TrRail_act!M28)</f>
        <v>246792.62890130663</v>
      </c>
      <c r="N48" s="110">
        <f>IF(N13=0,0,1000000*N13/TrRail_act!N28)</f>
        <v>221268.59994709856</v>
      </c>
      <c r="O48" s="110">
        <f>IF(O13=0,0,1000000*O13/TrRail_act!O28)</f>
        <v>240635.99534897352</v>
      </c>
      <c r="P48" s="110">
        <f>IF(P13=0,0,1000000*P13/TrRail_act!P28)</f>
        <v>233240.47409079096</v>
      </c>
      <c r="Q48" s="110">
        <f>IF(Q13=0,0,1000000*Q13/TrRail_act!Q28)</f>
        <v>226336.78977877827</v>
      </c>
      <c r="R48" s="110">
        <f>IF(R13=0,0,1000000*R13/TrRail_act!R28)</f>
        <v>221611.97239590483</v>
      </c>
      <c r="S48" s="110">
        <f>IF(S13=0,0,1000000*S13/TrRail_act!S28)</f>
        <v>219954.68181185899</v>
      </c>
      <c r="T48" s="110">
        <f>IF(T13=0,0,1000000*T13/TrRail_act!T28)</f>
        <v>207002.08478250843</v>
      </c>
      <c r="U48" s="110">
        <f>IF(U13=0,0,1000000*U13/TrRail_act!U28)</f>
        <v>219381.10254074205</v>
      </c>
      <c r="V48" s="110">
        <f>IF(V13=0,0,1000000*V13/TrRail_act!V28)</f>
        <v>211205.12385718751</v>
      </c>
      <c r="W48" s="110">
        <f>IF(W13=0,0,1000000*W13/TrRail_act!W28)</f>
        <v>142417.0295135341</v>
      </c>
      <c r="X48" s="110">
        <f>IF(X13=0,0,1000000*X13/TrRail_act!X28)</f>
        <v>202139.53359106538</v>
      </c>
      <c r="Y48" s="110">
        <f>IF(Y13=0,0,1000000*Y13/TrRail_act!Y28)</f>
        <v>203627.01774279054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351967.44966317783</v>
      </c>
      <c r="C49" s="84">
        <f>IF(C14=0,0,1000000*C14/TrRail_act!C29)</f>
        <v>215567.15378638316</v>
      </c>
      <c r="D49" s="84">
        <f>IF(D14=0,0,1000000*D14/TrRail_act!D29)</f>
        <v>237887.46660583324</v>
      </c>
      <c r="E49" s="84">
        <f>IF(E14=0,0,1000000*E14/TrRail_act!E29)</f>
        <v>250951.65755966463</v>
      </c>
      <c r="F49" s="84">
        <f>IF(F14=0,0,1000000*F14/TrRail_act!F29)</f>
        <v>311529.80584661046</v>
      </c>
      <c r="G49" s="84">
        <f>IF(G14=0,0,1000000*G14/TrRail_act!G29)</f>
        <v>316547.73155383335</v>
      </c>
      <c r="H49" s="84">
        <f>IF(H14=0,0,1000000*H14/TrRail_act!H29)</f>
        <v>314855.80548810388</v>
      </c>
      <c r="I49" s="84">
        <f>IF(I14=0,0,1000000*I14/TrRail_act!I29)</f>
        <v>315582.66142270871</v>
      </c>
      <c r="J49" s="84">
        <f>IF(J14=0,0,1000000*J14/TrRail_act!J29)</f>
        <v>247012.19249405107</v>
      </c>
      <c r="K49" s="84">
        <f>IF(K14=0,0,1000000*K14/TrRail_act!K29)</f>
        <v>266707.38771989965</v>
      </c>
      <c r="L49" s="84">
        <f>IF(L14=0,0,1000000*L14/TrRail_act!L29)</f>
        <v>295851.89633016364</v>
      </c>
      <c r="M49" s="84">
        <f>IF(M14=0,0,1000000*M14/TrRail_act!M29)</f>
        <v>291576.0709751526</v>
      </c>
      <c r="N49" s="84">
        <f>IF(N14=0,0,1000000*N14/TrRail_act!N29)</f>
        <v>258505.04896855529</v>
      </c>
      <c r="O49" s="84">
        <f>IF(O14=0,0,1000000*O14/TrRail_act!O29)</f>
        <v>274728.1664441374</v>
      </c>
      <c r="P49" s="84">
        <f>IF(P14=0,0,1000000*P14/TrRail_act!P29)</f>
        <v>267435.98933109525</v>
      </c>
      <c r="Q49" s="84">
        <f>IF(Q14=0,0,1000000*Q14/TrRail_act!Q29)</f>
        <v>259365.15433180699</v>
      </c>
      <c r="R49" s="84">
        <f>IF(R14=0,0,1000000*R14/TrRail_act!R29)</f>
        <v>252204.92123100694</v>
      </c>
      <c r="S49" s="84">
        <f>IF(S14=0,0,1000000*S14/TrRail_act!S29)</f>
        <v>248199.59092334009</v>
      </c>
      <c r="T49" s="84">
        <f>IF(T14=0,0,1000000*T14/TrRail_act!T29)</f>
        <v>244011.21707394099</v>
      </c>
      <c r="U49" s="84">
        <f>IF(U14=0,0,1000000*U14/TrRail_act!U29)</f>
        <v>239711.79954749372</v>
      </c>
      <c r="V49" s="84">
        <f>IF(V14=0,0,1000000*V14/TrRail_act!V29)</f>
        <v>236537.01982719408</v>
      </c>
      <c r="W49" s="84">
        <f>IF(W14=0,0,1000000*W14/TrRail_act!W29)</f>
        <v>140572.69764203037</v>
      </c>
      <c r="X49" s="84">
        <f>IF(X14=0,0,1000000*X14/TrRail_act!X29)</f>
        <v>214389.33722473693</v>
      </c>
      <c r="Y49" s="84">
        <f>IF(Y14=0,0,1000000*Y14/TrRail_act!Y29)</f>
        <v>231130.13581366686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238534.7884361693</v>
      </c>
      <c r="C50" s="84">
        <f>IF(C15=0,0,1000000*C15/TrRail_act!C30)</f>
        <v>234574.68915844429</v>
      </c>
      <c r="D50" s="84">
        <f>IF(D15=0,0,1000000*D15/TrRail_act!D30)</f>
        <v>233846.10711081192</v>
      </c>
      <c r="E50" s="84">
        <f>IF(E15=0,0,1000000*E15/TrRail_act!E30)</f>
        <v>220041.87893266929</v>
      </c>
      <c r="F50" s="84">
        <f>IF(F15=0,0,1000000*F15/TrRail_act!F30)</f>
        <v>183184.15703890333</v>
      </c>
      <c r="G50" s="84">
        <f>IF(G15=0,0,1000000*G15/TrRail_act!G30)</f>
        <v>213184.19000032617</v>
      </c>
      <c r="H50" s="84">
        <f>IF(H15=0,0,1000000*H15/TrRail_act!H30)</f>
        <v>206609.60739969084</v>
      </c>
      <c r="I50" s="84">
        <f>IF(I15=0,0,1000000*I15/TrRail_act!I30)</f>
        <v>201318.10253352928</v>
      </c>
      <c r="J50" s="84">
        <f>IF(J15=0,0,1000000*J15/TrRail_act!J30)</f>
        <v>193733.29302789713</v>
      </c>
      <c r="K50" s="84">
        <f>IF(K15=0,0,1000000*K15/TrRail_act!K30)</f>
        <v>182277.03115840396</v>
      </c>
      <c r="L50" s="84">
        <f>IF(L15=0,0,1000000*L15/TrRail_act!L30)</f>
        <v>188858.7822801265</v>
      </c>
      <c r="M50" s="84">
        <f>IF(M15=0,0,1000000*M15/TrRail_act!M30)</f>
        <v>173322.54325475587</v>
      </c>
      <c r="N50" s="84">
        <f>IF(N15=0,0,1000000*N15/TrRail_act!N30)</f>
        <v>162850.98312612312</v>
      </c>
      <c r="O50" s="84">
        <f>IF(O15=0,0,1000000*O15/TrRail_act!O30)</f>
        <v>169490.71500886558</v>
      </c>
      <c r="P50" s="84">
        <f>IF(P15=0,0,1000000*P15/TrRail_act!P30)</f>
        <v>172134.05001821861</v>
      </c>
      <c r="Q50" s="84">
        <f>IF(Q15=0,0,1000000*Q15/TrRail_act!Q30)</f>
        <v>167924.31447690949</v>
      </c>
      <c r="R50" s="84">
        <f>IF(R15=0,0,1000000*R15/TrRail_act!R30)</f>
        <v>162105.54167501361</v>
      </c>
      <c r="S50" s="84">
        <f>IF(S15=0,0,1000000*S15/TrRail_act!S30)</f>
        <v>159894.98800269986</v>
      </c>
      <c r="T50" s="84">
        <f>IF(T15=0,0,1000000*T15/TrRail_act!T30)</f>
        <v>98978.969324951177</v>
      </c>
      <c r="U50" s="84">
        <f>IF(U15=0,0,1000000*U15/TrRail_act!U30)</f>
        <v>137448.74585269223</v>
      </c>
      <c r="V50" s="84">
        <f>IF(V15=0,0,1000000*V15/TrRail_act!V30)</f>
        <v>94596.630237745077</v>
      </c>
      <c r="W50" s="84">
        <f>IF(W15=0,0,1000000*W15/TrRail_act!W30)</f>
        <v>150224.34681957407</v>
      </c>
      <c r="X50" s="84">
        <f>IF(X15=0,0,1000000*X15/TrRail_act!X30)</f>
        <v>149036.36719755456</v>
      </c>
      <c r="Y50" s="84">
        <f>IF(Y15=0,0,1000000*Y15/TrRail_act!Y30)</f>
        <v>148151.45972627736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952121.251541454</v>
      </c>
      <c r="C52" s="28">
        <f>IF(C17=0,0,1000000*C17/TrRail_act!C32)</f>
        <v>948924.21233191295</v>
      </c>
      <c r="D52" s="28">
        <f>IF(D17=0,0,1000000*D17/TrRail_act!D32)</f>
        <v>945209.42897704884</v>
      </c>
      <c r="E52" s="28">
        <f>IF(E17=0,0,1000000*E17/TrRail_act!E32)</f>
        <v>905566.77799360373</v>
      </c>
      <c r="F52" s="28">
        <f>IF(F17=0,0,1000000*F17/TrRail_act!F32)</f>
        <v>853287.37906998931</v>
      </c>
      <c r="G52" s="28">
        <f>IF(G17=0,0,1000000*G17/TrRail_act!G32)</f>
        <v>934734.80097870668</v>
      </c>
      <c r="H52" s="28">
        <f>IF(H17=0,0,1000000*H17/TrRail_act!H32)</f>
        <v>925804.14653970278</v>
      </c>
      <c r="I52" s="28">
        <f>IF(I17=0,0,1000000*I17/TrRail_act!I32)</f>
        <v>836675.04850660823</v>
      </c>
      <c r="J52" s="28">
        <f>IF(J17=0,0,1000000*J17/TrRail_act!J32)</f>
        <v>654913.92459091346</v>
      </c>
      <c r="K52" s="28">
        <f>IF(K17=0,0,1000000*K17/TrRail_act!K32)</f>
        <v>867063.58064774936</v>
      </c>
      <c r="L52" s="28">
        <f>IF(L17=0,0,1000000*L17/TrRail_act!L32)</f>
        <v>846109.09594913083</v>
      </c>
      <c r="M52" s="28">
        <f>IF(M17=0,0,1000000*M17/TrRail_act!M32)</f>
        <v>608645.62599885592</v>
      </c>
      <c r="N52" s="28">
        <f>IF(N17=0,0,1000000*N17/TrRail_act!N32)</f>
        <v>588183.79372806207</v>
      </c>
      <c r="O52" s="28">
        <f>IF(O17=0,0,1000000*O17/TrRail_act!O32)</f>
        <v>542766.01632955973</v>
      </c>
      <c r="P52" s="28">
        <f>IF(P17=0,0,1000000*P17/TrRail_act!P32)</f>
        <v>441730.63316993997</v>
      </c>
      <c r="Q52" s="28">
        <f>IF(Q17=0,0,1000000*Q17/TrRail_act!Q32)</f>
        <v>465636.42949893384</v>
      </c>
      <c r="R52" s="28">
        <f>IF(R17=0,0,1000000*R17/TrRail_act!R32)</f>
        <v>400730.97758128255</v>
      </c>
      <c r="S52" s="28">
        <f>IF(S17=0,0,1000000*S17/TrRail_act!S32)</f>
        <v>466464.70540738764</v>
      </c>
      <c r="T52" s="28">
        <f>IF(T17=0,0,1000000*T17/TrRail_act!T32)</f>
        <v>476495.86739225598</v>
      </c>
      <c r="U52" s="28">
        <f>IF(U17=0,0,1000000*U17/TrRail_act!U32)</f>
        <v>605612.31929535663</v>
      </c>
      <c r="V52" s="28">
        <f>IF(V17=0,0,1000000*V17/TrRail_act!V32)</f>
        <v>649502.18654766621</v>
      </c>
      <c r="W52" s="28">
        <f>IF(W17=0,0,1000000*W17/TrRail_act!W32)</f>
        <v>726869.83357080794</v>
      </c>
      <c r="X52" s="28">
        <f>IF(X17=0,0,1000000*X17/TrRail_act!X32)</f>
        <v>721705.27070795419</v>
      </c>
      <c r="Y52" s="28">
        <f>IF(Y17=0,0,1000000*Y17/TrRail_act!Y32)</f>
        <v>717855.88176462846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952121.251541454</v>
      </c>
      <c r="C53" s="84">
        <f>IF(C18=0,0,1000000*C18/TrRail_act!C33)</f>
        <v>948924.21233191295</v>
      </c>
      <c r="D53" s="84">
        <f>IF(D18=0,0,1000000*D18/TrRail_act!D33)</f>
        <v>945209.42897704884</v>
      </c>
      <c r="E53" s="84">
        <f>IF(E18=0,0,1000000*E18/TrRail_act!E33)</f>
        <v>905566.77799360373</v>
      </c>
      <c r="F53" s="84">
        <f>IF(F18=0,0,1000000*F18/TrRail_act!F33)</f>
        <v>853287.37906998931</v>
      </c>
      <c r="G53" s="84">
        <f>IF(G18=0,0,1000000*G18/TrRail_act!G33)</f>
        <v>934734.80097870668</v>
      </c>
      <c r="H53" s="84">
        <f>IF(H18=0,0,1000000*H18/TrRail_act!H33)</f>
        <v>925804.14653970278</v>
      </c>
      <c r="I53" s="84">
        <f>IF(I18=0,0,1000000*I18/TrRail_act!I33)</f>
        <v>836675.04850660823</v>
      </c>
      <c r="J53" s="84">
        <f>IF(J18=0,0,1000000*J18/TrRail_act!J33)</f>
        <v>654913.92459091346</v>
      </c>
      <c r="K53" s="84">
        <f>IF(K18=0,0,1000000*K18/TrRail_act!K33)</f>
        <v>867063.58064774936</v>
      </c>
      <c r="L53" s="84">
        <f>IF(L18=0,0,1000000*L18/TrRail_act!L33)</f>
        <v>846109.09594913083</v>
      </c>
      <c r="M53" s="84">
        <f>IF(M18=0,0,1000000*M18/TrRail_act!M33)</f>
        <v>608645.62599885592</v>
      </c>
      <c r="N53" s="84">
        <f>IF(N18=0,0,1000000*N18/TrRail_act!N33)</f>
        <v>588183.79372806207</v>
      </c>
      <c r="O53" s="84">
        <f>IF(O18=0,0,1000000*O18/TrRail_act!O33)</f>
        <v>542766.01632955973</v>
      </c>
      <c r="P53" s="84">
        <f>IF(P18=0,0,1000000*P18/TrRail_act!P33)</f>
        <v>441730.63316993997</v>
      </c>
      <c r="Q53" s="84">
        <f>IF(Q18=0,0,1000000*Q18/TrRail_act!Q33)</f>
        <v>465636.42949893384</v>
      </c>
      <c r="R53" s="84">
        <f>IF(R18=0,0,1000000*R18/TrRail_act!R33)</f>
        <v>400730.97758128255</v>
      </c>
      <c r="S53" s="84">
        <f>IF(S18=0,0,1000000*S18/TrRail_act!S33)</f>
        <v>466464.70540738764</v>
      </c>
      <c r="T53" s="84">
        <f>IF(T18=0,0,1000000*T18/TrRail_act!T33)</f>
        <v>476495.86739225598</v>
      </c>
      <c r="U53" s="84">
        <f>IF(U18=0,0,1000000*U18/TrRail_act!U33)</f>
        <v>605612.31929535663</v>
      </c>
      <c r="V53" s="84">
        <f>IF(V18=0,0,1000000*V18/TrRail_act!V33)</f>
        <v>649502.18654766621</v>
      </c>
      <c r="W53" s="84">
        <f>IF(W18=0,0,1000000*W18/TrRail_act!W33)</f>
        <v>726869.83357080794</v>
      </c>
      <c r="X53" s="84">
        <f>IF(X18=0,0,1000000*X18/TrRail_act!X33)</f>
        <v>721705.27070795419</v>
      </c>
      <c r="Y53" s="84">
        <f>IF(Y18=0,0,1000000*Y18/TrRail_act!Y33)</f>
        <v>717855.88176462846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X54" s="86">
        <f>IF(X19=0,0,1000000*X19/TrRail_act!X34)</f>
        <v>0</v>
      </c>
      <c r="Y54" s="86">
        <f>IF(Y19=0,0,1000000*Y19/TrRail_act!Y34)</f>
        <v>0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9.8372330060737506E-2</v>
      </c>
      <c r="C57" s="31">
        <f t="shared" ref="C57:V57" si="18">IF(C11=0,0,C11/C$10)</f>
        <v>7.4835831400415109E-2</v>
      </c>
      <c r="D57" s="31">
        <f t="shared" si="18"/>
        <v>5.8538199700932922E-2</v>
      </c>
      <c r="E57" s="31">
        <f t="shared" si="18"/>
        <v>6.5123848956605279E-2</v>
      </c>
      <c r="F57" s="31">
        <f t="shared" si="18"/>
        <v>6.9315387369279585E-2</v>
      </c>
      <c r="G57" s="31">
        <f t="shared" si="18"/>
        <v>7.0264072070654951E-2</v>
      </c>
      <c r="H57" s="31">
        <f t="shared" si="18"/>
        <v>7.3100074706161353E-2</v>
      </c>
      <c r="I57" s="31">
        <f t="shared" si="18"/>
        <v>9.8824214535703531E-2</v>
      </c>
      <c r="J57" s="31">
        <f t="shared" si="18"/>
        <v>0.10983695301077158</v>
      </c>
      <c r="K57" s="31">
        <f t="shared" si="18"/>
        <v>7.8116336060787731E-2</v>
      </c>
      <c r="L57" s="31">
        <f t="shared" si="18"/>
        <v>6.360280894871681E-2</v>
      </c>
      <c r="M57" s="31">
        <f t="shared" si="18"/>
        <v>8.8399341119782412E-2</v>
      </c>
      <c r="N57" s="31">
        <f t="shared" si="18"/>
        <v>8.5104566651576771E-2</v>
      </c>
      <c r="O57" s="31">
        <f t="shared" si="18"/>
        <v>0.11236074669567783</v>
      </c>
      <c r="P57" s="31">
        <f t="shared" si="18"/>
        <v>0.16597824385050458</v>
      </c>
      <c r="Q57" s="31">
        <f t="shared" si="18"/>
        <v>0.17440422796129076</v>
      </c>
      <c r="R57" s="31">
        <f t="shared" si="18"/>
        <v>0.21339235169859774</v>
      </c>
      <c r="S57" s="31">
        <f t="shared" si="18"/>
        <v>0.23938772767383268</v>
      </c>
      <c r="T57" s="31">
        <f t="shared" si="18"/>
        <v>0.29113905319199607</v>
      </c>
      <c r="U57" s="31">
        <f t="shared" si="18"/>
        <v>0.33115500489473071</v>
      </c>
      <c r="V57" s="31">
        <f t="shared" si="18"/>
        <v>0.37962989623424021</v>
      </c>
      <c r="W57" s="31">
        <f t="shared" ref="W57:Y57" si="19">IF(W11=0,0,W11/W$10)</f>
        <v>0.25814211050221952</v>
      </c>
      <c r="X57" s="31">
        <f t="shared" si="19"/>
        <v>0.37483566665283052</v>
      </c>
      <c r="Y57" s="31">
        <f t="shared" si="19"/>
        <v>0.42507021624483182</v>
      </c>
      <c r="DA57" s="173"/>
    </row>
    <row r="58" spans="1:105" ht="11.45" customHeight="1" x14ac:dyDescent="0.25">
      <c r="A58" s="107" t="s">
        <v>23</v>
      </c>
      <c r="B58" s="123">
        <f t="shared" si="15"/>
        <v>1.2122779156873235E-2</v>
      </c>
      <c r="C58" s="123">
        <f t="shared" ref="C58:V58" si="20">IF(C12=0,0,C12/C$10)</f>
        <v>1.1440382846149023E-2</v>
      </c>
      <c r="D58" s="123">
        <f t="shared" si="20"/>
        <v>9.9272032118885856E-3</v>
      </c>
      <c r="E58" s="123">
        <f t="shared" si="20"/>
        <v>1.1291999728927306E-2</v>
      </c>
      <c r="F58" s="123">
        <f t="shared" si="20"/>
        <v>1.0372191069278008E-2</v>
      </c>
      <c r="G58" s="123">
        <f t="shared" si="20"/>
        <v>7.7551455011823991E-3</v>
      </c>
      <c r="H58" s="123">
        <f t="shared" si="20"/>
        <v>7.4940014141732098E-3</v>
      </c>
      <c r="I58" s="123">
        <f t="shared" si="20"/>
        <v>8.8993415923167059E-3</v>
      </c>
      <c r="J58" s="123">
        <f t="shared" si="20"/>
        <v>9.4053828976212624E-3</v>
      </c>
      <c r="K58" s="123">
        <f t="shared" si="20"/>
        <v>7.8605809616529888E-3</v>
      </c>
      <c r="L58" s="123">
        <f t="shared" si="20"/>
        <v>6.0006711585281645E-3</v>
      </c>
      <c r="M58" s="123">
        <f t="shared" si="20"/>
        <v>7.697707710119594E-3</v>
      </c>
      <c r="N58" s="123">
        <f t="shared" si="20"/>
        <v>1.1967528436108505E-2</v>
      </c>
      <c r="O58" s="123">
        <f t="shared" si="20"/>
        <v>1.1812439953920794E-2</v>
      </c>
      <c r="P58" s="123">
        <f t="shared" si="20"/>
        <v>1.1516807720563717E-2</v>
      </c>
      <c r="Q58" s="123">
        <f t="shared" si="20"/>
        <v>1.1323894045962977E-2</v>
      </c>
      <c r="R58" s="123">
        <f t="shared" si="20"/>
        <v>1.4294515981420999E-2</v>
      </c>
      <c r="S58" s="123">
        <f t="shared" si="20"/>
        <v>1.374250831942638E-2</v>
      </c>
      <c r="T58" s="123">
        <f t="shared" si="20"/>
        <v>2.21098500141047E-2</v>
      </c>
      <c r="U58" s="123">
        <f t="shared" si="20"/>
        <v>2.1247061148506798E-2</v>
      </c>
      <c r="V58" s="123">
        <f t="shared" si="20"/>
        <v>3.6396004580194811E-2</v>
      </c>
      <c r="W58" s="123">
        <f t="shared" ref="W58:Y58" si="21">IF(W12=0,0,W12/W$10)</f>
        <v>2.7789223113488633E-2</v>
      </c>
      <c r="X58" s="123">
        <f t="shared" si="21"/>
        <v>3.057762926769348E-2</v>
      </c>
      <c r="Y58" s="123">
        <f t="shared" si="21"/>
        <v>3.1421071442777053E-2</v>
      </c>
      <c r="DA58" s="203"/>
    </row>
    <row r="59" spans="1:105" ht="11.45" customHeight="1" x14ac:dyDescent="0.25">
      <c r="A59" s="109" t="s">
        <v>24</v>
      </c>
      <c r="B59" s="124">
        <f t="shared" si="15"/>
        <v>8.6249550903864269E-2</v>
      </c>
      <c r="C59" s="124">
        <f t="shared" ref="C59:V59" si="22">IF(C13=0,0,C13/C$10)</f>
        <v>6.3395448554266098E-2</v>
      </c>
      <c r="D59" s="124">
        <f t="shared" si="22"/>
        <v>4.8610996489044336E-2</v>
      </c>
      <c r="E59" s="124">
        <f t="shared" si="22"/>
        <v>5.3831849227677975E-2</v>
      </c>
      <c r="F59" s="124">
        <f t="shared" si="22"/>
        <v>5.8943196300001582E-2</v>
      </c>
      <c r="G59" s="124">
        <f t="shared" si="22"/>
        <v>6.2508926569472545E-2</v>
      </c>
      <c r="H59" s="124">
        <f t="shared" si="22"/>
        <v>6.5606073291988143E-2</v>
      </c>
      <c r="I59" s="124">
        <f t="shared" si="22"/>
        <v>8.992487294338683E-2</v>
      </c>
      <c r="J59" s="124">
        <f t="shared" si="22"/>
        <v>0.10043157011315032</v>
      </c>
      <c r="K59" s="124">
        <f t="shared" si="22"/>
        <v>7.0255755099134731E-2</v>
      </c>
      <c r="L59" s="124">
        <f t="shared" si="22"/>
        <v>5.7602137790188641E-2</v>
      </c>
      <c r="M59" s="124">
        <f t="shared" si="22"/>
        <v>8.0701633409662812E-2</v>
      </c>
      <c r="N59" s="124">
        <f t="shared" si="22"/>
        <v>7.313703821546827E-2</v>
      </c>
      <c r="O59" s="124">
        <f t="shared" si="22"/>
        <v>0.10054830674175705</v>
      </c>
      <c r="P59" s="124">
        <f t="shared" si="22"/>
        <v>0.15446143612994087</v>
      </c>
      <c r="Q59" s="124">
        <f t="shared" si="22"/>
        <v>0.16308033391532781</v>
      </c>
      <c r="R59" s="124">
        <f t="shared" si="22"/>
        <v>0.19909783571717674</v>
      </c>
      <c r="S59" s="124">
        <f t="shared" si="22"/>
        <v>0.22564521935440632</v>
      </c>
      <c r="T59" s="124">
        <f t="shared" si="22"/>
        <v>0.26902920317789136</v>
      </c>
      <c r="U59" s="124">
        <f t="shared" si="22"/>
        <v>0.30990794374622394</v>
      </c>
      <c r="V59" s="124">
        <f t="shared" si="22"/>
        <v>0.34323389165404539</v>
      </c>
      <c r="W59" s="124">
        <f t="shared" ref="W59:Y59" si="23">IF(W13=0,0,W13/W$10)</f>
        <v>0.23035288738873091</v>
      </c>
      <c r="X59" s="124">
        <f t="shared" si="23"/>
        <v>0.34425803738513705</v>
      </c>
      <c r="Y59" s="124">
        <f t="shared" si="23"/>
        <v>0.39364914480205471</v>
      </c>
      <c r="DA59" s="176"/>
    </row>
    <row r="60" spans="1:105" ht="11.45" customHeight="1" x14ac:dyDescent="0.25">
      <c r="A60" s="111" t="s">
        <v>92</v>
      </c>
      <c r="B60" s="125">
        <f t="shared" si="15"/>
        <v>6.7676886415653559E-2</v>
      </c>
      <c r="C60" s="125">
        <f t="shared" ref="C60:V60" si="24">IF(C14=0,0,C14/C$10)</f>
        <v>3.9928233864480821E-2</v>
      </c>
      <c r="D60" s="125">
        <f t="shared" si="24"/>
        <v>3.0951992804381202E-2</v>
      </c>
      <c r="E60" s="125">
        <f t="shared" si="24"/>
        <v>3.2202038257016792E-2</v>
      </c>
      <c r="F60" s="125">
        <f t="shared" si="24"/>
        <v>3.9670072387807898E-2</v>
      </c>
      <c r="G60" s="125">
        <f t="shared" si="24"/>
        <v>4.2677865174103213E-2</v>
      </c>
      <c r="H60" s="125">
        <f t="shared" si="24"/>
        <v>4.6734726306914644E-2</v>
      </c>
      <c r="I60" s="125">
        <f t="shared" si="24"/>
        <v>6.9790155350890573E-2</v>
      </c>
      <c r="J60" s="125">
        <f t="shared" si="24"/>
        <v>6.9020626480159317E-2</v>
      </c>
      <c r="K60" s="125">
        <f t="shared" si="24"/>
        <v>4.9764298258070674E-2</v>
      </c>
      <c r="L60" s="125">
        <f t="shared" si="24"/>
        <v>4.0327663479057606E-2</v>
      </c>
      <c r="M60" s="125">
        <f t="shared" si="24"/>
        <v>5.9237737231568569E-2</v>
      </c>
      <c r="N60" s="125">
        <f t="shared" si="24"/>
        <v>5.2182755951988312E-2</v>
      </c>
      <c r="O60" s="125">
        <f t="shared" si="24"/>
        <v>7.7605612414477221E-2</v>
      </c>
      <c r="P60" s="125">
        <f t="shared" si="24"/>
        <v>0.11355888901179492</v>
      </c>
      <c r="Q60" s="125">
        <f t="shared" si="24"/>
        <v>0.11937777293483574</v>
      </c>
      <c r="R60" s="125">
        <f t="shared" si="24"/>
        <v>0.14964733177827905</v>
      </c>
      <c r="S60" s="125">
        <f t="shared" si="24"/>
        <v>0.17317841456999103</v>
      </c>
      <c r="T60" s="125">
        <f t="shared" si="24"/>
        <v>0.2362036572176619</v>
      </c>
      <c r="U60" s="125">
        <f t="shared" si="24"/>
        <v>0.27130612332070514</v>
      </c>
      <c r="V60" s="125">
        <f t="shared" si="24"/>
        <v>0.31579774703352975</v>
      </c>
      <c r="W60" s="125">
        <f t="shared" ref="W60:Y60" si="25">IF(W14=0,0,W14/W$10)</f>
        <v>0.1839217197610373</v>
      </c>
      <c r="X60" s="125">
        <f t="shared" si="25"/>
        <v>0.29668193250858638</v>
      </c>
      <c r="Y60" s="125">
        <f t="shared" si="25"/>
        <v>0.29872093775375119</v>
      </c>
      <c r="DA60" s="171"/>
    </row>
    <row r="61" spans="1:105" ht="11.45" customHeight="1" x14ac:dyDescent="0.25">
      <c r="A61" s="111" t="s">
        <v>93</v>
      </c>
      <c r="B61" s="125">
        <f t="shared" si="15"/>
        <v>1.85726644882107E-2</v>
      </c>
      <c r="C61" s="125">
        <f t="shared" ref="C61:V61" si="26">IF(C15=0,0,C15/C$10)</f>
        <v>2.3467214689785267E-2</v>
      </c>
      <c r="D61" s="125">
        <f t="shared" si="26"/>
        <v>1.7659003684663135E-2</v>
      </c>
      <c r="E61" s="125">
        <f t="shared" si="26"/>
        <v>2.1629810970661183E-2</v>
      </c>
      <c r="F61" s="125">
        <f t="shared" si="26"/>
        <v>1.9273123912193685E-2</v>
      </c>
      <c r="G61" s="125">
        <f t="shared" si="26"/>
        <v>1.9831061395369338E-2</v>
      </c>
      <c r="H61" s="125">
        <f t="shared" si="26"/>
        <v>1.8871346985073503E-2</v>
      </c>
      <c r="I61" s="125">
        <f t="shared" si="26"/>
        <v>2.0134717592496246E-2</v>
      </c>
      <c r="J61" s="125">
        <f t="shared" si="26"/>
        <v>3.141094363299099E-2</v>
      </c>
      <c r="K61" s="125">
        <f t="shared" si="26"/>
        <v>2.0491456841064067E-2</v>
      </c>
      <c r="L61" s="125">
        <f t="shared" si="26"/>
        <v>1.7274474311131036E-2</v>
      </c>
      <c r="M61" s="125">
        <f t="shared" si="26"/>
        <v>2.1463896178094244E-2</v>
      </c>
      <c r="N61" s="125">
        <f t="shared" si="26"/>
        <v>2.0954282263479968E-2</v>
      </c>
      <c r="O61" s="125">
        <f t="shared" si="26"/>
        <v>2.2942694327279835E-2</v>
      </c>
      <c r="P61" s="125">
        <f t="shared" si="26"/>
        <v>4.0902547118145956E-2</v>
      </c>
      <c r="Q61" s="125">
        <f t="shared" si="26"/>
        <v>4.370256098049205E-2</v>
      </c>
      <c r="R61" s="125">
        <f t="shared" si="26"/>
        <v>4.9450503938897689E-2</v>
      </c>
      <c r="S61" s="125">
        <f t="shared" si="26"/>
        <v>5.2466804784415288E-2</v>
      </c>
      <c r="T61" s="125">
        <f t="shared" si="26"/>
        <v>3.2825545960229484E-2</v>
      </c>
      <c r="U61" s="125">
        <f t="shared" si="26"/>
        <v>3.8601820425518789E-2</v>
      </c>
      <c r="V61" s="125">
        <f t="shared" si="26"/>
        <v>2.7436144620515645E-2</v>
      </c>
      <c r="W61" s="125">
        <f t="shared" ref="W61:Y61" si="27">IF(W15=0,0,W15/W$10)</f>
        <v>4.6431167627693601E-2</v>
      </c>
      <c r="X61" s="125">
        <f t="shared" si="27"/>
        <v>4.7576104876550694E-2</v>
      </c>
      <c r="Y61" s="125">
        <f t="shared" si="27"/>
        <v>9.4928207048303528E-2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0.90162766993926258</v>
      </c>
      <c r="C63" s="31">
        <f t="shared" ref="C63:V63" si="30">IF(C17=0,0,C17/C$10)</f>
        <v>0.92516416859958495</v>
      </c>
      <c r="D63" s="31">
        <f t="shared" si="30"/>
        <v>0.94146180029906712</v>
      </c>
      <c r="E63" s="31">
        <f t="shared" si="30"/>
        <v>0.93487615104339472</v>
      </c>
      <c r="F63" s="31">
        <f t="shared" si="30"/>
        <v>0.93068461263072033</v>
      </c>
      <c r="G63" s="31">
        <f t="shared" si="30"/>
        <v>0.92973592792934512</v>
      </c>
      <c r="H63" s="31">
        <f t="shared" si="30"/>
        <v>0.92689992529383869</v>
      </c>
      <c r="I63" s="31">
        <f t="shared" si="30"/>
        <v>0.90117578546429655</v>
      </c>
      <c r="J63" s="31">
        <f t="shared" si="30"/>
        <v>0.89016304698922843</v>
      </c>
      <c r="K63" s="31">
        <f t="shared" si="30"/>
        <v>0.92188366393921228</v>
      </c>
      <c r="L63" s="31">
        <f t="shared" si="30"/>
        <v>0.93639719105128327</v>
      </c>
      <c r="M63" s="31">
        <f t="shared" si="30"/>
        <v>0.91160065888021757</v>
      </c>
      <c r="N63" s="31">
        <f t="shared" si="30"/>
        <v>0.91489543334842327</v>
      </c>
      <c r="O63" s="31">
        <f t="shared" si="30"/>
        <v>0.88763925330432214</v>
      </c>
      <c r="P63" s="31">
        <f t="shared" si="30"/>
        <v>0.83402175614949536</v>
      </c>
      <c r="Q63" s="31">
        <f t="shared" si="30"/>
        <v>0.82559577203870915</v>
      </c>
      <c r="R63" s="31">
        <f t="shared" si="30"/>
        <v>0.78660764830140228</v>
      </c>
      <c r="S63" s="31">
        <f t="shared" si="30"/>
        <v>0.76061227232616735</v>
      </c>
      <c r="T63" s="31">
        <f t="shared" si="30"/>
        <v>0.70886094680800404</v>
      </c>
      <c r="U63" s="31">
        <f t="shared" si="30"/>
        <v>0.6688449951052694</v>
      </c>
      <c r="V63" s="31">
        <f t="shared" si="30"/>
        <v>0.62037010376575974</v>
      </c>
      <c r="W63" s="31">
        <f t="shared" ref="W63:Y63" si="31">IF(W17=0,0,W17/W$10)</f>
        <v>0.74185788949778053</v>
      </c>
      <c r="X63" s="31">
        <f t="shared" si="31"/>
        <v>0.62516433334716948</v>
      </c>
      <c r="Y63" s="31">
        <f t="shared" si="31"/>
        <v>0.57492978375516823</v>
      </c>
      <c r="DA63" s="173"/>
    </row>
    <row r="64" spans="1:105" ht="11.45" customHeight="1" x14ac:dyDescent="0.25">
      <c r="A64" s="83" t="s">
        <v>92</v>
      </c>
      <c r="B64" s="125">
        <f t="shared" si="15"/>
        <v>0.90162766993926258</v>
      </c>
      <c r="C64" s="125">
        <f t="shared" ref="C64:V64" si="32">IF(C18=0,0,C18/C$10)</f>
        <v>0.92516416859958495</v>
      </c>
      <c r="D64" s="125">
        <f t="shared" si="32"/>
        <v>0.94146180029906712</v>
      </c>
      <c r="E64" s="125">
        <f t="shared" si="32"/>
        <v>0.93487615104339472</v>
      </c>
      <c r="F64" s="125">
        <f t="shared" si="32"/>
        <v>0.93068461263072033</v>
      </c>
      <c r="G64" s="125">
        <f t="shared" si="32"/>
        <v>0.92973592792934512</v>
      </c>
      <c r="H64" s="125">
        <f t="shared" si="32"/>
        <v>0.92689992529383869</v>
      </c>
      <c r="I64" s="125">
        <f t="shared" si="32"/>
        <v>0.90117578546429655</v>
      </c>
      <c r="J64" s="125">
        <f t="shared" si="32"/>
        <v>0.89016304698922843</v>
      </c>
      <c r="K64" s="125">
        <f t="shared" si="32"/>
        <v>0.92188366393921228</v>
      </c>
      <c r="L64" s="125">
        <f t="shared" si="32"/>
        <v>0.93639719105128327</v>
      </c>
      <c r="M64" s="125">
        <f t="shared" si="32"/>
        <v>0.91160065888021757</v>
      </c>
      <c r="N64" s="125">
        <f t="shared" si="32"/>
        <v>0.91489543334842327</v>
      </c>
      <c r="O64" s="125">
        <f t="shared" si="32"/>
        <v>0.88763925330432214</v>
      </c>
      <c r="P64" s="125">
        <f t="shared" si="32"/>
        <v>0.83402175614949536</v>
      </c>
      <c r="Q64" s="125">
        <f t="shared" si="32"/>
        <v>0.82559577203870915</v>
      </c>
      <c r="R64" s="125">
        <f t="shared" si="32"/>
        <v>0.78660764830140228</v>
      </c>
      <c r="S64" s="125">
        <f t="shared" si="32"/>
        <v>0.76061227232616735</v>
      </c>
      <c r="T64" s="125">
        <f t="shared" si="32"/>
        <v>0.70886094680800404</v>
      </c>
      <c r="U64" s="125">
        <f t="shared" si="32"/>
        <v>0.6688449951052694</v>
      </c>
      <c r="V64" s="125">
        <f t="shared" si="32"/>
        <v>0.62037010376575974</v>
      </c>
      <c r="W64" s="125">
        <f t="shared" ref="W64:Y64" si="33">IF(W18=0,0,W18/W$10)</f>
        <v>0.74185788949778053</v>
      </c>
      <c r="X64" s="125">
        <f t="shared" si="33"/>
        <v>0.62516433334716948</v>
      </c>
      <c r="Y64" s="125">
        <f t="shared" si="33"/>
        <v>0.57492978375516823</v>
      </c>
      <c r="DA64" s="171"/>
    </row>
    <row r="65" spans="1:105" ht="11.45" customHeight="1" x14ac:dyDescent="0.25">
      <c r="A65" s="85" t="s">
        <v>93</v>
      </c>
      <c r="B65" s="127">
        <f t="shared" si="15"/>
        <v>0</v>
      </c>
      <c r="C65" s="127">
        <f t="shared" ref="C65:V65" si="34">IF(C19=0,0,C19/C$10)</f>
        <v>0</v>
      </c>
      <c r="D65" s="127">
        <f t="shared" si="34"/>
        <v>0</v>
      </c>
      <c r="E65" s="127">
        <f t="shared" si="34"/>
        <v>0</v>
      </c>
      <c r="F65" s="127">
        <f t="shared" si="34"/>
        <v>0</v>
      </c>
      <c r="G65" s="127">
        <f t="shared" si="34"/>
        <v>0</v>
      </c>
      <c r="H65" s="127">
        <f t="shared" si="34"/>
        <v>0</v>
      </c>
      <c r="I65" s="127">
        <f t="shared" si="34"/>
        <v>0</v>
      </c>
      <c r="J65" s="127">
        <f t="shared" si="34"/>
        <v>0</v>
      </c>
      <c r="K65" s="127">
        <f t="shared" si="34"/>
        <v>0</v>
      </c>
      <c r="L65" s="127">
        <f t="shared" si="34"/>
        <v>0</v>
      </c>
      <c r="M65" s="127">
        <f t="shared" si="34"/>
        <v>0</v>
      </c>
      <c r="N65" s="127">
        <f t="shared" si="34"/>
        <v>0</v>
      </c>
      <c r="O65" s="127">
        <f t="shared" si="34"/>
        <v>0</v>
      </c>
      <c r="P65" s="127">
        <f t="shared" si="34"/>
        <v>0</v>
      </c>
      <c r="Q65" s="127">
        <f t="shared" si="34"/>
        <v>0</v>
      </c>
      <c r="R65" s="127">
        <f t="shared" si="34"/>
        <v>0</v>
      </c>
      <c r="S65" s="127">
        <f t="shared" si="34"/>
        <v>0</v>
      </c>
      <c r="T65" s="127">
        <f t="shared" si="34"/>
        <v>0</v>
      </c>
      <c r="U65" s="127">
        <f t="shared" si="34"/>
        <v>0</v>
      </c>
      <c r="V65" s="127">
        <f t="shared" si="34"/>
        <v>0</v>
      </c>
      <c r="W65" s="127">
        <f t="shared" ref="W65:Y65" si="35">IF(W19=0,0,W19/W$10)</f>
        <v>0</v>
      </c>
      <c r="X65" s="127">
        <f t="shared" si="35"/>
        <v>0</v>
      </c>
      <c r="Y65" s="127">
        <f t="shared" si="35"/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134.78049000000001</v>
      </c>
      <c r="C4" s="26">
        <f t="shared" ref="C4:W4" si="0">SUM(C5:C6)</f>
        <v>125.3772</v>
      </c>
      <c r="D4" s="26">
        <f t="shared" si="0"/>
        <v>159.85593</v>
      </c>
      <c r="E4" s="26">
        <f t="shared" si="0"/>
        <v>141.04935</v>
      </c>
      <c r="F4" s="26">
        <f t="shared" si="0"/>
        <v>122.24276999999998</v>
      </c>
      <c r="G4" s="26">
        <f t="shared" si="0"/>
        <v>131.64606000000001</v>
      </c>
      <c r="H4" s="26">
        <f t="shared" si="0"/>
        <v>137.91492</v>
      </c>
      <c r="I4" s="26">
        <f t="shared" si="0"/>
        <v>115.97391000000002</v>
      </c>
      <c r="J4" s="26">
        <f t="shared" si="0"/>
        <v>81.495180000000005</v>
      </c>
      <c r="K4" s="26">
        <f t="shared" si="0"/>
        <v>109.70505</v>
      </c>
      <c r="L4" s="26">
        <f t="shared" si="0"/>
        <v>156.72150000000002</v>
      </c>
      <c r="M4" s="26">
        <f t="shared" si="0"/>
        <v>106.57062000000001</v>
      </c>
      <c r="N4" s="26">
        <f t="shared" si="0"/>
        <v>94.032899999999984</v>
      </c>
      <c r="O4" s="26">
        <f t="shared" si="0"/>
        <v>81.495180000000005</v>
      </c>
      <c r="P4" s="26">
        <f t="shared" si="0"/>
        <v>62.688600000000008</v>
      </c>
      <c r="Q4" s="26">
        <f t="shared" si="0"/>
        <v>59.554170000000006</v>
      </c>
      <c r="R4" s="26">
        <f t="shared" si="0"/>
        <v>47.016450000000013</v>
      </c>
      <c r="S4" s="26">
        <f t="shared" si="0"/>
        <v>48.909645720000007</v>
      </c>
      <c r="T4" s="26">
        <f t="shared" si="0"/>
        <v>45.891256320000011</v>
      </c>
      <c r="U4" s="26">
        <f t="shared" si="0"/>
        <v>50.285593799999987</v>
      </c>
      <c r="V4" s="26">
        <f t="shared" si="0"/>
        <v>44.991741600000012</v>
      </c>
      <c r="W4" s="26">
        <f t="shared" si="0"/>
        <v>43.509089519999996</v>
      </c>
      <c r="X4" s="26">
        <f t="shared" ref="X4:Y4" si="1">SUM(X5:X6)</f>
        <v>39.180375000000005</v>
      </c>
      <c r="Y4" s="26">
        <f t="shared" si="1"/>
        <v>43.073470439999994</v>
      </c>
      <c r="DA4" s="202" t="s">
        <v>1137</v>
      </c>
    </row>
    <row r="5" spans="1:105" ht="11.45" customHeight="1" x14ac:dyDescent="0.25">
      <c r="A5" s="107" t="s">
        <v>92</v>
      </c>
      <c r="B5" s="129">
        <v>134.78049000000001</v>
      </c>
      <c r="C5" s="129">
        <v>125.3772</v>
      </c>
      <c r="D5" s="129">
        <v>159.85593</v>
      </c>
      <c r="E5" s="129">
        <v>141.04935</v>
      </c>
      <c r="F5" s="129">
        <v>122.24276999999998</v>
      </c>
      <c r="G5" s="129">
        <v>131.64606000000001</v>
      </c>
      <c r="H5" s="129">
        <v>137.91492</v>
      </c>
      <c r="I5" s="129">
        <v>115.97391000000002</v>
      </c>
      <c r="J5" s="129">
        <v>81.495180000000005</v>
      </c>
      <c r="K5" s="129">
        <v>109.70505</v>
      </c>
      <c r="L5" s="129">
        <v>156.72150000000002</v>
      </c>
      <c r="M5" s="129">
        <v>106.57062000000001</v>
      </c>
      <c r="N5" s="129">
        <v>94.032899999999984</v>
      </c>
      <c r="O5" s="129">
        <v>81.495180000000005</v>
      </c>
      <c r="P5" s="129">
        <v>62.688600000000008</v>
      </c>
      <c r="Q5" s="129">
        <v>59.554170000000006</v>
      </c>
      <c r="R5" s="129">
        <v>47.016450000000013</v>
      </c>
      <c r="S5" s="129">
        <v>48.909645720000007</v>
      </c>
      <c r="T5" s="129">
        <v>45.891256320000011</v>
      </c>
      <c r="U5" s="129">
        <v>50.285593799999987</v>
      </c>
      <c r="V5" s="129">
        <v>44.991741600000012</v>
      </c>
      <c r="W5" s="129">
        <v>43.509089519999996</v>
      </c>
      <c r="X5" s="129">
        <v>39.180375000000005</v>
      </c>
      <c r="Y5" s="129">
        <v>43.073470439999994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134.78048999999999</v>
      </c>
      <c r="C8" s="79">
        <f t="shared" si="2"/>
        <v>125.3772</v>
      </c>
      <c r="D8" s="79">
        <f t="shared" si="2"/>
        <v>159.85592999999997</v>
      </c>
      <c r="E8" s="79">
        <f t="shared" si="2"/>
        <v>141.04935</v>
      </c>
      <c r="F8" s="79">
        <f t="shared" si="2"/>
        <v>122.24276999999998</v>
      </c>
      <c r="G8" s="79">
        <f t="shared" si="2"/>
        <v>131.64606000000001</v>
      </c>
      <c r="H8" s="79">
        <f t="shared" si="2"/>
        <v>137.91492000000002</v>
      </c>
      <c r="I8" s="79">
        <f t="shared" si="2"/>
        <v>115.97391000000003</v>
      </c>
      <c r="J8" s="79">
        <f t="shared" si="2"/>
        <v>81.495179999999991</v>
      </c>
      <c r="K8" s="79">
        <f t="shared" si="2"/>
        <v>109.70505</v>
      </c>
      <c r="L8" s="79">
        <f t="shared" si="2"/>
        <v>156.72150000000002</v>
      </c>
      <c r="M8" s="79">
        <f t="shared" si="2"/>
        <v>106.57062000000002</v>
      </c>
      <c r="N8" s="79">
        <f t="shared" si="2"/>
        <v>94.032899999999984</v>
      </c>
      <c r="O8" s="79">
        <f t="shared" si="2"/>
        <v>81.495180000000005</v>
      </c>
      <c r="P8" s="79">
        <f t="shared" si="2"/>
        <v>62.688600000000008</v>
      </c>
      <c r="Q8" s="79">
        <f t="shared" si="2"/>
        <v>59.554170000000006</v>
      </c>
      <c r="R8" s="79">
        <f t="shared" si="2"/>
        <v>47.016450000000006</v>
      </c>
      <c r="S8" s="79">
        <f t="shared" si="2"/>
        <v>48.90964572</v>
      </c>
      <c r="T8" s="79">
        <f t="shared" si="2"/>
        <v>45.891256320000011</v>
      </c>
      <c r="U8" s="79">
        <f t="shared" si="2"/>
        <v>50.285593799999987</v>
      </c>
      <c r="V8" s="79">
        <f t="shared" si="2"/>
        <v>44.991741600000019</v>
      </c>
      <c r="W8" s="79">
        <f t="shared" si="2"/>
        <v>43.509089519999989</v>
      </c>
      <c r="X8" s="79">
        <f t="shared" ref="X8:Y8" si="3">SUM(X9,X15)</f>
        <v>39.180375000000005</v>
      </c>
      <c r="Y8" s="79">
        <f t="shared" si="3"/>
        <v>43.073470439999994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9.4103796922999674</v>
      </c>
      <c r="C9" s="32">
        <f t="shared" si="4"/>
        <v>5.1871615091904966</v>
      </c>
      <c r="D9" s="32">
        <f t="shared" si="4"/>
        <v>5.0882244063061099</v>
      </c>
      <c r="E9" s="32">
        <f t="shared" si="4"/>
        <v>4.6967004478853047</v>
      </c>
      <c r="F9" s="32">
        <f t="shared" si="4"/>
        <v>4.9975329739285543</v>
      </c>
      <c r="G9" s="32">
        <f t="shared" si="4"/>
        <v>5.7777592617757145</v>
      </c>
      <c r="H9" s="32">
        <f t="shared" si="4"/>
        <v>6.6199534180948838</v>
      </c>
      <c r="I9" s="32">
        <f t="shared" si="4"/>
        <v>8.3358610794884491</v>
      </c>
      <c r="J9" s="32">
        <f t="shared" si="4"/>
        <v>5.8642036288713655</v>
      </c>
      <c r="K9" s="32">
        <f t="shared" si="4"/>
        <v>5.6186963190564319</v>
      </c>
      <c r="L9" s="32">
        <f t="shared" si="4"/>
        <v>6.4708212170685551</v>
      </c>
      <c r="M9" s="32">
        <f t="shared" si="4"/>
        <v>6.5026294895720653</v>
      </c>
      <c r="N9" s="32">
        <f t="shared" si="4"/>
        <v>5.0739391358907495</v>
      </c>
      <c r="O9" s="32">
        <f t="shared" si="4"/>
        <v>6.5522061575726029</v>
      </c>
      <c r="P9" s="32">
        <f t="shared" si="4"/>
        <v>7.5126563697310322</v>
      </c>
      <c r="Q9" s="32">
        <f t="shared" si="4"/>
        <v>7.523431974787866</v>
      </c>
      <c r="R9" s="32">
        <f t="shared" si="4"/>
        <v>7.5149253588889531</v>
      </c>
      <c r="S9" s="32">
        <f t="shared" si="4"/>
        <v>9.0706568632885283</v>
      </c>
      <c r="T9" s="32">
        <f t="shared" si="4"/>
        <v>11.469779453090977</v>
      </c>
      <c r="U9" s="32">
        <f t="shared" si="4"/>
        <v>14.511272970242054</v>
      </c>
      <c r="V9" s="32">
        <f t="shared" si="4"/>
        <v>15.177076012879384</v>
      </c>
      <c r="W9" s="32">
        <f t="shared" si="4"/>
        <v>8.6438138080854525</v>
      </c>
      <c r="X9" s="32">
        <f t="shared" ref="X9:Y9" si="5">SUM(X10,X11,X14)</f>
        <v>12.609596417489819</v>
      </c>
      <c r="Y9" s="32">
        <f t="shared" si="5"/>
        <v>14.727793573983693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9.4103796922999674</v>
      </c>
      <c r="C11" s="130">
        <f t="shared" si="6"/>
        <v>5.1871615091904966</v>
      </c>
      <c r="D11" s="130">
        <f t="shared" si="6"/>
        <v>5.0882244063061099</v>
      </c>
      <c r="E11" s="130">
        <f t="shared" si="6"/>
        <v>4.6967004478853047</v>
      </c>
      <c r="F11" s="130">
        <f t="shared" si="6"/>
        <v>4.9975329739285543</v>
      </c>
      <c r="G11" s="130">
        <f t="shared" si="6"/>
        <v>5.7777592617757145</v>
      </c>
      <c r="H11" s="130">
        <f t="shared" si="6"/>
        <v>6.6199534180948838</v>
      </c>
      <c r="I11" s="130">
        <f t="shared" si="6"/>
        <v>8.3358610794884491</v>
      </c>
      <c r="J11" s="130">
        <f t="shared" si="6"/>
        <v>5.8642036288713655</v>
      </c>
      <c r="K11" s="130">
        <f t="shared" si="6"/>
        <v>5.6186963190564319</v>
      </c>
      <c r="L11" s="130">
        <f t="shared" si="6"/>
        <v>6.4708212170685551</v>
      </c>
      <c r="M11" s="130">
        <f t="shared" si="6"/>
        <v>6.5026294895720653</v>
      </c>
      <c r="N11" s="130">
        <f t="shared" si="6"/>
        <v>5.0739391358907495</v>
      </c>
      <c r="O11" s="130">
        <f t="shared" si="6"/>
        <v>6.5522061575726029</v>
      </c>
      <c r="P11" s="130">
        <f t="shared" si="6"/>
        <v>7.5126563697310322</v>
      </c>
      <c r="Q11" s="130">
        <f t="shared" si="6"/>
        <v>7.523431974787866</v>
      </c>
      <c r="R11" s="130">
        <f t="shared" si="6"/>
        <v>7.5149253588889531</v>
      </c>
      <c r="S11" s="130">
        <f t="shared" si="6"/>
        <v>9.0706568632885283</v>
      </c>
      <c r="T11" s="130">
        <f t="shared" si="6"/>
        <v>11.469779453090977</v>
      </c>
      <c r="U11" s="130">
        <f t="shared" si="6"/>
        <v>14.511272970242054</v>
      </c>
      <c r="V11" s="130">
        <f t="shared" si="6"/>
        <v>15.177076012879384</v>
      </c>
      <c r="W11" s="130">
        <f t="shared" si="6"/>
        <v>8.6438138080854525</v>
      </c>
      <c r="X11" s="130">
        <f t="shared" ref="X11:Y11" si="7">SUM(X12:X13)</f>
        <v>12.609596417489819</v>
      </c>
      <c r="Y11" s="130">
        <f t="shared" si="7"/>
        <v>14.727793573983693</v>
      </c>
      <c r="DA11" s="176" t="s">
        <v>409</v>
      </c>
    </row>
    <row r="12" spans="1:105" ht="11.45" customHeight="1" x14ac:dyDescent="0.25">
      <c r="A12" s="111" t="s">
        <v>92</v>
      </c>
      <c r="B12" s="96">
        <v>9.4103796922999674</v>
      </c>
      <c r="C12" s="96">
        <v>5.1871615091904966</v>
      </c>
      <c r="D12" s="96">
        <v>5.0882244063061099</v>
      </c>
      <c r="E12" s="96">
        <v>4.6967004478853047</v>
      </c>
      <c r="F12" s="96">
        <v>4.9975329739285543</v>
      </c>
      <c r="G12" s="96">
        <v>5.7777592617757145</v>
      </c>
      <c r="H12" s="96">
        <v>6.6199534180948838</v>
      </c>
      <c r="I12" s="96">
        <v>8.3358610794884491</v>
      </c>
      <c r="J12" s="96">
        <v>5.8642036288713655</v>
      </c>
      <c r="K12" s="96">
        <v>5.6186963190564319</v>
      </c>
      <c r="L12" s="96">
        <v>6.4708212170685551</v>
      </c>
      <c r="M12" s="96">
        <v>6.5026294895720653</v>
      </c>
      <c r="N12" s="96">
        <v>5.0739391358907495</v>
      </c>
      <c r="O12" s="96">
        <v>6.5522061575726029</v>
      </c>
      <c r="P12" s="96">
        <v>7.5126563697310322</v>
      </c>
      <c r="Q12" s="96">
        <v>7.523431974787866</v>
      </c>
      <c r="R12" s="96">
        <v>7.5149253588889531</v>
      </c>
      <c r="S12" s="96">
        <v>9.0706568632885283</v>
      </c>
      <c r="T12" s="96">
        <v>11.469779453090977</v>
      </c>
      <c r="U12" s="96">
        <v>14.511272970242054</v>
      </c>
      <c r="V12" s="96">
        <v>15.177076012879384</v>
      </c>
      <c r="W12" s="96">
        <v>8.6438138080854525</v>
      </c>
      <c r="X12" s="96">
        <v>12.609596417489819</v>
      </c>
      <c r="Y12" s="96">
        <v>14.727793573983693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125.37011030770003</v>
      </c>
      <c r="C15" s="32">
        <f t="shared" si="8"/>
        <v>120.1900384908095</v>
      </c>
      <c r="D15" s="32">
        <f t="shared" si="8"/>
        <v>154.76770559369388</v>
      </c>
      <c r="E15" s="32">
        <f t="shared" si="8"/>
        <v>136.35264955211471</v>
      </c>
      <c r="F15" s="32">
        <f t="shared" si="8"/>
        <v>117.24523702607142</v>
      </c>
      <c r="G15" s="32">
        <f t="shared" si="8"/>
        <v>125.86830073822429</v>
      </c>
      <c r="H15" s="32">
        <f t="shared" si="8"/>
        <v>131.29496658190513</v>
      </c>
      <c r="I15" s="32">
        <f t="shared" si="8"/>
        <v>107.63804892051158</v>
      </c>
      <c r="J15" s="32">
        <f t="shared" si="8"/>
        <v>75.630976371128625</v>
      </c>
      <c r="K15" s="32">
        <f t="shared" si="8"/>
        <v>104.08635368094357</v>
      </c>
      <c r="L15" s="32">
        <f t="shared" si="8"/>
        <v>150.25067878293146</v>
      </c>
      <c r="M15" s="32">
        <f t="shared" si="8"/>
        <v>100.06799051042795</v>
      </c>
      <c r="N15" s="32">
        <f t="shared" si="8"/>
        <v>88.95896086410923</v>
      </c>
      <c r="O15" s="32">
        <f t="shared" si="8"/>
        <v>74.942973842427406</v>
      </c>
      <c r="P15" s="32">
        <f t="shared" si="8"/>
        <v>55.175943630268975</v>
      </c>
      <c r="Q15" s="32">
        <f t="shared" si="8"/>
        <v>52.030738025212138</v>
      </c>
      <c r="R15" s="32">
        <f t="shared" si="8"/>
        <v>39.501524641111054</v>
      </c>
      <c r="S15" s="32">
        <f t="shared" si="8"/>
        <v>39.838988856711474</v>
      </c>
      <c r="T15" s="32">
        <f t="shared" si="8"/>
        <v>34.421476866909032</v>
      </c>
      <c r="U15" s="32">
        <f t="shared" si="8"/>
        <v>35.774320829757933</v>
      </c>
      <c r="V15" s="32">
        <f t="shared" si="8"/>
        <v>29.814665587120633</v>
      </c>
      <c r="W15" s="32">
        <f t="shared" si="8"/>
        <v>34.865275711914535</v>
      </c>
      <c r="X15" s="32">
        <f t="shared" ref="X15:Y15" si="9">SUM(X16:X17)</f>
        <v>26.570778582510187</v>
      </c>
      <c r="Y15" s="32">
        <f t="shared" si="9"/>
        <v>28.345676866016301</v>
      </c>
      <c r="DA15" s="173" t="s">
        <v>414</v>
      </c>
    </row>
    <row r="16" spans="1:105" ht="11.45" customHeight="1" x14ac:dyDescent="0.25">
      <c r="A16" s="83" t="s">
        <v>92</v>
      </c>
      <c r="B16" s="96">
        <v>125.37011030770003</v>
      </c>
      <c r="C16" s="96">
        <v>120.1900384908095</v>
      </c>
      <c r="D16" s="96">
        <v>154.76770559369388</v>
      </c>
      <c r="E16" s="96">
        <v>136.35264955211471</v>
      </c>
      <c r="F16" s="96">
        <v>117.24523702607142</v>
      </c>
      <c r="G16" s="96">
        <v>125.86830073822429</v>
      </c>
      <c r="H16" s="96">
        <v>131.29496658190513</v>
      </c>
      <c r="I16" s="96">
        <v>107.63804892051158</v>
      </c>
      <c r="J16" s="96">
        <v>75.630976371128625</v>
      </c>
      <c r="K16" s="96">
        <v>104.08635368094357</v>
      </c>
      <c r="L16" s="96">
        <v>150.25067878293146</v>
      </c>
      <c r="M16" s="96">
        <v>100.06799051042795</v>
      </c>
      <c r="N16" s="96">
        <v>88.95896086410923</v>
      </c>
      <c r="O16" s="96">
        <v>74.942973842427406</v>
      </c>
      <c r="P16" s="96">
        <v>55.175943630268975</v>
      </c>
      <c r="Q16" s="96">
        <v>52.030738025212138</v>
      </c>
      <c r="R16" s="96">
        <v>39.501524641111054</v>
      </c>
      <c r="S16" s="96">
        <v>39.838988856711474</v>
      </c>
      <c r="T16" s="96">
        <v>34.421476866909032</v>
      </c>
      <c r="U16" s="96">
        <v>35.774320829757933</v>
      </c>
      <c r="V16" s="96">
        <v>29.814665587120633</v>
      </c>
      <c r="W16" s="96">
        <v>34.865275711914535</v>
      </c>
      <c r="X16" s="96">
        <v>26.570778582510187</v>
      </c>
      <c r="Y16" s="96">
        <v>28.345676866016301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3.007188678561151</v>
      </c>
      <c r="C22" s="134">
        <f>IF(C4=0,0,C4/TrRail_ene!C4)</f>
        <v>2.9941208131416839</v>
      </c>
      <c r="D22" s="134">
        <f>IF(D4=0,0,D4/TrRail_ene!D4)</f>
        <v>3.0168348331034482</v>
      </c>
      <c r="E22" s="134">
        <f>IF(E4=0,0,E4/TrRail_ene!E4)</f>
        <v>3.000281555555556</v>
      </c>
      <c r="F22" s="134">
        <f>IF(F4=0,0,F4/TrRail_ene!F4)</f>
        <v>3.0104466174695603</v>
      </c>
      <c r="G22" s="134">
        <f>IF(G4=0,0,G4/TrRail_ene!G4)</f>
        <v>3.0168348331034482</v>
      </c>
      <c r="H22" s="134">
        <f>IF(H4=0,0,H4/TrRail_ene!H4)</f>
        <v>3.0206224474576269</v>
      </c>
      <c r="I22" s="134">
        <f>IF(I4=0,0,I4/TrRail_ene!I4)</f>
        <v>3.0123429889447237</v>
      </c>
      <c r="J22" s="134">
        <f>IF(J4=0,0,J4/TrRail_ene!J4)</f>
        <v>2.97578946122449</v>
      </c>
      <c r="K22" s="134">
        <f>IF(K4=0,0,K4/TrRail_ene!K4)</f>
        <v>3.0144589049025399</v>
      </c>
      <c r="L22" s="134">
        <f>IF(L4=0,0,L4/TrRail_ene!L4)</f>
        <v>3.0302095511221947</v>
      </c>
      <c r="M22" s="134">
        <f>IF(M4=0,0,M4/TrRail_ene!M4)</f>
        <v>3.0119472918590522</v>
      </c>
      <c r="N22" s="134">
        <f>IF(N4=0,0,N4/TrRail_ene!N4)</f>
        <v>3.0002815555555555</v>
      </c>
      <c r="O22" s="134">
        <f>IF(O4=0,0,O4/TrRail_ene!O4)</f>
        <v>2.9945938180094793</v>
      </c>
      <c r="P22" s="134">
        <f>IF(P4=0,0,P4/TrRail_ene!P4)</f>
        <v>2.9397920080645159</v>
      </c>
      <c r="Q22" s="134">
        <f>IF(Q4=0,0,Q4/TrRail_ene!Q4)</f>
        <v>2.9317036914285715</v>
      </c>
      <c r="R22" s="134">
        <f>IF(R4=0,0,R4/TrRail_ene!R4)</f>
        <v>2.9046550517928291</v>
      </c>
      <c r="S22" s="134">
        <f>IF(S4=0,0,S4/TrRail_ene!S4)</f>
        <v>2.8970097822915557</v>
      </c>
      <c r="T22" s="134">
        <f>IF(T4=0,0,T4/TrRail_ene!T4)</f>
        <v>2.9319861947437813</v>
      </c>
      <c r="U22" s="134">
        <f>IF(U4=0,0,U4/TrRail_ene!U4)</f>
        <v>2.9167425046457693</v>
      </c>
      <c r="V22" s="134">
        <f>IF(V4=0,0,V4/TrRail_ene!V4)</f>
        <v>2.9043847402753111</v>
      </c>
      <c r="W22" s="134">
        <f>IF(W4=0,0,W4/TrRail_ene!W4)</f>
        <v>2.8721560644212105</v>
      </c>
      <c r="X22" s="134">
        <f>IF(X4=0,0,X4/TrRail_ene!X4)</f>
        <v>2.8599531859006948</v>
      </c>
      <c r="Y22" s="134">
        <f>IF(Y4=0,0,Y4/TrRail_ene!Y4)</f>
        <v>2.710430423042836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1.5512093999999998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1.5512094000000003</v>
      </c>
      <c r="K23" s="129">
        <f>IF(K5=0,0,K5/SUM(TrRail_ene!K5:K7))</f>
        <v>1.5512094000000001</v>
      </c>
      <c r="L23" s="129">
        <f>IF(L5=0,0,L5/SUM(TrRail_ene!L5:L7))</f>
        <v>1.5512094000000003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1.5512094000000003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1.5512094000000003</v>
      </c>
      <c r="W23" s="129">
        <f>IF(W5=0,0,W5/SUM(TrRail_ene!W5:W7))</f>
        <v>1.5512094000000003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11590.447796573271</v>
      </c>
      <c r="C26" s="54">
        <f>IF(C8=0,0,C8/TrRail_act!C14*1000)</f>
        <v>11733.655205735738</v>
      </c>
      <c r="D26" s="54">
        <f>IF(D8=0,0,D8/TrRail_act!D14*1000)</f>
        <v>12153.996268855031</v>
      </c>
      <c r="E26" s="54">
        <f>IF(E8=0,0,E8/TrRail_act!E14*1000)</f>
        <v>11685.500683627602</v>
      </c>
      <c r="F26" s="54">
        <f>IF(F8=0,0,F8/TrRail_act!F14*1000)</f>
        <v>11739.999411003253</v>
      </c>
      <c r="G26" s="54">
        <f>IF(G8=0,0,G8/TrRail_act!G14*1000)</f>
        <v>11907.689499620934</v>
      </c>
      <c r="H26" s="54">
        <f>IF(H8=0,0,H8/TrRail_act!H14*1000)</f>
        <v>11789.269788586997</v>
      </c>
      <c r="I26" s="54">
        <f>IF(I8=0,0,I8/TrRail_act!I14*1000)</f>
        <v>11098.005817232079</v>
      </c>
      <c r="J26" s="54">
        <f>IF(J8=0,0,J8/TrRail_act!J14*1000)</f>
        <v>10457.827751673578</v>
      </c>
      <c r="K26" s="54">
        <f>IF(K8=0,0,K8/TrRail_act!K14*1000)</f>
        <v>10954.259966400257</v>
      </c>
      <c r="L26" s="54">
        <f>IF(L8=0,0,L8/TrRail_act!L14*1000)</f>
        <v>11131.007704650949</v>
      </c>
      <c r="M26" s="54">
        <f>IF(M8=0,0,M8/TrRail_act!M14*1000)</f>
        <v>10438.223672067319</v>
      </c>
      <c r="N26" s="54">
        <f>IF(N8=0,0,N8/TrRail_act!N14*1000)</f>
        <v>9970.8310764042799</v>
      </c>
      <c r="O26" s="54">
        <f>IF(O8=0,0,O8/TrRail_act!O14*1000)</f>
        <v>9544.3752501637955</v>
      </c>
      <c r="P26" s="54">
        <f>IF(P8=0,0,P8/TrRail_act!P14*1000)</f>
        <v>8607.1204297179102</v>
      </c>
      <c r="Q26" s="54">
        <f>IF(Q8=0,0,Q8/TrRail_act!Q14*1000)</f>
        <v>8337.8286305232978</v>
      </c>
      <c r="R26" s="54">
        <f>IF(R8=0,0,R8/TrRail_act!R14*1000)</f>
        <v>7636.9159943209843</v>
      </c>
      <c r="S26" s="54">
        <f>IF(S8=0,0,S8/TrRail_act!S14*1000)</f>
        <v>7345.8470685466209</v>
      </c>
      <c r="T26" s="54">
        <f>IF(T8=0,0,T8/TrRail_act!T14*1000)</f>
        <v>6773.2431452936344</v>
      </c>
      <c r="U26" s="54">
        <f>IF(U8=0,0,U8/TrRail_act!U14*1000)</f>
        <v>6429.4869846638276</v>
      </c>
      <c r="V26" s="54">
        <f>IF(V8=0,0,V8/TrRail_act!V14*1000)</f>
        <v>5690.4713478007261</v>
      </c>
      <c r="W26" s="54">
        <f>IF(W8=0,0,W8/TrRail_act!W14*1000)</f>
        <v>6305.1751804640116</v>
      </c>
      <c r="X26" s="54">
        <f>IF(X8=0,0,X8/TrRail_act!X14*1000)</f>
        <v>5621.3116376249754</v>
      </c>
      <c r="Y26" s="54">
        <f>IF(Y8=0,0,Y8/TrRail_act!Y14*1000)</f>
        <v>4935.7999147165301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2996.863208497361</v>
      </c>
      <c r="C27" s="28">
        <f>IF(C9=0,0,C9/TrRail_act!C15*1000)</f>
        <v>2058.3406190643018</v>
      </c>
      <c r="D27" s="28">
        <f>IF(D9=0,0,D9/TrRail_act!D15*1000)</f>
        <v>1959.295400235588</v>
      </c>
      <c r="E27" s="28">
        <f>IF(E9=0,0,E9/TrRail_act!E15*1000)</f>
        <v>1738.8575725755206</v>
      </c>
      <c r="F27" s="28">
        <f>IF(F9=0,0,F9/TrRail_act!F15*1000)</f>
        <v>2127.1154843851887</v>
      </c>
      <c r="G27" s="28">
        <f>IF(G9=0,0,G9/TrRail_act!G15*1000)</f>
        <v>2432.9510686942981</v>
      </c>
      <c r="H27" s="28">
        <f>IF(H9=0,0,H9/TrRail_act!H15*1000)</f>
        <v>2589.9879128507282</v>
      </c>
      <c r="I27" s="28">
        <f>IF(I9=0,0,I9/TrRail_act!I15*1000)</f>
        <v>2989.2992161432562</v>
      </c>
      <c r="J27" s="28">
        <f>IF(J9=0,0,J9/TrRail_act!J15*1000)</f>
        <v>2550.44467516238</v>
      </c>
      <c r="K27" s="28">
        <f>IF(K9=0,0,K9/TrRail_act!K15*1000)</f>
        <v>2468.6157413063293</v>
      </c>
      <c r="L27" s="28">
        <f>IF(L9=0,0,L9/TrRail_act!L15*1000)</f>
        <v>2458.5323384199642</v>
      </c>
      <c r="M27" s="28">
        <f>IF(M9=0,0,M9/TrRail_act!M15*1000)</f>
        <v>2641.8117195723225</v>
      </c>
      <c r="N27" s="28">
        <f>IF(N9=0,0,N9/TrRail_act!N15*1000)</f>
        <v>2042.2951292078485</v>
      </c>
      <c r="O27" s="28">
        <f>IF(O9=0,0,O9/TrRail_act!O15*1000)</f>
        <v>2500.9085465597909</v>
      </c>
      <c r="P27" s="28">
        <f>IF(P9=0,0,P9/TrRail_act!P15*1000)</f>
        <v>2636.0008327945407</v>
      </c>
      <c r="Q27" s="28">
        <f>IF(Q9=0,0,Q9/TrRail_act!Q15*1000)</f>
        <v>2602.1127887432294</v>
      </c>
      <c r="R27" s="28">
        <f>IF(R9=0,0,R9/TrRail_act!R15*1000)</f>
        <v>2602.1558100395268</v>
      </c>
      <c r="S27" s="28">
        <f>IF(S9=0,0,S9/TrRail_act!S15*1000)</f>
        <v>2737.3107152827683</v>
      </c>
      <c r="T27" s="28">
        <f>IF(T9=0,0,T9/TrRail_act!T15*1000)</f>
        <v>2987.2580054914738</v>
      </c>
      <c r="U27" s="28">
        <f>IF(U9=0,0,U9/TrRail_act!U15*1000)</f>
        <v>3075.7978486576048</v>
      </c>
      <c r="V27" s="28">
        <f>IF(V9=0,0,V9/TrRail_act!V15*1000)</f>
        <v>2870.4915068227224</v>
      </c>
      <c r="W27" s="28">
        <f>IF(W9=0,0,W9/TrRail_act!W15*1000)</f>
        <v>2269.7020410490536</v>
      </c>
      <c r="X27" s="28">
        <f>IF(X9=0,0,X9/TrRail_act!X15*1000)</f>
        <v>2743.2718599508926</v>
      </c>
      <c r="Y27" s="28">
        <f>IF(Y9=0,0,Y9/TrRail_act!Y15*1000)</f>
        <v>2382.6714502290311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5181.5018177399879</v>
      </c>
      <c r="C29" s="110">
        <f>IF(C11=0,0,C11/TrRail_act!C17*1000)</f>
        <v>3867.3197829180363</v>
      </c>
      <c r="D29" s="110">
        <f>IF(D11=0,0,D11/TrRail_act!D17*1000)</f>
        <v>3908.2137128909144</v>
      </c>
      <c r="E29" s="110">
        <f>IF(E11=0,0,E11/TrRail_act!E17*1000)</f>
        <v>3410.1867376020468</v>
      </c>
      <c r="F29" s="110">
        <f>IF(F11=0,0,F11/TrRail_act!F17*1000)</f>
        <v>3867.2470910981378</v>
      </c>
      <c r="G29" s="110">
        <f>IF(G11=0,0,G11/TrRail_act!G17*1000)</f>
        <v>3874.0974495991863</v>
      </c>
      <c r="H29" s="110">
        <f>IF(H11=0,0,H11/TrRail_act!H17*1000)</f>
        <v>4031.3773275261174</v>
      </c>
      <c r="I29" s="110">
        <f>IF(I11=0,0,I11/TrRail_act!I17*1000)</f>
        <v>4494.4854994033303</v>
      </c>
      <c r="J29" s="110">
        <f>IF(J11=0,0,J11/TrRail_act!J17*1000)</f>
        <v>3692.367798204546</v>
      </c>
      <c r="K29" s="110">
        <f>IF(K11=0,0,K11/TrRail_act!K17*1000)</f>
        <v>3797.7390838627389</v>
      </c>
      <c r="L29" s="110">
        <f>IF(L11=0,0,L11/TrRail_act!L17*1000)</f>
        <v>3661.8497562974417</v>
      </c>
      <c r="M29" s="110">
        <f>IF(M11=0,0,M11/TrRail_act!M17*1000)</f>
        <v>3856.3584312035191</v>
      </c>
      <c r="N29" s="110">
        <f>IF(N11=0,0,N11/TrRail_act!N17*1000)</f>
        <v>3614.1497459235375</v>
      </c>
      <c r="O29" s="110">
        <f>IF(O11=0,0,O11/TrRail_act!O17*1000)</f>
        <v>3889.6558444640127</v>
      </c>
      <c r="P29" s="110">
        <f>IF(P11=0,0,P11/TrRail_act!P17*1000)</f>
        <v>3546.6159649489846</v>
      </c>
      <c r="Q29" s="110">
        <f>IF(Q11=0,0,Q11/TrRail_act!Q17*1000)</f>
        <v>3426.7800847883263</v>
      </c>
      <c r="R29" s="110">
        <f>IF(R11=0,0,R11/TrRail_act!R17*1000)</f>
        <v>3446.9741627809849</v>
      </c>
      <c r="S29" s="110">
        <f>IF(S11=0,0,S11/TrRail_act!S17*1000)</f>
        <v>3491.483728256665</v>
      </c>
      <c r="T29" s="110">
        <f>IF(T11=0,0,T11/TrRail_act!T17*1000)</f>
        <v>4147.9791921013211</v>
      </c>
      <c r="U29" s="110">
        <f>IF(U11=0,0,U11/TrRail_act!U17*1000)</f>
        <v>4058.8769848632387</v>
      </c>
      <c r="V29" s="110">
        <f>IF(V11=0,0,V11/TrRail_act!V17*1000)</f>
        <v>4309.0002216447356</v>
      </c>
      <c r="W29" s="110">
        <f>IF(W11=0,0,W11/TrRail_act!W17*1000)</f>
        <v>3475.722327351843</v>
      </c>
      <c r="X29" s="110">
        <f>IF(X11=0,0,X11/TrRail_act!X17*1000)</f>
        <v>3845.6126980475219</v>
      </c>
      <c r="Y29" s="110">
        <f>IF(Y11=0,0,Y11/TrRail_act!Y17*1000)</f>
        <v>3195.957082329584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7279.6699590851067</v>
      </c>
      <c r="C30" s="84">
        <f>IF(C12=0,0,C12/TrRail_act!C18*1000)</f>
        <v>7276.1128823648933</v>
      </c>
      <c r="D30" s="84">
        <f>IF(D12=0,0,D12/TrRail_act!D18*1000)</f>
        <v>7251.083015711939</v>
      </c>
      <c r="E30" s="84">
        <f>IF(E12=0,0,E12/TrRail_act!E18*1000)</f>
        <v>6865.7832698961611</v>
      </c>
      <c r="F30" s="84">
        <f>IF(F12=0,0,F12/TrRail_act!F18*1000)</f>
        <v>6672.4675848319448</v>
      </c>
      <c r="G30" s="84">
        <f>IF(G12=0,0,G12/TrRail_act!G18*1000)</f>
        <v>6547.0917048976698</v>
      </c>
      <c r="H30" s="84">
        <f>IF(H12=0,0,H12/TrRail_act!H18*1000)</f>
        <v>6512.098040286678</v>
      </c>
      <c r="I30" s="84">
        <f>IF(I12=0,0,I12/TrRail_act!I18*1000)</f>
        <v>6527.1308408826853</v>
      </c>
      <c r="J30" s="84">
        <f>IF(J12=0,0,J12/TrRail_act!J18*1000)</f>
        <v>6359.2035223536986</v>
      </c>
      <c r="K30" s="84">
        <f>IF(K12=0,0,K12/TrRail_act!K18*1000)</f>
        <v>6279.8039588453503</v>
      </c>
      <c r="L30" s="84">
        <f>IF(L12=0,0,L12/TrRail_act!L18*1000)</f>
        <v>6119.0438683172106</v>
      </c>
      <c r="M30" s="84">
        <f>IF(M12=0,0,M12/TrRail_act!M18*1000)</f>
        <v>6030.6079146591455</v>
      </c>
      <c r="N30" s="84">
        <f>IF(N12=0,0,N12/TrRail_act!N18*1000)</f>
        <v>5881.6272008966444</v>
      </c>
      <c r="O30" s="84">
        <f>IF(O12=0,0,O12/TrRail_act!O18*1000)</f>
        <v>5682.1456234263997</v>
      </c>
      <c r="P30" s="84">
        <f>IF(P12=0,0,P12/TrRail_act!P18*1000)</f>
        <v>5531.3232620346216</v>
      </c>
      <c r="Q30" s="84">
        <f>IF(Q12=0,0,Q12/TrRail_act!Q18*1000)</f>
        <v>5364.3959973865331</v>
      </c>
      <c r="R30" s="84">
        <f>IF(R12=0,0,R12/TrRail_act!R18*1000)</f>
        <v>5216.3023069730189</v>
      </c>
      <c r="S30" s="84">
        <f>IF(S12=0,0,S12/TrRail_act!S18*1000)</f>
        <v>5133.4608775854249</v>
      </c>
      <c r="T30" s="84">
        <f>IF(T12=0,0,T12/TrRail_act!T18*1000)</f>
        <v>5046.833361716227</v>
      </c>
      <c r="U30" s="84">
        <f>IF(U12=0,0,U12/TrRail_act!U18*1000)</f>
        <v>4957.9093000561161</v>
      </c>
      <c r="V30" s="84">
        <f>IF(V12=0,0,V12/TrRail_act!V18*1000)</f>
        <v>4892.2459987844977</v>
      </c>
      <c r="W30" s="84">
        <f>IF(W12=0,0,W12/TrRail_act!W18*1000)</f>
        <v>4843.5698662332343</v>
      </c>
      <c r="X30" s="84">
        <f>IF(X12=0,0,X12/TrRail_act!X18*1000)</f>
        <v>4807.380859901903</v>
      </c>
      <c r="Y30" s="84">
        <f>IF(Y12=0,0,Y12/TrRail_act!Y18*1000)</f>
        <v>4780.4166555077109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14769.394677394708</v>
      </c>
      <c r="C33" s="28">
        <f>IF(C15=0,0,C15/TrRail_act!C21*1000)</f>
        <v>14719.801669176206</v>
      </c>
      <c r="D33" s="28">
        <f>IF(D15=0,0,D15/TrRail_act!D21*1000)</f>
        <v>14662.177778450237</v>
      </c>
      <c r="E33" s="28">
        <f>IF(E15=0,0,E15/TrRail_act!E21*1000)</f>
        <v>14552.926090396151</v>
      </c>
      <c r="F33" s="28">
        <f>IF(F15=0,0,F15/TrRail_act!F21*1000)</f>
        <v>14541.033254861428</v>
      </c>
      <c r="G33" s="28">
        <f>IF(G15=0,0,G15/TrRail_act!G21*1000)</f>
        <v>14499.694100186256</v>
      </c>
      <c r="H33" s="28">
        <f>IF(H15=0,0,H15/TrRail_act!H21*1000)</f>
        <v>14361.161015536883</v>
      </c>
      <c r="I33" s="28">
        <f>IF(I15=0,0,I15/TrRail_act!I21*1000)</f>
        <v>14049.37771908321</v>
      </c>
      <c r="J33" s="28">
        <f>IF(J15=0,0,J15/TrRail_act!J21*1000)</f>
        <v>13767.46291780273</v>
      </c>
      <c r="K33" s="28">
        <f>IF(K15=0,0,K15/TrRail_act!K21*1000)</f>
        <v>13449.971982993784</v>
      </c>
      <c r="L33" s="28">
        <f>IF(L15=0,0,L15/TrRail_act!L21*1000)</f>
        <v>13124.923905396918</v>
      </c>
      <c r="M33" s="28">
        <f>IF(M15=0,0,M15/TrRail_act!M21*1000)</f>
        <v>12914.960267023065</v>
      </c>
      <c r="N33" s="28">
        <f>IF(N15=0,0,N15/TrRail_act!N21*1000)</f>
        <v>12806.541766013566</v>
      </c>
      <c r="O33" s="28">
        <f>IF(O15=0,0,O15/TrRail_act!O21*1000)</f>
        <v>12662.226238819832</v>
      </c>
      <c r="P33" s="28">
        <f>IF(P15=0,0,P15/TrRail_act!P21*1000)</f>
        <v>12445.73530866359</v>
      </c>
      <c r="Q33" s="28">
        <f>IF(Q15=0,0,Q15/TrRail_act!Q21*1000)</f>
        <v>12238.583744985939</v>
      </c>
      <c r="R33" s="28">
        <f>IF(R15=0,0,R15/TrRail_act!R21*1000)</f>
        <v>12085.485917778495</v>
      </c>
      <c r="S33" s="28">
        <f>IF(S15=0,0,S15/TrRail_act!S21*1000)</f>
        <v>11912.06108829036</v>
      </c>
      <c r="T33" s="28">
        <f>IF(T15=0,0,T15/TrRail_act!T21*1000)</f>
        <v>11724.709446334953</v>
      </c>
      <c r="U33" s="28">
        <f>IF(U15=0,0,U15/TrRail_act!U21*1000)</f>
        <v>11528.201338908</v>
      </c>
      <c r="V33" s="28">
        <f>IF(V15=0,0,V15/TrRail_act!V21*1000)</f>
        <v>11382.984658298632</v>
      </c>
      <c r="W33" s="28">
        <f>IF(W15=0,0,W15/TrRail_act!W21*1000)</f>
        <v>11275.273853831713</v>
      </c>
      <c r="X33" s="28">
        <f>IF(X15=0,0,X15/TrRail_act!X21*1000)</f>
        <v>11195.160134043701</v>
      </c>
      <c r="Y33" s="28">
        <f>IF(Y15=0,0,Y15/TrRail_act!Y21*1000)</f>
        <v>11135.448615967471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14769.394677394708</v>
      </c>
      <c r="C34" s="84">
        <f>IF(C16=0,0,C16/TrRail_act!C22*1000)</f>
        <v>14719.801669176206</v>
      </c>
      <c r="D34" s="84">
        <f>IF(D16=0,0,D16/TrRail_act!D22*1000)</f>
        <v>14662.177778450237</v>
      </c>
      <c r="E34" s="84">
        <f>IF(E16=0,0,E16/TrRail_act!E22*1000)</f>
        <v>14552.926090396151</v>
      </c>
      <c r="F34" s="84">
        <f>IF(F16=0,0,F16/TrRail_act!F22*1000)</f>
        <v>14541.033254861428</v>
      </c>
      <c r="G34" s="84">
        <f>IF(G16=0,0,G16/TrRail_act!G22*1000)</f>
        <v>14499.694100186256</v>
      </c>
      <c r="H34" s="84">
        <f>IF(H16=0,0,H16/TrRail_act!H22*1000)</f>
        <v>14361.161015536883</v>
      </c>
      <c r="I34" s="84">
        <f>IF(I16=0,0,I16/TrRail_act!I22*1000)</f>
        <v>14049.37771908321</v>
      </c>
      <c r="J34" s="84">
        <f>IF(J16=0,0,J16/TrRail_act!J22*1000)</f>
        <v>13767.46291780273</v>
      </c>
      <c r="K34" s="84">
        <f>IF(K16=0,0,K16/TrRail_act!K22*1000)</f>
        <v>13449.971982993784</v>
      </c>
      <c r="L34" s="84">
        <f>IF(L16=0,0,L16/TrRail_act!L22*1000)</f>
        <v>13124.923905396918</v>
      </c>
      <c r="M34" s="84">
        <f>IF(M16=0,0,M16/TrRail_act!M22*1000)</f>
        <v>12914.960267023065</v>
      </c>
      <c r="N34" s="84">
        <f>IF(N16=0,0,N16/TrRail_act!N22*1000)</f>
        <v>12806.541766013566</v>
      </c>
      <c r="O34" s="84">
        <f>IF(O16=0,0,O16/TrRail_act!O22*1000)</f>
        <v>12662.226238819832</v>
      </c>
      <c r="P34" s="84">
        <f>IF(P16=0,0,P16/TrRail_act!P22*1000)</f>
        <v>12445.73530866359</v>
      </c>
      <c r="Q34" s="84">
        <f>IF(Q16=0,0,Q16/TrRail_act!Q22*1000)</f>
        <v>12238.583744985939</v>
      </c>
      <c r="R34" s="84">
        <f>IF(R16=0,0,R16/TrRail_act!R22*1000)</f>
        <v>12085.485917778495</v>
      </c>
      <c r="S34" s="84">
        <f>IF(S16=0,0,S16/TrRail_act!S22*1000)</f>
        <v>11912.06108829036</v>
      </c>
      <c r="T34" s="84">
        <f>IF(T16=0,0,T16/TrRail_act!T22*1000)</f>
        <v>11724.709446334953</v>
      </c>
      <c r="U34" s="84">
        <f>IF(U16=0,0,U16/TrRail_act!U22*1000)</f>
        <v>11528.201338908</v>
      </c>
      <c r="V34" s="84">
        <f>IF(V16=0,0,V16/TrRail_act!V22*1000)</f>
        <v>11382.984658298632</v>
      </c>
      <c r="W34" s="84">
        <f>IF(W16=0,0,W16/TrRail_act!W22*1000)</f>
        <v>11275.273853831713</v>
      </c>
      <c r="X34" s="84">
        <f>IF(X16=0,0,X16/TrRail_act!X22*1000)</f>
        <v>11195.160134043701</v>
      </c>
      <c r="Y34" s="84">
        <f>IF(Y16=0,0,Y16/TrRail_act!Y22*1000)</f>
        <v>11135.448615967471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25.732512147388483</v>
      </c>
      <c r="C38" s="29">
        <f>IF(C9=0,0,C9/TrRail_act!C4*1000)</f>
        <v>19.194008152446433</v>
      </c>
      <c r="D38" s="29">
        <f>IF(D9=0,0,D9/TrRail_act!D4*1000)</f>
        <v>18.890753318381694</v>
      </c>
      <c r="E38" s="29">
        <f>IF(E9=0,0,E9/TrRail_act!E4*1000)</f>
        <v>17.071833668534882</v>
      </c>
      <c r="F38" s="29">
        <f>IF(F9=0,0,F9/TrRail_act!F4*1000)</f>
        <v>18.080799471521544</v>
      </c>
      <c r="G38" s="29">
        <f>IF(G9=0,0,G9/TrRail_act!G4*1000)</f>
        <v>17.871200933423179</v>
      </c>
      <c r="H38" s="29">
        <f>IF(H9=0,0,H9/TrRail_act!H4*1000)</f>
        <v>19.725725322094409</v>
      </c>
      <c r="I38" s="29">
        <f>IF(I9=0,0,I9/TrRail_act!I4*1000)</f>
        <v>23.600965683715881</v>
      </c>
      <c r="J38" s="29">
        <f>IF(J9=0,0,J9/TrRail_act!J4*1000)</f>
        <v>16.956063313752512</v>
      </c>
      <c r="K38" s="29">
        <f>IF(K9=0,0,K9/TrRail_act!K4*1000)</f>
        <v>17.512073726905449</v>
      </c>
      <c r="L38" s="29">
        <f>IF(L9=0,0,L9/TrRail_act!L4*1000)</f>
        <v>20.294439706406383</v>
      </c>
      <c r="M38" s="29">
        <f>IF(M9=0,0,M9/TrRail_act!M4*1000)</f>
        <v>21.122857675125598</v>
      </c>
      <c r="N38" s="29">
        <f>IF(N9=0,0,N9/TrRail_act!N4*1000)</f>
        <v>15.497628705748454</v>
      </c>
      <c r="O38" s="29">
        <f>IF(O9=0,0,O9/TrRail_act!O4*1000)</f>
        <v>21.931043089437157</v>
      </c>
      <c r="P38" s="29">
        <f>IF(P9=0,0,P9/TrRail_act!P4*1000)</f>
        <v>22.19278256911311</v>
      </c>
      <c r="Q38" s="29">
        <f>IF(Q9=0,0,Q9/TrRail_act!Q4*1000)</f>
        <v>22.053408144278009</v>
      </c>
      <c r="R38" s="29">
        <f>IF(R9=0,0,R9/TrRail_act!R4*1000)</f>
        <v>20.145416661454327</v>
      </c>
      <c r="S38" s="29">
        <f>IF(S9=0,0,S9/TrRail_act!S4*1000)</f>
        <v>21.312383226908818</v>
      </c>
      <c r="T38" s="29">
        <f>IF(T9=0,0,T9/TrRail_act!T4*1000)</f>
        <v>22.898707611802497</v>
      </c>
      <c r="U38" s="29">
        <f>IF(U9=0,0,U9/TrRail_act!U4*1000)</f>
        <v>30.272939430731022</v>
      </c>
      <c r="V38" s="29">
        <f>IF(V9=0,0,V9/TrRail_act!V4*1000)</f>
        <v>44.43263123144078</v>
      </c>
      <c r="W38" s="29">
        <f>IF(W9=0,0,W9/TrRail_act!W4*1000)</f>
        <v>24.299692755998318</v>
      </c>
      <c r="X38" s="29">
        <f>IF(X9=0,0,X9/TrRail_act!X4*1000)</f>
        <v>26.929829462069197</v>
      </c>
      <c r="Y38" s="29">
        <f>IF(Y9=0,0,Y9/TrRail_act!Y4*1000)</f>
        <v>28.684864984641063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36.055094606513286</v>
      </c>
      <c r="C40" s="116">
        <f>IF(C11=0,0,C11/TrRail_act!C6*1000)</f>
        <v>28.399616254074736</v>
      </c>
      <c r="D40" s="116">
        <f>IF(D11=0,0,D11/TrRail_act!D6*1000)</f>
        <v>28.755153468811024</v>
      </c>
      <c r="E40" s="116">
        <f>IF(E11=0,0,E11/TrRail_act!E6*1000)</f>
        <v>25.832446609641199</v>
      </c>
      <c r="F40" s="116">
        <f>IF(F11=0,0,F11/TrRail_act!F6*1000)</f>
        <v>25.893953232790437</v>
      </c>
      <c r="G40" s="116">
        <f>IF(G11=0,0,G11/TrRail_act!G6*1000)</f>
        <v>23.297416378127881</v>
      </c>
      <c r="H40" s="116">
        <f>IF(H11=0,0,H11/TrRail_act!H6*1000)</f>
        <v>25.75857361126414</v>
      </c>
      <c r="I40" s="116">
        <f>IF(I11=0,0,I11/TrRail_act!I6*1000)</f>
        <v>30.422850655067332</v>
      </c>
      <c r="J40" s="116">
        <f>IF(J11=0,0,J11/TrRail_act!J6*1000)</f>
        <v>21.402203025077977</v>
      </c>
      <c r="K40" s="116">
        <f>IF(K11=0,0,K11/TrRail_act!K6*1000)</f>
        <v>22.565045458057959</v>
      </c>
      <c r="L40" s="116">
        <f>IF(L11=0,0,L11/TrRail_act!L6*1000)</f>
        <v>26.197656749265406</v>
      </c>
      <c r="M40" s="116">
        <f>IF(M11=0,0,M11/TrRail_act!M6*1000)</f>
        <v>26.759792138156648</v>
      </c>
      <c r="N40" s="116">
        <f>IF(N11=0,0,N11/TrRail_act!N6*1000)</f>
        <v>21.591230365492553</v>
      </c>
      <c r="O40" s="116">
        <f>IF(O11=0,0,O11/TrRail_act!O6*1000)</f>
        <v>29.382090392702256</v>
      </c>
      <c r="P40" s="116">
        <f>IF(P11=0,0,P11/TrRail_act!P6*1000)</f>
        <v>26.830915606182259</v>
      </c>
      <c r="Q40" s="116">
        <f>IF(Q11=0,0,Q11/TrRail_act!Q6*1000)</f>
        <v>26.305706205551981</v>
      </c>
      <c r="R40" s="116">
        <f>IF(R11=0,0,R11/TrRail_act!R6*1000)</f>
        <v>23.781409363572639</v>
      </c>
      <c r="S40" s="116">
        <f>IF(S11=0,0,S11/TrRail_act!S6*1000)</f>
        <v>24.783215473465923</v>
      </c>
      <c r="T40" s="116">
        <f>IF(T11=0,0,T11/TrRail_act!T6*1000)</f>
        <v>27.505466314366853</v>
      </c>
      <c r="U40" s="116">
        <f>IF(U11=0,0,U11/TrRail_act!U6*1000)</f>
        <v>37.018553495515441</v>
      </c>
      <c r="V40" s="116">
        <f>IF(V11=0,0,V11/TrRail_act!V6*1000)</f>
        <v>57.707513356955836</v>
      </c>
      <c r="W40" s="116">
        <f>IF(W11=0,0,W11/TrRail_act!W6*1000)</f>
        <v>29.806254510639491</v>
      </c>
      <c r="X40" s="116">
        <f>IF(X11=0,0,X11/TrRail_act!X6*1000)</f>
        <v>33.009414705470732</v>
      </c>
      <c r="Y40" s="116">
        <f>IF(Y11=0,0,Y11/TrRail_act!Y6*1000)</f>
        <v>36.097533269567876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52.385240678147305</v>
      </c>
      <c r="C41" s="87">
        <f>IF(C12=0,0,C12/TrRail_act!C7*1000)</f>
        <v>52.203647115602585</v>
      </c>
      <c r="D41" s="87">
        <f>IF(D12=0,0,D12/TrRail_act!D7*1000)</f>
        <v>51.966470383809586</v>
      </c>
      <c r="E41" s="87">
        <f>IF(E12=0,0,E12/TrRail_act!E7*1000)</f>
        <v>49.018400012507506</v>
      </c>
      <c r="F41" s="87">
        <f>IF(F12=0,0,F12/TrRail_act!F7*1000)</f>
        <v>47.625118343688143</v>
      </c>
      <c r="G41" s="87">
        <f>IF(G12=0,0,G12/TrRail_act!G7*1000)</f>
        <v>46.358667086574137</v>
      </c>
      <c r="H41" s="87">
        <f>IF(H12=0,0,H12/TrRail_act!H7*1000)</f>
        <v>45.981683768614602</v>
      </c>
      <c r="I41" s="87">
        <f>IF(I12=0,0,I12/TrRail_act!I7*1000)</f>
        <v>45.874341610285427</v>
      </c>
      <c r="J41" s="87">
        <f>IF(J12=0,0,J12/TrRail_act!J7*1000)</f>
        <v>46.233117193827589</v>
      </c>
      <c r="K41" s="87">
        <f>IF(K12=0,0,K12/TrRail_act!K7*1000)</f>
        <v>45.389311008195513</v>
      </c>
      <c r="L41" s="87">
        <f>IF(L12=0,0,L12/TrRail_act!L7*1000)</f>
        <v>44.096378502819228</v>
      </c>
      <c r="M41" s="87">
        <f>IF(M12=0,0,M12/TrRail_act!M7*1000)</f>
        <v>43.584472377629396</v>
      </c>
      <c r="N41" s="87">
        <f>IF(N12=0,0,N12/TrRail_act!N7*1000)</f>
        <v>42.83843060623353</v>
      </c>
      <c r="O41" s="87">
        <f>IF(O12=0,0,O12/TrRail_act!O7*1000)</f>
        <v>41.090154205011871</v>
      </c>
      <c r="P41" s="87">
        <f>IF(P12=0,0,P12/TrRail_act!P7*1000)</f>
        <v>39.746614997625031</v>
      </c>
      <c r="Q41" s="87">
        <f>IF(Q12=0,0,Q12/TrRail_act!Q7*1000)</f>
        <v>38.394419199452827</v>
      </c>
      <c r="R41" s="87">
        <f>IF(R12=0,0,R12/TrRail_act!R7*1000)</f>
        <v>36.921887275592731</v>
      </c>
      <c r="S41" s="87">
        <f>IF(S12=0,0,S12/TrRail_act!S7*1000)</f>
        <v>36.34740853931136</v>
      </c>
      <c r="T41" s="87">
        <f>IF(T12=0,0,T12/TrRail_act!T7*1000)</f>
        <v>35.184406922772624</v>
      </c>
      <c r="U41" s="87">
        <f>IF(U12=0,0,U12/TrRail_act!U7*1000)</f>
        <v>46.797509629786141</v>
      </c>
      <c r="V41" s="87">
        <f>IF(V12=0,0,V12/TrRail_act!V7*1000)</f>
        <v>67.663911847915315</v>
      </c>
      <c r="W41" s="87">
        <f>IF(W12=0,0,W12/TrRail_act!W7*1000)</f>
        <v>38.068527933269323</v>
      </c>
      <c r="X41" s="87">
        <f>IF(X12=0,0,X12/TrRail_act!X7*1000)</f>
        <v>41.391778262464157</v>
      </c>
      <c r="Y41" s="87">
        <f>IF(Y12=0,0,Y12/TrRail_act!Y7*1000)</f>
        <v>48.281086402643602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15.473970662515431</v>
      </c>
      <c r="C44" s="29">
        <f>IF(C15=0,0,C15/TrRail_act!C10*1000)</f>
        <v>14.045814945753126</v>
      </c>
      <c r="D44" s="29">
        <f>IF(D15=0,0,D15/TrRail_act!D10*1000)</f>
        <v>15.960369763194169</v>
      </c>
      <c r="E44" s="29">
        <f>IF(E15=0,0,E15/TrRail_act!E10*1000)</f>
        <v>14.100584234965329</v>
      </c>
      <c r="F44" s="29">
        <f>IF(F15=0,0,F15/TrRail_act!F10*1000)</f>
        <v>11.178989037573553</v>
      </c>
      <c r="G44" s="29">
        <f>IF(G15=0,0,G15/TrRail_act!G10*1000)</f>
        <v>11.830839433990439</v>
      </c>
      <c r="H44" s="29">
        <f>IF(H15=0,0,H15/TrRail_act!H10*1000)</f>
        <v>12.602703645796231</v>
      </c>
      <c r="I44" s="29">
        <f>IF(I15=0,0,I15/TrRail_act!I10*1000)</f>
        <v>12.76845182924218</v>
      </c>
      <c r="J44" s="29">
        <f>IF(J15=0,0,J15/TrRail_act!J10*1000)</f>
        <v>12.726060301384592</v>
      </c>
      <c r="K44" s="29">
        <f>IF(K15=0,0,K15/TrRail_act!K10*1000)</f>
        <v>17.502329524288477</v>
      </c>
      <c r="L44" s="29">
        <f>IF(L15=0,0,L15/TrRail_act!L10*1000)</f>
        <v>22.634932025147851</v>
      </c>
      <c r="M44" s="29">
        <f>IF(M15=0,0,M15/TrRail_act!M10*1000)</f>
        <v>15.957262081076056</v>
      </c>
      <c r="N44" s="29">
        <f>IF(N15=0,0,N15/TrRail_act!N10*1000)</f>
        <v>17.344309000606206</v>
      </c>
      <c r="O44" s="29">
        <f>IF(O15=0,0,O15/TrRail_act!O10*1000)</f>
        <v>15.871023685393352</v>
      </c>
      <c r="P44" s="29">
        <f>IF(P15=0,0,P15/TrRail_act!P10*1000)</f>
        <v>16.945928633374994</v>
      </c>
      <c r="Q44" s="29">
        <f>IF(Q15=0,0,Q15/TrRail_act!Q10*1000)</f>
        <v>16.692569145079286</v>
      </c>
      <c r="R44" s="29">
        <f>IF(R15=0,0,R15/TrRail_act!R10*1000)</f>
        <v>16.880993436372243</v>
      </c>
      <c r="S44" s="29">
        <f>IF(S15=0,0,S15/TrRail_act!S10*1000)</f>
        <v>17.135048970628596</v>
      </c>
      <c r="T44" s="29">
        <f>IF(T15=0,0,T15/TrRail_act!T10*1000)</f>
        <v>13.300416100042129</v>
      </c>
      <c r="U44" s="29">
        <f>IF(U15=0,0,U15/TrRail_act!U10*1000)</f>
        <v>16.600612914040806</v>
      </c>
      <c r="V44" s="29">
        <f>IF(V15=0,0,V15/TrRail_act!V10*1000)</f>
        <v>17.243878303713498</v>
      </c>
      <c r="W44" s="29">
        <f>IF(W15=0,0,W15/TrRail_act!W10*1000)</f>
        <v>16.414913235364658</v>
      </c>
      <c r="X44" s="29">
        <f>IF(X15=0,0,X15/TrRail_act!X10*1000)</f>
        <v>20.661569659805739</v>
      </c>
      <c r="Y44" s="29">
        <f>IF(Y15=0,0,Y15/TrRail_act!Y10*1000)</f>
        <v>36.764820837894042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15.473970662515431</v>
      </c>
      <c r="C45" s="87">
        <f>IF(C16=0,0,C16/TrRail_act!C11*1000)</f>
        <v>14.045814945753126</v>
      </c>
      <c r="D45" s="87">
        <f>IF(D16=0,0,D16/TrRail_act!D11*1000)</f>
        <v>15.960369763194169</v>
      </c>
      <c r="E45" s="87">
        <f>IF(E16=0,0,E16/TrRail_act!E11*1000)</f>
        <v>14.100584234965329</v>
      </c>
      <c r="F45" s="87">
        <f>IF(F16=0,0,F16/TrRail_act!F11*1000)</f>
        <v>11.178989037573553</v>
      </c>
      <c r="G45" s="87">
        <f>IF(G16=0,0,G16/TrRail_act!G11*1000)</f>
        <v>11.830839433990439</v>
      </c>
      <c r="H45" s="87">
        <f>IF(H16=0,0,H16/TrRail_act!H11*1000)</f>
        <v>12.602703645796231</v>
      </c>
      <c r="I45" s="87">
        <f>IF(I16=0,0,I16/TrRail_act!I11*1000)</f>
        <v>12.76845182924218</v>
      </c>
      <c r="J45" s="87">
        <f>IF(J16=0,0,J16/TrRail_act!J11*1000)</f>
        <v>12.726060301384592</v>
      </c>
      <c r="K45" s="87">
        <f>IF(K16=0,0,K16/TrRail_act!K11*1000)</f>
        <v>17.502329524288477</v>
      </c>
      <c r="L45" s="87">
        <f>IF(L16=0,0,L16/TrRail_act!L11*1000)</f>
        <v>22.634932025147851</v>
      </c>
      <c r="M45" s="87">
        <f>IF(M16=0,0,M16/TrRail_act!M11*1000)</f>
        <v>15.957262081076056</v>
      </c>
      <c r="N45" s="87">
        <f>IF(N16=0,0,N16/TrRail_act!N11*1000)</f>
        <v>17.344309000606206</v>
      </c>
      <c r="O45" s="87">
        <f>IF(O16=0,0,O16/TrRail_act!O11*1000)</f>
        <v>15.871023685393352</v>
      </c>
      <c r="P45" s="87">
        <f>IF(P16=0,0,P16/TrRail_act!P11*1000)</f>
        <v>16.945928633374994</v>
      </c>
      <c r="Q45" s="87">
        <f>IF(Q16=0,0,Q16/TrRail_act!Q11*1000)</f>
        <v>16.692569145079286</v>
      </c>
      <c r="R45" s="87">
        <f>IF(R16=0,0,R16/TrRail_act!R11*1000)</f>
        <v>16.880993436372243</v>
      </c>
      <c r="S45" s="87">
        <f>IF(S16=0,0,S16/TrRail_act!S11*1000)</f>
        <v>17.135048970628596</v>
      </c>
      <c r="T45" s="87">
        <f>IF(T16=0,0,T16/TrRail_act!T11*1000)</f>
        <v>13.300416100042129</v>
      </c>
      <c r="U45" s="87">
        <f>IF(U16=0,0,U16/TrRail_act!U11*1000)</f>
        <v>16.600612914040806</v>
      </c>
      <c r="V45" s="87">
        <f>IF(V16=0,0,V16/TrRail_act!V11*1000)</f>
        <v>17.243878303713498</v>
      </c>
      <c r="W45" s="87">
        <f>IF(W16=0,0,W16/TrRail_act!W11*1000)</f>
        <v>16.414913235364658</v>
      </c>
      <c r="X45" s="87">
        <f>IF(X16=0,0,X16/TrRail_act!X11*1000)</f>
        <v>20.661569659805739</v>
      </c>
      <c r="Y45" s="87">
        <f>IF(Y16=0,0,Y16/TrRail_act!Y11*1000)</f>
        <v>36.764820837894042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2024.1595889796552</v>
      </c>
      <c r="C48" s="62">
        <f>IF(C8=0,0,1000000*C8/TrRail_act!C25/1000)</f>
        <v>1971.2326615736624</v>
      </c>
      <c r="D48" s="62">
        <f>IF(D8=0,0,1000000*D8/TrRail_act!D25/1000)</f>
        <v>2118.792897751563</v>
      </c>
      <c r="E48" s="62">
        <f>IF(E8=0,0,1000000*E8/TrRail_act!E25/1000)</f>
        <v>1980.4270564565702</v>
      </c>
      <c r="F48" s="62">
        <f>IF(F8=0,0,1000000*F8/TrRail_act!F25/1000)</f>
        <v>1893.3845737509239</v>
      </c>
      <c r="G48" s="62">
        <f>IF(G8=0,0,1000000*G8/TrRail_act!G25/1000)</f>
        <v>2090.5005652936698</v>
      </c>
      <c r="H48" s="62">
        <f>IF(H8=0,0,1000000*H8/TrRail_act!H25/1000)</f>
        <v>2119.0695768009023</v>
      </c>
      <c r="I48" s="62">
        <f>IF(I8=0,0,1000000*I8/TrRail_act!I25/1000)</f>
        <v>1860.883248716304</v>
      </c>
      <c r="J48" s="62">
        <f>IF(J8=0,0,1000000*J8/TrRail_act!J25/1000)</f>
        <v>1439.7912839915296</v>
      </c>
      <c r="K48" s="62">
        <f>IF(K8=0,0,1000000*K8/TrRail_act!K25/1000)</f>
        <v>1930.8438081921527</v>
      </c>
      <c r="L48" s="62">
        <f>IF(L8=0,0,1000000*L8/TrRail_act!L25/1000)</f>
        <v>2038.4688108477351</v>
      </c>
      <c r="M48" s="62">
        <f>IF(M8=0,0,1000000*M8/TrRail_act!M25/1000)</f>
        <v>1488.1659032384159</v>
      </c>
      <c r="N48" s="62">
        <f>IF(N8=0,0,1000000*N8/TrRail_act!N25/1000)</f>
        <v>1364.1298700367995</v>
      </c>
      <c r="O48" s="62">
        <f>IF(O8=0,0,1000000*O8/TrRail_act!O25/1000)</f>
        <v>1263.559336224652</v>
      </c>
      <c r="P48" s="62">
        <f>IF(P8=0,0,1000000*P8/TrRail_act!P25/1000)</f>
        <v>1014.3920182766167</v>
      </c>
      <c r="Q48" s="62">
        <f>IF(Q8=0,0,1000000*Q8/TrRail_act!Q25/1000)</f>
        <v>1045.1878996039113</v>
      </c>
      <c r="R48" s="62">
        <f>IF(R8=0,0,1000000*R8/TrRail_act!R25/1000)</f>
        <v>891.30788625900993</v>
      </c>
      <c r="S48" s="62">
        <f>IF(S8=0,0,1000000*S8/TrRail_act!S25/1000)</f>
        <v>952.37346037034536</v>
      </c>
      <c r="T48" s="62">
        <f>IF(T8=0,0,1000000*T8/TrRail_act!T25/1000)</f>
        <v>859.48234733579488</v>
      </c>
      <c r="U48" s="62">
        <f>IF(U8=0,0,1000000*U8/TrRail_act!U25/1000)</f>
        <v>934.97132822539004</v>
      </c>
      <c r="V48" s="62">
        <f>IF(V8=0,0,1000000*V8/TrRail_act!V25/1000)</f>
        <v>803.1777114619988</v>
      </c>
      <c r="W48" s="62">
        <f>IF(W8=0,0,1000000*W8/TrRail_act!W25/1000)</f>
        <v>793.87737715234016</v>
      </c>
      <c r="X48" s="62">
        <f>IF(X8=0,0,1000000*X8/TrRail_act!X25/1000)</f>
        <v>802.25605429800498</v>
      </c>
      <c r="Y48" s="62">
        <f>IF(Y8=0,0,1000000*Y8/TrRail_act!Y25/1000)</f>
        <v>745.87430178621207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389.77084148377696</v>
      </c>
      <c r="C49" s="29">
        <f>IF(C9=0,0,1000000*C9/TrRail_act!C26/1000)</f>
        <v>227.73201904646592</v>
      </c>
      <c r="D49" s="29">
        <f>IF(D9=0,0,1000000*D9/TrRail_act!D26/1000)</f>
        <v>224.45909558117452</v>
      </c>
      <c r="E49" s="29">
        <f>IF(E9=0,0,1000000*E9/TrRail_act!E26/1000)</f>
        <v>207.01194429253025</v>
      </c>
      <c r="F49" s="29">
        <f>IF(F9=0,0,1000000*F9/TrRail_act!F26/1000)</f>
        <v>246.50288693440004</v>
      </c>
      <c r="G49" s="29">
        <f>IF(G9=0,0,1000000*G9/TrRail_act!G26/1000)</f>
        <v>295.2402791243556</v>
      </c>
      <c r="H49" s="29">
        <f>IF(H9=0,0,1000000*H9/TrRail_act!H26/1000)</f>
        <v>341.74646880206456</v>
      </c>
      <c r="I49" s="29">
        <f>IF(I9=0,0,1000000*I9/TrRail_act!I26/1000)</f>
        <v>399.71711867861609</v>
      </c>
      <c r="J49" s="29">
        <f>IF(J9=0,0,1000000*J9/TrRail_act!J26/1000)</f>
        <v>302.60980171290424</v>
      </c>
      <c r="K49" s="29">
        <f>IF(K9=0,0,1000000*K9/TrRail_act!K26/1000)</f>
        <v>310.02678375908351</v>
      </c>
      <c r="L49" s="29">
        <f>IF(L9=0,0,1000000*L9/TrRail_act!L26/1000)</f>
        <v>329.41645030699067</v>
      </c>
      <c r="M49" s="29">
        <f>IF(M9=0,0,1000000*M9/TrRail_act!M26/1000)</f>
        <v>349.27280940064497</v>
      </c>
      <c r="N49" s="29">
        <f>IF(N9=0,0,1000000*N9/TrRail_act!N26/1000)</f>
        <v>251.40498553317641</v>
      </c>
      <c r="O49" s="29">
        <f>IF(O9=0,0,1000000*O9/TrRail_act!O26/1000)</f>
        <v>327.76447189798739</v>
      </c>
      <c r="P49" s="29">
        <f>IF(P9=0,0,1000000*P9/TrRail_act!P26/1000)</f>
        <v>348.81729693514876</v>
      </c>
      <c r="Q49" s="29">
        <f>IF(Q9=0,0,1000000*Q9/TrRail_act!Q26/1000)</f>
        <v>358.90863190758625</v>
      </c>
      <c r="R49" s="29">
        <f>IF(R9=0,0,1000000*R9/TrRail_act!R26/1000)</f>
        <v>358.24960787076498</v>
      </c>
      <c r="S49" s="29">
        <f>IF(S9=0,0,1000000*S9/TrRail_act!S26/1000)</f>
        <v>380.69428250298932</v>
      </c>
      <c r="T49" s="29">
        <f>IF(T9=0,0,1000000*T9/TrRail_act!T26/1000)</f>
        <v>380.93679416662553</v>
      </c>
      <c r="U49" s="29">
        <f>IF(U9=0,0,1000000*U9/TrRail_act!U26/1000)</f>
        <v>417.67924524762594</v>
      </c>
      <c r="V49" s="29">
        <f>IF(V9=0,0,1000000*V9/TrRail_act!V26/1000)</f>
        <v>368.18784664218185</v>
      </c>
      <c r="W49" s="29">
        <f>IF(W9=0,0,1000000*W9/TrRail_act!W26/1000)</f>
        <v>219.69359119315362</v>
      </c>
      <c r="X49" s="29">
        <f>IF(X9=0,0,1000000*X9/TrRail_act!X26/1000)</f>
        <v>341.07036275494733</v>
      </c>
      <c r="Y49" s="29">
        <f>IF(Y9=0,0,1000000*Y9/TrRail_act!Y26/1000)</f>
        <v>327.12953302723429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777.22523717008335</v>
      </c>
      <c r="C51" s="116">
        <f>IF(C11=0,0,1000000*C11/TrRail_act!C28/1000)</f>
        <v>434.24121069331073</v>
      </c>
      <c r="D51" s="116">
        <f>IF(D11=0,0,1000000*D11/TrRail_act!D28/1000)</f>
        <v>466.9905052486032</v>
      </c>
      <c r="E51" s="116">
        <f>IF(E11=0,0,1000000*E11/TrRail_act!E28/1000)</f>
        <v>440.84793576569251</v>
      </c>
      <c r="F51" s="116">
        <f>IF(F11=0,0,1000000*F11/TrRail_act!F28/1000)</f>
        <v>529.23020243925635</v>
      </c>
      <c r="G51" s="116">
        <f>IF(G11=0,0,1000000*G11/TrRail_act!G28/1000)</f>
        <v>581.11454546417224</v>
      </c>
      <c r="H51" s="116">
        <f>IF(H11=0,0,1000000*H11/TrRail_act!H28/1000)</f>
        <v>604.70653331498647</v>
      </c>
      <c r="I51" s="116">
        <f>IF(I11=0,0,1000000*I11/TrRail_act!I28/1000)</f>
        <v>674.17276624088697</v>
      </c>
      <c r="J51" s="116">
        <f>IF(J11=0,0,1000000*J11/TrRail_act!J28/1000)</f>
        <v>484.94515314161566</v>
      </c>
      <c r="K51" s="116">
        <f>IF(K11=0,0,1000000*K11/TrRail_act!K28/1000)</f>
        <v>516.34152752136345</v>
      </c>
      <c r="L51" s="116">
        <f>IF(L11=0,0,1000000*L11/TrRail_act!L28/1000)</f>
        <v>549.27740285950927</v>
      </c>
      <c r="M51" s="116">
        <f>IF(M11=0,0,1000000*M11/TrRail_act!M28/1000)</f>
        <v>562.0160828533119</v>
      </c>
      <c r="N51" s="116">
        <f>IF(N11=0,0,1000000*N11/TrRail_act!N28/1000)</f>
        <v>489.78993280325363</v>
      </c>
      <c r="O51" s="116">
        <f>IF(O11=0,0,1000000*O11/TrRail_act!O28/1000)</f>
        <v>576.20813312351208</v>
      </c>
      <c r="P51" s="116">
        <f>IF(P11=0,0,1000000*P11/TrRail_act!P28/1000)</f>
        <v>531.99237244901485</v>
      </c>
      <c r="Q51" s="116">
        <f>IF(Q11=0,0,1000000*Q11/TrRail_act!Q28/1000)</f>
        <v>514.01696840373427</v>
      </c>
      <c r="R51" s="116">
        <f>IF(R11=0,0,1000000*R11/TrRail_act!R28/1000)</f>
        <v>516.76855730806733</v>
      </c>
      <c r="S51" s="116">
        <f>IF(S11=0,0,1000000*S11/TrRail_act!S28/1000)</f>
        <v>523.72252933823336</v>
      </c>
      <c r="T51" s="116">
        <f>IF(T11=0,0,1000000*T11/TrRail_act!T28/1000)</f>
        <v>563.8483776703971</v>
      </c>
      <c r="U51" s="116">
        <f>IF(U11=0,0,1000000*U11/TrRail_act!U28/1000)</f>
        <v>595.83570658836095</v>
      </c>
      <c r="V51" s="116">
        <f>IF(V11=0,0,1000000*V11/TrRail_act!V28/1000)</f>
        <v>602.87008788184312</v>
      </c>
      <c r="W51" s="116">
        <f>IF(W11=0,0,1000000*W11/TrRail_act!W28/1000)</f>
        <v>352.77817195120696</v>
      </c>
      <c r="X51" s="116">
        <f>IF(X11=0,0,1000000*X11/TrRail_act!X28/1000)</f>
        <v>540.4539477348369</v>
      </c>
      <c r="Y51" s="116">
        <f>IF(Y11=0,0,1000000*Y11/TrRail_act!Y28/1000)</f>
        <v>479.39353829724479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1091.9504328230967</v>
      </c>
      <c r="C52" s="87">
        <f>IF(C12=0,0,1000000*C12/TrRail_act!C29/1000)</f>
        <v>668.77959056936641</v>
      </c>
      <c r="D52" s="87">
        <f>IF(D12=0,0,1000000*D12/TrRail_act!D29/1000)</f>
        <v>738.02654868230934</v>
      </c>
      <c r="E52" s="87">
        <f>IF(E12=0,0,1000000*E12/TrRail_act!E29/1000)</f>
        <v>778.55714030426577</v>
      </c>
      <c r="F52" s="87">
        <f>IF(F12=0,0,1000000*F12/TrRail_act!F29/1000)</f>
        <v>966.49592641887421</v>
      </c>
      <c r="G52" s="87">
        <f>IF(G12=0,0,1000000*G12/TrRail_act!G29/1000)</f>
        <v>982.06363346996591</v>
      </c>
      <c r="H52" s="87">
        <f>IF(H12=0,0,1000000*H12/TrRail_act!H29/1000)</f>
        <v>976.81457023543669</v>
      </c>
      <c r="I52" s="87">
        <f>IF(I12=0,0,1000000*I12/TrRail_act!I29/1000)</f>
        <v>979.06958175184604</v>
      </c>
      <c r="J52" s="87">
        <f>IF(J12=0,0,1000000*J12/TrRail_act!J29/1000)</f>
        <v>766.33526982276305</v>
      </c>
      <c r="K52" s="87">
        <f>IF(K12=0,0,1000000*K12/TrRail_act!K29/1000)</f>
        <v>827.43801376110582</v>
      </c>
      <c r="L52" s="87">
        <f>IF(L12=0,0,1000000*L12/TrRail_act!L29/1000)</f>
        <v>917.85648519035078</v>
      </c>
      <c r="M52" s="87">
        <f>IF(M12=0,0,1000000*M12/TrRail_act!M29/1000)</f>
        <v>904.59108422344787</v>
      </c>
      <c r="N52" s="87">
        <f>IF(N12=0,0,1000000*N12/TrRail_act!N29/1000)</f>
        <v>801.99092381496655</v>
      </c>
      <c r="O52" s="87">
        <f>IF(O12=0,0,1000000*O12/TrRail_act!O29/1000)</f>
        <v>852.32182846582123</v>
      </c>
      <c r="P52" s="87">
        <f>IF(P12=0,0,1000000*P12/TrRail_act!P29/1000)</f>
        <v>829.69844109738949</v>
      </c>
      <c r="Q52" s="87">
        <f>IF(Q12=0,0,1000000*Q12/TrRail_act!Q29/1000)</f>
        <v>804.65933086389941</v>
      </c>
      <c r="R52" s="87">
        <f>IF(R12=0,0,1000000*R12/TrRail_act!R29/1000)</f>
        <v>782.445289079595</v>
      </c>
      <c r="S52" s="87">
        <f>IF(S12=0,0,1000000*S12/TrRail_act!S29/1000)</f>
        <v>770.01907703287952</v>
      </c>
      <c r="T52" s="87">
        <f>IF(T12=0,0,1000000*T12/TrRail_act!T29/1000)</f>
        <v>757.02498726107569</v>
      </c>
      <c r="U52" s="87">
        <f>IF(U12=0,0,1000000*U12/TrRail_act!U29/1000)</f>
        <v>743.68639349797604</v>
      </c>
      <c r="V52" s="87">
        <f>IF(V12=0,0,1000000*V12/TrRail_act!V29/1000)</f>
        <v>733.83689720785981</v>
      </c>
      <c r="W52" s="87">
        <f>IF(W12=0,0,1000000*W12/TrRail_act!W29/1000)</f>
        <v>436.11537993135084</v>
      </c>
      <c r="X52" s="87">
        <f>IF(X12=0,0,1000000*X12/TrRail_act!X29/1000)</f>
        <v>665.12551032556371</v>
      </c>
      <c r="Y52" s="87">
        <f>IF(Y12=0,0,1000000*Y12/TrRail_act!Y29/1000)</f>
        <v>717.06247859487348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2953.8788706617356</v>
      </c>
      <c r="C55" s="29">
        <f>IF(C15=0,0,1000000*C15/TrRail_act!C32/1000)</f>
        <v>2943.9603161137188</v>
      </c>
      <c r="D55" s="29">
        <f>IF(D15=0,0,1000000*D15/TrRail_act!D32/1000)</f>
        <v>2932.4355023956609</v>
      </c>
      <c r="E55" s="29">
        <f>IF(E15=0,0,1000000*E15/TrRail_act!E32/1000)</f>
        <v>2809.4473967027834</v>
      </c>
      <c r="F55" s="29">
        <f>IF(F15=0,0,1000000*F15/TrRail_act!F32/1000)</f>
        <v>2647.2548066294612</v>
      </c>
      <c r="G55" s="29">
        <f>IF(G15=0,0,1000000*G15/TrRail_act!G32/1000)</f>
        <v>2899.9388195705988</v>
      </c>
      <c r="H55" s="29">
        <f>IF(H15=0,0,1000000*H15/TrRail_act!H32/1000)</f>
        <v>2872.2321893427293</v>
      </c>
      <c r="I55" s="29">
        <f>IF(I15=0,0,1000000*I15/TrRail_act!I32/1000)</f>
        <v>2595.7163999778136</v>
      </c>
      <c r="J55" s="29">
        <f>IF(J15=0,0,1000000*J15/TrRail_act!J32/1000)</f>
        <v>2031.817272032632</v>
      </c>
      <c r="K55" s="29">
        <f>IF(K15=0,0,1000000*K15/TrRail_act!K32/1000)</f>
        <v>2689.9943533968935</v>
      </c>
      <c r="L55" s="29">
        <f>IF(L15=0,0,1000000*L15/TrRail_act!L32/1000)</f>
        <v>2624.9847661235876</v>
      </c>
      <c r="M55" s="29">
        <f>IF(M15=0,0,1000000*M15/TrRail_act!M32/1000)</f>
        <v>1888.2736326366196</v>
      </c>
      <c r="N55" s="29">
        <f>IF(N15=0,0,1000000*N15/TrRail_act!N32/1000)</f>
        <v>1824.7924595172619</v>
      </c>
      <c r="O55" s="29">
        <f>IF(O15=0,0,1000000*O15/TrRail_act!O32/1000)</f>
        <v>1683.8874930619331</v>
      </c>
      <c r="P55" s="29">
        <f>IF(P15=0,0,1000000*P15/TrRail_act!P32/1000)</f>
        <v>1370.4334208823254</v>
      </c>
      <c r="Q55" s="29">
        <f>IF(Q15=0,0,1000000*Q15/TrRail_act!Q32/1000)</f>
        <v>1444.599212842367</v>
      </c>
      <c r="R55" s="29">
        <f>IF(R15=0,0,1000000*R15/TrRail_act!R32/1000)</f>
        <v>1243.2353185905495</v>
      </c>
      <c r="S55" s="29">
        <f>IF(S15=0,0,1000000*S15/TrRail_act!S32/1000)</f>
        <v>1447.1688715923412</v>
      </c>
      <c r="T55" s="29">
        <f>IF(T15=0,0,1000000*T15/TrRail_act!T32/1000)</f>
        <v>1478.289737120042</v>
      </c>
      <c r="U55" s="29">
        <f>IF(U15=0,0,1000000*U15/TrRail_act!U32/1000)</f>
        <v>1878.8630448935176</v>
      </c>
      <c r="V55" s="29">
        <f>IF(V15=0,0,1000000*V15/TrRail_act!V32/1000)</f>
        <v>2015.027794186587</v>
      </c>
      <c r="W55" s="29">
        <f>IF(W15=0,0,1000000*W15/TrRail_act!W32/1000)</f>
        <v>2255.0546368229452</v>
      </c>
      <c r="X55" s="29">
        <f>IF(X15=0,0,1000000*X15/TrRail_act!X32/1000)</f>
        <v>2239.0319999034464</v>
      </c>
      <c r="Y55" s="29">
        <f>IF(Y15=0,0,1000000*Y15/TrRail_act!Y32/1000)</f>
        <v>2227.0895832771607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2953.8788706617356</v>
      </c>
      <c r="C56" s="87">
        <f>IF(C16=0,0,1000000*C16/TrRail_act!C33/1000)</f>
        <v>2943.9603161137188</v>
      </c>
      <c r="D56" s="87">
        <f>IF(D16=0,0,1000000*D16/TrRail_act!D33/1000)</f>
        <v>2932.4355023956609</v>
      </c>
      <c r="E56" s="87">
        <f>IF(E16=0,0,1000000*E16/TrRail_act!E33/1000)</f>
        <v>2809.4473967027834</v>
      </c>
      <c r="F56" s="87">
        <f>IF(F16=0,0,1000000*F16/TrRail_act!F33/1000)</f>
        <v>2647.2548066294612</v>
      </c>
      <c r="G56" s="87">
        <f>IF(G16=0,0,1000000*G16/TrRail_act!G33/1000)</f>
        <v>2899.9388195705988</v>
      </c>
      <c r="H56" s="87">
        <f>IF(H16=0,0,1000000*H16/TrRail_act!H33/1000)</f>
        <v>2872.2321893427293</v>
      </c>
      <c r="I56" s="87">
        <f>IF(I16=0,0,1000000*I16/TrRail_act!I33/1000)</f>
        <v>2595.7163999778136</v>
      </c>
      <c r="J56" s="87">
        <f>IF(J16=0,0,1000000*J16/TrRail_act!J33/1000)</f>
        <v>2031.817272032632</v>
      </c>
      <c r="K56" s="87">
        <f>IF(K16=0,0,1000000*K16/TrRail_act!K33/1000)</f>
        <v>2689.9943533968935</v>
      </c>
      <c r="L56" s="87">
        <f>IF(L16=0,0,1000000*L16/TrRail_act!L33/1000)</f>
        <v>2624.9847661235876</v>
      </c>
      <c r="M56" s="87">
        <f>IF(M16=0,0,1000000*M16/TrRail_act!M33/1000)</f>
        <v>1888.2736326366196</v>
      </c>
      <c r="N56" s="87">
        <f>IF(N16=0,0,1000000*N16/TrRail_act!N33/1000)</f>
        <v>1824.7924595172619</v>
      </c>
      <c r="O56" s="87">
        <f>IF(O16=0,0,1000000*O16/TrRail_act!O33/1000)</f>
        <v>1683.8874930619331</v>
      </c>
      <c r="P56" s="87">
        <f>IF(P16=0,0,1000000*P16/TrRail_act!P33/1000)</f>
        <v>1370.4334208823254</v>
      </c>
      <c r="Q56" s="87">
        <f>IF(Q16=0,0,1000000*Q16/TrRail_act!Q33/1000)</f>
        <v>1444.599212842367</v>
      </c>
      <c r="R56" s="87">
        <f>IF(R16=0,0,1000000*R16/TrRail_act!R33/1000)</f>
        <v>1243.2353185905495</v>
      </c>
      <c r="S56" s="87">
        <f>IF(S16=0,0,1000000*S16/TrRail_act!S33/1000)</f>
        <v>1447.1688715923412</v>
      </c>
      <c r="T56" s="87">
        <f>IF(T16=0,0,1000000*T16/TrRail_act!T33/1000)</f>
        <v>1478.289737120042</v>
      </c>
      <c r="U56" s="87">
        <f>IF(U16=0,0,1000000*U16/TrRail_act!U33/1000)</f>
        <v>1878.8630448935176</v>
      </c>
      <c r="V56" s="87">
        <f>IF(V16=0,0,1000000*V16/TrRail_act!V33/1000)</f>
        <v>2015.027794186587</v>
      </c>
      <c r="W56" s="87">
        <f>IF(W16=0,0,1000000*W16/TrRail_act!W33/1000)</f>
        <v>2255.0546368229452</v>
      </c>
      <c r="X56" s="87">
        <f>IF(X16=0,0,1000000*X16/TrRail_act!X33/1000)</f>
        <v>2239.0319999034464</v>
      </c>
      <c r="Y56" s="87">
        <f>IF(Y16=0,0,1000000*Y16/TrRail_act!Y33/1000)</f>
        <v>2227.0895832771607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6.9820043630201736E-2</v>
      </c>
      <c r="C60" s="31">
        <f t="shared" ref="C60:V60" si="13">IF(C9=0,0,C9/C$8)</f>
        <v>4.1372446578728003E-2</v>
      </c>
      <c r="D60" s="31">
        <f t="shared" si="13"/>
        <v>3.1830063522235996E-2</v>
      </c>
      <c r="E60" s="31">
        <f t="shared" si="13"/>
        <v>3.3298277857255663E-2</v>
      </c>
      <c r="F60" s="31">
        <f t="shared" si="13"/>
        <v>4.0882033137244478E-2</v>
      </c>
      <c r="G60" s="31">
        <f t="shared" si="13"/>
        <v>4.3888584753510394E-2</v>
      </c>
      <c r="H60" s="31">
        <f t="shared" si="13"/>
        <v>4.8000270152749845E-2</v>
      </c>
      <c r="I60" s="31">
        <f t="shared" si="13"/>
        <v>7.1877037512044273E-2</v>
      </c>
      <c r="J60" s="31">
        <f t="shared" si="13"/>
        <v>7.1957674415485257E-2</v>
      </c>
      <c r="K60" s="31">
        <f t="shared" si="13"/>
        <v>5.121638720420283E-2</v>
      </c>
      <c r="L60" s="31">
        <f t="shared" si="13"/>
        <v>4.1288663119409617E-2</v>
      </c>
      <c r="M60" s="31">
        <f t="shared" si="13"/>
        <v>6.101709354390604E-2</v>
      </c>
      <c r="N60" s="31">
        <f t="shared" si="13"/>
        <v>5.3959190197162381E-2</v>
      </c>
      <c r="O60" s="31">
        <f t="shared" si="13"/>
        <v>8.0399922517780831E-2</v>
      </c>
      <c r="P60" s="31">
        <f t="shared" si="13"/>
        <v>0.11984087010606444</v>
      </c>
      <c r="Q60" s="31">
        <f t="shared" si="13"/>
        <v>0.12632922219867837</v>
      </c>
      <c r="R60" s="31">
        <f t="shared" si="13"/>
        <v>0.15983608628233209</v>
      </c>
      <c r="S60" s="31">
        <f t="shared" si="13"/>
        <v>0.18545742316794947</v>
      </c>
      <c r="T60" s="31">
        <f t="shared" si="13"/>
        <v>0.2499338735272823</v>
      </c>
      <c r="U60" s="31">
        <f t="shared" si="13"/>
        <v>0.28857714255016031</v>
      </c>
      <c r="V60" s="31">
        <f t="shared" si="13"/>
        <v>0.33733026269157312</v>
      </c>
      <c r="W60" s="31">
        <f t="shared" ref="W60:Y60" si="14">IF(W9=0,0,W9/W$8)</f>
        <v>0.19866685107515564</v>
      </c>
      <c r="X60" s="31">
        <f t="shared" si="14"/>
        <v>0.32183450049903345</v>
      </c>
      <c r="Y60" s="31">
        <f t="shared" si="14"/>
        <v>0.34192261323589079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6.9820043630201736E-2</v>
      </c>
      <c r="C62" s="124">
        <f t="shared" ref="C62:V62" si="17">IF(C11=0,0,C11/C$8)</f>
        <v>4.1372446578728003E-2</v>
      </c>
      <c r="D62" s="124">
        <f t="shared" si="17"/>
        <v>3.1830063522235996E-2</v>
      </c>
      <c r="E62" s="124">
        <f t="shared" si="17"/>
        <v>3.3298277857255663E-2</v>
      </c>
      <c r="F62" s="124">
        <f t="shared" si="17"/>
        <v>4.0882033137244478E-2</v>
      </c>
      <c r="G62" s="124">
        <f t="shared" si="17"/>
        <v>4.3888584753510394E-2</v>
      </c>
      <c r="H62" s="124">
        <f t="shared" si="17"/>
        <v>4.8000270152749845E-2</v>
      </c>
      <c r="I62" s="124">
        <f t="shared" si="17"/>
        <v>7.1877037512044273E-2</v>
      </c>
      <c r="J62" s="124">
        <f t="shared" si="17"/>
        <v>7.1957674415485257E-2</v>
      </c>
      <c r="K62" s="124">
        <f t="shared" si="17"/>
        <v>5.121638720420283E-2</v>
      </c>
      <c r="L62" s="124">
        <f t="shared" si="17"/>
        <v>4.1288663119409617E-2</v>
      </c>
      <c r="M62" s="124">
        <f t="shared" si="17"/>
        <v>6.101709354390604E-2</v>
      </c>
      <c r="N62" s="124">
        <f t="shared" si="17"/>
        <v>5.3959190197162381E-2</v>
      </c>
      <c r="O62" s="124">
        <f t="shared" si="17"/>
        <v>8.0399922517780831E-2</v>
      </c>
      <c r="P62" s="124">
        <f t="shared" si="17"/>
        <v>0.11984087010606444</v>
      </c>
      <c r="Q62" s="124">
        <f t="shared" si="17"/>
        <v>0.12632922219867837</v>
      </c>
      <c r="R62" s="124">
        <f t="shared" si="17"/>
        <v>0.15983608628233209</v>
      </c>
      <c r="S62" s="124">
        <f t="shared" si="17"/>
        <v>0.18545742316794947</v>
      </c>
      <c r="T62" s="124">
        <f t="shared" si="17"/>
        <v>0.2499338735272823</v>
      </c>
      <c r="U62" s="124">
        <f t="shared" si="17"/>
        <v>0.28857714255016031</v>
      </c>
      <c r="V62" s="124">
        <f t="shared" si="17"/>
        <v>0.33733026269157312</v>
      </c>
      <c r="W62" s="124">
        <f t="shared" ref="W62:Y62" si="18">IF(W11=0,0,W11/W$8)</f>
        <v>0.19866685107515564</v>
      </c>
      <c r="X62" s="124">
        <f t="shared" si="18"/>
        <v>0.32183450049903345</v>
      </c>
      <c r="Y62" s="124">
        <f t="shared" si="18"/>
        <v>0.34192261323589079</v>
      </c>
      <c r="DA62" s="176"/>
    </row>
    <row r="63" spans="1:105" ht="11.45" customHeight="1" x14ac:dyDescent="0.25">
      <c r="A63" s="111" t="s">
        <v>92</v>
      </c>
      <c r="B63" s="125">
        <f t="shared" si="10"/>
        <v>6.9820043630201736E-2</v>
      </c>
      <c r="C63" s="125">
        <f t="shared" ref="C63:V63" si="19">IF(C12=0,0,C12/C$8)</f>
        <v>4.1372446578728003E-2</v>
      </c>
      <c r="D63" s="125">
        <f t="shared" si="19"/>
        <v>3.1830063522235996E-2</v>
      </c>
      <c r="E63" s="125">
        <f t="shared" si="19"/>
        <v>3.3298277857255663E-2</v>
      </c>
      <c r="F63" s="125">
        <f t="shared" si="19"/>
        <v>4.0882033137244478E-2</v>
      </c>
      <c r="G63" s="125">
        <f t="shared" si="19"/>
        <v>4.3888584753510394E-2</v>
      </c>
      <c r="H63" s="125">
        <f t="shared" si="19"/>
        <v>4.8000270152749845E-2</v>
      </c>
      <c r="I63" s="125">
        <f t="shared" si="19"/>
        <v>7.1877037512044273E-2</v>
      </c>
      <c r="J63" s="125">
        <f t="shared" si="19"/>
        <v>7.1957674415485257E-2</v>
      </c>
      <c r="K63" s="125">
        <f t="shared" si="19"/>
        <v>5.121638720420283E-2</v>
      </c>
      <c r="L63" s="125">
        <f t="shared" si="19"/>
        <v>4.1288663119409617E-2</v>
      </c>
      <c r="M63" s="125">
        <f t="shared" si="19"/>
        <v>6.101709354390604E-2</v>
      </c>
      <c r="N63" s="125">
        <f t="shared" si="19"/>
        <v>5.3959190197162381E-2</v>
      </c>
      <c r="O63" s="125">
        <f t="shared" si="19"/>
        <v>8.0399922517780831E-2</v>
      </c>
      <c r="P63" s="125">
        <f t="shared" si="19"/>
        <v>0.11984087010606444</v>
      </c>
      <c r="Q63" s="125">
        <f t="shared" si="19"/>
        <v>0.12632922219867837</v>
      </c>
      <c r="R63" s="125">
        <f t="shared" si="19"/>
        <v>0.15983608628233209</v>
      </c>
      <c r="S63" s="125">
        <f t="shared" si="19"/>
        <v>0.18545742316794947</v>
      </c>
      <c r="T63" s="125">
        <f t="shared" si="19"/>
        <v>0.2499338735272823</v>
      </c>
      <c r="U63" s="125">
        <f t="shared" si="19"/>
        <v>0.28857714255016031</v>
      </c>
      <c r="V63" s="125">
        <f t="shared" si="19"/>
        <v>0.33733026269157312</v>
      </c>
      <c r="W63" s="125">
        <f t="shared" ref="W63:Y63" si="20">IF(W12=0,0,W12/W$8)</f>
        <v>0.19866685107515564</v>
      </c>
      <c r="X63" s="125">
        <f t="shared" si="20"/>
        <v>0.32183450049903345</v>
      </c>
      <c r="Y63" s="125">
        <f t="shared" si="20"/>
        <v>0.34192261323589079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0.93017995636979833</v>
      </c>
      <c r="C66" s="31">
        <f t="shared" ref="C66:V66" si="25">IF(C15=0,0,C15/C$8)</f>
        <v>0.95862755342127193</v>
      </c>
      <c r="D66" s="31">
        <f t="shared" si="25"/>
        <v>0.96816993647776406</v>
      </c>
      <c r="E66" s="31">
        <f t="shared" si="25"/>
        <v>0.96670172214274441</v>
      </c>
      <c r="F66" s="31">
        <f t="shared" si="25"/>
        <v>0.95911796686275552</v>
      </c>
      <c r="G66" s="31">
        <f t="shared" si="25"/>
        <v>0.95611141524648957</v>
      </c>
      <c r="H66" s="31">
        <f t="shared" si="25"/>
        <v>0.95199972984725012</v>
      </c>
      <c r="I66" s="31">
        <f t="shared" si="25"/>
        <v>0.92812296248795567</v>
      </c>
      <c r="J66" s="31">
        <f t="shared" si="25"/>
        <v>0.92804232558451472</v>
      </c>
      <c r="K66" s="31">
        <f t="shared" si="25"/>
        <v>0.94878361279579726</v>
      </c>
      <c r="L66" s="31">
        <f t="shared" si="25"/>
        <v>0.95871133688059029</v>
      </c>
      <c r="M66" s="31">
        <f t="shared" si="25"/>
        <v>0.93898290645609395</v>
      </c>
      <c r="N66" s="31">
        <f t="shared" si="25"/>
        <v>0.94604080980283756</v>
      </c>
      <c r="O66" s="31">
        <f t="shared" si="25"/>
        <v>0.91960007748221917</v>
      </c>
      <c r="P66" s="31">
        <f t="shared" si="25"/>
        <v>0.88015912989393552</v>
      </c>
      <c r="Q66" s="31">
        <f t="shared" si="25"/>
        <v>0.87367077780132163</v>
      </c>
      <c r="R66" s="31">
        <f t="shared" si="25"/>
        <v>0.84016391371766797</v>
      </c>
      <c r="S66" s="31">
        <f t="shared" si="25"/>
        <v>0.81454257683205056</v>
      </c>
      <c r="T66" s="31">
        <f t="shared" si="25"/>
        <v>0.75006612647271764</v>
      </c>
      <c r="U66" s="31">
        <f t="shared" si="25"/>
        <v>0.71142285744983969</v>
      </c>
      <c r="V66" s="31">
        <f t="shared" si="25"/>
        <v>0.66266973730842682</v>
      </c>
      <c r="W66" s="31">
        <f t="shared" ref="W66:Y66" si="26">IF(W15=0,0,W15/W$8)</f>
        <v>0.80133314892484431</v>
      </c>
      <c r="X66" s="31">
        <f t="shared" si="26"/>
        <v>0.67816549950096661</v>
      </c>
      <c r="Y66" s="31">
        <f t="shared" si="26"/>
        <v>0.65807738676410921</v>
      </c>
      <c r="DA66" s="173"/>
    </row>
    <row r="67" spans="1:105" ht="11.45" customHeight="1" x14ac:dyDescent="0.25">
      <c r="A67" s="83" t="s">
        <v>92</v>
      </c>
      <c r="B67" s="125">
        <f t="shared" si="10"/>
        <v>0.93017995636979833</v>
      </c>
      <c r="C67" s="125">
        <f t="shared" ref="C67:V67" si="27">IF(C16=0,0,C16/C$8)</f>
        <v>0.95862755342127193</v>
      </c>
      <c r="D67" s="125">
        <f t="shared" si="27"/>
        <v>0.96816993647776406</v>
      </c>
      <c r="E67" s="125">
        <f t="shared" si="27"/>
        <v>0.96670172214274441</v>
      </c>
      <c r="F67" s="125">
        <f t="shared" si="27"/>
        <v>0.95911796686275552</v>
      </c>
      <c r="G67" s="125">
        <f t="shared" si="27"/>
        <v>0.95611141524648957</v>
      </c>
      <c r="H67" s="125">
        <f t="shared" si="27"/>
        <v>0.95199972984725012</v>
      </c>
      <c r="I67" s="125">
        <f t="shared" si="27"/>
        <v>0.92812296248795567</v>
      </c>
      <c r="J67" s="125">
        <f t="shared" si="27"/>
        <v>0.92804232558451472</v>
      </c>
      <c r="K67" s="125">
        <f t="shared" si="27"/>
        <v>0.94878361279579726</v>
      </c>
      <c r="L67" s="125">
        <f t="shared" si="27"/>
        <v>0.95871133688059029</v>
      </c>
      <c r="M67" s="125">
        <f t="shared" si="27"/>
        <v>0.93898290645609395</v>
      </c>
      <c r="N67" s="125">
        <f t="shared" si="27"/>
        <v>0.94604080980283756</v>
      </c>
      <c r="O67" s="125">
        <f t="shared" si="27"/>
        <v>0.91960007748221917</v>
      </c>
      <c r="P67" s="125">
        <f t="shared" si="27"/>
        <v>0.88015912989393552</v>
      </c>
      <c r="Q67" s="125">
        <f t="shared" si="27"/>
        <v>0.87367077780132163</v>
      </c>
      <c r="R67" s="125">
        <f t="shared" si="27"/>
        <v>0.84016391371766797</v>
      </c>
      <c r="S67" s="125">
        <f t="shared" si="27"/>
        <v>0.81454257683205056</v>
      </c>
      <c r="T67" s="125">
        <f t="shared" si="27"/>
        <v>0.75006612647271764</v>
      </c>
      <c r="U67" s="125">
        <f t="shared" si="27"/>
        <v>0.71142285744983969</v>
      </c>
      <c r="V67" s="125">
        <f t="shared" si="27"/>
        <v>0.66266973730842682</v>
      </c>
      <c r="W67" s="125">
        <f t="shared" ref="W67:Y67" si="28">IF(W16=0,0,W16/W$8)</f>
        <v>0.80133314892484431</v>
      </c>
      <c r="X67" s="125">
        <f t="shared" si="28"/>
        <v>0.67816549950096661</v>
      </c>
      <c r="Y67" s="125">
        <f t="shared" si="28"/>
        <v>0.65807738676410921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517.67001327376954</v>
      </c>
      <c r="C4" s="11">
        <f t="shared" si="0"/>
        <v>439.22711871427759</v>
      </c>
      <c r="D4" s="11">
        <f t="shared" ref="D4:V4" si="1">SUM(D5:D7)</f>
        <v>459.58340913446085</v>
      </c>
      <c r="E4" s="11">
        <f t="shared" si="1"/>
        <v>536.87141800113261</v>
      </c>
      <c r="F4" s="11">
        <f t="shared" si="1"/>
        <v>745.41139004404477</v>
      </c>
      <c r="G4" s="11">
        <f t="shared" si="1"/>
        <v>1127.4048505921057</v>
      </c>
      <c r="H4" s="11">
        <f t="shared" si="1"/>
        <v>1153.4455630392342</v>
      </c>
      <c r="I4" s="11">
        <f t="shared" si="1"/>
        <v>1214.1978189857671</v>
      </c>
      <c r="J4" s="11">
        <f t="shared" si="1"/>
        <v>1230.9620663363628</v>
      </c>
      <c r="K4" s="11">
        <f t="shared" si="1"/>
        <v>771.88433239036374</v>
      </c>
      <c r="L4" s="11">
        <f t="shared" si="1"/>
        <v>869.42690425431397</v>
      </c>
      <c r="M4" s="11">
        <f t="shared" si="1"/>
        <v>1161.8322643525362</v>
      </c>
      <c r="N4" s="11">
        <f t="shared" si="1"/>
        <v>1371.5091832705548</v>
      </c>
      <c r="O4" s="11">
        <f t="shared" si="1"/>
        <v>1098.4157344447628</v>
      </c>
      <c r="P4" s="11">
        <f t="shared" si="1"/>
        <v>1151.8917789874017</v>
      </c>
      <c r="Q4" s="11">
        <f t="shared" si="1"/>
        <v>1324.7787628600213</v>
      </c>
      <c r="R4" s="11">
        <f t="shared" si="1"/>
        <v>1323.320165476573</v>
      </c>
      <c r="S4" s="11">
        <f t="shared" si="1"/>
        <v>1524.8148678068892</v>
      </c>
      <c r="T4" s="11">
        <f t="shared" si="1"/>
        <v>1775.5097815241481</v>
      </c>
      <c r="U4" s="11">
        <f t="shared" si="1"/>
        <v>1999.9287083346858</v>
      </c>
      <c r="V4" s="11">
        <f t="shared" si="1"/>
        <v>494.6736299830535</v>
      </c>
      <c r="W4" s="11">
        <f t="shared" ref="W4:Y4" si="2">SUM(W5:W7)</f>
        <v>1043.1909490775538</v>
      </c>
      <c r="X4" s="11">
        <f t="shared" si="2"/>
        <v>1964.4555674962508</v>
      </c>
      <c r="Y4" s="11">
        <f t="shared" si="2"/>
        <v>2049.5039332576566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442.37350359606677</v>
      </c>
      <c r="C6" s="84">
        <v>376.49831204413698</v>
      </c>
      <c r="D6" s="84">
        <v>387.31302193166329</v>
      </c>
      <c r="E6" s="84">
        <v>448.2605789247782</v>
      </c>
      <c r="F6" s="84">
        <v>605.09743524841303</v>
      </c>
      <c r="G6" s="84">
        <v>925.31237659210581</v>
      </c>
      <c r="H6" s="84">
        <v>950.70624608763364</v>
      </c>
      <c r="I6" s="84">
        <v>956.7040767892338</v>
      </c>
      <c r="J6" s="84">
        <v>911.70406468272324</v>
      </c>
      <c r="K6" s="84">
        <v>558.58567704572147</v>
      </c>
      <c r="L6" s="84">
        <v>600.60799416226382</v>
      </c>
      <c r="M6" s="84">
        <v>924.64344879310136</v>
      </c>
      <c r="N6" s="84">
        <v>995.2828378510651</v>
      </c>
      <c r="O6" s="84">
        <v>859.49648740163832</v>
      </c>
      <c r="P6" s="84">
        <v>895.19689230152812</v>
      </c>
      <c r="Q6" s="84">
        <v>987.42782194120161</v>
      </c>
      <c r="R6" s="84">
        <v>1067.3870162765656</v>
      </c>
      <c r="S6" s="84">
        <v>1222.3063174825702</v>
      </c>
      <c r="T6" s="84">
        <v>1386.5985283970588</v>
      </c>
      <c r="U6" s="84">
        <v>1453.8196132505705</v>
      </c>
      <c r="V6" s="84">
        <v>376.74039696743887</v>
      </c>
      <c r="W6" s="84">
        <v>632.17343479866338</v>
      </c>
      <c r="X6" s="84">
        <v>1386.4234928452413</v>
      </c>
      <c r="Y6" s="84">
        <v>1391.0042666211612</v>
      </c>
      <c r="DA6" s="171" t="s">
        <v>192</v>
      </c>
    </row>
    <row r="7" spans="1:105" ht="11.45" customHeight="1" x14ac:dyDescent="0.25">
      <c r="A7" s="83" t="s">
        <v>182</v>
      </c>
      <c r="B7" s="84">
        <v>75.296509677702801</v>
      </c>
      <c r="C7" s="84">
        <v>62.728806670140614</v>
      </c>
      <c r="D7" s="84">
        <v>72.270387202797551</v>
      </c>
      <c r="E7" s="84">
        <v>88.610839076354381</v>
      </c>
      <c r="F7" s="84">
        <v>140.31395479563176</v>
      </c>
      <c r="G7" s="84">
        <v>202.09247400000001</v>
      </c>
      <c r="H7" s="84">
        <v>202.73931695160056</v>
      </c>
      <c r="I7" s="84">
        <v>257.49374219653328</v>
      </c>
      <c r="J7" s="84">
        <v>319.25800165363955</v>
      </c>
      <c r="K7" s="84">
        <v>213.29865534464224</v>
      </c>
      <c r="L7" s="84">
        <v>268.8189100920502</v>
      </c>
      <c r="M7" s="84">
        <v>237.18881555943474</v>
      </c>
      <c r="N7" s="84">
        <v>376.22634541948975</v>
      </c>
      <c r="O7" s="84">
        <v>238.91924704312444</v>
      </c>
      <c r="P7" s="84">
        <v>256.69488668587371</v>
      </c>
      <c r="Q7" s="84">
        <v>337.35094091881962</v>
      </c>
      <c r="R7" s="84">
        <v>255.93314920000745</v>
      </c>
      <c r="S7" s="84">
        <v>302.50855032431889</v>
      </c>
      <c r="T7" s="84">
        <v>388.91125312708942</v>
      </c>
      <c r="U7" s="84">
        <v>546.10909508411521</v>
      </c>
      <c r="V7" s="84">
        <v>117.9332330156146</v>
      </c>
      <c r="W7" s="84">
        <v>411.01751427889042</v>
      </c>
      <c r="X7" s="84">
        <v>578.03207465100945</v>
      </c>
      <c r="Y7" s="84">
        <v>658.49966663649536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3.8129725758381294</v>
      </c>
      <c r="C8" s="13">
        <f t="shared" si="3"/>
        <v>3.7376640916608066</v>
      </c>
      <c r="D8" s="13">
        <f t="shared" ref="D8:V8" si="4">SUM(D9:D11)</f>
        <v>2.6960624314966166</v>
      </c>
      <c r="E8" s="13">
        <f t="shared" si="4"/>
        <v>2.7504722530803685</v>
      </c>
      <c r="F8" s="13">
        <f t="shared" si="4"/>
        <v>2.5279168591994887</v>
      </c>
      <c r="G8" s="13">
        <f t="shared" si="4"/>
        <v>4.0123155829556651</v>
      </c>
      <c r="H8" s="13">
        <f t="shared" si="4"/>
        <v>2.8212218406268996</v>
      </c>
      <c r="I8" s="13">
        <f t="shared" si="4"/>
        <v>2.3855672803016557</v>
      </c>
      <c r="J8" s="13">
        <f t="shared" si="4"/>
        <v>2.2252646249609564</v>
      </c>
      <c r="K8" s="13">
        <f t="shared" si="4"/>
        <v>1.4658384284039161</v>
      </c>
      <c r="L8" s="13">
        <f t="shared" si="4"/>
        <v>2.8187773200766348</v>
      </c>
      <c r="M8" s="13">
        <f t="shared" si="4"/>
        <v>2.6299058251469365</v>
      </c>
      <c r="N8" s="13">
        <f t="shared" si="4"/>
        <v>3.7279131015772267</v>
      </c>
      <c r="O8" s="13">
        <f t="shared" si="4"/>
        <v>3.5172232758217703</v>
      </c>
      <c r="P8" s="13">
        <f t="shared" si="4"/>
        <v>4.3235295311894042</v>
      </c>
      <c r="Q8" s="13">
        <f t="shared" si="4"/>
        <v>4.859086630601344</v>
      </c>
      <c r="R8" s="13">
        <f t="shared" si="4"/>
        <v>7.7222866160246042</v>
      </c>
      <c r="S8" s="13">
        <f t="shared" si="4"/>
        <v>5.8806876852053138</v>
      </c>
      <c r="T8" s="13">
        <f t="shared" si="4"/>
        <v>6.2966837697433675</v>
      </c>
      <c r="U8" s="13">
        <f t="shared" si="4"/>
        <v>7.4386264550928995</v>
      </c>
      <c r="V8" s="13">
        <f t="shared" si="4"/>
        <v>5.0181564291453444</v>
      </c>
      <c r="W8" s="13">
        <f t="shared" ref="W8:Y8" si="5">SUM(W9:W11)</f>
        <v>9.1953637290223362</v>
      </c>
      <c r="X8" s="13">
        <f t="shared" si="5"/>
        <v>7.9227186631488316</v>
      </c>
      <c r="Y8" s="13">
        <f t="shared" si="5"/>
        <v>5.0207129159099235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1.2882503234783838</v>
      </c>
      <c r="C10" s="102">
        <v>1.2809348739808828</v>
      </c>
      <c r="D10" s="102">
        <v>1.0901913437054738</v>
      </c>
      <c r="E10" s="102">
        <v>1.1292078928003244</v>
      </c>
      <c r="F10" s="102">
        <v>1.1117101559832658</v>
      </c>
      <c r="G10" s="102">
        <v>1.261838424415364</v>
      </c>
      <c r="H10" s="102">
        <v>1.2790054267841913</v>
      </c>
      <c r="I10" s="102">
        <v>1.5044527000581129</v>
      </c>
      <c r="J10" s="102">
        <v>1.6485121285739091</v>
      </c>
      <c r="K10" s="102">
        <v>1.2792251575831175</v>
      </c>
      <c r="L10" s="102">
        <v>1.9122331888032997</v>
      </c>
      <c r="M10" s="102">
        <v>2.2361331784765257</v>
      </c>
      <c r="N10" s="102">
        <v>3.0810925398623548</v>
      </c>
      <c r="O10" s="102">
        <v>3.1367724848542595</v>
      </c>
      <c r="P10" s="102">
        <v>3.8950005488063844</v>
      </c>
      <c r="Q10" s="102">
        <v>4.2696968177155581</v>
      </c>
      <c r="R10" s="102">
        <v>4.723965435045975</v>
      </c>
      <c r="S10" s="102">
        <v>4.7600174713293679</v>
      </c>
      <c r="T10" s="102">
        <v>5.6246036070702363</v>
      </c>
      <c r="U10" s="102">
        <v>6.2276122046574622</v>
      </c>
      <c r="V10" s="102">
        <v>4.5761205786448791</v>
      </c>
      <c r="W10" s="102">
        <v>5.1102548552806857</v>
      </c>
      <c r="X10" s="102">
        <v>5.2853967015132532</v>
      </c>
      <c r="Y10" s="102">
        <v>4.8128862907042009</v>
      </c>
      <c r="DA10" s="175" t="s">
        <v>196</v>
      </c>
    </row>
    <row r="11" spans="1:105" ht="11.45" customHeight="1" x14ac:dyDescent="0.25">
      <c r="A11" s="85" t="s">
        <v>182</v>
      </c>
      <c r="B11" s="86">
        <v>2.5247222523597457</v>
      </c>
      <c r="C11" s="86">
        <v>2.456729217679924</v>
      </c>
      <c r="D11" s="86">
        <v>1.6058710877911428</v>
      </c>
      <c r="E11" s="86">
        <v>1.6212643602800443</v>
      </c>
      <c r="F11" s="86">
        <v>1.4162067032162229</v>
      </c>
      <c r="G11" s="86">
        <v>2.7504771585403009</v>
      </c>
      <c r="H11" s="86">
        <v>1.5422164138427084</v>
      </c>
      <c r="I11" s="86">
        <v>0.88111458024354294</v>
      </c>
      <c r="J11" s="86">
        <v>0.57675249638704751</v>
      </c>
      <c r="K11" s="86">
        <v>0.1866132708207987</v>
      </c>
      <c r="L11" s="86">
        <v>0.90654413127333511</v>
      </c>
      <c r="M11" s="86">
        <v>0.39377264667041095</v>
      </c>
      <c r="N11" s="86">
        <v>0.64682056171487179</v>
      </c>
      <c r="O11" s="86">
        <v>0.38045079096751061</v>
      </c>
      <c r="P11" s="86">
        <v>0.42852898238302012</v>
      </c>
      <c r="Q11" s="86">
        <v>0.58938981288578618</v>
      </c>
      <c r="R11" s="86">
        <v>2.9983211809786297</v>
      </c>
      <c r="S11" s="86">
        <v>1.1206702138759457</v>
      </c>
      <c r="T11" s="86">
        <v>0.67208016267313142</v>
      </c>
      <c r="U11" s="86">
        <v>1.2110142504354373</v>
      </c>
      <c r="V11" s="86">
        <v>0.44203585050046568</v>
      </c>
      <c r="W11" s="86">
        <v>4.0851088737416514</v>
      </c>
      <c r="X11" s="86">
        <v>2.6373219616355779</v>
      </c>
      <c r="Y11" s="86">
        <v>0.20782662520572232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8.7032157778048393</v>
      </c>
      <c r="C13" s="54">
        <f t="shared" si="6"/>
        <v>7.2097244813801948</v>
      </c>
      <c r="D13" s="54">
        <f t="shared" ref="D13:V13" si="7">SUM(D14,D18)</f>
        <v>7.1364621366317085</v>
      </c>
      <c r="E13" s="54">
        <f t="shared" si="7"/>
        <v>7.1733502246602647</v>
      </c>
      <c r="F13" s="54">
        <f t="shared" si="7"/>
        <v>9.1098015406572568</v>
      </c>
      <c r="G13" s="54">
        <f t="shared" si="7"/>
        <v>12.546193702851298</v>
      </c>
      <c r="H13" s="54">
        <f t="shared" si="7"/>
        <v>12.418555014393087</v>
      </c>
      <c r="I13" s="54">
        <f t="shared" si="7"/>
        <v>13.947423739665885</v>
      </c>
      <c r="J13" s="54">
        <f t="shared" si="7"/>
        <v>15.238295013025619</v>
      </c>
      <c r="K13" s="54">
        <f t="shared" si="7"/>
        <v>9.6594794173784546</v>
      </c>
      <c r="L13" s="54">
        <f t="shared" si="7"/>
        <v>11.215355929726101</v>
      </c>
      <c r="M13" s="54">
        <f t="shared" si="7"/>
        <v>13.60538265754832</v>
      </c>
      <c r="N13" s="54">
        <f t="shared" si="7"/>
        <v>18.266333946725414</v>
      </c>
      <c r="O13" s="54">
        <f t="shared" si="7"/>
        <v>11.881512549820361</v>
      </c>
      <c r="P13" s="54">
        <f t="shared" si="7"/>
        <v>12.604339176999781</v>
      </c>
      <c r="Q13" s="54">
        <f t="shared" si="7"/>
        <v>15.112983455718696</v>
      </c>
      <c r="R13" s="54">
        <f t="shared" si="7"/>
        <v>14.667879058275986</v>
      </c>
      <c r="S13" s="54">
        <f t="shared" si="7"/>
        <v>16.824376262667474</v>
      </c>
      <c r="T13" s="54">
        <f t="shared" si="7"/>
        <v>18.919279384135788</v>
      </c>
      <c r="U13" s="54">
        <f t="shared" si="7"/>
        <v>18.245226410592565</v>
      </c>
      <c r="V13" s="54">
        <f t="shared" si="7"/>
        <v>5.7693123878148578</v>
      </c>
      <c r="W13" s="54">
        <f t="shared" ref="W13:Y13" si="8">SUM(W14,W18)</f>
        <v>9.4005485813198018</v>
      </c>
      <c r="X13" s="54">
        <f t="shared" si="8"/>
        <v>15.464796427573326</v>
      </c>
      <c r="Y13" s="54">
        <f t="shared" si="8"/>
        <v>15.431933048299317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8.6030348373508811</v>
      </c>
      <c r="C14" s="11">
        <f t="shared" si="9"/>
        <v>7.1181257741656419</v>
      </c>
      <c r="D14" s="11">
        <f t="shared" ref="D14:V14" si="10">SUM(D15:D17)</f>
        <v>7.063355654918559</v>
      </c>
      <c r="E14" s="11">
        <f t="shared" si="10"/>
        <v>7.0993768895129463</v>
      </c>
      <c r="F14" s="11">
        <f t="shared" si="10"/>
        <v>9.0353769615275397</v>
      </c>
      <c r="G14" s="11">
        <f t="shared" si="10"/>
        <v>12.437217769763837</v>
      </c>
      <c r="H14" s="11">
        <f t="shared" si="10"/>
        <v>12.323160299423296</v>
      </c>
      <c r="I14" s="11">
        <f t="shared" si="10"/>
        <v>13.852374921619131</v>
      </c>
      <c r="J14" s="11">
        <f t="shared" si="10"/>
        <v>15.140294806496023</v>
      </c>
      <c r="K14" s="11">
        <f t="shared" si="10"/>
        <v>9.5909715962807383</v>
      </c>
      <c r="L14" s="11">
        <f t="shared" si="10"/>
        <v>11.109337138938161</v>
      </c>
      <c r="M14" s="11">
        <f t="shared" si="10"/>
        <v>13.50150931823762</v>
      </c>
      <c r="N14" s="11">
        <f t="shared" si="10"/>
        <v>18.138609035451474</v>
      </c>
      <c r="O14" s="11">
        <f t="shared" si="10"/>
        <v>11.751763153954665</v>
      </c>
      <c r="P14" s="11">
        <f t="shared" si="10"/>
        <v>12.463826835444797</v>
      </c>
      <c r="Q14" s="11">
        <f t="shared" si="10"/>
        <v>14.956447056857336</v>
      </c>
      <c r="R14" s="11">
        <f t="shared" si="10"/>
        <v>14.48723393931389</v>
      </c>
      <c r="S14" s="11">
        <f t="shared" si="10"/>
        <v>16.642808389086092</v>
      </c>
      <c r="T14" s="11">
        <f t="shared" si="10"/>
        <v>18.721481502465281</v>
      </c>
      <c r="U14" s="11">
        <f t="shared" si="10"/>
        <v>18.037307268999644</v>
      </c>
      <c r="V14" s="11">
        <f t="shared" si="10"/>
        <v>5.5938942797067499</v>
      </c>
      <c r="W14" s="11">
        <f t="shared" ref="W14:Y14" si="11">SUM(W15:W17)</f>
        <v>9.1392976282154432</v>
      </c>
      <c r="X14" s="11">
        <f t="shared" si="11"/>
        <v>15.222029616215247</v>
      </c>
      <c r="Y14" s="11">
        <f t="shared" si="11"/>
        <v>15.245384714156922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7.5729951631132435</v>
      </c>
      <c r="C16" s="84">
        <v>6.2648384700634567</v>
      </c>
      <c r="D16" s="84">
        <v>6.1643565309537571</v>
      </c>
      <c r="E16" s="84">
        <v>6.0540999419877704</v>
      </c>
      <c r="F16" s="84">
        <v>7.417178538390897</v>
      </c>
      <c r="G16" s="84">
        <v>10.351131769763837</v>
      </c>
      <c r="H16" s="84">
        <v>10.260768025193874</v>
      </c>
      <c r="I16" s="84">
        <v>11.580173236991039</v>
      </c>
      <c r="J16" s="84">
        <v>12.141187193535929</v>
      </c>
      <c r="K16" s="84">
        <v>7.3046581479422441</v>
      </c>
      <c r="L16" s="84">
        <v>7.8579276996076164</v>
      </c>
      <c r="M16" s="84">
        <v>10.327186619474372</v>
      </c>
      <c r="N16" s="84">
        <v>12.012817869242681</v>
      </c>
      <c r="O16" s="84">
        <v>8.8796152048722146</v>
      </c>
      <c r="P16" s="84">
        <v>9.5817230452023097</v>
      </c>
      <c r="Q16" s="84">
        <v>11.17475982633912</v>
      </c>
      <c r="R16" s="84">
        <v>12.116409969219664</v>
      </c>
      <c r="S16" s="84">
        <v>13.498690909450646</v>
      </c>
      <c r="T16" s="84">
        <v>14.767822796199436</v>
      </c>
      <c r="U16" s="84">
        <v>13.698339824900264</v>
      </c>
      <c r="V16" s="84">
        <v>4.5465233283793163</v>
      </c>
      <c r="W16" s="84">
        <v>6.2091337442868717</v>
      </c>
      <c r="X16" s="84">
        <v>11.667571646755576</v>
      </c>
      <c r="Y16" s="84">
        <v>11.406265475026487</v>
      </c>
      <c r="DA16" s="171" t="s">
        <v>201</v>
      </c>
    </row>
    <row r="17" spans="1:105" ht="11.45" customHeight="1" x14ac:dyDescent="0.25">
      <c r="A17" s="83" t="s">
        <v>182</v>
      </c>
      <c r="B17" s="84">
        <v>1.0300396742376374</v>
      </c>
      <c r="C17" s="84">
        <v>0.85328730410218478</v>
      </c>
      <c r="D17" s="84">
        <v>0.89899912396480186</v>
      </c>
      <c r="E17" s="84">
        <v>1.0452769475251764</v>
      </c>
      <c r="F17" s="84">
        <v>1.6181984231366433</v>
      </c>
      <c r="G17" s="84">
        <v>2.0860859999999999</v>
      </c>
      <c r="H17" s="84">
        <v>2.0623922742294214</v>
      </c>
      <c r="I17" s="84">
        <v>2.2722016846280924</v>
      </c>
      <c r="J17" s="84">
        <v>2.9991076129600929</v>
      </c>
      <c r="K17" s="84">
        <v>2.2863134483384933</v>
      </c>
      <c r="L17" s="84">
        <v>3.2514094393305437</v>
      </c>
      <c r="M17" s="84">
        <v>3.1743226987632487</v>
      </c>
      <c r="N17" s="84">
        <v>6.1257911662087912</v>
      </c>
      <c r="O17" s="84">
        <v>2.8721479490824495</v>
      </c>
      <c r="P17" s="84">
        <v>2.8821037902424873</v>
      </c>
      <c r="Q17" s="84">
        <v>3.781687230518215</v>
      </c>
      <c r="R17" s="84">
        <v>2.3708239700942264</v>
      </c>
      <c r="S17" s="84">
        <v>3.1441174796354474</v>
      </c>
      <c r="T17" s="84">
        <v>3.9536587062658453</v>
      </c>
      <c r="U17" s="84">
        <v>4.3389674440993788</v>
      </c>
      <c r="V17" s="84">
        <v>1.0473709513274336</v>
      </c>
      <c r="W17" s="84">
        <v>2.930163883928572</v>
      </c>
      <c r="X17" s="84">
        <v>3.554457969459671</v>
      </c>
      <c r="Y17" s="84">
        <v>3.8391192391304352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0.10018094045395862</v>
      </c>
      <c r="C18" s="13">
        <f t="shared" si="12"/>
        <v>9.1598707214553182E-2</v>
      </c>
      <c r="D18" s="13">
        <f t="shared" ref="D18:V18" si="13">SUM(D19:D21)</f>
        <v>7.3106481713149374E-2</v>
      </c>
      <c r="E18" s="13">
        <f t="shared" si="13"/>
        <v>7.3973335147318034E-2</v>
      </c>
      <c r="F18" s="13">
        <f t="shared" si="13"/>
        <v>7.4424579129717172E-2</v>
      </c>
      <c r="G18" s="13">
        <f t="shared" si="13"/>
        <v>0.10897593308746048</v>
      </c>
      <c r="H18" s="13">
        <f t="shared" si="13"/>
        <v>9.5394714969790378E-2</v>
      </c>
      <c r="I18" s="13">
        <f t="shared" si="13"/>
        <v>9.5048818046754149E-2</v>
      </c>
      <c r="J18" s="13">
        <f t="shared" si="13"/>
        <v>9.8000206529595499E-2</v>
      </c>
      <c r="K18" s="13">
        <f t="shared" si="13"/>
        <v>6.8507821097716068E-2</v>
      </c>
      <c r="L18" s="13">
        <f t="shared" si="13"/>
        <v>0.10601879078794151</v>
      </c>
      <c r="M18" s="13">
        <f t="shared" si="13"/>
        <v>0.10387333931070004</v>
      </c>
      <c r="N18" s="13">
        <f t="shared" si="13"/>
        <v>0.12772491127394156</v>
      </c>
      <c r="O18" s="13">
        <f t="shared" si="13"/>
        <v>0.12974939586569528</v>
      </c>
      <c r="P18" s="13">
        <f t="shared" si="13"/>
        <v>0.14051234155498443</v>
      </c>
      <c r="Q18" s="13">
        <f t="shared" si="13"/>
        <v>0.1565363988613607</v>
      </c>
      <c r="R18" s="13">
        <f t="shared" si="13"/>
        <v>0.18064511896209473</v>
      </c>
      <c r="S18" s="13">
        <f t="shared" si="13"/>
        <v>0.18156787358138146</v>
      </c>
      <c r="T18" s="13">
        <f t="shared" si="13"/>
        <v>0.19779788167050691</v>
      </c>
      <c r="U18" s="13">
        <f t="shared" si="13"/>
        <v>0.20791914159292035</v>
      </c>
      <c r="V18" s="13">
        <f t="shared" si="13"/>
        <v>0.17541810810810812</v>
      </c>
      <c r="W18" s="13">
        <f t="shared" ref="W18:Y18" si="14">SUM(W19:W21)</f>
        <v>0.26125095310435931</v>
      </c>
      <c r="X18" s="13">
        <f t="shared" si="14"/>
        <v>0.24276681135807954</v>
      </c>
      <c r="Y18" s="13">
        <f t="shared" si="14"/>
        <v>0.18654833414239486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6.1397806018080134E-2</v>
      </c>
      <c r="C20" s="102">
        <v>5.558579666695173E-2</v>
      </c>
      <c r="D20" s="102">
        <v>4.8174466718656071E-2</v>
      </c>
      <c r="E20" s="102">
        <v>4.6271096264547687E-2</v>
      </c>
      <c r="F20" s="102">
        <v>4.949256413522387E-2</v>
      </c>
      <c r="G20" s="102">
        <v>5.7486856164383565E-2</v>
      </c>
      <c r="H20" s="102">
        <v>6.5530110616075513E-2</v>
      </c>
      <c r="I20" s="102">
        <v>7.7696805470154937E-2</v>
      </c>
      <c r="J20" s="102">
        <v>8.6408523348360772E-2</v>
      </c>
      <c r="K20" s="102">
        <v>6.5182244781029269E-2</v>
      </c>
      <c r="L20" s="102">
        <v>9.0127129770992354E-2</v>
      </c>
      <c r="M20" s="102">
        <v>9.7591717179868337E-2</v>
      </c>
      <c r="N20" s="102">
        <v>0.11872131943720686</v>
      </c>
      <c r="O20" s="102">
        <v>0.12474481383217718</v>
      </c>
      <c r="P20" s="102">
        <v>0.13543428927093709</v>
      </c>
      <c r="Q20" s="102">
        <v>0.14938328202040507</v>
      </c>
      <c r="R20" s="102">
        <v>0.15145182778880836</v>
      </c>
      <c r="S20" s="102">
        <v>0.16957779365870587</v>
      </c>
      <c r="T20" s="102">
        <v>0.19033491392857144</v>
      </c>
      <c r="U20" s="102">
        <v>0.19518414159292036</v>
      </c>
      <c r="V20" s="102">
        <v>0.16786582239382242</v>
      </c>
      <c r="W20" s="102">
        <v>0.19391445310435929</v>
      </c>
      <c r="X20" s="102">
        <v>0.20502153863080683</v>
      </c>
      <c r="Y20" s="102">
        <v>0.18376708414239484</v>
      </c>
      <c r="DA20" s="175" t="s">
        <v>205</v>
      </c>
    </row>
    <row r="21" spans="1:105" ht="11.45" customHeight="1" x14ac:dyDescent="0.25">
      <c r="A21" s="85" t="s">
        <v>182</v>
      </c>
      <c r="B21" s="86">
        <v>3.8783134435878483E-2</v>
      </c>
      <c r="C21" s="86">
        <v>3.6012910547601445E-2</v>
      </c>
      <c r="D21" s="86">
        <v>2.4932014994493306E-2</v>
      </c>
      <c r="E21" s="86">
        <v>2.7702238882770343E-2</v>
      </c>
      <c r="F21" s="86">
        <v>2.4932014994493306E-2</v>
      </c>
      <c r="G21" s="86">
        <v>5.1489076923076922E-2</v>
      </c>
      <c r="H21" s="86">
        <v>2.9864604353714869E-2</v>
      </c>
      <c r="I21" s="86">
        <v>1.7352012576599213E-2</v>
      </c>
      <c r="J21" s="86">
        <v>1.1591683181234727E-2</v>
      </c>
      <c r="K21" s="86">
        <v>3.3255763166868007E-3</v>
      </c>
      <c r="L21" s="86">
        <v>1.5891661016949155E-2</v>
      </c>
      <c r="M21" s="86">
        <v>6.2816221308317037E-3</v>
      </c>
      <c r="N21" s="86">
        <v>9.0035918367346937E-3</v>
      </c>
      <c r="O21" s="86">
        <v>5.0045820335180924E-3</v>
      </c>
      <c r="P21" s="86">
        <v>5.0780522840473416E-3</v>
      </c>
      <c r="Q21" s="86">
        <v>7.1531168409556256E-3</v>
      </c>
      <c r="R21" s="86">
        <v>2.9193291173286381E-2</v>
      </c>
      <c r="S21" s="86">
        <v>1.1990079922675595E-2</v>
      </c>
      <c r="T21" s="86">
        <v>7.4629677419354836E-3</v>
      </c>
      <c r="U21" s="86">
        <v>1.2735E-2</v>
      </c>
      <c r="V21" s="86">
        <v>7.5522857142857136E-3</v>
      </c>
      <c r="W21" s="86">
        <v>6.7336499999999994E-2</v>
      </c>
      <c r="X21" s="86">
        <v>3.7745272727272725E-2</v>
      </c>
      <c r="Y21" s="86">
        <v>2.7812499999999999E-3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9156</v>
      </c>
      <c r="C23" s="54">
        <f t="shared" si="15"/>
        <v>7584</v>
      </c>
      <c r="D23" s="54">
        <f t="shared" ref="D23:V23" si="16">SUM(D24,D28)</f>
        <v>7465</v>
      </c>
      <c r="E23" s="54">
        <f t="shared" si="16"/>
        <v>7363</v>
      </c>
      <c r="F23" s="54">
        <f t="shared" si="16"/>
        <v>9004</v>
      </c>
      <c r="G23" s="54">
        <f t="shared" si="16"/>
        <v>11179</v>
      </c>
      <c r="H23" s="54">
        <f t="shared" si="16"/>
        <v>11359</v>
      </c>
      <c r="I23" s="54">
        <f t="shared" si="16"/>
        <v>13465</v>
      </c>
      <c r="J23" s="54">
        <f t="shared" si="16"/>
        <v>14862</v>
      </c>
      <c r="K23" s="54">
        <f t="shared" si="16"/>
        <v>11033</v>
      </c>
      <c r="L23" s="54">
        <f t="shared" si="16"/>
        <v>11536</v>
      </c>
      <c r="M23" s="54">
        <f t="shared" si="16"/>
        <v>14179</v>
      </c>
      <c r="N23" s="54">
        <f t="shared" si="16"/>
        <v>18481</v>
      </c>
      <c r="O23" s="54">
        <f t="shared" si="16"/>
        <v>13470</v>
      </c>
      <c r="P23" s="54">
        <f t="shared" si="16"/>
        <v>13700</v>
      </c>
      <c r="Q23" s="54">
        <f t="shared" si="16"/>
        <v>15082</v>
      </c>
      <c r="R23" s="54">
        <f t="shared" si="16"/>
        <v>15376</v>
      </c>
      <c r="S23" s="54">
        <f t="shared" si="16"/>
        <v>17427</v>
      </c>
      <c r="T23" s="54">
        <f t="shared" si="16"/>
        <v>18975</v>
      </c>
      <c r="U23" s="54">
        <f t="shared" si="16"/>
        <v>18357</v>
      </c>
      <c r="V23" s="54">
        <f t="shared" si="16"/>
        <v>6293</v>
      </c>
      <c r="W23" s="54">
        <f t="shared" ref="W23:Y23" si="17">SUM(W24,W28)</f>
        <v>7269</v>
      </c>
      <c r="X23" s="54">
        <f t="shared" si="17"/>
        <v>13244</v>
      </c>
      <c r="Y23" s="54">
        <f t="shared" si="17"/>
        <v>13665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9046</v>
      </c>
      <c r="C24" s="11">
        <f t="shared" si="18"/>
        <v>7484</v>
      </c>
      <c r="D24" s="11">
        <f t="shared" ref="D24:V24" si="19">SUM(D25:D27)</f>
        <v>7370</v>
      </c>
      <c r="E24" s="11">
        <f t="shared" si="19"/>
        <v>7253</v>
      </c>
      <c r="F24" s="11">
        <f t="shared" si="19"/>
        <v>8882</v>
      </c>
      <c r="G24" s="11">
        <f t="shared" si="19"/>
        <v>11059</v>
      </c>
      <c r="H24" s="11">
        <f t="shared" si="19"/>
        <v>11242</v>
      </c>
      <c r="I24" s="11">
        <f t="shared" si="19"/>
        <v>13340</v>
      </c>
      <c r="J24" s="11">
        <f t="shared" si="19"/>
        <v>14736</v>
      </c>
      <c r="K24" s="11">
        <f t="shared" si="19"/>
        <v>10923</v>
      </c>
      <c r="L24" s="11">
        <f t="shared" si="19"/>
        <v>11391</v>
      </c>
      <c r="M24" s="11">
        <f t="shared" si="19"/>
        <v>14026</v>
      </c>
      <c r="N24" s="11">
        <f t="shared" si="19"/>
        <v>18291</v>
      </c>
      <c r="O24" s="11">
        <f t="shared" si="19"/>
        <v>13282</v>
      </c>
      <c r="P24" s="11">
        <f t="shared" si="19"/>
        <v>13508</v>
      </c>
      <c r="Q24" s="11">
        <f t="shared" si="19"/>
        <v>14888</v>
      </c>
      <c r="R24" s="11">
        <f t="shared" si="19"/>
        <v>15166</v>
      </c>
      <c r="S24" s="11">
        <f t="shared" si="19"/>
        <v>17212</v>
      </c>
      <c r="T24" s="11">
        <f t="shared" si="19"/>
        <v>18738</v>
      </c>
      <c r="U24" s="11">
        <f t="shared" si="19"/>
        <v>18117</v>
      </c>
      <c r="V24" s="11">
        <f t="shared" si="19"/>
        <v>6082</v>
      </c>
      <c r="W24" s="11">
        <f t="shared" ref="W24:Y24" si="20">SUM(W25:W27)</f>
        <v>7012</v>
      </c>
      <c r="X24" s="11">
        <f t="shared" si="20"/>
        <v>12973</v>
      </c>
      <c r="Y24" s="11">
        <f t="shared" si="20"/>
        <v>13444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8708</v>
      </c>
      <c r="C26" s="84">
        <v>7204</v>
      </c>
      <c r="D26" s="84">
        <v>7075</v>
      </c>
      <c r="E26" s="84">
        <v>6910</v>
      </c>
      <c r="F26" s="84">
        <v>8351</v>
      </c>
      <c r="G26" s="84">
        <v>10428</v>
      </c>
      <c r="H26" s="84">
        <v>10572</v>
      </c>
      <c r="I26" s="84">
        <v>12564</v>
      </c>
      <c r="J26" s="84">
        <v>13685</v>
      </c>
      <c r="K26" s="84">
        <v>9922</v>
      </c>
      <c r="L26" s="84">
        <v>10299</v>
      </c>
      <c r="M26" s="84">
        <v>12717</v>
      </c>
      <c r="N26" s="84">
        <v>15514</v>
      </c>
      <c r="O26" s="84">
        <v>11082</v>
      </c>
      <c r="P26" s="84">
        <v>11483</v>
      </c>
      <c r="Q26" s="84">
        <v>12642</v>
      </c>
      <c r="R26" s="84">
        <v>13559</v>
      </c>
      <c r="S26" s="84">
        <v>14924</v>
      </c>
      <c r="T26" s="84">
        <v>16074</v>
      </c>
      <c r="U26" s="84">
        <v>15645</v>
      </c>
      <c r="V26" s="84">
        <v>5527</v>
      </c>
      <c r="W26" s="84">
        <v>6055</v>
      </c>
      <c r="X26" s="84">
        <v>11796</v>
      </c>
      <c r="Y26" s="84">
        <v>12139</v>
      </c>
      <c r="DA26" s="171" t="s">
        <v>210</v>
      </c>
    </row>
    <row r="27" spans="1:105" ht="11.45" customHeight="1" x14ac:dyDescent="0.25">
      <c r="A27" s="83" t="s">
        <v>182</v>
      </c>
      <c r="B27" s="84">
        <v>338</v>
      </c>
      <c r="C27" s="84">
        <v>280</v>
      </c>
      <c r="D27" s="84">
        <v>295</v>
      </c>
      <c r="E27" s="84">
        <v>343</v>
      </c>
      <c r="F27" s="84">
        <v>531</v>
      </c>
      <c r="G27" s="84">
        <v>631</v>
      </c>
      <c r="H27" s="84">
        <v>670</v>
      </c>
      <c r="I27" s="84">
        <v>776</v>
      </c>
      <c r="J27" s="84">
        <v>1051</v>
      </c>
      <c r="K27" s="84">
        <v>1001</v>
      </c>
      <c r="L27" s="84">
        <v>1092</v>
      </c>
      <c r="M27" s="84">
        <v>1309</v>
      </c>
      <c r="N27" s="84">
        <v>2777</v>
      </c>
      <c r="O27" s="84">
        <v>2200</v>
      </c>
      <c r="P27" s="84">
        <v>2025</v>
      </c>
      <c r="Q27" s="84">
        <v>2246</v>
      </c>
      <c r="R27" s="84">
        <v>1607</v>
      </c>
      <c r="S27" s="84">
        <v>2288</v>
      </c>
      <c r="T27" s="84">
        <v>2664</v>
      </c>
      <c r="U27" s="84">
        <v>2472</v>
      </c>
      <c r="V27" s="84">
        <v>555</v>
      </c>
      <c r="W27" s="84">
        <v>957</v>
      </c>
      <c r="X27" s="84">
        <v>1177</v>
      </c>
      <c r="Y27" s="84">
        <v>1305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110</v>
      </c>
      <c r="C28" s="13">
        <f t="shared" si="21"/>
        <v>100</v>
      </c>
      <c r="D28" s="13">
        <f t="shared" ref="D28:V28" si="22">SUM(D29:D31)</f>
        <v>95</v>
      </c>
      <c r="E28" s="13">
        <f t="shared" si="22"/>
        <v>110</v>
      </c>
      <c r="F28" s="13">
        <f t="shared" si="22"/>
        <v>122</v>
      </c>
      <c r="G28" s="13">
        <f t="shared" si="22"/>
        <v>120</v>
      </c>
      <c r="H28" s="13">
        <f t="shared" si="22"/>
        <v>117</v>
      </c>
      <c r="I28" s="13">
        <f t="shared" si="22"/>
        <v>125</v>
      </c>
      <c r="J28" s="13">
        <f t="shared" si="22"/>
        <v>126</v>
      </c>
      <c r="K28" s="13">
        <f t="shared" si="22"/>
        <v>110</v>
      </c>
      <c r="L28" s="13">
        <f t="shared" si="22"/>
        <v>145</v>
      </c>
      <c r="M28" s="13">
        <f t="shared" si="22"/>
        <v>153</v>
      </c>
      <c r="N28" s="13">
        <f t="shared" si="22"/>
        <v>190</v>
      </c>
      <c r="O28" s="13">
        <f t="shared" si="22"/>
        <v>188</v>
      </c>
      <c r="P28" s="13">
        <f t="shared" si="22"/>
        <v>192</v>
      </c>
      <c r="Q28" s="13">
        <f t="shared" si="22"/>
        <v>194</v>
      </c>
      <c r="R28" s="13">
        <f t="shared" si="22"/>
        <v>210</v>
      </c>
      <c r="S28" s="13">
        <f t="shared" si="22"/>
        <v>215</v>
      </c>
      <c r="T28" s="13">
        <f t="shared" si="22"/>
        <v>237</v>
      </c>
      <c r="U28" s="13">
        <f t="shared" si="22"/>
        <v>240</v>
      </c>
      <c r="V28" s="13">
        <f t="shared" si="22"/>
        <v>211</v>
      </c>
      <c r="W28" s="13">
        <f t="shared" ref="W28:Y28" si="23">SUM(W29:W31)</f>
        <v>257</v>
      </c>
      <c r="X28" s="13">
        <f t="shared" si="23"/>
        <v>271</v>
      </c>
      <c r="Y28" s="13">
        <f t="shared" si="23"/>
        <v>221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96</v>
      </c>
      <c r="C30" s="102">
        <v>87</v>
      </c>
      <c r="D30" s="102">
        <v>86</v>
      </c>
      <c r="E30" s="102">
        <v>100</v>
      </c>
      <c r="F30" s="102">
        <v>113</v>
      </c>
      <c r="G30" s="102">
        <v>103</v>
      </c>
      <c r="H30" s="102">
        <v>106</v>
      </c>
      <c r="I30" s="102">
        <v>118</v>
      </c>
      <c r="J30" s="102">
        <v>121</v>
      </c>
      <c r="K30" s="102">
        <v>108</v>
      </c>
      <c r="L30" s="102">
        <v>138</v>
      </c>
      <c r="M30" s="102">
        <v>150</v>
      </c>
      <c r="N30" s="102">
        <v>186</v>
      </c>
      <c r="O30" s="102">
        <v>184</v>
      </c>
      <c r="P30" s="102">
        <v>188</v>
      </c>
      <c r="Q30" s="102">
        <v>189</v>
      </c>
      <c r="R30" s="102">
        <v>184</v>
      </c>
      <c r="S30" s="102">
        <v>202</v>
      </c>
      <c r="T30" s="102">
        <v>229</v>
      </c>
      <c r="U30" s="102">
        <v>234</v>
      </c>
      <c r="V30" s="102">
        <v>208</v>
      </c>
      <c r="W30" s="102">
        <v>246</v>
      </c>
      <c r="X30" s="102">
        <v>264</v>
      </c>
      <c r="Y30" s="102">
        <v>220</v>
      </c>
      <c r="DA30" s="175" t="s">
        <v>214</v>
      </c>
    </row>
    <row r="31" spans="1:105" ht="11.45" customHeight="1" x14ac:dyDescent="0.25">
      <c r="A31" s="85" t="s">
        <v>182</v>
      </c>
      <c r="B31" s="86">
        <v>14</v>
      </c>
      <c r="C31" s="86">
        <v>13</v>
      </c>
      <c r="D31" s="86">
        <v>9</v>
      </c>
      <c r="E31" s="86">
        <v>10</v>
      </c>
      <c r="F31" s="86">
        <v>9</v>
      </c>
      <c r="G31" s="86">
        <v>17</v>
      </c>
      <c r="H31" s="86">
        <v>11</v>
      </c>
      <c r="I31" s="86">
        <v>7</v>
      </c>
      <c r="J31" s="86">
        <v>5</v>
      </c>
      <c r="K31" s="86">
        <v>2</v>
      </c>
      <c r="L31" s="86">
        <v>7</v>
      </c>
      <c r="M31" s="86">
        <v>3</v>
      </c>
      <c r="N31" s="86">
        <v>4</v>
      </c>
      <c r="O31" s="86">
        <v>4</v>
      </c>
      <c r="P31" s="86">
        <v>4</v>
      </c>
      <c r="Q31" s="86">
        <v>5</v>
      </c>
      <c r="R31" s="86">
        <v>26</v>
      </c>
      <c r="S31" s="86">
        <v>13</v>
      </c>
      <c r="T31" s="86">
        <v>8</v>
      </c>
      <c r="U31" s="86">
        <v>6</v>
      </c>
      <c r="V31" s="86">
        <v>3</v>
      </c>
      <c r="W31" s="86">
        <v>11</v>
      </c>
      <c r="X31" s="86">
        <v>7</v>
      </c>
      <c r="Y31" s="86">
        <v>1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339590</v>
      </c>
      <c r="C34" s="11">
        <f t="shared" si="24"/>
        <v>286551</v>
      </c>
      <c r="D34" s="11">
        <f t="shared" ref="D34:V34" si="25">SUM(D35:D37)</f>
        <v>297985</v>
      </c>
      <c r="E34" s="11">
        <f t="shared" si="25"/>
        <v>354230</v>
      </c>
      <c r="F34" s="11">
        <f t="shared" si="25"/>
        <v>496261</v>
      </c>
      <c r="G34" s="11">
        <f t="shared" si="25"/>
        <v>699688</v>
      </c>
      <c r="H34" s="11">
        <f t="shared" si="25"/>
        <v>769983</v>
      </c>
      <c r="I34" s="11">
        <f t="shared" si="25"/>
        <v>865196</v>
      </c>
      <c r="J34" s="11">
        <f t="shared" si="25"/>
        <v>902257</v>
      </c>
      <c r="K34" s="11">
        <f t="shared" si="25"/>
        <v>667225</v>
      </c>
      <c r="L34" s="11">
        <f t="shared" si="25"/>
        <v>688211</v>
      </c>
      <c r="M34" s="11">
        <f t="shared" si="25"/>
        <v>953493</v>
      </c>
      <c r="N34" s="11">
        <f t="shared" si="25"/>
        <v>1105933</v>
      </c>
      <c r="O34" s="11">
        <f t="shared" si="25"/>
        <v>983894</v>
      </c>
      <c r="P34" s="11">
        <f t="shared" si="25"/>
        <v>1012206</v>
      </c>
      <c r="Q34" s="11">
        <f t="shared" si="25"/>
        <v>1088091</v>
      </c>
      <c r="R34" s="11">
        <f t="shared" si="25"/>
        <v>1116751</v>
      </c>
      <c r="S34" s="11">
        <f t="shared" si="25"/>
        <v>1327877</v>
      </c>
      <c r="T34" s="11">
        <f t="shared" si="25"/>
        <v>1503940</v>
      </c>
      <c r="U34" s="11">
        <f t="shared" si="25"/>
        <v>1638277</v>
      </c>
      <c r="V34" s="11">
        <f t="shared" si="25"/>
        <v>416547</v>
      </c>
      <c r="W34" s="11">
        <f t="shared" ref="W34:Y34" si="26">SUM(W35:W37)</f>
        <v>632601</v>
      </c>
      <c r="X34" s="11">
        <f t="shared" si="26"/>
        <v>1353692</v>
      </c>
      <c r="Y34" s="11">
        <f t="shared" si="26"/>
        <v>1446893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314882</v>
      </c>
      <c r="C36" s="84">
        <v>265967</v>
      </c>
      <c r="D36" s="84">
        <v>274270</v>
      </c>
      <c r="E36" s="84">
        <v>325153</v>
      </c>
      <c r="F36" s="84">
        <v>450218</v>
      </c>
      <c r="G36" s="84">
        <v>638559</v>
      </c>
      <c r="H36" s="84">
        <v>704120</v>
      </c>
      <c r="I36" s="84">
        <v>777257</v>
      </c>
      <c r="J36" s="84">
        <v>790377</v>
      </c>
      <c r="K36" s="84">
        <v>573838</v>
      </c>
      <c r="L36" s="84">
        <v>597927</v>
      </c>
      <c r="M36" s="84">
        <v>860673</v>
      </c>
      <c r="N36" s="84">
        <v>951936</v>
      </c>
      <c r="O36" s="84">
        <v>826303</v>
      </c>
      <c r="P36" s="84">
        <v>851482</v>
      </c>
      <c r="Q36" s="84">
        <v>905618</v>
      </c>
      <c r="R36" s="84">
        <v>978799</v>
      </c>
      <c r="S36" s="84">
        <v>1136506</v>
      </c>
      <c r="T36" s="84">
        <v>1263224</v>
      </c>
      <c r="U36" s="84">
        <v>1356037</v>
      </c>
      <c r="V36" s="84">
        <v>356224</v>
      </c>
      <c r="W36" s="84">
        <v>503022</v>
      </c>
      <c r="X36" s="84">
        <v>1174668</v>
      </c>
      <c r="Y36" s="84">
        <v>1243839</v>
      </c>
      <c r="DA36" s="171" t="s">
        <v>218</v>
      </c>
    </row>
    <row r="37" spans="1:105" ht="11.45" customHeight="1" x14ac:dyDescent="0.25">
      <c r="A37" s="83" t="s">
        <v>182</v>
      </c>
      <c r="B37" s="84">
        <v>24708</v>
      </c>
      <c r="C37" s="84">
        <v>20584</v>
      </c>
      <c r="D37" s="84">
        <v>23715</v>
      </c>
      <c r="E37" s="84">
        <v>29077</v>
      </c>
      <c r="F37" s="84">
        <v>46043</v>
      </c>
      <c r="G37" s="84">
        <v>61129</v>
      </c>
      <c r="H37" s="84">
        <v>65863</v>
      </c>
      <c r="I37" s="84">
        <v>87939</v>
      </c>
      <c r="J37" s="84">
        <v>111880</v>
      </c>
      <c r="K37" s="84">
        <v>93387</v>
      </c>
      <c r="L37" s="84">
        <v>90284</v>
      </c>
      <c r="M37" s="84">
        <v>92820</v>
      </c>
      <c r="N37" s="84">
        <v>153997</v>
      </c>
      <c r="O37" s="84">
        <v>157591</v>
      </c>
      <c r="P37" s="84">
        <v>160724</v>
      </c>
      <c r="Q37" s="84">
        <v>182473</v>
      </c>
      <c r="R37" s="84">
        <v>137952</v>
      </c>
      <c r="S37" s="84">
        <v>191371</v>
      </c>
      <c r="T37" s="84">
        <v>240716</v>
      </c>
      <c r="U37" s="84">
        <v>282240</v>
      </c>
      <c r="V37" s="84">
        <v>60323</v>
      </c>
      <c r="W37" s="84">
        <v>129579</v>
      </c>
      <c r="X37" s="84">
        <v>179024</v>
      </c>
      <c r="Y37" s="84">
        <v>203054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2282.0460640666402</v>
      </c>
      <c r="C38" s="13">
        <f t="shared" si="27"/>
        <v>2122.5112311419462</v>
      </c>
      <c r="D38" s="13">
        <f t="shared" ref="D38:V38" si="28">SUM(D39:D41)</f>
        <v>1883.531074337322</v>
      </c>
      <c r="E38" s="13">
        <f t="shared" si="28"/>
        <v>2209.4357179130375</v>
      </c>
      <c r="F38" s="13">
        <f t="shared" si="28"/>
        <v>2247.9887881874665</v>
      </c>
      <c r="G38" s="13">
        <f t="shared" si="28"/>
        <v>2317.5192191963442</v>
      </c>
      <c r="H38" s="13">
        <f t="shared" si="28"/>
        <v>1982.6973309577049</v>
      </c>
      <c r="I38" s="13">
        <f t="shared" si="28"/>
        <v>1943.1483189304302</v>
      </c>
      <c r="J38" s="13">
        <f t="shared" si="28"/>
        <v>1882.9975902115568</v>
      </c>
      <c r="K38" s="13">
        <f t="shared" si="28"/>
        <v>1579.2804463790369</v>
      </c>
      <c r="L38" s="13">
        <f t="shared" si="28"/>
        <v>2369.3543519557338</v>
      </c>
      <c r="M38" s="13">
        <f t="shared" si="28"/>
        <v>2504.2978871606128</v>
      </c>
      <c r="N38" s="13">
        <f t="shared" si="28"/>
        <v>3336.6268988136458</v>
      </c>
      <c r="O38" s="13">
        <f t="shared" si="28"/>
        <v>3321.9479759829674</v>
      </c>
      <c r="P38" s="13">
        <f t="shared" si="28"/>
        <v>3734.3368153572023</v>
      </c>
      <c r="Q38" s="13">
        <f t="shared" si="28"/>
        <v>3823.5897854439208</v>
      </c>
      <c r="R38" s="13">
        <f t="shared" si="28"/>
        <v>5745.5174070740022</v>
      </c>
      <c r="S38" s="13">
        <f t="shared" si="28"/>
        <v>4867.4971893439715</v>
      </c>
      <c r="T38" s="13">
        <f t="shared" si="28"/>
        <v>4991.3725404152037</v>
      </c>
      <c r="U38" s="13">
        <f t="shared" si="28"/>
        <v>5062.8172152822481</v>
      </c>
      <c r="V38" s="13">
        <f t="shared" si="28"/>
        <v>3820.8099775647397</v>
      </c>
      <c r="W38" s="13">
        <f t="shared" ref="W38:Y38" si="29">SUM(W39:W41)</f>
        <v>4960.4824883161646</v>
      </c>
      <c r="X38" s="13">
        <f t="shared" si="29"/>
        <v>5146.5968887877052</v>
      </c>
      <c r="Y38" s="13">
        <f t="shared" si="29"/>
        <v>4016.4756343532063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1552.1095454814313</v>
      </c>
      <c r="C40" s="102">
        <v>1422.2352648813367</v>
      </c>
      <c r="D40" s="102">
        <v>1407.4023784165661</v>
      </c>
      <c r="E40" s="102">
        <v>1722.1696677308701</v>
      </c>
      <c r="F40" s="102">
        <v>1815.4520365740395</v>
      </c>
      <c r="G40" s="102">
        <v>1565.8550170864632</v>
      </c>
      <c r="H40" s="102">
        <v>1485.8918712802138</v>
      </c>
      <c r="I40" s="102">
        <v>1626.8475639521816</v>
      </c>
      <c r="J40" s="102">
        <v>1658.4319913938036</v>
      </c>
      <c r="K40" s="102">
        <v>1479.4805794647689</v>
      </c>
      <c r="L40" s="102">
        <v>2001.6588725235044</v>
      </c>
      <c r="M40" s="102">
        <v>2339.0986465451288</v>
      </c>
      <c r="N40" s="102">
        <v>3100.2986747141008</v>
      </c>
      <c r="O40" s="102">
        <v>3083.289211649369</v>
      </c>
      <c r="P40" s="102">
        <v>3468.4895835889279</v>
      </c>
      <c r="Q40" s="102">
        <v>3492.2676395552885</v>
      </c>
      <c r="R40" s="102">
        <v>3836.0171701562417</v>
      </c>
      <c r="S40" s="102">
        <v>3914.2600873855495</v>
      </c>
      <c r="T40" s="102">
        <v>4402.6306139546186</v>
      </c>
      <c r="U40" s="102">
        <v>4610.4080765258777</v>
      </c>
      <c r="V40" s="102">
        <v>3669.2252718136574</v>
      </c>
      <c r="W40" s="102">
        <v>4371.0253558455706</v>
      </c>
      <c r="X40" s="102">
        <v>4723.0851703572307</v>
      </c>
      <c r="Y40" s="102">
        <v>3953.4081935353943</v>
      </c>
      <c r="DA40" s="175" t="s">
        <v>222</v>
      </c>
    </row>
    <row r="41" spans="1:105" ht="11.45" customHeight="1" x14ac:dyDescent="0.25">
      <c r="A41" s="85" t="s">
        <v>182</v>
      </c>
      <c r="B41" s="86">
        <v>729.936518585209</v>
      </c>
      <c r="C41" s="86">
        <v>700.27596626060972</v>
      </c>
      <c r="D41" s="86">
        <v>476.12869592075594</v>
      </c>
      <c r="E41" s="86">
        <v>487.26605018216753</v>
      </c>
      <c r="F41" s="86">
        <v>432.53675161342676</v>
      </c>
      <c r="G41" s="86">
        <v>751.66420210988122</v>
      </c>
      <c r="H41" s="86">
        <v>496.80545967749123</v>
      </c>
      <c r="I41" s="86">
        <v>316.30075497824845</v>
      </c>
      <c r="J41" s="86">
        <v>224.56559881775323</v>
      </c>
      <c r="K41" s="86">
        <v>99.799866914268023</v>
      </c>
      <c r="L41" s="86">
        <v>367.69547943222932</v>
      </c>
      <c r="M41" s="86">
        <v>165.19924061548411</v>
      </c>
      <c r="N41" s="86">
        <v>236.32822409954494</v>
      </c>
      <c r="O41" s="86">
        <v>238.6587643335985</v>
      </c>
      <c r="P41" s="86">
        <v>265.84723176827453</v>
      </c>
      <c r="Q41" s="86">
        <v>331.32214588863246</v>
      </c>
      <c r="R41" s="86">
        <v>1909.5002369177603</v>
      </c>
      <c r="S41" s="86">
        <v>953.23710195842216</v>
      </c>
      <c r="T41" s="86">
        <v>588.74192646058532</v>
      </c>
      <c r="U41" s="86">
        <v>452.40913875637074</v>
      </c>
      <c r="V41" s="86">
        <v>151.58470575108254</v>
      </c>
      <c r="W41" s="86">
        <v>589.45713247059382</v>
      </c>
      <c r="X41" s="86">
        <v>423.51171843047422</v>
      </c>
      <c r="Y41" s="86">
        <v>63.067440817812056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6.5510111298987264</v>
      </c>
      <c r="C43" s="54">
        <f t="shared" si="30"/>
        <v>5.8971106400032669</v>
      </c>
      <c r="D43" s="54">
        <f t="shared" ref="D43:V43" si="31">SUM(D44,D48)</f>
        <v>5.3707043054497232</v>
      </c>
      <c r="E43" s="54">
        <f t="shared" si="31"/>
        <v>5.3655021081591565</v>
      </c>
      <c r="F43" s="54">
        <f t="shared" si="31"/>
        <v>6.7146380171255879</v>
      </c>
      <c r="G43" s="54">
        <f t="shared" si="31"/>
        <v>8.7363239106544981</v>
      </c>
      <c r="H43" s="54">
        <f t="shared" si="31"/>
        <v>8.790345197743596</v>
      </c>
      <c r="I43" s="54">
        <f t="shared" si="31"/>
        <v>10.157451957059536</v>
      </c>
      <c r="J43" s="54">
        <f t="shared" si="31"/>
        <v>11.339977168487957</v>
      </c>
      <c r="K43" s="54">
        <f t="shared" si="31"/>
        <v>10.684876055498084</v>
      </c>
      <c r="L43" s="54">
        <f t="shared" si="31"/>
        <v>10.317963852248756</v>
      </c>
      <c r="M43" s="54">
        <f t="shared" si="31"/>
        <v>10.458991438811935</v>
      </c>
      <c r="N43" s="54">
        <f t="shared" si="31"/>
        <v>14.413349373636576</v>
      </c>
      <c r="O43" s="54">
        <f t="shared" si="31"/>
        <v>13.76689546963601</v>
      </c>
      <c r="P43" s="54">
        <f t="shared" si="31"/>
        <v>13.125723249096598</v>
      </c>
      <c r="Q43" s="54">
        <f t="shared" si="31"/>
        <v>12.973749726370199</v>
      </c>
      <c r="R43" s="54">
        <f t="shared" si="31"/>
        <v>13.624869526084542</v>
      </c>
      <c r="S43" s="54">
        <f t="shared" si="31"/>
        <v>14.547928624676048</v>
      </c>
      <c r="T43" s="54">
        <f t="shared" si="31"/>
        <v>15.135440750604527</v>
      </c>
      <c r="U43" s="54">
        <f t="shared" si="31"/>
        <v>14.695588962850595</v>
      </c>
      <c r="V43" s="54">
        <f t="shared" si="31"/>
        <v>14.37036257587477</v>
      </c>
      <c r="W43" s="54">
        <f t="shared" ref="W43:Y43" si="32">SUM(W44,W48)</f>
        <v>14.125453676941492</v>
      </c>
      <c r="X43" s="54">
        <f t="shared" si="32"/>
        <v>13.924337303631242</v>
      </c>
      <c r="Y43" s="54">
        <f t="shared" si="32"/>
        <v>13.615965160318725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6.4476639892663341</v>
      </c>
      <c r="C44" s="11">
        <f t="shared" si="33"/>
        <v>5.8028975903397013</v>
      </c>
      <c r="D44" s="11">
        <f t="shared" ref="D44:V44" si="34">SUM(D45:D47)</f>
        <v>5.2797884363373333</v>
      </c>
      <c r="E44" s="11">
        <f t="shared" si="34"/>
        <v>5.2685000415818557</v>
      </c>
      <c r="F44" s="11">
        <f t="shared" si="34"/>
        <v>6.6138630711720054</v>
      </c>
      <c r="G44" s="11">
        <f t="shared" si="34"/>
        <v>8.6223653700356255</v>
      </c>
      <c r="H44" s="11">
        <f t="shared" si="34"/>
        <v>8.6747988037915054</v>
      </c>
      <c r="I44" s="11">
        <f t="shared" si="34"/>
        <v>10.033197516538996</v>
      </c>
      <c r="J44" s="11">
        <f t="shared" si="34"/>
        <v>11.213446130776255</v>
      </c>
      <c r="K44" s="11">
        <f t="shared" si="34"/>
        <v>10.568679731849622</v>
      </c>
      <c r="L44" s="11">
        <f t="shared" si="34"/>
        <v>10.183037800597869</v>
      </c>
      <c r="M44" s="11">
        <f t="shared" si="34"/>
        <v>10.318293260492784</v>
      </c>
      <c r="N44" s="11">
        <f t="shared" si="34"/>
        <v>14.247806603488652</v>
      </c>
      <c r="O44" s="11">
        <f t="shared" si="34"/>
        <v>13.603040204562017</v>
      </c>
      <c r="P44" s="11">
        <f t="shared" si="34"/>
        <v>12.958273805635384</v>
      </c>
      <c r="Q44" s="11">
        <f t="shared" si="34"/>
        <v>12.803441127113889</v>
      </c>
      <c r="R44" s="11">
        <f t="shared" si="34"/>
        <v>13.435237096730829</v>
      </c>
      <c r="S44" s="11">
        <f t="shared" si="34"/>
        <v>14.343993051756364</v>
      </c>
      <c r="T44" s="11">
        <f t="shared" si="34"/>
        <v>14.907597405877917</v>
      </c>
      <c r="U44" s="11">
        <f t="shared" si="34"/>
        <v>14.468694324628164</v>
      </c>
      <c r="V44" s="11">
        <f t="shared" si="34"/>
        <v>14.146311125164846</v>
      </c>
      <c r="W44" s="11">
        <f t="shared" ref="W44:Y44" si="35">SUM(W45:W47)</f>
        <v>13.877102882279585</v>
      </c>
      <c r="X44" s="11">
        <f t="shared" si="35"/>
        <v>13.662941596632526</v>
      </c>
      <c r="Y44" s="11">
        <f t="shared" si="35"/>
        <v>13.359736810351627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5.8240477531039723</v>
      </c>
      <c r="C46" s="84">
        <v>5.2416429777935756</v>
      </c>
      <c r="D46" s="84">
        <v>4.735507993532905</v>
      </c>
      <c r="E46" s="84">
        <v>4.6356587131685716</v>
      </c>
      <c r="F46" s="84">
        <v>5.6341582741240348</v>
      </c>
      <c r="G46" s="84">
        <v>7.3826797118823837</v>
      </c>
      <c r="H46" s="84">
        <v>7.4294456439402037</v>
      </c>
      <c r="I46" s="84">
        <v>8.6450043143923061</v>
      </c>
      <c r="J46" s="84">
        <v>9.3695864816534478</v>
      </c>
      <c r="K46" s="84">
        <v>8.787181706343052</v>
      </c>
      <c r="L46" s="84">
        <v>8.2047769310326526</v>
      </c>
      <c r="M46" s="84">
        <v>8.2793524505239358</v>
      </c>
      <c r="N46" s="84">
        <v>10.205594085293601</v>
      </c>
      <c r="O46" s="84">
        <v>9.6231893099832018</v>
      </c>
      <c r="P46" s="84">
        <v>9.040784534672806</v>
      </c>
      <c r="Q46" s="84">
        <v>8.9483134797675454</v>
      </c>
      <c r="R46" s="84">
        <v>9.6424710730007224</v>
      </c>
      <c r="S46" s="84">
        <v>10.613588651642493</v>
      </c>
      <c r="T46" s="84">
        <v>11.239554629380283</v>
      </c>
      <c r="U46" s="84">
        <v>10.863013171746765</v>
      </c>
      <c r="V46" s="84">
        <v>10.571810784091566</v>
      </c>
      <c r="W46" s="84">
        <v>10.333783353014423</v>
      </c>
      <c r="X46" s="84">
        <v>10.150802879175483</v>
      </c>
      <c r="Y46" s="84">
        <v>9.8787789047027008</v>
      </c>
      <c r="DA46" s="171" t="s">
        <v>227</v>
      </c>
    </row>
    <row r="47" spans="1:105" ht="11.45" customHeight="1" x14ac:dyDescent="0.25">
      <c r="A47" s="83" t="s">
        <v>182</v>
      </c>
      <c r="B47" s="84">
        <v>0.62361623616236161</v>
      </c>
      <c r="C47" s="84">
        <v>0.56125461254612541</v>
      </c>
      <c r="D47" s="84">
        <v>0.544280442804428</v>
      </c>
      <c r="E47" s="84">
        <v>0.63284132841328411</v>
      </c>
      <c r="F47" s="84">
        <v>0.97970479704797053</v>
      </c>
      <c r="G47" s="84">
        <v>1.2396856581532416</v>
      </c>
      <c r="H47" s="84">
        <v>1.245353159851301</v>
      </c>
      <c r="I47" s="84">
        <v>1.3881932021466905</v>
      </c>
      <c r="J47" s="84">
        <v>1.843859649122807</v>
      </c>
      <c r="K47" s="84">
        <v>1.7814980255065709</v>
      </c>
      <c r="L47" s="84">
        <v>1.9782608695652173</v>
      </c>
      <c r="M47" s="84">
        <v>2.0389408099688473</v>
      </c>
      <c r="N47" s="84">
        <v>4.0422125181950506</v>
      </c>
      <c r="O47" s="84">
        <v>3.9798508945788145</v>
      </c>
      <c r="P47" s="84">
        <v>3.9174892709625784</v>
      </c>
      <c r="Q47" s="84">
        <v>3.8551276473463423</v>
      </c>
      <c r="R47" s="84">
        <v>3.7927660237301062</v>
      </c>
      <c r="S47" s="84">
        <v>3.7304044001138701</v>
      </c>
      <c r="T47" s="84">
        <v>3.668042776497634</v>
      </c>
      <c r="U47" s="84">
        <v>3.6056811528813979</v>
      </c>
      <c r="V47" s="84">
        <v>3.5745003410732799</v>
      </c>
      <c r="W47" s="84">
        <v>3.5433195292651618</v>
      </c>
      <c r="X47" s="84">
        <v>3.5121387174570438</v>
      </c>
      <c r="Y47" s="84">
        <v>3.4809579056489257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0.10334714063239236</v>
      </c>
      <c r="C48" s="13">
        <f t="shared" si="36"/>
        <v>9.4213049663565154E-2</v>
      </c>
      <c r="D48" s="13">
        <f t="shared" ref="D48:V48" si="37">SUM(D49:D51)</f>
        <v>9.091586911239026E-2</v>
      </c>
      <c r="E48" s="13">
        <f t="shared" si="37"/>
        <v>9.7002066577301149E-2</v>
      </c>
      <c r="F48" s="13">
        <f t="shared" si="37"/>
        <v>0.1007749459535825</v>
      </c>
      <c r="G48" s="13">
        <f t="shared" si="37"/>
        <v>0.11395854061887344</v>
      </c>
      <c r="H48" s="13">
        <f t="shared" si="37"/>
        <v>0.11554639395209139</v>
      </c>
      <c r="I48" s="13">
        <f t="shared" si="37"/>
        <v>0.1242544405205403</v>
      </c>
      <c r="J48" s="13">
        <f t="shared" si="37"/>
        <v>0.12653103771170135</v>
      </c>
      <c r="K48" s="13">
        <f t="shared" si="37"/>
        <v>0.11619632364846211</v>
      </c>
      <c r="L48" s="13">
        <f t="shared" si="37"/>
        <v>0.13492605165088578</v>
      </c>
      <c r="M48" s="13">
        <f t="shared" si="37"/>
        <v>0.14069817831915216</v>
      </c>
      <c r="N48" s="13">
        <f t="shared" si="37"/>
        <v>0.16554277014792437</v>
      </c>
      <c r="O48" s="13">
        <f t="shared" si="37"/>
        <v>0.16385526507399278</v>
      </c>
      <c r="P48" s="13">
        <f t="shared" si="37"/>
        <v>0.1674494434612141</v>
      </c>
      <c r="Q48" s="13">
        <f t="shared" si="37"/>
        <v>0.17030859925630987</v>
      </c>
      <c r="R48" s="13">
        <f t="shared" si="37"/>
        <v>0.18963242935371294</v>
      </c>
      <c r="S48" s="13">
        <f t="shared" si="37"/>
        <v>0.20393557291968539</v>
      </c>
      <c r="T48" s="13">
        <f t="shared" si="37"/>
        <v>0.22784334472661066</v>
      </c>
      <c r="U48" s="13">
        <f t="shared" si="37"/>
        <v>0.22689463822243094</v>
      </c>
      <c r="V48" s="13">
        <f t="shared" si="37"/>
        <v>0.22405145070992377</v>
      </c>
      <c r="W48" s="13">
        <f t="shared" ref="W48:Y48" si="38">SUM(W49:W51)</f>
        <v>0.24835079466190721</v>
      </c>
      <c r="X48" s="13">
        <f t="shared" si="38"/>
        <v>0.26139570699871606</v>
      </c>
      <c r="Y48" s="13">
        <f t="shared" si="38"/>
        <v>0.25622834996709648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7.7611846514745314E-2</v>
      </c>
      <c r="C50" s="102">
        <v>7.0315990840035744E-2</v>
      </c>
      <c r="D50" s="102">
        <v>6.9592339700625561E-2</v>
      </c>
      <c r="E50" s="102">
        <v>7.825206657730116E-2</v>
      </c>
      <c r="F50" s="102">
        <v>8.4230828306523675E-2</v>
      </c>
      <c r="G50" s="102">
        <v>8.0755415618873436E-2</v>
      </c>
      <c r="H50" s="102">
        <v>8.49167983638561E-2</v>
      </c>
      <c r="I50" s="102">
        <v>9.6198374344069706E-2</v>
      </c>
      <c r="J50" s="102">
        <v>0.10104850094699547</v>
      </c>
      <c r="K50" s="102">
        <v>9.3287316295520936E-2</v>
      </c>
      <c r="L50" s="102">
        <v>0.11459057370970931</v>
      </c>
      <c r="M50" s="102">
        <v>0.12293622978974039</v>
      </c>
      <c r="N50" s="102">
        <v>0.15035435103027733</v>
      </c>
      <c r="O50" s="102">
        <v>0.15124037536811044</v>
      </c>
      <c r="P50" s="102">
        <v>0.15740808316709645</v>
      </c>
      <c r="Q50" s="102">
        <v>0.16284076837395692</v>
      </c>
      <c r="R50" s="102">
        <v>0.16071140599442485</v>
      </c>
      <c r="S50" s="102">
        <v>0.177588078972162</v>
      </c>
      <c r="T50" s="102">
        <v>0.20406938019085197</v>
      </c>
      <c r="U50" s="102">
        <v>0.20569420309843697</v>
      </c>
      <c r="V50" s="102">
        <v>0.20413778029181215</v>
      </c>
      <c r="W50" s="102">
        <v>0.21192695360230457</v>
      </c>
      <c r="X50" s="102">
        <v>0.2262586306449958</v>
      </c>
      <c r="Y50" s="102">
        <v>0.22237803831925854</v>
      </c>
      <c r="DA50" s="175" t="s">
        <v>231</v>
      </c>
    </row>
    <row r="51" spans="1:105" ht="11.45" customHeight="1" x14ac:dyDescent="0.25">
      <c r="A51" s="85" t="s">
        <v>182</v>
      </c>
      <c r="B51" s="86">
        <v>2.5735294117647058E-2</v>
      </c>
      <c r="C51" s="86">
        <v>2.389705882352941E-2</v>
      </c>
      <c r="D51" s="86">
        <v>2.1323529411764703E-2</v>
      </c>
      <c r="E51" s="86">
        <v>1.8749999999999996E-2</v>
      </c>
      <c r="F51" s="86">
        <v>1.6544117647058824E-2</v>
      </c>
      <c r="G51" s="86">
        <v>3.3203125E-2</v>
      </c>
      <c r="H51" s="86">
        <v>3.0629595588235293E-2</v>
      </c>
      <c r="I51" s="86">
        <v>2.8056066176470586E-2</v>
      </c>
      <c r="J51" s="86">
        <v>2.5482536764705879E-2</v>
      </c>
      <c r="K51" s="86">
        <v>2.2909007352941171E-2</v>
      </c>
      <c r="L51" s="86">
        <v>2.0335477941176464E-2</v>
      </c>
      <c r="M51" s="86">
        <v>1.7761948529411757E-2</v>
      </c>
      <c r="N51" s="86">
        <v>1.5188419117647052E-2</v>
      </c>
      <c r="O51" s="86">
        <v>1.2614889705882346E-2</v>
      </c>
      <c r="P51" s="86">
        <v>1.0041360294117641E-2</v>
      </c>
      <c r="Q51" s="86">
        <v>7.4678308823529355E-3</v>
      </c>
      <c r="R51" s="86">
        <v>2.8921023359288096E-2</v>
      </c>
      <c r="S51" s="86">
        <v>2.6347493947523389E-2</v>
      </c>
      <c r="T51" s="86">
        <v>2.3773964535758682E-2</v>
      </c>
      <c r="U51" s="86">
        <v>2.1200435123993975E-2</v>
      </c>
      <c r="V51" s="86">
        <v>1.9913670418111623E-2</v>
      </c>
      <c r="W51" s="86">
        <v>3.6423841059602648E-2</v>
      </c>
      <c r="X51" s="86">
        <v>3.5137076353720292E-2</v>
      </c>
      <c r="Y51" s="86">
        <v>3.3850311647837937E-2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4.4703533661966032E-3</v>
      </c>
      <c r="C53" s="54">
        <f t="shared" si="39"/>
        <v>0</v>
      </c>
      <c r="D53" s="54">
        <f t="shared" ref="D53:V53" si="40">SUM(D54,D58)</f>
        <v>5.2642547878923446E-3</v>
      </c>
      <c r="E53" s="54">
        <f t="shared" si="40"/>
        <v>0.1950548403831977</v>
      </c>
      <c r="F53" s="54">
        <f t="shared" si="40"/>
        <v>1.549025299581372</v>
      </c>
      <c r="G53" s="54">
        <f t="shared" si="40"/>
        <v>2.2217638442633865</v>
      </c>
      <c r="H53" s="54">
        <f t="shared" si="40"/>
        <v>0.27765029268206842</v>
      </c>
      <c r="I53" s="54">
        <f t="shared" si="40"/>
        <v>1.5910954771395078</v>
      </c>
      <c r="J53" s="54">
        <f t="shared" si="40"/>
        <v>1.4075159742415191</v>
      </c>
      <c r="K53" s="54">
        <f t="shared" si="40"/>
        <v>0</v>
      </c>
      <c r="L53" s="54">
        <f t="shared" si="40"/>
        <v>0.24102817714183483</v>
      </c>
      <c r="M53" s="54">
        <f t="shared" si="40"/>
        <v>0.3963338361546056</v>
      </c>
      <c r="N53" s="54">
        <f t="shared" si="40"/>
        <v>4.1799237933360356</v>
      </c>
      <c r="O53" s="54">
        <f t="shared" si="40"/>
        <v>3.2298906998331108E-3</v>
      </c>
      <c r="P53" s="54">
        <f t="shared" si="40"/>
        <v>9.0050627881154699E-3</v>
      </c>
      <c r="Q53" s="54">
        <f t="shared" si="40"/>
        <v>0.11631066438734362</v>
      </c>
      <c r="R53" s="54">
        <f t="shared" si="40"/>
        <v>0.91746214143947713</v>
      </c>
      <c r="S53" s="54">
        <f t="shared" si="40"/>
        <v>1.1917029979358427</v>
      </c>
      <c r="T53" s="54">
        <f t="shared" si="40"/>
        <v>0.85806574749481701</v>
      </c>
      <c r="U53" s="54">
        <f t="shared" si="40"/>
        <v>3.2507796025657842E-2</v>
      </c>
      <c r="V53" s="54">
        <f t="shared" si="40"/>
        <v>1.781634797112441E-3</v>
      </c>
      <c r="W53" s="54">
        <f t="shared" ref="W53:Y53" si="41">SUM(W54,W58)</f>
        <v>8.051196059574206E-2</v>
      </c>
      <c r="X53" s="54">
        <f t="shared" si="41"/>
        <v>0.12520000500992157</v>
      </c>
      <c r="Y53" s="54">
        <f t="shared" si="41"/>
        <v>1.9075638259118288E-2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1.5416238400000042E-4</v>
      </c>
      <c r="C54" s="11">
        <f t="shared" si="42"/>
        <v>0</v>
      </c>
      <c r="D54" s="11">
        <f t="shared" ref="D54:V54" si="43">SUM(D55:D57)</f>
        <v>1.7343173433025383E-3</v>
      </c>
      <c r="E54" s="11">
        <f t="shared" si="43"/>
        <v>0.18214152492252211</v>
      </c>
      <c r="F54" s="11">
        <f t="shared" si="43"/>
        <v>1.5387929492681496</v>
      </c>
      <c r="G54" s="11">
        <f t="shared" si="43"/>
        <v>2.201932218541621</v>
      </c>
      <c r="H54" s="11">
        <f t="shared" si="43"/>
        <v>0.27114504357508579</v>
      </c>
      <c r="I54" s="11">
        <f t="shared" si="43"/>
        <v>1.5774700347972943</v>
      </c>
      <c r="J54" s="11">
        <f t="shared" si="43"/>
        <v>1.4003219812765932</v>
      </c>
      <c r="K54" s="11">
        <f t="shared" si="43"/>
        <v>0</v>
      </c>
      <c r="L54" s="11">
        <f t="shared" si="43"/>
        <v>0.21547133114364647</v>
      </c>
      <c r="M54" s="11">
        <f t="shared" si="43"/>
        <v>0.38373459149057448</v>
      </c>
      <c r="N54" s="11">
        <f t="shared" si="43"/>
        <v>4.1485846650456679</v>
      </c>
      <c r="O54" s="11">
        <f t="shared" si="43"/>
        <v>0</v>
      </c>
      <c r="P54" s="11">
        <f t="shared" si="43"/>
        <v>0</v>
      </c>
      <c r="Q54" s="11">
        <f t="shared" si="43"/>
        <v>0.10853411281848314</v>
      </c>
      <c r="R54" s="11">
        <f t="shared" si="43"/>
        <v>0.89452042819797684</v>
      </c>
      <c r="S54" s="11">
        <f t="shared" si="43"/>
        <v>1.1724824585961056</v>
      </c>
      <c r="T54" s="11">
        <f t="shared" si="43"/>
        <v>0.827330857692127</v>
      </c>
      <c r="U54" s="11">
        <f t="shared" si="43"/>
        <v>2.662938453407282E-2</v>
      </c>
      <c r="V54" s="11">
        <f t="shared" si="43"/>
        <v>0</v>
      </c>
      <c r="W54" s="11">
        <f t="shared" ref="W54:Y54" si="44">SUM(W55:W57)</f>
        <v>5.3072181654758625E-2</v>
      </c>
      <c r="X54" s="11">
        <f t="shared" si="44"/>
        <v>0.1081191388929609</v>
      </c>
      <c r="Y54" s="11">
        <f t="shared" si="44"/>
        <v>1.9075638259118288E-2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1.5416238400000042E-4</v>
      </c>
      <c r="C56" s="84">
        <v>0</v>
      </c>
      <c r="D56" s="84">
        <v>0</v>
      </c>
      <c r="E56" s="84">
        <v>7.4872152228666056E-2</v>
      </c>
      <c r="F56" s="84">
        <v>1.1732209935484632</v>
      </c>
      <c r="G56" s="84">
        <v>1.9232428703513498</v>
      </c>
      <c r="H56" s="84">
        <v>0.24676905479202632</v>
      </c>
      <c r="I56" s="84">
        <v>1.4159215054169048</v>
      </c>
      <c r="J56" s="84">
        <v>0.92594704721547672</v>
      </c>
      <c r="K56" s="84">
        <v>0</v>
      </c>
      <c r="L56" s="84">
        <v>0</v>
      </c>
      <c r="M56" s="84">
        <v>0.30434616400194442</v>
      </c>
      <c r="N56" s="84">
        <v>2.1266044697344642</v>
      </c>
      <c r="O56" s="84">
        <v>0</v>
      </c>
      <c r="P56" s="84">
        <v>0</v>
      </c>
      <c r="Q56" s="84">
        <v>0.10853411281848314</v>
      </c>
      <c r="R56" s="84">
        <v>0.89452042819797684</v>
      </c>
      <c r="S56" s="84">
        <v>1.1724824585961056</v>
      </c>
      <c r="T56" s="84">
        <v>0.827330857692127</v>
      </c>
      <c r="U56" s="84">
        <v>2.662938453407282E-2</v>
      </c>
      <c r="V56" s="84">
        <v>0</v>
      </c>
      <c r="W56" s="84">
        <v>5.3072181654758625E-2</v>
      </c>
      <c r="X56" s="84">
        <v>0.1081191388929609</v>
      </c>
      <c r="Y56" s="84">
        <v>1.9075638259118288E-2</v>
      </c>
      <c r="DA56" s="171" t="s">
        <v>236</v>
      </c>
    </row>
    <row r="57" spans="1:105" ht="11.45" customHeight="1" x14ac:dyDescent="0.25">
      <c r="A57" s="83" t="s">
        <v>182</v>
      </c>
      <c r="B57" s="84">
        <v>0</v>
      </c>
      <c r="C57" s="84">
        <v>0</v>
      </c>
      <c r="D57" s="84">
        <v>1.7343173433025383E-3</v>
      </c>
      <c r="E57" s="84">
        <v>0.10726937269385606</v>
      </c>
      <c r="F57" s="84">
        <v>0.36557195571968637</v>
      </c>
      <c r="G57" s="84">
        <v>0.27868934819027114</v>
      </c>
      <c r="H57" s="84">
        <v>2.4375988783059466E-2</v>
      </c>
      <c r="I57" s="84">
        <v>0.16154852938038955</v>
      </c>
      <c r="J57" s="84">
        <v>0.47437493406111653</v>
      </c>
      <c r="K57" s="84">
        <v>0</v>
      </c>
      <c r="L57" s="84">
        <v>0.21547133114364647</v>
      </c>
      <c r="M57" s="84">
        <v>7.9388427488630064E-2</v>
      </c>
      <c r="N57" s="84">
        <v>2.0219801953112033</v>
      </c>
      <c r="O57" s="84">
        <v>0</v>
      </c>
      <c r="P57" s="84">
        <v>0</v>
      </c>
      <c r="Q57" s="84">
        <v>0</v>
      </c>
      <c r="R57" s="84">
        <v>0</v>
      </c>
      <c r="S57" s="84">
        <v>0</v>
      </c>
      <c r="T57" s="84">
        <v>0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4.3161909821966028E-3</v>
      </c>
      <c r="C58" s="13">
        <f t="shared" si="45"/>
        <v>0</v>
      </c>
      <c r="D58" s="13">
        <f t="shared" ref="D58:V58" si="46">SUM(D59:D61)</f>
        <v>3.5299374445898063E-3</v>
      </c>
      <c r="E58" s="13">
        <f t="shared" si="46"/>
        <v>1.2913315460675603E-2</v>
      </c>
      <c r="F58" s="13">
        <f t="shared" si="46"/>
        <v>1.0232350313222532E-2</v>
      </c>
      <c r="G58" s="13">
        <f t="shared" si="46"/>
        <v>1.9831625721765465E-2</v>
      </c>
      <c r="H58" s="13">
        <f t="shared" si="46"/>
        <v>6.50524910698266E-3</v>
      </c>
      <c r="I58" s="13">
        <f t="shared" si="46"/>
        <v>1.3625442342213617E-2</v>
      </c>
      <c r="J58" s="13">
        <f t="shared" si="46"/>
        <v>7.1939929649257779E-3</v>
      </c>
      <c r="K58" s="13">
        <f t="shared" si="46"/>
        <v>0</v>
      </c>
      <c r="L58" s="13">
        <f t="shared" si="46"/>
        <v>2.5556845998188374E-2</v>
      </c>
      <c r="M58" s="13">
        <f t="shared" si="46"/>
        <v>1.259924466403109E-2</v>
      </c>
      <c r="N58" s="13">
        <f t="shared" si="46"/>
        <v>3.1339128290367335E-2</v>
      </c>
      <c r="O58" s="13">
        <f t="shared" si="46"/>
        <v>3.2298906998331108E-3</v>
      </c>
      <c r="P58" s="13">
        <f t="shared" si="46"/>
        <v>9.0050627881154699E-3</v>
      </c>
      <c r="Q58" s="13">
        <f t="shared" si="46"/>
        <v>7.7765515688604774E-3</v>
      </c>
      <c r="R58" s="13">
        <f t="shared" si="46"/>
        <v>2.294171324150034E-2</v>
      </c>
      <c r="S58" s="13">
        <f t="shared" si="46"/>
        <v>1.9220539339737157E-2</v>
      </c>
      <c r="T58" s="13">
        <f t="shared" si="46"/>
        <v>3.0734889802689958E-2</v>
      </c>
      <c r="U58" s="13">
        <f t="shared" si="46"/>
        <v>5.8784114915850227E-3</v>
      </c>
      <c r="V58" s="13">
        <f t="shared" si="46"/>
        <v>1.781634797112441E-3</v>
      </c>
      <c r="W58" s="13">
        <f t="shared" ref="W58:Y58" si="47">SUM(W59:W61)</f>
        <v>2.7439778940983438E-2</v>
      </c>
      <c r="X58" s="13">
        <f t="shared" si="47"/>
        <v>1.7080866116960657E-2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4.3161909821966028E-3</v>
      </c>
      <c r="C60" s="102">
        <v>0</v>
      </c>
      <c r="D60" s="102">
        <v>3.5299374445898063E-3</v>
      </c>
      <c r="E60" s="102">
        <v>1.2913315460675603E-2</v>
      </c>
      <c r="F60" s="102">
        <v>1.0232350313222532E-2</v>
      </c>
      <c r="G60" s="102">
        <v>2.3760497418242911E-3</v>
      </c>
      <c r="H60" s="102">
        <v>6.50524910698266E-3</v>
      </c>
      <c r="I60" s="102">
        <v>1.3625442342213617E-2</v>
      </c>
      <c r="J60" s="102">
        <v>7.1939929649257779E-3</v>
      </c>
      <c r="K60" s="102">
        <v>0</v>
      </c>
      <c r="L60" s="102">
        <v>2.5556845998188374E-2</v>
      </c>
      <c r="M60" s="102">
        <v>1.259924466403109E-2</v>
      </c>
      <c r="N60" s="102">
        <v>3.1339128290367335E-2</v>
      </c>
      <c r="O60" s="102">
        <v>3.2298906998331108E-3</v>
      </c>
      <c r="P60" s="102">
        <v>9.0050627881154699E-3</v>
      </c>
      <c r="Q60" s="102">
        <v>7.7765515688604774E-3</v>
      </c>
      <c r="R60" s="102">
        <v>6.9195213756517715E-4</v>
      </c>
      <c r="S60" s="102">
        <v>1.9220539339737157E-2</v>
      </c>
      <c r="T60" s="102">
        <v>3.0734889802689958E-2</v>
      </c>
      <c r="U60" s="102">
        <v>5.8784114915850227E-3</v>
      </c>
      <c r="V60" s="102">
        <v>1.781634797112441E-3</v>
      </c>
      <c r="W60" s="102">
        <v>1.0133039672492416E-2</v>
      </c>
      <c r="X60" s="102">
        <v>1.7080866116960657E-2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0</v>
      </c>
      <c r="D61" s="86">
        <v>0</v>
      </c>
      <c r="E61" s="86">
        <v>0</v>
      </c>
      <c r="F61" s="86">
        <v>0</v>
      </c>
      <c r="G61" s="86">
        <v>1.7455575979941174E-2</v>
      </c>
      <c r="H61" s="86">
        <v>0</v>
      </c>
      <c r="I61" s="86">
        <v>0</v>
      </c>
      <c r="J61" s="86">
        <v>0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2.2249761103935162E-2</v>
      </c>
      <c r="S61" s="86">
        <v>0</v>
      </c>
      <c r="T61" s="86">
        <v>0</v>
      </c>
      <c r="U61" s="86">
        <v>0</v>
      </c>
      <c r="V61" s="86">
        <v>0</v>
      </c>
      <c r="W61" s="86">
        <v>1.7306739268491023E-2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37.540349325668807</v>
      </c>
      <c r="C66" s="14">
        <f t="shared" si="48"/>
        <v>38.288482095136288</v>
      </c>
      <c r="D66" s="14">
        <f t="shared" ref="D66:V66" si="49">IF(D34=0,0,D34/D24)</f>
        <v>40.432157394843962</v>
      </c>
      <c r="E66" s="14">
        <f t="shared" si="49"/>
        <v>48.83910106162967</v>
      </c>
      <c r="F66" s="14">
        <f t="shared" si="49"/>
        <v>55.872663814456203</v>
      </c>
      <c r="G66" s="14">
        <f t="shared" si="49"/>
        <v>63.268649968351568</v>
      </c>
      <c r="H66" s="14">
        <f t="shared" si="49"/>
        <v>68.491638498487816</v>
      </c>
      <c r="I66" s="14">
        <f t="shared" si="49"/>
        <v>64.857271364317839</v>
      </c>
      <c r="J66" s="14">
        <f t="shared" si="49"/>
        <v>61.228080890336592</v>
      </c>
      <c r="K66" s="14">
        <f t="shared" si="49"/>
        <v>61.084409045134123</v>
      </c>
      <c r="L66" s="14">
        <f t="shared" si="49"/>
        <v>60.417083662540605</v>
      </c>
      <c r="M66" s="14">
        <f t="shared" si="49"/>
        <v>67.980393554826748</v>
      </c>
      <c r="N66" s="14">
        <f t="shared" si="49"/>
        <v>60.463233284128805</v>
      </c>
      <c r="O66" s="14">
        <f t="shared" si="49"/>
        <v>74.077247402499623</v>
      </c>
      <c r="P66" s="14">
        <f t="shared" si="49"/>
        <v>74.933816997334915</v>
      </c>
      <c r="Q66" s="14">
        <f t="shared" si="49"/>
        <v>73.0851020956475</v>
      </c>
      <c r="R66" s="14">
        <f t="shared" si="49"/>
        <v>73.635170776737439</v>
      </c>
      <c r="S66" s="14">
        <f t="shared" si="49"/>
        <v>77.148326748779922</v>
      </c>
      <c r="T66" s="14">
        <f t="shared" si="49"/>
        <v>80.26150069377735</v>
      </c>
      <c r="U66" s="14">
        <f t="shared" si="49"/>
        <v>90.427609427609426</v>
      </c>
      <c r="V66" s="14">
        <f t="shared" si="49"/>
        <v>68.488490628082872</v>
      </c>
      <c r="W66" s="14">
        <f t="shared" ref="W66:Y66" si="50">IF(W34=0,0,W34/W24)</f>
        <v>90.216913861950943</v>
      </c>
      <c r="X66" s="14">
        <f t="shared" si="50"/>
        <v>104.34687427734525</v>
      </c>
      <c r="Y66" s="14">
        <f t="shared" si="50"/>
        <v>107.62369830407617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36.160082682590719</v>
      </c>
      <c r="C68" s="87">
        <f t="shared" si="48"/>
        <v>36.919350360910606</v>
      </c>
      <c r="D68" s="87">
        <f t="shared" ref="D68:V68" si="53">IF(D36=0,0,D36/D26)</f>
        <v>38.766077738515904</v>
      </c>
      <c r="E68" s="87">
        <f t="shared" si="53"/>
        <v>47.055426917510857</v>
      </c>
      <c r="F68" s="87">
        <f t="shared" si="53"/>
        <v>53.911866842294337</v>
      </c>
      <c r="G68" s="87">
        <f t="shared" si="53"/>
        <v>61.235040276179518</v>
      </c>
      <c r="H68" s="87">
        <f t="shared" si="53"/>
        <v>66.602345819144915</v>
      </c>
      <c r="I68" s="87">
        <f t="shared" si="53"/>
        <v>61.863817255651064</v>
      </c>
      <c r="J68" s="87">
        <f t="shared" si="53"/>
        <v>57.754987212276212</v>
      </c>
      <c r="K68" s="87">
        <f t="shared" si="53"/>
        <v>57.834912316065306</v>
      </c>
      <c r="L68" s="87">
        <f t="shared" si="53"/>
        <v>58.056801631226335</v>
      </c>
      <c r="M68" s="87">
        <f t="shared" si="53"/>
        <v>67.678933710780839</v>
      </c>
      <c r="N68" s="87">
        <f t="shared" si="53"/>
        <v>61.359804047956686</v>
      </c>
      <c r="O68" s="87">
        <f t="shared" si="53"/>
        <v>74.562624075076698</v>
      </c>
      <c r="P68" s="87">
        <f t="shared" si="53"/>
        <v>74.151528346250984</v>
      </c>
      <c r="Q68" s="87">
        <f t="shared" si="53"/>
        <v>71.63565891472868</v>
      </c>
      <c r="R68" s="87">
        <f t="shared" si="53"/>
        <v>72.188140718342055</v>
      </c>
      <c r="S68" s="87">
        <f t="shared" si="53"/>
        <v>76.152908067542214</v>
      </c>
      <c r="T68" s="87">
        <f t="shared" si="53"/>
        <v>78.588030359586909</v>
      </c>
      <c r="U68" s="87">
        <f t="shared" si="53"/>
        <v>86.675423457973793</v>
      </c>
      <c r="V68" s="87">
        <f t="shared" si="53"/>
        <v>64.45160123032386</v>
      </c>
      <c r="W68" s="87">
        <f t="shared" ref="W68:Y68" si="54">IF(W36=0,0,W36/W26)</f>
        <v>83.075474814203133</v>
      </c>
      <c r="X68" s="87">
        <f t="shared" si="54"/>
        <v>99.581892166836212</v>
      </c>
      <c r="Y68" s="87">
        <f t="shared" si="54"/>
        <v>102.46634813411319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73.100591715976336</v>
      </c>
      <c r="C69" s="87">
        <f t="shared" si="48"/>
        <v>73.51428571428572</v>
      </c>
      <c r="D69" s="87">
        <f t="shared" ref="D69:V69" si="55">IF(D37=0,0,D37/D27)</f>
        <v>80.389830508474574</v>
      </c>
      <c r="E69" s="87">
        <f t="shared" si="55"/>
        <v>84.772594752186592</v>
      </c>
      <c r="F69" s="87">
        <f t="shared" si="55"/>
        <v>86.709981167608291</v>
      </c>
      <c r="G69" s="87">
        <f t="shared" si="55"/>
        <v>96.876386687797151</v>
      </c>
      <c r="H69" s="87">
        <f t="shared" si="55"/>
        <v>98.302985074626861</v>
      </c>
      <c r="I69" s="87">
        <f t="shared" si="55"/>
        <v>113.32345360824742</v>
      </c>
      <c r="J69" s="87">
        <f t="shared" si="55"/>
        <v>106.45099904852522</v>
      </c>
      <c r="K69" s="87">
        <f t="shared" si="55"/>
        <v>93.293706293706293</v>
      </c>
      <c r="L69" s="87">
        <f t="shared" si="55"/>
        <v>82.677655677655679</v>
      </c>
      <c r="M69" s="87">
        <f t="shared" si="55"/>
        <v>70.909090909090907</v>
      </c>
      <c r="N69" s="87">
        <f t="shared" si="55"/>
        <v>55.454447245228664</v>
      </c>
      <c r="O69" s="87">
        <f t="shared" si="55"/>
        <v>71.632272727272721</v>
      </c>
      <c r="P69" s="87">
        <f t="shared" si="55"/>
        <v>79.36987654320987</v>
      </c>
      <c r="Q69" s="87">
        <f t="shared" si="55"/>
        <v>81.243544078361538</v>
      </c>
      <c r="R69" s="87">
        <f t="shared" si="55"/>
        <v>85.844430616054765</v>
      </c>
      <c r="S69" s="87">
        <f t="shared" si="55"/>
        <v>83.641171328671334</v>
      </c>
      <c r="T69" s="87">
        <f t="shared" si="55"/>
        <v>90.358858858858852</v>
      </c>
      <c r="U69" s="87">
        <f t="shared" si="55"/>
        <v>114.1747572815534</v>
      </c>
      <c r="V69" s="87">
        <f t="shared" si="55"/>
        <v>108.6900900900901</v>
      </c>
      <c r="W69" s="87">
        <f t="shared" ref="W69:Y69" si="56">IF(W37=0,0,W37/W27)</f>
        <v>135.40125391849529</v>
      </c>
      <c r="X69" s="87">
        <f t="shared" si="56"/>
        <v>152.1019541206457</v>
      </c>
      <c r="Y69" s="87">
        <f t="shared" si="56"/>
        <v>155.59693486590038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20.74587330969673</v>
      </c>
      <c r="C70" s="15">
        <f t="shared" si="48"/>
        <v>21.225112311419462</v>
      </c>
      <c r="D70" s="15">
        <f t="shared" ref="D70:V70" si="57">IF(D38=0,0,D38/D28)</f>
        <v>19.826642887761285</v>
      </c>
      <c r="E70" s="15">
        <f t="shared" si="57"/>
        <v>20.085779253754886</v>
      </c>
      <c r="F70" s="15">
        <f t="shared" si="57"/>
        <v>18.426137608093988</v>
      </c>
      <c r="G70" s="15">
        <f t="shared" si="57"/>
        <v>19.312660159969536</v>
      </c>
      <c r="H70" s="15">
        <f t="shared" si="57"/>
        <v>16.946131033826539</v>
      </c>
      <c r="I70" s="15">
        <f t="shared" si="57"/>
        <v>15.545186551443441</v>
      </c>
      <c r="J70" s="15">
        <f t="shared" si="57"/>
        <v>14.94442531913934</v>
      </c>
      <c r="K70" s="15">
        <f t="shared" si="57"/>
        <v>14.357094967082153</v>
      </c>
      <c r="L70" s="15">
        <f t="shared" si="57"/>
        <v>16.340374841074027</v>
      </c>
      <c r="M70" s="15">
        <f t="shared" si="57"/>
        <v>16.367960046801389</v>
      </c>
      <c r="N70" s="15">
        <f t="shared" si="57"/>
        <v>17.561194204282348</v>
      </c>
      <c r="O70" s="15">
        <f t="shared" si="57"/>
        <v>17.669936042462592</v>
      </c>
      <c r="P70" s="15">
        <f t="shared" si="57"/>
        <v>19.449670913318762</v>
      </c>
      <c r="Q70" s="15">
        <f t="shared" si="57"/>
        <v>19.709225698164541</v>
      </c>
      <c r="R70" s="15">
        <f t="shared" si="57"/>
        <v>27.359606700352391</v>
      </c>
      <c r="S70" s="15">
        <f t="shared" si="57"/>
        <v>22.639521810902192</v>
      </c>
      <c r="T70" s="15">
        <f t="shared" si="57"/>
        <v>21.060643630443899</v>
      </c>
      <c r="U70" s="15">
        <f t="shared" si="57"/>
        <v>21.095071730342699</v>
      </c>
      <c r="V70" s="15">
        <f t="shared" si="57"/>
        <v>18.108104159074596</v>
      </c>
      <c r="W70" s="15">
        <f t="shared" ref="W70:Y70" si="58">IF(W38=0,0,W38/W28)</f>
        <v>19.301488281385854</v>
      </c>
      <c r="X70" s="15">
        <f t="shared" si="58"/>
        <v>18.991132430950941</v>
      </c>
      <c r="Y70" s="15">
        <f t="shared" si="58"/>
        <v>18.174097893000933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14.017847842266168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15.593990976967525</v>
      </c>
      <c r="N72" s="41">
        <f t="shared" si="61"/>
        <v>16.668272444699468</v>
      </c>
      <c r="O72" s="41">
        <f t="shared" si="61"/>
        <v>16.75700658505092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17.7683957554698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53.587012042781254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950.54781321590633</v>
      </c>
      <c r="C75" s="62">
        <f t="shared" si="65"/>
        <v>950.64932507650246</v>
      </c>
      <c r="D75" s="62">
        <f t="shared" ref="D75:V75" si="66">IF(D13=0,0,D13*1000000/D23)</f>
        <v>955.98956954209086</v>
      </c>
      <c r="E75" s="62">
        <f t="shared" si="66"/>
        <v>974.24286631268023</v>
      </c>
      <c r="F75" s="62">
        <f t="shared" si="66"/>
        <v>1011.7505042933427</v>
      </c>
      <c r="G75" s="62">
        <f t="shared" si="66"/>
        <v>1122.3001791619374</v>
      </c>
      <c r="H75" s="62">
        <f t="shared" si="66"/>
        <v>1093.2788990574072</v>
      </c>
      <c r="I75" s="62">
        <f t="shared" si="66"/>
        <v>1035.8279791805335</v>
      </c>
      <c r="J75" s="62">
        <f t="shared" si="66"/>
        <v>1025.3192714995034</v>
      </c>
      <c r="K75" s="62">
        <f t="shared" si="66"/>
        <v>875.50796858320086</v>
      </c>
      <c r="L75" s="62">
        <f t="shared" si="66"/>
        <v>972.20491762535551</v>
      </c>
      <c r="M75" s="62">
        <f t="shared" si="66"/>
        <v>959.54458407139566</v>
      </c>
      <c r="N75" s="62">
        <f t="shared" si="66"/>
        <v>988.38450012041631</v>
      </c>
      <c r="O75" s="62">
        <f t="shared" si="66"/>
        <v>882.07220117448844</v>
      </c>
      <c r="P75" s="62">
        <f t="shared" si="66"/>
        <v>920.02475744523952</v>
      </c>
      <c r="Q75" s="62">
        <f t="shared" si="66"/>
        <v>1002.0543333588845</v>
      </c>
      <c r="R75" s="62">
        <f t="shared" si="66"/>
        <v>953.94634874323538</v>
      </c>
      <c r="S75" s="62">
        <f t="shared" si="66"/>
        <v>965.4201103269337</v>
      </c>
      <c r="T75" s="62">
        <f t="shared" si="66"/>
        <v>997.06347215471862</v>
      </c>
      <c r="U75" s="62">
        <f t="shared" si="66"/>
        <v>993.91111895149334</v>
      </c>
      <c r="V75" s="62">
        <f t="shared" si="66"/>
        <v>916.78251832430601</v>
      </c>
      <c r="W75" s="62">
        <f t="shared" ref="W75:Y75" si="67">IF(W13=0,0,W13*1000000/W23)</f>
        <v>1293.2382145164124</v>
      </c>
      <c r="X75" s="62">
        <f t="shared" si="67"/>
        <v>1167.6832095721327</v>
      </c>
      <c r="Y75" s="62">
        <f t="shared" si="67"/>
        <v>1129.3035527478462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951.03192984201644</v>
      </c>
      <c r="C76" s="14">
        <f t="shared" si="65"/>
        <v>951.11247650529685</v>
      </c>
      <c r="D76" s="14">
        <f t="shared" ref="D76:V76" si="68">IF(D14=0,0,D14*1000000/D24)</f>
        <v>958.39289754661581</v>
      </c>
      <c r="E76" s="14">
        <f t="shared" si="68"/>
        <v>978.81936984874483</v>
      </c>
      <c r="F76" s="14">
        <f t="shared" si="68"/>
        <v>1017.2682910974487</v>
      </c>
      <c r="G76" s="14">
        <f t="shared" si="68"/>
        <v>1124.624086243226</v>
      </c>
      <c r="H76" s="14">
        <f t="shared" si="68"/>
        <v>1096.1715263674876</v>
      </c>
      <c r="I76" s="14">
        <f t="shared" si="68"/>
        <v>1038.4089146641027</v>
      </c>
      <c r="J76" s="14">
        <f t="shared" si="68"/>
        <v>1027.4358582041275</v>
      </c>
      <c r="K76" s="14">
        <f t="shared" si="68"/>
        <v>878.05287890513034</v>
      </c>
      <c r="L76" s="14">
        <f t="shared" si="68"/>
        <v>975.27321033606893</v>
      </c>
      <c r="M76" s="14">
        <f t="shared" si="68"/>
        <v>962.60582619689285</v>
      </c>
      <c r="N76" s="14">
        <f t="shared" si="68"/>
        <v>991.66852744253856</v>
      </c>
      <c r="O76" s="14">
        <f t="shared" si="68"/>
        <v>884.78867293740882</v>
      </c>
      <c r="P76" s="14">
        <f t="shared" si="68"/>
        <v>922.69964727900481</v>
      </c>
      <c r="Q76" s="14">
        <f t="shared" si="68"/>
        <v>1004.5974648614546</v>
      </c>
      <c r="R76" s="14">
        <f t="shared" si="68"/>
        <v>955.24422651416921</v>
      </c>
      <c r="S76" s="14">
        <f t="shared" si="68"/>
        <v>966.93053620067928</v>
      </c>
      <c r="T76" s="14">
        <f t="shared" si="68"/>
        <v>999.11844927234938</v>
      </c>
      <c r="U76" s="14">
        <f t="shared" si="68"/>
        <v>995.60121813764113</v>
      </c>
      <c r="V76" s="14">
        <f t="shared" si="68"/>
        <v>919.74585328950184</v>
      </c>
      <c r="W76" s="14">
        <f t="shared" ref="W76:Y76" si="69">IF(W14=0,0,W14*1000000/W24)</f>
        <v>1303.3795818903941</v>
      </c>
      <c r="X76" s="14">
        <f t="shared" si="69"/>
        <v>1173.3623384117204</v>
      </c>
      <c r="Y76" s="14">
        <f t="shared" si="69"/>
        <v>1133.9917222669535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869.65952722935731</v>
      </c>
      <c r="C78" s="39">
        <f t="shared" si="65"/>
        <v>869.63332455072964</v>
      </c>
      <c r="D78" s="39">
        <f t="shared" ref="D78:V78" si="72">IF(D16=0,0,D16*1000000/D26)</f>
        <v>871.28714218427672</v>
      </c>
      <c r="E78" s="39">
        <f t="shared" si="72"/>
        <v>876.1360263368698</v>
      </c>
      <c r="F78" s="39">
        <f t="shared" si="72"/>
        <v>888.1784862161295</v>
      </c>
      <c r="G78" s="39">
        <f t="shared" si="72"/>
        <v>992.6286699044723</v>
      </c>
      <c r="H78" s="39">
        <f t="shared" si="72"/>
        <v>970.56072883029458</v>
      </c>
      <c r="I78" s="39">
        <f t="shared" si="72"/>
        <v>921.69478167709633</v>
      </c>
      <c r="J78" s="39">
        <f t="shared" si="72"/>
        <v>887.18941859962945</v>
      </c>
      <c r="K78" s="39">
        <f t="shared" si="72"/>
        <v>736.20823905888369</v>
      </c>
      <c r="L78" s="39">
        <f t="shared" si="72"/>
        <v>762.97967760050653</v>
      </c>
      <c r="M78" s="39">
        <f t="shared" si="72"/>
        <v>812.07726818230492</v>
      </c>
      <c r="N78" s="39">
        <f t="shared" si="72"/>
        <v>774.32112087422206</v>
      </c>
      <c r="O78" s="39">
        <f t="shared" si="72"/>
        <v>801.2646819050907</v>
      </c>
      <c r="P78" s="39">
        <f t="shared" si="72"/>
        <v>834.42680877839496</v>
      </c>
      <c r="Q78" s="39">
        <f t="shared" si="72"/>
        <v>883.93923638183196</v>
      </c>
      <c r="R78" s="39">
        <f t="shared" si="72"/>
        <v>893.60645838333687</v>
      </c>
      <c r="S78" s="39">
        <f t="shared" si="72"/>
        <v>904.49550451960909</v>
      </c>
      <c r="T78" s="39">
        <f t="shared" si="72"/>
        <v>918.73975340297591</v>
      </c>
      <c r="U78" s="39">
        <f t="shared" si="72"/>
        <v>875.57301533398936</v>
      </c>
      <c r="V78" s="39">
        <f t="shared" si="72"/>
        <v>822.60237531740836</v>
      </c>
      <c r="W78" s="39">
        <f t="shared" ref="W78:Y78" si="73">IF(W16=0,0,W16*1000000/W26)</f>
        <v>1025.4556142505155</v>
      </c>
      <c r="X78" s="39">
        <f t="shared" si="73"/>
        <v>989.11255058965548</v>
      </c>
      <c r="Y78" s="39">
        <f t="shared" si="73"/>
        <v>939.63798294970638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3047.4546575078029</v>
      </c>
      <c r="C79" s="39">
        <f t="shared" si="65"/>
        <v>3047.4546575078029</v>
      </c>
      <c r="D79" s="39">
        <f t="shared" ref="D79:V79" si="74">IF(D17=0,0,D17*1000000/D27)</f>
        <v>3047.4546575078029</v>
      </c>
      <c r="E79" s="39">
        <f t="shared" si="74"/>
        <v>3047.4546575078029</v>
      </c>
      <c r="F79" s="39">
        <f t="shared" si="74"/>
        <v>3047.4546575078029</v>
      </c>
      <c r="G79" s="39">
        <f t="shared" si="74"/>
        <v>3306</v>
      </c>
      <c r="H79" s="39">
        <f t="shared" si="74"/>
        <v>3078.1974242230167</v>
      </c>
      <c r="I79" s="39">
        <f t="shared" si="74"/>
        <v>2928.0949544176447</v>
      </c>
      <c r="J79" s="39">
        <f t="shared" si="74"/>
        <v>2853.5752739867676</v>
      </c>
      <c r="K79" s="39">
        <f t="shared" si="74"/>
        <v>2284.0294189195738</v>
      </c>
      <c r="L79" s="39">
        <f t="shared" si="74"/>
        <v>2977.4811715481169</v>
      </c>
      <c r="M79" s="39">
        <f t="shared" si="74"/>
        <v>2424.9982419887306</v>
      </c>
      <c r="N79" s="39">
        <f t="shared" si="74"/>
        <v>2205.9024725274726</v>
      </c>
      <c r="O79" s="39">
        <f t="shared" si="74"/>
        <v>1305.521795037477</v>
      </c>
      <c r="P79" s="39">
        <f t="shared" si="74"/>
        <v>1423.2611309839442</v>
      </c>
      <c r="Q79" s="39">
        <f t="shared" si="74"/>
        <v>1683.7432014773885</v>
      </c>
      <c r="R79" s="39">
        <f t="shared" si="74"/>
        <v>1475.3104978806634</v>
      </c>
      <c r="S79" s="39">
        <f t="shared" si="74"/>
        <v>1374.1772201203878</v>
      </c>
      <c r="T79" s="39">
        <f t="shared" si="74"/>
        <v>1484.1061209706627</v>
      </c>
      <c r="U79" s="39">
        <f t="shared" si="74"/>
        <v>1755.2457298136646</v>
      </c>
      <c r="V79" s="39">
        <f t="shared" si="74"/>
        <v>1887.1548672566371</v>
      </c>
      <c r="W79" s="39">
        <f t="shared" ref="W79:Y79" si="75">IF(W17=0,0,W17*1000000/W27)</f>
        <v>3061.8222402597407</v>
      </c>
      <c r="X79" s="39">
        <f t="shared" si="75"/>
        <v>3019.9303054032889</v>
      </c>
      <c r="Y79" s="39">
        <f t="shared" si="75"/>
        <v>2941.853823088456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910.73582230871466</v>
      </c>
      <c r="C80" s="15">
        <f t="shared" si="65"/>
        <v>915.9870721455319</v>
      </c>
      <c r="D80" s="15">
        <f t="shared" ref="D80:V80" si="76">IF(D18=0,0,D18*1000000/D28)</f>
        <v>769.54191276999347</v>
      </c>
      <c r="E80" s="15">
        <f t="shared" si="76"/>
        <v>672.48486497561851</v>
      </c>
      <c r="F80" s="15">
        <f t="shared" si="76"/>
        <v>610.03753385014068</v>
      </c>
      <c r="G80" s="15">
        <f t="shared" si="76"/>
        <v>908.13277572883737</v>
      </c>
      <c r="H80" s="15">
        <f t="shared" si="76"/>
        <v>815.33944418624253</v>
      </c>
      <c r="I80" s="15">
        <f t="shared" si="76"/>
        <v>760.3905443740332</v>
      </c>
      <c r="J80" s="15">
        <f t="shared" si="76"/>
        <v>777.7794169015516</v>
      </c>
      <c r="K80" s="15">
        <f t="shared" si="76"/>
        <v>622.79837361560055</v>
      </c>
      <c r="L80" s="15">
        <f t="shared" si="76"/>
        <v>731.16407439959653</v>
      </c>
      <c r="M80" s="15">
        <f t="shared" si="76"/>
        <v>678.91071444901991</v>
      </c>
      <c r="N80" s="15">
        <f t="shared" si="76"/>
        <v>672.23637512600817</v>
      </c>
      <c r="O80" s="15">
        <f t="shared" si="76"/>
        <v>690.15636098774087</v>
      </c>
      <c r="P80" s="15">
        <f t="shared" si="76"/>
        <v>731.8351122655439</v>
      </c>
      <c r="Q80" s="15">
        <f t="shared" si="76"/>
        <v>806.88865392453977</v>
      </c>
      <c r="R80" s="15">
        <f t="shared" si="76"/>
        <v>860.21485220045111</v>
      </c>
      <c r="S80" s="15">
        <f t="shared" si="76"/>
        <v>844.50173758782068</v>
      </c>
      <c r="T80" s="15">
        <f t="shared" si="76"/>
        <v>834.59021801901645</v>
      </c>
      <c r="U80" s="15">
        <f t="shared" si="76"/>
        <v>866.32975663716809</v>
      </c>
      <c r="V80" s="15">
        <f t="shared" si="76"/>
        <v>831.36544127065463</v>
      </c>
      <c r="W80" s="15">
        <f t="shared" ref="W80:Y80" si="77">IF(W18=0,0,W18*1000000/W28)</f>
        <v>1016.5406735578183</v>
      </c>
      <c r="X80" s="15">
        <f t="shared" si="77"/>
        <v>895.81849209623454</v>
      </c>
      <c r="Y80" s="15">
        <f t="shared" si="77"/>
        <v>844.11010924160564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639.56047935500135</v>
      </c>
      <c r="C82" s="41">
        <f t="shared" si="65"/>
        <v>638.91720306841069</v>
      </c>
      <c r="D82" s="41">
        <f t="shared" ref="D82:V82" si="80">IF(D20=0,0,D20*1000000/D30)</f>
        <v>560.16821765879149</v>
      </c>
      <c r="E82" s="41">
        <f t="shared" si="80"/>
        <v>462.71096264547691</v>
      </c>
      <c r="F82" s="41">
        <f t="shared" si="80"/>
        <v>437.98729323206965</v>
      </c>
      <c r="G82" s="41">
        <f t="shared" si="80"/>
        <v>558.12481712993747</v>
      </c>
      <c r="H82" s="41">
        <f t="shared" si="80"/>
        <v>618.2085907176936</v>
      </c>
      <c r="I82" s="41">
        <f t="shared" si="80"/>
        <v>658.44750398436395</v>
      </c>
      <c r="J82" s="41">
        <f t="shared" si="80"/>
        <v>714.12002767240313</v>
      </c>
      <c r="K82" s="41">
        <f t="shared" si="80"/>
        <v>603.53930352804878</v>
      </c>
      <c r="L82" s="41">
        <f t="shared" si="80"/>
        <v>653.0951432680605</v>
      </c>
      <c r="M82" s="41">
        <f t="shared" si="80"/>
        <v>650.61144786578893</v>
      </c>
      <c r="N82" s="41">
        <f t="shared" si="80"/>
        <v>638.28666364089702</v>
      </c>
      <c r="O82" s="41">
        <f t="shared" si="80"/>
        <v>677.9609447400934</v>
      </c>
      <c r="P82" s="41">
        <f t="shared" si="80"/>
        <v>720.39515569647392</v>
      </c>
      <c r="Q82" s="41">
        <f t="shared" si="80"/>
        <v>790.38773555769887</v>
      </c>
      <c r="R82" s="41">
        <f t="shared" si="80"/>
        <v>823.10775972178453</v>
      </c>
      <c r="S82" s="41">
        <f t="shared" si="80"/>
        <v>839.49402801339534</v>
      </c>
      <c r="T82" s="41">
        <f t="shared" si="80"/>
        <v>831.15682938240809</v>
      </c>
      <c r="U82" s="41">
        <f t="shared" si="80"/>
        <v>834.12026321760834</v>
      </c>
      <c r="V82" s="41">
        <f t="shared" si="80"/>
        <v>807.04722304722316</v>
      </c>
      <c r="W82" s="41">
        <f t="shared" ref="W82:Y82" si="81">IF(W20=0,0,W20*1000000/W30)</f>
        <v>788.27013457056614</v>
      </c>
      <c r="X82" s="41">
        <f t="shared" si="81"/>
        <v>776.59673723790468</v>
      </c>
      <c r="Y82" s="41">
        <f t="shared" si="81"/>
        <v>835.30492791997654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2770.2238882770348</v>
      </c>
      <c r="C83" s="40">
        <f t="shared" si="65"/>
        <v>2770.2238882770343</v>
      </c>
      <c r="D83" s="40">
        <f t="shared" ref="D83:V83" si="82">IF(D21=0,0,D21*1000000/D31)</f>
        <v>2770.2238882770343</v>
      </c>
      <c r="E83" s="40">
        <f t="shared" si="82"/>
        <v>2770.2238882770343</v>
      </c>
      <c r="F83" s="40">
        <f t="shared" si="82"/>
        <v>2770.2238882770343</v>
      </c>
      <c r="G83" s="40">
        <f t="shared" si="82"/>
        <v>3028.7692307692305</v>
      </c>
      <c r="H83" s="40">
        <f t="shared" si="82"/>
        <v>2714.9640321558973</v>
      </c>
      <c r="I83" s="40">
        <f t="shared" si="82"/>
        <v>2478.858939514173</v>
      </c>
      <c r="J83" s="40">
        <f t="shared" si="82"/>
        <v>2318.3366362469451</v>
      </c>
      <c r="K83" s="40">
        <f t="shared" si="82"/>
        <v>1662.7881583434003</v>
      </c>
      <c r="L83" s="40">
        <f t="shared" si="82"/>
        <v>2270.2372881355936</v>
      </c>
      <c r="M83" s="40">
        <f t="shared" si="82"/>
        <v>2093.8740436105677</v>
      </c>
      <c r="N83" s="40">
        <f t="shared" si="82"/>
        <v>2250.8979591836733</v>
      </c>
      <c r="O83" s="40">
        <f t="shared" si="82"/>
        <v>1251.1455083795231</v>
      </c>
      <c r="P83" s="40">
        <f t="shared" si="82"/>
        <v>1269.5130710118353</v>
      </c>
      <c r="Q83" s="40">
        <f t="shared" si="82"/>
        <v>1430.6233681911251</v>
      </c>
      <c r="R83" s="40">
        <f t="shared" si="82"/>
        <v>1122.8188912802455</v>
      </c>
      <c r="S83" s="40">
        <f t="shared" si="82"/>
        <v>922.31384020581504</v>
      </c>
      <c r="T83" s="40">
        <f t="shared" si="82"/>
        <v>932.87096774193549</v>
      </c>
      <c r="U83" s="40">
        <f t="shared" si="82"/>
        <v>2122.5</v>
      </c>
      <c r="V83" s="40">
        <f t="shared" si="82"/>
        <v>2517.4285714285711</v>
      </c>
      <c r="W83" s="40">
        <f t="shared" ref="W83:Y83" si="83">IF(W21=0,0,W21*1000000/W31)</f>
        <v>6121.5</v>
      </c>
      <c r="X83" s="40">
        <f t="shared" si="83"/>
        <v>5392.181818181818</v>
      </c>
      <c r="Y83" s="40">
        <f t="shared" si="83"/>
        <v>2781.25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57226.399875499621</v>
      </c>
      <c r="C86" s="11">
        <f t="shared" si="84"/>
        <v>58688.81864167258</v>
      </c>
      <c r="D86" s="11">
        <f t="shared" ref="D86:V86" si="85">IF(D4=0,0,D4*1000000/D24)</f>
        <v>62358.671524350182</v>
      </c>
      <c r="E86" s="11">
        <f t="shared" si="85"/>
        <v>74020.600854974851</v>
      </c>
      <c r="F86" s="11">
        <f t="shared" si="85"/>
        <v>83923.822342270287</v>
      </c>
      <c r="G86" s="11">
        <f t="shared" si="85"/>
        <v>101944.55652338418</v>
      </c>
      <c r="H86" s="11">
        <f t="shared" si="85"/>
        <v>102601.45552741809</v>
      </c>
      <c r="I86" s="11">
        <f t="shared" si="85"/>
        <v>91019.326760552256</v>
      </c>
      <c r="J86" s="11">
        <f t="shared" si="85"/>
        <v>83534.342178091945</v>
      </c>
      <c r="K86" s="11">
        <f t="shared" si="85"/>
        <v>70665.964697460746</v>
      </c>
      <c r="L86" s="11">
        <f t="shared" si="85"/>
        <v>76325.775107919762</v>
      </c>
      <c r="M86" s="11">
        <f t="shared" si="85"/>
        <v>82834.183969238293</v>
      </c>
      <c r="N86" s="11">
        <f t="shared" si="85"/>
        <v>74982.73376362992</v>
      </c>
      <c r="O86" s="11">
        <f t="shared" si="85"/>
        <v>82699.573441105473</v>
      </c>
      <c r="P86" s="11">
        <f t="shared" si="85"/>
        <v>85274.783756840523</v>
      </c>
      <c r="Q86" s="11">
        <f t="shared" si="85"/>
        <v>88982.990519883213</v>
      </c>
      <c r="R86" s="11">
        <f t="shared" si="85"/>
        <v>87255.714458431554</v>
      </c>
      <c r="S86" s="11">
        <f t="shared" si="85"/>
        <v>88590.220067795104</v>
      </c>
      <c r="T86" s="11">
        <f t="shared" si="85"/>
        <v>94754.497893272928</v>
      </c>
      <c r="U86" s="11">
        <f t="shared" si="85"/>
        <v>110389.61794638658</v>
      </c>
      <c r="V86" s="11">
        <f t="shared" si="85"/>
        <v>81334.039786756577</v>
      </c>
      <c r="W86" s="11">
        <f t="shared" ref="W86:Y86" si="86">IF(W4=0,0,W4*1000000/W24)</f>
        <v>148772.240313399</v>
      </c>
      <c r="X86" s="11">
        <f t="shared" si="86"/>
        <v>151426.46785602797</v>
      </c>
      <c r="Y86" s="11">
        <f t="shared" si="86"/>
        <v>152447.48090283075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50800.815755175332</v>
      </c>
      <c r="C88" s="36">
        <f t="shared" si="84"/>
        <v>52262.397563039558</v>
      </c>
      <c r="D88" s="36">
        <f t="shared" ref="D88:V88" si="89">IF(D6=0,0,D6*1000000/D26)</f>
        <v>54743.890025676788</v>
      </c>
      <c r="E88" s="36">
        <f t="shared" si="89"/>
        <v>64871.284938462843</v>
      </c>
      <c r="F88" s="36">
        <f t="shared" si="89"/>
        <v>72458.081097882066</v>
      </c>
      <c r="G88" s="36">
        <f t="shared" si="89"/>
        <v>88733.44616341636</v>
      </c>
      <c r="H88" s="36">
        <f t="shared" si="89"/>
        <v>89926.811018504886</v>
      </c>
      <c r="I88" s="36">
        <f t="shared" si="89"/>
        <v>76146.456286949528</v>
      </c>
      <c r="J88" s="36">
        <f t="shared" si="89"/>
        <v>66620.684302720008</v>
      </c>
      <c r="K88" s="36">
        <f t="shared" si="89"/>
        <v>56297.689684108183</v>
      </c>
      <c r="L88" s="36">
        <f t="shared" si="89"/>
        <v>58317.117599986785</v>
      </c>
      <c r="M88" s="36">
        <f t="shared" si="89"/>
        <v>72709.243437375277</v>
      </c>
      <c r="N88" s="36">
        <f t="shared" si="89"/>
        <v>64153.850576966935</v>
      </c>
      <c r="O88" s="36">
        <f t="shared" si="89"/>
        <v>77557.88552622615</v>
      </c>
      <c r="P88" s="36">
        <f t="shared" si="89"/>
        <v>77958.45095371663</v>
      </c>
      <c r="Q88" s="36">
        <f t="shared" si="89"/>
        <v>78106.931018921183</v>
      </c>
      <c r="R88" s="36">
        <f t="shared" si="89"/>
        <v>78721.662089871359</v>
      </c>
      <c r="S88" s="36">
        <f t="shared" si="89"/>
        <v>81902.058260692182</v>
      </c>
      <c r="T88" s="36">
        <f t="shared" si="89"/>
        <v>86263.439616589443</v>
      </c>
      <c r="U88" s="36">
        <f t="shared" si="89"/>
        <v>92925.510594475592</v>
      </c>
      <c r="V88" s="36">
        <f t="shared" si="89"/>
        <v>68163.632525319132</v>
      </c>
      <c r="W88" s="36">
        <f t="shared" ref="W88:Y88" si="90">IF(W6=0,0,W6*1000000/W26)</f>
        <v>104405.19154395761</v>
      </c>
      <c r="X88" s="36">
        <f t="shared" si="90"/>
        <v>117533.3581591422</v>
      </c>
      <c r="Y88" s="36">
        <f t="shared" si="90"/>
        <v>114589.69162378789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222770.73869142841</v>
      </c>
      <c r="C89" s="36">
        <f t="shared" si="84"/>
        <v>224031.45239335936</v>
      </c>
      <c r="D89" s="36">
        <f t="shared" ref="D89:V89" si="91">IF(D7=0,0,D7*1000000/D27)</f>
        <v>244984.3633993137</v>
      </c>
      <c r="E89" s="36">
        <f t="shared" si="91"/>
        <v>258340.63870657256</v>
      </c>
      <c r="F89" s="36">
        <f t="shared" si="91"/>
        <v>264244.73596164177</v>
      </c>
      <c r="G89" s="36">
        <f t="shared" si="91"/>
        <v>320273.33438985737</v>
      </c>
      <c r="H89" s="36">
        <f t="shared" si="91"/>
        <v>302595.99545015011</v>
      </c>
      <c r="I89" s="36">
        <f t="shared" si="91"/>
        <v>331821.83272749133</v>
      </c>
      <c r="J89" s="36">
        <f t="shared" si="91"/>
        <v>303765.93877606047</v>
      </c>
      <c r="K89" s="36">
        <f t="shared" si="91"/>
        <v>213085.56977486738</v>
      </c>
      <c r="L89" s="36">
        <f t="shared" si="91"/>
        <v>246171.16308795806</v>
      </c>
      <c r="M89" s="36">
        <f t="shared" si="91"/>
        <v>181198.48400262394</v>
      </c>
      <c r="N89" s="36">
        <f t="shared" si="91"/>
        <v>135479.41858822101</v>
      </c>
      <c r="O89" s="36">
        <f t="shared" si="91"/>
        <v>108599.65774687474</v>
      </c>
      <c r="P89" s="36">
        <f t="shared" si="91"/>
        <v>126762.90700536974</v>
      </c>
      <c r="Q89" s="36">
        <f t="shared" si="91"/>
        <v>150200.77511968816</v>
      </c>
      <c r="R89" s="36">
        <f t="shared" si="91"/>
        <v>159261.44940884097</v>
      </c>
      <c r="S89" s="36">
        <f t="shared" si="91"/>
        <v>132215.27549139812</v>
      </c>
      <c r="T89" s="36">
        <f t="shared" si="91"/>
        <v>145987.70763028882</v>
      </c>
      <c r="U89" s="36">
        <f t="shared" si="91"/>
        <v>220917.9187233476</v>
      </c>
      <c r="V89" s="36">
        <f t="shared" si="91"/>
        <v>212492.31173984613</v>
      </c>
      <c r="W89" s="36">
        <f t="shared" ref="W89:Y89" si="92">IF(W7=0,0,W7*1000000/W27)</f>
        <v>429485.38587135886</v>
      </c>
      <c r="X89" s="36">
        <f t="shared" si="92"/>
        <v>491106.26563382283</v>
      </c>
      <c r="Y89" s="36">
        <f t="shared" si="92"/>
        <v>504597.44569846388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34663.387053073908</v>
      </c>
      <c r="C90" s="13">
        <f t="shared" si="84"/>
        <v>37376.640916608063</v>
      </c>
      <c r="D90" s="13">
        <f t="shared" ref="D90:V90" si="93">IF(D8=0,0,D8*1000000/D28)</f>
        <v>28379.604542069646</v>
      </c>
      <c r="E90" s="13">
        <f t="shared" si="93"/>
        <v>25004.293209821531</v>
      </c>
      <c r="F90" s="13">
        <f t="shared" si="93"/>
        <v>20720.62999343843</v>
      </c>
      <c r="G90" s="13">
        <f t="shared" si="93"/>
        <v>33435.963191297211</v>
      </c>
      <c r="H90" s="13">
        <f t="shared" si="93"/>
        <v>24113.007184845297</v>
      </c>
      <c r="I90" s="13">
        <f t="shared" si="93"/>
        <v>19084.538242413244</v>
      </c>
      <c r="J90" s="13">
        <f t="shared" si="93"/>
        <v>17660.83035683299</v>
      </c>
      <c r="K90" s="13">
        <f t="shared" si="93"/>
        <v>13325.803894581055</v>
      </c>
      <c r="L90" s="13">
        <f t="shared" si="93"/>
        <v>19439.843586735413</v>
      </c>
      <c r="M90" s="13">
        <f t="shared" si="93"/>
        <v>17188.926961744681</v>
      </c>
      <c r="N90" s="13">
        <f t="shared" si="93"/>
        <v>19620.595271459086</v>
      </c>
      <c r="O90" s="13">
        <f t="shared" si="93"/>
        <v>18708.63444586048</v>
      </c>
      <c r="P90" s="13">
        <f t="shared" si="93"/>
        <v>22518.382974944816</v>
      </c>
      <c r="Q90" s="13">
        <f t="shared" si="93"/>
        <v>25046.838302068783</v>
      </c>
      <c r="R90" s="13">
        <f t="shared" si="93"/>
        <v>36772.793409640974</v>
      </c>
      <c r="S90" s="13">
        <f t="shared" si="93"/>
        <v>27352.035745140991</v>
      </c>
      <c r="T90" s="13">
        <f t="shared" si="93"/>
        <v>26568.28594828425</v>
      </c>
      <c r="U90" s="13">
        <f t="shared" si="93"/>
        <v>30994.276896220414</v>
      </c>
      <c r="V90" s="13">
        <f t="shared" si="93"/>
        <v>23782.731891684096</v>
      </c>
      <c r="W90" s="13">
        <f t="shared" ref="W90:Y90" si="94">IF(W8=0,0,W8*1000000/W28)</f>
        <v>35779.625404756174</v>
      </c>
      <c r="X90" s="13">
        <f t="shared" si="94"/>
        <v>29235.124218261371</v>
      </c>
      <c r="Y90" s="13">
        <f t="shared" si="94"/>
        <v>22718.157990542641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13419.274202899831</v>
      </c>
      <c r="C92" s="34">
        <f t="shared" si="84"/>
        <v>14723.389356102101</v>
      </c>
      <c r="D92" s="34">
        <f t="shared" ref="D92:V92" si="97">IF(D10=0,0,D10*1000000/D30)</f>
        <v>12676.643531458996</v>
      </c>
      <c r="E92" s="34">
        <f t="shared" si="97"/>
        <v>11292.078928003244</v>
      </c>
      <c r="F92" s="34">
        <f t="shared" si="97"/>
        <v>9838.1429733032364</v>
      </c>
      <c r="G92" s="34">
        <f t="shared" si="97"/>
        <v>12250.858489469552</v>
      </c>
      <c r="H92" s="34">
        <f t="shared" si="97"/>
        <v>12066.088931926333</v>
      </c>
      <c r="I92" s="34">
        <f t="shared" si="97"/>
        <v>12749.599153034855</v>
      </c>
      <c r="J92" s="34">
        <f t="shared" si="97"/>
        <v>13624.067178296767</v>
      </c>
      <c r="K92" s="34">
        <f t="shared" si="97"/>
        <v>11844.677385028866</v>
      </c>
      <c r="L92" s="34">
        <f t="shared" si="97"/>
        <v>13856.76223770507</v>
      </c>
      <c r="M92" s="34">
        <f t="shared" si="97"/>
        <v>14907.554523176839</v>
      </c>
      <c r="N92" s="34">
        <f t="shared" si="97"/>
        <v>16565.013655173949</v>
      </c>
      <c r="O92" s="34">
        <f t="shared" si="97"/>
        <v>17047.676548120977</v>
      </c>
      <c r="P92" s="34">
        <f t="shared" si="97"/>
        <v>20718.088025565874</v>
      </c>
      <c r="Q92" s="34">
        <f t="shared" si="97"/>
        <v>22590.988453521473</v>
      </c>
      <c r="R92" s="34">
        <f t="shared" si="97"/>
        <v>25673.725190467256</v>
      </c>
      <c r="S92" s="34">
        <f t="shared" si="97"/>
        <v>23564.442927373108</v>
      </c>
      <c r="T92" s="34">
        <f t="shared" si="97"/>
        <v>24561.587803800161</v>
      </c>
      <c r="U92" s="34">
        <f t="shared" si="97"/>
        <v>26613.727370331035</v>
      </c>
      <c r="V92" s="34">
        <f t="shared" si="97"/>
        <v>22000.579705023458</v>
      </c>
      <c r="W92" s="34">
        <f t="shared" ref="W92:Y92" si="98">IF(W10=0,0,W10*1000000/W30)</f>
        <v>20773.393720653192</v>
      </c>
      <c r="X92" s="34">
        <f t="shared" si="98"/>
        <v>20020.442051186565</v>
      </c>
      <c r="Y92" s="34">
        <f t="shared" si="98"/>
        <v>21876.755866837277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180337.30373998181</v>
      </c>
      <c r="C93" s="35">
        <f t="shared" si="84"/>
        <v>188979.17059076339</v>
      </c>
      <c r="D93" s="35">
        <f t="shared" ref="D93:V93" si="99">IF(D11=0,0,D11*1000000/D31)</f>
        <v>178430.12086568252</v>
      </c>
      <c r="E93" s="35">
        <f t="shared" si="99"/>
        <v>162126.43602800445</v>
      </c>
      <c r="F93" s="35">
        <f t="shared" si="99"/>
        <v>157356.30035735809</v>
      </c>
      <c r="G93" s="35">
        <f t="shared" si="99"/>
        <v>161792.77403178241</v>
      </c>
      <c r="H93" s="35">
        <f t="shared" si="99"/>
        <v>140201.49216751894</v>
      </c>
      <c r="I93" s="35">
        <f t="shared" si="99"/>
        <v>125873.51146336328</v>
      </c>
      <c r="J93" s="35">
        <f t="shared" si="99"/>
        <v>115350.49927740949</v>
      </c>
      <c r="K93" s="35">
        <f t="shared" si="99"/>
        <v>93306.635410399351</v>
      </c>
      <c r="L93" s="35">
        <f t="shared" si="99"/>
        <v>129506.30446761929</v>
      </c>
      <c r="M93" s="35">
        <f t="shared" si="99"/>
        <v>131257.54889013697</v>
      </c>
      <c r="N93" s="35">
        <f t="shared" si="99"/>
        <v>161705.14042871795</v>
      </c>
      <c r="O93" s="35">
        <f t="shared" si="99"/>
        <v>95112.697741877651</v>
      </c>
      <c r="P93" s="35">
        <f t="shared" si="99"/>
        <v>107132.24559575503</v>
      </c>
      <c r="Q93" s="35">
        <f t="shared" si="99"/>
        <v>117877.96257715723</v>
      </c>
      <c r="R93" s="35">
        <f t="shared" si="99"/>
        <v>115320.04542225499</v>
      </c>
      <c r="S93" s="35">
        <f t="shared" si="99"/>
        <v>86205.40106738043</v>
      </c>
      <c r="T93" s="35">
        <f t="shared" si="99"/>
        <v>84010.020334141431</v>
      </c>
      <c r="U93" s="35">
        <f t="shared" si="99"/>
        <v>201835.70840590622</v>
      </c>
      <c r="V93" s="35">
        <f t="shared" si="99"/>
        <v>147345.28350015523</v>
      </c>
      <c r="W93" s="35">
        <f t="shared" ref="W93:Y93" si="100">IF(W11=0,0,W11*1000000/W31)</f>
        <v>371373.53397651378</v>
      </c>
      <c r="X93" s="35">
        <f t="shared" si="100"/>
        <v>376760.28023365402</v>
      </c>
      <c r="Y93" s="35">
        <f t="shared" si="100"/>
        <v>207826.62520572232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1397.6468393118948</v>
      </c>
      <c r="C95" s="62">
        <f t="shared" si="101"/>
        <v>1286.0535375669667</v>
      </c>
      <c r="D95" s="62">
        <f t="shared" ref="D95:V95" si="102">IF(D23=0,0,D23/D43)</f>
        <v>1389.9480543781135</v>
      </c>
      <c r="E95" s="62">
        <f t="shared" si="102"/>
        <v>1372.2853614768521</v>
      </c>
      <c r="F95" s="62">
        <f t="shared" si="102"/>
        <v>1340.9509160487025</v>
      </c>
      <c r="G95" s="62">
        <f t="shared" si="102"/>
        <v>1279.5999912922762</v>
      </c>
      <c r="H95" s="62">
        <f t="shared" si="102"/>
        <v>1292.2131889559644</v>
      </c>
      <c r="I95" s="62">
        <f t="shared" si="102"/>
        <v>1325.6277319275612</v>
      </c>
      <c r="J95" s="62">
        <f t="shared" si="102"/>
        <v>1310.5846492618346</v>
      </c>
      <c r="K95" s="62">
        <f t="shared" si="102"/>
        <v>1032.5809997882739</v>
      </c>
      <c r="L95" s="62">
        <f t="shared" si="102"/>
        <v>1118.0500499122973</v>
      </c>
      <c r="M95" s="62">
        <f t="shared" si="102"/>
        <v>1355.6756483597073</v>
      </c>
      <c r="N95" s="62">
        <f t="shared" si="102"/>
        <v>1282.2141142157807</v>
      </c>
      <c r="O95" s="62">
        <f t="shared" si="102"/>
        <v>978.43410155246431</v>
      </c>
      <c r="P95" s="62">
        <f t="shared" si="102"/>
        <v>1043.7520081754678</v>
      </c>
      <c r="Q95" s="62">
        <f t="shared" si="102"/>
        <v>1162.5012288733003</v>
      </c>
      <c r="R95" s="62">
        <f t="shared" si="102"/>
        <v>1128.524568294981</v>
      </c>
      <c r="S95" s="62">
        <f t="shared" si="102"/>
        <v>1197.9024952349916</v>
      </c>
      <c r="T95" s="62">
        <f t="shared" si="102"/>
        <v>1253.6800422704648</v>
      </c>
      <c r="U95" s="62">
        <f t="shared" si="102"/>
        <v>1249.1503434401434</v>
      </c>
      <c r="V95" s="62">
        <f t="shared" si="102"/>
        <v>437.91518597900966</v>
      </c>
      <c r="W95" s="62">
        <f t="shared" ref="W95:Y95" si="103">IF(W23=0,0,W23/W43)</f>
        <v>514.60294063800416</v>
      </c>
      <c r="X95" s="62">
        <f t="shared" si="103"/>
        <v>951.14041775949931</v>
      </c>
      <c r="Y95" s="62">
        <f t="shared" si="103"/>
        <v>1003.6012753487486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1402.9887436844124</v>
      </c>
      <c r="C96" s="11">
        <f t="shared" si="104"/>
        <v>1289.7005131468961</v>
      </c>
      <c r="D96" s="11">
        <f t="shared" ref="D96:V96" si="105">IF(D24=0,0,D24/D44)</f>
        <v>1395.8892650465134</v>
      </c>
      <c r="E96" s="11">
        <f t="shared" si="105"/>
        <v>1376.6726663671625</v>
      </c>
      <c r="F96" s="11">
        <f t="shared" si="105"/>
        <v>1342.9367836044526</v>
      </c>
      <c r="G96" s="11">
        <f t="shared" si="105"/>
        <v>1282.5946854945566</v>
      </c>
      <c r="H96" s="11">
        <f t="shared" si="105"/>
        <v>1295.9378372079875</v>
      </c>
      <c r="I96" s="11">
        <f t="shared" si="105"/>
        <v>1329.5861043311447</v>
      </c>
      <c r="J96" s="11">
        <f t="shared" si="105"/>
        <v>1314.1366024451481</v>
      </c>
      <c r="K96" s="11">
        <f t="shared" si="105"/>
        <v>1033.5254996026233</v>
      </c>
      <c r="L96" s="11">
        <f t="shared" si="105"/>
        <v>1118.6249352164054</v>
      </c>
      <c r="M96" s="11">
        <f t="shared" si="105"/>
        <v>1359.3333360376057</v>
      </c>
      <c r="N96" s="11">
        <f t="shared" si="105"/>
        <v>1283.7765495442191</v>
      </c>
      <c r="O96" s="11">
        <f t="shared" si="105"/>
        <v>976.39937839378354</v>
      </c>
      <c r="P96" s="11">
        <f t="shared" si="105"/>
        <v>1042.4227950890763</v>
      </c>
      <c r="Q96" s="11">
        <f t="shared" si="105"/>
        <v>1162.8123917773664</v>
      </c>
      <c r="R96" s="11">
        <f t="shared" si="105"/>
        <v>1128.8226542492737</v>
      </c>
      <c r="S96" s="11">
        <f t="shared" si="105"/>
        <v>1199.9448088056945</v>
      </c>
      <c r="T96" s="11">
        <f t="shared" si="105"/>
        <v>1256.9429861723925</v>
      </c>
      <c r="U96" s="11">
        <f t="shared" si="105"/>
        <v>1252.1516864975026</v>
      </c>
      <c r="V96" s="11">
        <f t="shared" si="105"/>
        <v>429.93540479826868</v>
      </c>
      <c r="W96" s="11">
        <f t="shared" ref="W96:Y96" si="106">IF(W24=0,0,W24/W44)</f>
        <v>505.29278765771767</v>
      </c>
      <c r="X96" s="11">
        <f t="shared" si="106"/>
        <v>949.5027046882368</v>
      </c>
      <c r="Y96" s="11">
        <f t="shared" si="106"/>
        <v>1006.3072492253801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1495.180048164784</v>
      </c>
      <c r="C98" s="36">
        <f t="shared" si="104"/>
        <v>1374.3782303602184</v>
      </c>
      <c r="D98" s="36">
        <f t="shared" ref="D98:V98" si="109">IF(D26=0,0,D26/D46)</f>
        <v>1494.0318989350342</v>
      </c>
      <c r="E98" s="36">
        <f t="shared" si="109"/>
        <v>1490.6187939096292</v>
      </c>
      <c r="F98" s="36">
        <f t="shared" si="109"/>
        <v>1482.2089820148624</v>
      </c>
      <c r="G98" s="36">
        <f t="shared" si="109"/>
        <v>1412.4952465723509</v>
      </c>
      <c r="H98" s="36">
        <f t="shared" si="109"/>
        <v>1422.9863850774664</v>
      </c>
      <c r="I98" s="36">
        <f t="shared" si="109"/>
        <v>1453.3248964472236</v>
      </c>
      <c r="J98" s="36">
        <f t="shared" si="109"/>
        <v>1460.5767316195381</v>
      </c>
      <c r="K98" s="36">
        <f t="shared" si="109"/>
        <v>1129.1447396424926</v>
      </c>
      <c r="L98" s="36">
        <f t="shared" si="109"/>
        <v>1255.2443639322403</v>
      </c>
      <c r="M98" s="36">
        <f t="shared" si="109"/>
        <v>1535.9896895312436</v>
      </c>
      <c r="N98" s="36">
        <f t="shared" si="109"/>
        <v>1520.146683313212</v>
      </c>
      <c r="O98" s="36">
        <f t="shared" si="109"/>
        <v>1151.5932652913116</v>
      </c>
      <c r="P98" s="36">
        <f t="shared" si="109"/>
        <v>1270.133134570448</v>
      </c>
      <c r="Q98" s="36">
        <f t="shared" si="109"/>
        <v>1412.7801879744168</v>
      </c>
      <c r="R98" s="36">
        <f t="shared" si="109"/>
        <v>1406.1748173625022</v>
      </c>
      <c r="S98" s="36">
        <f t="shared" si="109"/>
        <v>1406.121952699802</v>
      </c>
      <c r="T98" s="36">
        <f t="shared" si="109"/>
        <v>1430.1278413632547</v>
      </c>
      <c r="U98" s="36">
        <f t="shared" si="109"/>
        <v>1440.2081404716087</v>
      </c>
      <c r="V98" s="36">
        <f t="shared" si="109"/>
        <v>522.8054221625888</v>
      </c>
      <c r="W98" s="36">
        <f t="shared" ref="W98:Y98" si="110">IF(W26=0,0,W26/W46)</f>
        <v>585.9422239806994</v>
      </c>
      <c r="X98" s="36">
        <f t="shared" si="110"/>
        <v>1162.0755658845137</v>
      </c>
      <c r="Y98" s="36">
        <f t="shared" si="110"/>
        <v>1228.7955947896903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542</v>
      </c>
      <c r="C99" s="36">
        <f t="shared" si="104"/>
        <v>498.88231426692971</v>
      </c>
      <c r="D99" s="36">
        <f t="shared" ref="D99:V99" si="111">IF(D27=0,0,D27/D47)</f>
        <v>542</v>
      </c>
      <c r="E99" s="36">
        <f t="shared" si="111"/>
        <v>542</v>
      </c>
      <c r="F99" s="36">
        <f t="shared" si="111"/>
        <v>542</v>
      </c>
      <c r="G99" s="36">
        <f t="shared" si="111"/>
        <v>509</v>
      </c>
      <c r="H99" s="36">
        <f t="shared" si="111"/>
        <v>538</v>
      </c>
      <c r="I99" s="36">
        <f t="shared" si="111"/>
        <v>559</v>
      </c>
      <c r="J99" s="36">
        <f t="shared" si="111"/>
        <v>570</v>
      </c>
      <c r="K99" s="36">
        <f t="shared" si="111"/>
        <v>561.88667383752193</v>
      </c>
      <c r="L99" s="36">
        <f t="shared" si="111"/>
        <v>552</v>
      </c>
      <c r="M99" s="36">
        <f t="shared" si="111"/>
        <v>642</v>
      </c>
      <c r="N99" s="36">
        <f t="shared" si="111"/>
        <v>687.00000000000011</v>
      </c>
      <c r="O99" s="36">
        <f t="shared" si="111"/>
        <v>552.78452843465755</v>
      </c>
      <c r="P99" s="36">
        <f t="shared" si="111"/>
        <v>516.91271116166479</v>
      </c>
      <c r="Q99" s="36">
        <f t="shared" si="111"/>
        <v>582.60068289723756</v>
      </c>
      <c r="R99" s="36">
        <f t="shared" si="111"/>
        <v>423.70132772375689</v>
      </c>
      <c r="S99" s="36">
        <f t="shared" si="111"/>
        <v>613.33832866221132</v>
      </c>
      <c r="T99" s="36">
        <f t="shared" si="111"/>
        <v>726.27288238543213</v>
      </c>
      <c r="U99" s="36">
        <f t="shared" si="111"/>
        <v>685.58474673351452</v>
      </c>
      <c r="V99" s="36">
        <f t="shared" si="111"/>
        <v>155.26645601979595</v>
      </c>
      <c r="W99" s="36">
        <f t="shared" ref="W99:Y99" si="112">IF(W27=0,0,W27/W47)</f>
        <v>270.08571823565381</v>
      </c>
      <c r="X99" s="36">
        <f t="shared" si="112"/>
        <v>335.12343750824402</v>
      </c>
      <c r="Y99" s="36">
        <f t="shared" si="112"/>
        <v>374.8968058137778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1064.3739084303452</v>
      </c>
      <c r="C100" s="13">
        <f t="shared" si="104"/>
        <v>1061.4240846368953</v>
      </c>
      <c r="D100" s="13">
        <f t="shared" ref="D100:V100" si="113">IF(D28=0,0,D28/D48)</f>
        <v>1044.9220903620351</v>
      </c>
      <c r="E100" s="13">
        <f t="shared" si="113"/>
        <v>1133.99645885215</v>
      </c>
      <c r="F100" s="13">
        <f t="shared" si="113"/>
        <v>1210.6183619904284</v>
      </c>
      <c r="G100" s="13">
        <f t="shared" si="113"/>
        <v>1053.0145379917756</v>
      </c>
      <c r="H100" s="13">
        <f t="shared" si="113"/>
        <v>1012.580280510626</v>
      </c>
      <c r="I100" s="13">
        <f t="shared" si="113"/>
        <v>1006.0002642669052</v>
      </c>
      <c r="J100" s="13">
        <f t="shared" si="113"/>
        <v>995.80310316500118</v>
      </c>
      <c r="K100" s="13">
        <f t="shared" si="113"/>
        <v>946.67366871943102</v>
      </c>
      <c r="L100" s="13">
        <f t="shared" si="113"/>
        <v>1074.6627372983539</v>
      </c>
      <c r="M100" s="13">
        <f t="shared" si="113"/>
        <v>1087.4341219467892</v>
      </c>
      <c r="N100" s="13">
        <f t="shared" si="113"/>
        <v>1147.7396435387745</v>
      </c>
      <c r="O100" s="13">
        <f t="shared" si="113"/>
        <v>1147.3540378156545</v>
      </c>
      <c r="P100" s="13">
        <f t="shared" si="113"/>
        <v>1146.6147395376233</v>
      </c>
      <c r="Q100" s="13">
        <f t="shared" si="113"/>
        <v>1139.108658324617</v>
      </c>
      <c r="R100" s="13">
        <f t="shared" si="113"/>
        <v>1107.4055250766014</v>
      </c>
      <c r="S100" s="13">
        <f t="shared" si="113"/>
        <v>1054.2545222587137</v>
      </c>
      <c r="T100" s="13">
        <f t="shared" si="113"/>
        <v>1040.1883815582869</v>
      </c>
      <c r="U100" s="13">
        <f t="shared" si="113"/>
        <v>1057.7596803531405</v>
      </c>
      <c r="V100" s="13">
        <f t="shared" si="113"/>
        <v>941.74797499159558</v>
      </c>
      <c r="W100" s="13">
        <f t="shared" ref="W100:Y100" si="114">IF(W28=0,0,W28/W48)</f>
        <v>1034.8265659865008</v>
      </c>
      <c r="X100" s="13">
        <f t="shared" si="114"/>
        <v>1036.7423517071422</v>
      </c>
      <c r="Y100" s="13">
        <f t="shared" si="114"/>
        <v>862.51189623778816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1236.9245715827822</v>
      </c>
      <c r="C102" s="34">
        <f t="shared" si="104"/>
        <v>1237.2719058730081</v>
      </c>
      <c r="D102" s="34">
        <f t="shared" ref="D102:V102" si="117">IF(D30=0,0,D30/D50)</f>
        <v>1235.7681947461087</v>
      </c>
      <c r="E102" s="34">
        <f t="shared" si="117"/>
        <v>1277.9215217430096</v>
      </c>
      <c r="F102" s="34">
        <f t="shared" si="117"/>
        <v>1341.5515705102969</v>
      </c>
      <c r="G102" s="34">
        <f t="shared" si="117"/>
        <v>1275.4562552945088</v>
      </c>
      <c r="H102" s="34">
        <f t="shared" si="117"/>
        <v>1248.2806940719249</v>
      </c>
      <c r="I102" s="34">
        <f t="shared" si="117"/>
        <v>1226.6319551092736</v>
      </c>
      <c r="J102" s="34">
        <f t="shared" si="117"/>
        <v>1197.4447801404792</v>
      </c>
      <c r="K102" s="34">
        <f t="shared" si="117"/>
        <v>1157.7136559258643</v>
      </c>
      <c r="L102" s="34">
        <f t="shared" si="117"/>
        <v>1204.2875389523178</v>
      </c>
      <c r="M102" s="34">
        <f t="shared" si="117"/>
        <v>1220.1447877208141</v>
      </c>
      <c r="N102" s="34">
        <f t="shared" si="117"/>
        <v>1237.0776018483468</v>
      </c>
      <c r="O102" s="34">
        <f t="shared" si="117"/>
        <v>1216.6063430625222</v>
      </c>
      <c r="P102" s="34">
        <f t="shared" si="117"/>
        <v>1194.3478137677894</v>
      </c>
      <c r="Q102" s="34">
        <f t="shared" si="117"/>
        <v>1160.6430127249801</v>
      </c>
      <c r="R102" s="34">
        <f t="shared" si="117"/>
        <v>1144.909403669725</v>
      </c>
      <c r="S102" s="34">
        <f t="shared" si="117"/>
        <v>1137.4637372571879</v>
      </c>
      <c r="T102" s="34">
        <f t="shared" si="117"/>
        <v>1122.1673716352357</v>
      </c>
      <c r="U102" s="34">
        <f t="shared" si="117"/>
        <v>1137.6110579451624</v>
      </c>
      <c r="V102" s="34">
        <f t="shared" si="117"/>
        <v>1018.9196713252533</v>
      </c>
      <c r="W102" s="34">
        <f t="shared" ref="W102:Y102" si="118">IF(W30=0,0,W30/W50)</f>
        <v>1160.777314157197</v>
      </c>
      <c r="X102" s="34">
        <f t="shared" si="118"/>
        <v>1166.8063191552731</v>
      </c>
      <c r="Y102" s="34">
        <f t="shared" si="118"/>
        <v>989.30632567302132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544</v>
      </c>
      <c r="C103" s="35">
        <f t="shared" si="104"/>
        <v>544</v>
      </c>
      <c r="D103" s="35">
        <f t="shared" ref="D103:V103" si="119">IF(D31=0,0,D31/D51)</f>
        <v>422.06896551724145</v>
      </c>
      <c r="E103" s="35">
        <f t="shared" si="119"/>
        <v>533.33333333333348</v>
      </c>
      <c r="F103" s="35">
        <f t="shared" si="119"/>
        <v>544</v>
      </c>
      <c r="G103" s="35">
        <f t="shared" si="119"/>
        <v>512</v>
      </c>
      <c r="H103" s="35">
        <f t="shared" si="119"/>
        <v>359.1297824456114</v>
      </c>
      <c r="I103" s="35">
        <f t="shared" si="119"/>
        <v>249.50040950040952</v>
      </c>
      <c r="J103" s="35">
        <f t="shared" si="119"/>
        <v>196.21280432822365</v>
      </c>
      <c r="K103" s="35">
        <f t="shared" si="119"/>
        <v>87.30190571715147</v>
      </c>
      <c r="L103" s="35">
        <f t="shared" si="119"/>
        <v>344.2259887005651</v>
      </c>
      <c r="M103" s="35">
        <f t="shared" si="119"/>
        <v>168.9003880983183</v>
      </c>
      <c r="N103" s="35">
        <f t="shared" si="119"/>
        <v>263.35854765506821</v>
      </c>
      <c r="O103" s="35">
        <f t="shared" si="119"/>
        <v>317.08561020036444</v>
      </c>
      <c r="P103" s="35">
        <f t="shared" si="119"/>
        <v>398.35240274599568</v>
      </c>
      <c r="Q103" s="35">
        <f t="shared" si="119"/>
        <v>669.538461538462</v>
      </c>
      <c r="R103" s="35">
        <f t="shared" si="119"/>
        <v>899</v>
      </c>
      <c r="S103" s="35">
        <f t="shared" si="119"/>
        <v>493.40555978083728</v>
      </c>
      <c r="T103" s="35">
        <f t="shared" si="119"/>
        <v>336.50256304400187</v>
      </c>
      <c r="U103" s="35">
        <f t="shared" si="119"/>
        <v>283.01305916166746</v>
      </c>
      <c r="V103" s="35">
        <f t="shared" si="119"/>
        <v>150.65027877891757</v>
      </c>
      <c r="W103" s="35">
        <f t="shared" ref="W103:Y103" si="120">IF(W31=0,0,W31/W51)</f>
        <v>302</v>
      </c>
      <c r="X103" s="35">
        <f t="shared" si="120"/>
        <v>199.21976232546862</v>
      </c>
      <c r="Y103" s="35">
        <f t="shared" si="120"/>
        <v>29.541825505286635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0.85454728350687326</v>
      </c>
      <c r="C108" s="43">
        <f t="shared" si="127"/>
        <v>0.85718366649636124</v>
      </c>
      <c r="D108" s="43">
        <f t="shared" ref="D108:V108" si="128">IF(D6=0,0,D6/D$4)</f>
        <v>0.84274805015501908</v>
      </c>
      <c r="E108" s="43">
        <f t="shared" si="128"/>
        <v>0.83494960598523149</v>
      </c>
      <c r="F108" s="43">
        <f t="shared" si="128"/>
        <v>0.81176306577856172</v>
      </c>
      <c r="G108" s="43">
        <f t="shared" si="128"/>
        <v>0.82074542796772409</v>
      </c>
      <c r="H108" s="43">
        <f t="shared" si="128"/>
        <v>0.82423156891999383</v>
      </c>
      <c r="I108" s="43">
        <f t="shared" si="128"/>
        <v>0.78793097947448076</v>
      </c>
      <c r="J108" s="43">
        <f t="shared" si="128"/>
        <v>0.74064350934563916</v>
      </c>
      <c r="K108" s="43">
        <f t="shared" si="128"/>
        <v>0.72366500213302543</v>
      </c>
      <c r="L108" s="43">
        <f t="shared" si="128"/>
        <v>0.69080907345211551</v>
      </c>
      <c r="M108" s="43">
        <f t="shared" si="128"/>
        <v>0.79584934690067766</v>
      </c>
      <c r="N108" s="43">
        <f t="shared" si="128"/>
        <v>0.72568441392253347</v>
      </c>
      <c r="O108" s="43">
        <f t="shared" si="128"/>
        <v>0.78248741387167442</v>
      </c>
      <c r="P108" s="43">
        <f t="shared" si="128"/>
        <v>0.7771536429303042</v>
      </c>
      <c r="Q108" s="43">
        <f t="shared" si="128"/>
        <v>0.74535299751445006</v>
      </c>
      <c r="R108" s="43">
        <f t="shared" si="128"/>
        <v>0.8065977109116016</v>
      </c>
      <c r="S108" s="43">
        <f t="shared" si="128"/>
        <v>0.80160965326931066</v>
      </c>
      <c r="T108" s="43">
        <f t="shared" si="128"/>
        <v>0.78095797771768016</v>
      </c>
      <c r="U108" s="43">
        <f t="shared" si="128"/>
        <v>0.72693571885427199</v>
      </c>
      <c r="V108" s="43">
        <f t="shared" si="128"/>
        <v>0.7615938552866568</v>
      </c>
      <c r="W108" s="43">
        <f t="shared" ref="W108:Y108" si="129">IF(W6=0,0,W6/W$4)</f>
        <v>0.6059997312646026</v>
      </c>
      <c r="X108" s="43">
        <f t="shared" si="129"/>
        <v>0.70575456924804558</v>
      </c>
      <c r="Y108" s="43">
        <f t="shared" si="129"/>
        <v>0.67870290173592407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0.14545271649312683</v>
      </c>
      <c r="C109" s="43">
        <f t="shared" si="130"/>
        <v>0.14281633350363879</v>
      </c>
      <c r="D109" s="43">
        <f t="shared" ref="D109:V109" si="131">IF(D7=0,0,D7/D$4)</f>
        <v>0.15725194984498084</v>
      </c>
      <c r="E109" s="43">
        <f t="shared" si="131"/>
        <v>0.16505039401476843</v>
      </c>
      <c r="F109" s="43">
        <f t="shared" si="131"/>
        <v>0.18823693422143833</v>
      </c>
      <c r="G109" s="43">
        <f t="shared" si="131"/>
        <v>0.17925457203227602</v>
      </c>
      <c r="H109" s="43">
        <f t="shared" si="131"/>
        <v>0.17576843108000617</v>
      </c>
      <c r="I109" s="43">
        <f t="shared" si="131"/>
        <v>0.21206902052551918</v>
      </c>
      <c r="J109" s="43">
        <f t="shared" si="131"/>
        <v>0.25935649065436084</v>
      </c>
      <c r="K109" s="43">
        <f t="shared" si="131"/>
        <v>0.27633499786697457</v>
      </c>
      <c r="L109" s="43">
        <f t="shared" si="131"/>
        <v>0.30919092654788449</v>
      </c>
      <c r="M109" s="43">
        <f t="shared" si="131"/>
        <v>0.20415065309932232</v>
      </c>
      <c r="N109" s="43">
        <f t="shared" si="131"/>
        <v>0.27431558607746659</v>
      </c>
      <c r="O109" s="43">
        <f t="shared" si="131"/>
        <v>0.21751258612832555</v>
      </c>
      <c r="P109" s="43">
        <f t="shared" si="131"/>
        <v>0.22284635706969586</v>
      </c>
      <c r="Q109" s="43">
        <f t="shared" si="131"/>
        <v>0.25464700248554994</v>
      </c>
      <c r="R109" s="43">
        <f t="shared" si="131"/>
        <v>0.19340228908839846</v>
      </c>
      <c r="S109" s="43">
        <f t="shared" si="131"/>
        <v>0.19839034673068928</v>
      </c>
      <c r="T109" s="43">
        <f t="shared" si="131"/>
        <v>0.21904202228231992</v>
      </c>
      <c r="U109" s="43">
        <f t="shared" si="131"/>
        <v>0.27306428114572795</v>
      </c>
      <c r="V109" s="43">
        <f t="shared" si="131"/>
        <v>0.23840614471334312</v>
      </c>
      <c r="W109" s="43">
        <f t="shared" ref="W109:Y109" si="132">IF(W7=0,0,W7/W$4)</f>
        <v>0.39400026873539734</v>
      </c>
      <c r="X109" s="43">
        <f t="shared" si="132"/>
        <v>0.29424543075195447</v>
      </c>
      <c r="Y109" s="43">
        <f t="shared" si="132"/>
        <v>0.32129709826407588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0.33785984500431754</v>
      </c>
      <c r="C112" s="44">
        <f t="shared" si="139"/>
        <v>0.34271000351230274</v>
      </c>
      <c r="D112" s="44">
        <f t="shared" ref="D112:V112" si="140">IF(D10=0,0,D10/D$8)</f>
        <v>0.4043642799103489</v>
      </c>
      <c r="E112" s="44">
        <f t="shared" si="140"/>
        <v>0.41055054874146701</v>
      </c>
      <c r="F112" s="44">
        <f t="shared" si="140"/>
        <v>0.43977322748474779</v>
      </c>
      <c r="G112" s="44">
        <f t="shared" si="140"/>
        <v>0.31449132011840231</v>
      </c>
      <c r="H112" s="44">
        <f t="shared" si="140"/>
        <v>0.45335159694495536</v>
      </c>
      <c r="I112" s="44">
        <f t="shared" si="140"/>
        <v>0.63064777609955924</v>
      </c>
      <c r="J112" s="44">
        <f t="shared" si="140"/>
        <v>0.74081622027440142</v>
      </c>
      <c r="K112" s="44">
        <f t="shared" si="140"/>
        <v>0.87269178703140349</v>
      </c>
      <c r="L112" s="44">
        <f t="shared" si="140"/>
        <v>0.67839100846437606</v>
      </c>
      <c r="M112" s="44">
        <f t="shared" si="140"/>
        <v>0.85027119872309109</v>
      </c>
      <c r="N112" s="44">
        <f t="shared" si="140"/>
        <v>0.82649258604198383</v>
      </c>
      <c r="O112" s="44">
        <f t="shared" si="140"/>
        <v>0.89183206150635363</v>
      </c>
      <c r="P112" s="44">
        <f t="shared" si="140"/>
        <v>0.90088445579204091</v>
      </c>
      <c r="Q112" s="44">
        <f t="shared" si="140"/>
        <v>0.87870357997448478</v>
      </c>
      <c r="R112" s="44">
        <f t="shared" si="140"/>
        <v>0.61173143007191955</v>
      </c>
      <c r="S112" s="44">
        <f t="shared" si="140"/>
        <v>0.80943211510869073</v>
      </c>
      <c r="T112" s="44">
        <f t="shared" si="140"/>
        <v>0.89326442501327596</v>
      </c>
      <c r="U112" s="44">
        <f t="shared" si="140"/>
        <v>0.83719921174341139</v>
      </c>
      <c r="V112" s="44">
        <f t="shared" si="140"/>
        <v>0.91191270006388592</v>
      </c>
      <c r="W112" s="44">
        <f t="shared" ref="W112:Y112" si="141">IF(W10=0,0,W10/W$8)</f>
        <v>0.55574254655655853</v>
      </c>
      <c r="X112" s="44">
        <f t="shared" si="141"/>
        <v>0.66711906937922338</v>
      </c>
      <c r="Y112" s="44">
        <f t="shared" si="141"/>
        <v>0.95860615241569591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0.66214015499568246</v>
      </c>
      <c r="C113" s="45">
        <f t="shared" si="142"/>
        <v>0.65728999648769737</v>
      </c>
      <c r="D113" s="45">
        <f t="shared" ref="D113:V113" si="143">IF(D11=0,0,D11/D$8)</f>
        <v>0.59563572008965104</v>
      </c>
      <c r="E113" s="45">
        <f t="shared" si="143"/>
        <v>0.5894494512585331</v>
      </c>
      <c r="F113" s="45">
        <f t="shared" si="143"/>
        <v>0.56022677251525221</v>
      </c>
      <c r="G113" s="45">
        <f t="shared" si="143"/>
        <v>0.68550867988159769</v>
      </c>
      <c r="H113" s="45">
        <f t="shared" si="143"/>
        <v>0.5466484030550447</v>
      </c>
      <c r="I113" s="45">
        <f t="shared" si="143"/>
        <v>0.36935222390044087</v>
      </c>
      <c r="J113" s="45">
        <f t="shared" si="143"/>
        <v>0.2591837797255987</v>
      </c>
      <c r="K113" s="45">
        <f t="shared" si="143"/>
        <v>0.12730821296859662</v>
      </c>
      <c r="L113" s="45">
        <f t="shared" si="143"/>
        <v>0.32160899153562389</v>
      </c>
      <c r="M113" s="45">
        <f t="shared" si="143"/>
        <v>0.14972880127690896</v>
      </c>
      <c r="N113" s="45">
        <f t="shared" si="143"/>
        <v>0.17350741395801617</v>
      </c>
      <c r="O113" s="45">
        <f t="shared" si="143"/>
        <v>0.10816793849364637</v>
      </c>
      <c r="P113" s="45">
        <f t="shared" si="143"/>
        <v>9.9115544207959108E-2</v>
      </c>
      <c r="Q113" s="45">
        <f t="shared" si="143"/>
        <v>0.12129642002551523</v>
      </c>
      <c r="R113" s="45">
        <f t="shared" si="143"/>
        <v>0.38826856992808056</v>
      </c>
      <c r="S113" s="45">
        <f t="shared" si="143"/>
        <v>0.19056788489130919</v>
      </c>
      <c r="T113" s="45">
        <f t="shared" si="143"/>
        <v>0.10673557498672404</v>
      </c>
      <c r="U113" s="45">
        <f t="shared" si="143"/>
        <v>0.16280078825658859</v>
      </c>
      <c r="V113" s="45">
        <f t="shared" si="143"/>
        <v>8.808729993611418E-2</v>
      </c>
      <c r="W113" s="45">
        <f t="shared" ref="W113:Y113" si="144">IF(W11=0,0,W11/W$8)</f>
        <v>0.44425745344344153</v>
      </c>
      <c r="X113" s="45">
        <f t="shared" si="144"/>
        <v>0.33288093062077656</v>
      </c>
      <c r="Y113" s="45">
        <f t="shared" si="144"/>
        <v>4.1393847584304089E-2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0.88027019607480561</v>
      </c>
      <c r="C118" s="43">
        <f t="shared" si="151"/>
        <v>0.8801247222690155</v>
      </c>
      <c r="D118" s="43">
        <f t="shared" ref="D118:V118" si="152">IF(D16=0,0,D16/D$14)</f>
        <v>0.87272350878455551</v>
      </c>
      <c r="E118" s="43">
        <f t="shared" si="152"/>
        <v>0.85276497306837762</v>
      </c>
      <c r="F118" s="43">
        <f t="shared" si="152"/>
        <v>0.82090416038789527</v>
      </c>
      <c r="G118" s="43">
        <f t="shared" si="152"/>
        <v>0.83227068636914192</v>
      </c>
      <c r="H118" s="43">
        <f t="shared" si="152"/>
        <v>0.83264096026358281</v>
      </c>
      <c r="I118" s="43">
        <f t="shared" si="152"/>
        <v>0.83597024355138472</v>
      </c>
      <c r="J118" s="43">
        <f t="shared" si="152"/>
        <v>0.8019122050600157</v>
      </c>
      <c r="K118" s="43">
        <f t="shared" si="152"/>
        <v>0.76161816085191003</v>
      </c>
      <c r="L118" s="43">
        <f t="shared" si="152"/>
        <v>0.70732642292991776</v>
      </c>
      <c r="M118" s="43">
        <f t="shared" si="152"/>
        <v>0.76489127075034313</v>
      </c>
      <c r="N118" s="43">
        <f t="shared" si="152"/>
        <v>0.66227889061194933</v>
      </c>
      <c r="O118" s="43">
        <f t="shared" si="152"/>
        <v>0.7555985504935977</v>
      </c>
      <c r="P118" s="43">
        <f t="shared" si="152"/>
        <v>0.76876252949484802</v>
      </c>
      <c r="Q118" s="43">
        <f t="shared" si="152"/>
        <v>0.74715337030632811</v>
      </c>
      <c r="R118" s="43">
        <f t="shared" si="152"/>
        <v>0.8363508189330372</v>
      </c>
      <c r="S118" s="43">
        <f t="shared" si="152"/>
        <v>0.81108251647616914</v>
      </c>
      <c r="T118" s="43">
        <f t="shared" si="152"/>
        <v>0.78881699582668074</v>
      </c>
      <c r="U118" s="43">
        <f t="shared" si="152"/>
        <v>0.75944483401041374</v>
      </c>
      <c r="V118" s="43">
        <f t="shared" si="152"/>
        <v>0.81276532966898685</v>
      </c>
      <c r="W118" s="43">
        <f t="shared" ref="W118:Y118" si="153">IF(W16=0,0,W16/W$14)</f>
        <v>0.67938850411410434</v>
      </c>
      <c r="X118" s="43">
        <f t="shared" si="153"/>
        <v>0.76649250730183249</v>
      </c>
      <c r="Y118" s="43">
        <f t="shared" si="153"/>
        <v>0.74817826436577795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0.11972980392519438</v>
      </c>
      <c r="C119" s="43">
        <f t="shared" si="154"/>
        <v>0.11987527773098441</v>
      </c>
      <c r="D119" s="43">
        <f t="shared" ref="D119:V119" si="155">IF(D17=0,0,D17/D$14)</f>
        <v>0.12727649121544446</v>
      </c>
      <c r="E119" s="43">
        <f t="shared" si="155"/>
        <v>0.14723502693162241</v>
      </c>
      <c r="F119" s="43">
        <f t="shared" si="155"/>
        <v>0.17909583961210482</v>
      </c>
      <c r="G119" s="43">
        <f t="shared" si="155"/>
        <v>0.16772931363085808</v>
      </c>
      <c r="H119" s="43">
        <f t="shared" si="155"/>
        <v>0.16735903973641711</v>
      </c>
      <c r="I119" s="43">
        <f t="shared" si="155"/>
        <v>0.16402975644861528</v>
      </c>
      <c r="J119" s="43">
        <f t="shared" si="155"/>
        <v>0.19808779493998427</v>
      </c>
      <c r="K119" s="43">
        <f t="shared" si="155"/>
        <v>0.23838183914808983</v>
      </c>
      <c r="L119" s="43">
        <f t="shared" si="155"/>
        <v>0.29267357707008218</v>
      </c>
      <c r="M119" s="43">
        <f t="shared" si="155"/>
        <v>0.23510872924965692</v>
      </c>
      <c r="N119" s="43">
        <f t="shared" si="155"/>
        <v>0.33772110938805067</v>
      </c>
      <c r="O119" s="43">
        <f t="shared" si="155"/>
        <v>0.24440144950640227</v>
      </c>
      <c r="P119" s="43">
        <f t="shared" si="155"/>
        <v>0.23123747050515192</v>
      </c>
      <c r="Q119" s="43">
        <f t="shared" si="155"/>
        <v>0.25284662969367183</v>
      </c>
      <c r="R119" s="43">
        <f t="shared" si="155"/>
        <v>0.16364918106696272</v>
      </c>
      <c r="S119" s="43">
        <f t="shared" si="155"/>
        <v>0.18891748352383095</v>
      </c>
      <c r="T119" s="43">
        <f t="shared" si="155"/>
        <v>0.21118300417331928</v>
      </c>
      <c r="U119" s="43">
        <f t="shared" si="155"/>
        <v>0.24055516598958618</v>
      </c>
      <c r="V119" s="43">
        <f t="shared" si="155"/>
        <v>0.18723467033101315</v>
      </c>
      <c r="W119" s="43">
        <f t="shared" ref="W119:Y119" si="156">IF(W17=0,0,W17/W$14)</f>
        <v>0.32061149588589571</v>
      </c>
      <c r="X119" s="43">
        <f t="shared" si="156"/>
        <v>0.23350749269816748</v>
      </c>
      <c r="Y119" s="43">
        <f t="shared" si="156"/>
        <v>0.25182173563422211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0.61286913199120419</v>
      </c>
      <c r="C122" s="44">
        <f t="shared" si="163"/>
        <v>0.60684040591044797</v>
      </c>
      <c r="D122" s="44">
        <f t="shared" ref="D122:V122" si="164">IF(D20=0,0,D20/D$18)</f>
        <v>0.65896300286587473</v>
      </c>
      <c r="E122" s="44">
        <f t="shared" si="164"/>
        <v>0.62551047850416253</v>
      </c>
      <c r="F122" s="44">
        <f t="shared" si="164"/>
        <v>0.66500294276386263</v>
      </c>
      <c r="G122" s="44">
        <f t="shared" si="164"/>
        <v>0.52751882489729651</v>
      </c>
      <c r="H122" s="44">
        <f t="shared" si="164"/>
        <v>0.68693648947772001</v>
      </c>
      <c r="I122" s="44">
        <f t="shared" si="164"/>
        <v>0.81744104836670539</v>
      </c>
      <c r="J122" s="44">
        <f t="shared" si="164"/>
        <v>0.88171776783211053</v>
      </c>
      <c r="K122" s="44">
        <f t="shared" si="164"/>
        <v>0.95145698310936844</v>
      </c>
      <c r="L122" s="44">
        <f t="shared" si="164"/>
        <v>0.85010524173270752</v>
      </c>
      <c r="M122" s="44">
        <f t="shared" si="164"/>
        <v>0.93952613661487794</v>
      </c>
      <c r="N122" s="44">
        <f t="shared" si="164"/>
        <v>0.92950794213178978</v>
      </c>
      <c r="O122" s="44">
        <f t="shared" si="164"/>
        <v>0.96142886061143296</v>
      </c>
      <c r="P122" s="44">
        <f t="shared" si="164"/>
        <v>0.9638604536238532</v>
      </c>
      <c r="Q122" s="44">
        <f t="shared" si="164"/>
        <v>0.95430381117115826</v>
      </c>
      <c r="R122" s="44">
        <f t="shared" si="164"/>
        <v>0.83839424313804967</v>
      </c>
      <c r="S122" s="44">
        <f t="shared" si="164"/>
        <v>0.93396364849037317</v>
      </c>
      <c r="T122" s="44">
        <f t="shared" si="164"/>
        <v>0.96226972868007077</v>
      </c>
      <c r="U122" s="44">
        <f t="shared" si="164"/>
        <v>0.93875022808177266</v>
      </c>
      <c r="V122" s="44">
        <f t="shared" si="164"/>
        <v>0.95694694352973342</v>
      </c>
      <c r="W122" s="44">
        <f t="shared" ref="W122:Y122" si="165">IF(W20=0,0,W20/W$18)</f>
        <v>0.74225357190141317</v>
      </c>
      <c r="X122" s="44">
        <f t="shared" si="165"/>
        <v>0.84452045765185479</v>
      </c>
      <c r="Y122" s="44">
        <f t="shared" si="165"/>
        <v>0.9850909952491077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0.38713086800879576</v>
      </c>
      <c r="C123" s="45">
        <f t="shared" si="166"/>
        <v>0.39315959408955198</v>
      </c>
      <c r="D123" s="45">
        <f t="shared" ref="D123:V123" si="167">IF(D21=0,0,D21/D$18)</f>
        <v>0.34103699713412527</v>
      </c>
      <c r="E123" s="45">
        <f t="shared" si="167"/>
        <v>0.37448952149583742</v>
      </c>
      <c r="F123" s="45">
        <f t="shared" si="167"/>
        <v>0.33499705723613749</v>
      </c>
      <c r="G123" s="45">
        <f t="shared" si="167"/>
        <v>0.47248117510270354</v>
      </c>
      <c r="H123" s="45">
        <f t="shared" si="167"/>
        <v>0.31306351052227999</v>
      </c>
      <c r="I123" s="45">
        <f t="shared" si="167"/>
        <v>0.18255895163329464</v>
      </c>
      <c r="J123" s="45">
        <f t="shared" si="167"/>
        <v>0.11828223216788941</v>
      </c>
      <c r="K123" s="45">
        <f t="shared" si="167"/>
        <v>4.8543016890631625E-2</v>
      </c>
      <c r="L123" s="45">
        <f t="shared" si="167"/>
        <v>0.14989475826729257</v>
      </c>
      <c r="M123" s="45">
        <f t="shared" si="167"/>
        <v>6.0473863385122062E-2</v>
      </c>
      <c r="N123" s="45">
        <f t="shared" si="167"/>
        <v>7.049205786821014E-2</v>
      </c>
      <c r="O123" s="45">
        <f t="shared" si="167"/>
        <v>3.8571139388567009E-2</v>
      </c>
      <c r="P123" s="45">
        <f t="shared" si="167"/>
        <v>3.6139546376146817E-2</v>
      </c>
      <c r="Q123" s="45">
        <f t="shared" si="167"/>
        <v>4.5696188828841737E-2</v>
      </c>
      <c r="R123" s="45">
        <f t="shared" si="167"/>
        <v>0.16160575686195036</v>
      </c>
      <c r="S123" s="45">
        <f t="shared" si="167"/>
        <v>6.6036351509626834E-2</v>
      </c>
      <c r="T123" s="45">
        <f t="shared" si="167"/>
        <v>3.7730271319929239E-2</v>
      </c>
      <c r="U123" s="45">
        <f t="shared" si="167"/>
        <v>6.1249771918227398E-2</v>
      </c>
      <c r="V123" s="45">
        <f t="shared" si="167"/>
        <v>4.3053056470266617E-2</v>
      </c>
      <c r="W123" s="45">
        <f t="shared" ref="W123:Y123" si="168">IF(W21=0,0,W21/W$18)</f>
        <v>0.25774642809858672</v>
      </c>
      <c r="X123" s="45">
        <f t="shared" si="168"/>
        <v>0.15547954234814529</v>
      </c>
      <c r="Y123" s="45">
        <f t="shared" si="168"/>
        <v>1.4909004750892249E-2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20.540756663800522</v>
      </c>
      <c r="C3" s="79">
        <f t="shared" si="0"/>
        <v>16.977987962166807</v>
      </c>
      <c r="D3" s="79">
        <f t="shared" ref="D3" si="1">SUM(D4:D5)</f>
        <v>17.826311263972482</v>
      </c>
      <c r="E3" s="79">
        <f t="shared" ref="E3" si="2">SUM(E4:E5)</f>
        <v>20.704041272570944</v>
      </c>
      <c r="F3" s="79">
        <f t="shared" ref="F3" si="3">SUM(F4:F5)</f>
        <v>31.995614789337917</v>
      </c>
      <c r="G3" s="79">
        <f t="shared" ref="G3" si="4">SUM(G4:G5)</f>
        <v>50.719432502149623</v>
      </c>
      <c r="H3" s="79">
        <f t="shared" ref="H3" si="5">SUM(H4:H5)</f>
        <v>51.905159071367152</v>
      </c>
      <c r="I3" s="79">
        <f t="shared" ref="I3" si="6">SUM(I4:I5)</f>
        <v>59.107050730868437</v>
      </c>
      <c r="J3" s="79">
        <f t="shared" ref="J3" si="7">SUM(J4:J5)</f>
        <v>67.549269131556329</v>
      </c>
      <c r="K3" s="79">
        <f t="shared" ref="K3" si="8">SUM(K4:K5)</f>
        <v>36.67652622527946</v>
      </c>
      <c r="L3" s="79">
        <f t="shared" ref="L3" si="9">SUM(L4:L5)</f>
        <v>33.64161650902836</v>
      </c>
      <c r="M3" s="79">
        <f t="shared" ref="M3" si="10">SUM(M4:M5)</f>
        <v>45.383748925193473</v>
      </c>
      <c r="N3" s="79">
        <f t="shared" ref="N3" si="11">SUM(N4:N5)</f>
        <v>59.7212381771281</v>
      </c>
      <c r="O3" s="79">
        <f t="shared" ref="O3" si="12">SUM(O4:O5)</f>
        <v>47.64634565778158</v>
      </c>
      <c r="P3" s="79">
        <f t="shared" ref="P3" si="13">SUM(P4:P5)</f>
        <v>47.669905417024921</v>
      </c>
      <c r="Q3" s="79">
        <f t="shared" ref="Q3" si="14">SUM(Q4:Q5)</f>
        <v>49.982803095442812</v>
      </c>
      <c r="R3" s="79">
        <f t="shared" ref="R3" si="15">SUM(R4:R5)</f>
        <v>45.834651762682704</v>
      </c>
      <c r="S3" s="79">
        <f t="shared" ref="S3" si="16">SUM(S4:S5)</f>
        <v>59.65339638865003</v>
      </c>
      <c r="T3" s="79">
        <f t="shared" ref="T3" si="17">SUM(T4:T5)</f>
        <v>69.406190885640584</v>
      </c>
      <c r="U3" s="79">
        <f t="shared" ref="U3" si="18">SUM(U4:U5)</f>
        <v>68.479793637145306</v>
      </c>
      <c r="V3" s="79">
        <f t="shared" ref="V3:W3" si="19">SUM(V4:V5)</f>
        <v>24.001891659501286</v>
      </c>
      <c r="W3" s="79">
        <f t="shared" si="19"/>
        <v>43.039036973344793</v>
      </c>
      <c r="X3" s="79">
        <f t="shared" ref="X3:Y3" si="20">SUM(X4:X5)</f>
        <v>57.341530524505586</v>
      </c>
      <c r="Y3" s="79">
        <f t="shared" si="20"/>
        <v>48.235855546001694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20.540756663800522</v>
      </c>
      <c r="C5" s="96">
        <f t="shared" si="24"/>
        <v>16.977987962166807</v>
      </c>
      <c r="D5" s="96">
        <f t="shared" ref="D5:V5" si="25">SUM(D8:D9,D12:D13)</f>
        <v>17.826311263972482</v>
      </c>
      <c r="E5" s="96">
        <f t="shared" si="25"/>
        <v>20.704041272570944</v>
      </c>
      <c r="F5" s="96">
        <f t="shared" si="25"/>
        <v>31.995614789337917</v>
      </c>
      <c r="G5" s="96">
        <f t="shared" si="25"/>
        <v>50.719432502149623</v>
      </c>
      <c r="H5" s="96">
        <f t="shared" si="25"/>
        <v>51.905159071367152</v>
      </c>
      <c r="I5" s="96">
        <f t="shared" si="25"/>
        <v>59.107050730868437</v>
      </c>
      <c r="J5" s="96">
        <f t="shared" si="25"/>
        <v>67.549269131556329</v>
      </c>
      <c r="K5" s="96">
        <f t="shared" si="25"/>
        <v>36.67652622527946</v>
      </c>
      <c r="L5" s="96">
        <f t="shared" si="25"/>
        <v>33.64161650902836</v>
      </c>
      <c r="M5" s="96">
        <f t="shared" si="25"/>
        <v>45.383748925193473</v>
      </c>
      <c r="N5" s="96">
        <f t="shared" si="25"/>
        <v>59.7212381771281</v>
      </c>
      <c r="O5" s="96">
        <f t="shared" si="25"/>
        <v>47.64634565778158</v>
      </c>
      <c r="P5" s="96">
        <f t="shared" si="25"/>
        <v>47.669905417024921</v>
      </c>
      <c r="Q5" s="96">
        <f t="shared" si="25"/>
        <v>49.982803095442812</v>
      </c>
      <c r="R5" s="96">
        <f t="shared" si="25"/>
        <v>45.834651762682704</v>
      </c>
      <c r="S5" s="96">
        <f t="shared" si="25"/>
        <v>59.65339638865003</v>
      </c>
      <c r="T5" s="96">
        <f t="shared" si="25"/>
        <v>69.406190885640584</v>
      </c>
      <c r="U5" s="96">
        <f t="shared" si="25"/>
        <v>68.479793637145306</v>
      </c>
      <c r="V5" s="96">
        <f t="shared" si="25"/>
        <v>24.001891659501286</v>
      </c>
      <c r="W5" s="96">
        <f t="shared" ref="W5:Y5" si="26">SUM(W8:W9,W12:W13)</f>
        <v>43.039036973344793</v>
      </c>
      <c r="X5" s="96">
        <f t="shared" si="26"/>
        <v>57.341530524505586</v>
      </c>
      <c r="Y5" s="96">
        <f t="shared" si="26"/>
        <v>48.235855546001694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20.270861394285934</v>
      </c>
      <c r="C6" s="21">
        <f t="shared" si="27"/>
        <v>16.732956999125545</v>
      </c>
      <c r="D6" s="21">
        <f t="shared" ref="D6:V6" si="28">SUM(D7:D9)</f>
        <v>17.601918114775611</v>
      </c>
      <c r="E6" s="21">
        <f t="shared" si="28"/>
        <v>20.433888508319697</v>
      </c>
      <c r="F6" s="21">
        <f t="shared" si="28"/>
        <v>31.64559748327374</v>
      </c>
      <c r="G6" s="21">
        <f t="shared" si="28"/>
        <v>50.23672225659729</v>
      </c>
      <c r="H6" s="21">
        <f t="shared" si="28"/>
        <v>51.442666207097574</v>
      </c>
      <c r="I6" s="21">
        <f t="shared" si="28"/>
        <v>58.600134950052166</v>
      </c>
      <c r="J6" s="21">
        <f t="shared" si="28"/>
        <v>66.954239415535028</v>
      </c>
      <c r="K6" s="21">
        <f t="shared" si="28"/>
        <v>36.331110331597195</v>
      </c>
      <c r="L6" s="21">
        <f t="shared" si="28"/>
        <v>33.261790392257197</v>
      </c>
      <c r="M6" s="21">
        <f t="shared" si="28"/>
        <v>44.973113759777874</v>
      </c>
      <c r="N6" s="21">
        <f t="shared" si="28"/>
        <v>59.156736971499939</v>
      </c>
      <c r="O6" s="21">
        <f t="shared" si="28"/>
        <v>47.027166814962264</v>
      </c>
      <c r="P6" s="21">
        <f t="shared" si="28"/>
        <v>47.06621349413814</v>
      </c>
      <c r="Q6" s="21">
        <f t="shared" si="28"/>
        <v>49.399746303357887</v>
      </c>
      <c r="R6" s="21">
        <f t="shared" si="28"/>
        <v>45.295843967832475</v>
      </c>
      <c r="S6" s="21">
        <f t="shared" si="28"/>
        <v>58.996469970366633</v>
      </c>
      <c r="T6" s="21">
        <f t="shared" si="28"/>
        <v>68.713499236249831</v>
      </c>
      <c r="U6" s="21">
        <f t="shared" si="28"/>
        <v>67.734818919066953</v>
      </c>
      <c r="V6" s="21">
        <f t="shared" si="28"/>
        <v>23.291621284797682</v>
      </c>
      <c r="W6" s="21">
        <f t="shared" ref="W6:Y6" si="29">SUM(W7:W9)</f>
        <v>41.786242939956644</v>
      </c>
      <c r="X6" s="21">
        <f t="shared" si="29"/>
        <v>56.388883034515416</v>
      </c>
      <c r="Y6" s="21">
        <f t="shared" si="29"/>
        <v>47.640261224311352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18.73202709626894</v>
      </c>
      <c r="C8" s="96">
        <v>15.461027015772116</v>
      </c>
      <c r="D8" s="96">
        <v>16.177689554678732</v>
      </c>
      <c r="E8" s="96">
        <v>18.512460202324</v>
      </c>
      <c r="F8" s="96">
        <v>28.0090078119871</v>
      </c>
      <c r="G8" s="96">
        <v>45.125518383899887</v>
      </c>
      <c r="H8" s="96">
        <v>46.371792298614793</v>
      </c>
      <c r="I8" s="96">
        <v>52.9481699470143</v>
      </c>
      <c r="J8" s="96">
        <v>60.19577153679797</v>
      </c>
      <c r="K8" s="96">
        <v>32.131982612832338</v>
      </c>
      <c r="L8" s="96">
        <v>29.396421966255527</v>
      </c>
      <c r="M8" s="96">
        <v>40.600961294231176</v>
      </c>
      <c r="N8" s="96">
        <v>52.84805022992564</v>
      </c>
      <c r="O8" s="96">
        <v>41.676994343463882</v>
      </c>
      <c r="P8" s="96">
        <v>41.738985570963727</v>
      </c>
      <c r="Q8" s="96">
        <v>43.83592884121574</v>
      </c>
      <c r="R8" s="96">
        <v>40.320793441952809</v>
      </c>
      <c r="S8" s="96">
        <v>52.731864320308063</v>
      </c>
      <c r="T8" s="96">
        <v>61.694503788700978</v>
      </c>
      <c r="U8" s="96">
        <v>60.622842238271524</v>
      </c>
      <c r="V8" s="96">
        <v>20.136239818199101</v>
      </c>
      <c r="W8" s="96">
        <v>36.840229047102369</v>
      </c>
      <c r="X8" s="96">
        <v>50.879557316966512</v>
      </c>
      <c r="Y8" s="96">
        <v>42.690816763834306</v>
      </c>
      <c r="DA8" s="171" t="s">
        <v>282</v>
      </c>
    </row>
    <row r="9" spans="1:105" ht="11.45" customHeight="1" x14ac:dyDescent="0.25">
      <c r="A9" s="83" t="s">
        <v>182</v>
      </c>
      <c r="B9" s="96">
        <v>1.5388342980169942</v>
      </c>
      <c r="C9" s="96">
        <v>1.2719299833534297</v>
      </c>
      <c r="D9" s="96">
        <v>1.4242285600968798</v>
      </c>
      <c r="E9" s="96">
        <v>1.9214283059956963</v>
      </c>
      <c r="F9" s="96">
        <v>3.6365896712866395</v>
      </c>
      <c r="G9" s="96">
        <v>5.1112038726974047</v>
      </c>
      <c r="H9" s="96">
        <v>5.070873908482783</v>
      </c>
      <c r="I9" s="96">
        <v>5.651965003037863</v>
      </c>
      <c r="J9" s="96">
        <v>6.7584678787370533</v>
      </c>
      <c r="K9" s="96">
        <v>4.1991277187648546</v>
      </c>
      <c r="L9" s="96">
        <v>3.8653684260016687</v>
      </c>
      <c r="M9" s="96">
        <v>4.3721524655466943</v>
      </c>
      <c r="N9" s="96">
        <v>6.3086867415742987</v>
      </c>
      <c r="O9" s="96">
        <v>5.350172471498384</v>
      </c>
      <c r="P9" s="96">
        <v>5.3272279231744095</v>
      </c>
      <c r="Q9" s="96">
        <v>5.5638174621421443</v>
      </c>
      <c r="R9" s="96">
        <v>4.9750505258796682</v>
      </c>
      <c r="S9" s="96">
        <v>6.2646056500585692</v>
      </c>
      <c r="T9" s="96">
        <v>7.0189954475488534</v>
      </c>
      <c r="U9" s="96">
        <v>7.1119766807954363</v>
      </c>
      <c r="V9" s="96">
        <v>3.15538146659858</v>
      </c>
      <c r="W9" s="96">
        <v>4.9460138928542774</v>
      </c>
      <c r="X9" s="96">
        <v>5.5093257175489052</v>
      </c>
      <c r="Y9" s="96">
        <v>4.9494444604770447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0.26989526951459053</v>
      </c>
      <c r="C10" s="22">
        <f t="shared" si="30"/>
        <v>0.2450309630412647</v>
      </c>
      <c r="D10" s="22">
        <f t="shared" ref="D10:V10" si="31">SUM(D11:D13)</f>
        <v>0.22439314919687078</v>
      </c>
      <c r="E10" s="22">
        <f t="shared" si="31"/>
        <v>0.27015276425124507</v>
      </c>
      <c r="F10" s="22">
        <f t="shared" si="31"/>
        <v>0.35001730606417758</v>
      </c>
      <c r="G10" s="22">
        <f t="shared" si="31"/>
        <v>0.48271024555233155</v>
      </c>
      <c r="H10" s="22">
        <f t="shared" si="31"/>
        <v>0.46249286426958275</v>
      </c>
      <c r="I10" s="22">
        <f t="shared" si="31"/>
        <v>0.50691578081627053</v>
      </c>
      <c r="J10" s="22">
        <f t="shared" si="31"/>
        <v>0.59502971602130161</v>
      </c>
      <c r="K10" s="22">
        <f t="shared" si="31"/>
        <v>0.34541589368225878</v>
      </c>
      <c r="L10" s="22">
        <f t="shared" si="31"/>
        <v>0.37982611677116573</v>
      </c>
      <c r="M10" s="22">
        <f t="shared" si="31"/>
        <v>0.41063516541559275</v>
      </c>
      <c r="N10" s="22">
        <f t="shared" si="31"/>
        <v>0.56450120562816375</v>
      </c>
      <c r="O10" s="22">
        <f t="shared" si="31"/>
        <v>0.61917884281931834</v>
      </c>
      <c r="P10" s="22">
        <f t="shared" si="31"/>
        <v>0.60369192288678364</v>
      </c>
      <c r="Q10" s="22">
        <f t="shared" si="31"/>
        <v>0.58305679208492522</v>
      </c>
      <c r="R10" s="22">
        <f t="shared" si="31"/>
        <v>0.53880779485022834</v>
      </c>
      <c r="S10" s="22">
        <f t="shared" si="31"/>
        <v>0.65692641828339726</v>
      </c>
      <c r="T10" s="22">
        <f t="shared" si="31"/>
        <v>0.69269164939075722</v>
      </c>
      <c r="U10" s="22">
        <f t="shared" si="31"/>
        <v>0.74497471807835303</v>
      </c>
      <c r="V10" s="22">
        <f t="shared" si="31"/>
        <v>0.71027037470360366</v>
      </c>
      <c r="W10" s="22">
        <f t="shared" ref="W10:Y10" si="32">SUM(W11:W13)</f>
        <v>1.2527940333881447</v>
      </c>
      <c r="X10" s="22">
        <f t="shared" si="32"/>
        <v>0.95264748999017268</v>
      </c>
      <c r="Y10" s="22">
        <f t="shared" si="32"/>
        <v>0.59559432169034521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0.21932766487896926</v>
      </c>
      <c r="C12" s="97">
        <v>0.19818008709925761</v>
      </c>
      <c r="D12" s="97">
        <v>0.18992091966218103</v>
      </c>
      <c r="E12" s="97">
        <v>0.2257101852348658</v>
      </c>
      <c r="F12" s="97">
        <v>0.30111701116287343</v>
      </c>
      <c r="G12" s="97">
        <v>0.37346263289921888</v>
      </c>
      <c r="H12" s="97">
        <v>0.40178883773042501</v>
      </c>
      <c r="I12" s="97">
        <v>0.47274034732336406</v>
      </c>
      <c r="J12" s="97">
        <v>0.5752115894639851</v>
      </c>
      <c r="K12" s="97">
        <v>0.34065956300083089</v>
      </c>
      <c r="L12" s="97">
        <v>0.36690355631481897</v>
      </c>
      <c r="M12" s="97">
        <v>0.40440838554765857</v>
      </c>
      <c r="N12" s="97">
        <v>0.55776202288456667</v>
      </c>
      <c r="O12" s="97">
        <v>0.6124199747989264</v>
      </c>
      <c r="P12" s="97">
        <v>0.59684192100442024</v>
      </c>
      <c r="Q12" s="97">
        <v>0.57550284379292571</v>
      </c>
      <c r="R12" s="97">
        <v>0.49281570577702133</v>
      </c>
      <c r="S12" s="97">
        <v>0.63787192611006094</v>
      </c>
      <c r="T12" s="97">
        <v>0.68212016378270401</v>
      </c>
      <c r="U12" s="97">
        <v>0.71475042844883729</v>
      </c>
      <c r="V12" s="97">
        <v>0.69052730465769785</v>
      </c>
      <c r="W12" s="97">
        <v>1.1101145234668379</v>
      </c>
      <c r="X12" s="97">
        <v>0.87022645391690567</v>
      </c>
      <c r="Y12" s="97">
        <v>0.59248958947463337</v>
      </c>
      <c r="DA12" s="175" t="s">
        <v>286</v>
      </c>
    </row>
    <row r="13" spans="1:105" ht="11.45" customHeight="1" x14ac:dyDescent="0.25">
      <c r="A13" s="85" t="s">
        <v>182</v>
      </c>
      <c r="B13" s="98">
        <v>5.0567604635621238E-2</v>
      </c>
      <c r="C13" s="98">
        <v>4.6850875942007097E-2</v>
      </c>
      <c r="D13" s="98">
        <v>3.4472229534689765E-2</v>
      </c>
      <c r="E13" s="98">
        <v>4.444257901637929E-2</v>
      </c>
      <c r="F13" s="98">
        <v>4.8900294901304181E-2</v>
      </c>
      <c r="G13" s="98">
        <v>0.10924761265311267</v>
      </c>
      <c r="H13" s="98">
        <v>6.0704026539157761E-2</v>
      </c>
      <c r="I13" s="98">
        <v>3.4175433492906512E-2</v>
      </c>
      <c r="J13" s="98">
        <v>1.9818126557316518E-2</v>
      </c>
      <c r="K13" s="98">
        <v>4.7563306814278842E-3</v>
      </c>
      <c r="L13" s="98">
        <v>1.2922560456346781E-2</v>
      </c>
      <c r="M13" s="98">
        <v>6.2267798679341993E-3</v>
      </c>
      <c r="N13" s="98">
        <v>6.7391827435971377E-3</v>
      </c>
      <c r="O13" s="98">
        <v>6.7588680203919853E-3</v>
      </c>
      <c r="P13" s="98">
        <v>6.8500018823633435E-3</v>
      </c>
      <c r="Q13" s="98">
        <v>7.5539482919995118E-3</v>
      </c>
      <c r="R13" s="98">
        <v>4.5992089073207003E-2</v>
      </c>
      <c r="S13" s="98">
        <v>1.9054492173336296E-2</v>
      </c>
      <c r="T13" s="98">
        <v>1.0571485608053174E-2</v>
      </c>
      <c r="U13" s="98">
        <v>3.0224289629515722E-2</v>
      </c>
      <c r="V13" s="98">
        <v>1.9743070045905836E-2</v>
      </c>
      <c r="W13" s="98">
        <v>0.14267950992130674</v>
      </c>
      <c r="X13" s="98">
        <v>8.2421036073267021E-2</v>
      </c>
      <c r="Y13" s="98">
        <v>3.1047322157118566E-3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236.01341375660337</v>
      </c>
      <c r="C17" s="62">
        <f>IF(C3=0,0,C3/TrAvia_act!C13*100)</f>
        <v>235.48733389207993</v>
      </c>
      <c r="D17" s="62">
        <f>IF(D3=0,0,D3/TrAvia_act!D13*100)</f>
        <v>249.7919966879584</v>
      </c>
      <c r="E17" s="62">
        <f>IF(E3=0,0,E3/TrAvia_act!E13*100)</f>
        <v>288.62443104193341</v>
      </c>
      <c r="F17" s="62">
        <f>IF(F3=0,0,F3/TrAvia_act!F13*100)</f>
        <v>351.22186412668532</v>
      </c>
      <c r="G17" s="62">
        <f>IF(G3=0,0,G3/TrAvia_act!G13*100)</f>
        <v>404.26151312029344</v>
      </c>
      <c r="H17" s="62">
        <f>IF(H3=0,0,H3/TrAvia_act!H13*100)</f>
        <v>417.96456198977376</v>
      </c>
      <c r="I17" s="62">
        <f>IF(I3=0,0,I3/TrAvia_act!I13*100)</f>
        <v>423.78472063461066</v>
      </c>
      <c r="J17" s="62">
        <f>IF(J3=0,0,J3/TrAvia_act!J13*100)</f>
        <v>443.28626709100689</v>
      </c>
      <c r="K17" s="62">
        <f>IF(K3=0,0,K3/TrAvia_act!K13*100)</f>
        <v>379.69464647643844</v>
      </c>
      <c r="L17" s="62">
        <f>IF(L3=0,0,L3/TrAvia_act!L13*100)</f>
        <v>299.96031084365188</v>
      </c>
      <c r="M17" s="62">
        <f>IF(M3=0,0,M3/TrAvia_act!M13*100)</f>
        <v>333.57201386772016</v>
      </c>
      <c r="N17" s="62">
        <f>IF(N3=0,0,N3/TrAvia_act!N13*100)</f>
        <v>326.94704011931339</v>
      </c>
      <c r="O17" s="62">
        <f>IF(O3=0,0,O3/TrAvia_act!O13*100)</f>
        <v>401.01245912922047</v>
      </c>
      <c r="P17" s="62">
        <f>IF(P3=0,0,P3/TrAvia_act!P13*100)</f>
        <v>378.20233768393257</v>
      </c>
      <c r="Q17" s="62">
        <f>IF(Q3=0,0,Q3/TrAvia_act!Q13*100)</f>
        <v>330.72757104441547</v>
      </c>
      <c r="R17" s="62">
        <f>IF(R3=0,0,R3/TrAvia_act!R13*100)</f>
        <v>312.48315847560548</v>
      </c>
      <c r="S17" s="62">
        <f>IF(S3=0,0,S3/TrAvia_act!S13*100)</f>
        <v>354.56527753137692</v>
      </c>
      <c r="T17" s="62">
        <f>IF(T3=0,0,T3/TrAvia_act!T13*100)</f>
        <v>366.85430494693748</v>
      </c>
      <c r="U17" s="62">
        <f>IF(U3=0,0,U3/TrAvia_act!U13*100)</f>
        <v>375.32991970649505</v>
      </c>
      <c r="V17" s="62">
        <f>IF(V3=0,0,V3/TrAvia_act!V13*100)</f>
        <v>416.02690314004764</v>
      </c>
      <c r="W17" s="62">
        <f>IF(W3=0,0,W3/TrAvia_act!W13*100)</f>
        <v>457.83537631909422</v>
      </c>
      <c r="X17" s="62">
        <f>IF(X3=0,0,X3/TrAvia_act!X13*100)</f>
        <v>370.78749011055294</v>
      </c>
      <c r="Y17" s="62">
        <f>IF(Y3=0,0,Y3/TrAvia_act!Y13*100)</f>
        <v>312.57170047998329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235.62454154292266</v>
      </c>
      <c r="C18" s="14">
        <f>IF(C6=0,0,C6/TrAvia_act!C14*100)</f>
        <v>235.07532080784165</v>
      </c>
      <c r="D18" s="14">
        <f>IF(D6=0,0,D6/TrAvia_act!D14*100)</f>
        <v>249.20050716288844</v>
      </c>
      <c r="E18" s="14">
        <f>IF(E6=0,0,E6/TrAvia_act!E14*100)</f>
        <v>287.82650683758197</v>
      </c>
      <c r="F18" s="14">
        <f>IF(F6=0,0,F6/TrAvia_act!F14*100)</f>
        <v>350.24103164726921</v>
      </c>
      <c r="G18" s="14">
        <f>IF(G6=0,0,G6/TrAvia_act!G14*100)</f>
        <v>403.92251053710709</v>
      </c>
      <c r="H18" s="14">
        <f>IF(H6=0,0,H6/TrAvia_act!H14*100)</f>
        <v>417.4470262267464</v>
      </c>
      <c r="I18" s="14">
        <f>IF(I6=0,0,I6/TrAvia_act!I14*100)</f>
        <v>423.03312812156196</v>
      </c>
      <c r="J18" s="14">
        <f>IF(J6=0,0,J6/TrAvia_act!J14*100)</f>
        <v>442.22546701539767</v>
      </c>
      <c r="K18" s="14">
        <f>IF(K6=0,0,K6/TrAvia_act!K14*100)</f>
        <v>378.80531671771354</v>
      </c>
      <c r="L18" s="14">
        <f>IF(L6=0,0,L6/TrAvia_act!L14*100)</f>
        <v>299.40391560964355</v>
      </c>
      <c r="M18" s="14">
        <f>IF(M6=0,0,M6/TrAvia_act!M14*100)</f>
        <v>333.09693531099464</v>
      </c>
      <c r="N18" s="14">
        <f>IF(N6=0,0,N6/TrAvia_act!N14*100)</f>
        <v>326.13711920180606</v>
      </c>
      <c r="O18" s="14">
        <f>IF(O6=0,0,O6/TrAvia_act!O14*100)</f>
        <v>400.17115899018813</v>
      </c>
      <c r="P18" s="14">
        <f>IF(P6=0,0,P6/TrAvia_act!P14*100)</f>
        <v>377.62249199652399</v>
      </c>
      <c r="Q18" s="14">
        <f>IF(Q6=0,0,Q6/TrAvia_act!Q14*100)</f>
        <v>330.29065068437325</v>
      </c>
      <c r="R18" s="14">
        <f>IF(R6=0,0,R6/TrAvia_act!R14*100)</f>
        <v>312.66040265225172</v>
      </c>
      <c r="S18" s="14">
        <f>IF(S6=0,0,S6/TrAvia_act!S14*100)</f>
        <v>354.48626572577103</v>
      </c>
      <c r="T18" s="14">
        <f>IF(T6=0,0,T6/TrAvia_act!T14*100)</f>
        <v>367.03024398577384</v>
      </c>
      <c r="U18" s="14">
        <f>IF(U6=0,0,U6/TrAvia_act!U14*100)</f>
        <v>375.52622411373682</v>
      </c>
      <c r="V18" s="14">
        <f>IF(V6=0,0,V6/TrAvia_act!V14*100)</f>
        <v>416.3757861726823</v>
      </c>
      <c r="W18" s="14">
        <f>IF(W6=0,0,W6/TrAvia_act!W14*100)</f>
        <v>457.21503598866713</v>
      </c>
      <c r="X18" s="14">
        <f>IF(X6=0,0,X6/TrAvia_act!X14*100)</f>
        <v>370.44260493651404</v>
      </c>
      <c r="Y18" s="14">
        <f>IF(Y6=0,0,Y6/TrAvia_act!Y14*100)</f>
        <v>312.48972799008754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247.3529520725092</v>
      </c>
      <c r="C20" s="87">
        <f>IF(C8=0,0,C8/TrAvia_act!C16*100)</f>
        <v>246.79051326945881</v>
      </c>
      <c r="D20" s="87">
        <f>IF(D8=0,0,D8/TrAvia_act!D16*100)</f>
        <v>262.43922578851391</v>
      </c>
      <c r="E20" s="87">
        <f>IF(E8=0,0,E8/TrAvia_act!E16*100)</f>
        <v>305.78385523390813</v>
      </c>
      <c r="F20" s="87">
        <f>IF(F8=0,0,F8/TrAvia_act!F16*100)</f>
        <v>377.6234813145465</v>
      </c>
      <c r="G20" s="87">
        <f>IF(G8=0,0,G8/TrAvia_act!G16*100)</f>
        <v>435.94767594123124</v>
      </c>
      <c r="H20" s="87">
        <f>IF(H8=0,0,H8/TrAvia_act!H16*100)</f>
        <v>451.93295652679575</v>
      </c>
      <c r="I20" s="87">
        <f>IF(I8=0,0,I8/TrAvia_act!I16*100)</f>
        <v>457.23124225706499</v>
      </c>
      <c r="J20" s="87">
        <f>IF(J8=0,0,J8/TrAvia_act!J16*100)</f>
        <v>495.79806799162702</v>
      </c>
      <c r="K20" s="87">
        <f>IF(K8=0,0,K8/TrAvia_act!K16*100)</f>
        <v>439.8834546676776</v>
      </c>
      <c r="L20" s="87">
        <f>IF(L8=0,0,L8/TrAvia_act!L16*100)</f>
        <v>374.09891118905858</v>
      </c>
      <c r="M20" s="87">
        <f>IF(M8=0,0,M8/TrAvia_act!M16*100)</f>
        <v>393.14638914017871</v>
      </c>
      <c r="N20" s="87">
        <f>IF(N8=0,0,N8/TrAvia_act!N16*100)</f>
        <v>439.93050427607392</v>
      </c>
      <c r="O20" s="87">
        <f>IF(O8=0,0,O8/TrAvia_act!O16*100)</f>
        <v>469.35586038228161</v>
      </c>
      <c r="P20" s="87">
        <f>IF(P8=0,0,P8/TrAvia_act!P16*100)</f>
        <v>435.61043639080094</v>
      </c>
      <c r="Q20" s="87">
        <f>IF(Q8=0,0,Q8/TrAvia_act!Q16*100)</f>
        <v>392.27625042905731</v>
      </c>
      <c r="R20" s="87">
        <f>IF(R8=0,0,R8/TrAvia_act!R16*100)</f>
        <v>332.77838521792444</v>
      </c>
      <c r="S20" s="87">
        <f>IF(S8=0,0,S8/TrAvia_act!S16*100)</f>
        <v>390.64428301999016</v>
      </c>
      <c r="T20" s="87">
        <f>IF(T8=0,0,T8/TrAvia_act!T16*100)</f>
        <v>417.76302871523035</v>
      </c>
      <c r="U20" s="87">
        <f>IF(U8=0,0,U8/TrAvia_act!U16*100)</f>
        <v>442.55612733503574</v>
      </c>
      <c r="V20" s="87">
        <f>IF(V8=0,0,V8/TrAvia_act!V16*100)</f>
        <v>442.89313754334125</v>
      </c>
      <c r="W20" s="87">
        <f>IF(W8=0,0,W8/TrAvia_act!W16*100)</f>
        <v>593.32316816334776</v>
      </c>
      <c r="X20" s="87">
        <f>IF(X8=0,0,X8/TrAvia_act!X16*100)</f>
        <v>436.07666494265487</v>
      </c>
      <c r="Y20" s="87">
        <f>IF(Y8=0,0,Y8/TrAvia_act!Y16*100)</f>
        <v>374.27514603534308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149.39563363478504</v>
      </c>
      <c r="C21" s="87">
        <f>IF(C9=0,0,C9/TrAvia_act!C17*100)</f>
        <v>149.06233542191677</v>
      </c>
      <c r="D21" s="87">
        <f>IF(D9=0,0,D9/TrAvia_act!D17*100)</f>
        <v>158.42379843660916</v>
      </c>
      <c r="E21" s="87">
        <f>IF(E9=0,0,E9/TrAvia_act!E17*100)</f>
        <v>183.82002114797592</v>
      </c>
      <c r="F21" s="87">
        <f>IF(F9=0,0,F9/TrAvia_act!F17*100)</f>
        <v>224.73076350164999</v>
      </c>
      <c r="G21" s="87">
        <f>IF(G9=0,0,G9/TrAvia_act!G17*100)</f>
        <v>245.01405372057553</v>
      </c>
      <c r="H21" s="87">
        <f>IF(H9=0,0,H9/TrAvia_act!H17*100)</f>
        <v>245.87339527236307</v>
      </c>
      <c r="I21" s="87">
        <f>IF(I9=0,0,I9/TrAvia_act!I17*100)</f>
        <v>248.74398435995181</v>
      </c>
      <c r="J21" s="87">
        <f>IF(J9=0,0,J9/TrAvia_act!J17*100)</f>
        <v>225.34929555483689</v>
      </c>
      <c r="K21" s="87">
        <f>IF(K9=0,0,K9/TrAvia_act!K17*100)</f>
        <v>183.66369326202579</v>
      </c>
      <c r="L21" s="87">
        <f>IF(L9=0,0,L9/TrAvia_act!L17*100)</f>
        <v>118.88285674650491</v>
      </c>
      <c r="M21" s="87">
        <f>IF(M9=0,0,M9/TrAvia_act!M17*100)</f>
        <v>137.73497153424677</v>
      </c>
      <c r="N21" s="87">
        <f>IF(N9=0,0,N9/TrAvia_act!N17*100)</f>
        <v>102.98566455177904</v>
      </c>
      <c r="O21" s="87">
        <f>IF(O9=0,0,O9/TrAvia_act!O17*100)</f>
        <v>186.27774635382474</v>
      </c>
      <c r="P21" s="87">
        <f>IF(P9=0,0,P9/TrAvia_act!P17*100)</f>
        <v>184.83817068663583</v>
      </c>
      <c r="Q21" s="87">
        <f>IF(Q9=0,0,Q9/TrAvia_act!Q17*100)</f>
        <v>147.12526771759809</v>
      </c>
      <c r="R21" s="87">
        <f>IF(R9=0,0,R9/TrAvia_act!R17*100)</f>
        <v>209.84478766181613</v>
      </c>
      <c r="S21" s="87">
        <f>IF(S9=0,0,S9/TrAvia_act!S17*100)</f>
        <v>199.24845972310598</v>
      </c>
      <c r="T21" s="87">
        <f>IF(T9=0,0,T9/TrAvia_act!T17*100)</f>
        <v>177.53164774756596</v>
      </c>
      <c r="U21" s="87">
        <f>IF(U9=0,0,U9/TrAvia_act!U17*100)</f>
        <v>163.90942712573496</v>
      </c>
      <c r="V21" s="87">
        <f>IF(V9=0,0,V9/TrAvia_act!V17*100)</f>
        <v>301.266849400345</v>
      </c>
      <c r="W21" s="87">
        <f>IF(W9=0,0,W9/TrAvia_act!W17*100)</f>
        <v>168.79649360168162</v>
      </c>
      <c r="X21" s="87">
        <f>IF(X9=0,0,X9/TrAvia_act!X17*100)</f>
        <v>154.99763296923729</v>
      </c>
      <c r="Y21" s="87">
        <f>IF(Y9=0,0,Y9/TrAvia_act!Y17*100)</f>
        <v>128.92135284649558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269.40780181498656</v>
      </c>
      <c r="C22" s="15">
        <f>IF(C10=0,0,C10/TrAvia_act!C18*100)</f>
        <v>267.50482675189352</v>
      </c>
      <c r="D22" s="15">
        <f>IF(D10=0,0,D10/TrAvia_act!D18*100)</f>
        <v>306.94015624678883</v>
      </c>
      <c r="E22" s="15">
        <f>IF(E10=0,0,E10/TrAvia_act!E18*100)</f>
        <v>365.20289873808628</v>
      </c>
      <c r="F22" s="15">
        <f>IF(F10=0,0,F10/TrAvia_act!F18*100)</f>
        <v>470.29799853368377</v>
      </c>
      <c r="G22" s="15">
        <f>IF(G10=0,0,G10/TrAvia_act!G18*100)</f>
        <v>442.95123875188506</v>
      </c>
      <c r="H22" s="15">
        <f>IF(H10=0,0,H10/TrAvia_act!H18*100)</f>
        <v>484.82021715358667</v>
      </c>
      <c r="I22" s="15">
        <f>IF(I10=0,0,I10/TrAvia_act!I18*100)</f>
        <v>533.32149860813695</v>
      </c>
      <c r="J22" s="15">
        <f>IF(J10=0,0,J10/TrAvia_act!J18*100)</f>
        <v>607.17190003227813</v>
      </c>
      <c r="K22" s="15">
        <f>IF(K10=0,0,K10/TrAvia_act!K18*100)</f>
        <v>504.19921134197966</v>
      </c>
      <c r="L22" s="15">
        <f>IF(L10=0,0,L10/TrAvia_act!L18*100)</f>
        <v>358.26301540346077</v>
      </c>
      <c r="M22" s="15">
        <f>IF(M10=0,0,M10/TrAvia_act!M18*100)</f>
        <v>395.32296558535018</v>
      </c>
      <c r="N22" s="15">
        <f>IF(N10=0,0,N10/TrAvia_act!N18*100)</f>
        <v>441.96641046587547</v>
      </c>
      <c r="O22" s="15">
        <f>IF(O10=0,0,O10/TrAvia_act!O18*100)</f>
        <v>477.21134937709894</v>
      </c>
      <c r="P22" s="15">
        <f>IF(P10=0,0,P10/TrAvia_act!P18*100)</f>
        <v>429.63622711429269</v>
      </c>
      <c r="Q22" s="15">
        <f>IF(Q10=0,0,Q10/TrAvia_act!Q18*100)</f>
        <v>372.47362040142502</v>
      </c>
      <c r="R22" s="15">
        <f>IF(R10=0,0,R10/TrAvia_act!R18*100)</f>
        <v>298.26867061007493</v>
      </c>
      <c r="S22" s="15">
        <f>IF(S10=0,0,S10/TrAvia_act!S18*100)</f>
        <v>361.80762891897444</v>
      </c>
      <c r="T22" s="15">
        <f>IF(T10=0,0,T10/TrAvia_act!T18*100)</f>
        <v>350.20175319402449</v>
      </c>
      <c r="U22" s="15">
        <f>IF(U10=0,0,U10/TrAvia_act!U18*100)</f>
        <v>358.30020861519341</v>
      </c>
      <c r="V22" s="15">
        <f>IF(V10=0,0,V10/TrAvia_act!V18*100)</f>
        <v>404.90139949854688</v>
      </c>
      <c r="W22" s="15">
        <f>IF(W10=0,0,W10/TrAvia_act!W18*100)</f>
        <v>479.53663651810814</v>
      </c>
      <c r="X22" s="15">
        <f>IF(X10=0,0,X10/TrAvia_act!X18*100)</f>
        <v>392.41257264981891</v>
      </c>
      <c r="Y22" s="15">
        <f>IF(Y10=0,0,Y10/TrAvia_act!Y18*100)</f>
        <v>319.27078010555704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357.22394512661037</v>
      </c>
      <c r="C24" s="101">
        <f>IF(C12=0,0,C12/TrAvia_act!C20*100)</f>
        <v>356.53008319134989</v>
      </c>
      <c r="D24" s="101">
        <f>IF(D12=0,0,D12/TrAvia_act!D20*100)</f>
        <v>394.23564514235119</v>
      </c>
      <c r="E24" s="101">
        <f>IF(E12=0,0,E12/TrAvia_act!E20*100)</f>
        <v>487.79951947626967</v>
      </c>
      <c r="F24" s="101">
        <f>IF(F12=0,0,F12/TrAvia_act!F20*100)</f>
        <v>608.40858909665667</v>
      </c>
      <c r="G24" s="101">
        <f>IF(G12=0,0,G12/TrAvia_act!G20*100)</f>
        <v>649.64873332314971</v>
      </c>
      <c r="H24" s="101">
        <f>IF(H12=0,0,H12/TrAvia_act!H20*100)</f>
        <v>613.13621166368102</v>
      </c>
      <c r="I24" s="101">
        <f>IF(I12=0,0,I12/TrAvia_act!I20*100)</f>
        <v>608.44245070661771</v>
      </c>
      <c r="J24" s="101">
        <f>IF(J12=0,0,J12/TrAvia_act!J20*100)</f>
        <v>665.68848439289673</v>
      </c>
      <c r="K24" s="101">
        <f>IF(K12=0,0,K12/TrAvia_act!K20*100)</f>
        <v>522.62631356933093</v>
      </c>
      <c r="L24" s="101">
        <f>IF(L12=0,0,L12/TrAvia_act!L20*100)</f>
        <v>407.09557404867871</v>
      </c>
      <c r="M24" s="101">
        <f>IF(M12=0,0,M12/TrAvia_act!M20*100)</f>
        <v>414.38802106771595</v>
      </c>
      <c r="N24" s="101">
        <f>IF(N12=0,0,N12/TrAvia_act!N20*100)</f>
        <v>469.80780328976522</v>
      </c>
      <c r="O24" s="101">
        <f>IF(O12=0,0,O12/TrAvia_act!O20*100)</f>
        <v>490.9382249933314</v>
      </c>
      <c r="P24" s="101">
        <f>IF(P12=0,0,P12/TrAvia_act!P20*100)</f>
        <v>440.68745383263649</v>
      </c>
      <c r="Q24" s="101">
        <f>IF(Q12=0,0,Q12/TrAvia_act!Q20*100)</f>
        <v>385.25251019341954</v>
      </c>
      <c r="R24" s="101">
        <f>IF(R12=0,0,R12/TrAvia_act!R20*100)</f>
        <v>325.39436002332502</v>
      </c>
      <c r="S24" s="101">
        <f>IF(S12=0,0,S12/TrAvia_act!S20*100)</f>
        <v>376.15298108775312</v>
      </c>
      <c r="T24" s="101">
        <f>IF(T12=0,0,T12/TrAvia_act!T20*100)</f>
        <v>358.37889628525483</v>
      </c>
      <c r="U24" s="101">
        <f>IF(U12=0,0,U12/TrAvia_act!U20*100)</f>
        <v>366.19287951145844</v>
      </c>
      <c r="V24" s="101">
        <f>IF(V12=0,0,V12/TrAvia_act!V20*100)</f>
        <v>411.35669835023532</v>
      </c>
      <c r="W24" s="101">
        <f>IF(W12=0,0,W12/TrAvia_act!W20*100)</f>
        <v>572.47642230638974</v>
      </c>
      <c r="X24" s="101">
        <f>IF(X12=0,0,X12/TrAvia_act!X20*100)</f>
        <v>424.45611311305623</v>
      </c>
      <c r="Y24" s="101">
        <f>IF(Y12=0,0,Y12/TrAvia_act!Y20*100)</f>
        <v>322.41333764404374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130.38555385260682</v>
      </c>
      <c r="C25" s="88">
        <f>IF(C13=0,0,C13/TrAvia_act!C21*100)</f>
        <v>130.0946666892701</v>
      </c>
      <c r="D25" s="88">
        <f>IF(D13=0,0,D13/TrAvia_act!D21*100)</f>
        <v>138.26491578118973</v>
      </c>
      <c r="E25" s="88">
        <f>IF(E13=0,0,E13/TrAvia_act!E21*100)</f>
        <v>160.42955663060414</v>
      </c>
      <c r="F25" s="88">
        <f>IF(F13=0,0,F13/TrAvia_act!F21*100)</f>
        <v>196.13454793808168</v>
      </c>
      <c r="G25" s="88">
        <f>IF(G13=0,0,G13/TrAvia_act!G21*100)</f>
        <v>212.17628899489731</v>
      </c>
      <c r="H25" s="88">
        <f>IF(H13=0,0,H13/TrAvia_act!H21*100)</f>
        <v>203.26412438009331</v>
      </c>
      <c r="I25" s="88">
        <f>IF(I13=0,0,I13/TrAvia_act!I21*100)</f>
        <v>196.95371555340637</v>
      </c>
      <c r="J25" s="88">
        <f>IF(J13=0,0,J13/TrAvia_act!J21*100)</f>
        <v>170.96849739129536</v>
      </c>
      <c r="K25" s="88">
        <f>IF(K13=0,0,K13/TrAvia_act!K21*100)</f>
        <v>143.02274939720863</v>
      </c>
      <c r="L25" s="88">
        <f>IF(L13=0,0,L13/TrAvia_act!L21*100)</f>
        <v>81.316612798148043</v>
      </c>
      <c r="M25" s="88">
        <f>IF(M13=0,0,M13/TrAvia_act!M21*100)</f>
        <v>99.126941071028057</v>
      </c>
      <c r="N25" s="88">
        <f>IF(N13=0,0,N13/TrAvia_act!N21*100)</f>
        <v>74.849936178817472</v>
      </c>
      <c r="O25" s="88">
        <f>IF(O13=0,0,O13/TrAvia_act!O21*100)</f>
        <v>135.05359638676308</v>
      </c>
      <c r="P25" s="88">
        <f>IF(P13=0,0,P13/TrAvia_act!P21*100)</f>
        <v>134.89427637211548</v>
      </c>
      <c r="Q25" s="88">
        <f>IF(Q13=0,0,Q13/TrAvia_act!Q21*100)</f>
        <v>105.60359155255092</v>
      </c>
      <c r="R25" s="88">
        <f>IF(R13=0,0,R13/TrAvia_act!R21*100)</f>
        <v>157.54335062876547</v>
      </c>
      <c r="S25" s="88">
        <f>IF(S13=0,0,S13/TrAvia_act!S21*100)</f>
        <v>158.91880868367284</v>
      </c>
      <c r="T25" s="88">
        <f>IF(T13=0,0,T13/TrAvia_act!T21*100)</f>
        <v>141.65257004462828</v>
      </c>
      <c r="U25" s="88">
        <f>IF(U13=0,0,U13/TrAvia_act!U21*100)</f>
        <v>237.33246666286396</v>
      </c>
      <c r="V25" s="88">
        <f>IF(V13=0,0,V13/TrAvia_act!V21*100)</f>
        <v>261.41847372856063</v>
      </c>
      <c r="W25" s="88">
        <f>IF(W13=0,0,W13/TrAvia_act!W21*100)</f>
        <v>211.89029712163054</v>
      </c>
      <c r="X25" s="88">
        <f>IF(X13=0,0,X13/TrAvia_act!X21*100)</f>
        <v>218.36121484350534</v>
      </c>
      <c r="Y25" s="88">
        <f>IF(Y13=0,0,Y13/TrAvia_act!Y21*100)</f>
        <v>111.63082123907799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39.15788219234885</v>
      </c>
      <c r="C28" s="14">
        <f>IF(C6=0,0,C6/TrAvia_act!C4*1000)</f>
        <v>38.096365834848484</v>
      </c>
      <c r="D28" s="14">
        <f>IF(D6=0,0,D6/TrAvia_act!D4*1000)</f>
        <v>38.299724848478583</v>
      </c>
      <c r="E28" s="14">
        <f>IF(E6=0,0,E6/TrAvia_act!E4*1000)</f>
        <v>38.06104743738954</v>
      </c>
      <c r="F28" s="14">
        <f>IF(F6=0,0,F6/TrAvia_act!F4*1000)</f>
        <v>42.453868972144186</v>
      </c>
      <c r="G28" s="14">
        <f>IF(G6=0,0,G6/TrAvia_act!G4*1000)</f>
        <v>44.559611598453991</v>
      </c>
      <c r="H28" s="14">
        <f>IF(H6=0,0,H6/TrAvia_act!H4*1000)</f>
        <v>44.599127913371461</v>
      </c>
      <c r="I28" s="14">
        <f>IF(I6=0,0,I6/TrAvia_act!I4*1000)</f>
        <v>48.262428109944643</v>
      </c>
      <c r="J28" s="14">
        <f>IF(J6=0,0,J6/TrAvia_act!J4*1000)</f>
        <v>54.39179747821705</v>
      </c>
      <c r="K28" s="14">
        <f>IF(K6=0,0,K6/TrAvia_act!K4*1000)</f>
        <v>47.068075885265571</v>
      </c>
      <c r="L28" s="14">
        <f>IF(L6=0,0,L6/TrAvia_act!L4*1000)</f>
        <v>38.257144136556271</v>
      </c>
      <c r="M28" s="14">
        <f>IF(M6=0,0,M6/TrAvia_act!M4*1000)</f>
        <v>38.708783651175679</v>
      </c>
      <c r="N28" s="14">
        <f>IF(N6=0,0,N6/TrAvia_act!N4*1000)</f>
        <v>43.132585397957349</v>
      </c>
      <c r="O28" s="14">
        <f>IF(O6=0,0,O6/TrAvia_act!O4*1000)</f>
        <v>42.813631797375862</v>
      </c>
      <c r="P28" s="14">
        <f>IF(P6=0,0,P6/TrAvia_act!P4*1000)</f>
        <v>40.859926559691942</v>
      </c>
      <c r="Q28" s="14">
        <f>IF(Q6=0,0,Q6/TrAvia_act!Q4*1000)</f>
        <v>37.289053605230201</v>
      </c>
      <c r="R28" s="14">
        <f>IF(R6=0,0,R6/TrAvia_act!R4*1000)</f>
        <v>34.228938052583736</v>
      </c>
      <c r="S28" s="14">
        <f>IF(S6=0,0,S6/TrAvia_act!S4*1000)</f>
        <v>38.690906821508158</v>
      </c>
      <c r="T28" s="14">
        <f>IF(T6=0,0,T6/TrAvia_act!T4*1000)</f>
        <v>38.700715676859971</v>
      </c>
      <c r="U28" s="14">
        <f>IF(U6=0,0,U6/TrAvia_act!U4*1000)</f>
        <v>33.868616734577927</v>
      </c>
      <c r="V28" s="14">
        <f>IF(V6=0,0,V6/TrAvia_act!V4*1000)</f>
        <v>47.084824969537195</v>
      </c>
      <c r="W28" s="14">
        <f>IF(W6=0,0,W6/TrAvia_act!W4*1000)</f>
        <v>40.056178571052897</v>
      </c>
      <c r="X28" s="14">
        <f>IF(X6=0,0,X6/TrAvia_act!X4*1000)</f>
        <v>28.704585620322529</v>
      </c>
      <c r="Y28" s="14">
        <f>IF(Y6=0,0,Y6/TrAvia_act!Y4*1000)</f>
        <v>23.24477667558698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42.344369506753367</v>
      </c>
      <c r="C30" s="87">
        <f>IF(C8=0,0,C8/TrAvia_act!C6*1000)</f>
        <v>41.0653289036781</v>
      </c>
      <c r="D30" s="87">
        <f>IF(D8=0,0,D8/TrAvia_act!D6*1000)</f>
        <v>41.769030831948349</v>
      </c>
      <c r="E30" s="87">
        <f>IF(E8=0,0,E8/TrAvia_act!E6*1000)</f>
        <v>41.298434599645091</v>
      </c>
      <c r="F30" s="87">
        <f>IF(F8=0,0,F8/TrAvia_act!F6*1000)</f>
        <v>46.288425930095791</v>
      </c>
      <c r="G30" s="87">
        <f>IF(G8=0,0,G8/TrAvia_act!G6*1000)</f>
        <v>48.767875071654878</v>
      </c>
      <c r="H30" s="87">
        <f>IF(H8=0,0,H8/TrAvia_act!H6*1000)</f>
        <v>48.776151928574116</v>
      </c>
      <c r="I30" s="87">
        <f>IF(I8=0,0,I8/TrAvia_act!I6*1000)</f>
        <v>55.344354886321881</v>
      </c>
      <c r="J30" s="87">
        <f>IF(J8=0,0,J8/TrAvia_act!J6*1000)</f>
        <v>66.025560122676808</v>
      </c>
      <c r="K30" s="87">
        <f>IF(K8=0,0,K8/TrAvia_act!K6*1000)</f>
        <v>57.523821202816599</v>
      </c>
      <c r="L30" s="87">
        <f>IF(L8=0,0,L8/TrAvia_act!L6*1000)</f>
        <v>48.944440054045664</v>
      </c>
      <c r="M30" s="87">
        <f>IF(M8=0,0,M8/TrAvia_act!M6*1000)</f>
        <v>43.909856655801676</v>
      </c>
      <c r="N30" s="87">
        <f>IF(N8=0,0,N8/TrAvia_act!N6*1000)</f>
        <v>53.09852458023984</v>
      </c>
      <c r="O30" s="87">
        <f>IF(O8=0,0,O8/TrAvia_act!O6*1000)</f>
        <v>48.490011250026704</v>
      </c>
      <c r="P30" s="87">
        <f>IF(P8=0,0,P8/TrAvia_act!P6*1000)</f>
        <v>46.625480863381767</v>
      </c>
      <c r="Q30" s="87">
        <f>IF(Q8=0,0,Q8/TrAvia_act!Q6*1000)</f>
        <v>44.394058853879486</v>
      </c>
      <c r="R30" s="87">
        <f>IF(R8=0,0,R8/TrAvia_act!R6*1000)</f>
        <v>37.775233188245451</v>
      </c>
      <c r="S30" s="87">
        <f>IF(S8=0,0,S8/TrAvia_act!S6*1000)</f>
        <v>43.141284280452076</v>
      </c>
      <c r="T30" s="87">
        <f>IF(T8=0,0,T8/TrAvia_act!T6*1000)</f>
        <v>44.493415018997105</v>
      </c>
      <c r="U30" s="87">
        <f>IF(U8=0,0,U8/TrAvia_act!U6*1000)</f>
        <v>41.699012508660509</v>
      </c>
      <c r="V30" s="87">
        <f>IF(V8=0,0,V8/TrAvia_act!V6*1000)</f>
        <v>53.448581517366314</v>
      </c>
      <c r="W30" s="87">
        <f>IF(W8=0,0,W8/TrAvia_act!W6*1000)</f>
        <v>58.275509566192646</v>
      </c>
      <c r="X30" s="87">
        <f>IF(X8=0,0,X8/TrAvia_act!X6*1000)</f>
        <v>36.698424095909282</v>
      </c>
      <c r="Y30" s="87">
        <f>IF(Y8=0,0,Y8/TrAvia_act!Y6*1000)</f>
        <v>30.690644010412022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20.436993754475207</v>
      </c>
      <c r="C31" s="87">
        <f>IF(C9=0,0,C9/TrAvia_act!C7*1000)</f>
        <v>20.276648813708071</v>
      </c>
      <c r="D31" s="87">
        <f>IF(D9=0,0,D9/TrAvia_act!D7*1000)</f>
        <v>19.70694519873485</v>
      </c>
      <c r="E31" s="87">
        <f>IF(E9=0,0,E9/TrAvia_act!E7*1000)</f>
        <v>21.683896981722924</v>
      </c>
      <c r="F31" s="87">
        <f>IF(F9=0,0,F9/TrAvia_act!F7*1000)</f>
        <v>25.917519583731764</v>
      </c>
      <c r="G31" s="87">
        <f>IF(G9=0,0,G9/TrAvia_act!G7*1000)</f>
        <v>25.291411261051731</v>
      </c>
      <c r="H31" s="87">
        <f>IF(H9=0,0,H9/TrAvia_act!H7*1000)</f>
        <v>25.011793394240051</v>
      </c>
      <c r="I31" s="87">
        <f>IF(I9=0,0,I9/TrAvia_act!I7*1000)</f>
        <v>21.949912082616652</v>
      </c>
      <c r="J31" s="87">
        <f>IF(J9=0,0,J9/TrAvia_act!J7*1000)</f>
        <v>21.169298322142794</v>
      </c>
      <c r="K31" s="87">
        <f>IF(K9=0,0,K9/TrAvia_act!K7*1000)</f>
        <v>19.68661130085427</v>
      </c>
      <c r="L31" s="87">
        <f>IF(L9=0,0,L9/TrAvia_act!L7*1000)</f>
        <v>14.379079301668442</v>
      </c>
      <c r="M31" s="87">
        <f>IF(M9=0,0,M9/TrAvia_act!M7*1000)</f>
        <v>18.433215138051569</v>
      </c>
      <c r="N31" s="87">
        <f>IF(N9=0,0,N9/TrAvia_act!N7*1000)</f>
        <v>16.768327945083584</v>
      </c>
      <c r="O31" s="87">
        <f>IF(O9=0,0,O9/TrAvia_act!O7*1000)</f>
        <v>22.393225065424257</v>
      </c>
      <c r="P31" s="87">
        <f>IF(P9=0,0,P9/TrAvia_act!P7*1000)</f>
        <v>20.753151696759428</v>
      </c>
      <c r="Q31" s="87">
        <f>IF(Q9=0,0,Q9/TrAvia_act!Q7*1000)</f>
        <v>16.492669168161665</v>
      </c>
      <c r="R31" s="87">
        <f>IF(R9=0,0,R9/TrAvia_act!R7*1000)</f>
        <v>19.43886730355414</v>
      </c>
      <c r="S31" s="87">
        <f>IF(S9=0,0,S9/TrAvia_act!S7*1000)</f>
        <v>20.708854818623465</v>
      </c>
      <c r="T31" s="87">
        <f>IF(T9=0,0,T9/TrAvia_act!T7*1000)</f>
        <v>18.047807542496507</v>
      </c>
      <c r="U31" s="87">
        <f>IF(U9=0,0,U9/TrAvia_act!U7*1000)</f>
        <v>13.022996219647291</v>
      </c>
      <c r="V31" s="87">
        <f>IF(V9=0,0,V9/TrAvia_act!V7*1000)</f>
        <v>26.755659841707221</v>
      </c>
      <c r="W31" s="87">
        <f>IF(W9=0,0,W9/TrAvia_act!W7*1000)</f>
        <v>12.033584265944993</v>
      </c>
      <c r="X31" s="87">
        <f>IF(X9=0,0,X9/TrAvia_act!X7*1000)</f>
        <v>9.5311764851028293</v>
      </c>
      <c r="Y31" s="87">
        <f>IF(Y9=0,0,Y9/TrAvia_act!Y7*1000)</f>
        <v>7.5162444436122007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70.78342792834404</v>
      </c>
      <c r="C32" s="15">
        <f>IF(C10=0,0,C10/TrAvia_act!C8*1000)</f>
        <v>65.557245657243314</v>
      </c>
      <c r="D32" s="15">
        <f>IF(D10=0,0,D10/TrAvia_act!D8*1000)</f>
        <v>83.229952902947957</v>
      </c>
      <c r="E32" s="15">
        <f>IF(E10=0,0,E10/TrAvia_act!E8*1000)</f>
        <v>98.220501569753964</v>
      </c>
      <c r="F32" s="15">
        <f>IF(F10=0,0,F10/TrAvia_act!F8*1000)</f>
        <v>138.4607665360549</v>
      </c>
      <c r="G32" s="15">
        <f>IF(G10=0,0,G10/TrAvia_act!G8*1000)</f>
        <v>120.30714822206082</v>
      </c>
      <c r="H32" s="15">
        <f>IF(H10=0,0,H10/TrAvia_act!H8*1000)</f>
        <v>163.9335331980887</v>
      </c>
      <c r="I32" s="15">
        <f>IF(I10=0,0,I10/TrAvia_act!I8*1000)</f>
        <v>212.49276220462369</v>
      </c>
      <c r="J32" s="15">
        <f>IF(J10=0,0,J10/TrAvia_act!J8*1000)</f>
        <v>267.3972836069965</v>
      </c>
      <c r="K32" s="15">
        <f>IF(K10=0,0,K10/TrAvia_act!K8*1000)</f>
        <v>235.64390657868495</v>
      </c>
      <c r="L32" s="15">
        <f>IF(L10=0,0,L10/TrAvia_act!L8*1000)</f>
        <v>134.74853585129574</v>
      </c>
      <c r="M32" s="15">
        <f>IF(M10=0,0,M10/TrAvia_act!M8*1000)</f>
        <v>156.1406349570141</v>
      </c>
      <c r="N32" s="15">
        <f>IF(N10=0,0,N10/TrAvia_act!N8*1000)</f>
        <v>151.42552689582044</v>
      </c>
      <c r="O32" s="15">
        <f>IF(O10=0,0,O10/TrAvia_act!O8*1000)</f>
        <v>176.0419496469562</v>
      </c>
      <c r="P32" s="15">
        <f>IF(P10=0,0,P10/TrAvia_act!P8*1000)</f>
        <v>139.62942048431154</v>
      </c>
      <c r="Q32" s="15">
        <f>IF(Q10=0,0,Q10/TrAvia_act!Q8*1000)</f>
        <v>119.99308438194444</v>
      </c>
      <c r="R32" s="15">
        <f>IF(R10=0,0,R10/TrAvia_act!R8*1000)</f>
        <v>69.773089454118718</v>
      </c>
      <c r="S32" s="15">
        <f>IF(S10=0,0,S10/TrAvia_act!S8*1000)</f>
        <v>111.70911523427753</v>
      </c>
      <c r="T32" s="15">
        <f>IF(T10=0,0,T10/TrAvia_act!T8*1000)</f>
        <v>110.00896260969274</v>
      </c>
      <c r="U32" s="15">
        <f>IF(U10=0,0,U10/TrAvia_act!U8*1000)</f>
        <v>100.14949971957547</v>
      </c>
      <c r="V32" s="15">
        <f>IF(V10=0,0,V10/TrAvia_act!V8*1000)</f>
        <v>141.54010237272968</v>
      </c>
      <c r="W32" s="15">
        <f>IF(W10=0,0,W10/TrAvia_act!W8*1000)</f>
        <v>136.24192259345716</v>
      </c>
      <c r="X32" s="15">
        <f>IF(X10=0,0,X10/TrAvia_act!X8*1000)</f>
        <v>120.24249888125516</v>
      </c>
      <c r="Y32" s="15">
        <f>IF(Y10=0,0,Y10/TrAvia_act!Y8*1000)</f>
        <v>118.62744029896466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170.25236546168</v>
      </c>
      <c r="C34" s="101">
        <f>IF(C12=0,0,C12/TrAvia_act!C10*1000)</f>
        <v>154.71519366426068</v>
      </c>
      <c r="D34" s="101">
        <f>IF(D12=0,0,D12/TrAvia_act!D10*1000)</f>
        <v>174.20879440911256</v>
      </c>
      <c r="E34" s="101">
        <f>IF(E12=0,0,E12/TrAvia_act!E10*1000)</f>
        <v>199.88364115586083</v>
      </c>
      <c r="F34" s="101">
        <f>IF(F12=0,0,F12/TrAvia_act!F10*1000)</f>
        <v>270.85927887071136</v>
      </c>
      <c r="G34" s="101">
        <f>IF(G12=0,0,G12/TrAvia_act!G10*1000)</f>
        <v>295.96707920211884</v>
      </c>
      <c r="H34" s="101">
        <f>IF(H12=0,0,H12/TrAvia_act!H10*1000)</f>
        <v>314.14162075969011</v>
      </c>
      <c r="I34" s="101">
        <f>IF(I12=0,0,I12/TrAvia_act!I10*1000)</f>
        <v>314.22745780249744</v>
      </c>
      <c r="J34" s="101">
        <f>IF(J12=0,0,J12/TrAvia_act!J10*1000)</f>
        <v>348.92772670200964</v>
      </c>
      <c r="K34" s="101">
        <f>IF(K12=0,0,K12/TrAvia_act!K10*1000)</f>
        <v>266.3014880386267</v>
      </c>
      <c r="L34" s="101">
        <f>IF(L12=0,0,L12/TrAvia_act!L10*1000)</f>
        <v>191.87176462742599</v>
      </c>
      <c r="M34" s="101">
        <f>IF(M12=0,0,M12/TrAvia_act!M10*1000)</f>
        <v>180.85165474052013</v>
      </c>
      <c r="N34" s="101">
        <f>IF(N12=0,0,N12/TrAvia_act!N10*1000)</f>
        <v>181.02735171644156</v>
      </c>
      <c r="O34" s="101">
        <f>IF(O12=0,0,O12/TrAvia_act!O10*1000)</f>
        <v>195.23888893949558</v>
      </c>
      <c r="P34" s="101">
        <f>IF(P12=0,0,P12/TrAvia_act!P10*1000)</f>
        <v>153.23282077259816</v>
      </c>
      <c r="Q34" s="101">
        <f>IF(Q12=0,0,Q12/TrAvia_act!Q10*1000)</f>
        <v>134.78775387636082</v>
      </c>
      <c r="R34" s="101">
        <f>IF(R12=0,0,R12/TrAvia_act!R10*1000)</f>
        <v>104.32246225193329</v>
      </c>
      <c r="S34" s="101">
        <f>IF(S12=0,0,S12/TrAvia_act!S10*1000)</f>
        <v>134.00621530322184</v>
      </c>
      <c r="T34" s="101">
        <f>IF(T12=0,0,T12/TrAvia_act!T10*1000)</f>
        <v>121.27435308068033</v>
      </c>
      <c r="U34" s="101">
        <f>IF(U12=0,0,U12/TrAvia_act!U10*1000)</f>
        <v>114.77118435767321</v>
      </c>
      <c r="V34" s="101">
        <f>IF(V12=0,0,V12/TrAvia_act!V10*1000)</f>
        <v>150.89796975196461</v>
      </c>
      <c r="W34" s="101">
        <f>IF(W12=0,0,W12/TrAvia_act!W10*1000)</f>
        <v>217.23271243893055</v>
      </c>
      <c r="X34" s="101">
        <f>IF(X12=0,0,X12/TrAvia_act!X10*1000)</f>
        <v>164.64732981495081</v>
      </c>
      <c r="Y34" s="101">
        <f>IF(Y12=0,0,Y12/TrAvia_act!Y10*1000)</f>
        <v>123.10483848724854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20.028977281900193</v>
      </c>
      <c r="C35" s="88">
        <f>IF(C13=0,0,C13/TrAvia_act!C11*1000)</f>
        <v>19.070427300185706</v>
      </c>
      <c r="D35" s="88">
        <f>IF(D13=0,0,D13/TrAvia_act!D11*1000)</f>
        <v>21.466374104851667</v>
      </c>
      <c r="E35" s="88">
        <f>IF(E13=0,0,E13/TrAvia_act!E11*1000)</f>
        <v>27.412296294913084</v>
      </c>
      <c r="F35" s="88">
        <f>IF(F13=0,0,F13/TrAvia_act!F11*1000)</f>
        <v>34.529066124493696</v>
      </c>
      <c r="G35" s="88">
        <f>IF(G13=0,0,G13/TrAvia_act!G11*1000)</f>
        <v>39.719512781226364</v>
      </c>
      <c r="H35" s="88">
        <f>IF(H13=0,0,H13/TrAvia_act!H11*1000)</f>
        <v>39.361548738742066</v>
      </c>
      <c r="I35" s="88">
        <f>IF(I13=0,0,I13/TrAvia_act!I11*1000)</f>
        <v>38.786594001724851</v>
      </c>
      <c r="J35" s="88">
        <f>IF(J13=0,0,J13/TrAvia_act!J11*1000)</f>
        <v>34.361579154773104</v>
      </c>
      <c r="K35" s="88">
        <f>IF(K13=0,0,K13/TrAvia_act!K11*1000)</f>
        <v>25.487633652781859</v>
      </c>
      <c r="L35" s="88">
        <f>IF(L13=0,0,L13/TrAvia_act!L11*1000)</f>
        <v>14.254750552734491</v>
      </c>
      <c r="M35" s="88">
        <f>IF(M13=0,0,M13/TrAvia_act!M11*1000)</f>
        <v>15.813134611013334</v>
      </c>
      <c r="N35" s="88">
        <f>IF(N13=0,0,N13/TrAvia_act!N11*1000)</f>
        <v>10.418937093975485</v>
      </c>
      <c r="O35" s="88">
        <f>IF(O13=0,0,O13/TrAvia_act!O11*1000)</f>
        <v>17.765419814751215</v>
      </c>
      <c r="P35" s="88">
        <f>IF(P13=0,0,P13/TrAvia_act!P11*1000)</f>
        <v>15.984920889763291</v>
      </c>
      <c r="Q35" s="88">
        <f>IF(Q13=0,0,Q13/TrAvia_act!Q11*1000)</f>
        <v>12.816557271347579</v>
      </c>
      <c r="R35" s="88">
        <f>IF(R13=0,0,R13/TrAvia_act!R11*1000)</f>
        <v>15.339280316258689</v>
      </c>
      <c r="S35" s="88">
        <f>IF(S13=0,0,S13/TrAvia_act!S11*1000)</f>
        <v>17.002764896761647</v>
      </c>
      <c r="T35" s="88">
        <f>IF(T13=0,0,T13/TrAvia_act!T11*1000)</f>
        <v>15.729501025601097</v>
      </c>
      <c r="U35" s="88">
        <f>IF(U13=0,0,U13/TrAvia_act!U11*1000)</f>
        <v>24.957831519033036</v>
      </c>
      <c r="V35" s="88">
        <f>IF(V13=0,0,V13/TrAvia_act!V11*1000)</f>
        <v>44.663956607938154</v>
      </c>
      <c r="W35" s="88">
        <f>IF(W13=0,0,W13/TrAvia_act!W11*1000)</f>
        <v>34.926733737361339</v>
      </c>
      <c r="X35" s="88">
        <f>IF(X13=0,0,X13/TrAvia_act!X11*1000)</f>
        <v>31.251791503738996</v>
      </c>
      <c r="Y35" s="88">
        <f>IF(Y13=0,0,Y13/TrAvia_act!Y11*1000)</f>
        <v>14.939049376558758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2243.4203433596026</v>
      </c>
      <c r="C37" s="62">
        <f>IF(C3=0,0,C3/TrAvia_act!C23*1000000)</f>
        <v>2238.6587502857078</v>
      </c>
      <c r="D37" s="62">
        <f>IF(D3=0,0,D3/TrAvia_act!D23*1000000)</f>
        <v>2387.9854338878072</v>
      </c>
      <c r="E37" s="62">
        <f>IF(E3=0,0,E3/TrAvia_act!E23*1000000)</f>
        <v>2811.9029298615978</v>
      </c>
      <c r="F37" s="62">
        <f>IF(F3=0,0,F3/TrAvia_act!F23*1000000)</f>
        <v>3553.4889814902172</v>
      </c>
      <c r="G37" s="62">
        <f>IF(G3=0,0,G3/TrAvia_act!G23*1000000)</f>
        <v>4537.0276860318118</v>
      </c>
      <c r="H37" s="62">
        <f>IF(H3=0,0,H3/TrAvia_act!H23*1000000)</f>
        <v>4569.5183617719122</v>
      </c>
      <c r="I37" s="62">
        <f>IF(I3=0,0,I3/TrAvia_act!I23*1000000)</f>
        <v>4389.6807078253569</v>
      </c>
      <c r="J37" s="62">
        <f>IF(J3=0,0,J3/TrAvia_act!J23*1000000)</f>
        <v>4545.0995243948546</v>
      </c>
      <c r="K37" s="62">
        <f>IF(K3=0,0,K3/TrAvia_act!K23*1000000)</f>
        <v>3324.2568861850323</v>
      </c>
      <c r="L37" s="62">
        <f>IF(L3=0,0,L3/TrAvia_act!L23*1000000)</f>
        <v>2916.2288929462861</v>
      </c>
      <c r="M37" s="62">
        <f>IF(M3=0,0,M3/TrAvia_act!M23*1000000)</f>
        <v>3200.7721930455937</v>
      </c>
      <c r="N37" s="62">
        <f>IF(N3=0,0,N3/TrAvia_act!N23*1000000)</f>
        <v>3231.4938681417725</v>
      </c>
      <c r="O37" s="62">
        <f>IF(O3=0,0,O3/TrAvia_act!O23*1000000)</f>
        <v>3537.2194252250615</v>
      </c>
      <c r="P37" s="62">
        <f>IF(P3=0,0,P3/TrAvia_act!P23*1000000)</f>
        <v>3479.5551399288265</v>
      </c>
      <c r="Q37" s="62">
        <f>IF(Q3=0,0,Q3/TrAvia_act!Q23*1000000)</f>
        <v>3314.0699572631488</v>
      </c>
      <c r="R37" s="62">
        <f>IF(R3=0,0,R3/TrAvia_act!R23*1000000)</f>
        <v>2980.9216807155763</v>
      </c>
      <c r="S37" s="62">
        <f>IF(S3=0,0,S3/TrAvia_act!S23*1000000)</f>
        <v>3423.0444935244182</v>
      </c>
      <c r="T37" s="62">
        <f>IF(T3=0,0,T3/TrAvia_act!T23*1000000)</f>
        <v>3657.7702706529949</v>
      </c>
      <c r="U37" s="62">
        <f>IF(U3=0,0,U3/TrAvia_act!U23*1000000)</f>
        <v>3730.4458047145667</v>
      </c>
      <c r="V37" s="62">
        <f>IF(V3=0,0,V3/TrAvia_act!V23*1000000)</f>
        <v>3814.0619195139498</v>
      </c>
      <c r="W37" s="62">
        <f>IF(W3=0,0,W3/TrAvia_act!W23*1000000)</f>
        <v>5920.9020461335522</v>
      </c>
      <c r="X37" s="62">
        <f>IF(X3=0,0,X3/TrAvia_act!X23*1000000)</f>
        <v>4329.6232652148583</v>
      </c>
      <c r="Y37" s="62">
        <f>IF(Y3=0,0,Y3/TrAvia_act!Y23*1000000)</f>
        <v>3529.8833184048076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2240.8646246170611</v>
      </c>
      <c r="C38" s="14">
        <f>IF(C6=0,0,C6/TrAvia_act!C24*1000000)</f>
        <v>2235.830705388234</v>
      </c>
      <c r="D38" s="14">
        <f>IF(D6=0,0,D6/TrAvia_act!D24*1000000)</f>
        <v>2388.3199612992689</v>
      </c>
      <c r="E38" s="14">
        <f>IF(E6=0,0,E6/TrAvia_act!E24*1000000)</f>
        <v>2817.3016004852748</v>
      </c>
      <c r="F38" s="14">
        <f>IF(F6=0,0,F6/TrAvia_act!F24*1000000)</f>
        <v>3562.89095736025</v>
      </c>
      <c r="G38" s="14">
        <f>IF(G6=0,0,G6/TrAvia_act!G24*1000000)</f>
        <v>4542.6098432586386</v>
      </c>
      <c r="H38" s="14">
        <f>IF(H6=0,0,H6/TrAvia_act!H24*1000000)</f>
        <v>4575.9354391654133</v>
      </c>
      <c r="I38" s="14">
        <f>IF(I6=0,0,I6/TrAvia_act!I24*1000000)</f>
        <v>4392.8137143967142</v>
      </c>
      <c r="J38" s="14">
        <f>IF(J6=0,0,J6/TrAvia_act!J24*1000000)</f>
        <v>4543.5830222268614</v>
      </c>
      <c r="K38" s="14">
        <f>IF(K6=0,0,K6/TrAvia_act!K24*1000000)</f>
        <v>3326.1109888855804</v>
      </c>
      <c r="L38" s="14">
        <f>IF(L6=0,0,L6/TrAvia_act!L24*1000000)</f>
        <v>2920.0061796380651</v>
      </c>
      <c r="M38" s="14">
        <f>IF(M6=0,0,M6/TrAvia_act!M24*1000000)</f>
        <v>3206.4105061869295</v>
      </c>
      <c r="N38" s="14">
        <f>IF(N6=0,0,N6/TrAvia_act!N24*1000000)</f>
        <v>3234.199167432067</v>
      </c>
      <c r="O38" s="14">
        <f>IF(O6=0,0,O6/TrAvia_act!O24*1000000)</f>
        <v>3540.6690871075334</v>
      </c>
      <c r="P38" s="14">
        <f>IF(P6=0,0,P6/TrAvia_act!P24*1000000)</f>
        <v>3484.3214016981151</v>
      </c>
      <c r="Q38" s="14">
        <f>IF(Q6=0,0,Q6/TrAvia_act!Q24*1000000)</f>
        <v>3318.0915034496161</v>
      </c>
      <c r="R38" s="14">
        <f>IF(R6=0,0,R6/TrAvia_act!R24*1000000)</f>
        <v>2986.6704449315889</v>
      </c>
      <c r="S38" s="14">
        <f>IF(S6=0,0,S6/TrAvia_act!S24*1000000)</f>
        <v>3427.6359499399623</v>
      </c>
      <c r="T38" s="14">
        <f>IF(T6=0,0,T6/TrAvia_act!T24*1000000)</f>
        <v>3667.066882071183</v>
      </c>
      <c r="U38" s="14">
        <f>IF(U6=0,0,U6/TrAvia_act!U24*1000000)</f>
        <v>3738.7436617026524</v>
      </c>
      <c r="V38" s="14">
        <f>IF(V6=0,0,V6/TrAvia_act!V24*1000000)</f>
        <v>3829.5990274248079</v>
      </c>
      <c r="W38" s="14">
        <f>IF(W6=0,0,W6/TrAvia_act!W24*1000000)</f>
        <v>5959.2474244091054</v>
      </c>
      <c r="X38" s="14">
        <f>IF(X6=0,0,X6/TrAvia_act!X24*1000000)</f>
        <v>4346.6340117563723</v>
      </c>
      <c r="Y38" s="14">
        <f>IF(Y6=0,0,Y6/TrAvia_act!Y24*1000000)</f>
        <v>3543.607648342112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2151.128513581642</v>
      </c>
      <c r="C40" s="87">
        <f>IF(C8=0,0,C8/TrAvia_act!C26*1000000)</f>
        <v>2146.1725452210044</v>
      </c>
      <c r="D40" s="87">
        <f>IF(D8=0,0,D8/TrAvia_act!D26*1000000)</f>
        <v>2286.5992303432836</v>
      </c>
      <c r="E40" s="87">
        <f>IF(E8=0,0,E8/TrAvia_act!E26*1000000)</f>
        <v>2679.0825184260493</v>
      </c>
      <c r="F40" s="87">
        <f>IF(F8=0,0,F8/TrAvia_act!F26*1000000)</f>
        <v>3353.9705199361874</v>
      </c>
      <c r="G40" s="87">
        <f>IF(G8=0,0,G8/TrAvia_act!G26*1000000)</f>
        <v>4327.3416171749022</v>
      </c>
      <c r="H40" s="87">
        <f>IF(H8=0,0,H8/TrAvia_act!H26*1000000)</f>
        <v>4386.2837966907673</v>
      </c>
      <c r="I40" s="87">
        <f>IF(I8=0,0,I8/TrAvia_act!I26*1000000)</f>
        <v>4214.2765000807303</v>
      </c>
      <c r="J40" s="87">
        <f>IF(J8=0,0,J8/TrAvia_act!J26*1000000)</f>
        <v>4398.6679968431108</v>
      </c>
      <c r="K40" s="87">
        <f>IF(K8=0,0,K8/TrAvia_act!K26*1000000)</f>
        <v>3238.458235520292</v>
      </c>
      <c r="L40" s="87">
        <f>IF(L8=0,0,L8/TrAvia_act!L26*1000000)</f>
        <v>2854.2986664972841</v>
      </c>
      <c r="M40" s="87">
        <f>IF(M8=0,0,M8/TrAvia_act!M26*1000000)</f>
        <v>3192.6524568869368</v>
      </c>
      <c r="N40" s="87">
        <f>IF(N8=0,0,N8/TrAvia_act!N26*1000000)</f>
        <v>3406.4748117781128</v>
      </c>
      <c r="O40" s="87">
        <f>IF(O8=0,0,O8/TrAvia_act!O26*1000000)</f>
        <v>3760.7827416949904</v>
      </c>
      <c r="P40" s="87">
        <f>IF(P8=0,0,P8/TrAvia_act!P26*1000000)</f>
        <v>3634.850263081401</v>
      </c>
      <c r="Q40" s="87">
        <f>IF(Q8=0,0,Q8/TrAvia_act!Q26*1000000)</f>
        <v>3467.4836925498926</v>
      </c>
      <c r="R40" s="87">
        <f>IF(R8=0,0,R8/TrAvia_act!R26*1000000)</f>
        <v>2973.7291424111518</v>
      </c>
      <c r="S40" s="87">
        <f>IF(S8=0,0,S8/TrAvia_act!S26*1000000)</f>
        <v>3533.3599785786691</v>
      </c>
      <c r="T40" s="87">
        <f>IF(T8=0,0,T8/TrAvia_act!T26*1000000)</f>
        <v>3838.1550198271107</v>
      </c>
      <c r="U40" s="87">
        <f>IF(U8=0,0,U8/TrAvia_act!U26*1000000)</f>
        <v>3874.902028652702</v>
      </c>
      <c r="V40" s="87">
        <f>IF(V8=0,0,V8/TrAvia_act!V26*1000000)</f>
        <v>3643.2494695493215</v>
      </c>
      <c r="W40" s="87">
        <f>IF(W8=0,0,W8/TrAvia_act!W26*1000000)</f>
        <v>6084.2657385800776</v>
      </c>
      <c r="X40" s="87">
        <f>IF(X8=0,0,X8/TrAvia_act!X26*1000000)</f>
        <v>4313.2890231405991</v>
      </c>
      <c r="Y40" s="87">
        <f>IF(Y8=0,0,Y8/TrAvia_act!Y26*1000000)</f>
        <v>3516.8314328885663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4552.7641953165512</v>
      </c>
      <c r="C41" s="87">
        <f>IF(C9=0,0,C9/TrAvia_act!C27*1000000)</f>
        <v>4542.6070834051061</v>
      </c>
      <c r="D41" s="87">
        <f>IF(D9=0,0,D9/TrAvia_act!D27*1000000)</f>
        <v>4827.8934240572198</v>
      </c>
      <c r="E41" s="87">
        <f>IF(E9=0,0,E9/TrAvia_act!E27*1000000)</f>
        <v>5601.8317959058204</v>
      </c>
      <c r="F41" s="87">
        <f>IF(F9=0,0,F9/TrAvia_act!F27*1000000)</f>
        <v>6848.5681191838785</v>
      </c>
      <c r="G41" s="87">
        <f>IF(G9=0,0,G9/TrAvia_act!G27*1000000)</f>
        <v>8100.1646160022265</v>
      </c>
      <c r="H41" s="87">
        <f>IF(H9=0,0,H9/TrAvia_act!H27*1000000)</f>
        <v>7568.4685201235561</v>
      </c>
      <c r="I41" s="87">
        <f>IF(I9=0,0,I9/TrAvia_act!I27*1000000)</f>
        <v>7283.4600554611634</v>
      </c>
      <c r="J41" s="87">
        <f>IF(J9=0,0,J9/TrAvia_act!J27*1000000)</f>
        <v>6430.5117780561877</v>
      </c>
      <c r="K41" s="87">
        <f>IF(K9=0,0,K9/TrAvia_act!K27*1000000)</f>
        <v>4194.9327859788755</v>
      </c>
      <c r="L41" s="87">
        <f>IF(L9=0,0,L9/TrAvia_act!L27*1000000)</f>
        <v>3539.7146758257036</v>
      </c>
      <c r="M41" s="87">
        <f>IF(M9=0,0,M9/TrAvia_act!M27*1000000)</f>
        <v>3340.0706383091629</v>
      </c>
      <c r="N41" s="87">
        <f>IF(N9=0,0,N9/TrAvia_act!N27*1000000)</f>
        <v>2271.7633206965425</v>
      </c>
      <c r="O41" s="87">
        <f>IF(O9=0,0,O9/TrAvia_act!O27*1000000)</f>
        <v>2431.8965779538107</v>
      </c>
      <c r="P41" s="87">
        <f>IF(P9=0,0,P9/TrAvia_act!P27*1000000)</f>
        <v>2630.7298386046468</v>
      </c>
      <c r="Q41" s="87">
        <f>IF(Q9=0,0,Q9/TrAvia_act!Q27*1000000)</f>
        <v>2477.2116928504647</v>
      </c>
      <c r="R41" s="87">
        <f>IF(R9=0,0,R9/TrAvia_act!R27*1000000)</f>
        <v>3095.8621816301606</v>
      </c>
      <c r="S41" s="87">
        <f>IF(S9=0,0,S9/TrAvia_act!S27*1000000)</f>
        <v>2738.0269449556681</v>
      </c>
      <c r="T41" s="87">
        <f>IF(T9=0,0,T9/TrAvia_act!T27*1000000)</f>
        <v>2634.7580508817018</v>
      </c>
      <c r="U41" s="87">
        <f>IF(U9=0,0,U9/TrAvia_act!U27*1000000)</f>
        <v>2877.0132203865032</v>
      </c>
      <c r="V41" s="87">
        <f>IF(V9=0,0,V9/TrAvia_act!V27*1000000)</f>
        <v>5685.3720118893334</v>
      </c>
      <c r="W41" s="87">
        <f>IF(W9=0,0,W9/TrAvia_act!W27*1000000)</f>
        <v>5168.2485818748983</v>
      </c>
      <c r="X41" s="87">
        <f>IF(X9=0,0,X9/TrAvia_act!X27*1000000)</f>
        <v>4680.8204906957562</v>
      </c>
      <c r="Y41" s="87">
        <f>IF(Y9=0,0,Y9/TrAvia_act!Y27*1000000)</f>
        <v>3792.6777474919886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2453.5933592235501</v>
      </c>
      <c r="C42" s="15">
        <f>IF(C10=0,0,C10/TrAvia_act!C28*1000000)</f>
        <v>2450.309630412647</v>
      </c>
      <c r="D42" s="15">
        <f>IF(D10=0,0,D10/TrAvia_act!D28*1000000)</f>
        <v>2362.0331494407451</v>
      </c>
      <c r="E42" s="15">
        <f>IF(E10=0,0,E10/TrAvia_act!E28*1000000)</f>
        <v>2455.9342204658642</v>
      </c>
      <c r="F42" s="15">
        <f>IF(F10=0,0,F10/TrAvia_act!F28*1000000)</f>
        <v>2868.9943120014555</v>
      </c>
      <c r="G42" s="15">
        <f>IF(G10=0,0,G10/TrAvia_act!G28*1000000)</f>
        <v>4022.5853796027627</v>
      </c>
      <c r="H42" s="15">
        <f>IF(H10=0,0,H10/TrAvia_act!H28*1000000)</f>
        <v>3952.9304638425879</v>
      </c>
      <c r="I42" s="15">
        <f>IF(I10=0,0,I10/TrAvia_act!I28*1000000)</f>
        <v>4055.3262465301641</v>
      </c>
      <c r="J42" s="15">
        <f>IF(J10=0,0,J10/TrAvia_act!J28*1000000)</f>
        <v>4722.4580636611236</v>
      </c>
      <c r="K42" s="15">
        <f>IF(K10=0,0,K10/TrAvia_act!K28*1000000)</f>
        <v>3140.144488020534</v>
      </c>
      <c r="L42" s="15">
        <f>IF(L10=0,0,L10/TrAvia_act!L28*1000000)</f>
        <v>2619.4904604907983</v>
      </c>
      <c r="M42" s="15">
        <f>IF(M10=0,0,M10/TrAvia_act!M28*1000000)</f>
        <v>2683.8899700365537</v>
      </c>
      <c r="N42" s="15">
        <f>IF(N10=0,0,N10/TrAvia_act!N28*1000000)</f>
        <v>2971.0589769903354</v>
      </c>
      <c r="O42" s="15">
        <f>IF(O10=0,0,O10/TrAvia_act!O28*1000000)</f>
        <v>3293.5044830814809</v>
      </c>
      <c r="P42" s="15">
        <f>IF(P10=0,0,P10/TrAvia_act!P28*1000000)</f>
        <v>3144.2287650353314</v>
      </c>
      <c r="Q42" s="15">
        <f>IF(Q10=0,0,Q10/TrAvia_act!Q28*1000000)</f>
        <v>3005.4473818810575</v>
      </c>
      <c r="R42" s="15">
        <f>IF(R10=0,0,R10/TrAvia_act!R28*1000000)</f>
        <v>2565.7514040487063</v>
      </c>
      <c r="S42" s="15">
        <f>IF(S10=0,0,S10/TrAvia_act!S28*1000000)</f>
        <v>3055.4717129460341</v>
      </c>
      <c r="T42" s="15">
        <f>IF(T10=0,0,T10/TrAvia_act!T28*1000000)</f>
        <v>2922.7495754884271</v>
      </c>
      <c r="U42" s="15">
        <f>IF(U10=0,0,U10/TrAvia_act!U28*1000000)</f>
        <v>3104.061325326471</v>
      </c>
      <c r="V42" s="15">
        <f>IF(V10=0,0,V10/TrAvia_act!V28*1000000)</f>
        <v>3366.2103066521499</v>
      </c>
      <c r="W42" s="15">
        <f>IF(W10=0,0,W10/TrAvia_act!W28*1000000)</f>
        <v>4874.6849548176842</v>
      </c>
      <c r="X42" s="15">
        <f>IF(X10=0,0,X10/TrAvia_act!X28*1000000)</f>
        <v>3515.3043911076484</v>
      </c>
      <c r="Y42" s="15">
        <f>IF(Y10=0,0,Y10/TrAvia_act!Y28*1000000)</f>
        <v>2694.9969307255437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2284.6631758225967</v>
      </c>
      <c r="C44" s="101">
        <f>IF(C12=0,0,C12/TrAvia_act!C30*1000000)</f>
        <v>2277.9320356236508</v>
      </c>
      <c r="D44" s="101">
        <f>IF(D12=0,0,D12/TrAvia_act!D30*1000000)</f>
        <v>2208.3827867695468</v>
      </c>
      <c r="E44" s="101">
        <f>IF(E12=0,0,E12/TrAvia_act!E30*1000000)</f>
        <v>2257.1018523486578</v>
      </c>
      <c r="F44" s="101">
        <f>IF(F12=0,0,F12/TrAvia_act!F30*1000000)</f>
        <v>2664.752311175871</v>
      </c>
      <c r="G44" s="101">
        <f>IF(G12=0,0,G12/TrAvia_act!G30*1000000)</f>
        <v>3625.8508048467856</v>
      </c>
      <c r="H44" s="101">
        <f>IF(H12=0,0,H12/TrAvia_act!H30*1000000)</f>
        <v>3790.4607333058962</v>
      </c>
      <c r="I44" s="101">
        <f>IF(I12=0,0,I12/TrAvia_act!I30*1000000)</f>
        <v>4006.2741298590172</v>
      </c>
      <c r="J44" s="101">
        <f>IF(J12=0,0,J12/TrAvia_act!J30*1000000)</f>
        <v>4753.8147889585543</v>
      </c>
      <c r="K44" s="101">
        <f>IF(K12=0,0,K12/TrAvia_act!K30*1000000)</f>
        <v>3154.2552129706564</v>
      </c>
      <c r="L44" s="101">
        <f>IF(L12=0,0,L12/TrAvia_act!L30*1000000)</f>
        <v>2658.7214225711518</v>
      </c>
      <c r="M44" s="101">
        <f>IF(M12=0,0,M12/TrAvia_act!M30*1000000)</f>
        <v>2696.0559036510567</v>
      </c>
      <c r="N44" s="101">
        <f>IF(N12=0,0,N12/TrAvia_act!N30*1000000)</f>
        <v>2998.7205531428317</v>
      </c>
      <c r="O44" s="101">
        <f>IF(O12=0,0,O12/TrAvia_act!O30*1000000)</f>
        <v>3328.3694282550346</v>
      </c>
      <c r="P44" s="101">
        <f>IF(P12=0,0,P12/TrAvia_act!P30*1000000)</f>
        <v>3174.6910691724479</v>
      </c>
      <c r="Q44" s="101">
        <f>IF(Q12=0,0,Q12/TrAvia_act!Q30*1000000)</f>
        <v>3044.9885914969614</v>
      </c>
      <c r="R44" s="101">
        <f>IF(R12=0,0,R12/TrAvia_act!R30*1000000)</f>
        <v>2678.346227049029</v>
      </c>
      <c r="S44" s="101">
        <f>IF(S12=0,0,S12/TrAvia_act!S30*1000000)</f>
        <v>3157.7818124260443</v>
      </c>
      <c r="T44" s="101">
        <f>IF(T12=0,0,T12/TrAvia_act!T30*1000000)</f>
        <v>2978.6906715401924</v>
      </c>
      <c r="U44" s="101">
        <f>IF(U12=0,0,U12/TrAvia_act!U30*1000000)</f>
        <v>3054.4890104651167</v>
      </c>
      <c r="V44" s="101">
        <f>IF(V12=0,0,V12/TrAvia_act!V30*1000000)</f>
        <v>3319.8428108543167</v>
      </c>
      <c r="W44" s="101">
        <f>IF(W12=0,0,W12/TrAvia_act!W30*1000000)</f>
        <v>4512.6606644993408</v>
      </c>
      <c r="X44" s="101">
        <f>IF(X12=0,0,X12/TrAvia_act!X30*1000000)</f>
        <v>3296.3123254428247</v>
      </c>
      <c r="Y44" s="101">
        <f>IF(Y12=0,0,Y12/TrAvia_act!Y30*1000000)</f>
        <v>2693.1344976119699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3611.9717596872315</v>
      </c>
      <c r="C45" s="88">
        <f>IF(C13=0,0,C13/TrAvia_act!C31*1000000)</f>
        <v>3603.913534000546</v>
      </c>
      <c r="D45" s="88">
        <f>IF(D13=0,0,D13/TrAvia_act!D31*1000000)</f>
        <v>3830.2477260766404</v>
      </c>
      <c r="E45" s="88">
        <f>IF(E13=0,0,E13/TrAvia_act!E31*1000000)</f>
        <v>4444.2579016379295</v>
      </c>
      <c r="F45" s="88">
        <f>IF(F13=0,0,F13/TrAvia_act!F31*1000000)</f>
        <v>5433.3661001449091</v>
      </c>
      <c r="G45" s="88">
        <f>IF(G13=0,0,G13/TrAvia_act!G31*1000000)</f>
        <v>6426.3301560654518</v>
      </c>
      <c r="H45" s="88">
        <f>IF(H13=0,0,H13/TrAvia_act!H31*1000000)</f>
        <v>5518.54786719616</v>
      </c>
      <c r="I45" s="88">
        <f>IF(I13=0,0,I13/TrAvia_act!I31*1000000)</f>
        <v>4882.2047847009308</v>
      </c>
      <c r="J45" s="88">
        <f>IF(J13=0,0,J13/TrAvia_act!J31*1000000)</f>
        <v>3963.6253114633032</v>
      </c>
      <c r="K45" s="88">
        <f>IF(K13=0,0,K13/TrAvia_act!K31*1000000)</f>
        <v>2378.165340713942</v>
      </c>
      <c r="L45" s="88">
        <f>IF(L13=0,0,L13/TrAvia_act!L31*1000000)</f>
        <v>1846.0800651923971</v>
      </c>
      <c r="M45" s="88">
        <f>IF(M13=0,0,M13/TrAvia_act!M31*1000000)</f>
        <v>2075.5932893113995</v>
      </c>
      <c r="N45" s="88">
        <f>IF(N13=0,0,N13/TrAvia_act!N31*1000000)</f>
        <v>1684.7956858992843</v>
      </c>
      <c r="O45" s="88">
        <f>IF(O13=0,0,O13/TrAvia_act!O31*1000000)</f>
        <v>1689.7170050979964</v>
      </c>
      <c r="P45" s="88">
        <f>IF(P13=0,0,P13/TrAvia_act!P31*1000000)</f>
        <v>1712.5004705908359</v>
      </c>
      <c r="Q45" s="88">
        <f>IF(Q13=0,0,Q13/TrAvia_act!Q31*1000000)</f>
        <v>1510.7896583999022</v>
      </c>
      <c r="R45" s="88">
        <f>IF(R13=0,0,R13/TrAvia_act!R31*1000000)</f>
        <v>1768.926502815654</v>
      </c>
      <c r="S45" s="88">
        <f>IF(S13=0,0,S13/TrAvia_act!S31*1000000)</f>
        <v>1465.7301671797152</v>
      </c>
      <c r="T45" s="88">
        <f>IF(T13=0,0,T13/TrAvia_act!T31*1000000)</f>
        <v>1321.4357010066467</v>
      </c>
      <c r="U45" s="88">
        <f>IF(U13=0,0,U13/TrAvia_act!U31*1000000)</f>
        <v>5037.3816049192874</v>
      </c>
      <c r="V45" s="88">
        <f>IF(V13=0,0,V13/TrAvia_act!V31*1000000)</f>
        <v>6581.023348635279</v>
      </c>
      <c r="W45" s="88">
        <f>IF(W13=0,0,W13/TrAvia_act!W31*1000000)</f>
        <v>12970.864538300613</v>
      </c>
      <c r="X45" s="88">
        <f>IF(X13=0,0,X13/TrAvia_act!X31*1000000)</f>
        <v>11774.433724752431</v>
      </c>
      <c r="Y45" s="88">
        <f>IF(Y13=0,0,Y13/TrAvia_act!Y31*1000000)</f>
        <v>3104.7322157118565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0.98686050012995719</v>
      </c>
      <c r="C48" s="16">
        <f t="shared" si="36"/>
        <v>0.9855677266595263</v>
      </c>
      <c r="D48" s="16">
        <f t="shared" ref="D48:V48" si="37">IF(D6=0,0,D6/D$3)</f>
        <v>0.98741225002334743</v>
      </c>
      <c r="E48" s="16">
        <f t="shared" si="37"/>
        <v>0.98695168925261223</v>
      </c>
      <c r="F48" s="16">
        <f t="shared" si="37"/>
        <v>0.98906046005464421</v>
      </c>
      <c r="G48" s="16">
        <f t="shared" si="37"/>
        <v>0.9904827356746968</v>
      </c>
      <c r="H48" s="16">
        <f t="shared" si="37"/>
        <v>0.99108965519913594</v>
      </c>
      <c r="I48" s="16">
        <f t="shared" si="37"/>
        <v>0.99142376798456067</v>
      </c>
      <c r="J48" s="16">
        <f t="shared" si="37"/>
        <v>0.99119117462451822</v>
      </c>
      <c r="K48" s="16">
        <f t="shared" si="37"/>
        <v>0.99058209898176819</v>
      </c>
      <c r="L48" s="16">
        <f t="shared" si="37"/>
        <v>0.98870963538065337</v>
      </c>
      <c r="M48" s="16">
        <f t="shared" si="37"/>
        <v>0.99095193378377677</v>
      </c>
      <c r="N48" s="16">
        <f t="shared" si="37"/>
        <v>0.99054773104412375</v>
      </c>
      <c r="O48" s="16">
        <f t="shared" si="37"/>
        <v>0.98700469397450652</v>
      </c>
      <c r="P48" s="16">
        <f t="shared" si="37"/>
        <v>0.98733599495099522</v>
      </c>
      <c r="Q48" s="16">
        <f t="shared" si="37"/>
        <v>0.98833485206958938</v>
      </c>
      <c r="R48" s="16">
        <f t="shared" si="37"/>
        <v>0.98824453172154547</v>
      </c>
      <c r="S48" s="16">
        <f t="shared" si="37"/>
        <v>0.98898761079749031</v>
      </c>
      <c r="T48" s="16">
        <f t="shared" si="37"/>
        <v>0.99001974261154757</v>
      </c>
      <c r="U48" s="16">
        <f t="shared" si="37"/>
        <v>0.98912124761903109</v>
      </c>
      <c r="V48" s="16">
        <f t="shared" si="37"/>
        <v>0.97040773349118759</v>
      </c>
      <c r="W48" s="16">
        <f t="shared" ref="W48:Y48" si="38">IF(W6=0,0,W6/W$3)</f>
        <v>0.97089168063486098</v>
      </c>
      <c r="X48" s="16">
        <f t="shared" si="38"/>
        <v>0.98338643071999887</v>
      </c>
      <c r="Y48" s="16">
        <f t="shared" si="38"/>
        <v>0.98765245656061118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0.91194435545214603</v>
      </c>
      <c r="C50" s="103">
        <f t="shared" si="42"/>
        <v>0.91065131217108664</v>
      </c>
      <c r="D50" s="103">
        <f t="shared" ref="D50:V50" si="43">IF(D8=0,0,D8/D$3)</f>
        <v>0.90751750685372223</v>
      </c>
      <c r="E50" s="103">
        <f t="shared" si="43"/>
        <v>0.89414718404998605</v>
      </c>
      <c r="F50" s="103">
        <f t="shared" si="43"/>
        <v>0.87540145724346896</v>
      </c>
      <c r="G50" s="103">
        <f t="shared" si="43"/>
        <v>0.88970866111302305</v>
      </c>
      <c r="H50" s="103">
        <f t="shared" si="43"/>
        <v>0.89339466689343461</v>
      </c>
      <c r="I50" s="103">
        <f t="shared" si="43"/>
        <v>0.89580125031280433</v>
      </c>
      <c r="J50" s="103">
        <f t="shared" si="43"/>
        <v>0.89113875413756183</v>
      </c>
      <c r="K50" s="103">
        <f t="shared" si="43"/>
        <v>0.87609122018445751</v>
      </c>
      <c r="L50" s="103">
        <f t="shared" si="43"/>
        <v>0.87381122005140399</v>
      </c>
      <c r="M50" s="103">
        <f t="shared" si="43"/>
        <v>0.89461453176012806</v>
      </c>
      <c r="N50" s="103">
        <f t="shared" si="43"/>
        <v>0.88491216597323097</v>
      </c>
      <c r="O50" s="103">
        <f t="shared" si="43"/>
        <v>0.87471544287588432</v>
      </c>
      <c r="P50" s="103">
        <f t="shared" si="43"/>
        <v>0.87558356170048091</v>
      </c>
      <c r="Q50" s="103">
        <f t="shared" si="43"/>
        <v>0.87702021748381065</v>
      </c>
      <c r="R50" s="103">
        <f t="shared" si="43"/>
        <v>0.87970109712453137</v>
      </c>
      <c r="S50" s="103">
        <f t="shared" si="43"/>
        <v>0.88397086356580201</v>
      </c>
      <c r="T50" s="103">
        <f t="shared" si="43"/>
        <v>0.88889050099801581</v>
      </c>
      <c r="U50" s="103">
        <f t="shared" si="43"/>
        <v>0.88526613499296591</v>
      </c>
      <c r="V50" s="103">
        <f t="shared" si="43"/>
        <v>0.83894386758587236</v>
      </c>
      <c r="W50" s="103">
        <f t="shared" ref="W50:Y50" si="44">IF(W8=0,0,W8/W$3)</f>
        <v>0.85597242963216147</v>
      </c>
      <c r="X50" s="103">
        <f t="shared" si="44"/>
        <v>0.88730727714396329</v>
      </c>
      <c r="Y50" s="103">
        <f t="shared" si="44"/>
        <v>0.88504321693062582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7.4916144677811186E-2</v>
      </c>
      <c r="C51" s="103">
        <f t="shared" si="45"/>
        <v>7.4916414488439789E-2</v>
      </c>
      <c r="D51" s="103">
        <f t="shared" ref="D51:V51" si="46">IF(D9=0,0,D9/D$3)</f>
        <v>7.989474316962529E-2</v>
      </c>
      <c r="E51" s="103">
        <f t="shared" si="46"/>
        <v>9.2804505202626134E-2</v>
      </c>
      <c r="F51" s="103">
        <f t="shared" si="46"/>
        <v>0.11365900281117527</v>
      </c>
      <c r="G51" s="103">
        <f t="shared" si="46"/>
        <v>0.10077407456167374</v>
      </c>
      <c r="H51" s="103">
        <f t="shared" si="46"/>
        <v>9.7694988305701363E-2</v>
      </c>
      <c r="I51" s="103">
        <f t="shared" si="46"/>
        <v>9.5622517671756294E-2</v>
      </c>
      <c r="J51" s="103">
        <f t="shared" si="46"/>
        <v>0.10005242048695633</v>
      </c>
      <c r="K51" s="103">
        <f t="shared" si="46"/>
        <v>0.11449087879731061</v>
      </c>
      <c r="L51" s="103">
        <f t="shared" si="46"/>
        <v>0.11489841532924926</v>
      </c>
      <c r="M51" s="103">
        <f t="shared" si="46"/>
        <v>9.6337402023648613E-2</v>
      </c>
      <c r="N51" s="103">
        <f t="shared" si="46"/>
        <v>0.10563556507089274</v>
      </c>
      <c r="O51" s="103">
        <f t="shared" si="46"/>
        <v>0.11228925109862221</v>
      </c>
      <c r="P51" s="103">
        <f t="shared" si="46"/>
        <v>0.11175243325051434</v>
      </c>
      <c r="Q51" s="103">
        <f t="shared" si="46"/>
        <v>0.11131463458577869</v>
      </c>
      <c r="R51" s="103">
        <f t="shared" si="46"/>
        <v>0.10854343459701413</v>
      </c>
      <c r="S51" s="103">
        <f t="shared" si="46"/>
        <v>0.10501674723168831</v>
      </c>
      <c r="T51" s="103">
        <f t="shared" si="46"/>
        <v>0.10112924161353178</v>
      </c>
      <c r="U51" s="103">
        <f t="shared" si="46"/>
        <v>0.10385511262606531</v>
      </c>
      <c r="V51" s="103">
        <f t="shared" si="46"/>
        <v>0.13146386590531517</v>
      </c>
      <c r="W51" s="103">
        <f t="shared" ref="W51:Y51" si="47">IF(W9=0,0,W9/W$3)</f>
        <v>0.11491925100269956</v>
      </c>
      <c r="X51" s="103">
        <f t="shared" si="47"/>
        <v>9.6079153576035595E-2</v>
      </c>
      <c r="Y51" s="103">
        <f t="shared" si="47"/>
        <v>0.10260923962998533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1.3139499870042936E-2</v>
      </c>
      <c r="C52" s="17">
        <f t="shared" si="48"/>
        <v>1.4432273340473777E-2</v>
      </c>
      <c r="D52" s="17">
        <f t="shared" ref="D52:V52" si="49">IF(D10=0,0,D10/D$3)</f>
        <v>1.2587749976652554E-2</v>
      </c>
      <c r="E52" s="17">
        <f t="shared" si="49"/>
        <v>1.3048310747387657E-2</v>
      </c>
      <c r="F52" s="17">
        <f t="shared" si="49"/>
        <v>1.0939539945355757E-2</v>
      </c>
      <c r="G52" s="17">
        <f t="shared" si="49"/>
        <v>9.5172643253031864E-3</v>
      </c>
      <c r="H52" s="17">
        <f t="shared" si="49"/>
        <v>8.9103448008641464E-3</v>
      </c>
      <c r="I52" s="17">
        <f t="shared" si="49"/>
        <v>8.57623201543933E-3</v>
      </c>
      <c r="J52" s="17">
        <f t="shared" si="49"/>
        <v>8.8088253754817821E-3</v>
      </c>
      <c r="K52" s="17">
        <f t="shared" si="49"/>
        <v>9.4179010182316378E-3</v>
      </c>
      <c r="L52" s="17">
        <f t="shared" si="49"/>
        <v>1.1290364619346762E-2</v>
      </c>
      <c r="M52" s="17">
        <f t="shared" si="49"/>
        <v>9.0480662162230625E-3</v>
      </c>
      <c r="N52" s="17">
        <f t="shared" si="49"/>
        <v>9.4522689558763223E-3</v>
      </c>
      <c r="O52" s="17">
        <f t="shared" si="49"/>
        <v>1.2995306025493569E-2</v>
      </c>
      <c r="P52" s="17">
        <f t="shared" si="49"/>
        <v>1.2664005049004775E-2</v>
      </c>
      <c r="Q52" s="17">
        <f t="shared" si="49"/>
        <v>1.16651479304106E-2</v>
      </c>
      <c r="R52" s="17">
        <f t="shared" si="49"/>
        <v>1.175546827845457E-2</v>
      </c>
      <c r="S52" s="17">
        <f t="shared" si="49"/>
        <v>1.1012389202509642E-2</v>
      </c>
      <c r="T52" s="17">
        <f t="shared" si="49"/>
        <v>9.9802573884524744E-3</v>
      </c>
      <c r="U52" s="17">
        <f t="shared" si="49"/>
        <v>1.0878752380968894E-2</v>
      </c>
      <c r="V52" s="17">
        <f t="shared" si="49"/>
        <v>2.9592266508812404E-2</v>
      </c>
      <c r="W52" s="17">
        <f t="shared" ref="W52:Y52" si="50">IF(W10=0,0,W10/W$3)</f>
        <v>2.9108319365138979E-2</v>
      </c>
      <c r="X52" s="17">
        <f t="shared" si="50"/>
        <v>1.6613569280001121E-2</v>
      </c>
      <c r="Y52" s="17">
        <f t="shared" si="50"/>
        <v>1.2347543439388927E-2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1.0677681862883648E-2</v>
      </c>
      <c r="C54" s="104">
        <f t="shared" si="54"/>
        <v>1.1672766380850052E-2</v>
      </c>
      <c r="D54" s="104">
        <f t="shared" ref="D54:V54" si="55">IF(D12=0,0,D12/D$3)</f>
        <v>1.0653966311360051E-2</v>
      </c>
      <c r="E54" s="104">
        <f t="shared" si="55"/>
        <v>1.0901745329009288E-2</v>
      </c>
      <c r="F54" s="104">
        <f t="shared" si="55"/>
        <v>9.4111962887869372E-3</v>
      </c>
      <c r="G54" s="104">
        <f t="shared" si="55"/>
        <v>7.363304644297638E-3</v>
      </c>
      <c r="H54" s="104">
        <f t="shared" si="55"/>
        <v>7.7408266330131897E-3</v>
      </c>
      <c r="I54" s="104">
        <f t="shared" si="55"/>
        <v>7.9980364690481372E-3</v>
      </c>
      <c r="J54" s="104">
        <f t="shared" si="55"/>
        <v>8.5154376480924675E-3</v>
      </c>
      <c r="K54" s="104">
        <f t="shared" si="55"/>
        <v>9.2882177801786956E-3</v>
      </c>
      <c r="L54" s="104">
        <f t="shared" si="55"/>
        <v>1.0906240376896083E-2</v>
      </c>
      <c r="M54" s="104">
        <f t="shared" si="55"/>
        <v>8.9108633624394775E-3</v>
      </c>
      <c r="N54" s="104">
        <f t="shared" si="55"/>
        <v>9.3394249668818322E-3</v>
      </c>
      <c r="O54" s="104">
        <f t="shared" si="55"/>
        <v>1.2853451116642064E-2</v>
      </c>
      <c r="P54" s="104">
        <f t="shared" si="55"/>
        <v>1.2520308479388401E-2</v>
      </c>
      <c r="Q54" s="104">
        <f t="shared" si="55"/>
        <v>1.1514016984881692E-2</v>
      </c>
      <c r="R54" s="104">
        <f t="shared" si="55"/>
        <v>1.0752033381395911E-2</v>
      </c>
      <c r="S54" s="104">
        <f t="shared" si="55"/>
        <v>1.0692969130445451E-2</v>
      </c>
      <c r="T54" s="104">
        <f t="shared" si="55"/>
        <v>9.8279440937282091E-3</v>
      </c>
      <c r="U54" s="104">
        <f t="shared" si="55"/>
        <v>1.0437391681349011E-2</v>
      </c>
      <c r="V54" s="104">
        <f t="shared" si="55"/>
        <v>2.876970342395278E-2</v>
      </c>
      <c r="W54" s="104">
        <f t="shared" ref="W54:Y54" si="56">IF(W12=0,0,W12/W$3)</f>
        <v>2.5793200813353723E-2</v>
      </c>
      <c r="X54" s="104">
        <f t="shared" si="56"/>
        <v>1.5176198576440231E-2</v>
      </c>
      <c r="Y54" s="104">
        <f t="shared" si="56"/>
        <v>1.2283177788970414E-2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2.4618180071592868E-3</v>
      </c>
      <c r="C55" s="105">
        <f t="shared" si="57"/>
        <v>2.759506959623723E-3</v>
      </c>
      <c r="D55" s="105">
        <f t="shared" ref="D55:V55" si="58">IF(D13=0,0,D13/D$3)</f>
        <v>1.9337836652925046E-3</v>
      </c>
      <c r="E55" s="105">
        <f t="shared" si="58"/>
        <v>2.1465654183783702E-3</v>
      </c>
      <c r="F55" s="105">
        <f t="shared" si="58"/>
        <v>1.5283436565688216E-3</v>
      </c>
      <c r="G55" s="105">
        <f t="shared" si="58"/>
        <v>2.1539596810055488E-3</v>
      </c>
      <c r="H55" s="105">
        <f t="shared" si="58"/>
        <v>1.1695181678509565E-3</v>
      </c>
      <c r="I55" s="105">
        <f t="shared" si="58"/>
        <v>5.7819554639119421E-4</v>
      </c>
      <c r="J55" s="105">
        <f t="shared" si="58"/>
        <v>2.93387727389315E-4</v>
      </c>
      <c r="K55" s="105">
        <f t="shared" si="58"/>
        <v>1.2968323805294193E-4</v>
      </c>
      <c r="L55" s="105">
        <f t="shared" si="58"/>
        <v>3.8412424245067917E-4</v>
      </c>
      <c r="M55" s="105">
        <f t="shared" si="58"/>
        <v>1.3720285378358382E-4</v>
      </c>
      <c r="N55" s="105">
        <f t="shared" si="58"/>
        <v>1.1284398899448963E-4</v>
      </c>
      <c r="O55" s="105">
        <f t="shared" si="58"/>
        <v>1.4185490885150663E-4</v>
      </c>
      <c r="P55" s="105">
        <f t="shared" si="58"/>
        <v>1.4369656961637101E-4</v>
      </c>
      <c r="Q55" s="105">
        <f t="shared" si="58"/>
        <v>1.5113094552890821E-4</v>
      </c>
      <c r="R55" s="105">
        <f t="shared" si="58"/>
        <v>1.003434897058659E-3</v>
      </c>
      <c r="S55" s="105">
        <f t="shared" si="58"/>
        <v>3.1942007206419017E-4</v>
      </c>
      <c r="T55" s="105">
        <f t="shared" si="58"/>
        <v>1.5231329472426507E-4</v>
      </c>
      <c r="U55" s="105">
        <f t="shared" si="58"/>
        <v>4.4136069961988385E-4</v>
      </c>
      <c r="V55" s="105">
        <f t="shared" si="58"/>
        <v>8.2256308485962313E-4</v>
      </c>
      <c r="W55" s="105">
        <f t="shared" ref="W55:Y55" si="59">IF(W13=0,0,W13/W$3)</f>
        <v>3.3151185517852526E-3</v>
      </c>
      <c r="X55" s="105">
        <f t="shared" si="59"/>
        <v>1.437370703560893E-3</v>
      </c>
      <c r="Y55" s="105">
        <f t="shared" si="59"/>
        <v>6.4365650418513412E-5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395.0243040703362</v>
      </c>
      <c r="C57" s="62">
        <v>395.10061676476016</v>
      </c>
      <c r="D57" s="62">
        <v>395.24225619629186</v>
      </c>
      <c r="E57" s="62">
        <v>395.39511215872204</v>
      </c>
      <c r="F57" s="62">
        <v>394.30032243181176</v>
      </c>
      <c r="G57" s="62">
        <v>385.27927647803102</v>
      </c>
      <c r="H57" s="62">
        <v>382.46178426167626</v>
      </c>
      <c r="I57" s="62">
        <v>386.24968754263767</v>
      </c>
      <c r="J57" s="62">
        <v>392.38960258092277</v>
      </c>
      <c r="K57" s="62">
        <v>409.18168718792907</v>
      </c>
      <c r="L57" s="62">
        <v>425.36368923440659</v>
      </c>
      <c r="M57" s="62">
        <v>400.72943636158402</v>
      </c>
      <c r="N57" s="62">
        <v>405.14340078609195</v>
      </c>
      <c r="O57" s="62">
        <v>394.88885082124779</v>
      </c>
      <c r="P57" s="62">
        <v>390.0049072048505</v>
      </c>
      <c r="Q57" s="62">
        <v>384.02986137154249</v>
      </c>
      <c r="R57" s="62">
        <v>383.73749099079612</v>
      </c>
      <c r="S57" s="62">
        <v>385.42638556208448</v>
      </c>
      <c r="T57" s="62">
        <v>385.17701487796444</v>
      </c>
      <c r="U57" s="62">
        <v>391.2725049583081</v>
      </c>
      <c r="V57" s="62">
        <v>407.01559379558682</v>
      </c>
      <c r="W57" s="62">
        <v>442.5603646468652</v>
      </c>
      <c r="X57" s="62">
        <v>401.33567108890423</v>
      </c>
      <c r="Y57" s="62">
        <v>398.38998244539914</v>
      </c>
      <c r="DA57" s="172" t="s">
        <v>314</v>
      </c>
    </row>
    <row r="58" spans="1:105" ht="11.45" customHeight="1" x14ac:dyDescent="0.25">
      <c r="A58" s="10" t="s">
        <v>33</v>
      </c>
      <c r="B58" s="14">
        <v>394.37175788728297</v>
      </c>
      <c r="C58" s="14">
        <v>394.38318611345113</v>
      </c>
      <c r="D58" s="14">
        <v>394.40583547797371</v>
      </c>
      <c r="E58" s="14">
        <v>394.21315081450268</v>
      </c>
      <c r="F58" s="14">
        <v>393.20616688539923</v>
      </c>
      <c r="G58" s="14">
        <v>384.50771816263267</v>
      </c>
      <c r="H58" s="14">
        <v>381.98710427228224</v>
      </c>
      <c r="I58" s="14">
        <v>385.94921055817446</v>
      </c>
      <c r="J58" s="14">
        <v>392.25965959971387</v>
      </c>
      <c r="K58" s="14">
        <v>408.87148718893775</v>
      </c>
      <c r="L58" s="14">
        <v>425.44427174762569</v>
      </c>
      <c r="M58" s="14">
        <v>400.5491757000762</v>
      </c>
      <c r="N58" s="14">
        <v>404.98102702405441</v>
      </c>
      <c r="O58" s="14">
        <v>394.65508781797854</v>
      </c>
      <c r="P58" s="14">
        <v>389.87126346057897</v>
      </c>
      <c r="Q58" s="14">
        <v>384.04987167356302</v>
      </c>
      <c r="R58" s="14">
        <v>383.92423360108347</v>
      </c>
      <c r="S58" s="14">
        <v>385.56884306495266</v>
      </c>
      <c r="T58" s="14">
        <v>385.29540336269889</v>
      </c>
      <c r="U58" s="14">
        <v>391.27886505289553</v>
      </c>
      <c r="V58" s="14">
        <v>407.89641105674457</v>
      </c>
      <c r="W58" s="14">
        <v>441.46464116360846</v>
      </c>
      <c r="X58" s="14">
        <v>400.74291271117005</v>
      </c>
      <c r="Y58" s="14">
        <v>398.72920963613859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389.81245251253</v>
      </c>
      <c r="C60" s="87">
        <v>389.81914314426518</v>
      </c>
      <c r="D60" s="87">
        <v>389.52221177946757</v>
      </c>
      <c r="E60" s="87">
        <v>388.39822382589028</v>
      </c>
      <c r="F60" s="87">
        <v>385.63870477196053</v>
      </c>
      <c r="G60" s="87">
        <v>368.01132493374399</v>
      </c>
      <c r="H60" s="87">
        <v>370.23647731662658</v>
      </c>
      <c r="I60" s="87">
        <v>377.69084064276393</v>
      </c>
      <c r="J60" s="87">
        <v>383.86120932547209</v>
      </c>
      <c r="K60" s="87">
        <v>419.50510808844268</v>
      </c>
      <c r="L60" s="87">
        <v>411.65866459281472</v>
      </c>
      <c r="M60" s="87">
        <v>396.84597035255035</v>
      </c>
      <c r="N60" s="87">
        <v>401.65942120726169</v>
      </c>
      <c r="O60" s="87">
        <v>396.61235739348621</v>
      </c>
      <c r="P60" s="87">
        <v>391.23383803078326</v>
      </c>
      <c r="Q60" s="87">
        <v>383.30792684785251</v>
      </c>
      <c r="R60" s="87">
        <v>383.56734350206756</v>
      </c>
      <c r="S60" s="87">
        <v>384.88651152954253</v>
      </c>
      <c r="T60" s="87">
        <v>384.86472456345587</v>
      </c>
      <c r="U60" s="87">
        <v>391.98546775188964</v>
      </c>
      <c r="V60" s="87">
        <v>399.60479705773287</v>
      </c>
      <c r="W60" s="87">
        <v>390.09635443489225</v>
      </c>
      <c r="X60" s="87">
        <v>385.25304822811773</v>
      </c>
      <c r="Y60" s="87">
        <v>390.74986924584198</v>
      </c>
      <c r="DA60" s="171" t="s">
        <v>317</v>
      </c>
    </row>
    <row r="61" spans="1:105" ht="11.45" customHeight="1" x14ac:dyDescent="0.25">
      <c r="A61" s="83" t="s">
        <v>182</v>
      </c>
      <c r="B61" s="87">
        <v>427.89240608533913</v>
      </c>
      <c r="C61" s="87">
        <v>427.89240608533908</v>
      </c>
      <c r="D61" s="87">
        <v>427.89240608533908</v>
      </c>
      <c r="E61" s="87">
        <v>427.89240608533908</v>
      </c>
      <c r="F61" s="87">
        <v>427.89240608533908</v>
      </c>
      <c r="G61" s="87">
        <v>466.36260815185943</v>
      </c>
      <c r="H61" s="87">
        <v>440.44856131377651</v>
      </c>
      <c r="I61" s="87">
        <v>428.03761975291633</v>
      </c>
      <c r="J61" s="87">
        <v>426.258825376407</v>
      </c>
      <c r="K61" s="87">
        <v>374.89759546287314</v>
      </c>
      <c r="L61" s="87">
        <v>458.76099372281988</v>
      </c>
      <c r="M61" s="87">
        <v>412.59700332926963</v>
      </c>
      <c r="N61" s="87">
        <v>411.49477269835273</v>
      </c>
      <c r="O61" s="87">
        <v>388.6039369055531</v>
      </c>
      <c r="P61" s="87">
        <v>385.34130440624727</v>
      </c>
      <c r="Q61" s="87">
        <v>386.24229392488013</v>
      </c>
      <c r="R61" s="87">
        <v>385.74816773038964</v>
      </c>
      <c r="S61" s="87">
        <v>388.49830818638276</v>
      </c>
      <c r="T61" s="87">
        <v>386.90408753647978</v>
      </c>
      <c r="U61" s="87">
        <v>389.04808456958551</v>
      </c>
      <c r="V61" s="87">
        <v>443.88940516131197</v>
      </c>
      <c r="W61" s="87">
        <v>550.31608263514977</v>
      </c>
      <c r="X61" s="87">
        <v>451.58866900014397</v>
      </c>
      <c r="Y61" s="87">
        <v>422.43633336380367</v>
      </c>
      <c r="DA61" s="171" t="s">
        <v>318</v>
      </c>
    </row>
    <row r="62" spans="1:105" ht="11.45" customHeight="1" x14ac:dyDescent="0.25">
      <c r="A62" s="12" t="s">
        <v>34</v>
      </c>
      <c r="B62" s="15">
        <v>451.06168523634068</v>
      </c>
      <c r="C62" s="15">
        <v>450.85207620727743</v>
      </c>
      <c r="D62" s="15">
        <v>476.05502234478104</v>
      </c>
      <c r="E62" s="15">
        <v>508.83043361256154</v>
      </c>
      <c r="F62" s="15">
        <v>527.13423203514742</v>
      </c>
      <c r="G62" s="15">
        <v>473.33577224559519</v>
      </c>
      <c r="H62" s="15">
        <v>443.78129868219565</v>
      </c>
      <c r="I62" s="15">
        <v>430.04107737406628</v>
      </c>
      <c r="J62" s="15">
        <v>412.46481581983113</v>
      </c>
      <c r="K62" s="15">
        <v>452.60912849056649</v>
      </c>
      <c r="L62" s="15">
        <v>416.91973038334794</v>
      </c>
      <c r="M62" s="15">
        <v>424.15980855534718</v>
      </c>
      <c r="N62" s="15">
        <v>428.20260010623588</v>
      </c>
      <c r="O62" s="15">
        <v>416.06141528869119</v>
      </c>
      <c r="P62" s="15">
        <v>401.85947078130829</v>
      </c>
      <c r="Q62" s="15">
        <v>382.11795446082346</v>
      </c>
      <c r="R62" s="15">
        <v>368.76125527950217</v>
      </c>
      <c r="S62" s="15">
        <v>372.36849774825509</v>
      </c>
      <c r="T62" s="15">
        <v>373.97159746731359</v>
      </c>
      <c r="U62" s="15">
        <v>390.72075691118454</v>
      </c>
      <c r="V62" s="15">
        <v>378.92728129582571</v>
      </c>
      <c r="W62" s="15">
        <v>480.89187277233708</v>
      </c>
      <c r="X62" s="15">
        <v>438.50296562416332</v>
      </c>
      <c r="Y62" s="15">
        <v>370.66714561546542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473.87966248215957</v>
      </c>
      <c r="C64" s="101">
        <v>474.119810666403</v>
      </c>
      <c r="D64" s="101">
        <v>507.6850607339959</v>
      </c>
      <c r="E64" s="101">
        <v>565.0430459451361</v>
      </c>
      <c r="F64" s="101">
        <v>583.65318397215788</v>
      </c>
      <c r="G64" s="101">
        <v>495.37253422641191</v>
      </c>
      <c r="H64" s="101">
        <v>461.64791932912226</v>
      </c>
      <c r="I64" s="101">
        <v>441.98173561552306</v>
      </c>
      <c r="J64" s="101">
        <v>419.59314005241106</v>
      </c>
      <c r="K64" s="101">
        <v>459.15141630394544</v>
      </c>
      <c r="L64" s="101">
        <v>428.95535492262206</v>
      </c>
      <c r="M64" s="101">
        <v>430.22458538459858</v>
      </c>
      <c r="N64" s="101">
        <v>435.47530931683474</v>
      </c>
      <c r="O64" s="101">
        <v>420.19419584494295</v>
      </c>
      <c r="P64" s="101">
        <v>405.21118383117062</v>
      </c>
      <c r="Q64" s="101">
        <v>385.66507168779441</v>
      </c>
      <c r="R64" s="101">
        <v>377.81658656448474</v>
      </c>
      <c r="S64" s="101">
        <v>374.35365904219185</v>
      </c>
      <c r="T64" s="101">
        <v>375.18550759446475</v>
      </c>
      <c r="U64" s="101">
        <v>375.37538318637559</v>
      </c>
      <c r="V64" s="101">
        <v>376.72067701740855</v>
      </c>
      <c r="W64" s="101">
        <v>381.34372493663903</v>
      </c>
      <c r="X64" s="101">
        <v>389.09211783226749</v>
      </c>
      <c r="Y64" s="101">
        <v>370.12599700709575</v>
      </c>
      <c r="DA64" s="175" t="s">
        <v>321</v>
      </c>
    </row>
    <row r="65" spans="1:105" ht="11.45" customHeight="1" x14ac:dyDescent="0.25">
      <c r="A65" s="85" t="s">
        <v>182</v>
      </c>
      <c r="B65" s="88">
        <v>414.93841255501502</v>
      </c>
      <c r="C65" s="88">
        <v>414.93841255501496</v>
      </c>
      <c r="D65" s="88">
        <v>414.93841255501502</v>
      </c>
      <c r="E65" s="88">
        <v>414.93841255501502</v>
      </c>
      <c r="F65" s="88">
        <v>414.93841255501502</v>
      </c>
      <c r="G65" s="88">
        <v>448.73202632463875</v>
      </c>
      <c r="H65" s="88">
        <v>404.57764430051867</v>
      </c>
      <c r="I65" s="88">
        <v>376.57459926516765</v>
      </c>
      <c r="J65" s="88">
        <v>359.3277552864044</v>
      </c>
      <c r="K65" s="88">
        <v>324.37842046565839</v>
      </c>
      <c r="L65" s="88">
        <v>348.66152291408599</v>
      </c>
      <c r="M65" s="88">
        <v>329.93701502336097</v>
      </c>
      <c r="N65" s="88">
        <v>332.30469080267994</v>
      </c>
      <c r="O65" s="88">
        <v>313.04722995892052</v>
      </c>
      <c r="P65" s="88">
        <v>312.46754463390289</v>
      </c>
      <c r="Q65" s="88">
        <v>308.04115341625169</v>
      </c>
      <c r="R65" s="88">
        <v>321.78311683655915</v>
      </c>
      <c r="S65" s="88">
        <v>344.29201498471627</v>
      </c>
      <c r="T65" s="88">
        <v>343.01213367785522</v>
      </c>
      <c r="U65" s="88">
        <v>625.91303000889752</v>
      </c>
      <c r="V65" s="88">
        <v>427.97381580306194</v>
      </c>
      <c r="W65" s="88">
        <v>767.56885546539831</v>
      </c>
      <c r="X65" s="88">
        <v>706.88857546047734</v>
      </c>
      <c r="Y65" s="88">
        <v>406.42275976299413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0.59746555167547344</v>
      </c>
      <c r="C67" s="59">
        <f t="shared" ref="C67:W67" si="61">IF(C3=0,0,C17/C57)</f>
        <v>0.59601864411233574</v>
      </c>
      <c r="D67" s="59">
        <f t="shared" si="61"/>
        <v>0.63199719354881556</v>
      </c>
      <c r="E67" s="59">
        <f t="shared" si="61"/>
        <v>0.72996459027058469</v>
      </c>
      <c r="F67" s="59">
        <f t="shared" si="61"/>
        <v>0.89074708831216787</v>
      </c>
      <c r="G67" s="59">
        <f t="shared" si="61"/>
        <v>1.0492687715150046</v>
      </c>
      <c r="H67" s="59">
        <f t="shared" si="61"/>
        <v>1.092826993935182</v>
      </c>
      <c r="I67" s="59">
        <f t="shared" si="61"/>
        <v>1.0971781578148967</v>
      </c>
      <c r="J67" s="59">
        <f t="shared" si="61"/>
        <v>1.1297095136448925</v>
      </c>
      <c r="K67" s="59">
        <f t="shared" si="61"/>
        <v>0.92793655817263443</v>
      </c>
      <c r="L67" s="59">
        <f t="shared" si="61"/>
        <v>0.70518551168186749</v>
      </c>
      <c r="M67" s="59">
        <f t="shared" si="61"/>
        <v>0.8324120556163318</v>
      </c>
      <c r="N67" s="59">
        <f t="shared" si="61"/>
        <v>0.80699090614568647</v>
      </c>
      <c r="O67" s="59">
        <f t="shared" si="61"/>
        <v>1.0155071694104238</v>
      </c>
      <c r="P67" s="59">
        <f t="shared" si="61"/>
        <v>0.96973738201012272</v>
      </c>
      <c r="Q67" s="59">
        <f t="shared" si="61"/>
        <v>0.86120274570117883</v>
      </c>
      <c r="R67" s="59">
        <f t="shared" si="61"/>
        <v>0.81431490488142144</v>
      </c>
      <c r="S67" s="59">
        <f t="shared" si="61"/>
        <v>0.91992995501410357</v>
      </c>
      <c r="T67" s="59">
        <f t="shared" si="61"/>
        <v>0.95243041712436516</v>
      </c>
      <c r="U67" s="59">
        <f t="shared" si="61"/>
        <v>0.95925452197692296</v>
      </c>
      <c r="V67" s="59">
        <f t="shared" si="61"/>
        <v>1.0221399609298176</v>
      </c>
      <c r="W67" s="59">
        <f t="shared" si="61"/>
        <v>1.0345150919342212</v>
      </c>
      <c r="X67" s="59">
        <f t="shared" ref="X67:Y67" si="62">IF(X3=0,0,X17/X57)</f>
        <v>0.92388371336276198</v>
      </c>
      <c r="Y67" s="59">
        <f t="shared" si="62"/>
        <v>0.78458724931122592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0.59746809154185809</v>
      </c>
      <c r="C68" s="23">
        <f t="shared" ref="C68:W68" si="64">IF(C6=0,0,C18/C58)</f>
        <v>0.59605817155759322</v>
      </c>
      <c r="D68" s="23">
        <f t="shared" si="64"/>
        <v>0.63183777912638284</v>
      </c>
      <c r="E68" s="23">
        <f t="shared" si="64"/>
        <v>0.73012913507043042</v>
      </c>
      <c r="F68" s="23">
        <f t="shared" si="64"/>
        <v>0.89073127825420828</v>
      </c>
      <c r="G68" s="23">
        <f t="shared" si="64"/>
        <v>1.0504925947058952</v>
      </c>
      <c r="H68" s="23">
        <f t="shared" si="64"/>
        <v>1.0928301546252936</v>
      </c>
      <c r="I68" s="23">
        <f t="shared" si="64"/>
        <v>1.0960849680447728</v>
      </c>
      <c r="J68" s="23">
        <f t="shared" si="64"/>
        <v>1.1273794186908539</v>
      </c>
      <c r="K68" s="23">
        <f t="shared" si="64"/>
        <v>0.92646547530635037</v>
      </c>
      <c r="L68" s="23">
        <f t="shared" si="64"/>
        <v>0.70374414580730449</v>
      </c>
      <c r="M68" s="23">
        <f t="shared" si="64"/>
        <v>0.83160060117165602</v>
      </c>
      <c r="N68" s="23">
        <f t="shared" si="64"/>
        <v>0.80531456398927714</v>
      </c>
      <c r="O68" s="23">
        <f t="shared" si="64"/>
        <v>1.0139769417460385</v>
      </c>
      <c r="P68" s="23">
        <f t="shared" si="64"/>
        <v>0.96858252297096148</v>
      </c>
      <c r="Q68" s="23">
        <f t="shared" si="64"/>
        <v>0.86002020843041882</v>
      </c>
      <c r="R68" s="23">
        <f t="shared" si="64"/>
        <v>0.81438048262700069</v>
      </c>
      <c r="S68" s="23">
        <f t="shared" si="64"/>
        <v>0.91938514250243641</v>
      </c>
      <c r="T68" s="23">
        <f t="shared" si="64"/>
        <v>0.9525944010296663</v>
      </c>
      <c r="U68" s="23">
        <f t="shared" si="64"/>
        <v>0.95974062913664104</v>
      </c>
      <c r="V68" s="23">
        <f t="shared" si="64"/>
        <v>1.0207880601203871</v>
      </c>
      <c r="W68" s="23">
        <f t="shared" si="64"/>
        <v>1.035677590811223</v>
      </c>
      <c r="X68" s="23">
        <f t="shared" ref="X68:Y68" si="65">IF(X6=0,0,X18/X58)</f>
        <v>0.92438966026956404</v>
      </c>
      <c r="Y68" s="23">
        <f t="shared" si="65"/>
        <v>0.78371416098472169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0.63454348489433743</v>
      </c>
      <c r="C70" s="91">
        <f t="shared" ref="C70:W70" si="68">IF(C8=0,0,C20/C60)</f>
        <v>0.63308977409076594</v>
      </c>
      <c r="D70" s="91">
        <f t="shared" si="68"/>
        <v>0.67374649725263125</v>
      </c>
      <c r="E70" s="91">
        <f t="shared" si="68"/>
        <v>0.78729467972794798</v>
      </c>
      <c r="F70" s="91">
        <f t="shared" si="68"/>
        <v>0.97921571834405552</v>
      </c>
      <c r="G70" s="91">
        <f t="shared" si="68"/>
        <v>1.1846039684233043</v>
      </c>
      <c r="H70" s="91">
        <f t="shared" si="68"/>
        <v>1.2206602650346154</v>
      </c>
      <c r="I70" s="91">
        <f t="shared" si="68"/>
        <v>1.2105965860303554</v>
      </c>
      <c r="J70" s="91">
        <f t="shared" si="68"/>
        <v>1.2916076330370876</v>
      </c>
      <c r="K70" s="91">
        <f t="shared" si="68"/>
        <v>1.0485771119023863</v>
      </c>
      <c r="L70" s="91">
        <f t="shared" si="68"/>
        <v>0.90875995907699958</v>
      </c>
      <c r="M70" s="91">
        <f t="shared" si="68"/>
        <v>0.99067753867051989</v>
      </c>
      <c r="N70" s="91">
        <f t="shared" si="68"/>
        <v>1.0952824234864986</v>
      </c>
      <c r="O70" s="91">
        <f t="shared" si="68"/>
        <v>1.1834120940327264</v>
      </c>
      <c r="P70" s="91">
        <f t="shared" si="68"/>
        <v>1.1134273011337175</v>
      </c>
      <c r="Q70" s="91">
        <f t="shared" si="68"/>
        <v>1.0233971774467492</v>
      </c>
      <c r="R70" s="91">
        <f t="shared" si="68"/>
        <v>0.86758789781104151</v>
      </c>
      <c r="S70" s="91">
        <f t="shared" si="68"/>
        <v>1.0149596603621316</v>
      </c>
      <c r="T70" s="91">
        <f t="shared" si="68"/>
        <v>1.0854801753761412</v>
      </c>
      <c r="U70" s="91">
        <f t="shared" si="68"/>
        <v>1.1290115673756436</v>
      </c>
      <c r="V70" s="91">
        <f t="shared" si="68"/>
        <v>1.1083278799562417</v>
      </c>
      <c r="W70" s="91">
        <f t="shared" si="68"/>
        <v>1.5209656830114633</v>
      </c>
      <c r="X70" s="91">
        <f t="shared" ref="X70:Y70" si="69">IF(X8=0,0,X20/X60)</f>
        <v>1.1319226854875999</v>
      </c>
      <c r="Y70" s="91">
        <f t="shared" si="69"/>
        <v>0.95783818624867212</v>
      </c>
      <c r="DA70" s="171"/>
    </row>
    <row r="71" spans="1:105" ht="11.45" customHeight="1" x14ac:dyDescent="0.25">
      <c r="A71" s="83" t="s">
        <v>182</v>
      </c>
      <c r="B71" s="91">
        <f t="shared" si="63"/>
        <v>0.34914298900875906</v>
      </c>
      <c r="C71" s="91">
        <f t="shared" ref="C71:W71" si="70">IF(C9=0,0,C21/C61)</f>
        <v>0.34836405905317164</v>
      </c>
      <c r="D71" s="91">
        <f t="shared" si="70"/>
        <v>0.37024213606869444</v>
      </c>
      <c r="E71" s="91">
        <f t="shared" si="70"/>
        <v>0.42959402535251995</v>
      </c>
      <c r="F71" s="91">
        <f t="shared" si="70"/>
        <v>0.52520390711685028</v>
      </c>
      <c r="G71" s="91">
        <f t="shared" si="70"/>
        <v>0.52537242359874781</v>
      </c>
      <c r="H71" s="91">
        <f t="shared" si="70"/>
        <v>0.55823407514141554</v>
      </c>
      <c r="I71" s="91">
        <f t="shared" si="70"/>
        <v>0.58112645450074851</v>
      </c>
      <c r="J71" s="91">
        <f t="shared" si="70"/>
        <v>0.52866775334409244</v>
      </c>
      <c r="K71" s="91">
        <f t="shared" si="70"/>
        <v>0.48990363097758083</v>
      </c>
      <c r="L71" s="91">
        <f t="shared" si="70"/>
        <v>0.25913898167709759</v>
      </c>
      <c r="M71" s="91">
        <f t="shared" si="70"/>
        <v>0.33382445927346815</v>
      </c>
      <c r="N71" s="91">
        <f t="shared" si="70"/>
        <v>0.25027210886898177</v>
      </c>
      <c r="O71" s="91">
        <f t="shared" si="70"/>
        <v>0.47935115592793898</v>
      </c>
      <c r="P71" s="91">
        <f t="shared" si="70"/>
        <v>0.47967391134320136</v>
      </c>
      <c r="Q71" s="91">
        <f t="shared" si="70"/>
        <v>0.38091444161268456</v>
      </c>
      <c r="R71" s="91">
        <f t="shared" si="70"/>
        <v>0.54399425639911947</v>
      </c>
      <c r="S71" s="91">
        <f t="shared" si="70"/>
        <v>0.51286828159755116</v>
      </c>
      <c r="T71" s="91">
        <f t="shared" si="70"/>
        <v>0.45885182779524691</v>
      </c>
      <c r="U71" s="91">
        <f t="shared" si="70"/>
        <v>0.42130891688381511</v>
      </c>
      <c r="V71" s="91">
        <f t="shared" si="70"/>
        <v>0.67869799526047003</v>
      </c>
      <c r="W71" s="91">
        <f t="shared" si="70"/>
        <v>0.30672644127246201</v>
      </c>
      <c r="X71" s="91">
        <f t="shared" ref="X71:Y71" si="71">IF(X9=0,0,X21/X61)</f>
        <v>0.34322746253225384</v>
      </c>
      <c r="Y71" s="91">
        <f t="shared" si="71"/>
        <v>0.30518528512903281</v>
      </c>
      <c r="DA71" s="171"/>
    </row>
    <row r="72" spans="1:105" ht="11.45" customHeight="1" x14ac:dyDescent="0.25">
      <c r="A72" s="12" t="s">
        <v>34</v>
      </c>
      <c r="B72" s="24">
        <f t="shared" si="63"/>
        <v>0.59727485315855677</v>
      </c>
      <c r="C72" s="24">
        <f t="shared" ref="C72:W72" si="72">IF(C10=0,0,C22/C62)</f>
        <v>0.59333169540270514</v>
      </c>
      <c r="D72" s="24">
        <f t="shared" si="72"/>
        <v>0.64475773143821302</v>
      </c>
      <c r="E72" s="24">
        <f t="shared" si="72"/>
        <v>0.71773006214514778</v>
      </c>
      <c r="F72" s="24">
        <f t="shared" si="72"/>
        <v>0.89217882268424942</v>
      </c>
      <c r="G72" s="24">
        <f t="shared" si="72"/>
        <v>0.93580765436434243</v>
      </c>
      <c r="H72" s="24">
        <f t="shared" si="72"/>
        <v>1.0924755472870435</v>
      </c>
      <c r="I72" s="24">
        <f t="shared" si="72"/>
        <v>1.2401640835445897</v>
      </c>
      <c r="J72" s="24">
        <f t="shared" si="72"/>
        <v>1.4720574379791391</v>
      </c>
      <c r="K72" s="24">
        <f t="shared" si="72"/>
        <v>1.113983743596741</v>
      </c>
      <c r="L72" s="24">
        <f t="shared" si="72"/>
        <v>0.85930933293573397</v>
      </c>
      <c r="M72" s="24">
        <f t="shared" si="72"/>
        <v>0.93201420222200482</v>
      </c>
      <c r="N72" s="24">
        <f t="shared" si="72"/>
        <v>1.0321432199529494</v>
      </c>
      <c r="O72" s="24">
        <f t="shared" si="72"/>
        <v>1.1469733357657734</v>
      </c>
      <c r="P72" s="24">
        <f t="shared" si="72"/>
        <v>1.069120571624155</v>
      </c>
      <c r="Q72" s="24">
        <f t="shared" si="72"/>
        <v>0.97476084557971954</v>
      </c>
      <c r="R72" s="24">
        <f t="shared" si="72"/>
        <v>0.80883950344512889</v>
      </c>
      <c r="S72" s="24">
        <f t="shared" si="72"/>
        <v>0.97163866198901583</v>
      </c>
      <c r="T72" s="24">
        <f t="shared" si="72"/>
        <v>0.93643943969470389</v>
      </c>
      <c r="U72" s="24">
        <f t="shared" si="72"/>
        <v>0.91702373697192463</v>
      </c>
      <c r="V72" s="24">
        <f t="shared" si="72"/>
        <v>1.0685464454126843</v>
      </c>
      <c r="W72" s="24">
        <f t="shared" si="72"/>
        <v>0.99718182749395201</v>
      </c>
      <c r="X72" s="24">
        <f t="shared" ref="X72:Y72" si="73">IF(X10=0,0,X22/X62)</f>
        <v>0.8948914908506046</v>
      </c>
      <c r="Y72" s="24">
        <f t="shared" si="73"/>
        <v>0.86134091969611037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0.75382839443982042</v>
      </c>
      <c r="C74" s="93">
        <f t="shared" ref="C74:W74" si="76">IF(C12=0,0,C24/C64)</f>
        <v>0.75198309619297721</v>
      </c>
      <c r="D74" s="93">
        <f t="shared" si="76"/>
        <v>0.7765358400981448</v>
      </c>
      <c r="E74" s="93">
        <f t="shared" si="76"/>
        <v>0.86329620898233916</v>
      </c>
      <c r="F74" s="93">
        <f t="shared" si="76"/>
        <v>1.0424145807892649</v>
      </c>
      <c r="G74" s="93">
        <f t="shared" si="76"/>
        <v>1.3114347050703163</v>
      </c>
      <c r="H74" s="93">
        <f t="shared" si="76"/>
        <v>1.3281468105709329</v>
      </c>
      <c r="I74" s="93">
        <f t="shared" si="76"/>
        <v>1.3766235155832269</v>
      </c>
      <c r="J74" s="93">
        <f t="shared" si="76"/>
        <v>1.586509456064382</v>
      </c>
      <c r="K74" s="93">
        <f t="shared" si="76"/>
        <v>1.1382439322007163</v>
      </c>
      <c r="L74" s="93">
        <f t="shared" si="76"/>
        <v>0.94903949648119779</v>
      </c>
      <c r="M74" s="93">
        <f t="shared" si="76"/>
        <v>0.96319000620867457</v>
      </c>
      <c r="N74" s="93">
        <f t="shared" si="76"/>
        <v>1.0788391287368062</v>
      </c>
      <c r="O74" s="93">
        <f t="shared" si="76"/>
        <v>1.1683603196996417</v>
      </c>
      <c r="P74" s="93">
        <f t="shared" si="76"/>
        <v>1.0875500761505312</v>
      </c>
      <c r="Q74" s="93">
        <f t="shared" si="76"/>
        <v>0.99893025963546722</v>
      </c>
      <c r="R74" s="93">
        <f t="shared" si="76"/>
        <v>0.86124953640114366</v>
      </c>
      <c r="S74" s="93">
        <f t="shared" si="76"/>
        <v>1.004806476448407</v>
      </c>
      <c r="T74" s="93">
        <f t="shared" si="76"/>
        <v>0.9552045295753373</v>
      </c>
      <c r="U74" s="93">
        <f t="shared" si="76"/>
        <v>0.97553781071904233</v>
      </c>
      <c r="V74" s="93">
        <f t="shared" si="76"/>
        <v>1.0919408555087784</v>
      </c>
      <c r="W74" s="93">
        <f t="shared" si="76"/>
        <v>1.5012084502020002</v>
      </c>
      <c r="X74" s="93">
        <f t="shared" ref="X74:Y74" si="77">IF(X12=0,0,X24/X64)</f>
        <v>1.0908884905657064</v>
      </c>
      <c r="Y74" s="93">
        <f t="shared" si="77"/>
        <v>0.87109076436439214</v>
      </c>
      <c r="DA74" s="175"/>
    </row>
    <row r="75" spans="1:105" ht="11.45" customHeight="1" x14ac:dyDescent="0.25">
      <c r="A75" s="85" t="s">
        <v>182</v>
      </c>
      <c r="B75" s="94">
        <f t="shared" si="63"/>
        <v>0.31422869010788324</v>
      </c>
      <c r="C75" s="94">
        <f t="shared" ref="C75:W75" si="78">IF(C13=0,0,C25/C65)</f>
        <v>0.31352765314785452</v>
      </c>
      <c r="D75" s="94">
        <f t="shared" si="78"/>
        <v>0.33321792246182497</v>
      </c>
      <c r="E75" s="94">
        <f t="shared" si="78"/>
        <v>0.3866346228172679</v>
      </c>
      <c r="F75" s="94">
        <f t="shared" si="78"/>
        <v>0.47268351640516526</v>
      </c>
      <c r="G75" s="94">
        <f t="shared" si="78"/>
        <v>0.47283518123887303</v>
      </c>
      <c r="H75" s="94">
        <f t="shared" si="78"/>
        <v>0.50241066762727382</v>
      </c>
      <c r="I75" s="94">
        <f t="shared" si="78"/>
        <v>0.52301380905067374</v>
      </c>
      <c r="J75" s="94">
        <f t="shared" si="78"/>
        <v>0.4758009780096833</v>
      </c>
      <c r="K75" s="94">
        <f t="shared" si="78"/>
        <v>0.44091326787982277</v>
      </c>
      <c r="L75" s="94">
        <f t="shared" si="78"/>
        <v>0.23322508350938784</v>
      </c>
      <c r="M75" s="94">
        <f t="shared" si="78"/>
        <v>0.30044201334612136</v>
      </c>
      <c r="N75" s="94">
        <f t="shared" si="78"/>
        <v>0.22524489798208358</v>
      </c>
      <c r="O75" s="94">
        <f t="shared" si="78"/>
        <v>0.43141604033514502</v>
      </c>
      <c r="P75" s="94">
        <f t="shared" si="78"/>
        <v>0.43170652020888117</v>
      </c>
      <c r="Q75" s="94">
        <f t="shared" si="78"/>
        <v>0.34282299745141609</v>
      </c>
      <c r="R75" s="94">
        <f t="shared" si="78"/>
        <v>0.48959483075920751</v>
      </c>
      <c r="S75" s="94">
        <f t="shared" si="78"/>
        <v>0.46158145343779616</v>
      </c>
      <c r="T75" s="94">
        <f t="shared" si="78"/>
        <v>0.41296664501572217</v>
      </c>
      <c r="U75" s="94">
        <f t="shared" si="78"/>
        <v>0.37917802519543364</v>
      </c>
      <c r="V75" s="94">
        <f t="shared" si="78"/>
        <v>0.61082819573442304</v>
      </c>
      <c r="W75" s="94">
        <f t="shared" si="78"/>
        <v>0.27605379714521583</v>
      </c>
      <c r="X75" s="94">
        <f t="shared" ref="X75:Y75" si="79">IF(X13=0,0,X25/X65)</f>
        <v>0.30890471627902844</v>
      </c>
      <c r="Y75" s="94">
        <f t="shared" si="79"/>
        <v>0.27466675661612955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61.834028760000017</v>
      </c>
      <c r="C3" s="79">
        <f t="shared" si="0"/>
        <v>51.108993360000007</v>
      </c>
      <c r="D3" s="79">
        <f t="shared" ref="D3" si="1">SUM(D4:D5)</f>
        <v>53.66270879999999</v>
      </c>
      <c r="E3" s="79">
        <f t="shared" ref="E3" si="2">SUM(E4:E5)</f>
        <v>62.32556592000001</v>
      </c>
      <c r="F3" s="79">
        <f t="shared" ref="F3" si="3">SUM(F4:F5)</f>
        <v>96.232520520000008</v>
      </c>
      <c r="G3" s="79">
        <f t="shared" ref="G3" si="4">SUM(G4:G5)</f>
        <v>152.26032276000001</v>
      </c>
      <c r="H3" s="79">
        <f t="shared" ref="H3" si="5">SUM(H4:H5)</f>
        <v>155.99806560000005</v>
      </c>
      <c r="I3" s="79">
        <f t="shared" ref="I3" si="6">SUM(I4:I5)</f>
        <v>177.93049860000005</v>
      </c>
      <c r="J3" s="79">
        <f t="shared" ref="J3" si="7">SUM(J4:J5)</f>
        <v>203.34418632000001</v>
      </c>
      <c r="K3" s="79">
        <f t="shared" ref="K3" si="8">SUM(K4:K5)</f>
        <v>110.40768431999999</v>
      </c>
      <c r="L3" s="79">
        <f t="shared" ref="L3" si="9">SUM(L4:L5)</f>
        <v>101.27166767999999</v>
      </c>
      <c r="M3" s="79">
        <f t="shared" ref="M3" si="10">SUM(M4:M5)</f>
        <v>136.61911691999995</v>
      </c>
      <c r="N3" s="79">
        <f t="shared" ref="N3" si="11">SUM(N4:N5)</f>
        <v>179.77939271999998</v>
      </c>
      <c r="O3" s="79">
        <f t="shared" ref="O3" si="12">SUM(O4:O5)</f>
        <v>143.43023267999999</v>
      </c>
      <c r="P3" s="79">
        <f t="shared" ref="P3" si="13">SUM(P4:P5)</f>
        <v>143.50115483999997</v>
      </c>
      <c r="Q3" s="79">
        <f t="shared" ref="Q3" si="14">SUM(Q4:Q5)</f>
        <v>150.46369200000001</v>
      </c>
      <c r="R3" s="79">
        <f t="shared" ref="R3" si="15">SUM(R4:R5)</f>
        <v>137.97647388000004</v>
      </c>
      <c r="S3" s="79">
        <f t="shared" ref="S3" si="16">SUM(S4:S5)</f>
        <v>179.57516795999999</v>
      </c>
      <c r="T3" s="79">
        <f t="shared" ref="T3" si="17">SUM(T4:T5)</f>
        <v>208.93409496000004</v>
      </c>
      <c r="U3" s="79">
        <f t="shared" ref="U3" si="18">SUM(U4:U5)</f>
        <v>206.14535280000004</v>
      </c>
      <c r="V3" s="79">
        <f t="shared" ref="V3:W3" si="19">SUM(V4:V5)</f>
        <v>72.253115280000046</v>
      </c>
      <c r="W3" s="79">
        <f t="shared" si="19"/>
        <v>129.56080896000003</v>
      </c>
      <c r="X3" s="79">
        <f t="shared" ref="X3:Y3" si="20">SUM(X4:X5)</f>
        <v>172.61573688000001</v>
      </c>
      <c r="Y3" s="79">
        <f t="shared" si="20"/>
        <v>145.20483972000005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61.834028760000017</v>
      </c>
      <c r="C5" s="96">
        <f t="shared" si="24"/>
        <v>51.108993360000007</v>
      </c>
      <c r="D5" s="96">
        <f t="shared" ref="D5:V5" si="25">SUM(D8:D9,D12:D13)</f>
        <v>53.66270879999999</v>
      </c>
      <c r="E5" s="96">
        <f t="shared" si="25"/>
        <v>62.32556592000001</v>
      </c>
      <c r="F5" s="96">
        <f t="shared" si="25"/>
        <v>96.232520520000008</v>
      </c>
      <c r="G5" s="96">
        <f t="shared" si="25"/>
        <v>152.26032276000001</v>
      </c>
      <c r="H5" s="96">
        <f t="shared" si="25"/>
        <v>155.99806560000005</v>
      </c>
      <c r="I5" s="96">
        <f t="shared" si="25"/>
        <v>177.93049860000005</v>
      </c>
      <c r="J5" s="96">
        <f t="shared" si="25"/>
        <v>203.34418632000001</v>
      </c>
      <c r="K5" s="96">
        <f t="shared" si="25"/>
        <v>110.40768431999999</v>
      </c>
      <c r="L5" s="96">
        <f t="shared" si="25"/>
        <v>101.27166767999999</v>
      </c>
      <c r="M5" s="96">
        <f t="shared" si="25"/>
        <v>136.61911691999995</v>
      </c>
      <c r="N5" s="96">
        <f t="shared" si="25"/>
        <v>179.77939271999998</v>
      </c>
      <c r="O5" s="96">
        <f t="shared" si="25"/>
        <v>143.43023267999999</v>
      </c>
      <c r="P5" s="96">
        <f t="shared" si="25"/>
        <v>143.50115483999997</v>
      </c>
      <c r="Q5" s="96">
        <f t="shared" si="25"/>
        <v>150.46369200000001</v>
      </c>
      <c r="R5" s="96">
        <f t="shared" si="25"/>
        <v>137.97647388000004</v>
      </c>
      <c r="S5" s="96">
        <f t="shared" si="25"/>
        <v>179.57516795999999</v>
      </c>
      <c r="T5" s="96">
        <f t="shared" si="25"/>
        <v>208.93409496000004</v>
      </c>
      <c r="U5" s="96">
        <f t="shared" si="25"/>
        <v>206.14535280000004</v>
      </c>
      <c r="V5" s="96">
        <f t="shared" si="25"/>
        <v>72.253115280000046</v>
      </c>
      <c r="W5" s="96">
        <f t="shared" ref="W5:Y5" si="26">SUM(W8:W9,W12:W13)</f>
        <v>129.56080896000003</v>
      </c>
      <c r="X5" s="96">
        <f t="shared" si="26"/>
        <v>172.61573688000001</v>
      </c>
      <c r="Y5" s="96">
        <f t="shared" si="26"/>
        <v>145.20483972000005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61.021560547143771</v>
      </c>
      <c r="C6" s="21">
        <f t="shared" si="27"/>
        <v>50.371374397672028</v>
      </c>
      <c r="D6" s="21">
        <f t="shared" ref="D6:V6" si="28">SUM(D7:D9)</f>
        <v>52.98721603855568</v>
      </c>
      <c r="E6" s="21">
        <f t="shared" si="28"/>
        <v>61.512322568369058</v>
      </c>
      <c r="F6" s="21">
        <f t="shared" si="28"/>
        <v>95.179781017729198</v>
      </c>
      <c r="G6" s="21">
        <f t="shared" si="28"/>
        <v>150.81122102203713</v>
      </c>
      <c r="H6" s="21">
        <f t="shared" si="28"/>
        <v>154.6080690472362</v>
      </c>
      <c r="I6" s="21">
        <f t="shared" si="28"/>
        <v>176.40452536138363</v>
      </c>
      <c r="J6" s="21">
        <f t="shared" si="28"/>
        <v>201.5529628915877</v>
      </c>
      <c r="K6" s="21">
        <f t="shared" si="28"/>
        <v>109.36787567742206</v>
      </c>
      <c r="L6" s="21">
        <f t="shared" si="28"/>
        <v>100.12827362628349</v>
      </c>
      <c r="M6" s="21">
        <f t="shared" si="28"/>
        <v>135.38297810370588</v>
      </c>
      <c r="N6" s="21">
        <f t="shared" si="28"/>
        <v>178.08006954728643</v>
      </c>
      <c r="O6" s="21">
        <f t="shared" si="28"/>
        <v>141.56631291301565</v>
      </c>
      <c r="P6" s="21">
        <f t="shared" si="28"/>
        <v>141.68385549056822</v>
      </c>
      <c r="Q6" s="21">
        <f t="shared" si="28"/>
        <v>148.70851077466426</v>
      </c>
      <c r="R6" s="21">
        <f t="shared" si="28"/>
        <v>136.35449581813069</v>
      </c>
      <c r="S6" s="21">
        <f t="shared" si="28"/>
        <v>177.59761631931843</v>
      </c>
      <c r="T6" s="21">
        <f t="shared" si="28"/>
        <v>206.84887891507586</v>
      </c>
      <c r="U6" s="21">
        <f t="shared" si="28"/>
        <v>203.90274855240136</v>
      </c>
      <c r="V6" s="21">
        <f t="shared" si="28"/>
        <v>70.114981836542327</v>
      </c>
      <c r="W6" s="21">
        <f t="shared" ref="W6:Y6" si="29">SUM(W7:W9)</f>
        <v>125.78951155558659</v>
      </c>
      <c r="X6" s="21">
        <f t="shared" si="29"/>
        <v>169.74797337652566</v>
      </c>
      <c r="Y6" s="21">
        <f t="shared" si="29"/>
        <v>143.41191665394783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56.38919350254767</v>
      </c>
      <c r="C8" s="96">
        <v>46.542471867027352</v>
      </c>
      <c r="D8" s="96">
        <v>48.699847701193292</v>
      </c>
      <c r="E8" s="96">
        <v>55.728229261689798</v>
      </c>
      <c r="F8" s="96">
        <v>84.24208869742003</v>
      </c>
      <c r="G8" s="96">
        <v>135.46732790343637</v>
      </c>
      <c r="H8" s="96">
        <v>139.36783985273217</v>
      </c>
      <c r="I8" s="96">
        <v>159.39036311466072</v>
      </c>
      <c r="J8" s="96">
        <v>181.20788485832105</v>
      </c>
      <c r="K8" s="96">
        <v>96.727202873649205</v>
      </c>
      <c r="L8" s="96">
        <v>88.492319492101146</v>
      </c>
      <c r="M8" s="96">
        <v>122.22144731286799</v>
      </c>
      <c r="N8" s="96">
        <v>159.08897180920729</v>
      </c>
      <c r="O8" s="96">
        <v>125.46063950047731</v>
      </c>
      <c r="P8" s="96">
        <v>125.6472522629394</v>
      </c>
      <c r="Q8" s="96">
        <v>131.95969988125711</v>
      </c>
      <c r="R8" s="96">
        <v>121.37805544961029</v>
      </c>
      <c r="S8" s="96">
        <v>158.73921629657514</v>
      </c>
      <c r="T8" s="96">
        <v>185.71953234456143</v>
      </c>
      <c r="U8" s="96">
        <v>182.49349972001738</v>
      </c>
      <c r="V8" s="96">
        <v>60.616307978131118</v>
      </c>
      <c r="W8" s="96">
        <v>110.90048043059953</v>
      </c>
      <c r="X8" s="96">
        <v>153.16319948319159</v>
      </c>
      <c r="Y8" s="96">
        <v>128.51255845968473</v>
      </c>
      <c r="DA8" s="171" t="s">
        <v>329</v>
      </c>
    </row>
    <row r="9" spans="1:105" ht="11.45" customHeight="1" x14ac:dyDescent="0.25">
      <c r="A9" s="83" t="s">
        <v>182</v>
      </c>
      <c r="B9" s="96">
        <v>4.6323670445960987</v>
      </c>
      <c r="C9" s="96">
        <v>3.8289025306446773</v>
      </c>
      <c r="D9" s="96">
        <v>4.2873683373623903</v>
      </c>
      <c r="E9" s="96">
        <v>5.7840933066792592</v>
      </c>
      <c r="F9" s="96">
        <v>10.937692320309162</v>
      </c>
      <c r="G9" s="96">
        <v>15.343893118600754</v>
      </c>
      <c r="H9" s="96">
        <v>15.240229194504039</v>
      </c>
      <c r="I9" s="96">
        <v>17.014162246722911</v>
      </c>
      <c r="J9" s="96">
        <v>20.345078033266638</v>
      </c>
      <c r="K9" s="96">
        <v>12.640672803772855</v>
      </c>
      <c r="L9" s="96">
        <v>11.635954134182347</v>
      </c>
      <c r="M9" s="96">
        <v>13.161530790837896</v>
      </c>
      <c r="N9" s="96">
        <v>18.991097738079141</v>
      </c>
      <c r="O9" s="96">
        <v>16.10567341253833</v>
      </c>
      <c r="P9" s="96">
        <v>16.036603227628824</v>
      </c>
      <c r="Q9" s="96">
        <v>16.748810893407153</v>
      </c>
      <c r="R9" s="96">
        <v>14.976440368520409</v>
      </c>
      <c r="S9" s="96">
        <v>18.858400022743297</v>
      </c>
      <c r="T9" s="96">
        <v>21.129346570514436</v>
      </c>
      <c r="U9" s="96">
        <v>21.40924883238397</v>
      </c>
      <c r="V9" s="96">
        <v>9.4986738584112036</v>
      </c>
      <c r="W9" s="96">
        <v>14.889031124987051</v>
      </c>
      <c r="X9" s="96">
        <v>16.58477389333407</v>
      </c>
      <c r="Y9" s="96">
        <v>14.89935819426309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0.81246821285625137</v>
      </c>
      <c r="C10" s="22">
        <f t="shared" si="30"/>
        <v>0.7376189623279793</v>
      </c>
      <c r="D10" s="22">
        <f t="shared" ref="D10:V10" si="31">SUM(D11:D13)</f>
        <v>0.67549276144431281</v>
      </c>
      <c r="E10" s="22">
        <f t="shared" si="31"/>
        <v>0.81324335163095418</v>
      </c>
      <c r="F10" s="22">
        <f t="shared" si="31"/>
        <v>1.0527395022708079</v>
      </c>
      <c r="G10" s="22">
        <f t="shared" si="31"/>
        <v>1.4491017379628972</v>
      </c>
      <c r="H10" s="22">
        <f t="shared" si="31"/>
        <v>1.3899965527638245</v>
      </c>
      <c r="I10" s="22">
        <f t="shared" si="31"/>
        <v>1.5259732386164033</v>
      </c>
      <c r="J10" s="22">
        <f t="shared" si="31"/>
        <v>1.7912234284123121</v>
      </c>
      <c r="K10" s="22">
        <f t="shared" si="31"/>
        <v>1.0398086425779254</v>
      </c>
      <c r="L10" s="22">
        <f t="shared" si="31"/>
        <v>1.143394053716515</v>
      </c>
      <c r="M10" s="22">
        <f t="shared" si="31"/>
        <v>1.2361388162940803</v>
      </c>
      <c r="N10" s="22">
        <f t="shared" si="31"/>
        <v>1.699323172713554</v>
      </c>
      <c r="O10" s="22">
        <f t="shared" si="31"/>
        <v>1.8639197669843486</v>
      </c>
      <c r="P10" s="22">
        <f t="shared" si="31"/>
        <v>1.8172993494317755</v>
      </c>
      <c r="Q10" s="22">
        <f t="shared" si="31"/>
        <v>1.7551812253357377</v>
      </c>
      <c r="R10" s="22">
        <f t="shared" si="31"/>
        <v>1.6219780618693558</v>
      </c>
      <c r="S10" s="22">
        <f t="shared" si="31"/>
        <v>1.9775516406815596</v>
      </c>
      <c r="T10" s="22">
        <f t="shared" si="31"/>
        <v>2.085216044924171</v>
      </c>
      <c r="U10" s="22">
        <f t="shared" si="31"/>
        <v>2.2426042475986727</v>
      </c>
      <c r="V10" s="22">
        <f t="shared" si="31"/>
        <v>2.1381334434577068</v>
      </c>
      <c r="W10" s="22">
        <f t="shared" ref="W10:Y10" si="32">SUM(W11:W13)</f>
        <v>3.7712974044134402</v>
      </c>
      <c r="X10" s="22">
        <f t="shared" si="32"/>
        <v>2.8677635034743241</v>
      </c>
      <c r="Y10" s="22">
        <f t="shared" si="32"/>
        <v>1.7929230660522064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0.6602440873996781</v>
      </c>
      <c r="C12" s="97">
        <v>0.59658333945169661</v>
      </c>
      <c r="D12" s="97">
        <v>0.57172069173152451</v>
      </c>
      <c r="E12" s="97">
        <v>0.67945744714622069</v>
      </c>
      <c r="F12" s="97">
        <v>0.90566313997843684</v>
      </c>
      <c r="G12" s="97">
        <v>1.1211391417209655</v>
      </c>
      <c r="H12" s="97">
        <v>1.2075539808950191</v>
      </c>
      <c r="I12" s="97">
        <v>1.4230946167587186</v>
      </c>
      <c r="J12" s="97">
        <v>1.7315647397100578</v>
      </c>
      <c r="K12" s="97">
        <v>1.0254906165693807</v>
      </c>
      <c r="L12" s="97">
        <v>1.104493151087218</v>
      </c>
      <c r="M12" s="97">
        <v>1.2173942835712632</v>
      </c>
      <c r="N12" s="97">
        <v>1.6790361489000223</v>
      </c>
      <c r="O12" s="97">
        <v>1.8435734844009768</v>
      </c>
      <c r="P12" s="97">
        <v>1.7966787257452799</v>
      </c>
      <c r="Q12" s="97">
        <v>1.7324415052960074</v>
      </c>
      <c r="R12" s="97">
        <v>1.4835276530050612</v>
      </c>
      <c r="S12" s="97">
        <v>1.9201917275908373</v>
      </c>
      <c r="T12" s="97">
        <v>2.0533926045405808</v>
      </c>
      <c r="U12" s="97">
        <v>2.1516197904634771</v>
      </c>
      <c r="V12" s="97">
        <v>2.078700698062272</v>
      </c>
      <c r="W12" s="97">
        <v>3.3417879630458391</v>
      </c>
      <c r="X12" s="97">
        <v>2.6196507003094367</v>
      </c>
      <c r="Y12" s="97">
        <v>1.7835768620997126</v>
      </c>
      <c r="DA12" s="175" t="s">
        <v>333</v>
      </c>
    </row>
    <row r="13" spans="1:105" ht="11.45" customHeight="1" x14ac:dyDescent="0.25">
      <c r="A13" s="85" t="s">
        <v>182</v>
      </c>
      <c r="B13" s="98">
        <v>0.15222412545657327</v>
      </c>
      <c r="C13" s="98">
        <v>0.14103562287628266</v>
      </c>
      <c r="D13" s="98">
        <v>0.10377206971278834</v>
      </c>
      <c r="E13" s="98">
        <v>0.13378590448473351</v>
      </c>
      <c r="F13" s="98">
        <v>0.14707636229237098</v>
      </c>
      <c r="G13" s="98">
        <v>0.32796259624193158</v>
      </c>
      <c r="H13" s="98">
        <v>0.18244257186880539</v>
      </c>
      <c r="I13" s="98">
        <v>0.10287862185768465</v>
      </c>
      <c r="J13" s="98">
        <v>5.9658688702254249E-2</v>
      </c>
      <c r="K13" s="98">
        <v>1.4318026008544628E-2</v>
      </c>
      <c r="L13" s="98">
        <v>3.8900902629296928E-2</v>
      </c>
      <c r="M13" s="98">
        <v>1.8744532722817103E-2</v>
      </c>
      <c r="N13" s="98">
        <v>2.0287023813531709E-2</v>
      </c>
      <c r="O13" s="98">
        <v>2.0346282583371785E-2</v>
      </c>
      <c r="P13" s="98">
        <v>2.0620623686495695E-2</v>
      </c>
      <c r="Q13" s="98">
        <v>2.2739720039730422E-2</v>
      </c>
      <c r="R13" s="98">
        <v>0.13845040886429458</v>
      </c>
      <c r="S13" s="98">
        <v>5.7359913090722262E-2</v>
      </c>
      <c r="T13" s="98">
        <v>3.1823440383590071E-2</v>
      </c>
      <c r="U13" s="98">
        <v>9.098445713519579E-2</v>
      </c>
      <c r="V13" s="98">
        <v>5.9432745395434798E-2</v>
      </c>
      <c r="W13" s="98">
        <v>0.42950944136760105</v>
      </c>
      <c r="X13" s="98">
        <v>0.24811280316488757</v>
      </c>
      <c r="Y13" s="98">
        <v>9.3462039524937913E-3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3.0103092000000009</v>
      </c>
      <c r="D19" s="98">
        <f>IF(D5=0,0,D5/TrAvia_ene!D5)</f>
        <v>3.0103092</v>
      </c>
      <c r="E19" s="98">
        <f>IF(E5=0,0,E5/TrAvia_ene!E5)</f>
        <v>3.0103091999999996</v>
      </c>
      <c r="F19" s="98">
        <f>IF(F5=0,0,F5/TrAvia_ene!F5)</f>
        <v>3.0076784319852519</v>
      </c>
      <c r="G19" s="98">
        <f>IF(G5=0,0,G5/TrAvia_ene!G5)</f>
        <v>3.0020115614177429</v>
      </c>
      <c r="H19" s="98">
        <f>IF(H5=0,0,H5/TrAvia_ene!H5)</f>
        <v>3.0054443217390019</v>
      </c>
      <c r="I19" s="98">
        <f>IF(I5=0,0,I5/TrAvia_ene!I5)</f>
        <v>3.0103092000000014</v>
      </c>
      <c r="J19" s="98">
        <f>IF(J5=0,0,J5/TrAvia_ene!J5)</f>
        <v>3.0103091999999996</v>
      </c>
      <c r="K19" s="98">
        <f>IF(K5=0,0,K5/TrAvia_ene!K5)</f>
        <v>3.0103091999999987</v>
      </c>
      <c r="L19" s="98">
        <f>IF(L5=0,0,L5/TrAvia_ene!L5)</f>
        <v>3.0103092000000014</v>
      </c>
      <c r="M19" s="98">
        <f>IF(M5=0,0,M5/TrAvia_ene!M5)</f>
        <v>3.0103091999999987</v>
      </c>
      <c r="N19" s="98">
        <f>IF(N5=0,0,N5/TrAvia_ene!N5)</f>
        <v>3.0103092000000005</v>
      </c>
      <c r="O19" s="98">
        <f>IF(O5=0,0,O5/TrAvia_ene!O5)</f>
        <v>3.0103092000000009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3.0103092000000018</v>
      </c>
      <c r="S19" s="98">
        <f>IF(S5=0,0,S5/TrAvia_ene!S5)</f>
        <v>3.0103092000000005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3.0103092000000022</v>
      </c>
      <c r="W19" s="98">
        <f>IF(W5=0,0,W5/TrAvia_ene!W5)</f>
        <v>3.0103092000000009</v>
      </c>
      <c r="X19" s="98">
        <f>IF(X5=0,0,X5/TrAvia_ene!X5)</f>
        <v>3.0103092000000005</v>
      </c>
      <c r="Y19" s="98">
        <f>IF(Y5=0,0,Y5/TrAvia_ene!Y5)</f>
        <v>3.0103092000000027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7104.7335075490964</v>
      </c>
      <c r="C21" s="54">
        <f>IF(C3=0,0,C3/TrAvia_act!C13*1000)</f>
        <v>7088.8968769880021</v>
      </c>
      <c r="D21" s="54">
        <f>IF(D3=0,0,D3/TrAvia_act!D13*1000)</f>
        <v>7519.5114571613067</v>
      </c>
      <c r="E21" s="54">
        <f>IF(E3=0,0,E3/TrAvia_act!E13*1000)</f>
        <v>8688.4878011029759</v>
      </c>
      <c r="F21" s="54">
        <f>IF(F3=0,0,F3/TrAvia_act!F13*1000)</f>
        <v>10563.624255754861</v>
      </c>
      <c r="G21" s="54">
        <f>IF(G3=0,0,G3/TrAvia_act!G13*1000)</f>
        <v>12135.977362233512</v>
      </c>
      <c r="H21" s="54">
        <f>IF(H3=0,0,H3/TrAvia_act!H13*1000)</f>
        <v>12561.692195202946</v>
      </c>
      <c r="I21" s="54">
        <f>IF(I3=0,0,I3/TrAvia_act!I13*1000)</f>
        <v>12757.230433457988</v>
      </c>
      <c r="J21" s="54">
        <f>IF(J3=0,0,J3/TrAvia_act!J13*1000)</f>
        <v>13344.287280577153</v>
      </c>
      <c r="K21" s="54">
        <f>IF(K3=0,0,K3/TrAvia_act!K13*1000)</f>
        <v>11429.982874787696</v>
      </c>
      <c r="L21" s="54">
        <f>IF(L3=0,0,L3/TrAvia_act!L13*1000)</f>
        <v>9029.7328336750561</v>
      </c>
      <c r="M21" s="54">
        <f>IF(M3=0,0,M3/TrAvia_act!M13*1000)</f>
        <v>10041.54902208525</v>
      </c>
      <c r="N21" s="54">
        <f>IF(N3=0,0,N3/TrAvia_act!N13*1000)</f>
        <v>9842.1168278393834</v>
      </c>
      <c r="O21" s="54">
        <f>IF(O3=0,0,O3/TrAvia_act!O13*1000)</f>
        <v>12071.71495031317</v>
      </c>
      <c r="P21" s="54">
        <f>IF(P3=0,0,P3/TrAvia_act!P13*1000)</f>
        <v>11385.059765914491</v>
      </c>
      <c r="Q21" s="54">
        <f>IF(Q3=0,0,Q3/TrAvia_act!Q13*1000)</f>
        <v>9955.9224980865783</v>
      </c>
      <c r="R21" s="54">
        <f>IF(R3=0,0,R3/TrAvia_act!R13*1000)</f>
        <v>9406.7092680417391</v>
      </c>
      <c r="S21" s="54">
        <f>IF(S3=0,0,S3/TrAvia_act!S13*1000)</f>
        <v>10673.511169532574</v>
      </c>
      <c r="T21" s="54">
        <f>IF(T3=0,0,T3/TrAvia_act!T13*1000)</f>
        <v>11043.448892413719</v>
      </c>
      <c r="U21" s="54">
        <f>IF(U3=0,0,U3/TrAvia_act!U13*1000)</f>
        <v>11298.591103277238</v>
      </c>
      <c r="V21" s="54">
        <f>IF(V3=0,0,V3/TrAvia_act!V13*1000)</f>
        <v>12523.696139699952</v>
      </c>
      <c r="W21" s="54">
        <f>IF(W3=0,0,W3/TrAvia_act!W13*1000)</f>
        <v>13782.260454188321</v>
      </c>
      <c r="X21" s="54">
        <f>IF(X3=0,0,X3/TrAvia_act!X13*1000)</f>
        <v>11161.849927247067</v>
      </c>
      <c r="Y21" s="54">
        <f>IF(Y3=0,0,Y3/TrAvia_act!Y13*1000)</f>
        <v>9409.3746561453881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7093.0272515244224</v>
      </c>
      <c r="C22" s="11">
        <f>IF(C6=0,0,C6/TrAvia_act!C14*1000)</f>
        <v>7076.4940092079723</v>
      </c>
      <c r="D22" s="11">
        <f>IF(D6=0,0,D6/TrAvia_act!D14*1000)</f>
        <v>7501.7057935710909</v>
      </c>
      <c r="E22" s="11">
        <f>IF(E6=0,0,E6/TrAvia_act!E14*1000)</f>
        <v>8664.4678153703589</v>
      </c>
      <c r="F22" s="11">
        <f>IF(F6=0,0,F6/TrAvia_act!F14*1000)</f>
        <v>10534.123968817557</v>
      </c>
      <c r="G22" s="11">
        <f>IF(G6=0,0,G6/TrAvia_act!G14*1000)</f>
        <v>12125.800465492757</v>
      </c>
      <c r="H22" s="11">
        <f>IF(H6=0,0,H6/TrAvia_act!H14*1000)</f>
        <v>12546.13794600007</v>
      </c>
      <c r="I22" s="11">
        <f>IF(I6=0,0,I6/TrAvia_act!I14*1000)</f>
        <v>12734.605174891169</v>
      </c>
      <c r="J22" s="11">
        <f>IF(J6=0,0,J6/TrAvia_act!J14*1000)</f>
        <v>13312.353918307477</v>
      </c>
      <c r="K22" s="11">
        <f>IF(K6=0,0,K6/TrAvia_act!K14*1000)</f>
        <v>11403.211299242466</v>
      </c>
      <c r="L22" s="11">
        <f>IF(L6=0,0,L6/TrAvia_act!L14*1000)</f>
        <v>9012.9836167573394</v>
      </c>
      <c r="M22" s="11">
        <f>IF(M6=0,0,M6/TrAvia_act!M14*1000)</f>
        <v>10027.247688584916</v>
      </c>
      <c r="N22" s="11">
        <f>IF(N6=0,0,N6/TrAvia_act!N14*1000)</f>
        <v>9817.7357039469352</v>
      </c>
      <c r="O22" s="11">
        <f>IF(O6=0,0,O6/TrAvia_act!O14*1000)</f>
        <v>12046.389214828263</v>
      </c>
      <c r="P22" s="11">
        <f>IF(P6=0,0,P6/TrAvia_act!P14*1000)</f>
        <v>11367.604617840629</v>
      </c>
      <c r="Q22" s="11">
        <f>IF(Q6=0,0,Q6/TrAvia_act!Q14*1000)</f>
        <v>9942.7698442915516</v>
      </c>
      <c r="R22" s="11">
        <f>IF(R6=0,0,R6/TrAvia_act!R14*1000)</f>
        <v>9412.0448657977813</v>
      </c>
      <c r="S22" s="11">
        <f>IF(S6=0,0,S6/TrAvia_act!S14*1000)</f>
        <v>10671.132669879333</v>
      </c>
      <c r="T22" s="11">
        <f>IF(T6=0,0,T6/TrAvia_act!T14*1000)</f>
        <v>11048.745201486197</v>
      </c>
      <c r="U22" s="11">
        <f>IF(U6=0,0,U6/TrAvia_act!U14*1000)</f>
        <v>11304.500472908443</v>
      </c>
      <c r="V22" s="11">
        <f>IF(V6=0,0,V6/TrAvia_act!V14*1000)</f>
        <v>12534.198597728589</v>
      </c>
      <c r="W22" s="11">
        <f>IF(W6=0,0,W6/TrAvia_act!W14*1000)</f>
        <v>13763.586292150163</v>
      </c>
      <c r="X22" s="11">
        <f>IF(X6=0,0,X6/TrAvia_act!X14*1000)</f>
        <v>11151.467817123537</v>
      </c>
      <c r="Y22" s="11">
        <f>IF(Y6=0,0,Y6/TrAvia_act!Y14*1000)</f>
        <v>9406.9070307405873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7446.0886727103343</v>
      </c>
      <c r="C24" s="84">
        <f>IF(C8=0,0,C8/TrAvia_act!C16*1000)</f>
        <v>7429.1575256777405</v>
      </c>
      <c r="D24" s="84">
        <f>IF(D8=0,0,D8/TrAvia_act!D16*1000)</f>
        <v>7900.2321583204066</v>
      </c>
      <c r="E24" s="84">
        <f>IF(E8=0,0,E8/TrAvia_act!E16*1000)</f>
        <v>9205.0395262210186</v>
      </c>
      <c r="F24" s="84">
        <f>IF(F8=0,0,F8/TrAvia_act!F16*1000)</f>
        <v>11357.700001609472</v>
      </c>
      <c r="G24" s="84">
        <f>IF(G8=0,0,G8/TrAvia_act!G16*1000)</f>
        <v>13087.199633487719</v>
      </c>
      <c r="H24" s="84">
        <f>IF(H8=0,0,H8/TrAvia_act!H16*1000)</f>
        <v>13582.593380001772</v>
      </c>
      <c r="I24" s="84">
        <f>IF(I8=0,0,I8/TrAvia_act!I16*1000)</f>
        <v>13764.074150938721</v>
      </c>
      <c r="J24" s="84">
        <f>IF(J8=0,0,J8/TrAvia_act!J16*1000)</f>
        <v>14925.054854174201</v>
      </c>
      <c r="K24" s="84">
        <f>IF(K8=0,0,K8/TrAvia_act!K16*1000)</f>
        <v>13241.852105138925</v>
      </c>
      <c r="L24" s="84">
        <f>IF(L8=0,0,L8/TrAvia_act!L16*1000)</f>
        <v>11261.533940624064</v>
      </c>
      <c r="M24" s="84">
        <f>IF(M8=0,0,M8/TrAvia_act!M16*1000)</f>
        <v>11834.921921754598</v>
      </c>
      <c r="N24" s="84">
        <f>IF(N8=0,0,N8/TrAvia_act!N16*1000)</f>
        <v>13243.268443829047</v>
      </c>
      <c r="O24" s="84">
        <f>IF(O8=0,0,O8/TrAvia_act!O16*1000)</f>
        <v>14129.062645826982</v>
      </c>
      <c r="P24" s="84">
        <f>IF(P8=0,0,P8/TrAvia_act!P16*1000)</f>
        <v>13113.221042832436</v>
      </c>
      <c r="Q24" s="84">
        <f>IF(Q8=0,0,Q8/TrAvia_act!Q16*1000)</f>
        <v>11808.728056080956</v>
      </c>
      <c r="R24" s="84">
        <f>IF(R8=0,0,R8/TrAvia_act!R16*1000)</f>
        <v>10017.658345826625</v>
      </c>
      <c r="S24" s="84">
        <f>IF(S8=0,0,S8/TrAvia_act!S16*1000)</f>
        <v>11759.600791024804</v>
      </c>
      <c r="T24" s="84">
        <f>IF(T8=0,0,T8/TrAvia_act!T16*1000)</f>
        <v>12575.958887613222</v>
      </c>
      <c r="U24" s="84">
        <f>IF(U8=0,0,U8/TrAvia_act!U16*1000)</f>
        <v>13322.307816330296</v>
      </c>
      <c r="V24" s="84">
        <f>IF(V8=0,0,V8/TrAvia_act!V16*1000)</f>
        <v>13332.452865635863</v>
      </c>
      <c r="W24" s="84">
        <f>IF(W8=0,0,W8/TrAvia_act!W16*1000)</f>
        <v>17860.861916952737</v>
      </c>
      <c r="X24" s="84">
        <f>IF(X8=0,0,X8/TrAvia_act!X16*1000)</f>
        <v>13127.255963821914</v>
      </c>
      <c r="Y24" s="84">
        <f>IF(Y8=0,0,Y8/TrAvia_act!Y16*1000)</f>
        <v>11266.839154415376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4497.2705037062278</v>
      </c>
      <c r="C25" s="84">
        <f>IF(C9=0,0,C9/TrAvia_act!C17*1000)</f>
        <v>4487.2371969408205</v>
      </c>
      <c r="D25" s="84">
        <f>IF(D9=0,0,D9/TrAvia_act!D17*1000)</f>
        <v>4769.0461793267023</v>
      </c>
      <c r="E25" s="84">
        <f>IF(E9=0,0,E9/TrAvia_act!E17*1000)</f>
        <v>5533.5510080594631</v>
      </c>
      <c r="F25" s="84">
        <f>IF(F9=0,0,F9/TrAvia_act!F17*1000)</f>
        <v>6759.1787038749117</v>
      </c>
      <c r="G25" s="84">
        <f>IF(G9=0,0,G9/TrAvia_act!G17*1000)</f>
        <v>7355.3502197899579</v>
      </c>
      <c r="H25" s="84">
        <f>IF(H9=0,0,H9/TrAvia_act!H17*1000)</f>
        <v>7389.5879968801264</v>
      </c>
      <c r="I25" s="84">
        <f>IF(I9=0,0,I9/TrAvia_act!I17*1000)</f>
        <v>7487.9630456341911</v>
      </c>
      <c r="J25" s="84">
        <f>IF(J9=0,0,J9/TrAvia_act!J17*1000)</f>
        <v>6783.7105762224464</v>
      </c>
      <c r="K25" s="84">
        <f>IF(K9=0,0,K9/TrAvia_act!K17*1000)</f>
        <v>5528.845055326542</v>
      </c>
      <c r="L25" s="84">
        <f>IF(L9=0,0,L9/TrAvia_act!L17*1000)</f>
        <v>3578.7415738628592</v>
      </c>
      <c r="M25" s="84">
        <f>IF(M9=0,0,M9/TrAvia_act!M17*1000)</f>
        <v>4146.2485197128117</v>
      </c>
      <c r="N25" s="84">
        <f>IF(N9=0,0,N9/TrAvia_act!N17*1000)</f>
        <v>3100.1869346833446</v>
      </c>
      <c r="O25" s="84">
        <f>IF(O9=0,0,O9/TrAvia_act!O17*1000)</f>
        <v>5607.5361360418519</v>
      </c>
      <c r="P25" s="84">
        <f>IF(P9=0,0,P9/TrAvia_act!P17*1000)</f>
        <v>5564.2004572915039</v>
      </c>
      <c r="Q25" s="84">
        <f>IF(Q9=0,0,Q9/TrAvia_act!Q17*1000)</f>
        <v>4428.9254696274866</v>
      </c>
      <c r="R25" s="84">
        <f>IF(R9=0,0,R9/TrAvia_act!R17*1000)</f>
        <v>6316.9769487041176</v>
      </c>
      <c r="S25" s="84">
        <f>IF(S9=0,0,S9/TrAvia_act!S17*1000)</f>
        <v>5997.9947139029555</v>
      </c>
      <c r="T25" s="84">
        <f>IF(T9=0,0,T9/TrAvia_act!T17*1000)</f>
        <v>5344.2515250565712</v>
      </c>
      <c r="U25" s="84">
        <f>IF(U9=0,0,U9/TrAvia_act!U17*1000)</f>
        <v>4934.1805644332962</v>
      </c>
      <c r="V25" s="84">
        <f>IF(V9=0,0,V9/TrAvia_act!V17*1000)</f>
        <v>9069.063684048735</v>
      </c>
      <c r="W25" s="84">
        <f>IF(W9=0,0,W9/TrAvia_act!W17*1000)</f>
        <v>5081.2963761688352</v>
      </c>
      <c r="X25" s="84">
        <f>IF(X9=0,0,X9/TrAvia_act!X17*1000)</f>
        <v>4665.9080050551829</v>
      </c>
      <c r="Y25" s="84">
        <f>IF(Y9=0,0,Y9/TrAvia_act!Y17*1000)</f>
        <v>3880.9313455025199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8110.0078435543064</v>
      </c>
      <c r="C26" s="13">
        <f>IF(C10=0,0,C10/TrAvia_act!C18*1000)</f>
        <v>8052.7224101563152</v>
      </c>
      <c r="D26" s="13">
        <f>IF(D10=0,0,D10/TrAvia_act!D18*1000)</f>
        <v>9239.8477619914593</v>
      </c>
      <c r="E26" s="13">
        <f>IF(E10=0,0,E10/TrAvia_act!E18*1000)</f>
        <v>10993.736459379295</v>
      </c>
      <c r="F26" s="13">
        <f>IF(F10=0,0,F10/TrAvia_act!F18*1000)</f>
        <v>14145.051467955927</v>
      </c>
      <c r="G26" s="13">
        <f>IF(G10=0,0,G10/TrAvia_act!G18*1000)</f>
        <v>13297.447398774701</v>
      </c>
      <c r="H26" s="13">
        <f>IF(H10=0,0,H10/TrAvia_act!H18*1000)</f>
        <v>14571.00168708517</v>
      </c>
      <c r="I26" s="13">
        <f>IF(I10=0,0,I10/TrAvia_act!I18*1000)</f>
        <v>16054.626138178623</v>
      </c>
      <c r="J26" s="13">
        <f>IF(J10=0,0,J10/TrAvia_act!J18*1000)</f>
        <v>18277.751566486473</v>
      </c>
      <c r="K26" s="13">
        <f>IF(K10=0,0,K10/TrAvia_act!K18*1000)</f>
        <v>15177.955245355057</v>
      </c>
      <c r="L26" s="13">
        <f>IF(L10=0,0,L10/TrAvia_act!L18*1000)</f>
        <v>10784.824512887802</v>
      </c>
      <c r="M26" s="13">
        <f>IF(M10=0,0,M10/TrAvia_act!M18*1000)</f>
        <v>11900.443602728627</v>
      </c>
      <c r="N26" s="13">
        <f>IF(N10=0,0,N10/TrAvia_act!N18*1000)</f>
        <v>13304.555515164018</v>
      </c>
      <c r="O26" s="13">
        <f>IF(O10=0,0,O10/TrAvia_act!O18*1000)</f>
        <v>14365.537153742958</v>
      </c>
      <c r="P26" s="13">
        <f>IF(P10=0,0,P10/TrAvia_act!P18*1000)</f>
        <v>12933.378871354449</v>
      </c>
      <c r="Q26" s="13">
        <f>IF(Q10=0,0,Q10/TrAvia_act!Q18*1000)</f>
        <v>11212.607662517175</v>
      </c>
      <c r="R26" s="13">
        <f>IF(R10=0,0,R10/TrAvia_act!R18*1000)</f>
        <v>8978.8092320927863</v>
      </c>
      <c r="S26" s="13">
        <f>IF(S10=0,0,S10/TrAvia_act!S18*1000)</f>
        <v>10891.528339649751</v>
      </c>
      <c r="T26" s="13">
        <f>IF(T10=0,0,T10/TrAvia_act!T18*1000)</f>
        <v>10542.155594961016</v>
      </c>
      <c r="U26" s="13">
        <f>IF(U10=0,0,U10/TrAvia_act!U18*1000)</f>
        <v>10785.944143562361</v>
      </c>
      <c r="V26" s="13">
        <f>IF(V10=0,0,V10/TrAvia_act!V18*1000)</f>
        <v>12188.784080033518</v>
      </c>
      <c r="W26" s="13">
        <f>IF(W10=0,0,W10/TrAvia_act!W18*1000)</f>
        <v>14435.535486475173</v>
      </c>
      <c r="X26" s="13">
        <f>IF(X10=0,0,X10/TrAvia_act!X18*1000)</f>
        <v>11812.831776434181</v>
      </c>
      <c r="Y26" s="13">
        <f>IF(Y10=0,0,Y10/TrAvia_act!Y18*1000)</f>
        <v>9611.0376664293562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10753.545284749303</v>
      </c>
      <c r="C28" s="102">
        <f>IF(C12=0,0,C12/TrAvia_act!C20*1000)</f>
        <v>10732.657895076862</v>
      </c>
      <c r="D28" s="102">
        <f>IF(D12=0,0,D12/TrAvia_act!D20*1000)</f>
        <v>11867.711895399554</v>
      </c>
      <c r="E28" s="102">
        <f>IF(E12=0,0,E12/TrAvia_act!E20*1000)</f>
        <v>14684.27381234994</v>
      </c>
      <c r="F28" s="102">
        <f>IF(F12=0,0,F12/TrAvia_act!F20*1000)</f>
        <v>18298.973912605918</v>
      </c>
      <c r="G28" s="102">
        <f>IF(G12=0,0,G12/TrAvia_act!G20*1000)</f>
        <v>19502.53008296488</v>
      </c>
      <c r="H28" s="102">
        <f>IF(H12=0,0,H12/TrAvia_act!H20*1000)</f>
        <v>18427.467457971725</v>
      </c>
      <c r="I28" s="102">
        <f>IF(I12=0,0,I12/TrAvia_act!I20*1000)</f>
        <v>18315.999070326783</v>
      </c>
      <c r="J28" s="102">
        <f>IF(J12=0,0,J12/TrAvia_act!J20*1000)</f>
        <v>20039.281689019936</v>
      </c>
      <c r="K28" s="102">
        <f>IF(K12=0,0,K12/TrAvia_act!K20*1000)</f>
        <v>15732.667998998415</v>
      </c>
      <c r="L28" s="102">
        <f>IF(L12=0,0,L12/TrAvia_act!L20*1000)</f>
        <v>12254.835518380194</v>
      </c>
      <c r="M28" s="102">
        <f>IF(M12=0,0,M12/TrAvia_act!M20*1000)</f>
        <v>12474.360721899387</v>
      </c>
      <c r="N28" s="102">
        <f>IF(N12=0,0,N12/TrAvia_act!N20*1000)</f>
        <v>14142.667524749713</v>
      </c>
      <c r="O28" s="102">
        <f>IF(O12=0,0,O12/TrAvia_act!O20*1000)</f>
        <v>14778.758553290958</v>
      </c>
      <c r="P28" s="102">
        <f>IF(P12=0,0,P12/TrAvia_act!P20*1000)</f>
        <v>13266.054965969612</v>
      </c>
      <c r="Q28" s="102">
        <f>IF(Q12=0,0,Q12/TrAvia_act!Q20*1000)</f>
        <v>11597.291757583447</v>
      </c>
      <c r="R28" s="102">
        <f>IF(R12=0,0,R12/TrAvia_act!R20*1000)</f>
        <v>9795.3763560632815</v>
      </c>
      <c r="S28" s="102">
        <f>IF(S12=0,0,S12/TrAvia_act!S20*1000)</f>
        <v>11323.367795758897</v>
      </c>
      <c r="T28" s="102">
        <f>IF(T12=0,0,T12/TrAvia_act!T20*1000)</f>
        <v>10788.312885733485</v>
      </c>
      <c r="U28" s="102">
        <f>IF(U12=0,0,U12/TrAvia_act!U20*1000)</f>
        <v>11023.537941678351</v>
      </c>
      <c r="V28" s="102">
        <f>IF(V12=0,0,V12/TrAvia_act!V20*1000)</f>
        <v>12383.10853525339</v>
      </c>
      <c r="W28" s="102">
        <f>IF(W12=0,0,W12/TrAvia_act!W20*1000)</f>
        <v>17233.310408520108</v>
      </c>
      <c r="X28" s="102">
        <f>IF(X12=0,0,X12/TrAvia_act!X20*1000)</f>
        <v>12777.441423004735</v>
      </c>
      <c r="Y28" s="102">
        <f>IF(Y12=0,0,Y12/TrAvia_act!Y20*1000)</f>
        <v>9705.6383651257129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3925.0083230959776</v>
      </c>
      <c r="C29" s="86">
        <f>IF(C13=0,0,C13/TrAvia_act!C21*1000)</f>
        <v>3916.2517200564339</v>
      </c>
      <c r="D29" s="86">
        <f>IF(D13=0,0,D13/TrAvia_act!D21*1000)</f>
        <v>4162.2014801334071</v>
      </c>
      <c r="E29" s="86">
        <f>IF(E13=0,0,E13/TrAvia_act!E21*1000)</f>
        <v>4829.4257027702861</v>
      </c>
      <c r="F29" s="86">
        <f>IF(F13=0,0,F13/TrAvia_act!F21*1000)</f>
        <v>5899.0964960054571</v>
      </c>
      <c r="G29" s="86">
        <f>IF(G13=0,0,G13/TrAvia_act!G21*1000)</f>
        <v>6369.5567262139402</v>
      </c>
      <c r="H29" s="86">
        <f>IF(H13=0,0,H13/TrAvia_act!H21*1000)</f>
        <v>6108.9900843140185</v>
      </c>
      <c r="I29" s="86">
        <f>IF(I13=0,0,I13/TrAvia_act!I21*1000)</f>
        <v>5928.9158190460248</v>
      </c>
      <c r="J29" s="86">
        <f>IF(J13=0,0,J13/TrAvia_act!J21*1000)</f>
        <v>5146.6804060719251</v>
      </c>
      <c r="K29" s="86">
        <f>IF(K13=0,0,K13/TrAvia_act!K21*1000)</f>
        <v>4305.4269831971151</v>
      </c>
      <c r="L29" s="86">
        <f>IF(L13=0,0,L13/TrAvia_act!L21*1000)</f>
        <v>2447.8814761910289</v>
      </c>
      <c r="M29" s="86">
        <f>IF(M13=0,0,M13/TrAvia_act!M21*1000)</f>
        <v>2984.0274267397353</v>
      </c>
      <c r="N29" s="86">
        <f>IF(N13=0,0,N13/TrAvia_act!N21*1000)</f>
        <v>2253.2145149850712</v>
      </c>
      <c r="O29" s="86">
        <f>IF(O13=0,0,O13/TrAvia_act!O21*1000)</f>
        <v>4065.5308369615977</v>
      </c>
      <c r="P29" s="86">
        <f>IF(P13=0,0,P13/TrAvia_act!P21*1000)</f>
        <v>4060.7348119032195</v>
      </c>
      <c r="Q29" s="86">
        <f>IF(Q13=0,0,Q13/TrAvia_act!Q21*1000)</f>
        <v>3178.9946320368635</v>
      </c>
      <c r="R29" s="86">
        <f>IF(R13=0,0,R13/TrAvia_act!R21*1000)</f>
        <v>4742.5419779659869</v>
      </c>
      <c r="S29" s="86">
        <f>IF(S13=0,0,S13/TrAvia_act!S21*1000)</f>
        <v>4783.9475183350041</v>
      </c>
      <c r="T29" s="86">
        <f>IF(T13=0,0,T13/TrAvia_act!T21*1000)</f>
        <v>4264.1803480898898</v>
      </c>
      <c r="U29" s="86">
        <f>IF(U13=0,0,U13/TrAvia_act!U21*1000)</f>
        <v>7144.4410785391274</v>
      </c>
      <c r="V29" s="86">
        <f>IF(V13=0,0,V13/TrAvia_act!V21*1000)</f>
        <v>7869.5043651504484</v>
      </c>
      <c r="W29" s="86">
        <f>IF(W13=0,0,W13/TrAvia_act!W21*1000)</f>
        <v>6378.553108159781</v>
      </c>
      <c r="X29" s="86">
        <f>IF(X13=0,0,X13/TrAvia_act!X21*1000)</f>
        <v>6573.3477396658063</v>
      </c>
      <c r="Y29" s="86">
        <f>IF(Y13=0,0,Y13/TrAvia_act!Y21*1000)</f>
        <v>3360.4328817955206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117.87733301614391</v>
      </c>
      <c r="C32" s="14">
        <f>IF(C6=0,0,C6/TrAvia_act!C4*1000)</f>
        <v>114.6818405592101</v>
      </c>
      <c r="D32" s="14">
        <f>IF(D6=0,0,D6/TrAvia_act!D4*1000)</f>
        <v>115.29401406884369</v>
      </c>
      <c r="E32" s="14">
        <f>IF(E6=0,0,E6/TrAvia_act!E4*1000)</f>
        <v>114.57552126241015</v>
      </c>
      <c r="F32" s="14">
        <f>IF(F6=0,0,F6/TrAvia_act!F4*1000)</f>
        <v>127.68758606184596</v>
      </c>
      <c r="G32" s="14">
        <f>IF(G6=0,0,G6/TrAvia_act!G4*1000)</f>
        <v>133.76846919084306</v>
      </c>
      <c r="H32" s="14">
        <f>IF(H6=0,0,H6/TrAvia_act!H4*1000)</f>
        <v>134.04019574175362</v>
      </c>
      <c r="I32" s="14">
        <f>IF(I6=0,0,I6/TrAvia_act!I4*1000)</f>
        <v>145.28483135370504</v>
      </c>
      <c r="J32" s="14">
        <f>IF(J6=0,0,J6/TrAvia_act!J4*1000)</f>
        <v>163.73612835321359</v>
      </c>
      <c r="K32" s="14">
        <f>IF(K6=0,0,K6/TrAvia_act!K4*1000)</f>
        <v>141.68946186371306</v>
      </c>
      <c r="L32" s="14">
        <f>IF(L6=0,0,L6/TrAvia_act!L4*1000)</f>
        <v>115.16583296000144</v>
      </c>
      <c r="M32" s="14">
        <f>IF(M6=0,0,M6/TrAvia_act!M4*1000)</f>
        <v>116.52540754594371</v>
      </c>
      <c r="N32" s="14">
        <f>IF(N6=0,0,N6/TrAvia_act!N4*1000)</f>
        <v>129.84241864325668</v>
      </c>
      <c r="O32" s="14">
        <f>IF(O6=0,0,O6/TrAvia_act!O4*1000)</f>
        <v>128.88226968505316</v>
      </c>
      <c r="P32" s="14">
        <f>IF(P6=0,0,P6/TrAvia_act!P4*1000)</f>
        <v>123.00101283396505</v>
      </c>
      <c r="Q32" s="14">
        <f>IF(Q6=0,0,Q6/TrAvia_act!Q4*1000)</f>
        <v>112.25158112711766</v>
      </c>
      <c r="R32" s="14">
        <f>IF(R6=0,0,R6/TrAvia_act!R4*1000)</f>
        <v>103.03968712592295</v>
      </c>
      <c r="S32" s="14">
        <f>IF(S6=0,0,S6/TrAvia_act!S4*1000)</f>
        <v>116.4715927611288</v>
      </c>
      <c r="T32" s="14">
        <f>IF(T6=0,0,T6/TrAvia_act!T4*1000)</f>
        <v>116.50112044863582</v>
      </c>
      <c r="U32" s="14">
        <f>IF(U6=0,0,U6/TrAvia_act!U4*1000)</f>
        <v>101.95500854737391</v>
      </c>
      <c r="V32" s="14">
        <f>IF(V6=0,0,V6/TrAvia_act!V4*1000)</f>
        <v>141.73988178618762</v>
      </c>
      <c r="W32" s="14">
        <f>IF(W6=0,0,W6/TrAvia_act!W4*1000)</f>
        <v>120.58148286928343</v>
      </c>
      <c r="X32" s="14">
        <f>IF(X6=0,0,X6/TrAvia_act!X4*1000)</f>
        <v>86.409678175044618</v>
      </c>
      <c r="Y32" s="14">
        <f>IF(Y6=0,0,Y6/TrAvia_act!Y4*1000)</f>
        <v>69.973965078464957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127.4696450943791</v>
      </c>
      <c r="C34" s="87">
        <f>IF(C8=0,0,C8/TrAvia_act!C6*1000)</f>
        <v>123.61933739976811</v>
      </c>
      <c r="D34" s="87">
        <f>IF(D8=0,0,D8/TrAvia_act!D6*1000)</f>
        <v>125.73769778849778</v>
      </c>
      <c r="E34" s="87">
        <f>IF(E8=0,0,E8/TrAvia_act!E6*1000)</f>
        <v>124.32105762090994</v>
      </c>
      <c r="F34" s="87">
        <f>IF(F8=0,0,F8/TrAvia_act!F6*1000)</f>
        <v>139.22070032049598</v>
      </c>
      <c r="G34" s="87">
        <f>IF(G8=0,0,G8/TrAvia_act!G6*1000)</f>
        <v>146.40172479088409</v>
      </c>
      <c r="H34" s="87">
        <f>IF(H8=0,0,H8/TrAvia_act!H6*1000)</f>
        <v>146.59400885001193</v>
      </c>
      <c r="I34" s="87">
        <f>IF(I8=0,0,I8/TrAvia_act!I6*1000)</f>
        <v>166.60362068235978</v>
      </c>
      <c r="J34" s="87">
        <f>IF(J8=0,0,J8/TrAvia_act!J6*1000)</f>
        <v>198.75735107244711</v>
      </c>
      <c r="K34" s="87">
        <f>IF(K8=0,0,K8/TrAvia_act!K6*1000)</f>
        <v>173.16448818599383</v>
      </c>
      <c r="L34" s="87">
        <f>IF(L8=0,0,L8/TrAvia_act!L6*1000)</f>
        <v>147.33789818354219</v>
      </c>
      <c r="M34" s="87">
        <f>IF(M8=0,0,M8/TrAvia_act!M6*1000)</f>
        <v>132.18224546164097</v>
      </c>
      <c r="N34" s="87">
        <f>IF(N8=0,0,N8/TrAvia_act!N6*1000)</f>
        <v>159.84297705032213</v>
      </c>
      <c r="O34" s="87">
        <f>IF(O8=0,0,O8/TrAvia_act!O6*1000)</f>
        <v>145.96992697405895</v>
      </c>
      <c r="P34" s="87">
        <f>IF(P8=0,0,P8/TrAvia_act!P6*1000)</f>
        <v>140.35711399746211</v>
      </c>
      <c r="Q34" s="87">
        <f>IF(Q8=0,0,Q8/TrAvia_act!Q6*1000)</f>
        <v>133.63984379317489</v>
      </c>
      <c r="R34" s="87">
        <f>IF(R8=0,0,R8/TrAvia_act!R6*1000)</f>
        <v>113.71513199872069</v>
      </c>
      <c r="S34" s="87">
        <f>IF(S8=0,0,S8/TrAvia_act!S6*1000)</f>
        <v>129.86860496926028</v>
      </c>
      <c r="T34" s="87">
        <f>IF(T8=0,0,T8/TrAvia_act!T6*1000)</f>
        <v>133.93893657110516</v>
      </c>
      <c r="U34" s="87">
        <f>IF(U8=0,0,U8/TrAvia_act!U6*1000)</f>
        <v>125.52692098573584</v>
      </c>
      <c r="V34" s="87">
        <f>IF(V8=0,0,V8/TrAvia_act!V6*1000)</f>
        <v>160.89675666867785</v>
      </c>
      <c r="W34" s="87">
        <f>IF(W8=0,0,W8/TrAvia_act!W6*1000)</f>
        <v>175.42730258179779</v>
      </c>
      <c r="X34" s="87">
        <f>IF(X8=0,0,X8/TrAvia_act!X6*1000)</f>
        <v>110.47360368141739</v>
      </c>
      <c r="Y34" s="87">
        <f>IF(Y8=0,0,Y8/TrAvia_act!Y6*1000)</f>
        <v>92.388328018468258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61.521670319439252</v>
      </c>
      <c r="C35" s="87">
        <f>IF(C9=0,0,C9/TrAvia_act!C7*1000)</f>
        <v>61.038982469074512</v>
      </c>
      <c r="D35" s="87">
        <f>IF(D9=0,0,D9/TrAvia_act!D7*1000)</f>
        <v>59.323998435647354</v>
      </c>
      <c r="E35" s="87">
        <f>IF(E9=0,0,E9/TrAvia_act!E7*1000)</f>
        <v>65.275234575932728</v>
      </c>
      <c r="F35" s="87">
        <f>IF(F9=0,0,F9/TrAvia_act!F7*1000)</f>
        <v>77.951564662545408</v>
      </c>
      <c r="G35" s="87">
        <f>IF(G9=0,0,G9/TrAvia_act!G7*1000)</f>
        <v>75.925109010248207</v>
      </c>
      <c r="H35" s="87">
        <f>IF(H9=0,0,H9/TrAvia_act!H7*1000)</f>
        <v>75.171552433227845</v>
      </c>
      <c r="I35" s="87">
        <f>IF(I9=0,0,I9/TrAvia_act!I7*1000)</f>
        <v>66.076022281492072</v>
      </c>
      <c r="J35" s="87">
        <f>IF(J9=0,0,J9/TrAvia_act!J7*1000)</f>
        <v>63.726133496691027</v>
      </c>
      <c r="K35" s="87">
        <f>IF(K9=0,0,K9/TrAvia_act!K7*1000)</f>
        <v>59.262787115785585</v>
      </c>
      <c r="L35" s="87">
        <f>IF(L9=0,0,L9/TrAvia_act!L7*1000)</f>
        <v>43.285474709342104</v>
      </c>
      <c r="M35" s="87">
        <f>IF(M9=0,0,M9/TrAvia_act!M7*1000)</f>
        <v>55.489677115655901</v>
      </c>
      <c r="N35" s="87">
        <f>IF(N9=0,0,N9/TrAvia_act!N7*1000)</f>
        <v>50.477851881702222</v>
      </c>
      <c r="O35" s="87">
        <f>IF(O9=0,0,O9/TrAvia_act!O7*1000)</f>
        <v>67.410531432117267</v>
      </c>
      <c r="P35" s="87">
        <f>IF(P9=0,0,P9/TrAvia_act!P7*1000)</f>
        <v>62.473403481750537</v>
      </c>
      <c r="Q35" s="87">
        <f>IF(Q9=0,0,Q9/TrAvia_act!Q7*1000)</f>
        <v>49.648033729473426</v>
      </c>
      <c r="R35" s="87">
        <f>IF(R9=0,0,R9/TrAvia_act!R7*1000)</f>
        <v>58.517001081468244</v>
      </c>
      <c r="S35" s="87">
        <f>IF(S9=0,0,S9/TrAvia_act!S7*1000)</f>
        <v>62.34005618196656</v>
      </c>
      <c r="T35" s="87">
        <f>IF(T9=0,0,T9/TrAvia_act!T7*1000)</f>
        <v>54.329481085006648</v>
      </c>
      <c r="U35" s="87">
        <f>IF(U9=0,0,U9/TrAvia_act!U7*1000)</f>
        <v>39.20324533156947</v>
      </c>
      <c r="V35" s="87">
        <f>IF(V9=0,0,V9/TrAvia_act!V7*1000)</f>
        <v>80.542808973561833</v>
      </c>
      <c r="W35" s="87">
        <f>IF(W9=0,0,W9/TrAvia_act!W7*1000)</f>
        <v>36.224809424749473</v>
      </c>
      <c r="X35" s="87">
        <f>IF(X9=0,0,X9/TrAvia_act!X7*1000)</f>
        <v>28.691788259928714</v>
      </c>
      <c r="Y35" s="87">
        <f>IF(Y9=0,0,Y9/TrAvia_act!Y7*1000)</f>
        <v>22.626219798054699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213.08000430023097</v>
      </c>
      <c r="C36" s="15">
        <f>IF(C10=0,0,C10/TrAvia_act!C8*1000)</f>
        <v>197.34757972865967</v>
      </c>
      <c r="D36" s="15">
        <f>IF(D10=0,0,D10/TrAvia_act!D8*1000)</f>
        <v>250.547892939311</v>
      </c>
      <c r="E36" s="15">
        <f>IF(E10=0,0,E10/TrAvia_act!E8*1000)</f>
        <v>295.67407950404481</v>
      </c>
      <c r="F36" s="15">
        <f>IF(F10=0,0,F10/TrAvia_act!F8*1000)</f>
        <v>416.44546118663777</v>
      </c>
      <c r="G36" s="15">
        <f>IF(G10=0,0,G10/TrAvia_act!G8*1000)</f>
        <v>361.16344988382468</v>
      </c>
      <c r="H36" s="15">
        <f>IF(H10=0,0,H10/TrAvia_act!H8*1000)</f>
        <v>492.69310649280789</v>
      </c>
      <c r="I36" s="15">
        <f>IF(I10=0,0,I10/TrAvia_act!I8*1000)</f>
        <v>639.66891699799123</v>
      </c>
      <c r="J36" s="15">
        <f>IF(J10=0,0,J10/TrAvia_act!J8*1000)</f>
        <v>804.948502897151</v>
      </c>
      <c r="K36" s="15">
        <f>IF(K10=0,0,K10/TrAvia_act!K8*1000)</f>
        <v>709.3610198977558</v>
      </c>
      <c r="L36" s="15">
        <f>IF(L10=0,0,L10/TrAvia_act!L8*1000)</f>
        <v>405.63475715968553</v>
      </c>
      <c r="M36" s="15">
        <f>IF(M10=0,0,M10/TrAvia_act!M8*1000)</f>
        <v>470.03158990494097</v>
      </c>
      <c r="N36" s="15">
        <f>IF(N10=0,0,N10/TrAvia_act!N8*1000)</f>
        <v>455.83765672933595</v>
      </c>
      <c r="O36" s="15">
        <f>IF(O10=0,0,O10/TrAvia_act!O8*1000)</f>
        <v>529.9407006081691</v>
      </c>
      <c r="P36" s="15">
        <f>IF(P10=0,0,P10/TrAvia_act!P8*1000)</f>
        <v>420.3277290745915</v>
      </c>
      <c r="Q36" s="15">
        <f>IF(Q10=0,0,Q10/TrAvia_act!Q8*1000)</f>
        <v>361.21628585134374</v>
      </c>
      <c r="R36" s="15">
        <f>IF(R10=0,0,R10/TrAvia_act!R8*1000)</f>
        <v>210.03857309615663</v>
      </c>
      <c r="S36" s="15">
        <f>IF(S10=0,0,S10/TrAvia_act!S8*1000)</f>
        <v>336.27897731360594</v>
      </c>
      <c r="T36" s="15">
        <f>IF(T10=0,0,T10/TrAvia_act!T8*1000)</f>
        <v>331.16099222641412</v>
      </c>
      <c r="U36" s="15">
        <f>IF(U10=0,0,U10/TrAvia_act!U8*1000)</f>
        <v>301.48096038123549</v>
      </c>
      <c r="V36" s="15">
        <f>IF(V10=0,0,V10/TrAvia_act!V8*1000)</f>
        <v>426.07947234157029</v>
      </c>
      <c r="W36" s="15">
        <f>IF(W10=0,0,W10/TrAvia_act!W8*1000)</f>
        <v>410.13031300877208</v>
      </c>
      <c r="X36" s="15">
        <f>IF(X10=0,0,X10/TrAvia_act!X8*1000)</f>
        <v>361.96710061323199</v>
      </c>
      <c r="Y36" s="15">
        <f>IF(Y10=0,0,Y10/TrAvia_act!Y8*1000)</f>
        <v>357.10527490442416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512.51226207105765</v>
      </c>
      <c r="C38" s="101">
        <f>IF(C12=0,0,C12/TrAvia_act!C10*1000)</f>
        <v>465.74057086730568</v>
      </c>
      <c r="D38" s="101">
        <f>IF(D12=0,0,D12/TrAvia_act!D10*1000)</f>
        <v>524.42233653066</v>
      </c>
      <c r="E38" s="101">
        <f>IF(E12=0,0,E12/TrAvia_act!E10*1000)</f>
        <v>601.71156390098645</v>
      </c>
      <c r="F38" s="101">
        <f>IF(F12=0,0,F12/TrAvia_act!F10*1000)</f>
        <v>814.65761116251736</v>
      </c>
      <c r="G38" s="101">
        <f>IF(G12=0,0,G12/TrAvia_act!G10*1000)</f>
        <v>888.49659356380164</v>
      </c>
      <c r="H38" s="101">
        <f>IF(H12=0,0,H12/TrAvia_act!H10*1000)</f>
        <v>944.1351503340976</v>
      </c>
      <c r="I38" s="101">
        <f>IF(I12=0,0,I12/TrAvia_act!I10*1000)</f>
        <v>945.92180711547019</v>
      </c>
      <c r="J38" s="101">
        <f>IF(J12=0,0,J12/TrAvia_act!J10*1000)</f>
        <v>1050.3803458261455</v>
      </c>
      <c r="K38" s="101">
        <f>IF(K12=0,0,K12/TrAvia_act!K10*1000)</f>
        <v>801.64981941636768</v>
      </c>
      <c r="L38" s="101">
        <f>IF(L12=0,0,L12/TrAvia_act!L10*1000)</f>
        <v>577.59333827817522</v>
      </c>
      <c r="M38" s="101">
        <f>IF(M12=0,0,M12/TrAvia_act!M10*1000)</f>
        <v>544.41940010061126</v>
      </c>
      <c r="N38" s="101">
        <f>IF(N12=0,0,N12/TrAvia_act!N10*1000)</f>
        <v>544.94830232363995</v>
      </c>
      <c r="O38" s="101">
        <f>IF(O12=0,0,O12/TrAvia_act!O10*1000)</f>
        <v>587.72942357234206</v>
      </c>
      <c r="P38" s="101">
        <f>IF(P12=0,0,P12/TrAvia_act!P10*1000)</f>
        <v>461.27817011370348</v>
      </c>
      <c r="Q38" s="101">
        <f>IF(Q12=0,0,Q12/TrAvia_act!Q10*1000)</f>
        <v>405.75281554134472</v>
      </c>
      <c r="R38" s="101">
        <f>IF(R12=0,0,R12/TrAvia_act!R10*1000)</f>
        <v>314.04286788364766</v>
      </c>
      <c r="S38" s="101">
        <f>IF(S12=0,0,S12/TrAvia_act!S10*1000)</f>
        <v>403.40014278446967</v>
      </c>
      <c r="T38" s="101">
        <f>IF(T12=0,0,T12/TrAvia_act!T10*1000)</f>
        <v>365.07330080282037</v>
      </c>
      <c r="U38" s="101">
        <f>IF(U12=0,0,U12/TrAvia_act!U10*1000)</f>
        <v>345.49675216679981</v>
      </c>
      <c r="V38" s="101">
        <f>IF(V12=0,0,V12/TrAvia_act!V10*1000)</f>
        <v>454.24954660566112</v>
      </c>
      <c r="W38" s="101">
        <f>IF(W12=0,0,W12/TrAvia_act!W10*1000)</f>
        <v>653.93763279586733</v>
      </c>
      <c r="X38" s="101">
        <f>IF(X12=0,0,X12/TrAvia_act!X10*1000)</f>
        <v>495.63937169738057</v>
      </c>
      <c r="Y38" s="101">
        <f>IF(Y12=0,0,Y12/TrAvia_act!Y10*1000)</f>
        <v>370.58362786267844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60.293414578295149</v>
      </c>
      <c r="C39" s="88">
        <f>IF(C13=0,0,C13/TrAvia_act!C11*1000)</f>
        <v>57.407882749680205</v>
      </c>
      <c r="D39" s="88">
        <f>IF(D13=0,0,D13/TrAvia_act!D11*1000)</f>
        <v>64.620423458476736</v>
      </c>
      <c r="E39" s="88">
        <f>IF(E13=0,0,E13/TrAvia_act!E11*1000)</f>
        <v>82.51948772970276</v>
      </c>
      <c r="F39" s="88">
        <f>IF(F13=0,0,F13/TrAvia_act!F11*1000)</f>
        <v>103.85232745923228</v>
      </c>
      <c r="G39" s="88">
        <f>IF(G13=0,0,G13/TrAvia_act!G11*1000)</f>
        <v>119.23843658312138</v>
      </c>
      <c r="H39" s="88">
        <f>IF(H13=0,0,H13/TrAvia_act!H11*1000)</f>
        <v>118.2989431517053</v>
      </c>
      <c r="I39" s="88">
        <f>IF(I13=0,0,I13/TrAvia_act!I11*1000)</f>
        <v>116.75964076005718</v>
      </c>
      <c r="J39" s="88">
        <f>IF(J13=0,0,J13/TrAvia_act!J11*1000)</f>
        <v>103.43897785614169</v>
      </c>
      <c r="K39" s="88">
        <f>IF(K13=0,0,K13/TrAvia_act!K11*1000)</f>
        <v>76.725658071198822</v>
      </c>
      <c r="L39" s="88">
        <f>IF(L13=0,0,L13/TrAvia_act!L11*1000)</f>
        <v>42.911206732601734</v>
      </c>
      <c r="M39" s="88">
        <f>IF(M13=0,0,M13/TrAvia_act!M11*1000)</f>
        <v>47.602424600371847</v>
      </c>
      <c r="N39" s="88">
        <f>IF(N13=0,0,N13/TrAvia_act!N11*1000)</f>
        <v>31.364222188215678</v>
      </c>
      <c r="O39" s="88">
        <f>IF(O13=0,0,O13/TrAvia_act!O11*1000)</f>
        <v>53.479406710207883</v>
      </c>
      <c r="P39" s="88">
        <f>IF(P13=0,0,P13/TrAvia_act!P11*1000)</f>
        <v>48.119554415726626</v>
      </c>
      <c r="Q39" s="88">
        <f>IF(Q13=0,0,Q13/TrAvia_act!Q11*1000)</f>
        <v>38.581800266264523</v>
      </c>
      <c r="R39" s="88">
        <f>IF(R13=0,0,R13/TrAvia_act!R11*1000)</f>
        <v>46.175976657412463</v>
      </c>
      <c r="S39" s="88">
        <f>IF(S13=0,0,S13/TrAvia_act!S11*1000)</f>
        <v>51.183579594158644</v>
      </c>
      <c r="T39" s="88">
        <f>IF(T13=0,0,T13/TrAvia_act!T11*1000)</f>
        <v>47.35066164877643</v>
      </c>
      <c r="U39" s="88">
        <f>IF(U13=0,0,U13/TrAvia_act!U11*1000)</f>
        <v>75.130789833795134</v>
      </c>
      <c r="V39" s="88">
        <f>IF(V13=0,0,V13/TrAvia_act!V11*1000)</f>
        <v>134.45231948527712</v>
      </c>
      <c r="W39" s="88">
        <f>IF(W13=0,0,W13/TrAvia_act!W11*1000)</f>
        <v>105.14026789552926</v>
      </c>
      <c r="X39" s="88">
        <f>IF(X13=0,0,X13/TrAvia_act!X11*1000)</f>
        <v>94.077555480187328</v>
      </c>
      <c r="Y39" s="88">
        <f>IF(Y13=0,0,Y13/TrAvia_act!Y11*1000)</f>
        <v>44.97115777750912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6753.3888990825708</v>
      </c>
      <c r="C41" s="54">
        <f>IF(C3=0,0,C3/TrAvia_act!C23*1000000)</f>
        <v>6739.055031645571</v>
      </c>
      <c r="D41" s="54">
        <f>IF(D3=0,0,D3/TrAvia_act!D23*1000000)</f>
        <v>7188.5745210984587</v>
      </c>
      <c r="E41" s="54">
        <f>IF(E3=0,0,E3/TrAvia_act!E23*1000000)</f>
        <v>8464.6972592693219</v>
      </c>
      <c r="F41" s="54">
        <f>IF(F3=0,0,F3/TrAvia_act!F23*1000000)</f>
        <v>10687.752167925368</v>
      </c>
      <c r="G41" s="54">
        <f>IF(G3=0,0,G3/TrAvia_act!G23*1000000)</f>
        <v>13620.209567939888</v>
      </c>
      <c r="H41" s="54">
        <f>IF(H3=0,0,H3/TrAvia_act!H23*1000000)</f>
        <v>13733.433013469499</v>
      </c>
      <c r="I41" s="54">
        <f>IF(I3=0,0,I3/TrAvia_act!I23*1000000)</f>
        <v>13214.29621982919</v>
      </c>
      <c r="J41" s="54">
        <f>IF(J3=0,0,J3/TrAvia_act!J23*1000000)</f>
        <v>13682.154913201453</v>
      </c>
      <c r="K41" s="54">
        <f>IF(K3=0,0,K3/TrAvia_act!K23*1000000)</f>
        <v>10007.041087646152</v>
      </c>
      <c r="L41" s="54">
        <f>IF(L3=0,0,L3/TrAvia_act!L23*1000000)</f>
        <v>8778.7506657420236</v>
      </c>
      <c r="M41" s="54">
        <f>IF(M3=0,0,M3/TrAvia_act!M23*1000000)</f>
        <v>9635.3139798293214</v>
      </c>
      <c r="N41" s="54">
        <f>IF(N3=0,0,N3/TrAvia_act!N23*1000000)</f>
        <v>9727.7957210107652</v>
      </c>
      <c r="O41" s="54">
        <f>IF(O3=0,0,O3/TrAvia_act!O23*1000000)</f>
        <v>10648.124178173719</v>
      </c>
      <c r="P41" s="54">
        <f>IF(P3=0,0,P3/TrAvia_act!P23*1000000)</f>
        <v>10474.536849635033</v>
      </c>
      <c r="Q41" s="54">
        <f>IF(Q3=0,0,Q3/TrAvia_act!Q23*1000000)</f>
        <v>9976.3752817928653</v>
      </c>
      <c r="R41" s="54">
        <f>IF(R3=0,0,R3/TrAvia_act!R23*1000000)</f>
        <v>8973.4959599375688</v>
      </c>
      <c r="S41" s="54">
        <f>IF(S3=0,0,S3/TrAvia_act!S23*1000000)</f>
        <v>10304.422330865898</v>
      </c>
      <c r="T41" s="54">
        <f>IF(T3=0,0,T3/TrAvia_act!T23*1000000)</f>
        <v>11011.019497233203</v>
      </c>
      <c r="U41" s="54">
        <f>IF(U3=0,0,U3/TrAvia_act!U23*1000000)</f>
        <v>11229.795326033667</v>
      </c>
      <c r="V41" s="54">
        <f>IF(V3=0,0,V3/TrAvia_act!V23*1000000)</f>
        <v>11481.505685682512</v>
      </c>
      <c r="W41" s="54">
        <f>IF(W3=0,0,W3/TrAvia_act!W23*1000000)</f>
        <v>17823.745901774662</v>
      </c>
      <c r="X41" s="54">
        <f>IF(X3=0,0,X3/TrAvia_act!X23*1000000)</f>
        <v>13033.50474781033</v>
      </c>
      <c r="Y41" s="54">
        <f>IF(Y3=0,0,Y3/TrAvia_act!Y23*1000000)</f>
        <v>10626.040228320531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6745.6953954392848</v>
      </c>
      <c r="C42" s="11">
        <f>IF(C6=0,0,C6/TrAvia_act!C24*1000000)</f>
        <v>6730.5417420726917</v>
      </c>
      <c r="D42" s="11">
        <f>IF(D6=0,0,D6/TrAvia_act!D24*1000000)</f>
        <v>7189.5815520428332</v>
      </c>
      <c r="E42" s="11">
        <f>IF(E6=0,0,E6/TrAvia_act!E24*1000000)</f>
        <v>8480.9489271155453</v>
      </c>
      <c r="F42" s="11">
        <f>IF(F6=0,0,F6/TrAvia_act!F24*1000000)</f>
        <v>10716.030287967709</v>
      </c>
      <c r="G42" s="11">
        <f>IF(G6=0,0,G6/TrAvia_act!G24*1000000)</f>
        <v>13636.967268472479</v>
      </c>
      <c r="H42" s="11">
        <f>IF(H6=0,0,H6/TrAvia_act!H24*1000000)</f>
        <v>13752.719182283954</v>
      </c>
      <c r="I42" s="11">
        <f>IF(I6=0,0,I6/TrAvia_act!I24*1000000)</f>
        <v>13223.727538334606</v>
      </c>
      <c r="J42" s="11">
        <f>IF(J6=0,0,J6/TrAvia_act!J24*1000000)</f>
        <v>13677.589772773323</v>
      </c>
      <c r="K42" s="11">
        <f>IF(K6=0,0,K6/TrAvia_act!K24*1000000)</f>
        <v>10012.622510063358</v>
      </c>
      <c r="L42" s="11">
        <f>IF(L6=0,0,L6/TrAvia_act!L24*1000000)</f>
        <v>8790.1214666213236</v>
      </c>
      <c r="M42" s="11">
        <f>IF(M6=0,0,M6/TrAvia_act!M24*1000000)</f>
        <v>9652.2870457511672</v>
      </c>
      <c r="N42" s="11">
        <f>IF(N6=0,0,N6/TrAvia_act!N24*1000000)</f>
        <v>9735.9395083530926</v>
      </c>
      <c r="O42" s="11">
        <f>IF(O6=0,0,O6/TrAvia_act!O24*1000000)</f>
        <v>10658.508727075414</v>
      </c>
      <c r="P42" s="11">
        <f>IF(P6=0,0,P6/TrAvia_act!P24*1000000)</f>
        <v>10488.884771288735</v>
      </c>
      <c r="Q42" s="11">
        <f>IF(Q6=0,0,Q6/TrAvia_act!Q24*1000000)</f>
        <v>9988.4813792762125</v>
      </c>
      <c r="R42" s="11">
        <f>IF(R6=0,0,R6/TrAvia_act!R24*1000000)</f>
        <v>8990.80151774566</v>
      </c>
      <c r="S42" s="11">
        <f>IF(S6=0,0,S6/TrAvia_act!S24*1000000)</f>
        <v>10318.244034355012</v>
      </c>
      <c r="T42" s="11">
        <f>IF(T6=0,0,T6/TrAvia_act!T24*1000000)</f>
        <v>11039.005172114199</v>
      </c>
      <c r="U42" s="11">
        <f>IF(U6=0,0,U6/TrAvia_act!U24*1000000)</f>
        <v>11254.774441265185</v>
      </c>
      <c r="V42" s="11">
        <f>IF(V6=0,0,V6/TrAvia_act!V24*1000000)</f>
        <v>11528.27718456796</v>
      </c>
      <c r="W42" s="11">
        <f>IF(W6=0,0,W6/TrAvia_act!W24*1000000)</f>
        <v>17939.177346775039</v>
      </c>
      <c r="X42" s="11">
        <f>IF(X6=0,0,X6/TrAvia_act!X24*1000000)</f>
        <v>13084.712354623114</v>
      </c>
      <c r="Y42" s="11">
        <f>IF(Y6=0,0,Y6/TrAvia_act!Y24*1000000)</f>
        <v>10667.35470499463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6475.5619548171417</v>
      </c>
      <c r="C44" s="84">
        <f>IF(C8=0,0,C8/TrAvia_act!C26*1000000)</f>
        <v>6460.6429576662067</v>
      </c>
      <c r="D44" s="84">
        <f>IF(D8=0,0,D8/TrAvia_act!D26*1000000)</f>
        <v>6883.3706998153066</v>
      </c>
      <c r="E44" s="84">
        <f>IF(E8=0,0,E8/TrAvia_act!E26*1000000)</f>
        <v>8064.8667527771049</v>
      </c>
      <c r="F44" s="84">
        <f>IF(F8=0,0,F8/TrAvia_act!F26*1000000)</f>
        <v>10087.664794326432</v>
      </c>
      <c r="G44" s="84">
        <f>IF(G8=0,0,G8/TrAvia_act!G26*1000000)</f>
        <v>12990.729564963211</v>
      </c>
      <c r="H44" s="84">
        <f>IF(H8=0,0,H8/TrAvia_act!H26*1000000)</f>
        <v>13182.731730300055</v>
      </c>
      <c r="I44" s="84">
        <f>IF(I8=0,0,I8/TrAvia_act!I26*1000000)</f>
        <v>12686.275319536828</v>
      </c>
      <c r="J44" s="84">
        <f>IF(J8=0,0,J8/TrAvia_act!J26*1000000)</f>
        <v>13241.350738642386</v>
      </c>
      <c r="K44" s="84">
        <f>IF(K8=0,0,K8/TrAvia_act!K26*1000000)</f>
        <v>9748.7606202024999</v>
      </c>
      <c r="L44" s="84">
        <f>IF(L8=0,0,L8/TrAvia_act!L26*1000000)</f>
        <v>8592.3215353045089</v>
      </c>
      <c r="M44" s="84">
        <f>IF(M8=0,0,M8/TrAvia_act!M26*1000000)</f>
        <v>9610.8710633693481</v>
      </c>
      <c r="N44" s="84">
        <f>IF(N8=0,0,N8/TrAvia_act!N26*1000000)</f>
        <v>10254.542465463923</v>
      </c>
      <c r="O44" s="84">
        <f>IF(O8=0,0,O8/TrAvia_act!O26*1000000)</f>
        <v>11321.118886525655</v>
      </c>
      <c r="P44" s="84">
        <f>IF(P8=0,0,P8/TrAvia_act!P26*1000000)</f>
        <v>10942.023187576364</v>
      </c>
      <c r="Q44" s="84">
        <f>IF(Q8=0,0,Q8/TrAvia_act!Q26*1000000)</f>
        <v>10438.198060532915</v>
      </c>
      <c r="R44" s="84">
        <f>IF(R8=0,0,R8/TrAvia_act!R26*1000000)</f>
        <v>8951.8441957084069</v>
      </c>
      <c r="S44" s="84">
        <f>IF(S8=0,0,S8/TrAvia_act!S26*1000000)</f>
        <v>10636.506050427173</v>
      </c>
      <c r="T44" s="84">
        <f>IF(T8=0,0,T8/TrAvia_act!T26*1000000)</f>
        <v>11554.033367211736</v>
      </c>
      <c r="U44" s="84">
        <f>IF(U8=0,0,U8/TrAvia_act!U26*1000000)</f>
        <v>11664.653225951895</v>
      </c>
      <c r="V44" s="84">
        <f>IF(V8=0,0,V8/TrAvia_act!V26*1000000)</f>
        <v>10967.30739607945</v>
      </c>
      <c r="W44" s="84">
        <f>IF(W8=0,0,W8/TrAvia_act!W26*1000000)</f>
        <v>18315.521128092409</v>
      </c>
      <c r="X44" s="84">
        <f>IF(X8=0,0,X8/TrAvia_act!X26*1000000)</f>
        <v>12984.333628619157</v>
      </c>
      <c r="Y44" s="84">
        <f>IF(Y8=0,0,Y8/TrAvia_act!Y26*1000000)</f>
        <v>10586.750017273642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13705.227942592008</v>
      </c>
      <c r="C45" s="84">
        <f>IF(C9=0,0,C9/TrAvia_act!C27*1000000)</f>
        <v>13674.651895159563</v>
      </c>
      <c r="D45" s="84">
        <f>IF(D9=0,0,D9/TrAvia_act!D27*1000000)</f>
        <v>14533.45199105895</v>
      </c>
      <c r="E45" s="84">
        <f>IF(E9=0,0,E9/TrAvia_act!E27*1000000)</f>
        <v>16863.24579206781</v>
      </c>
      <c r="F45" s="84">
        <f>IF(F9=0,0,F9/TrAvia_act!F27*1000000)</f>
        <v>20598.29062205115</v>
      </c>
      <c r="G45" s="84">
        <f>IF(G9=0,0,G9/TrAvia_act!G27*1000000)</f>
        <v>24316.787826625601</v>
      </c>
      <c r="H45" s="84">
        <f>IF(H9=0,0,H9/TrAvia_act!H27*1000000)</f>
        <v>22746.61073806573</v>
      </c>
      <c r="I45" s="84">
        <f>IF(I9=0,0,I9/TrAvia_act!I27*1000000)</f>
        <v>21925.466812787254</v>
      </c>
      <c r="J45" s="84">
        <f>IF(J9=0,0,J9/TrAvia_act!J27*1000000)</f>
        <v>19357.828766190902</v>
      </c>
      <c r="K45" s="84">
        <f>IF(K9=0,0,K9/TrAvia_act!K27*1000000)</f>
        <v>12628.044759013841</v>
      </c>
      <c r="L45" s="84">
        <f>IF(L9=0,0,L9/TrAvia_act!L27*1000000)</f>
        <v>10655.635654013138</v>
      </c>
      <c r="M45" s="84">
        <f>IF(M9=0,0,M9/TrAvia_act!M27*1000000)</f>
        <v>10054.645371151944</v>
      </c>
      <c r="N45" s="84">
        <f>IF(N9=0,0,N9/TrAvia_act!N27*1000000)</f>
        <v>6838.7100245153542</v>
      </c>
      <c r="O45" s="84">
        <f>IF(O9=0,0,O9/TrAvia_act!O27*1000000)</f>
        <v>7320.7606420628772</v>
      </c>
      <c r="P45" s="84">
        <f>IF(P9=0,0,P9/TrAvia_act!P27*1000000)</f>
        <v>7919.3102358660863</v>
      </c>
      <c r="Q45" s="84">
        <f>IF(Q9=0,0,Q9/TrAvia_act!Q27*1000000)</f>
        <v>7457.1731493353309</v>
      </c>
      <c r="R45" s="84">
        <f>IF(R9=0,0,R9/TrAvia_act!R27*1000000)</f>
        <v>9319.5024072933466</v>
      </c>
      <c r="S45" s="84">
        <f>IF(S9=0,0,S9/TrAvia_act!S27*1000000)</f>
        <v>8242.3077022479447</v>
      </c>
      <c r="T45" s="84">
        <f>IF(T9=0,0,T9/TrAvia_act!T27*1000000)</f>
        <v>7931.4364003432565</v>
      </c>
      <c r="U45" s="84">
        <f>IF(U9=0,0,U9/TrAvia_act!U27*1000000)</f>
        <v>8660.6993658511219</v>
      </c>
      <c r="V45" s="84">
        <f>IF(V9=0,0,V9/TrAvia_act!V27*1000000)</f>
        <v>17114.72767281298</v>
      </c>
      <c r="W45" s="84">
        <f>IF(W9=0,0,W9/TrAvia_act!W27*1000000)</f>
        <v>15558.026253904964</v>
      </c>
      <c r="X45" s="84">
        <f>IF(X9=0,0,X9/TrAvia_act!X27*1000000)</f>
        <v>14090.716986689949</v>
      </c>
      <c r="Y45" s="84">
        <f>IF(Y9=0,0,Y9/TrAvia_act!Y27*1000000)</f>
        <v>11417.132715910415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7386.0746623295581</v>
      </c>
      <c r="C46" s="13">
        <f>IF(C10=0,0,C10/TrAvia_act!C28*1000000)</f>
        <v>7376.1896232797935</v>
      </c>
      <c r="D46" s="13">
        <f>IF(D10=0,0,D10/TrAvia_act!D28*1000000)</f>
        <v>7110.4501204664512</v>
      </c>
      <c r="E46" s="13">
        <f>IF(E10=0,0,E10/TrAvia_act!E28*1000000)</f>
        <v>7393.12137846322</v>
      </c>
      <c r="F46" s="13">
        <f>IF(F10=0,0,F10/TrAvia_act!F28*1000000)</f>
        <v>8629.0123136951461</v>
      </c>
      <c r="G46" s="13">
        <f>IF(G10=0,0,G10/TrAvia_act!G28*1000000)</f>
        <v>12075.847816357476</v>
      </c>
      <c r="H46" s="13">
        <f>IF(H10=0,0,H10/TrAvia_act!H28*1000000)</f>
        <v>11880.312416784824</v>
      </c>
      <c r="I46" s="13">
        <f>IF(I10=0,0,I10/TrAvia_act!I28*1000000)</f>
        <v>12207.785908931226</v>
      </c>
      <c r="J46" s="13">
        <f>IF(J10=0,0,J10/TrAvia_act!J28*1000000)</f>
        <v>14216.05895565327</v>
      </c>
      <c r="K46" s="13">
        <f>IF(K10=0,0,K10/TrAvia_act!K28*1000000)</f>
        <v>9452.8058416175027</v>
      </c>
      <c r="L46" s="13">
        <f>IF(L10=0,0,L10/TrAvia_act!L28*1000000)</f>
        <v>7885.4762325276906</v>
      </c>
      <c r="M46" s="13">
        <f>IF(M10=0,0,M10/TrAvia_act!M28*1000000)</f>
        <v>8079.3386685887608</v>
      </c>
      <c r="N46" s="13">
        <f>IF(N10=0,0,N10/TrAvia_act!N28*1000000)</f>
        <v>8943.8061721765989</v>
      </c>
      <c r="O46" s="13">
        <f>IF(O10=0,0,O10/TrAvia_act!O28*1000000)</f>
        <v>9914.466845661429</v>
      </c>
      <c r="P46" s="13">
        <f>IF(P10=0,0,P10/TrAvia_act!P28*1000000)</f>
        <v>9465.1007782904962</v>
      </c>
      <c r="Q46" s="13">
        <f>IF(Q10=0,0,Q10/TrAvia_act!Q28*1000000)</f>
        <v>9047.3259037924636</v>
      </c>
      <c r="R46" s="13">
        <f>IF(R10=0,0,R10/TrAvia_act!R28*1000000)</f>
        <v>7723.7050565207419</v>
      </c>
      <c r="S46" s="13">
        <f>IF(S10=0,0,S10/TrAvia_act!S28*1000000)</f>
        <v>9197.9146078212088</v>
      </c>
      <c r="T46" s="13">
        <f>IF(T10=0,0,T10/TrAvia_act!T28*1000000)</f>
        <v>8798.3799363889084</v>
      </c>
      <c r="U46" s="13">
        <f>IF(U10=0,0,U10/TrAvia_act!U28*1000000)</f>
        <v>9344.1843649944694</v>
      </c>
      <c r="V46" s="13">
        <f>IF(V10=0,0,V10/TrAvia_act!V28*1000000)</f>
        <v>10133.333855249795</v>
      </c>
      <c r="W46" s="13">
        <f>IF(W10=0,0,W10/TrAvia_act!W28*1000000)</f>
        <v>14674.308966589262</v>
      </c>
      <c r="X46" s="13">
        <f>IF(X10=0,0,X10/TrAvia_act!X28*1000000)</f>
        <v>10582.15314935175</v>
      </c>
      <c r="Y46" s="13">
        <f>IF(Y10=0,0,Y10/TrAvia_act!Y28*1000000)</f>
        <v>8112.7740545348715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6877.5425770799802</v>
      </c>
      <c r="C48" s="102">
        <f>IF(C12=0,0,C12/TrAvia_act!C30*1000000)</f>
        <v>6857.2797638126049</v>
      </c>
      <c r="D48" s="102">
        <f>IF(D12=0,0,D12/TrAvia_act!D30*1000000)</f>
        <v>6647.9150201340062</v>
      </c>
      <c r="E48" s="102">
        <f>IF(E12=0,0,E12/TrAvia_act!E30*1000000)</f>
        <v>6794.5744714622069</v>
      </c>
      <c r="F48" s="102">
        <f>IF(F12=0,0,F12/TrAvia_act!F30*1000000)</f>
        <v>8014.7180529065199</v>
      </c>
      <c r="G48" s="102">
        <f>IF(G12=0,0,G12/TrAvia_act!G30*1000000)</f>
        <v>10884.846036125879</v>
      </c>
      <c r="H48" s="102">
        <f>IF(H12=0,0,H12/TrAvia_act!H30*1000000)</f>
        <v>11392.01868768886</v>
      </c>
      <c r="I48" s="102">
        <f>IF(I12=0,0,I12/TrAvia_act!I30*1000000)</f>
        <v>12060.123870836598</v>
      </c>
      <c r="J48" s="102">
        <f>IF(J12=0,0,J12/TrAvia_act!J30*1000000)</f>
        <v>14310.452394297998</v>
      </c>
      <c r="K48" s="102">
        <f>IF(K12=0,0,K12/TrAvia_act!K30*1000000)</f>
        <v>9495.2834867535257</v>
      </c>
      <c r="L48" s="102">
        <f>IF(L12=0,0,L12/TrAvia_act!L30*1000000)</f>
        <v>8003.5735586030287</v>
      </c>
      <c r="M48" s="102">
        <f>IF(M12=0,0,M12/TrAvia_act!M30*1000000)</f>
        <v>8115.9618904750878</v>
      </c>
      <c r="N48" s="102">
        <f>IF(N12=0,0,N12/TrAvia_act!N30*1000000)</f>
        <v>9027.0760693549582</v>
      </c>
      <c r="O48" s="102">
        <f>IF(O12=0,0,O12/TrAvia_act!O30*1000000)</f>
        <v>10019.421110874873</v>
      </c>
      <c r="P48" s="102">
        <f>IF(P12=0,0,P12/TrAvia_act!P30*1000000)</f>
        <v>9556.8017326876598</v>
      </c>
      <c r="Q48" s="102">
        <f>IF(Q12=0,0,Q12/TrAvia_act!Q30*1000000)</f>
        <v>9166.3571708783456</v>
      </c>
      <c r="R48" s="102">
        <f>IF(R12=0,0,R12/TrAvia_act!R30*1000000)</f>
        <v>8062.650288070985</v>
      </c>
      <c r="S48" s="102">
        <f>IF(S12=0,0,S12/TrAvia_act!S30*1000000)</f>
        <v>9505.8996415387992</v>
      </c>
      <c r="T48" s="102">
        <f>IF(T12=0,0,T12/TrAvia_act!T30*1000000)</f>
        <v>8966.7799324916195</v>
      </c>
      <c r="U48" s="102">
        <f>IF(U12=0,0,U12/TrAvia_act!U30*1000000)</f>
        <v>9194.9563695020388</v>
      </c>
      <c r="V48" s="102">
        <f>IF(V12=0,0,V12/TrAvia_act!V30*1000000)</f>
        <v>9993.7533560686152</v>
      </c>
      <c r="W48" s="102">
        <f>IF(W12=0,0,W12/TrAvia_act!W30*1000000)</f>
        <v>13584.503914820485</v>
      </c>
      <c r="X48" s="102">
        <f>IF(X12=0,0,X12/TrAvia_act!X30*1000000)</f>
        <v>9922.9193193539268</v>
      </c>
      <c r="Y48" s="102">
        <f>IF(Y12=0,0,Y12/TrAvia_act!Y30*1000000)</f>
        <v>8107.167554998693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10873.151818326663</v>
      </c>
      <c r="C49" s="86">
        <f>IF(C13=0,0,C13/TrAvia_act!C31*1000000)</f>
        <v>10848.894067406358</v>
      </c>
      <c r="D49" s="86">
        <f>IF(D13=0,0,D13/TrAvia_act!D31*1000000)</f>
        <v>11530.229968087593</v>
      </c>
      <c r="E49" s="86">
        <f>IF(E13=0,0,E13/TrAvia_act!E31*1000000)</f>
        <v>13378.590448473351</v>
      </c>
      <c r="F49" s="86">
        <f>IF(F13=0,0,F13/TrAvia_act!F31*1000000)</f>
        <v>16341.818032485664</v>
      </c>
      <c r="G49" s="86">
        <f>IF(G13=0,0,G13/TrAvia_act!G31*1000000)</f>
        <v>19291.917425995976</v>
      </c>
      <c r="H49" s="86">
        <f>IF(H13=0,0,H13/TrAvia_act!H31*1000000)</f>
        <v>16585.688351709578</v>
      </c>
      <c r="I49" s="86">
        <f>IF(I13=0,0,I13/TrAvia_act!I31*1000000)</f>
        <v>14696.945979669235</v>
      </c>
      <c r="J49" s="86">
        <f>IF(J13=0,0,J13/TrAvia_act!J31*1000000)</f>
        <v>11931.73774045085</v>
      </c>
      <c r="K49" s="86">
        <f>IF(K13=0,0,K13/TrAvia_act!K31*1000000)</f>
        <v>7159.013004272314</v>
      </c>
      <c r="L49" s="86">
        <f>IF(L13=0,0,L13/TrAvia_act!L31*1000000)</f>
        <v>5557.2718041852759</v>
      </c>
      <c r="M49" s="86">
        <f>IF(M13=0,0,M13/TrAvia_act!M31*1000000)</f>
        <v>6248.1775742723676</v>
      </c>
      <c r="N49" s="86">
        <f>IF(N13=0,0,N13/TrAvia_act!N31*1000000)</f>
        <v>5071.7559533829271</v>
      </c>
      <c r="O49" s="86">
        <f>IF(O13=0,0,O13/TrAvia_act!O31*1000000)</f>
        <v>5086.5706458429459</v>
      </c>
      <c r="P49" s="86">
        <f>IF(P13=0,0,P13/TrAvia_act!P31*1000000)</f>
        <v>5155.1559216239239</v>
      </c>
      <c r="Q49" s="86">
        <f>IF(Q13=0,0,Q13/TrAvia_act!Q31*1000000)</f>
        <v>4547.9440079460846</v>
      </c>
      <c r="R49" s="86">
        <f>IF(R13=0,0,R13/TrAvia_act!R31*1000000)</f>
        <v>5325.0157255497907</v>
      </c>
      <c r="S49" s="86">
        <f>IF(S13=0,0,S13/TrAvia_act!S31*1000000)</f>
        <v>4412.3010069786351</v>
      </c>
      <c r="T49" s="86">
        <f>IF(T13=0,0,T13/TrAvia_act!T31*1000000)</f>
        <v>3977.9300479487588</v>
      </c>
      <c r="U49" s="86">
        <f>IF(U13=0,0,U13/TrAvia_act!U31*1000000)</f>
        <v>15164.076189199299</v>
      </c>
      <c r="V49" s="86">
        <f>IF(V13=0,0,V13/TrAvia_act!V31*1000000)</f>
        <v>19810.915131811598</v>
      </c>
      <c r="W49" s="86">
        <f>IF(W13=0,0,W13/TrAvia_act!W31*1000000)</f>
        <v>39046.312851600094</v>
      </c>
      <c r="X49" s="86">
        <f>IF(X13=0,0,X13/TrAvia_act!X31*1000000)</f>
        <v>35444.68616641251</v>
      </c>
      <c r="Y49" s="86">
        <f>IF(Y13=0,0,Y13/TrAvia_act!Y31*1000000)</f>
        <v>9346.2039524937918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0.98686050012995719</v>
      </c>
      <c r="C52" s="16">
        <f t="shared" si="36"/>
        <v>0.98556772665952619</v>
      </c>
      <c r="D52" s="16">
        <f t="shared" ref="D52:V52" si="37">IF(D6=0,0,D6/D$3)</f>
        <v>0.98741225002334754</v>
      </c>
      <c r="E52" s="16">
        <f t="shared" si="37"/>
        <v>0.98695168925261234</v>
      </c>
      <c r="F52" s="16">
        <f t="shared" si="37"/>
        <v>0.98906046005464421</v>
      </c>
      <c r="G52" s="16">
        <f t="shared" si="37"/>
        <v>0.99048273567469691</v>
      </c>
      <c r="H52" s="16">
        <f t="shared" si="37"/>
        <v>0.99108965519913572</v>
      </c>
      <c r="I52" s="16">
        <f t="shared" si="37"/>
        <v>0.99142376798456056</v>
      </c>
      <c r="J52" s="16">
        <f t="shared" si="37"/>
        <v>0.99119117462451822</v>
      </c>
      <c r="K52" s="16">
        <f t="shared" si="37"/>
        <v>0.99058209898176841</v>
      </c>
      <c r="L52" s="16">
        <f t="shared" si="37"/>
        <v>0.98870963538065337</v>
      </c>
      <c r="M52" s="16">
        <f t="shared" si="37"/>
        <v>0.99095193378377699</v>
      </c>
      <c r="N52" s="16">
        <f t="shared" si="37"/>
        <v>0.99054773104412375</v>
      </c>
      <c r="O52" s="16">
        <f t="shared" si="37"/>
        <v>0.98700469397450652</v>
      </c>
      <c r="P52" s="16">
        <f t="shared" si="37"/>
        <v>0.98733599495099544</v>
      </c>
      <c r="Q52" s="16">
        <f t="shared" si="37"/>
        <v>0.98833485206958938</v>
      </c>
      <c r="R52" s="16">
        <f t="shared" si="37"/>
        <v>0.98824453172154547</v>
      </c>
      <c r="S52" s="16">
        <f t="shared" si="37"/>
        <v>0.98898761079749042</v>
      </c>
      <c r="T52" s="16">
        <f t="shared" si="37"/>
        <v>0.99001974261154746</v>
      </c>
      <c r="U52" s="16">
        <f t="shared" si="37"/>
        <v>0.98912124761903109</v>
      </c>
      <c r="V52" s="16">
        <f t="shared" si="37"/>
        <v>0.97040773349118747</v>
      </c>
      <c r="W52" s="16">
        <f t="shared" ref="W52:Y52" si="38">IF(W6=0,0,W6/W$3)</f>
        <v>0.97089168063486098</v>
      </c>
      <c r="X52" s="16">
        <f t="shared" si="38"/>
        <v>0.98338643071999876</v>
      </c>
      <c r="Y52" s="16">
        <f t="shared" si="38"/>
        <v>0.98765245656061096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0.91194435545214592</v>
      </c>
      <c r="C54" s="103">
        <f t="shared" si="42"/>
        <v>0.91065131217108652</v>
      </c>
      <c r="D54" s="103">
        <f t="shared" ref="D54:V54" si="43">IF(D8=0,0,D8/D$3)</f>
        <v>0.90751750685372223</v>
      </c>
      <c r="E54" s="103">
        <f t="shared" si="43"/>
        <v>0.89414718404998628</v>
      </c>
      <c r="F54" s="103">
        <f t="shared" si="43"/>
        <v>0.87540145724346885</v>
      </c>
      <c r="G54" s="103">
        <f t="shared" si="43"/>
        <v>0.88970866111302316</v>
      </c>
      <c r="H54" s="103">
        <f t="shared" si="43"/>
        <v>0.89339466689343439</v>
      </c>
      <c r="I54" s="103">
        <f t="shared" si="43"/>
        <v>0.89580125031280433</v>
      </c>
      <c r="J54" s="103">
        <f t="shared" si="43"/>
        <v>0.89113875413756183</v>
      </c>
      <c r="K54" s="103">
        <f t="shared" si="43"/>
        <v>0.87609122018445773</v>
      </c>
      <c r="L54" s="103">
        <f t="shared" si="43"/>
        <v>0.8738112200514041</v>
      </c>
      <c r="M54" s="103">
        <f t="shared" si="43"/>
        <v>0.8946145317601284</v>
      </c>
      <c r="N54" s="103">
        <f t="shared" si="43"/>
        <v>0.88491216597323097</v>
      </c>
      <c r="O54" s="103">
        <f t="shared" si="43"/>
        <v>0.87471544287588421</v>
      </c>
      <c r="P54" s="103">
        <f t="shared" si="43"/>
        <v>0.87558356170048113</v>
      </c>
      <c r="Q54" s="103">
        <f t="shared" si="43"/>
        <v>0.87702021748381065</v>
      </c>
      <c r="R54" s="103">
        <f t="shared" si="43"/>
        <v>0.87970109712453137</v>
      </c>
      <c r="S54" s="103">
        <f t="shared" si="43"/>
        <v>0.88397086356580201</v>
      </c>
      <c r="T54" s="103">
        <f t="shared" si="43"/>
        <v>0.8888905009980157</v>
      </c>
      <c r="U54" s="103">
        <f t="shared" si="43"/>
        <v>0.88526613499296569</v>
      </c>
      <c r="V54" s="103">
        <f t="shared" si="43"/>
        <v>0.83894386758587225</v>
      </c>
      <c r="W54" s="103">
        <f t="shared" ref="W54:Y54" si="44">IF(W8=0,0,W8/W$3)</f>
        <v>0.85597242963216136</v>
      </c>
      <c r="X54" s="103">
        <f t="shared" si="44"/>
        <v>0.88730727714396318</v>
      </c>
      <c r="Y54" s="103">
        <f t="shared" si="44"/>
        <v>0.8850432169306256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7.4916144677811186E-2</v>
      </c>
      <c r="C55" s="103">
        <f t="shared" si="45"/>
        <v>7.4916414488439789E-2</v>
      </c>
      <c r="D55" s="103">
        <f t="shared" ref="D55:V55" si="46">IF(D9=0,0,D9/D$3)</f>
        <v>7.989474316962529E-2</v>
      </c>
      <c r="E55" s="103">
        <f t="shared" si="46"/>
        <v>9.2804505202626134E-2</v>
      </c>
      <c r="F55" s="103">
        <f t="shared" si="46"/>
        <v>0.11365900281117526</v>
      </c>
      <c r="G55" s="103">
        <f t="shared" si="46"/>
        <v>0.10077407456167377</v>
      </c>
      <c r="H55" s="103">
        <f t="shared" si="46"/>
        <v>9.7694988305701363E-2</v>
      </c>
      <c r="I55" s="103">
        <f t="shared" si="46"/>
        <v>9.562251767175628E-2</v>
      </c>
      <c r="J55" s="103">
        <f t="shared" si="46"/>
        <v>0.10005242048695635</v>
      </c>
      <c r="K55" s="103">
        <f t="shared" si="46"/>
        <v>0.11449087879731065</v>
      </c>
      <c r="L55" s="103">
        <f t="shared" si="46"/>
        <v>0.11489841532924924</v>
      </c>
      <c r="M55" s="103">
        <f t="shared" si="46"/>
        <v>9.6337402023648655E-2</v>
      </c>
      <c r="N55" s="103">
        <f t="shared" si="46"/>
        <v>0.10563556507089275</v>
      </c>
      <c r="O55" s="103">
        <f t="shared" si="46"/>
        <v>0.11228925109862223</v>
      </c>
      <c r="P55" s="103">
        <f t="shared" si="46"/>
        <v>0.11175243325051437</v>
      </c>
      <c r="Q55" s="103">
        <f t="shared" si="46"/>
        <v>0.11131463458577869</v>
      </c>
      <c r="R55" s="103">
        <f t="shared" si="46"/>
        <v>0.1085434345970141</v>
      </c>
      <c r="S55" s="103">
        <f t="shared" si="46"/>
        <v>0.10501674723168834</v>
      </c>
      <c r="T55" s="103">
        <f t="shared" si="46"/>
        <v>0.10112924161353178</v>
      </c>
      <c r="U55" s="103">
        <f t="shared" si="46"/>
        <v>0.1038551126260653</v>
      </c>
      <c r="V55" s="103">
        <f t="shared" si="46"/>
        <v>0.13146386590531517</v>
      </c>
      <c r="W55" s="103">
        <f t="shared" ref="W55:Y55" si="47">IF(W9=0,0,W9/W$3)</f>
        <v>0.11491925100269958</v>
      </c>
      <c r="X55" s="103">
        <f t="shared" si="47"/>
        <v>9.6079153576035581E-2</v>
      </c>
      <c r="Y55" s="103">
        <f t="shared" si="47"/>
        <v>0.10260923962998528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1.3139499870042936E-2</v>
      </c>
      <c r="C56" s="17">
        <f t="shared" si="48"/>
        <v>1.4432273340473775E-2</v>
      </c>
      <c r="D56" s="17">
        <f t="shared" ref="D56:V56" si="49">IF(D10=0,0,D10/D$3)</f>
        <v>1.2587749976652556E-2</v>
      </c>
      <c r="E56" s="17">
        <f t="shared" si="49"/>
        <v>1.3048310747387659E-2</v>
      </c>
      <c r="F56" s="17">
        <f t="shared" si="49"/>
        <v>1.0939539945355761E-2</v>
      </c>
      <c r="G56" s="17">
        <f t="shared" si="49"/>
        <v>9.5172643253031881E-3</v>
      </c>
      <c r="H56" s="17">
        <f t="shared" si="49"/>
        <v>8.9103448008641464E-3</v>
      </c>
      <c r="I56" s="17">
        <f t="shared" si="49"/>
        <v>8.57623201543933E-3</v>
      </c>
      <c r="J56" s="17">
        <f t="shared" si="49"/>
        <v>8.8088253754817856E-3</v>
      </c>
      <c r="K56" s="17">
        <f t="shared" si="49"/>
        <v>9.4179010182316395E-3</v>
      </c>
      <c r="L56" s="17">
        <f t="shared" si="49"/>
        <v>1.1290364619346764E-2</v>
      </c>
      <c r="M56" s="17">
        <f t="shared" si="49"/>
        <v>9.0480662162230642E-3</v>
      </c>
      <c r="N56" s="17">
        <f t="shared" si="49"/>
        <v>9.4522689558763258E-3</v>
      </c>
      <c r="O56" s="17">
        <f t="shared" si="49"/>
        <v>1.2995306025493569E-2</v>
      </c>
      <c r="P56" s="17">
        <f t="shared" si="49"/>
        <v>1.2664005049004775E-2</v>
      </c>
      <c r="Q56" s="17">
        <f t="shared" si="49"/>
        <v>1.1665147930410598E-2</v>
      </c>
      <c r="R56" s="17">
        <f t="shared" si="49"/>
        <v>1.1755468278454568E-2</v>
      </c>
      <c r="S56" s="17">
        <f t="shared" si="49"/>
        <v>1.1012389202509644E-2</v>
      </c>
      <c r="T56" s="17">
        <f t="shared" si="49"/>
        <v>9.9802573884524726E-3</v>
      </c>
      <c r="U56" s="17">
        <f t="shared" si="49"/>
        <v>1.0878752380968892E-2</v>
      </c>
      <c r="V56" s="17">
        <f t="shared" si="49"/>
        <v>2.9592266508812401E-2</v>
      </c>
      <c r="W56" s="17">
        <f t="shared" ref="W56:Y56" si="50">IF(W10=0,0,W10/W$3)</f>
        <v>2.9108319365138975E-2</v>
      </c>
      <c r="X56" s="17">
        <f t="shared" si="50"/>
        <v>1.6613569280001118E-2</v>
      </c>
      <c r="Y56" s="17">
        <f t="shared" si="50"/>
        <v>1.234754343938892E-2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1.067768186288365E-2</v>
      </c>
      <c r="C58" s="104">
        <f t="shared" si="54"/>
        <v>1.1672766380850052E-2</v>
      </c>
      <c r="D58" s="104">
        <f t="shared" ref="D58:V58" si="55">IF(D12=0,0,D12/D$3)</f>
        <v>1.0653966311360051E-2</v>
      </c>
      <c r="E58" s="104">
        <f t="shared" si="55"/>
        <v>1.0901745329009289E-2</v>
      </c>
      <c r="F58" s="104">
        <f t="shared" si="55"/>
        <v>9.4111962887869372E-3</v>
      </c>
      <c r="G58" s="104">
        <f t="shared" si="55"/>
        <v>7.3633046442976389E-3</v>
      </c>
      <c r="H58" s="104">
        <f t="shared" si="55"/>
        <v>7.7408266330131897E-3</v>
      </c>
      <c r="I58" s="104">
        <f t="shared" si="55"/>
        <v>7.9980364690481354E-3</v>
      </c>
      <c r="J58" s="104">
        <f t="shared" si="55"/>
        <v>8.5154376480924693E-3</v>
      </c>
      <c r="K58" s="104">
        <f t="shared" si="55"/>
        <v>9.2882177801786973E-3</v>
      </c>
      <c r="L58" s="104">
        <f t="shared" si="55"/>
        <v>1.0906240376896083E-2</v>
      </c>
      <c r="M58" s="104">
        <f t="shared" si="55"/>
        <v>8.9108633624394792E-3</v>
      </c>
      <c r="N58" s="104">
        <f t="shared" si="55"/>
        <v>9.3394249668818357E-3</v>
      </c>
      <c r="O58" s="104">
        <f t="shared" si="55"/>
        <v>1.2853451116642062E-2</v>
      </c>
      <c r="P58" s="104">
        <f t="shared" si="55"/>
        <v>1.2520308479388403E-2</v>
      </c>
      <c r="Q58" s="104">
        <f t="shared" si="55"/>
        <v>1.151401698488169E-2</v>
      </c>
      <c r="R58" s="104">
        <f t="shared" si="55"/>
        <v>1.0752033381395909E-2</v>
      </c>
      <c r="S58" s="104">
        <f t="shared" si="55"/>
        <v>1.0692969130445453E-2</v>
      </c>
      <c r="T58" s="104">
        <f t="shared" si="55"/>
        <v>9.8279440937282074E-3</v>
      </c>
      <c r="U58" s="104">
        <f t="shared" si="55"/>
        <v>1.0437391681349009E-2</v>
      </c>
      <c r="V58" s="104">
        <f t="shared" si="55"/>
        <v>2.8769703423952776E-2</v>
      </c>
      <c r="W58" s="104">
        <f t="shared" ref="W58:Y58" si="56">IF(W12=0,0,W12/W$3)</f>
        <v>2.5793200813353723E-2</v>
      </c>
      <c r="X58" s="104">
        <f t="shared" si="56"/>
        <v>1.5176198576440226E-2</v>
      </c>
      <c r="Y58" s="104">
        <f t="shared" si="56"/>
        <v>1.2283177788970407E-2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2.4618180071592868E-3</v>
      </c>
      <c r="C59" s="105">
        <f t="shared" si="57"/>
        <v>2.759506959623723E-3</v>
      </c>
      <c r="D59" s="105">
        <f t="shared" ref="D59:V59" si="58">IF(D13=0,0,D13/D$3)</f>
        <v>1.9337836652925048E-3</v>
      </c>
      <c r="E59" s="105">
        <f t="shared" si="58"/>
        <v>2.1465654183783702E-3</v>
      </c>
      <c r="F59" s="105">
        <f t="shared" si="58"/>
        <v>1.5283436565688216E-3</v>
      </c>
      <c r="G59" s="105">
        <f t="shared" si="58"/>
        <v>2.1539596810055493E-3</v>
      </c>
      <c r="H59" s="105">
        <f t="shared" si="58"/>
        <v>1.1695181678509565E-3</v>
      </c>
      <c r="I59" s="105">
        <f t="shared" si="58"/>
        <v>5.7819554639119421E-4</v>
      </c>
      <c r="J59" s="105">
        <f t="shared" si="58"/>
        <v>2.9338772738931506E-4</v>
      </c>
      <c r="K59" s="105">
        <f t="shared" si="58"/>
        <v>1.2968323805294198E-4</v>
      </c>
      <c r="L59" s="105">
        <f t="shared" si="58"/>
        <v>3.8412424245067917E-4</v>
      </c>
      <c r="M59" s="105">
        <f t="shared" si="58"/>
        <v>1.3720285378358388E-4</v>
      </c>
      <c r="N59" s="105">
        <f t="shared" si="58"/>
        <v>1.1284398899448965E-4</v>
      </c>
      <c r="O59" s="105">
        <f t="shared" si="58"/>
        <v>1.4185490885150663E-4</v>
      </c>
      <c r="P59" s="105">
        <f t="shared" si="58"/>
        <v>1.4369656961637104E-4</v>
      </c>
      <c r="Q59" s="105">
        <f t="shared" si="58"/>
        <v>1.5113094552890821E-4</v>
      </c>
      <c r="R59" s="105">
        <f t="shared" si="58"/>
        <v>1.0034348970586588E-3</v>
      </c>
      <c r="S59" s="105">
        <f t="shared" si="58"/>
        <v>3.1942007206419023E-4</v>
      </c>
      <c r="T59" s="105">
        <f t="shared" si="58"/>
        <v>1.5231329472426507E-4</v>
      </c>
      <c r="U59" s="105">
        <f t="shared" si="58"/>
        <v>4.413606996198838E-4</v>
      </c>
      <c r="V59" s="105">
        <f t="shared" si="58"/>
        <v>8.2256308485962291E-4</v>
      </c>
      <c r="W59" s="105">
        <f t="shared" ref="W59:Y59" si="59">IF(W13=0,0,W13/W$3)</f>
        <v>3.3151185517852522E-3</v>
      </c>
      <c r="X59" s="105">
        <f t="shared" si="59"/>
        <v>1.4373707035608928E-3</v>
      </c>
      <c r="Y59" s="105">
        <f t="shared" si="59"/>
        <v>6.4365650418513385E-5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690791</v>
      </c>
      <c r="C4" s="11">
        <f t="shared" si="0"/>
        <v>569826</v>
      </c>
      <c r="D4" s="11">
        <f t="shared" ref="D4" si="1">SUM(D5:D7)</f>
        <v>548516</v>
      </c>
      <c r="E4" s="11">
        <f t="shared" ref="E4" si="2">SUM(E5:E7)</f>
        <v>606447</v>
      </c>
      <c r="F4" s="11">
        <f t="shared" ref="F4" si="3">SUM(F5:F7)</f>
        <v>826688</v>
      </c>
      <c r="G4" s="11">
        <f t="shared" ref="G4" si="4">SUM(G5:G7)</f>
        <v>1098087</v>
      </c>
      <c r="H4" s="11">
        <f t="shared" ref="H4" si="5">SUM(H5:H7)</f>
        <v>1134008</v>
      </c>
      <c r="I4" s="11">
        <f t="shared" ref="I4" si="6">SUM(I5:I7)</f>
        <v>1310743</v>
      </c>
      <c r="J4" s="11">
        <f t="shared" ref="J4" si="7">SUM(J5:J7)</f>
        <v>1409399</v>
      </c>
      <c r="K4" s="11">
        <f t="shared" ref="K4" si="8">SUM(K5:K7)</f>
        <v>1035003</v>
      </c>
      <c r="L4" s="11">
        <f t="shared" ref="L4" si="9">SUM(L5:L7)</f>
        <v>1087966</v>
      </c>
      <c r="M4" s="11">
        <f t="shared" ref="M4" si="10">SUM(M5:M7)</f>
        <v>1452958</v>
      </c>
      <c r="N4" s="11">
        <f t="shared" ref="N4" si="11">SUM(N5:N7)</f>
        <v>1637563</v>
      </c>
      <c r="O4" s="11">
        <f t="shared" ref="O4" si="12">SUM(O5:O7)</f>
        <v>1339042</v>
      </c>
      <c r="P4" s="11">
        <f t="shared" ref="P4" si="13">SUM(P5:P7)</f>
        <v>1430227</v>
      </c>
      <c r="Q4" s="11">
        <f t="shared" ref="Q4" si="14">SUM(Q5:Q7)</f>
        <v>1525449</v>
      </c>
      <c r="R4" s="11">
        <f t="shared" ref="R4" si="15">SUM(R5:R7)</f>
        <v>1563637</v>
      </c>
      <c r="S4" s="11">
        <f t="shared" ref="S4" si="16">SUM(S5:S7)</f>
        <v>1832859</v>
      </c>
      <c r="T4" s="11">
        <f t="shared" ref="T4" si="17">SUM(T5:T7)</f>
        <v>2047732</v>
      </c>
      <c r="U4" s="11">
        <f t="shared" ref="U4" si="18">SUM(U5:U7)</f>
        <v>2098600</v>
      </c>
      <c r="V4" s="11">
        <f t="shared" ref="V4:W4" si="19">SUM(V5:V7)</f>
        <v>743913</v>
      </c>
      <c r="W4" s="11">
        <f t="shared" si="19"/>
        <v>1010340</v>
      </c>
      <c r="X4" s="11">
        <f t="shared" ref="X4:Y4" si="20">SUM(X5:X7)</f>
        <v>1851820</v>
      </c>
      <c r="Y4" s="11">
        <f t="shared" si="20"/>
        <v>1946235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635102</v>
      </c>
      <c r="C6" s="84">
        <v>525254</v>
      </c>
      <c r="D6" s="84">
        <v>503786</v>
      </c>
      <c r="E6" s="84">
        <v>563401</v>
      </c>
      <c r="F6" s="84">
        <v>765711</v>
      </c>
      <c r="G6" s="84">
        <v>1021488</v>
      </c>
      <c r="H6" s="84">
        <v>1050483</v>
      </c>
      <c r="I6" s="84">
        <v>1206280</v>
      </c>
      <c r="J6" s="84">
        <v>1274862</v>
      </c>
      <c r="K6" s="84">
        <v>916172</v>
      </c>
      <c r="L6" s="84">
        <v>964179</v>
      </c>
      <c r="M6" s="84">
        <v>1314549</v>
      </c>
      <c r="N6" s="84">
        <v>1359177</v>
      </c>
      <c r="O6" s="84">
        <v>1091523</v>
      </c>
      <c r="P6" s="84">
        <v>1169242</v>
      </c>
      <c r="Q6" s="84">
        <v>1253425</v>
      </c>
      <c r="R6" s="84">
        <v>1351148</v>
      </c>
      <c r="S6" s="84">
        <v>1558524</v>
      </c>
      <c r="T6" s="84">
        <v>1698613</v>
      </c>
      <c r="U6" s="84">
        <v>1727758</v>
      </c>
      <c r="V6" s="84">
        <v>656917</v>
      </c>
      <c r="W6" s="84">
        <v>841299</v>
      </c>
      <c r="X6" s="84">
        <v>1625632</v>
      </c>
      <c r="Y6" s="84">
        <v>1684121</v>
      </c>
      <c r="DA6" s="171" t="s">
        <v>364</v>
      </c>
    </row>
    <row r="7" spans="1:105" ht="11.45" customHeight="1" x14ac:dyDescent="0.25">
      <c r="A7" s="85" t="s">
        <v>182</v>
      </c>
      <c r="B7" s="86">
        <v>55689</v>
      </c>
      <c r="C7" s="86">
        <v>44572</v>
      </c>
      <c r="D7" s="86">
        <v>44730</v>
      </c>
      <c r="E7" s="86">
        <v>43046</v>
      </c>
      <c r="F7" s="86">
        <v>60977</v>
      </c>
      <c r="G7" s="86">
        <v>76599</v>
      </c>
      <c r="H7" s="86">
        <v>83525</v>
      </c>
      <c r="I7" s="86">
        <v>104463</v>
      </c>
      <c r="J7" s="86">
        <v>134537</v>
      </c>
      <c r="K7" s="86">
        <v>118831</v>
      </c>
      <c r="L7" s="86">
        <v>123787</v>
      </c>
      <c r="M7" s="86">
        <v>138409</v>
      </c>
      <c r="N7" s="86">
        <v>278386</v>
      </c>
      <c r="O7" s="86">
        <v>247519</v>
      </c>
      <c r="P7" s="86">
        <v>260985</v>
      </c>
      <c r="Q7" s="86">
        <v>272024</v>
      </c>
      <c r="R7" s="86">
        <v>212489</v>
      </c>
      <c r="S7" s="86">
        <v>274335</v>
      </c>
      <c r="T7" s="86">
        <v>349119</v>
      </c>
      <c r="U7" s="86">
        <v>370842</v>
      </c>
      <c r="V7" s="86">
        <v>86996</v>
      </c>
      <c r="W7" s="86">
        <v>169041</v>
      </c>
      <c r="X7" s="86">
        <v>226188</v>
      </c>
      <c r="Y7" s="86">
        <v>262114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76.364249391996466</v>
      </c>
      <c r="C12" s="14">
        <f>IF(C4=0,0,C4/TrAvia_act!C24)</f>
        <v>76.139230358097279</v>
      </c>
      <c r="D12" s="14">
        <f>IF(D4=0,0,D4/TrAvia_act!D24)</f>
        <v>74.425508819538663</v>
      </c>
      <c r="E12" s="14">
        <f>IF(E4=0,0,E4/TrAvia_act!E24)</f>
        <v>83.61326347718186</v>
      </c>
      <c r="F12" s="14">
        <f>IF(F4=0,0,F4/TrAvia_act!F24)</f>
        <v>93.074532762891238</v>
      </c>
      <c r="G12" s="14">
        <f>IF(G4=0,0,G4/TrAvia_act!G24)</f>
        <v>99.293516592820325</v>
      </c>
      <c r="H12" s="14">
        <f>IF(H4=0,0,H4/TrAvia_act!H24)</f>
        <v>100.87244262586728</v>
      </c>
      <c r="I12" s="14">
        <f>IF(I4=0,0,I4/TrAvia_act!I24)</f>
        <v>98.256596701649173</v>
      </c>
      <c r="J12" s="14">
        <f>IF(J4=0,0,J4/TrAvia_act!J24)</f>
        <v>95.643254614549406</v>
      </c>
      <c r="K12" s="14">
        <f>IF(K4=0,0,K4/TrAvia_act!K24)</f>
        <v>94.754463059599004</v>
      </c>
      <c r="L12" s="14">
        <f>IF(L4=0,0,L4/TrAvia_act!L24)</f>
        <v>95.511017469932398</v>
      </c>
      <c r="M12" s="14">
        <f>IF(M4=0,0,M4/TrAvia_act!M24)</f>
        <v>103.59033224012548</v>
      </c>
      <c r="N12" s="14">
        <f>IF(N4=0,0,N4/TrAvia_act!N24)</f>
        <v>89.528347274615925</v>
      </c>
      <c r="O12" s="14">
        <f>IF(O4=0,0,O4/TrAvia_act!O24)</f>
        <v>100.81629272699895</v>
      </c>
      <c r="P12" s="14">
        <f>IF(P4=0,0,P4/TrAvia_act!P24)</f>
        <v>105.87999703879183</v>
      </c>
      <c r="Q12" s="14">
        <f>IF(Q4=0,0,Q4/TrAvia_act!Q24)</f>
        <v>102.46164696399785</v>
      </c>
      <c r="R12" s="14">
        <f>IF(R4=0,0,R4/TrAvia_act!R24)</f>
        <v>103.10147698799948</v>
      </c>
      <c r="S12" s="14">
        <f>IF(S4=0,0,S4/TrAvia_act!S24)</f>
        <v>106.48727631884732</v>
      </c>
      <c r="T12" s="14">
        <f>IF(T4=0,0,T4/TrAvia_act!T24)</f>
        <v>109.28231401430249</v>
      </c>
      <c r="U12" s="14">
        <f>IF(U4=0,0,U4/TrAvia_act!U24)</f>
        <v>115.83595518021748</v>
      </c>
      <c r="V12" s="14">
        <f>IF(V4=0,0,V4/TrAvia_act!V24)</f>
        <v>122.31387701414009</v>
      </c>
      <c r="W12" s="14">
        <f>IF(W4=0,0,W4/TrAvia_act!W24)</f>
        <v>144.0872789503708</v>
      </c>
      <c r="X12" s="14">
        <f>IF(X4=0,0,X4/TrAvia_act!X24)</f>
        <v>142.74416094966469</v>
      </c>
      <c r="Y12" s="14">
        <f>IF(Y4=0,0,Y4/TrAvia_act!Y24)</f>
        <v>144.76606664683129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72.933164905833721</v>
      </c>
      <c r="C14" s="87">
        <f>IF(C6=0,0,C6/TrAvia_act!C26)</f>
        <v>72.911438089950025</v>
      </c>
      <c r="D14" s="87">
        <f>IF(D6=0,0,D6/TrAvia_act!D26)</f>
        <v>71.206501766784456</v>
      </c>
      <c r="E14" s="87">
        <f>IF(E6=0,0,E6/TrAvia_act!E26)</f>
        <v>81.534153400868306</v>
      </c>
      <c r="F14" s="87">
        <f>IF(F6=0,0,F6/TrAvia_act!F26)</f>
        <v>91.690935217339245</v>
      </c>
      <c r="G14" s="87">
        <f>IF(G6=0,0,G6/TrAvia_act!G26)</f>
        <v>97.956271576524742</v>
      </c>
      <c r="H14" s="87">
        <f>IF(H6=0,0,H6/TrAvia_act!H26)</f>
        <v>99.364642451759366</v>
      </c>
      <c r="I14" s="87">
        <f>IF(I6=0,0,I6/TrAvia_act!I26)</f>
        <v>96.010824578159827</v>
      </c>
      <c r="J14" s="87">
        <f>IF(J6=0,0,J6/TrAvia_act!J26)</f>
        <v>93.157617829740587</v>
      </c>
      <c r="K14" s="87">
        <f>IF(K6=0,0,K6/TrAvia_act!K26)</f>
        <v>92.33743196936102</v>
      </c>
      <c r="L14" s="87">
        <f>IF(L6=0,0,L6/TrAvia_act!L26)</f>
        <v>93.618700844742207</v>
      </c>
      <c r="M14" s="87">
        <f>IF(M6=0,0,M6/TrAvia_act!M26)</f>
        <v>103.36942675159236</v>
      </c>
      <c r="N14" s="87">
        <f>IF(N6=0,0,N6/TrAvia_act!N26)</f>
        <v>87.6097073610932</v>
      </c>
      <c r="O14" s="87">
        <f>IF(O6=0,0,O6/TrAvia_act!O26)</f>
        <v>98.495127233351383</v>
      </c>
      <c r="P14" s="87">
        <f>IF(P6=0,0,P6/TrAvia_act!P26)</f>
        <v>101.82373944091265</v>
      </c>
      <c r="Q14" s="87">
        <f>IF(Q6=0,0,Q6/TrAvia_act!Q26)</f>
        <v>99.147682328745447</v>
      </c>
      <c r="R14" s="87">
        <f>IF(R6=0,0,R6/TrAvia_act!R26)</f>
        <v>99.649531676377308</v>
      </c>
      <c r="S14" s="87">
        <f>IF(S6=0,0,S6/TrAvia_act!S26)</f>
        <v>104.43071562583758</v>
      </c>
      <c r="T14" s="87">
        <f>IF(T6=0,0,T6/TrAvia_act!T26)</f>
        <v>105.6745676247356</v>
      </c>
      <c r="U14" s="87">
        <f>IF(U6=0,0,U6/TrAvia_act!U26)</f>
        <v>110.43515500159795</v>
      </c>
      <c r="V14" s="87">
        <f>IF(V6=0,0,V6/TrAvia_act!V26)</f>
        <v>118.85597973584223</v>
      </c>
      <c r="W14" s="87">
        <f>IF(W6=0,0,W6/TrAvia_act!W26)</f>
        <v>138.94285714285715</v>
      </c>
      <c r="X14" s="87">
        <f>IF(X6=0,0,X6/TrAvia_act!X26)</f>
        <v>137.81213970837572</v>
      </c>
      <c r="Y14" s="87">
        <f>IF(Y6=0,0,Y6/TrAvia_act!Y26)</f>
        <v>138.73638685229426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164.76035502958581</v>
      </c>
      <c r="C15" s="88">
        <f>IF(C7=0,0,C7/TrAvia_act!C27)</f>
        <v>159.18571428571428</v>
      </c>
      <c r="D15" s="88">
        <f>IF(D7=0,0,D7/TrAvia_act!D27)</f>
        <v>151.62711864406779</v>
      </c>
      <c r="E15" s="88">
        <f>IF(E7=0,0,E7/TrAvia_act!E27)</f>
        <v>125.49854227405248</v>
      </c>
      <c r="F15" s="88">
        <f>IF(F7=0,0,F7/TrAvia_act!F27)</f>
        <v>114.83427495291902</v>
      </c>
      <c r="G15" s="88">
        <f>IF(G7=0,0,G7/TrAvia_act!G27)</f>
        <v>121.39302694136292</v>
      </c>
      <c r="H15" s="88">
        <f>IF(H7=0,0,H7/TrAvia_act!H27)</f>
        <v>124.66417910447761</v>
      </c>
      <c r="I15" s="88">
        <f>IF(I7=0,0,I7/TrAvia_act!I27)</f>
        <v>134.61726804123711</v>
      </c>
      <c r="J15" s="88">
        <f>IF(J7=0,0,J7/TrAvia_act!J27)</f>
        <v>128.00856327307326</v>
      </c>
      <c r="K15" s="88">
        <f>IF(K7=0,0,K7/TrAvia_act!K27)</f>
        <v>118.71228771228772</v>
      </c>
      <c r="L15" s="88">
        <f>IF(L7=0,0,L7/TrAvia_act!L27)</f>
        <v>113.35805860805861</v>
      </c>
      <c r="M15" s="88">
        <f>IF(M7=0,0,M7/TrAvia_act!M27)</f>
        <v>105.73644003055767</v>
      </c>
      <c r="N15" s="88">
        <f>IF(N7=0,0,N7/TrAvia_act!N27)</f>
        <v>100.24702916816709</v>
      </c>
      <c r="O15" s="88">
        <f>IF(O7=0,0,O7/TrAvia_act!O27)</f>
        <v>112.50863636363637</v>
      </c>
      <c r="P15" s="88">
        <f>IF(P7=0,0,P7/TrAvia_act!P27)</f>
        <v>128.88148148148147</v>
      </c>
      <c r="Q15" s="88">
        <f>IF(Q7=0,0,Q7/TrAvia_act!Q27)</f>
        <v>121.11487088156723</v>
      </c>
      <c r="R15" s="88">
        <f>IF(R7=0,0,R7/TrAvia_act!R27)</f>
        <v>132.22713130056005</v>
      </c>
      <c r="S15" s="88">
        <f>IF(S7=0,0,S7/TrAvia_act!S27)</f>
        <v>119.90166083916084</v>
      </c>
      <c r="T15" s="88">
        <f>IF(T7=0,0,T7/TrAvia_act!T27)</f>
        <v>131.05067567567568</v>
      </c>
      <c r="U15" s="88">
        <f>IF(U7=0,0,U7/TrAvia_act!U27)</f>
        <v>150.01699029126215</v>
      </c>
      <c r="V15" s="88">
        <f>IF(V7=0,0,V7/TrAvia_act!V27)</f>
        <v>156.74954954954956</v>
      </c>
      <c r="W15" s="88">
        <f>IF(W7=0,0,W7/TrAvia_act!W27)</f>
        <v>176.63636363636363</v>
      </c>
      <c r="X15" s="88">
        <f>IF(X7=0,0,X7/TrAvia_act!X27)</f>
        <v>192.1733220050977</v>
      </c>
      <c r="Y15" s="88">
        <f>IF(Y7=0,0,Y7/TrAvia_act!Y27)</f>
        <v>200.85363984674331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0.49159586618818141</v>
      </c>
      <c r="C18" s="25">
        <f>IF(TrAvia_act!C34=0,0,(TrAvia_act!C34/TrAvia_act!C24)/TrAvia_png!C12)</f>
        <v>0.50287456170831091</v>
      </c>
      <c r="D18" s="25">
        <f>IF(TrAvia_act!D34=0,0,(TrAvia_act!D34/TrAvia_act!D24)/TrAvia_png!D12)</f>
        <v>0.5432567144805257</v>
      </c>
      <c r="E18" s="25">
        <f>IF(TrAvia_act!E34=0,0,(TrAvia_act!E34/TrAvia_act!E24)/TrAvia_png!E12)</f>
        <v>0.58410710251679043</v>
      </c>
      <c r="F18" s="25">
        <f>IF(TrAvia_act!F34=0,0,(TrAvia_act!F34/TrAvia_act!F24)/TrAvia_png!F12)</f>
        <v>0.60030023418750489</v>
      </c>
      <c r="G18" s="25">
        <f>IF(TrAvia_act!G34=0,0,(TrAvia_act!G34/TrAvia_act!G24)/TrAvia_png!G12)</f>
        <v>0.63718812808092617</v>
      </c>
      <c r="H18" s="25">
        <f>IF(TrAvia_act!H34=0,0,(TrAvia_act!H34/TrAvia_act!H24)/TrAvia_png!H12)</f>
        <v>0.67899256442635336</v>
      </c>
      <c r="I18" s="25">
        <f>IF(TrAvia_act!I34=0,0,(TrAvia_act!I34/TrAvia_act!I24)/TrAvia_png!I12)</f>
        <v>0.66008058025104843</v>
      </c>
      <c r="J18" s="25">
        <f>IF(TrAvia_act!J34=0,0,(TrAvia_act!J34/TrAvia_act!J24)/TrAvia_png!J12)</f>
        <v>0.64017144896512623</v>
      </c>
      <c r="K18" s="25">
        <f>IF(TrAvia_act!K34=0,0,(TrAvia_act!K34/TrAvia_act!K24)/TrAvia_png!K12)</f>
        <v>0.64465996716917739</v>
      </c>
      <c r="L18" s="25">
        <f>IF(TrAvia_act!L34=0,0,(TrAvia_act!L34/TrAvia_act!L24)/TrAvia_png!L12)</f>
        <v>0.63256664270758467</v>
      </c>
      <c r="M18" s="25">
        <f>IF(TrAvia_act!M34=0,0,(TrAvia_act!M34/TrAvia_act!M24)/TrAvia_png!M12)</f>
        <v>0.65624264431594026</v>
      </c>
      <c r="N18" s="25">
        <f>IF(TrAvia_act!N34=0,0,(TrAvia_act!N34/TrAvia_act!N24)/TrAvia_png!N12)</f>
        <v>0.67535294825298331</v>
      </c>
      <c r="O18" s="25">
        <f>IF(TrAvia_act!O34=0,0,(TrAvia_act!O34/TrAvia_act!O24)/TrAvia_png!O12)</f>
        <v>0.73477456270975816</v>
      </c>
      <c r="P18" s="25">
        <f>IF(TrAvia_act!P34=0,0,(TrAvia_act!P34/TrAvia_act!P24)/TrAvia_png!P12)</f>
        <v>0.70772401863480416</v>
      </c>
      <c r="Q18" s="25">
        <f>IF(TrAvia_act!Q34=0,0,(TrAvia_act!Q34/TrAvia_act!Q24)/TrAvia_png!Q12)</f>
        <v>0.71329228312450954</v>
      </c>
      <c r="R18" s="25">
        <f>IF(TrAvia_act!R34=0,0,(TrAvia_act!R34/TrAvia_act!R24)/TrAvia_png!R12)</f>
        <v>0.71420093026706322</v>
      </c>
      <c r="S18" s="25">
        <f>IF(TrAvia_act!S34=0,0,(TrAvia_act!S34/TrAvia_act!S24)/TrAvia_png!S12)</f>
        <v>0.72448398922121116</v>
      </c>
      <c r="T18" s="25">
        <f>IF(TrAvia_act!T34=0,0,(TrAvia_act!T34/TrAvia_act!T24)/TrAvia_png!T12)</f>
        <v>0.73444181172145573</v>
      </c>
      <c r="U18" s="25">
        <f>IF(TrAvia_act!U34=0,0,(TrAvia_act!U34/TrAvia_act!U24)/TrAvia_png!U12)</f>
        <v>0.78065233965500802</v>
      </c>
      <c r="V18" s="25">
        <f>IF(TrAvia_act!V34=0,0,(TrAvia_act!V34/TrAvia_act!V24)/TrAvia_png!V12)</f>
        <v>0.55994047691060644</v>
      </c>
      <c r="W18" s="25">
        <f>IF(TrAvia_act!W34=0,0,(TrAvia_act!W34/TrAvia_act!W24)/TrAvia_png!W12)</f>
        <v>0.62612684838767141</v>
      </c>
      <c r="X18" s="25">
        <f>IF(TrAvia_act!X34=0,0,(TrAvia_act!X34/TrAvia_act!X24)/TrAvia_png!X12)</f>
        <v>0.73100625330755686</v>
      </c>
      <c r="Y18" s="25">
        <f>IF(TrAvia_act!Y34=0,0,(TrAvia_act!Y34/TrAvia_act!Y24)/TrAvia_png!Y12)</f>
        <v>0.74343180551166743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0.4957975254368589</v>
      </c>
      <c r="C20" s="89">
        <f>IF(TrAvia_act!C36=0,0,(TrAvia_act!C36/TrAvia_act!C26)/TrAvia_png!C14)</f>
        <v>0.50635882830021284</v>
      </c>
      <c r="D20" s="89">
        <f>IF(TrAvia_act!D36=0,0,(TrAvia_act!D36/TrAvia_act!D26)/TrAvia_png!D14)</f>
        <v>0.54441766940724834</v>
      </c>
      <c r="E20" s="89">
        <f>IF(TrAvia_act!E36=0,0,(TrAvia_act!E36/TrAvia_act!E26)/TrAvia_png!E14)</f>
        <v>0.57712535121520914</v>
      </c>
      <c r="F20" s="89">
        <f>IF(TrAvia_act!F36=0,0,(TrAvia_act!F36/TrAvia_act!F26)/TrAvia_png!F14)</f>
        <v>0.58797379167858366</v>
      </c>
      <c r="G20" s="89">
        <f>IF(TrAvia_act!G36=0,0,(TrAvia_act!G36/TrAvia_act!G26)/TrAvia_png!G14)</f>
        <v>0.6251262863587238</v>
      </c>
      <c r="H20" s="89">
        <f>IF(TrAvia_act!H36=0,0,(TrAvia_act!H36/TrAvia_act!H26)/TrAvia_png!H14)</f>
        <v>0.67028214640313077</v>
      </c>
      <c r="I20" s="89">
        <f>IF(TrAvia_act!I36=0,0,(TrAvia_act!I36/TrAvia_act!I26)/TrAvia_png!I14)</f>
        <v>0.64434210962628902</v>
      </c>
      <c r="J20" s="89">
        <f>IF(TrAvia_act!J36=0,0,(TrAvia_act!J36/TrAvia_act!J26)/TrAvia_png!J14)</f>
        <v>0.61997063211547598</v>
      </c>
      <c r="K20" s="89">
        <f>IF(TrAvia_act!K36=0,0,(TrAvia_act!K36/TrAvia_act!K26)/TrAvia_png!K14)</f>
        <v>0.62634308841571229</v>
      </c>
      <c r="L20" s="89">
        <f>IF(TrAvia_act!L36=0,0,(TrAvia_act!L36/TrAvia_act!L26)/TrAvia_png!L14)</f>
        <v>0.62014107338989966</v>
      </c>
      <c r="M20" s="89">
        <f>IF(TrAvia_act!M36=0,0,(TrAvia_act!M36/TrAvia_act!M26)/TrAvia_png!M14)</f>
        <v>0.65472873205943627</v>
      </c>
      <c r="N20" s="89">
        <f>IF(TrAvia_act!N36=0,0,(TrAvia_act!N36/TrAvia_act!N26)/TrAvia_png!N14)</f>
        <v>0.70037677212018756</v>
      </c>
      <c r="O20" s="89">
        <f>IF(TrAvia_act!O36=0,0,(TrAvia_act!O36/TrAvia_act!O26)/TrAvia_png!O14)</f>
        <v>0.75701840455950076</v>
      </c>
      <c r="P20" s="89">
        <f>IF(TrAvia_act!P36=0,0,(TrAvia_act!P36/TrAvia_act!P26)/TrAvia_png!P14)</f>
        <v>0.72823418932949735</v>
      </c>
      <c r="Q20" s="89">
        <f>IF(TrAvia_act!Q36=0,0,(TrAvia_act!Q36/TrAvia_act!Q26)/TrAvia_png!Q14)</f>
        <v>0.72251470969543452</v>
      </c>
      <c r="R20" s="89">
        <f>IF(TrAvia_act!R36=0,0,(TrAvia_act!R36/TrAvia_act!R26)/TrAvia_png!R14)</f>
        <v>0.72442027076234428</v>
      </c>
      <c r="S20" s="89">
        <f>IF(TrAvia_act!S36=0,0,(TrAvia_act!S36/TrAvia_act!S26)/TrAvia_png!S14)</f>
        <v>0.72921944095823998</v>
      </c>
      <c r="T20" s="89">
        <f>IF(TrAvia_act!T36=0,0,(TrAvia_act!T36/TrAvia_act!T26)/TrAvia_png!T14)</f>
        <v>0.7436796963169362</v>
      </c>
      <c r="U20" s="89">
        <f>IF(TrAvia_act!U36=0,0,(TrAvia_act!U36/TrAvia_act!U26)/TrAvia_png!U14)</f>
        <v>0.78485355009208468</v>
      </c>
      <c r="V20" s="89">
        <f>IF(TrAvia_act!V36=0,0,(TrAvia_act!V36/TrAvia_act!V26)/TrAvia_png!V14)</f>
        <v>0.5422663745952685</v>
      </c>
      <c r="W20" s="89">
        <f>IF(TrAvia_act!W36=0,0,(TrAvia_act!W36/TrAvia_act!W26)/TrAvia_png!W14)</f>
        <v>0.59791108749683519</v>
      </c>
      <c r="X20" s="89">
        <f>IF(TrAvia_act!X36=0,0,(TrAvia_act!X36/TrAvia_act!X26)/TrAvia_png!X14)</f>
        <v>0.72259158284285741</v>
      </c>
      <c r="Y20" s="89">
        <f>IF(TrAvia_act!Y36=0,0,(TrAvia_act!Y36/TrAvia_act!Y26)/TrAvia_png!Y14)</f>
        <v>0.73856866579064095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0.44367828476000648</v>
      </c>
      <c r="C21" s="90">
        <f>IF(TrAvia_act!C37=0,0,(TrAvia_act!C37/TrAvia_act!C27)/TrAvia_png!C15)</f>
        <v>0.46181459212061388</v>
      </c>
      <c r="D21" s="90">
        <f>IF(TrAvia_act!D37=0,0,(TrAvia_act!D37/TrAvia_act!D27)/TrAvia_png!D15)</f>
        <v>0.53018108651911466</v>
      </c>
      <c r="E21" s="90">
        <f>IF(TrAvia_act!E37=0,0,(TrAvia_act!E37/TrAvia_act!E27)/TrAvia_png!E15)</f>
        <v>0.67548668865864425</v>
      </c>
      <c r="F21" s="90">
        <f>IF(TrAvia_act!F37=0,0,(TrAvia_act!F37/TrAvia_act!F27)/TrAvia_png!F15)</f>
        <v>0.75508798399396504</v>
      </c>
      <c r="G21" s="90">
        <f>IF(TrAvia_act!G37=0,0,(TrAvia_act!G37/TrAvia_act!G27)/TrAvia_png!G15)</f>
        <v>0.79803913889215261</v>
      </c>
      <c r="H21" s="90">
        <f>IF(TrAvia_act!H37=0,0,(TrAvia_act!H37/TrAvia_act!H27)/TrAvia_png!H15)</f>
        <v>0.78854235258904515</v>
      </c>
      <c r="I21" s="90">
        <f>IF(TrAvia_act!I37=0,0,(TrAvia_act!I37/TrAvia_act!I27)/TrAvia_png!I15)</f>
        <v>0.84181959162574305</v>
      </c>
      <c r="J21" s="90">
        <f>IF(TrAvia_act!J37=0,0,(TrAvia_act!J37/TrAvia_act!J27)/TrAvia_png!J15)</f>
        <v>0.83159279603380487</v>
      </c>
      <c r="K21" s="90">
        <f>IF(TrAvia_act!K37=0,0,(TrAvia_act!K37/TrAvia_act!K27)/TrAvia_png!K15)</f>
        <v>0.78588078868308775</v>
      </c>
      <c r="L21" s="90">
        <f>IF(TrAvia_act!L37=0,0,(TrAvia_act!L37/TrAvia_act!L27)/TrAvia_png!L15)</f>
        <v>0.72934960860187259</v>
      </c>
      <c r="M21" s="90">
        <f>IF(TrAvia_act!M37=0,0,(TrAvia_act!M37/TrAvia_act!M27)/TrAvia_png!M15)</f>
        <v>0.67062113012882107</v>
      </c>
      <c r="N21" s="90">
        <f>IF(TrAvia_act!N37=0,0,(TrAvia_act!N37/TrAvia_act!N27)/TrAvia_png!N15)</f>
        <v>0.55317796153542198</v>
      </c>
      <c r="O21" s="90">
        <f>IF(TrAvia_act!O37=0,0,(TrAvia_act!O37/TrAvia_act!O27)/TrAvia_png!O15)</f>
        <v>0.63668243649982414</v>
      </c>
      <c r="P21" s="90">
        <f>IF(TrAvia_act!P37=0,0,(TrAvia_act!P37/TrAvia_act!P27)/TrAvia_png!P15)</f>
        <v>0.61583615916623557</v>
      </c>
      <c r="Q21" s="90">
        <f>IF(TrAvia_act!Q37=0,0,(TrAvia_act!Q37/TrAvia_act!Q27)/TrAvia_png!Q15)</f>
        <v>0.67079742963856137</v>
      </c>
      <c r="R21" s="90">
        <f>IF(TrAvia_act!R37=0,0,(TrAvia_act!R37/TrAvia_act!R27)/TrAvia_png!R15)</f>
        <v>0.64921948900884285</v>
      </c>
      <c r="S21" s="90">
        <f>IF(TrAvia_act!S37=0,0,(TrAvia_act!S37/TrAvia_act!S27)/TrAvia_png!S15)</f>
        <v>0.69758142417117763</v>
      </c>
      <c r="T21" s="90">
        <f>IF(TrAvia_act!T37=0,0,(TrAvia_act!T37/TrAvia_act!T27)/TrAvia_png!T15)</f>
        <v>0.68949555882091773</v>
      </c>
      <c r="U21" s="90">
        <f>IF(TrAvia_act!U37=0,0,(TrAvia_act!U37/TrAvia_act!U27)/TrAvia_png!U15)</f>
        <v>0.76107884220233946</v>
      </c>
      <c r="V21" s="90">
        <f>IF(TrAvia_act!V37=0,0,(TrAvia_act!V37/TrAvia_act!V27)/TrAvia_png!V15)</f>
        <v>0.69339969653777189</v>
      </c>
      <c r="W21" s="90">
        <f>IF(TrAvia_act!W37=0,0,(TrAvia_act!W37/TrAvia_act!W27)/TrAvia_png!W15)</f>
        <v>0.76655367632704485</v>
      </c>
      <c r="X21" s="90">
        <f>IF(TrAvia_act!X37=0,0,(TrAvia_act!X37/TrAvia_act!X27)/TrAvia_png!X15)</f>
        <v>0.79148319097388009</v>
      </c>
      <c r="Y21" s="90">
        <f>IF(TrAvia_act!Y37=0,0,(TrAvia_act!Y37/TrAvia_act!Y27)/TrAvia_png!Y15)</f>
        <v>0.77467819345780842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3.0855347026774782E-2</v>
      </c>
      <c r="C24" s="23">
        <f>IF(TrAvia_ene!C6=0,0,TrAvia_ene!C6/(C12*TrAvia_act!C14))</f>
        <v>3.087440202668686E-2</v>
      </c>
      <c r="D24" s="23">
        <f>IF(TrAvia_ene!D6=0,0,TrAvia_ene!D6/(D12*TrAvia_act!D14))</f>
        <v>3.3483211752993312E-2</v>
      </c>
      <c r="E24" s="23">
        <f>IF(TrAvia_ene!E6=0,0,TrAvia_ene!E6/(E12*TrAvia_act!E14))</f>
        <v>3.4423546560424609E-2</v>
      </c>
      <c r="F24" s="23">
        <f>IF(TrAvia_ene!F6=0,0,TrAvia_ene!F6/(F12*TrAvia_act!F14))</f>
        <v>3.7630168129827037E-2</v>
      </c>
      <c r="G24" s="23">
        <f>IF(TrAvia_ene!G6=0,0,TrAvia_ene!G6/(G12*TrAvia_act!G14))</f>
        <v>4.0679646002820057E-2</v>
      </c>
      <c r="H24" s="23">
        <f>IF(TrAvia_ene!H6=0,0,TrAvia_ene!H6/(H12*TrAvia_act!H14))</f>
        <v>4.1383653985166628E-2</v>
      </c>
      <c r="I24" s="23">
        <f>IF(TrAvia_ene!I6=0,0,TrAvia_ene!I6/(I12*TrAvia_act!I14))</f>
        <v>4.305391620738494E-2</v>
      </c>
      <c r="J24" s="23">
        <f>IF(TrAvia_ene!J6=0,0,TrAvia_ene!J6/(J12*TrAvia_act!J14))</f>
        <v>4.6236973929589129E-2</v>
      </c>
      <c r="K24" s="23">
        <f>IF(TrAvia_ene!K6=0,0,TrAvia_ene!K6/(K12*TrAvia_act!K14))</f>
        <v>3.9977569867020529E-2</v>
      </c>
      <c r="L24" s="23">
        <f>IF(TrAvia_ene!L6=0,0,TrAvia_ene!L6/(L12*TrAvia_act!L14))</f>
        <v>3.1347578901449583E-2</v>
      </c>
      <c r="M24" s="23">
        <f>IF(TrAvia_ene!M6=0,0,TrAvia_ene!M6/(M12*TrAvia_act!M14))</f>
        <v>3.2155214498092929E-2</v>
      </c>
      <c r="N24" s="23">
        <f>IF(TrAvia_ene!N6=0,0,TrAvia_ene!N6/(N12*TrAvia_act!N14))</f>
        <v>3.6428363655750862E-2</v>
      </c>
      <c r="O24" s="23">
        <f>IF(TrAvia_ene!O6=0,0,TrAvia_ene!O6/(O12*TrAvia_act!O14))</f>
        <v>3.9693103978125241E-2</v>
      </c>
      <c r="P24" s="23">
        <f>IF(TrAvia_ene!P6=0,0,TrAvia_ene!P6/(P12*TrAvia_act!P14))</f>
        <v>3.5665140022451303E-2</v>
      </c>
      <c r="Q24" s="23">
        <f>IF(TrAvia_ene!Q6=0,0,TrAvia_ene!Q6/(Q12*TrAvia_act!Q14))</f>
        <v>3.2235539879661324E-2</v>
      </c>
      <c r="R24" s="23">
        <f>IF(TrAvia_ene!R6=0,0,TrAvia_ene!R6/(R12*TrAvia_act!R14))</f>
        <v>3.0325501805240275E-2</v>
      </c>
      <c r="S24" s="23">
        <f>IF(TrAvia_ene!S6=0,0,TrAvia_ene!S6/(S12*TrAvia_act!S14))</f>
        <v>3.3289072458230394E-2</v>
      </c>
      <c r="T24" s="23">
        <f>IF(TrAvia_ene!T6=0,0,TrAvia_ene!T6/(T12*TrAvia_act!T14))</f>
        <v>3.3585511735937268E-2</v>
      </c>
      <c r="U24" s="23">
        <f>IF(TrAvia_ene!U6=0,0,TrAvia_ene!U6/(U12*TrAvia_act!U14))</f>
        <v>3.2418796351227339E-2</v>
      </c>
      <c r="V24" s="23">
        <f>IF(TrAvia_ene!V6=0,0,TrAvia_ene!V6/(V12*TrAvia_act!V14))</f>
        <v>3.4041581898720058E-2</v>
      </c>
      <c r="W24" s="23">
        <f>IF(TrAvia_ene!W6=0,0,TrAvia_ene!W6/(W12*TrAvia_act!W14))</f>
        <v>3.1731811393714331E-2</v>
      </c>
      <c r="X24" s="23">
        <f>IF(TrAvia_ene!X6=0,0,TrAvia_ene!X6/(X12*TrAvia_act!X14))</f>
        <v>2.5951506700658798E-2</v>
      </c>
      <c r="Y24" s="23">
        <f>IF(TrAvia_ene!Y6=0,0,TrAvia_ene!Y6/(Y12*TrAvia_act!Y14))</f>
        <v>2.1585840883031789E-2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3.3915016905117758E-2</v>
      </c>
      <c r="C26" s="93">
        <f>IF(TrAvia_ene!C8=0,0,TrAvia_ene!C8/(C14*TrAvia_act!C16))</f>
        <v>3.3847983215609619E-2</v>
      </c>
      <c r="D26" s="93">
        <f>IF(TrAvia_ene!D8=0,0,TrAvia_ene!D8/(D14*TrAvia_act!D16))</f>
        <v>3.6856076239787046E-2</v>
      </c>
      <c r="E26" s="93">
        <f>IF(TrAvia_ene!E8=0,0,TrAvia_ene!E8/(E14*TrAvia_act!E16))</f>
        <v>3.7503775102747515E-2</v>
      </c>
      <c r="F26" s="93">
        <f>IF(TrAvia_ene!F8=0,0,TrAvia_ene!F8/(F14*TrAvia_act!F16))</f>
        <v>4.1184385394199344E-2</v>
      </c>
      <c r="G26" s="93">
        <f>IF(TrAvia_ene!G8=0,0,TrAvia_ene!G8/(G14*TrAvia_act!G16))</f>
        <v>4.4504314927979183E-2</v>
      </c>
      <c r="H26" s="93">
        <f>IF(TrAvia_ene!H8=0,0,TrAvia_ene!H8/(H14*TrAvia_act!H16))</f>
        <v>4.5482270692636481E-2</v>
      </c>
      <c r="I26" s="93">
        <f>IF(TrAvia_ene!I8=0,0,TrAvia_ene!I8/(I14*TrAvia_act!I16))</f>
        <v>4.7622884634726297E-2</v>
      </c>
      <c r="J26" s="93">
        <f>IF(TrAvia_ene!J8=0,0,TrAvia_ene!J8/(J14*TrAvia_act!J16))</f>
        <v>5.3221419733786204E-2</v>
      </c>
      <c r="K26" s="93">
        <f>IF(TrAvia_ene!K8=0,0,TrAvia_ene!K8/(K14*TrAvia_act!K16))</f>
        <v>4.7638692704128668E-2</v>
      </c>
      <c r="L26" s="93">
        <f>IF(TrAvia_ene!L8=0,0,TrAvia_ene!L8/(L14*TrAvia_act!L16))</f>
        <v>3.9959848600064032E-2</v>
      </c>
      <c r="M26" s="93">
        <f>IF(TrAvia_ene!M8=0,0,TrAvia_ene!M8/(M14*TrAvia_act!M16))</f>
        <v>3.8033140116463152E-2</v>
      </c>
      <c r="N26" s="93">
        <f>IF(TrAvia_ene!N8=0,0,TrAvia_ene!N8/(N14*TrAvia_act!N16))</f>
        <v>5.0214812664862704E-2</v>
      </c>
      <c r="O26" s="93">
        <f>IF(TrAvia_ene!O8=0,0,TrAvia_ene!O8/(O14*TrAvia_act!O16))</f>
        <v>4.7652698520841474E-2</v>
      </c>
      <c r="P26" s="93">
        <f>IF(TrAvia_ene!P8=0,0,TrAvia_ene!P8/(P14*TrAvia_act!P16))</f>
        <v>4.2780832719621499E-2</v>
      </c>
      <c r="Q26" s="93">
        <f>IF(TrAvia_ene!Q8=0,0,TrAvia_ene!Q8/(Q14*TrAvia_act!Q16))</f>
        <v>3.9564843193044208E-2</v>
      </c>
      <c r="R26" s="93">
        <f>IF(TrAvia_ene!R8=0,0,TrAvia_ene!R8/(R14*TrAvia_act!R16))</f>
        <v>3.3394876987345855E-2</v>
      </c>
      <c r="S26" s="93">
        <f>IF(TrAvia_ene!S8=0,0,TrAvia_ene!S8/(S14*TrAvia_act!S16))</f>
        <v>3.7407029213475912E-2</v>
      </c>
      <c r="T26" s="93">
        <f>IF(TrAvia_ene!T8=0,0,TrAvia_ene!T8/(T14*TrAvia_act!T16))</f>
        <v>3.9532977338384977E-2</v>
      </c>
      <c r="U26" s="93">
        <f>IF(TrAvia_ene!U8=0,0,TrAvia_ene!U8/(U14*TrAvia_act!U16))</f>
        <v>4.0073844902796772E-2</v>
      </c>
      <c r="V26" s="93">
        <f>IF(TrAvia_ene!V8=0,0,TrAvia_ene!V8/(V14*TrAvia_act!V16))</f>
        <v>3.726300843488671E-2</v>
      </c>
      <c r="W26" s="93">
        <f>IF(TrAvia_ene!W8=0,0,TrAvia_ene!W8/(W14*TrAvia_act!W16))</f>
        <v>4.2702675068305926E-2</v>
      </c>
      <c r="X26" s="93">
        <f>IF(TrAvia_ene!X8=0,0,TrAvia_ene!X8/(X14*TrAvia_act!X16))</f>
        <v>3.1642833923443664E-2</v>
      </c>
      <c r="Y26" s="93">
        <f>IF(TrAvia_ene!Y8=0,0,TrAvia_ene!Y8/(Y14*TrAvia_act!Y16))</f>
        <v>2.6977432130607184E-2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9.0674503346365263E-3</v>
      </c>
      <c r="C27" s="94">
        <f>IF(TrAvia_ene!C9=0,0,TrAvia_ene!C9/(C15*TrAvia_act!C17))</f>
        <v>9.3640523014755211E-3</v>
      </c>
      <c r="D27" s="94">
        <f>IF(TrAvia_ene!D9=0,0,TrAvia_ene!D9/(D15*TrAvia_act!D17))</f>
        <v>1.0448249617437896E-2</v>
      </c>
      <c r="E27" s="94">
        <f>IF(TrAvia_ene!E9=0,0,TrAvia_ene!E9/(E15*TrAvia_act!E17))</f>
        <v>1.4647183769399184E-2</v>
      </c>
      <c r="F27" s="94">
        <f>IF(TrAvia_ene!F9=0,0,TrAvia_ene!F9/(F15*TrAvia_act!F17))</f>
        <v>1.9570007612604121E-2</v>
      </c>
      <c r="G27" s="94">
        <f>IF(TrAvia_ene!G9=0,0,TrAvia_ene!G9/(G15*TrAvia_act!G17))</f>
        <v>2.0183536064137021E-2</v>
      </c>
      <c r="H27" s="94">
        <f>IF(TrAvia_ene!H9=0,0,TrAvia_ene!H9/(H15*TrAvia_act!H17))</f>
        <v>1.9722858405565192E-2</v>
      </c>
      <c r="I27" s="94">
        <f>IF(TrAvia_ene!I9=0,0,TrAvia_ene!I9/(I15*TrAvia_act!I17))</f>
        <v>1.8477866025609316E-2</v>
      </c>
      <c r="J27" s="94">
        <f>IF(TrAvia_ene!J9=0,0,TrAvia_ene!J9/(J15*TrAvia_act!J17))</f>
        <v>1.7604235981784459E-2</v>
      </c>
      <c r="K27" s="94">
        <f>IF(TrAvia_ene!K9=0,0,TrAvia_ene!K9/(K15*TrAvia_act!K17))</f>
        <v>1.5471329615612742E-2</v>
      </c>
      <c r="L27" s="94">
        <f>IF(TrAvia_ene!L9=0,0,TrAvia_ene!L9/(L15*TrAvia_act!L17))</f>
        <v>1.0487375860727165E-2</v>
      </c>
      <c r="M27" s="94">
        <f>IF(TrAvia_ene!M9=0,0,TrAvia_ene!M9/(M15*TrAvia_act!M17))</f>
        <v>1.3026253909668375E-2</v>
      </c>
      <c r="N27" s="94">
        <f>IF(TrAvia_ene!N9=0,0,TrAvia_ene!N9/(N15*TrAvia_act!N17))</f>
        <v>1.0273188682630965E-2</v>
      </c>
      <c r="O27" s="94">
        <f>IF(TrAvia_ene!O9=0,0,TrAvia_ene!O9/(O15*TrAvia_act!O17))</f>
        <v>1.6556750874818272E-2</v>
      </c>
      <c r="P27" s="94">
        <f>IF(TrAvia_ene!P9=0,0,TrAvia_ene!P9/(P15*TrAvia_act!P17))</f>
        <v>1.4341716789870588E-2</v>
      </c>
      <c r="Q27" s="94">
        <f>IF(TrAvia_ene!Q9=0,0,TrAvia_ene!Q9/(Q15*TrAvia_act!Q17))</f>
        <v>1.2147580775730277E-2</v>
      </c>
      <c r="R27" s="94">
        <f>IF(TrAvia_ene!R9=0,0,TrAvia_ene!R9/(R15*TrAvia_act!R17))</f>
        <v>1.5870024978824244E-2</v>
      </c>
      <c r="S27" s="94">
        <f>IF(TrAvia_ene!S9=0,0,TrAvia_ene!S9/(S15*TrAvia_act!S17))</f>
        <v>1.6617656363441285E-2</v>
      </c>
      <c r="T27" s="94">
        <f>IF(TrAvia_ene!T9=0,0,TrAvia_ene!T9/(T15*TrAvia_act!T17))</f>
        <v>1.354679377517453E-2</v>
      </c>
      <c r="U27" s="94">
        <f>IF(TrAvia_ene!U9=0,0,TrAvia_ene!U9/(U15*TrAvia_act!U17))</f>
        <v>1.0926057562380119E-2</v>
      </c>
      <c r="V27" s="94">
        <f>IF(TrAvia_ene!V9=0,0,TrAvia_ene!V9/(V15*TrAvia_act!V17))</f>
        <v>1.9219630950525479E-2</v>
      </c>
      <c r="W27" s="94">
        <f>IF(TrAvia_ene!W9=0,0,TrAvia_ene!W9/(W15*TrAvia_act!W17))</f>
        <v>9.5561576408569101E-3</v>
      </c>
      <c r="X27" s="94">
        <f>IF(TrAvia_ene!X9=0,0,TrAvia_ene!X9/(X15*TrAvia_act!X17))</f>
        <v>8.0655124942433862E-3</v>
      </c>
      <c r="Y27" s="94">
        <f>IF(TrAvia_ene!Y9=0,0,TrAvia_ene!Y9/(Y15*TrAvia_act!Y17))</f>
        <v>6.4186714736594276E-3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33.408000000000001</v>
      </c>
      <c r="C3" s="54">
        <f t="shared" si="0"/>
        <v>33.9</v>
      </c>
      <c r="D3" s="54">
        <f t="shared" si="0"/>
        <v>37.503</v>
      </c>
      <c r="E3" s="54">
        <f t="shared" si="0"/>
        <v>43.521999999999998</v>
      </c>
      <c r="F3" s="54">
        <f t="shared" si="0"/>
        <v>60.652999999999999</v>
      </c>
      <c r="G3" s="54">
        <f t="shared" si="0"/>
        <v>43.707000000000001</v>
      </c>
      <c r="H3" s="54">
        <f t="shared" si="0"/>
        <v>29.353999999999999</v>
      </c>
      <c r="I3" s="54">
        <f t="shared" si="0"/>
        <v>67.968000000000004</v>
      </c>
      <c r="J3" s="54">
        <f t="shared" si="0"/>
        <v>22.039000000000001</v>
      </c>
      <c r="K3" s="54">
        <f t="shared" si="0"/>
        <v>13.705</v>
      </c>
      <c r="L3" s="54">
        <f t="shared" si="0"/>
        <v>14.631</v>
      </c>
      <c r="M3" s="54">
        <f t="shared" si="0"/>
        <v>24.260999999999999</v>
      </c>
      <c r="N3" s="54">
        <f t="shared" si="0"/>
        <v>25.372</v>
      </c>
      <c r="O3" s="54">
        <f t="shared" si="0"/>
        <v>29.169</v>
      </c>
      <c r="P3" s="54">
        <f t="shared" si="0"/>
        <v>27.224</v>
      </c>
      <c r="Q3" s="54">
        <f t="shared" si="0"/>
        <v>15.464</v>
      </c>
      <c r="R3" s="54">
        <f t="shared" ref="R3:V3" si="1">SUM(R4:R5)</f>
        <v>8.0559999999999992</v>
      </c>
      <c r="S3" s="54">
        <f t="shared" si="1"/>
        <v>4.63</v>
      </c>
      <c r="T3" s="54">
        <f t="shared" si="1"/>
        <v>11.667999999999999</v>
      </c>
      <c r="U3" s="54">
        <f t="shared" si="1"/>
        <v>14.909000000000001</v>
      </c>
      <c r="V3" s="54">
        <f t="shared" si="1"/>
        <v>21.853999999999999</v>
      </c>
      <c r="W3" s="54">
        <f t="shared" ref="W3:Y3" si="2">SUM(W4:W5)</f>
        <v>21.113</v>
      </c>
      <c r="X3" s="54">
        <f t="shared" si="2"/>
        <v>16.853000000000002</v>
      </c>
      <c r="Y3" s="54">
        <f t="shared" si="2"/>
        <v>8.89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33.408000000000001</v>
      </c>
      <c r="C4" s="56">
        <v>33.9</v>
      </c>
      <c r="D4" s="56">
        <v>37.503</v>
      </c>
      <c r="E4" s="56">
        <v>43.521999999999998</v>
      </c>
      <c r="F4" s="56">
        <v>60.652999999999999</v>
      </c>
      <c r="G4" s="56">
        <v>43.707000000000001</v>
      </c>
      <c r="H4" s="56">
        <v>29.353999999999999</v>
      </c>
      <c r="I4" s="56">
        <v>67.968000000000004</v>
      </c>
      <c r="J4" s="56">
        <v>22.039000000000001</v>
      </c>
      <c r="K4" s="56">
        <v>13.705</v>
      </c>
      <c r="L4" s="56">
        <v>14.631</v>
      </c>
      <c r="M4" s="56">
        <v>24.260999999999999</v>
      </c>
      <c r="N4" s="56">
        <v>25.372</v>
      </c>
      <c r="O4" s="56">
        <v>29.169</v>
      </c>
      <c r="P4" s="56">
        <v>27.224</v>
      </c>
      <c r="Q4" s="56">
        <v>15.464</v>
      </c>
      <c r="R4" s="56">
        <v>8.0559999999999992</v>
      </c>
      <c r="S4" s="56">
        <v>4.63</v>
      </c>
      <c r="T4" s="56">
        <v>11.667999999999999</v>
      </c>
      <c r="U4" s="56">
        <v>14.909000000000001</v>
      </c>
      <c r="V4" s="56">
        <v>21.853999999999999</v>
      </c>
      <c r="W4" s="56">
        <v>21.113</v>
      </c>
      <c r="X4" s="56">
        <v>16.853000000000002</v>
      </c>
      <c r="Y4" s="56">
        <v>8.89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2.4E-2</v>
      </c>
      <c r="C7" s="59">
        <f t="shared" si="3"/>
        <v>2.4E-2</v>
      </c>
      <c r="D7" s="59">
        <f t="shared" si="3"/>
        <v>2.7E-2</v>
      </c>
      <c r="E7" s="59">
        <f t="shared" si="3"/>
        <v>2.3E-2</v>
      </c>
      <c r="F7" s="59">
        <f t="shared" si="3"/>
        <v>3.2000000000000001E-2</v>
      </c>
      <c r="G7" s="59">
        <f t="shared" si="3"/>
        <v>3.7999999999999999E-2</v>
      </c>
      <c r="H7" s="59">
        <f t="shared" si="3"/>
        <v>2.4E-2</v>
      </c>
      <c r="I7" s="59">
        <f t="shared" si="3"/>
        <v>6.5000000000000002E-2</v>
      </c>
      <c r="J7" s="59">
        <f t="shared" si="3"/>
        <v>2.1000000000000001E-2</v>
      </c>
      <c r="K7" s="59">
        <f t="shared" si="3"/>
        <v>1.4E-2</v>
      </c>
      <c r="L7" s="59">
        <f t="shared" si="3"/>
        <v>1.2999999999999999E-2</v>
      </c>
      <c r="M7" s="59">
        <f t="shared" si="3"/>
        <v>1.9E-2</v>
      </c>
      <c r="N7" s="59">
        <f t="shared" si="3"/>
        <v>1.7999999999999999E-2</v>
      </c>
      <c r="O7" s="59">
        <f t="shared" si="3"/>
        <v>2.1000000000000001E-2</v>
      </c>
      <c r="P7" s="59">
        <f t="shared" si="3"/>
        <v>2.1999999999999999E-2</v>
      </c>
      <c r="Q7" s="59">
        <f t="shared" si="3"/>
        <v>1.0999999999999999E-2</v>
      </c>
      <c r="R7" s="59">
        <f t="shared" ref="R7:V7" si="4">SUM(R8:R9)</f>
        <v>4.0000000000000001E-3</v>
      </c>
      <c r="S7" s="59">
        <f t="shared" si="4"/>
        <v>2E-3</v>
      </c>
      <c r="T7" s="59">
        <f t="shared" si="4"/>
        <v>7.0000000000000001E-3</v>
      </c>
      <c r="U7" s="59">
        <f t="shared" si="4"/>
        <v>1.0999999999999999E-2</v>
      </c>
      <c r="V7" s="59">
        <f t="shared" si="4"/>
        <v>1.9E-2</v>
      </c>
      <c r="W7" s="59">
        <f t="shared" ref="W7:Y7" si="5">SUM(W8:W9)</f>
        <v>1.9E-2</v>
      </c>
      <c r="X7" s="59">
        <f t="shared" si="5"/>
        <v>1.2999999999999999E-2</v>
      </c>
      <c r="Y7" s="59">
        <f t="shared" si="5"/>
        <v>7.0000000000000001E-3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2.4E-2</v>
      </c>
      <c r="C8" s="60">
        <v>2.4E-2</v>
      </c>
      <c r="D8" s="60">
        <v>2.7E-2</v>
      </c>
      <c r="E8" s="60">
        <v>2.3E-2</v>
      </c>
      <c r="F8" s="60">
        <v>3.2000000000000001E-2</v>
      </c>
      <c r="G8" s="60">
        <v>3.7999999999999999E-2</v>
      </c>
      <c r="H8" s="60">
        <v>2.4E-2</v>
      </c>
      <c r="I8" s="60">
        <v>6.5000000000000002E-2</v>
      </c>
      <c r="J8" s="60">
        <v>2.1000000000000001E-2</v>
      </c>
      <c r="K8" s="60">
        <v>1.4E-2</v>
      </c>
      <c r="L8" s="60">
        <v>1.2999999999999999E-2</v>
      </c>
      <c r="M8" s="60">
        <v>1.9E-2</v>
      </c>
      <c r="N8" s="60">
        <v>1.7999999999999999E-2</v>
      </c>
      <c r="O8" s="60">
        <v>2.1000000000000001E-2</v>
      </c>
      <c r="P8" s="60">
        <v>2.1999999999999999E-2</v>
      </c>
      <c r="Q8" s="60">
        <v>1.0999999999999999E-2</v>
      </c>
      <c r="R8" s="60">
        <v>4.0000000000000001E-3</v>
      </c>
      <c r="S8" s="60">
        <v>2E-3</v>
      </c>
      <c r="T8" s="60">
        <v>7.0000000000000001E-3</v>
      </c>
      <c r="U8" s="60">
        <v>1.0999999999999999E-2</v>
      </c>
      <c r="V8" s="60">
        <v>1.9E-2</v>
      </c>
      <c r="W8" s="60">
        <v>1.9E-2</v>
      </c>
      <c r="X8" s="60">
        <v>1.2999999999999999E-2</v>
      </c>
      <c r="Y8" s="60">
        <v>7.0000000000000001E-3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1392</v>
      </c>
      <c r="C13" s="62">
        <f t="shared" si="6"/>
        <v>1412.5</v>
      </c>
      <c r="D13" s="62">
        <f t="shared" si="6"/>
        <v>1389</v>
      </c>
      <c r="E13" s="62">
        <f t="shared" si="6"/>
        <v>1892.2608695652173</v>
      </c>
      <c r="F13" s="62">
        <f t="shared" ref="F13:V13" si="7">IF(F3=0,0,F3/F7)</f>
        <v>1895.40625</v>
      </c>
      <c r="G13" s="62">
        <f t="shared" si="7"/>
        <v>1150.1842105263158</v>
      </c>
      <c r="H13" s="62">
        <f t="shared" si="7"/>
        <v>1223.0833333333333</v>
      </c>
      <c r="I13" s="62">
        <f t="shared" si="7"/>
        <v>1045.6615384615384</v>
      </c>
      <c r="J13" s="62">
        <f t="shared" si="7"/>
        <v>1049.4761904761904</v>
      </c>
      <c r="K13" s="62">
        <f t="shared" si="7"/>
        <v>978.92857142857144</v>
      </c>
      <c r="L13" s="62">
        <f t="shared" si="7"/>
        <v>1125.4615384615386</v>
      </c>
      <c r="M13" s="62">
        <f t="shared" si="7"/>
        <v>1276.8947368421052</v>
      </c>
      <c r="N13" s="62">
        <f t="shared" si="7"/>
        <v>1409.5555555555557</v>
      </c>
      <c r="O13" s="62">
        <f t="shared" si="7"/>
        <v>1389</v>
      </c>
      <c r="P13" s="62">
        <f t="shared" si="7"/>
        <v>1237.4545454545455</v>
      </c>
      <c r="Q13" s="62">
        <f t="shared" si="7"/>
        <v>1405.818181818182</v>
      </c>
      <c r="R13" s="62">
        <f t="shared" si="7"/>
        <v>2013.9999999999998</v>
      </c>
      <c r="S13" s="62">
        <f t="shared" si="7"/>
        <v>2315</v>
      </c>
      <c r="T13" s="62">
        <f t="shared" si="7"/>
        <v>1666.8571428571427</v>
      </c>
      <c r="U13" s="62">
        <f t="shared" si="7"/>
        <v>1355.3636363636365</v>
      </c>
      <c r="V13" s="62">
        <f t="shared" si="7"/>
        <v>1150.2105263157894</v>
      </c>
      <c r="W13" s="62">
        <f t="shared" ref="W13:Y13" si="8">IF(W3=0,0,W3/W7)</f>
        <v>1111.2105263157894</v>
      </c>
      <c r="X13" s="62">
        <f t="shared" si="8"/>
        <v>1296.3846153846155</v>
      </c>
      <c r="Y13" s="62">
        <f t="shared" si="8"/>
        <v>1270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1392</v>
      </c>
      <c r="C14" s="63">
        <f t="shared" si="6"/>
        <v>1412.5</v>
      </c>
      <c r="D14" s="63">
        <f t="shared" si="6"/>
        <v>1389</v>
      </c>
      <c r="E14" s="63">
        <f t="shared" si="6"/>
        <v>1892.2608695652173</v>
      </c>
      <c r="F14" s="63">
        <f t="shared" ref="F14:V14" si="9">IF(F4=0,0,F4/F8)</f>
        <v>1895.40625</v>
      </c>
      <c r="G14" s="63">
        <f t="shared" si="9"/>
        <v>1150.1842105263158</v>
      </c>
      <c r="H14" s="63">
        <f t="shared" si="9"/>
        <v>1223.0833333333333</v>
      </c>
      <c r="I14" s="63">
        <f t="shared" si="9"/>
        <v>1045.6615384615384</v>
      </c>
      <c r="J14" s="63">
        <f t="shared" si="9"/>
        <v>1049.4761904761904</v>
      </c>
      <c r="K14" s="63">
        <f t="shared" si="9"/>
        <v>978.92857142857144</v>
      </c>
      <c r="L14" s="63">
        <f t="shared" si="9"/>
        <v>1125.4615384615386</v>
      </c>
      <c r="M14" s="63">
        <f t="shared" si="9"/>
        <v>1276.8947368421052</v>
      </c>
      <c r="N14" s="63">
        <f t="shared" si="9"/>
        <v>1409.5555555555557</v>
      </c>
      <c r="O14" s="63">
        <f t="shared" si="9"/>
        <v>1389</v>
      </c>
      <c r="P14" s="63">
        <f t="shared" si="9"/>
        <v>1237.4545454545455</v>
      </c>
      <c r="Q14" s="63">
        <f t="shared" si="9"/>
        <v>1405.818181818182</v>
      </c>
      <c r="R14" s="63">
        <f t="shared" si="9"/>
        <v>2013.9999999999998</v>
      </c>
      <c r="S14" s="63">
        <f t="shared" si="9"/>
        <v>2315</v>
      </c>
      <c r="T14" s="63">
        <f t="shared" si="9"/>
        <v>1666.8571428571427</v>
      </c>
      <c r="U14" s="63">
        <f t="shared" si="9"/>
        <v>1355.3636363636365</v>
      </c>
      <c r="V14" s="63">
        <f t="shared" si="9"/>
        <v>1150.2105263157894</v>
      </c>
      <c r="W14" s="63">
        <f t="shared" ref="W14:Y14" si="10">IF(W4=0,0,W4/W8)</f>
        <v>1111.2105263157894</v>
      </c>
      <c r="X14" s="63">
        <f t="shared" si="10"/>
        <v>1296.3846153846155</v>
      </c>
      <c r="Y14" s="63">
        <f t="shared" si="10"/>
        <v>1270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7.0722269991401543</v>
      </c>
      <c r="C3" s="62">
        <f t="shared" ref="C3:V3" si="0">SUM(C4,C10)</f>
        <v>7.0722269991401543</v>
      </c>
      <c r="D3" s="62">
        <f t="shared" si="0"/>
        <v>8.082545141874462</v>
      </c>
      <c r="E3" s="62">
        <f t="shared" si="0"/>
        <v>9.0928632846087698</v>
      </c>
      <c r="F3" s="62">
        <f t="shared" si="0"/>
        <v>8.082545141874462</v>
      </c>
      <c r="G3" s="62">
        <f t="shared" si="0"/>
        <v>8.082545141874462</v>
      </c>
      <c r="H3" s="62">
        <f t="shared" si="0"/>
        <v>7.0722269991401543</v>
      </c>
      <c r="I3" s="62">
        <f t="shared" si="0"/>
        <v>8.082545141874462</v>
      </c>
      <c r="J3" s="62">
        <f t="shared" si="0"/>
        <v>7.0722269991401543</v>
      </c>
      <c r="K3" s="62">
        <f t="shared" si="0"/>
        <v>8.082545141874462</v>
      </c>
      <c r="L3" s="62">
        <f t="shared" si="0"/>
        <v>8.082545141874462</v>
      </c>
      <c r="M3" s="62">
        <f t="shared" si="0"/>
        <v>5.0515907136715388</v>
      </c>
      <c r="N3" s="62">
        <f t="shared" si="0"/>
        <v>4.041272570937231</v>
      </c>
      <c r="O3" s="62">
        <f t="shared" si="0"/>
        <v>4.041272570937231</v>
      </c>
      <c r="P3" s="62">
        <f t="shared" si="0"/>
        <v>6.0619088564058474</v>
      </c>
      <c r="Q3" s="62">
        <f t="shared" si="0"/>
        <v>6.0619088564058474</v>
      </c>
      <c r="R3" s="62">
        <f t="shared" si="0"/>
        <v>5.0515907136715388</v>
      </c>
      <c r="S3" s="62">
        <f t="shared" si="0"/>
        <v>6.6135855546001716</v>
      </c>
      <c r="T3" s="62">
        <f t="shared" si="0"/>
        <v>6.4892519346517634</v>
      </c>
      <c r="U3" s="62">
        <f t="shared" si="0"/>
        <v>5.385038693035253</v>
      </c>
      <c r="V3" s="62">
        <f t="shared" si="0"/>
        <v>6.4761822871883057</v>
      </c>
      <c r="W3" s="62">
        <f t="shared" ref="W3:Y3" si="1">SUM(W4,W10)</f>
        <v>5.9608770421324158</v>
      </c>
      <c r="X3" s="62">
        <f t="shared" si="1"/>
        <v>5.8042992261392952</v>
      </c>
      <c r="Y3" s="62">
        <f t="shared" si="1"/>
        <v>6.5246775580395528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7.0722269991401543</v>
      </c>
      <c r="C4" s="71">
        <f t="shared" ref="C4:V4" si="2">SUM(C5:C9)</f>
        <v>7.0722269991401543</v>
      </c>
      <c r="D4" s="71">
        <f t="shared" si="2"/>
        <v>8.082545141874462</v>
      </c>
      <c r="E4" s="71">
        <f t="shared" si="2"/>
        <v>9.0928632846087698</v>
      </c>
      <c r="F4" s="71">
        <f t="shared" si="2"/>
        <v>8.082545141874462</v>
      </c>
      <c r="G4" s="71">
        <f t="shared" si="2"/>
        <v>8.082545141874462</v>
      </c>
      <c r="H4" s="71">
        <f t="shared" si="2"/>
        <v>7.0722269991401543</v>
      </c>
      <c r="I4" s="71">
        <f t="shared" si="2"/>
        <v>8.082545141874462</v>
      </c>
      <c r="J4" s="71">
        <f t="shared" si="2"/>
        <v>7.0722269991401543</v>
      </c>
      <c r="K4" s="71">
        <f t="shared" si="2"/>
        <v>8.082545141874462</v>
      </c>
      <c r="L4" s="71">
        <f t="shared" si="2"/>
        <v>8.082545141874462</v>
      </c>
      <c r="M4" s="71">
        <f t="shared" si="2"/>
        <v>5.0515907136715388</v>
      </c>
      <c r="N4" s="71">
        <f t="shared" si="2"/>
        <v>4.041272570937231</v>
      </c>
      <c r="O4" s="71">
        <f t="shared" si="2"/>
        <v>4.041272570937231</v>
      </c>
      <c r="P4" s="71">
        <f t="shared" si="2"/>
        <v>6.0619088564058474</v>
      </c>
      <c r="Q4" s="71">
        <f t="shared" si="2"/>
        <v>6.0619088564058474</v>
      </c>
      <c r="R4" s="71">
        <f t="shared" si="2"/>
        <v>5.0515907136715388</v>
      </c>
      <c r="S4" s="71">
        <f t="shared" si="2"/>
        <v>6.6135855546001716</v>
      </c>
      <c r="T4" s="71">
        <f t="shared" si="2"/>
        <v>6.4892519346517634</v>
      </c>
      <c r="U4" s="71">
        <f t="shared" si="2"/>
        <v>5.385038693035253</v>
      </c>
      <c r="V4" s="71">
        <f t="shared" si="2"/>
        <v>6.4761822871883057</v>
      </c>
      <c r="W4" s="71">
        <f t="shared" ref="W4:Y4" si="3">SUM(W5:W9)</f>
        <v>5.9608770421324158</v>
      </c>
      <c r="X4" s="71">
        <f t="shared" si="3"/>
        <v>5.8042992261392952</v>
      </c>
      <c r="Y4" s="71">
        <f t="shared" si="3"/>
        <v>6.5246775580395528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7.0722269991401543</v>
      </c>
      <c r="C5" s="73">
        <v>7.0722269991401543</v>
      </c>
      <c r="D5" s="73">
        <v>8.082545141874462</v>
      </c>
      <c r="E5" s="73">
        <v>9.0928632846087698</v>
      </c>
      <c r="F5" s="73">
        <v>8.082545141874462</v>
      </c>
      <c r="G5" s="73">
        <v>8.082545141874462</v>
      </c>
      <c r="H5" s="73">
        <v>7.0722269991401543</v>
      </c>
      <c r="I5" s="73">
        <v>8.082545141874462</v>
      </c>
      <c r="J5" s="73">
        <v>7.0722269991401543</v>
      </c>
      <c r="K5" s="73">
        <v>8.082545141874462</v>
      </c>
      <c r="L5" s="73">
        <v>8.082545141874462</v>
      </c>
      <c r="M5" s="73">
        <v>5.0515907136715388</v>
      </c>
      <c r="N5" s="73">
        <v>4.041272570937231</v>
      </c>
      <c r="O5" s="73">
        <v>4.041272570937231</v>
      </c>
      <c r="P5" s="73">
        <v>6.0619088564058474</v>
      </c>
      <c r="Q5" s="73">
        <v>6.0619088564058474</v>
      </c>
      <c r="R5" s="73">
        <v>5.0515907136715388</v>
      </c>
      <c r="S5" s="73">
        <v>6.6135855546001716</v>
      </c>
      <c r="T5" s="73">
        <v>6.4892519346517634</v>
      </c>
      <c r="U5" s="73">
        <v>5.385038693035253</v>
      </c>
      <c r="V5" s="73">
        <v>6.4761822871883057</v>
      </c>
      <c r="W5" s="73">
        <v>5.9608770421324158</v>
      </c>
      <c r="X5" s="73">
        <v>5.8042992261392952</v>
      </c>
      <c r="Y5" s="73">
        <v>6.5246775580395528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29467.612496417307</v>
      </c>
      <c r="C19" s="62">
        <f>IF(C3=0,0,C3/TrNavi_act!C7*100)</f>
        <v>29467.612496417307</v>
      </c>
      <c r="D19" s="62">
        <f>IF(D3=0,0,D3/TrNavi_act!D7*100)</f>
        <v>29935.352377312825</v>
      </c>
      <c r="E19" s="62">
        <f>IF(E3=0,0,E3/TrNavi_act!E7*100)</f>
        <v>39534.188193951173</v>
      </c>
      <c r="F19" s="62">
        <f>IF(F3=0,0,F3/TrNavi_act!F7*100)</f>
        <v>25257.953568357691</v>
      </c>
      <c r="G19" s="62">
        <f>IF(G3=0,0,G3/TrNavi_act!G7*100)</f>
        <v>21269.855636511744</v>
      </c>
      <c r="H19" s="62">
        <f>IF(H3=0,0,H3/TrNavi_act!H7*100)</f>
        <v>29467.612496417307</v>
      </c>
      <c r="I19" s="62">
        <f>IF(I3=0,0,I3/TrNavi_act!I7*100)</f>
        <v>12434.684833653018</v>
      </c>
      <c r="J19" s="62">
        <f>IF(J3=0,0,J3/TrNavi_act!J7*100)</f>
        <v>33677.271424476923</v>
      </c>
      <c r="K19" s="62">
        <f>IF(K3=0,0,K3/TrNavi_act!K7*100)</f>
        <v>57732.465299103293</v>
      </c>
      <c r="L19" s="62">
        <f>IF(L3=0,0,L3/TrNavi_act!L7*100)</f>
        <v>62173.42416826509</v>
      </c>
      <c r="M19" s="62">
        <f>IF(M3=0,0,M3/TrNavi_act!M7*100)</f>
        <v>26587.319545639679</v>
      </c>
      <c r="N19" s="62">
        <f>IF(N3=0,0,N3/TrNavi_act!N7*100)</f>
        <v>22451.514282984619</v>
      </c>
      <c r="O19" s="62">
        <f>IF(O3=0,0,O3/TrNavi_act!O7*100)</f>
        <v>19244.155099701096</v>
      </c>
      <c r="P19" s="62">
        <f>IF(P3=0,0,P3/TrNavi_act!P7*100)</f>
        <v>27554.131165481125</v>
      </c>
      <c r="Q19" s="62">
        <f>IF(Q3=0,0,Q3/TrNavi_act!Q7*100)</f>
        <v>55108.26233096225</v>
      </c>
      <c r="R19" s="62">
        <f>IF(R3=0,0,R3/TrNavi_act!R7*100)</f>
        <v>126289.76784178846</v>
      </c>
      <c r="S19" s="62">
        <f>IF(S3=0,0,S3/TrNavi_act!S7*100)</f>
        <v>330679.27773000859</v>
      </c>
      <c r="T19" s="62">
        <f>IF(T3=0,0,T3/TrNavi_act!T7*100)</f>
        <v>92703.599066453768</v>
      </c>
      <c r="U19" s="62">
        <f>IF(U3=0,0,U3/TrNavi_act!U7*100)</f>
        <v>48954.897209411392</v>
      </c>
      <c r="V19" s="62">
        <f>IF(V3=0,0,V3/TrNavi_act!V7*100)</f>
        <v>34085.169932570025</v>
      </c>
      <c r="W19" s="62">
        <f>IF(W3=0,0,W3/TrNavi_act!W7*100)</f>
        <v>31373.037063854819</v>
      </c>
      <c r="X19" s="62">
        <f>IF(X3=0,0,X3/TrNavi_act!X7*100)</f>
        <v>44648.45558568689</v>
      </c>
      <c r="Y19" s="62">
        <f>IF(Y3=0,0,Y3/TrNavi_act!Y7*100)</f>
        <v>93209.679400565044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29467.612496417307</v>
      </c>
      <c r="C20" s="63">
        <f>IF(C4=0,0,C4/TrNavi_act!C8*100)</f>
        <v>29467.612496417307</v>
      </c>
      <c r="D20" s="63">
        <f>IF(D4=0,0,D4/TrNavi_act!D8*100)</f>
        <v>29935.352377312825</v>
      </c>
      <c r="E20" s="63">
        <f>IF(E4=0,0,E4/TrNavi_act!E8*100)</f>
        <v>39534.188193951173</v>
      </c>
      <c r="F20" s="63">
        <f>IF(F4=0,0,F4/TrNavi_act!F8*100)</f>
        <v>25257.953568357691</v>
      </c>
      <c r="G20" s="63">
        <f>IF(G4=0,0,G4/TrNavi_act!G8*100)</f>
        <v>21269.855636511744</v>
      </c>
      <c r="H20" s="63">
        <f>IF(H4=0,0,H4/TrNavi_act!H8*100)</f>
        <v>29467.612496417307</v>
      </c>
      <c r="I20" s="63">
        <f>IF(I4=0,0,I4/TrNavi_act!I8*100)</f>
        <v>12434.684833653018</v>
      </c>
      <c r="J20" s="63">
        <f>IF(J4=0,0,J4/TrNavi_act!J8*100)</f>
        <v>33677.271424476923</v>
      </c>
      <c r="K20" s="63">
        <f>IF(K4=0,0,K4/TrNavi_act!K8*100)</f>
        <v>57732.465299103293</v>
      </c>
      <c r="L20" s="63">
        <f>IF(L4=0,0,L4/TrNavi_act!L8*100)</f>
        <v>62173.42416826509</v>
      </c>
      <c r="M20" s="63">
        <f>IF(M4=0,0,M4/TrNavi_act!M8*100)</f>
        <v>26587.319545639679</v>
      </c>
      <c r="N20" s="63">
        <f>IF(N4=0,0,N4/TrNavi_act!N8*100)</f>
        <v>22451.514282984619</v>
      </c>
      <c r="O20" s="63">
        <f>IF(O4=0,0,O4/TrNavi_act!O8*100)</f>
        <v>19244.155099701096</v>
      </c>
      <c r="P20" s="63">
        <f>IF(P4=0,0,P4/TrNavi_act!P8*100)</f>
        <v>27554.131165481125</v>
      </c>
      <c r="Q20" s="63">
        <f>IF(Q4=0,0,Q4/TrNavi_act!Q8*100)</f>
        <v>55108.26233096225</v>
      </c>
      <c r="R20" s="63">
        <f>IF(R4=0,0,R4/TrNavi_act!R8*100)</f>
        <v>126289.76784178846</v>
      </c>
      <c r="S20" s="63">
        <f>IF(S4=0,0,S4/TrNavi_act!S8*100)</f>
        <v>330679.27773000859</v>
      </c>
      <c r="T20" s="63">
        <f>IF(T4=0,0,T4/TrNavi_act!T8*100)</f>
        <v>92703.599066453768</v>
      </c>
      <c r="U20" s="63">
        <f>IF(U4=0,0,U4/TrNavi_act!U8*100)</f>
        <v>48954.897209411392</v>
      </c>
      <c r="V20" s="63">
        <f>IF(V4=0,0,V4/TrNavi_act!V8*100)</f>
        <v>34085.169932570025</v>
      </c>
      <c r="W20" s="63">
        <f>IF(W4=0,0,W4/TrNavi_act!W8*100)</f>
        <v>31373.037063854819</v>
      </c>
      <c r="X20" s="63">
        <f>IF(X4=0,0,X4/TrNavi_act!X8*100)</f>
        <v>44648.45558568689</v>
      </c>
      <c r="Y20" s="63">
        <f>IF(Y4=0,0,Y4/TrNavi_act!Y8*100)</f>
        <v>93209.679400565044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211.69261850874506</v>
      </c>
      <c r="C23" s="62">
        <f>IF(C3=0,0,C3/TrNavi_act!C3*1000)</f>
        <v>208.6202654613615</v>
      </c>
      <c r="D23" s="62">
        <f>IF(D3=0,0,D3/TrNavi_act!D3*1000)</f>
        <v>215.51729573299369</v>
      </c>
      <c r="E23" s="62">
        <f>IF(E3=0,0,E3/TrNavi_act!E3*1000)</f>
        <v>208.92567631562821</v>
      </c>
      <c r="F23" s="62">
        <f>IF(F3=0,0,F3/TrNavi_act!F3*1000)</f>
        <v>133.25878591124038</v>
      </c>
      <c r="G23" s="62">
        <f>IF(G3=0,0,G3/TrNavi_act!G3*1000)</f>
        <v>184.92564444767342</v>
      </c>
      <c r="H23" s="62">
        <f>IF(H3=0,0,H3/TrNavi_act!H3*1000)</f>
        <v>240.92890233495109</v>
      </c>
      <c r="I23" s="62">
        <f>IF(I3=0,0,I3/TrNavi_act!I3*1000)</f>
        <v>118.91691887174055</v>
      </c>
      <c r="J23" s="62">
        <f>IF(J3=0,0,J3/TrNavi_act!J3*1000)</f>
        <v>320.89600250193541</v>
      </c>
      <c r="K23" s="62">
        <f>IF(K3=0,0,K3/TrNavi_act!K3*1000)</f>
        <v>589.75156088102608</v>
      </c>
      <c r="L23" s="62">
        <f>IF(L3=0,0,L3/TrNavi_act!L3*1000)</f>
        <v>552.4260229563572</v>
      </c>
      <c r="M23" s="62">
        <f>IF(M3=0,0,M3/TrNavi_act!M3*1000)</f>
        <v>208.21856946010217</v>
      </c>
      <c r="N23" s="62">
        <f>IF(N3=0,0,N3/TrNavi_act!N3*1000)</f>
        <v>159.28080446701998</v>
      </c>
      <c r="O23" s="62">
        <f>IF(O3=0,0,O3/TrNavi_act!O3*1000)</f>
        <v>138.54683297121022</v>
      </c>
      <c r="P23" s="62">
        <f>IF(P3=0,0,P3/TrNavi_act!P3*1000)</f>
        <v>222.66782458146662</v>
      </c>
      <c r="Q23" s="62">
        <f>IF(Q3=0,0,Q3/TrNavi_act!Q3*1000)</f>
        <v>392.00134870705165</v>
      </c>
      <c r="R23" s="62">
        <f>IF(R3=0,0,R3/TrNavi_act!R3*1000)</f>
        <v>627.0594232462189</v>
      </c>
      <c r="S23" s="62">
        <f>IF(S3=0,0,S3/TrNavi_act!S3*1000)</f>
        <v>1428.420206177143</v>
      </c>
      <c r="T23" s="62">
        <f>IF(T3=0,0,T3/TrNavi_act!T3*1000)</f>
        <v>556.15803348061058</v>
      </c>
      <c r="U23" s="62">
        <f>IF(U3=0,0,U3/TrNavi_act!U3*1000)</f>
        <v>361.1938220561575</v>
      </c>
      <c r="V23" s="62">
        <f>IF(V3=0,0,V3/TrNavi_act!V3*1000)</f>
        <v>296.33853240543181</v>
      </c>
      <c r="W23" s="62">
        <f>IF(W3=0,0,W3/TrNavi_act!W3*1000)</f>
        <v>282.33207228401534</v>
      </c>
      <c r="X23" s="62">
        <f>IF(X3=0,0,X3/TrNavi_act!X3*1000)</f>
        <v>344.4074779647122</v>
      </c>
      <c r="Y23" s="62">
        <f>IF(Y3=0,0,Y3/TrNavi_act!Y3*1000)</f>
        <v>733.93448346901607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211.69261850874506</v>
      </c>
      <c r="C24" s="63">
        <f>IF(C4=0,0,C4/TrNavi_act!C4*1000)</f>
        <v>208.6202654613615</v>
      </c>
      <c r="D24" s="63">
        <f>IF(D4=0,0,D4/TrNavi_act!D4*1000)</f>
        <v>215.51729573299369</v>
      </c>
      <c r="E24" s="63">
        <f>IF(E4=0,0,E4/TrNavi_act!E4*1000)</f>
        <v>208.92567631562821</v>
      </c>
      <c r="F24" s="63">
        <f>IF(F4=0,0,F4/TrNavi_act!F4*1000)</f>
        <v>133.25878591124038</v>
      </c>
      <c r="G24" s="63">
        <f>IF(G4=0,0,G4/TrNavi_act!G4*1000)</f>
        <v>184.92564444767342</v>
      </c>
      <c r="H24" s="63">
        <f>IF(H4=0,0,H4/TrNavi_act!H4*1000)</f>
        <v>240.92890233495109</v>
      </c>
      <c r="I24" s="63">
        <f>IF(I4=0,0,I4/TrNavi_act!I4*1000)</f>
        <v>118.91691887174055</v>
      </c>
      <c r="J24" s="63">
        <f>IF(J4=0,0,J4/TrNavi_act!J4*1000)</f>
        <v>320.89600250193541</v>
      </c>
      <c r="K24" s="63">
        <f>IF(K4=0,0,K4/TrNavi_act!K4*1000)</f>
        <v>589.75156088102608</v>
      </c>
      <c r="L24" s="63">
        <f>IF(L4=0,0,L4/TrNavi_act!L4*1000)</f>
        <v>552.4260229563572</v>
      </c>
      <c r="M24" s="63">
        <f>IF(M4=0,0,M4/TrNavi_act!M4*1000)</f>
        <v>208.21856946010217</v>
      </c>
      <c r="N24" s="63">
        <f>IF(N4=0,0,N4/TrNavi_act!N4*1000)</f>
        <v>159.28080446701998</v>
      </c>
      <c r="O24" s="63">
        <f>IF(O4=0,0,O4/TrNavi_act!O4*1000)</f>
        <v>138.54683297121022</v>
      </c>
      <c r="P24" s="63">
        <f>IF(P4=0,0,P4/TrNavi_act!P4*1000)</f>
        <v>222.66782458146662</v>
      </c>
      <c r="Q24" s="63">
        <f>IF(Q4=0,0,Q4/TrNavi_act!Q4*1000)</f>
        <v>392.00134870705165</v>
      </c>
      <c r="R24" s="63">
        <f>IF(R4=0,0,R4/TrNavi_act!R4*1000)</f>
        <v>627.0594232462189</v>
      </c>
      <c r="S24" s="63">
        <f>IF(S4=0,0,S4/TrNavi_act!S4*1000)</f>
        <v>1428.420206177143</v>
      </c>
      <c r="T24" s="63">
        <f>IF(T4=0,0,T4/TrNavi_act!T4*1000)</f>
        <v>556.15803348061058</v>
      </c>
      <c r="U24" s="63">
        <f>IF(U4=0,0,U4/TrNavi_act!U4*1000)</f>
        <v>361.1938220561575</v>
      </c>
      <c r="V24" s="63">
        <f>IF(V4=0,0,V4/TrNavi_act!V4*1000)</f>
        <v>296.33853240543181</v>
      </c>
      <c r="W24" s="63">
        <f>IF(W4=0,0,W4/TrNavi_act!W4*1000)</f>
        <v>282.33207228401534</v>
      </c>
      <c r="X24" s="63">
        <f>IF(X4=0,0,X4/TrNavi_act!X4*1000)</f>
        <v>344.4074779647122</v>
      </c>
      <c r="Y24" s="63">
        <f>IF(Y4=0,0,Y4/TrNavi_act!Y4*1000)</f>
        <v>733.93448346901607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21.941009999999999</v>
      </c>
      <c r="C3" s="54">
        <f t="shared" ref="C3:V3" si="1">SUM(C4:C5)</f>
        <v>21.941009999999999</v>
      </c>
      <c r="D3" s="54">
        <f t="shared" si="1"/>
        <v>25.07544</v>
      </c>
      <c r="E3" s="54">
        <f t="shared" si="1"/>
        <v>28.209869999999999</v>
      </c>
      <c r="F3" s="54">
        <f t="shared" si="1"/>
        <v>25.07544</v>
      </c>
      <c r="G3" s="54">
        <f t="shared" si="1"/>
        <v>25.07544</v>
      </c>
      <c r="H3" s="54">
        <f t="shared" si="1"/>
        <v>21.941009999999999</v>
      </c>
      <c r="I3" s="54">
        <f t="shared" si="1"/>
        <v>25.07544</v>
      </c>
      <c r="J3" s="54">
        <f t="shared" si="1"/>
        <v>21.941009999999999</v>
      </c>
      <c r="K3" s="54">
        <f t="shared" si="1"/>
        <v>25.07544</v>
      </c>
      <c r="L3" s="54">
        <f t="shared" si="1"/>
        <v>25.07544</v>
      </c>
      <c r="M3" s="54">
        <f t="shared" si="1"/>
        <v>15.67215</v>
      </c>
      <c r="N3" s="54">
        <f t="shared" si="1"/>
        <v>12.53772</v>
      </c>
      <c r="O3" s="54">
        <f t="shared" si="1"/>
        <v>12.53772</v>
      </c>
      <c r="P3" s="54">
        <f t="shared" si="1"/>
        <v>18.806580000000004</v>
      </c>
      <c r="Q3" s="54">
        <f t="shared" si="1"/>
        <v>18.806580000000004</v>
      </c>
      <c r="R3" s="54">
        <f t="shared" si="1"/>
        <v>15.67215</v>
      </c>
      <c r="S3" s="54">
        <f t="shared" si="1"/>
        <v>20.518112160000001</v>
      </c>
      <c r="T3" s="54">
        <f t="shared" si="1"/>
        <v>20.132377200000004</v>
      </c>
      <c r="U3" s="54">
        <f t="shared" si="1"/>
        <v>16.70664528</v>
      </c>
      <c r="V3" s="54">
        <f t="shared" si="1"/>
        <v>20.09182968</v>
      </c>
      <c r="W3" s="54">
        <f t="shared" ref="W3:Y3" si="2">SUM(W4:W5)</f>
        <v>18.493137000000001</v>
      </c>
      <c r="X3" s="54">
        <f t="shared" si="2"/>
        <v>18.007367040000002</v>
      </c>
      <c r="Y3" s="54">
        <f t="shared" si="2"/>
        <v>20.242282320000001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21.941009999999999</v>
      </c>
      <c r="C4" s="56">
        <v>21.941009999999999</v>
      </c>
      <c r="D4" s="56">
        <v>25.07544</v>
      </c>
      <c r="E4" s="56">
        <v>28.209869999999999</v>
      </c>
      <c r="F4" s="56">
        <v>25.07544</v>
      </c>
      <c r="G4" s="56">
        <v>25.07544</v>
      </c>
      <c r="H4" s="56">
        <v>21.941009999999999</v>
      </c>
      <c r="I4" s="56">
        <v>25.07544</v>
      </c>
      <c r="J4" s="56">
        <v>21.941009999999999</v>
      </c>
      <c r="K4" s="56">
        <v>25.07544</v>
      </c>
      <c r="L4" s="56">
        <v>25.07544</v>
      </c>
      <c r="M4" s="56">
        <v>15.67215</v>
      </c>
      <c r="N4" s="56">
        <v>12.53772</v>
      </c>
      <c r="O4" s="56">
        <v>12.53772</v>
      </c>
      <c r="P4" s="56">
        <v>18.806580000000004</v>
      </c>
      <c r="Q4" s="56">
        <v>18.806580000000004</v>
      </c>
      <c r="R4" s="56">
        <v>15.67215</v>
      </c>
      <c r="S4" s="56">
        <v>20.518112160000001</v>
      </c>
      <c r="T4" s="56">
        <v>20.132377200000004</v>
      </c>
      <c r="U4" s="56">
        <v>16.70664528</v>
      </c>
      <c r="V4" s="56">
        <v>20.09182968</v>
      </c>
      <c r="W4" s="56">
        <v>18.493137000000001</v>
      </c>
      <c r="X4" s="56">
        <v>18.007367040000002</v>
      </c>
      <c r="Y4" s="56">
        <v>20.242282320000001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3.1024188000000006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3.1024188000000006</v>
      </c>
      <c r="V9" s="79">
        <f>IF(V3=0,0,V3/TrNavi_ene!V3)</f>
        <v>3.1024188000000001</v>
      </c>
      <c r="W9" s="79">
        <f>IF(W3=0,0,W3/TrNavi_ene!W3)</f>
        <v>3.1024188000000001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3.1024188000000006</v>
      </c>
      <c r="Q10" s="80">
        <f>IF(Q4=0,0,Q4/TrNavi_ene!Q4)</f>
        <v>3.1024188000000006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3.1024188000000006</v>
      </c>
      <c r="V10" s="80">
        <f>IF(V4=0,0,V4/TrNavi_ene!V4)</f>
        <v>3.1024188000000001</v>
      </c>
      <c r="W10" s="80">
        <f>IF(W4=0,0,W4/TrNavi_ene!W4)</f>
        <v>3.1024188000000001</v>
      </c>
      <c r="X10" s="80">
        <f>IF(X4=0,0,X4/TrNavi_ene!X4)</f>
        <v>3.1024188000000001</v>
      </c>
      <c r="Y10" s="80">
        <f>IF(Y4=0,0,Y4/TrNavi_ene!Y4)</f>
        <v>3.1024188000000001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914208.74999999988</v>
      </c>
      <c r="C13" s="54">
        <f>IF(C3=0,0,C3/TrNavi_act!C7*1000)</f>
        <v>914208.74999999988</v>
      </c>
      <c r="D13" s="54">
        <f>IF(D3=0,0,D3/TrNavi_act!D7*1000)</f>
        <v>928720</v>
      </c>
      <c r="E13" s="54">
        <f>IF(E3=0,0,E3/TrNavi_act!E7*1000)</f>
        <v>1226516.0869565217</v>
      </c>
      <c r="F13" s="54">
        <f>IF(F3=0,0,F3/TrNavi_act!F7*1000)</f>
        <v>783607.5</v>
      </c>
      <c r="G13" s="54">
        <f>IF(G3=0,0,G3/TrNavi_act!G7*1000)</f>
        <v>659880</v>
      </c>
      <c r="H13" s="54">
        <f>IF(H3=0,0,H3/TrNavi_act!H7*1000)</f>
        <v>914208.74999999988</v>
      </c>
      <c r="I13" s="54">
        <f>IF(I3=0,0,I3/TrNavi_act!I7*1000)</f>
        <v>385776</v>
      </c>
      <c r="J13" s="54">
        <f>IF(J3=0,0,J3/TrNavi_act!J7*1000)</f>
        <v>1044810</v>
      </c>
      <c r="K13" s="54">
        <f>IF(K3=0,0,K3/TrNavi_act!K7*1000)</f>
        <v>1791102.857142857</v>
      </c>
      <c r="L13" s="54">
        <f>IF(L3=0,0,L3/TrNavi_act!L7*1000)</f>
        <v>1928880</v>
      </c>
      <c r="M13" s="54">
        <f>IF(M3=0,0,M3/TrNavi_act!M7*1000)</f>
        <v>824850</v>
      </c>
      <c r="N13" s="54">
        <f>IF(N3=0,0,N3/TrNavi_act!N7*1000)</f>
        <v>696540.00000000012</v>
      </c>
      <c r="O13" s="54">
        <f>IF(O3=0,0,O3/TrNavi_act!O7*1000)</f>
        <v>597034.28571428568</v>
      </c>
      <c r="P13" s="54">
        <f>IF(P3=0,0,P3/TrNavi_act!P7*1000)</f>
        <v>854844.54545454576</v>
      </c>
      <c r="Q13" s="54">
        <f>IF(Q3=0,0,Q3/TrNavi_act!Q7*1000)</f>
        <v>1709689.0909090915</v>
      </c>
      <c r="R13" s="54">
        <f>IF(R3=0,0,R3/TrNavi_act!R7*1000)</f>
        <v>3918037.5</v>
      </c>
      <c r="S13" s="54">
        <f>IF(S3=0,0,S3/TrNavi_act!S7*1000)</f>
        <v>10259056.08</v>
      </c>
      <c r="T13" s="54">
        <f>IF(T3=0,0,T3/TrNavi_act!T7*1000)</f>
        <v>2876053.885714286</v>
      </c>
      <c r="U13" s="54">
        <f>IF(U3=0,0,U3/TrNavi_act!U7*1000)</f>
        <v>1518785.9345454546</v>
      </c>
      <c r="V13" s="54">
        <f>IF(V3=0,0,V3/TrNavi_act!V7*1000)</f>
        <v>1057464.72</v>
      </c>
      <c r="W13" s="54">
        <f>IF(W3=0,0,W3/TrNavi_act!W7*1000)</f>
        <v>973323.00000000012</v>
      </c>
      <c r="X13" s="54">
        <f>IF(X3=0,0,X3/TrNavi_act!X7*1000)</f>
        <v>1385182.0800000003</v>
      </c>
      <c r="Y13" s="54">
        <f>IF(Y3=0,0,Y3/TrNavi_act!Y7*1000)</f>
        <v>2891754.6171428571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914208.74999999988</v>
      </c>
      <c r="C14" s="56">
        <f>IF(C4=0,0,C4/TrNavi_act!C8*1000)</f>
        <v>914208.74999999988</v>
      </c>
      <c r="D14" s="56">
        <f>IF(D4=0,0,D4/TrNavi_act!D8*1000)</f>
        <v>928720</v>
      </c>
      <c r="E14" s="56">
        <f>IF(E4=0,0,E4/TrNavi_act!E8*1000)</f>
        <v>1226516.0869565217</v>
      </c>
      <c r="F14" s="56">
        <f>IF(F4=0,0,F4/TrNavi_act!F8*1000)</f>
        <v>783607.5</v>
      </c>
      <c r="G14" s="56">
        <f>IF(G4=0,0,G4/TrNavi_act!G8*1000)</f>
        <v>659880</v>
      </c>
      <c r="H14" s="56">
        <f>IF(H4=0,0,H4/TrNavi_act!H8*1000)</f>
        <v>914208.74999999988</v>
      </c>
      <c r="I14" s="56">
        <f>IF(I4=0,0,I4/TrNavi_act!I8*1000)</f>
        <v>385776</v>
      </c>
      <c r="J14" s="56">
        <f>IF(J4=0,0,J4/TrNavi_act!J8*1000)</f>
        <v>1044810</v>
      </c>
      <c r="K14" s="56">
        <f>IF(K4=0,0,K4/TrNavi_act!K8*1000)</f>
        <v>1791102.857142857</v>
      </c>
      <c r="L14" s="56">
        <f>IF(L4=0,0,L4/TrNavi_act!L8*1000)</f>
        <v>1928880</v>
      </c>
      <c r="M14" s="56">
        <f>IF(M4=0,0,M4/TrNavi_act!M8*1000)</f>
        <v>824850</v>
      </c>
      <c r="N14" s="56">
        <f>IF(N4=0,0,N4/TrNavi_act!N8*1000)</f>
        <v>696540.00000000012</v>
      </c>
      <c r="O14" s="56">
        <f>IF(O4=0,0,O4/TrNavi_act!O8*1000)</f>
        <v>597034.28571428568</v>
      </c>
      <c r="P14" s="56">
        <f>IF(P4=0,0,P4/TrNavi_act!P8*1000)</f>
        <v>854844.54545454576</v>
      </c>
      <c r="Q14" s="56">
        <f>IF(Q4=0,0,Q4/TrNavi_act!Q8*1000)</f>
        <v>1709689.0909090915</v>
      </c>
      <c r="R14" s="56">
        <f>IF(R4=0,0,R4/TrNavi_act!R8*1000)</f>
        <v>3918037.5</v>
      </c>
      <c r="S14" s="56">
        <f>IF(S4=0,0,S4/TrNavi_act!S8*1000)</f>
        <v>10259056.08</v>
      </c>
      <c r="T14" s="56">
        <f>IF(T4=0,0,T4/TrNavi_act!T8*1000)</f>
        <v>2876053.885714286</v>
      </c>
      <c r="U14" s="56">
        <f>IF(U4=0,0,U4/TrNavi_act!U8*1000)</f>
        <v>1518785.9345454546</v>
      </c>
      <c r="V14" s="56">
        <f>IF(V4=0,0,V4/TrNavi_act!V8*1000)</f>
        <v>1057464.72</v>
      </c>
      <c r="W14" s="56">
        <f>IF(W4=0,0,W4/TrNavi_act!W8*1000)</f>
        <v>973323.00000000012</v>
      </c>
      <c r="X14" s="56">
        <f>IF(X4=0,0,X4/TrNavi_act!X8*1000)</f>
        <v>1385182.0800000003</v>
      </c>
      <c r="Y14" s="56">
        <f>IF(Y4=0,0,Y4/TrNavi_act!Y8*1000)</f>
        <v>2891754.6171428571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656.75915948275849</v>
      </c>
      <c r="C17" s="62">
        <f>IF(C3=0,0,C3/TrNavi_act!C3*1000)</f>
        <v>647.22743362831864</v>
      </c>
      <c r="D17" s="62">
        <f>IF(D3=0,0,D3/TrNavi_act!D3*1000)</f>
        <v>668.62491000719945</v>
      </c>
      <c r="E17" s="62">
        <f>IF(E3=0,0,E3/TrNavi_act!E3*1000)</f>
        <v>648.17494600431974</v>
      </c>
      <c r="F17" s="62">
        <f>IF(F3=0,0,F3/TrNavi_act!F3*1000)</f>
        <v>413.4245626762073</v>
      </c>
      <c r="G17" s="62">
        <f>IF(G3=0,0,G3/TrNavi_act!G3*1000)</f>
        <v>573.71679593657768</v>
      </c>
      <c r="H17" s="62">
        <f>IF(H3=0,0,H3/TrNavi_act!H3*1000)</f>
        <v>747.46235606731614</v>
      </c>
      <c r="I17" s="62">
        <f>IF(I3=0,0,I3/TrNavi_act!I3*1000)</f>
        <v>368.93008474576271</v>
      </c>
      <c r="J17" s="62">
        <f>IF(J3=0,0,J3/TrNavi_act!J3*1000)</f>
        <v>995.55379100685138</v>
      </c>
      <c r="K17" s="62">
        <f>IF(K3=0,0,K3/TrNavi_act!K3*1000)</f>
        <v>1829.6563298066399</v>
      </c>
      <c r="L17" s="62">
        <f>IF(L3=0,0,L3/TrNavi_act!L3*1000)</f>
        <v>1713.8568792290343</v>
      </c>
      <c r="M17" s="62">
        <f>IF(M3=0,0,M3/TrNavi_act!M3*1000)</f>
        <v>645.98120440212688</v>
      </c>
      <c r="N17" s="62">
        <f>IF(N3=0,0,N3/TrNavi_act!N3*1000)</f>
        <v>494.1557622576068</v>
      </c>
      <c r="O17" s="62">
        <f>IF(O3=0,0,O3/TrNavi_act!O3*1000)</f>
        <v>429.83029929034251</v>
      </c>
      <c r="P17" s="62">
        <f>IF(P3=0,0,P3/TrNavi_act!P3*1000)</f>
        <v>690.80884513664432</v>
      </c>
      <c r="Q17" s="62">
        <f>IF(Q3=0,0,Q3/TrNavi_act!Q3*1000)</f>
        <v>1216.152353854113</v>
      </c>
      <c r="R17" s="62">
        <f>IF(R3=0,0,R3/TrNavi_act!R3*1000)</f>
        <v>1945.4009433962267</v>
      </c>
      <c r="S17" s="62">
        <f>IF(S3=0,0,S3/TrNavi_act!S3*1000)</f>
        <v>4431.5577019438451</v>
      </c>
      <c r="T17" s="62">
        <f>IF(T3=0,0,T3/TrNavi_act!T3*1000)</f>
        <v>1725.4351388412756</v>
      </c>
      <c r="U17" s="62">
        <f>IF(U3=0,0,U3/TrNavi_act!U3*1000)</f>
        <v>1120.5745039908779</v>
      </c>
      <c r="V17" s="62">
        <f>IF(V3=0,0,V3/TrNavi_act!V3*1000)</f>
        <v>919.36623409902086</v>
      </c>
      <c r="W17" s="62">
        <f>IF(W3=0,0,W3/TrNavi_act!W3*1000)</f>
        <v>875.9123288968882</v>
      </c>
      <c r="X17" s="62">
        <f>IF(X3=0,0,X3/TrNavi_act!X3*1000)</f>
        <v>1068.4962344983089</v>
      </c>
      <c r="Y17" s="62">
        <f>IF(Y3=0,0,Y3/TrNavi_act!Y3*1000)</f>
        <v>2276.9721394825647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656.75915948275849</v>
      </c>
      <c r="C18" s="63">
        <f>IF(C4=0,0,C4/TrNavi_act!C4*1000)</f>
        <v>647.22743362831864</v>
      </c>
      <c r="D18" s="63">
        <f>IF(D4=0,0,D4/TrNavi_act!D4*1000)</f>
        <v>668.62491000719945</v>
      </c>
      <c r="E18" s="63">
        <f>IF(E4=0,0,E4/TrNavi_act!E4*1000)</f>
        <v>648.17494600431974</v>
      </c>
      <c r="F18" s="63">
        <f>IF(F4=0,0,F4/TrNavi_act!F4*1000)</f>
        <v>413.4245626762073</v>
      </c>
      <c r="G18" s="63">
        <f>IF(G4=0,0,G4/TrNavi_act!G4*1000)</f>
        <v>573.71679593657768</v>
      </c>
      <c r="H18" s="63">
        <f>IF(H4=0,0,H4/TrNavi_act!H4*1000)</f>
        <v>747.46235606731614</v>
      </c>
      <c r="I18" s="63">
        <f>IF(I4=0,0,I4/TrNavi_act!I4*1000)</f>
        <v>368.93008474576271</v>
      </c>
      <c r="J18" s="63">
        <f>IF(J4=0,0,J4/TrNavi_act!J4*1000)</f>
        <v>995.55379100685138</v>
      </c>
      <c r="K18" s="63">
        <f>IF(K4=0,0,K4/TrNavi_act!K4*1000)</f>
        <v>1829.6563298066399</v>
      </c>
      <c r="L18" s="63">
        <f>IF(L4=0,0,L4/TrNavi_act!L4*1000)</f>
        <v>1713.8568792290343</v>
      </c>
      <c r="M18" s="63">
        <f>IF(M4=0,0,M4/TrNavi_act!M4*1000)</f>
        <v>645.98120440212688</v>
      </c>
      <c r="N18" s="63">
        <f>IF(N4=0,0,N4/TrNavi_act!N4*1000)</f>
        <v>494.1557622576068</v>
      </c>
      <c r="O18" s="63">
        <f>IF(O4=0,0,O4/TrNavi_act!O4*1000)</f>
        <v>429.83029929034251</v>
      </c>
      <c r="P18" s="63">
        <f>IF(P4=0,0,P4/TrNavi_act!P4*1000)</f>
        <v>690.80884513664432</v>
      </c>
      <c r="Q18" s="63">
        <f>IF(Q4=0,0,Q4/TrNavi_act!Q4*1000)</f>
        <v>1216.152353854113</v>
      </c>
      <c r="R18" s="63">
        <f>IF(R4=0,0,R4/TrNavi_act!R4*1000)</f>
        <v>1945.4009433962267</v>
      </c>
      <c r="S18" s="63">
        <f>IF(S4=0,0,S4/TrNavi_act!S4*1000)</f>
        <v>4431.5577019438451</v>
      </c>
      <c r="T18" s="63">
        <f>IF(T4=0,0,T4/TrNavi_act!T4*1000)</f>
        <v>1725.4351388412756</v>
      </c>
      <c r="U18" s="63">
        <f>IF(U4=0,0,U4/TrNavi_act!U4*1000)</f>
        <v>1120.5745039908779</v>
      </c>
      <c r="V18" s="63">
        <f>IF(V4=0,0,V4/TrNavi_act!V4*1000)</f>
        <v>919.36623409902086</v>
      </c>
      <c r="W18" s="63">
        <f>IF(W4=0,0,W4/TrNavi_act!W4*1000)</f>
        <v>875.9123288968882</v>
      </c>
      <c r="X18" s="63">
        <f>IF(X4=0,0,X4/TrNavi_act!X4*1000)</f>
        <v>1068.4962344983089</v>
      </c>
      <c r="Y18" s="63">
        <f>IF(Y4=0,0,Y4/TrNavi_act!Y4*1000)</f>
        <v>2276.9721394825647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70708.090179999999</v>
      </c>
      <c r="C3" s="54">
        <f t="shared" si="0"/>
        <v>66593.464240999994</v>
      </c>
      <c r="D3" s="54">
        <f t="shared" si="0"/>
        <v>78459.302033</v>
      </c>
      <c r="E3" s="54">
        <f t="shared" si="0"/>
        <v>65621.575140000001</v>
      </c>
      <c r="F3" s="54">
        <f t="shared" si="0"/>
        <v>84229.404739000005</v>
      </c>
      <c r="G3" s="54">
        <f t="shared" si="0"/>
        <v>90259.979227999997</v>
      </c>
      <c r="H3" s="54">
        <f t="shared" si="0"/>
        <v>91028.13147800001</v>
      </c>
      <c r="I3" s="54">
        <f t="shared" si="0"/>
        <v>90476.000038000013</v>
      </c>
      <c r="J3" s="54">
        <f t="shared" si="0"/>
        <v>75548.585672999994</v>
      </c>
      <c r="K3" s="54">
        <f t="shared" si="0"/>
        <v>86923.726734999989</v>
      </c>
      <c r="L3" s="54">
        <f t="shared" si="0"/>
        <v>108652.911471</v>
      </c>
      <c r="M3" s="54">
        <f t="shared" si="0"/>
        <v>107497.623979</v>
      </c>
      <c r="N3" s="54">
        <f t="shared" si="0"/>
        <v>113758.487374</v>
      </c>
      <c r="O3" s="54">
        <f t="shared" si="0"/>
        <v>95674.122323000003</v>
      </c>
      <c r="P3" s="54">
        <f t="shared" si="0"/>
        <v>86937.996972000008</v>
      </c>
      <c r="Q3" s="54">
        <f t="shared" si="0"/>
        <v>67123.247315999994</v>
      </c>
      <c r="R3" s="54">
        <f t="shared" ref="R3:W3" si="1">SUM(R4:R5)</f>
        <v>62531.213204</v>
      </c>
      <c r="S3" s="54">
        <f t="shared" si="1"/>
        <v>64031.529823000004</v>
      </c>
      <c r="T3" s="54">
        <f t="shared" si="1"/>
        <v>65552.045868000001</v>
      </c>
      <c r="U3" s="54">
        <f t="shared" si="1"/>
        <v>73249.922657000003</v>
      </c>
      <c r="V3" s="54">
        <f t="shared" si="1"/>
        <v>77571.95171899999</v>
      </c>
      <c r="W3" s="54">
        <f t="shared" si="1"/>
        <v>78687.210567000002</v>
      </c>
      <c r="X3" s="54">
        <f t="shared" ref="X3:Y3" si="2">SUM(X4:X5)</f>
        <v>58448.718565000003</v>
      </c>
      <c r="Y3" s="54">
        <f t="shared" si="2"/>
        <v>27212.623667</v>
      </c>
      <c r="DA3" s="172" t="s">
        <v>388</v>
      </c>
    </row>
    <row r="4" spans="1:105" ht="11.45" customHeight="1" x14ac:dyDescent="0.25">
      <c r="A4" s="55" t="s">
        <v>166</v>
      </c>
      <c r="B4" s="56">
        <v>28209.662514</v>
      </c>
      <c r="C4" s="56">
        <v>26228.035092000002</v>
      </c>
      <c r="D4" s="56">
        <v>30891.586480000002</v>
      </c>
      <c r="E4" s="56">
        <v>31478.256688000001</v>
      </c>
      <c r="F4" s="56">
        <v>29770.047990999999</v>
      </c>
      <c r="G4" s="56">
        <v>25028.230243000002</v>
      </c>
      <c r="H4" s="56">
        <v>26094.070985000002</v>
      </c>
      <c r="I4" s="56">
        <v>21166.768219000001</v>
      </c>
      <c r="J4" s="56">
        <v>15746.605336999999</v>
      </c>
      <c r="K4" s="56">
        <v>16927.827534</v>
      </c>
      <c r="L4" s="56">
        <v>20222.260199</v>
      </c>
      <c r="M4" s="56">
        <v>21558.713854999998</v>
      </c>
      <c r="N4" s="56">
        <v>15007.907091000001</v>
      </c>
      <c r="O4" s="56">
        <v>21665.367784999999</v>
      </c>
      <c r="P4" s="56">
        <v>19830.474157000001</v>
      </c>
      <c r="Q4" s="56">
        <v>13330.600562</v>
      </c>
      <c r="R4" s="56">
        <v>12026.433215000001</v>
      </c>
      <c r="S4" s="56">
        <v>12633.936670999999</v>
      </c>
      <c r="T4" s="56">
        <v>13433.709452999999</v>
      </c>
      <c r="U4" s="56">
        <v>13309.499201000001</v>
      </c>
      <c r="V4" s="56">
        <v>11286.955521</v>
      </c>
      <c r="W4" s="56">
        <v>13809.951116</v>
      </c>
      <c r="X4" s="56">
        <v>14751.614433000001</v>
      </c>
      <c r="Y4" s="56">
        <v>11154.933529</v>
      </c>
      <c r="DA4" s="181" t="s">
        <v>389</v>
      </c>
    </row>
    <row r="5" spans="1:105" ht="11.45" customHeight="1" x14ac:dyDescent="0.25">
      <c r="A5" s="57" t="s">
        <v>167</v>
      </c>
      <c r="B5" s="58">
        <v>42498.427666000003</v>
      </c>
      <c r="C5" s="58">
        <v>40365.429148999996</v>
      </c>
      <c r="D5" s="58">
        <v>47567.715553000002</v>
      </c>
      <c r="E5" s="58">
        <v>34143.318452</v>
      </c>
      <c r="F5" s="58">
        <v>54459.356748000006</v>
      </c>
      <c r="G5" s="58">
        <v>65231.748984999998</v>
      </c>
      <c r="H5" s="58">
        <v>64934.060493000004</v>
      </c>
      <c r="I5" s="58">
        <v>69309.231819000008</v>
      </c>
      <c r="J5" s="58">
        <v>59801.980335999993</v>
      </c>
      <c r="K5" s="58">
        <v>69995.899200999993</v>
      </c>
      <c r="L5" s="58">
        <v>88430.651272000003</v>
      </c>
      <c r="M5" s="58">
        <v>85938.910124000002</v>
      </c>
      <c r="N5" s="58">
        <v>98750.580283000003</v>
      </c>
      <c r="O5" s="58">
        <v>74008.754538000008</v>
      </c>
      <c r="P5" s="58">
        <v>67107.522815000004</v>
      </c>
      <c r="Q5" s="58">
        <v>53792.646754000001</v>
      </c>
      <c r="R5" s="58">
        <v>50504.779988999995</v>
      </c>
      <c r="S5" s="58">
        <v>51397.593152000001</v>
      </c>
      <c r="T5" s="58">
        <v>52118.336414999998</v>
      </c>
      <c r="U5" s="58">
        <v>59940.423455999997</v>
      </c>
      <c r="V5" s="58">
        <v>66284.996197999993</v>
      </c>
      <c r="W5" s="58">
        <v>64877.259451000005</v>
      </c>
      <c r="X5" s="58">
        <v>43697.104132</v>
      </c>
      <c r="Y5" s="58">
        <v>16057.690138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7.271496</v>
      </c>
      <c r="C7" s="59">
        <f t="shared" si="3"/>
        <v>6.5926439999999999</v>
      </c>
      <c r="D7" s="59">
        <f t="shared" si="3"/>
        <v>7.5752199999999998</v>
      </c>
      <c r="E7" s="59">
        <f t="shared" si="3"/>
        <v>10.600725000000001</v>
      </c>
      <c r="F7" s="59">
        <f t="shared" si="3"/>
        <v>10.469349999999999</v>
      </c>
      <c r="G7" s="59">
        <f t="shared" si="3"/>
        <v>9.3739179999999998</v>
      </c>
      <c r="H7" s="59">
        <f t="shared" si="3"/>
        <v>9.0382259999999999</v>
      </c>
      <c r="I7" s="59">
        <f t="shared" si="3"/>
        <v>7.5010130000000004</v>
      </c>
      <c r="J7" s="59">
        <f t="shared" si="3"/>
        <v>5.0511759999999999</v>
      </c>
      <c r="K7" s="59">
        <f t="shared" si="3"/>
        <v>5.5008179999999998</v>
      </c>
      <c r="L7" s="59">
        <f t="shared" si="3"/>
        <v>7.0707810000000002</v>
      </c>
      <c r="M7" s="59">
        <f t="shared" si="3"/>
        <v>6.5902399999999997</v>
      </c>
      <c r="N7" s="59">
        <f t="shared" si="3"/>
        <v>5.8388100000000005</v>
      </c>
      <c r="O7" s="59">
        <f t="shared" si="3"/>
        <v>6.0201159999999998</v>
      </c>
      <c r="P7" s="59">
        <f t="shared" si="3"/>
        <v>5.4700220000000002</v>
      </c>
      <c r="Q7" s="59">
        <f t="shared" si="3"/>
        <v>3.8347899999999999</v>
      </c>
      <c r="R7" s="59">
        <f t="shared" si="3"/>
        <v>3.4774320000000003</v>
      </c>
      <c r="S7" s="59">
        <f t="shared" si="3"/>
        <v>3.4798730000000004</v>
      </c>
      <c r="T7" s="59">
        <f t="shared" si="3"/>
        <v>3.6746620000000001</v>
      </c>
      <c r="U7" s="59">
        <f t="shared" si="3"/>
        <v>3.9326129999999999</v>
      </c>
      <c r="V7" s="59">
        <f t="shared" si="3"/>
        <v>3.6370829999999996</v>
      </c>
      <c r="W7" s="59">
        <f t="shared" si="3"/>
        <v>3.9848990000000004</v>
      </c>
      <c r="X7" s="59">
        <f t="shared" ref="X7:Y7" si="4">SUM(X8:X9)</f>
        <v>3.6862460000000001</v>
      </c>
      <c r="Y7" s="59">
        <f t="shared" si="4"/>
        <v>2.2288759999999996</v>
      </c>
      <c r="DA7" s="172" t="s">
        <v>963</v>
      </c>
    </row>
    <row r="8" spans="1:105" ht="11.45" customHeight="1" x14ac:dyDescent="0.25">
      <c r="A8" s="55" t="s">
        <v>166</v>
      </c>
      <c r="B8" s="60">
        <v>4.9668419999999998</v>
      </c>
      <c r="C8" s="60">
        <v>4.5149540000000004</v>
      </c>
      <c r="D8" s="60">
        <v>5.1708930000000004</v>
      </c>
      <c r="E8" s="60">
        <v>7.8826970000000003</v>
      </c>
      <c r="F8" s="60">
        <v>7.0958699999999997</v>
      </c>
      <c r="G8" s="60">
        <v>5.7130930000000006</v>
      </c>
      <c r="H8" s="60">
        <v>5.5382030000000002</v>
      </c>
      <c r="I8" s="60">
        <v>4.6215580000000003</v>
      </c>
      <c r="J8" s="60">
        <v>2.977751</v>
      </c>
      <c r="K8" s="60">
        <v>3.0036309999999999</v>
      </c>
      <c r="L8" s="60">
        <v>3.5160550000000002</v>
      </c>
      <c r="M8" s="60">
        <v>3.339674</v>
      </c>
      <c r="N8" s="60">
        <v>2.297955</v>
      </c>
      <c r="O8" s="60">
        <v>3.28857</v>
      </c>
      <c r="P8" s="60">
        <v>3.0195419999999999</v>
      </c>
      <c r="Q8" s="60">
        <v>1.9045219999999998</v>
      </c>
      <c r="R8" s="60">
        <v>1.669638</v>
      </c>
      <c r="S8" s="60">
        <v>1.7309240000000001</v>
      </c>
      <c r="T8" s="60">
        <v>1.8691720000000001</v>
      </c>
      <c r="U8" s="60">
        <v>1.8870560000000001</v>
      </c>
      <c r="V8" s="60">
        <v>1.479293</v>
      </c>
      <c r="W8" s="60">
        <v>1.8886540000000001</v>
      </c>
      <c r="X8" s="60">
        <v>2.083485</v>
      </c>
      <c r="Y8" s="60">
        <v>1.572892</v>
      </c>
      <c r="DA8" s="181" t="s">
        <v>964</v>
      </c>
    </row>
    <row r="9" spans="1:105" ht="11.45" customHeight="1" x14ac:dyDescent="0.25">
      <c r="A9" s="57" t="s">
        <v>167</v>
      </c>
      <c r="B9" s="61">
        <v>2.3046540000000002</v>
      </c>
      <c r="C9" s="61">
        <v>2.07769</v>
      </c>
      <c r="D9" s="61">
        <v>2.4043269999999999</v>
      </c>
      <c r="E9" s="61">
        <v>2.7180279999999999</v>
      </c>
      <c r="F9" s="61">
        <v>3.3734799999999998</v>
      </c>
      <c r="G9" s="61">
        <v>3.660825</v>
      </c>
      <c r="H9" s="61">
        <v>3.5000230000000001</v>
      </c>
      <c r="I9" s="61">
        <v>2.8794550000000001</v>
      </c>
      <c r="J9" s="61">
        <v>2.0734249999999999</v>
      </c>
      <c r="K9" s="61">
        <v>2.4971869999999998</v>
      </c>
      <c r="L9" s="61">
        <v>3.5547260000000001</v>
      </c>
      <c r="M9" s="61">
        <v>3.2505660000000001</v>
      </c>
      <c r="N9" s="61">
        <v>3.5408550000000001</v>
      </c>
      <c r="O9" s="61">
        <v>2.7315460000000003</v>
      </c>
      <c r="P9" s="61">
        <v>2.4504800000000002</v>
      </c>
      <c r="Q9" s="61">
        <v>1.9302679999999999</v>
      </c>
      <c r="R9" s="61">
        <v>1.8077940000000001</v>
      </c>
      <c r="S9" s="61">
        <v>1.7489490000000001</v>
      </c>
      <c r="T9" s="61">
        <v>1.80549</v>
      </c>
      <c r="U9" s="61">
        <v>2.0455570000000001</v>
      </c>
      <c r="V9" s="61">
        <v>2.1577899999999999</v>
      </c>
      <c r="W9" s="61">
        <v>2.0962450000000001</v>
      </c>
      <c r="X9" s="61">
        <v>1.6027610000000001</v>
      </c>
      <c r="Y9" s="61">
        <v>0.6559839999999999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9724.0086744185792</v>
      </c>
      <c r="C13" s="62">
        <f t="shared" si="5"/>
        <v>10101.177045355398</v>
      </c>
      <c r="D13" s="62">
        <f t="shared" si="5"/>
        <v>10357.362826822191</v>
      </c>
      <c r="E13" s="62">
        <f t="shared" si="5"/>
        <v>6190.2912432876046</v>
      </c>
      <c r="F13" s="62">
        <f t="shared" si="5"/>
        <v>8045.3327798764985</v>
      </c>
      <c r="G13" s="62">
        <f t="shared" si="5"/>
        <v>9628.842414452527</v>
      </c>
      <c r="H13" s="62">
        <f t="shared" si="5"/>
        <v>10071.459983186967</v>
      </c>
      <c r="I13" s="62">
        <f t="shared" si="5"/>
        <v>12061.837519545694</v>
      </c>
      <c r="J13" s="62">
        <f t="shared" si="5"/>
        <v>14956.63300447262</v>
      </c>
      <c r="K13" s="62">
        <f t="shared" si="5"/>
        <v>15801.963768843105</v>
      </c>
      <c r="L13" s="62">
        <f t="shared" si="5"/>
        <v>15366.46538352694</v>
      </c>
      <c r="M13" s="62">
        <f t="shared" si="5"/>
        <v>16311.640240567871</v>
      </c>
      <c r="N13" s="62">
        <f t="shared" si="5"/>
        <v>19483.16307158479</v>
      </c>
      <c r="O13" s="62">
        <f t="shared" si="5"/>
        <v>15892.405116944592</v>
      </c>
      <c r="P13" s="62">
        <f t="shared" si="5"/>
        <v>15893.536986140094</v>
      </c>
      <c r="Q13" s="62">
        <f t="shared" si="5"/>
        <v>17503.760914156966</v>
      </c>
      <c r="R13" s="62">
        <f t="shared" si="5"/>
        <v>17982.008908872984</v>
      </c>
      <c r="S13" s="62">
        <f t="shared" si="5"/>
        <v>18400.536405495255</v>
      </c>
      <c r="T13" s="62">
        <f t="shared" si="5"/>
        <v>17838.932088992129</v>
      </c>
      <c r="U13" s="62">
        <f t="shared" si="5"/>
        <v>18626.272825981097</v>
      </c>
      <c r="V13" s="62">
        <f t="shared" si="5"/>
        <v>21328.067497772252</v>
      </c>
      <c r="W13" s="62">
        <f t="shared" si="5"/>
        <v>19746.350049775414</v>
      </c>
      <c r="X13" s="62">
        <f t="shared" ref="X13:Y13" si="6">IF(X3=0,0,X3/X7)</f>
        <v>15855.892028095792</v>
      </c>
      <c r="Y13" s="62">
        <f t="shared" si="6"/>
        <v>12209.124090797337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5679.5973203898975</v>
      </c>
      <c r="C14" s="63">
        <f t="shared" si="5"/>
        <v>5809.1477990694921</v>
      </c>
      <c r="D14" s="63">
        <f t="shared" si="5"/>
        <v>5974.129899806474</v>
      </c>
      <c r="E14" s="63">
        <f t="shared" si="5"/>
        <v>3993.3358707051661</v>
      </c>
      <c r="F14" s="63">
        <f t="shared" si="5"/>
        <v>4195.4049314601316</v>
      </c>
      <c r="G14" s="63">
        <f t="shared" si="5"/>
        <v>4380.8546864194232</v>
      </c>
      <c r="H14" s="63">
        <f t="shared" si="5"/>
        <v>4711.6494258155581</v>
      </c>
      <c r="I14" s="63">
        <f t="shared" si="5"/>
        <v>4580.0070493543517</v>
      </c>
      <c r="J14" s="63">
        <f t="shared" si="5"/>
        <v>5288.0866590255528</v>
      </c>
      <c r="K14" s="63">
        <f t="shared" si="5"/>
        <v>5635.7879959289276</v>
      </c>
      <c r="L14" s="63">
        <f t="shared" si="5"/>
        <v>5751.4061068441761</v>
      </c>
      <c r="M14" s="63">
        <f t="shared" si="5"/>
        <v>6455.334818608043</v>
      </c>
      <c r="N14" s="63">
        <f t="shared" si="5"/>
        <v>6530.9838926349739</v>
      </c>
      <c r="O14" s="63">
        <f t="shared" si="5"/>
        <v>6588.0816844403489</v>
      </c>
      <c r="P14" s="63">
        <f t="shared" si="5"/>
        <v>6567.3781510573463</v>
      </c>
      <c r="Q14" s="63">
        <f t="shared" si="5"/>
        <v>6999.4468753839546</v>
      </c>
      <c r="R14" s="63">
        <f t="shared" si="5"/>
        <v>7203.0183878181988</v>
      </c>
      <c r="S14" s="63">
        <f t="shared" si="5"/>
        <v>7298.9551655647492</v>
      </c>
      <c r="T14" s="63">
        <f t="shared" si="5"/>
        <v>7186.9841047265845</v>
      </c>
      <c r="U14" s="63">
        <f t="shared" si="5"/>
        <v>7053.0494065888879</v>
      </c>
      <c r="V14" s="63">
        <f t="shared" si="5"/>
        <v>7629.9661534259949</v>
      </c>
      <c r="W14" s="63">
        <f t="shared" si="5"/>
        <v>7312.0598669740457</v>
      </c>
      <c r="X14" s="63">
        <f t="shared" ref="X14:Y14" si="7">IF(X4=0,0,X4/X8)</f>
        <v>7080.2594849494963</v>
      </c>
      <c r="Y14" s="63">
        <f t="shared" si="7"/>
        <v>7091.9894875172613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18440.26377321715</v>
      </c>
      <c r="C15" s="64">
        <f t="shared" si="5"/>
        <v>19428.032646352436</v>
      </c>
      <c r="D15" s="64">
        <f t="shared" si="5"/>
        <v>19784.212194514308</v>
      </c>
      <c r="E15" s="64">
        <f t="shared" si="5"/>
        <v>12561.797910838299</v>
      </c>
      <c r="F15" s="64">
        <f t="shared" si="5"/>
        <v>16143.376201429979</v>
      </c>
      <c r="G15" s="64">
        <f t="shared" si="5"/>
        <v>17818.865688745023</v>
      </c>
      <c r="H15" s="64">
        <f t="shared" si="5"/>
        <v>18552.46679607534</v>
      </c>
      <c r="I15" s="64">
        <f t="shared" si="5"/>
        <v>24070.260455190306</v>
      </c>
      <c r="J15" s="64">
        <f t="shared" si="5"/>
        <v>28842.123701604833</v>
      </c>
      <c r="K15" s="64">
        <f t="shared" si="5"/>
        <v>28029.898922667784</v>
      </c>
      <c r="L15" s="64">
        <f t="shared" si="5"/>
        <v>24876.92476775988</v>
      </c>
      <c r="M15" s="64">
        <f t="shared" si="5"/>
        <v>26438.137273324093</v>
      </c>
      <c r="N15" s="64">
        <f t="shared" si="5"/>
        <v>27888.908267353505</v>
      </c>
      <c r="O15" s="64">
        <f t="shared" si="5"/>
        <v>27094.090503326686</v>
      </c>
      <c r="P15" s="64">
        <f t="shared" si="5"/>
        <v>27385.460324099768</v>
      </c>
      <c r="Q15" s="64">
        <f t="shared" si="5"/>
        <v>27867.967947456003</v>
      </c>
      <c r="R15" s="64">
        <f t="shared" si="5"/>
        <v>27937.242843487693</v>
      </c>
      <c r="S15" s="64">
        <f t="shared" si="5"/>
        <v>29387.702644273788</v>
      </c>
      <c r="T15" s="64">
        <f t="shared" si="5"/>
        <v>28866.588247511754</v>
      </c>
      <c r="U15" s="64">
        <f t="shared" si="5"/>
        <v>29302.73928128133</v>
      </c>
      <c r="V15" s="64">
        <f t="shared" si="5"/>
        <v>30718.928254371371</v>
      </c>
      <c r="W15" s="64">
        <f t="shared" si="5"/>
        <v>30949.273320151031</v>
      </c>
      <c r="X15" s="64">
        <f t="shared" ref="X15:Y15" si="8">IF(X5=0,0,X5/X9)</f>
        <v>27263.643258102737</v>
      </c>
      <c r="Y15" s="64">
        <f t="shared" si="8"/>
        <v>24478.783229469016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0.39895947468227883</v>
      </c>
      <c r="C18" s="66">
        <f t="shared" si="9"/>
        <v>0.39385299129478279</v>
      </c>
      <c r="D18" s="66">
        <f t="shared" si="9"/>
        <v>0.39372752088728746</v>
      </c>
      <c r="E18" s="66">
        <f t="shared" si="9"/>
        <v>0.47969370776063941</v>
      </c>
      <c r="F18" s="66">
        <f t="shared" si="9"/>
        <v>0.35344008524395798</v>
      </c>
      <c r="G18" s="66">
        <f t="shared" si="9"/>
        <v>0.27729044984353229</v>
      </c>
      <c r="H18" s="66">
        <f t="shared" si="9"/>
        <v>0.28665941573574433</v>
      </c>
      <c r="I18" s="66">
        <f t="shared" si="9"/>
        <v>0.23394898326749566</v>
      </c>
      <c r="J18" s="66">
        <f t="shared" si="9"/>
        <v>0.20843018034985683</v>
      </c>
      <c r="K18" s="66">
        <f t="shared" si="9"/>
        <v>0.19474346268662662</v>
      </c>
      <c r="L18" s="66">
        <f t="shared" si="9"/>
        <v>0.18611797811232533</v>
      </c>
      <c r="M18" s="66">
        <f t="shared" si="9"/>
        <v>0.20055060806936126</v>
      </c>
      <c r="N18" s="66">
        <f t="shared" si="9"/>
        <v>0.13192780105856192</v>
      </c>
      <c r="O18" s="66">
        <f t="shared" si="9"/>
        <v>0.22644961102289263</v>
      </c>
      <c r="P18" s="66">
        <f t="shared" si="9"/>
        <v>0.22809904584512997</v>
      </c>
      <c r="Q18" s="66">
        <f t="shared" si="9"/>
        <v>0.19859886246627431</v>
      </c>
      <c r="R18" s="66">
        <f t="shared" si="9"/>
        <v>0.19232688122914418</v>
      </c>
      <c r="S18" s="66">
        <f t="shared" si="9"/>
        <v>0.19730805598309964</v>
      </c>
      <c r="T18" s="66">
        <f t="shared" si="9"/>
        <v>0.2049319632227958</v>
      </c>
      <c r="U18" s="66">
        <f t="shared" si="9"/>
        <v>0.18169983964792763</v>
      </c>
      <c r="V18" s="66">
        <f t="shared" si="9"/>
        <v>0.14550304937390718</v>
      </c>
      <c r="W18" s="66">
        <f t="shared" si="9"/>
        <v>0.17550439285481095</v>
      </c>
      <c r="X18" s="66">
        <f t="shared" ref="X18:Y18" si="11">IF(X4=0,0,X4/X$3)</f>
        <v>0.25238559193722848</v>
      </c>
      <c r="Y18" s="66">
        <f t="shared" si="11"/>
        <v>0.40991760535487365</v>
      </c>
      <c r="DA18" s="181"/>
    </row>
    <row r="19" spans="1:105" ht="11.45" customHeight="1" x14ac:dyDescent="0.25">
      <c r="A19" s="57" t="s">
        <v>167</v>
      </c>
      <c r="B19" s="67">
        <f t="shared" si="9"/>
        <v>0.60104052531772123</v>
      </c>
      <c r="C19" s="67">
        <f t="shared" si="9"/>
        <v>0.60614700870521721</v>
      </c>
      <c r="D19" s="67">
        <f t="shared" si="9"/>
        <v>0.60627247911271265</v>
      </c>
      <c r="E19" s="67">
        <f t="shared" si="9"/>
        <v>0.52030629223936053</v>
      </c>
      <c r="F19" s="67">
        <f t="shared" si="9"/>
        <v>0.64655991475604202</v>
      </c>
      <c r="G19" s="67">
        <f t="shared" si="9"/>
        <v>0.72270955015646776</v>
      </c>
      <c r="H19" s="67">
        <f t="shared" si="9"/>
        <v>0.71334058426425562</v>
      </c>
      <c r="I19" s="67">
        <f t="shared" si="9"/>
        <v>0.76605101673250431</v>
      </c>
      <c r="J19" s="67">
        <f t="shared" si="9"/>
        <v>0.79156981965014317</v>
      </c>
      <c r="K19" s="67">
        <f t="shared" si="9"/>
        <v>0.80525653731337343</v>
      </c>
      <c r="L19" s="67">
        <f t="shared" si="9"/>
        <v>0.81388202188767467</v>
      </c>
      <c r="M19" s="67">
        <f t="shared" si="9"/>
        <v>0.7994493919306388</v>
      </c>
      <c r="N19" s="67">
        <f t="shared" si="9"/>
        <v>0.86807219894143806</v>
      </c>
      <c r="O19" s="67">
        <f t="shared" si="9"/>
        <v>0.77355038897710737</v>
      </c>
      <c r="P19" s="67">
        <f t="shared" si="9"/>
        <v>0.77190095415487003</v>
      </c>
      <c r="Q19" s="67">
        <f t="shared" si="9"/>
        <v>0.80140113753372577</v>
      </c>
      <c r="R19" s="67">
        <f t="shared" si="9"/>
        <v>0.80767311877085579</v>
      </c>
      <c r="S19" s="67">
        <f t="shared" si="9"/>
        <v>0.80269194401690025</v>
      </c>
      <c r="T19" s="67">
        <f t="shared" si="9"/>
        <v>0.79506803677720417</v>
      </c>
      <c r="U19" s="67">
        <f t="shared" si="9"/>
        <v>0.81830016035207231</v>
      </c>
      <c r="V19" s="67">
        <f t="shared" si="9"/>
        <v>0.85449695062609288</v>
      </c>
      <c r="W19" s="67">
        <f t="shared" si="9"/>
        <v>0.8244956071451891</v>
      </c>
      <c r="X19" s="67">
        <f t="shared" ref="X19:Y19" si="12">IF(X5=0,0,X5/X$3)</f>
        <v>0.74761440806277146</v>
      </c>
      <c r="Y19" s="67">
        <f t="shared" si="12"/>
        <v>0.59008239464512635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0.68305641645130521</v>
      </c>
      <c r="C22" s="66">
        <f t="shared" si="13"/>
        <v>0.68484723276427495</v>
      </c>
      <c r="D22" s="66">
        <f t="shared" si="13"/>
        <v>0.68260631374402336</v>
      </c>
      <c r="E22" s="66">
        <f t="shared" si="13"/>
        <v>0.74359980095700995</v>
      </c>
      <c r="F22" s="66">
        <f t="shared" si="13"/>
        <v>0.67777560211474452</v>
      </c>
      <c r="G22" s="66">
        <f t="shared" si="13"/>
        <v>0.60946692727630014</v>
      </c>
      <c r="H22" s="66">
        <f t="shared" si="13"/>
        <v>0.61275332128229587</v>
      </c>
      <c r="I22" s="66">
        <f t="shared" si="13"/>
        <v>0.61612451544878011</v>
      </c>
      <c r="J22" s="66">
        <f t="shared" si="13"/>
        <v>0.58951638192769373</v>
      </c>
      <c r="K22" s="66">
        <f t="shared" si="13"/>
        <v>0.54603351719689686</v>
      </c>
      <c r="L22" s="66">
        <f t="shared" si="13"/>
        <v>0.49726543644895804</v>
      </c>
      <c r="M22" s="66">
        <f t="shared" si="13"/>
        <v>0.50676060355920272</v>
      </c>
      <c r="N22" s="66">
        <f t="shared" si="13"/>
        <v>0.39356564094395941</v>
      </c>
      <c r="O22" s="66">
        <f t="shared" si="13"/>
        <v>0.54626356036993307</v>
      </c>
      <c r="P22" s="66">
        <f t="shared" si="13"/>
        <v>0.55201642699060438</v>
      </c>
      <c r="Q22" s="66">
        <f t="shared" si="13"/>
        <v>0.49664310170830733</v>
      </c>
      <c r="R22" s="66">
        <f t="shared" si="13"/>
        <v>0.48013534125182028</v>
      </c>
      <c r="S22" s="66">
        <f t="shared" si="13"/>
        <v>0.49741010663320184</v>
      </c>
      <c r="T22" s="66">
        <f t="shared" si="13"/>
        <v>0.50866501463263836</v>
      </c>
      <c r="U22" s="66">
        <f t="shared" si="13"/>
        <v>0.47984787722565125</v>
      </c>
      <c r="V22" s="66">
        <f t="shared" si="13"/>
        <v>0.40672511460420346</v>
      </c>
      <c r="W22" s="66">
        <f t="shared" si="13"/>
        <v>0.47395279027147236</v>
      </c>
      <c r="X22" s="66">
        <f t="shared" ref="X22:Y22" si="15">IF(X8=0,0,X8/X$7)</f>
        <v>0.56520508940531911</v>
      </c>
      <c r="Y22" s="66">
        <f t="shared" si="15"/>
        <v>0.7056884277097516</v>
      </c>
      <c r="DA22" s="181"/>
    </row>
    <row r="23" spans="1:105" ht="11.45" customHeight="1" x14ac:dyDescent="0.25">
      <c r="A23" s="57" t="s">
        <v>167</v>
      </c>
      <c r="B23" s="67">
        <f t="shared" si="13"/>
        <v>0.31694358354869484</v>
      </c>
      <c r="C23" s="67">
        <f t="shared" si="13"/>
        <v>0.31515276723572516</v>
      </c>
      <c r="D23" s="67">
        <f t="shared" si="13"/>
        <v>0.31739368625597669</v>
      </c>
      <c r="E23" s="67">
        <f t="shared" si="13"/>
        <v>0.25640019904298994</v>
      </c>
      <c r="F23" s="67">
        <f t="shared" si="13"/>
        <v>0.32222439788525553</v>
      </c>
      <c r="G23" s="67">
        <f t="shared" si="13"/>
        <v>0.39053307272369997</v>
      </c>
      <c r="H23" s="67">
        <f t="shared" si="13"/>
        <v>0.38724667871770413</v>
      </c>
      <c r="I23" s="67">
        <f t="shared" si="13"/>
        <v>0.38387548455121995</v>
      </c>
      <c r="J23" s="67">
        <f t="shared" si="13"/>
        <v>0.41048361807230632</v>
      </c>
      <c r="K23" s="67">
        <f t="shared" si="13"/>
        <v>0.45396648280310309</v>
      </c>
      <c r="L23" s="67">
        <f t="shared" si="13"/>
        <v>0.50273456355104196</v>
      </c>
      <c r="M23" s="67">
        <f t="shared" si="13"/>
        <v>0.49323939644079734</v>
      </c>
      <c r="N23" s="67">
        <f t="shared" si="13"/>
        <v>0.60643435905604048</v>
      </c>
      <c r="O23" s="67">
        <f t="shared" si="13"/>
        <v>0.45373643963006699</v>
      </c>
      <c r="P23" s="67">
        <f t="shared" si="13"/>
        <v>0.44798357300939562</v>
      </c>
      <c r="Q23" s="67">
        <f t="shared" si="13"/>
        <v>0.50335689829169261</v>
      </c>
      <c r="R23" s="67">
        <f t="shared" si="13"/>
        <v>0.51986465874817966</v>
      </c>
      <c r="S23" s="67">
        <f t="shared" si="13"/>
        <v>0.50258989336679816</v>
      </c>
      <c r="T23" s="67">
        <f t="shared" si="13"/>
        <v>0.4913349853673617</v>
      </c>
      <c r="U23" s="67">
        <f t="shared" si="13"/>
        <v>0.52015212277434875</v>
      </c>
      <c r="V23" s="67">
        <f t="shared" si="13"/>
        <v>0.59327488539579665</v>
      </c>
      <c r="W23" s="67">
        <f t="shared" si="13"/>
        <v>0.52604720972852759</v>
      </c>
      <c r="X23" s="67">
        <f t="shared" ref="X23:Y23" si="16">IF(X9=0,0,X9/X$7)</f>
        <v>0.43479491059468089</v>
      </c>
      <c r="Y23" s="67">
        <f t="shared" si="16"/>
        <v>0.29431157229024857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104.06758383490973</v>
      </c>
      <c r="C3" s="62">
        <f t="shared" ref="C3:W3" si="0">SUM(C4,C10)</f>
        <v>99.512725709372305</v>
      </c>
      <c r="D3" s="62">
        <f t="shared" si="0"/>
        <v>116.82906276870162</v>
      </c>
      <c r="E3" s="62">
        <f t="shared" si="0"/>
        <v>110.82923473774719</v>
      </c>
      <c r="F3" s="62">
        <f t="shared" si="0"/>
        <v>148.18237317282893</v>
      </c>
      <c r="G3" s="62">
        <f t="shared" si="0"/>
        <v>118.47712811693893</v>
      </c>
      <c r="H3" s="62">
        <f t="shared" si="0"/>
        <v>208.55786758383485</v>
      </c>
      <c r="I3" s="62">
        <f t="shared" si="0"/>
        <v>241.82433361994833</v>
      </c>
      <c r="J3" s="62">
        <f t="shared" si="0"/>
        <v>245.88228718830607</v>
      </c>
      <c r="K3" s="62">
        <f t="shared" si="0"/>
        <v>219.02166809974204</v>
      </c>
      <c r="L3" s="62">
        <f t="shared" si="0"/>
        <v>215.60137575236456</v>
      </c>
      <c r="M3" s="62">
        <f t="shared" si="0"/>
        <v>182.55898538263108</v>
      </c>
      <c r="N3" s="62">
        <f t="shared" si="0"/>
        <v>391.33224419604466</v>
      </c>
      <c r="O3" s="62">
        <f t="shared" si="0"/>
        <v>407.62012037833188</v>
      </c>
      <c r="P3" s="62">
        <f t="shared" si="0"/>
        <v>313.74368013757521</v>
      </c>
      <c r="Q3" s="62">
        <f t="shared" si="0"/>
        <v>284.98374892519348</v>
      </c>
      <c r="R3" s="62">
        <f t="shared" si="0"/>
        <v>268.58314703353403</v>
      </c>
      <c r="S3" s="62">
        <f t="shared" si="0"/>
        <v>321.46569217540844</v>
      </c>
      <c r="T3" s="62">
        <f t="shared" si="0"/>
        <v>306.38194325021493</v>
      </c>
      <c r="U3" s="62">
        <f t="shared" si="0"/>
        <v>183.57394668959586</v>
      </c>
      <c r="V3" s="62">
        <f t="shared" si="0"/>
        <v>293.49234737747207</v>
      </c>
      <c r="W3" s="62">
        <f t="shared" si="0"/>
        <v>302.14256233877899</v>
      </c>
      <c r="X3" s="62">
        <f t="shared" ref="X3:Y3" si="1">SUM(X4,X10)</f>
        <v>309.61289767841788</v>
      </c>
      <c r="Y3" s="62">
        <f t="shared" si="1"/>
        <v>234.96268271711094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59.21253212619996</v>
      </c>
      <c r="C4" s="71">
        <f t="shared" ref="C4:W4" si="2">SUM(C5:C9)</f>
        <v>56.624733063302159</v>
      </c>
      <c r="D4" s="71">
        <f t="shared" si="2"/>
        <v>66.259468210711105</v>
      </c>
      <c r="E4" s="71">
        <f t="shared" si="2"/>
        <v>64.895592230760144</v>
      </c>
      <c r="F4" s="71">
        <f t="shared" si="2"/>
        <v>79.347862987600962</v>
      </c>
      <c r="G4" s="71">
        <f t="shared" si="2"/>
        <v>57.403861856524856</v>
      </c>
      <c r="H4" s="71">
        <f t="shared" si="2"/>
        <v>102.18001050898965</v>
      </c>
      <c r="I4" s="71">
        <f t="shared" si="2"/>
        <v>117.87188638403241</v>
      </c>
      <c r="J4" s="71">
        <f t="shared" si="2"/>
        <v>117.3384986503592</v>
      </c>
      <c r="K4" s="71">
        <f t="shared" si="2"/>
        <v>100.12296589776822</v>
      </c>
      <c r="L4" s="71">
        <f t="shared" si="2"/>
        <v>96.788036062703</v>
      </c>
      <c r="M4" s="71">
        <f t="shared" si="2"/>
        <v>84.753744988630061</v>
      </c>
      <c r="N4" s="71">
        <f t="shared" si="2"/>
        <v>147.57556563593738</v>
      </c>
      <c r="O4" s="71">
        <f t="shared" si="2"/>
        <v>201.46660565840509</v>
      </c>
      <c r="P4" s="71">
        <f t="shared" si="2"/>
        <v>155.01346129644162</v>
      </c>
      <c r="Q4" s="71">
        <f t="shared" si="2"/>
        <v>131.25701965003589</v>
      </c>
      <c r="R4" s="71">
        <f t="shared" si="2"/>
        <v>121.24780907396135</v>
      </c>
      <c r="S4" s="71">
        <f t="shared" si="2"/>
        <v>149.04734229715453</v>
      </c>
      <c r="T4" s="71">
        <f t="shared" si="2"/>
        <v>142.76684642019885</v>
      </c>
      <c r="U4" s="71">
        <f t="shared" si="2"/>
        <v>81.831593971724956</v>
      </c>
      <c r="V4" s="71">
        <f t="shared" si="2"/>
        <v>104.49256777070089</v>
      </c>
      <c r="W4" s="71">
        <f t="shared" si="2"/>
        <v>118.28383924647817</v>
      </c>
      <c r="X4" s="71">
        <f t="shared" ref="X4:Y4" si="3">SUM(X5:X9)</f>
        <v>155.85458808017643</v>
      </c>
      <c r="Y4" s="71">
        <f t="shared" si="3"/>
        <v>141.7118448175855</v>
      </c>
      <c r="DA4" s="186" t="s">
        <v>971</v>
      </c>
    </row>
    <row r="5" spans="1:105" ht="11.45" customHeight="1" x14ac:dyDescent="0.25">
      <c r="A5" s="72" t="s">
        <v>144</v>
      </c>
      <c r="B5" s="73">
        <v>37.038133003553121</v>
      </c>
      <c r="C5" s="73">
        <v>39.696478501543325</v>
      </c>
      <c r="D5" s="73">
        <v>43.174487787446388</v>
      </c>
      <c r="E5" s="73">
        <v>39.027169695653377</v>
      </c>
      <c r="F5" s="73">
        <v>43.155487474471997</v>
      </c>
      <c r="G5" s="73">
        <v>37.561063804769745</v>
      </c>
      <c r="H5" s="73">
        <v>37.692950837658607</v>
      </c>
      <c r="I5" s="73">
        <v>25.961797607775377</v>
      </c>
      <c r="J5" s="73">
        <v>16.637535303938723</v>
      </c>
      <c r="K5" s="73">
        <v>12.30870254551294</v>
      </c>
      <c r="L5" s="73">
        <v>17.192741424875155</v>
      </c>
      <c r="M5" s="73">
        <v>19.858440928050189</v>
      </c>
      <c r="N5" s="73">
        <v>65.975465169696918</v>
      </c>
      <c r="O5" s="73">
        <v>33.782721804939598</v>
      </c>
      <c r="P5" s="73">
        <v>42.229126722103047</v>
      </c>
      <c r="Q5" s="73">
        <v>75.893394964535773</v>
      </c>
      <c r="R5" s="73">
        <v>91.15596994274155</v>
      </c>
      <c r="S5" s="73">
        <v>93.474918447262198</v>
      </c>
      <c r="T5" s="73">
        <v>130.58620464202042</v>
      </c>
      <c r="U5" s="73">
        <v>51.63155739667728</v>
      </c>
      <c r="V5" s="73">
        <v>86.178634322299303</v>
      </c>
      <c r="W5" s="73">
        <v>88.295404321031242</v>
      </c>
      <c r="X5" s="73">
        <v>83.518169372584836</v>
      </c>
      <c r="Y5" s="73">
        <v>60.310366787257877</v>
      </c>
      <c r="DA5" s="187" t="s">
        <v>972</v>
      </c>
    </row>
    <row r="6" spans="1:105" ht="11.45" customHeight="1" x14ac:dyDescent="0.25">
      <c r="A6" s="72" t="s">
        <v>145</v>
      </c>
      <c r="B6" s="73">
        <v>22.174399122646843</v>
      </c>
      <c r="C6" s="73">
        <v>16.92825456175883</v>
      </c>
      <c r="D6" s="73">
        <v>23.084980423264721</v>
      </c>
      <c r="E6" s="73">
        <v>25.868422535106763</v>
      </c>
      <c r="F6" s="73">
        <v>36.192375513128965</v>
      </c>
      <c r="G6" s="73">
        <v>19.842798051755111</v>
      </c>
      <c r="H6" s="73">
        <v>64.487059671331053</v>
      </c>
      <c r="I6" s="73">
        <v>91.910088776257027</v>
      </c>
      <c r="J6" s="73">
        <v>100.70096334642048</v>
      </c>
      <c r="K6" s="73">
        <v>87.814263352255281</v>
      </c>
      <c r="L6" s="73">
        <v>79.595294637827848</v>
      </c>
      <c r="M6" s="73">
        <v>64.895304060579875</v>
      </c>
      <c r="N6" s="73">
        <v>81.600100466240448</v>
      </c>
      <c r="O6" s="73">
        <v>167.68388385346549</v>
      </c>
      <c r="P6" s="73">
        <v>112.78433457433859</v>
      </c>
      <c r="Q6" s="73">
        <v>55.363624685500113</v>
      </c>
      <c r="R6" s="73">
        <v>30.091839131219796</v>
      </c>
      <c r="S6" s="73">
        <v>48.894917168220886</v>
      </c>
      <c r="T6" s="73">
        <v>4.437735759214819</v>
      </c>
      <c r="U6" s="73">
        <v>21.034057873190559</v>
      </c>
      <c r="V6" s="73">
        <v>10.561504761131854</v>
      </c>
      <c r="W6" s="73">
        <v>20.617874191224434</v>
      </c>
      <c r="X6" s="73">
        <v>44.65148123472293</v>
      </c>
      <c r="Y6" s="73">
        <v>71.88646964583593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6.6775066816714377</v>
      </c>
      <c r="T8" s="73">
        <v>7.7083526098777666</v>
      </c>
      <c r="U8" s="73">
        <v>9.0971957526124783</v>
      </c>
      <c r="V8" s="73">
        <v>7.65651988675718</v>
      </c>
      <c r="W8" s="73">
        <v>9.2071311736532611</v>
      </c>
      <c r="X8" s="73">
        <v>27.069891573772054</v>
      </c>
      <c r="Y8" s="73">
        <v>9.1578428366162932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3.4553409085807181E-2</v>
      </c>
      <c r="U9" s="75">
        <v>6.8782949244629354E-2</v>
      </c>
      <c r="V9" s="75">
        <v>9.5908800512542081E-2</v>
      </c>
      <c r="W9" s="75">
        <v>0.16342956056922159</v>
      </c>
      <c r="X9" s="75">
        <v>0.61504589909660234</v>
      </c>
      <c r="Y9" s="75">
        <v>0.35716554787539834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44.855051708709759</v>
      </c>
      <c r="C10" s="71">
        <f t="shared" ref="C10:W10" si="4">SUM(C11:C15)</f>
        <v>42.887992646070145</v>
      </c>
      <c r="D10" s="71">
        <f t="shared" si="4"/>
        <v>50.569594557990506</v>
      </c>
      <c r="E10" s="71">
        <f t="shared" si="4"/>
        <v>45.933642506987042</v>
      </c>
      <c r="F10" s="71">
        <f t="shared" si="4"/>
        <v>68.834510185227956</v>
      </c>
      <c r="G10" s="71">
        <f t="shared" si="4"/>
        <v>61.07326626041408</v>
      </c>
      <c r="H10" s="71">
        <f t="shared" si="4"/>
        <v>106.3778570748452</v>
      </c>
      <c r="I10" s="71">
        <f t="shared" si="4"/>
        <v>123.95244723591594</v>
      </c>
      <c r="J10" s="71">
        <f t="shared" si="4"/>
        <v>128.54378853794685</v>
      </c>
      <c r="K10" s="71">
        <f t="shared" si="4"/>
        <v>118.8987022019738</v>
      </c>
      <c r="L10" s="71">
        <f t="shared" si="4"/>
        <v>118.81333968966155</v>
      </c>
      <c r="M10" s="71">
        <f t="shared" si="4"/>
        <v>97.805240394001032</v>
      </c>
      <c r="N10" s="71">
        <f t="shared" si="4"/>
        <v>243.75667856010728</v>
      </c>
      <c r="O10" s="71">
        <f t="shared" si="4"/>
        <v>206.15351471992682</v>
      </c>
      <c r="P10" s="71">
        <f t="shared" si="4"/>
        <v>158.73021884113359</v>
      </c>
      <c r="Q10" s="71">
        <f t="shared" si="4"/>
        <v>153.72672927515757</v>
      </c>
      <c r="R10" s="71">
        <f t="shared" si="4"/>
        <v>147.33533795957268</v>
      </c>
      <c r="S10" s="71">
        <f t="shared" si="4"/>
        <v>172.41834987825391</v>
      </c>
      <c r="T10" s="71">
        <f t="shared" si="4"/>
        <v>163.61509683001609</v>
      </c>
      <c r="U10" s="71">
        <f t="shared" si="4"/>
        <v>101.74235271787092</v>
      </c>
      <c r="V10" s="71">
        <f t="shared" si="4"/>
        <v>188.9997796067712</v>
      </c>
      <c r="W10" s="71">
        <f t="shared" si="4"/>
        <v>183.85872309230083</v>
      </c>
      <c r="X10" s="71">
        <f t="shared" ref="X10:Y10" si="5">SUM(X11:X15)</f>
        <v>153.75830959824142</v>
      </c>
      <c r="Y10" s="71">
        <f t="shared" si="5"/>
        <v>93.250837899525436</v>
      </c>
      <c r="DA10" s="186" t="s">
        <v>977</v>
      </c>
    </row>
    <row r="11" spans="1:105" ht="11.45" customHeight="1" x14ac:dyDescent="0.25">
      <c r="A11" s="72" t="s">
        <v>144</v>
      </c>
      <c r="B11" s="73">
        <v>5.395228991287806</v>
      </c>
      <c r="C11" s="73">
        <v>5.7678379215005195</v>
      </c>
      <c r="D11" s="73">
        <v>6.3311012065346901</v>
      </c>
      <c r="E11" s="73">
        <v>5.4268285846561657</v>
      </c>
      <c r="F11" s="73">
        <v>7.3604196622433955</v>
      </c>
      <c r="G11" s="73">
        <v>7.9032526182741041</v>
      </c>
      <c r="H11" s="73">
        <v>7.7713655853852392</v>
      </c>
      <c r="I11" s="73">
        <v>5.3580648169881613</v>
      </c>
      <c r="J11" s="73">
        <v>3.5688275507474367</v>
      </c>
      <c r="K11" s="73">
        <v>2.8460695955016795</v>
      </c>
      <c r="L11" s="73">
        <v>4.0239395725453075</v>
      </c>
      <c r="M11" s="73">
        <v>4.3891944975731993</v>
      </c>
      <c r="N11" s="73">
        <v>20.911895105453546</v>
      </c>
      <c r="O11" s="73">
        <v>6.630003904432713</v>
      </c>
      <c r="P11" s="73">
        <v>8.2867804146123483</v>
      </c>
      <c r="Q11" s="73">
        <v>17.055874167020551</v>
      </c>
      <c r="R11" s="73">
        <v>20.989343900766663</v>
      </c>
      <c r="S11" s="73">
        <v>19.680713538980296</v>
      </c>
      <c r="T11" s="73">
        <v>28.033743767265896</v>
      </c>
      <c r="U11" s="73">
        <v>12.018485595584107</v>
      </c>
      <c r="V11" s="73">
        <v>28.997633949411796</v>
      </c>
      <c r="W11" s="73">
        <v>25.870545807945565</v>
      </c>
      <c r="X11" s="73">
        <v>15.493008615377313</v>
      </c>
      <c r="Y11" s="73">
        <v>7.3809487759407357</v>
      </c>
      <c r="DA11" s="187" t="s">
        <v>978</v>
      </c>
    </row>
    <row r="12" spans="1:105" ht="11.45" customHeight="1" x14ac:dyDescent="0.25">
      <c r="A12" s="72" t="s">
        <v>145</v>
      </c>
      <c r="B12" s="73">
        <v>39.45982271742195</v>
      </c>
      <c r="C12" s="73">
        <v>37.120154724569623</v>
      </c>
      <c r="D12" s="73">
        <v>44.238493351455816</v>
      </c>
      <c r="E12" s="73">
        <v>40.506813922330878</v>
      </c>
      <c r="F12" s="73">
        <v>61.474090522984554</v>
      </c>
      <c r="G12" s="73">
        <v>53.170013642139978</v>
      </c>
      <c r="H12" s="73">
        <v>98.606491489459955</v>
      </c>
      <c r="I12" s="73">
        <v>118.59438241892778</v>
      </c>
      <c r="J12" s="73">
        <v>124.97496098719941</v>
      </c>
      <c r="K12" s="73">
        <v>116.05263260647213</v>
      </c>
      <c r="L12" s="73">
        <v>114.78940011711624</v>
      </c>
      <c r="M12" s="73">
        <v>93.416045896427832</v>
      </c>
      <c r="N12" s="73">
        <v>222.84478345465374</v>
      </c>
      <c r="O12" s="73">
        <v>199.52351081549409</v>
      </c>
      <c r="P12" s="73">
        <v>150.44343842652125</v>
      </c>
      <c r="Q12" s="73">
        <v>136.670855108137</v>
      </c>
      <c r="R12" s="73">
        <v>126.34599405880603</v>
      </c>
      <c r="S12" s="73">
        <v>145.0130793923982</v>
      </c>
      <c r="T12" s="73">
        <v>126.70775005333887</v>
      </c>
      <c r="U12" s="73">
        <v>78.327679014169703</v>
      </c>
      <c r="V12" s="73">
        <v>145.98002576337376</v>
      </c>
      <c r="W12" s="73">
        <v>143.42271050353045</v>
      </c>
      <c r="X12" s="73">
        <v>110.95273200689356</v>
      </c>
      <c r="Y12" s="73">
        <v>79.608715220888072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7.7245569468754232</v>
      </c>
      <c r="T14" s="73">
        <v>8.834003764102345</v>
      </c>
      <c r="U14" s="73">
        <v>11.31066931588337</v>
      </c>
      <c r="V14" s="73">
        <v>13.848645908744921</v>
      </c>
      <c r="W14" s="73">
        <v>14.311434188433386</v>
      </c>
      <c r="X14" s="73">
        <v>26.70579557946472</v>
      </c>
      <c r="Y14" s="73">
        <v>6.0261477716692804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3.9599245308970001E-2</v>
      </c>
      <c r="U15" s="75">
        <v>8.5518792233725022E-2</v>
      </c>
      <c r="V15" s="75">
        <v>0.17347398524072713</v>
      </c>
      <c r="W15" s="75">
        <v>0.25403259239142079</v>
      </c>
      <c r="X15" s="75">
        <v>0.60677339650581996</v>
      </c>
      <c r="Y15" s="75">
        <v>0.23502613102734016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1431.1715750776693</v>
      </c>
      <c r="C19" s="62">
        <f>IF(C3=0,0,C3/MBunk_act!C7*100)</f>
        <v>1509.4509230192364</v>
      </c>
      <c r="D19" s="62">
        <f>IF(D3=0,0,D3/MBunk_act!D7*100)</f>
        <v>1542.2530668244831</v>
      </c>
      <c r="E19" s="62">
        <f>IF(E3=0,0,E3/MBunk_act!E7*100)</f>
        <v>1045.4873108938039</v>
      </c>
      <c r="F19" s="62">
        <f>IF(F3=0,0,F3/MBunk_act!F7*100)</f>
        <v>1415.3922943910457</v>
      </c>
      <c r="G19" s="62">
        <f>IF(G3=0,0,G3/MBunk_act!G7*100)</f>
        <v>1263.9019043791393</v>
      </c>
      <c r="H19" s="62">
        <f>IF(H3=0,0,H3/MBunk_act!H7*100)</f>
        <v>2307.5088804355505</v>
      </c>
      <c r="I19" s="62">
        <f>IF(I3=0,0,I3/MBunk_act!I7*100)</f>
        <v>3223.8890083239198</v>
      </c>
      <c r="J19" s="62">
        <f>IF(J3=0,0,J3/MBunk_act!J7*100)</f>
        <v>4867.822605830921</v>
      </c>
      <c r="K19" s="62">
        <f>IF(K3=0,0,K3/MBunk_act!K7*100)</f>
        <v>3981.6199717885966</v>
      </c>
      <c r="L19" s="62">
        <f>IF(L3=0,0,L3/MBunk_act!L7*100)</f>
        <v>3049.1875756350614</v>
      </c>
      <c r="M19" s="62">
        <f>IF(M3=0,0,M3/MBunk_act!M7*100)</f>
        <v>2770.1416850164956</v>
      </c>
      <c r="N19" s="62">
        <f>IF(N3=0,0,N3/MBunk_act!N7*100)</f>
        <v>6702.2602926973932</v>
      </c>
      <c r="O19" s="62">
        <f>IF(O3=0,0,O3/MBunk_act!O7*100)</f>
        <v>6770.9678746776963</v>
      </c>
      <c r="P19" s="62">
        <f>IF(P3=0,0,P3/MBunk_act!P7*100)</f>
        <v>5735.6932044802597</v>
      </c>
      <c r="Q19" s="62">
        <f>IF(Q3=0,0,Q3/MBunk_act!Q7*100)</f>
        <v>7431.5346844336591</v>
      </c>
      <c r="R19" s="62">
        <f>IF(R3=0,0,R3/MBunk_act!R7*100)</f>
        <v>7723.6060125268878</v>
      </c>
      <c r="S19" s="62">
        <f>IF(S3=0,0,S3/MBunk_act!S7*100)</f>
        <v>9237.8570187879959</v>
      </c>
      <c r="T19" s="62">
        <f>IF(T3=0,0,T3/MBunk_act!T7*100)</f>
        <v>8337.6904665031761</v>
      </c>
      <c r="U19" s="62">
        <f>IF(U3=0,0,U3/MBunk_act!U7*100)</f>
        <v>4667.9891128264044</v>
      </c>
      <c r="V19" s="62">
        <f>IF(V3=0,0,V3/MBunk_act!V7*100)</f>
        <v>8069.4432152764211</v>
      </c>
      <c r="W19" s="62">
        <f>IF(W3=0,0,W3/MBunk_act!W7*100)</f>
        <v>7582.188716421143</v>
      </c>
      <c r="X19" s="62">
        <f>IF(X3=0,0,X3/MBunk_act!X7*100)</f>
        <v>8399.1382473773556</v>
      </c>
      <c r="Y19" s="62">
        <f>IF(Y3=0,0,Y3/MBunk_act!Y7*100)</f>
        <v>10541.75659467422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1192.1565478869666</v>
      </c>
      <c r="C20" s="63">
        <f>IF(C4=0,0,C4/MBunk_act!C8*100)</f>
        <v>1254.1596894077361</v>
      </c>
      <c r="D20" s="63">
        <f>IF(D4=0,0,D4/MBunk_act!D8*100)</f>
        <v>1281.3931406182858</v>
      </c>
      <c r="E20" s="63">
        <f>IF(E4=0,0,E4/MBunk_act!E8*100)</f>
        <v>823.26635453272081</v>
      </c>
      <c r="F20" s="63">
        <f>IF(F4=0,0,F4/MBunk_act!F8*100)</f>
        <v>1118.2259960737861</v>
      </c>
      <c r="G20" s="63">
        <f>IF(G4=0,0,G4/MBunk_act!G8*100)</f>
        <v>1004.7773046320941</v>
      </c>
      <c r="H20" s="63">
        <f>IF(H4=0,0,H4/MBunk_act!H8*100)</f>
        <v>1845.0029821765227</v>
      </c>
      <c r="I20" s="63">
        <f>IF(I4=0,0,I4/MBunk_act!I8*100)</f>
        <v>2550.4794353772559</v>
      </c>
      <c r="J20" s="63">
        <f>IF(J4=0,0,J4/MBunk_act!J8*100)</f>
        <v>3940.5074047614862</v>
      </c>
      <c r="K20" s="63">
        <f>IF(K4=0,0,K4/MBunk_act!K8*100)</f>
        <v>3333.397674273845</v>
      </c>
      <c r="L20" s="63">
        <f>IF(L4=0,0,L4/MBunk_act!L8*100)</f>
        <v>2752.7452233455679</v>
      </c>
      <c r="M20" s="63">
        <f>IF(M4=0,0,M4/MBunk_act!M8*100)</f>
        <v>2537.7849750793062</v>
      </c>
      <c r="N20" s="63">
        <f>IF(N4=0,0,N4/MBunk_act!N8*100)</f>
        <v>6422.0389709954015</v>
      </c>
      <c r="O20" s="63">
        <f>IF(O4=0,0,O4/MBunk_act!O8*100)</f>
        <v>6126.2678203111109</v>
      </c>
      <c r="P20" s="63">
        <f>IF(P4=0,0,P4/MBunk_act!P8*100)</f>
        <v>5133.6746200728985</v>
      </c>
      <c r="Q20" s="63">
        <f>IF(Q4=0,0,Q4/MBunk_act!Q8*100)</f>
        <v>6891.8615615905665</v>
      </c>
      <c r="R20" s="63">
        <f>IF(R4=0,0,R4/MBunk_act!R8*100)</f>
        <v>7261.9219899140617</v>
      </c>
      <c r="S20" s="63">
        <f>IF(S4=0,0,S4/MBunk_act!S8*100)</f>
        <v>8610.8542198937976</v>
      </c>
      <c r="T20" s="63">
        <f>IF(T4=0,0,T4/MBunk_act!T8*100)</f>
        <v>7637.9726649125305</v>
      </c>
      <c r="U20" s="63">
        <f>IF(U4=0,0,U4/MBunk_act!U8*100)</f>
        <v>4336.4687625446704</v>
      </c>
      <c r="V20" s="63">
        <f>IF(V4=0,0,V4/MBunk_act!V8*100)</f>
        <v>7063.6829736029913</v>
      </c>
      <c r="W20" s="63">
        <f>IF(W4=0,0,W4/MBunk_act!W8*100)</f>
        <v>6262.8644127764092</v>
      </c>
      <c r="X20" s="63">
        <f>IF(X4=0,0,X4/MBunk_act!X8*100)</f>
        <v>7480.4756492212055</v>
      </c>
      <c r="Y20" s="63">
        <f>IF(Y4=0,0,Y4/MBunk_act!Y8*100)</f>
        <v>9009.6360600464304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1946.281381444232</v>
      </c>
      <c r="C21" s="64">
        <f>IF(C10=0,0,C10/MBunk_act!C9*100)</f>
        <v>2064.215193126508</v>
      </c>
      <c r="D21" s="64">
        <f>IF(D10=0,0,D10/MBunk_act!D9*100)</f>
        <v>2103.2744114253392</v>
      </c>
      <c r="E21" s="64">
        <f>IF(E10=0,0,E10/MBunk_act!E9*100)</f>
        <v>1689.9620793820754</v>
      </c>
      <c r="F21" s="64">
        <f>IF(F10=0,0,F10/MBunk_act!F9*100)</f>
        <v>2040.460005253565</v>
      </c>
      <c r="G21" s="64">
        <f>IF(G10=0,0,G10/MBunk_act!G9*100)</f>
        <v>1668.2924275378934</v>
      </c>
      <c r="H21" s="64">
        <f>IF(H10=0,0,H10/MBunk_act!H9*100)</f>
        <v>3039.3473721414171</v>
      </c>
      <c r="I21" s="64">
        <f>IF(I10=0,0,I10/MBunk_act!I9*100)</f>
        <v>4304.719026201692</v>
      </c>
      <c r="J21" s="64">
        <f>IF(J10=0,0,J10/MBunk_act!J9*100)</f>
        <v>6199.587086002477</v>
      </c>
      <c r="K21" s="64">
        <f>IF(K10=0,0,K10/MBunk_act!K9*100)</f>
        <v>4761.305509037722</v>
      </c>
      <c r="L21" s="64">
        <f>IF(L10=0,0,L10/MBunk_act!L9*100)</f>
        <v>3342.4050036391427</v>
      </c>
      <c r="M21" s="64">
        <f>IF(M10=0,0,M10/MBunk_act!M9*100)</f>
        <v>3008.8680061872619</v>
      </c>
      <c r="N21" s="64">
        <f>IF(N10=0,0,N10/MBunk_act!N9*100)</f>
        <v>6884.1191904245516</v>
      </c>
      <c r="O21" s="64">
        <f>IF(O10=0,0,O10/MBunk_act!O9*100)</f>
        <v>7547.1368492394704</v>
      </c>
      <c r="P21" s="64">
        <f>IF(P10=0,0,P10/MBunk_act!P9*100)</f>
        <v>6477.5153782578755</v>
      </c>
      <c r="Q21" s="64">
        <f>IF(Q10=0,0,Q10/MBunk_act!Q9*100)</f>
        <v>7964.009623283273</v>
      </c>
      <c r="R21" s="64">
        <f>IF(R10=0,0,R10/MBunk_act!R9*100)</f>
        <v>8150.0070229004341</v>
      </c>
      <c r="S21" s="64">
        <f>IF(S10=0,0,S10/MBunk_act!S9*100)</f>
        <v>9858.3978079551707</v>
      </c>
      <c r="T21" s="64">
        <f>IF(T10=0,0,T10/MBunk_act!T9*100)</f>
        <v>9062.088232558257</v>
      </c>
      <c r="U21" s="64">
        <f>IF(U10=0,0,U10/MBunk_act!U9*100)</f>
        <v>4973.8214441284654</v>
      </c>
      <c r="V21" s="64">
        <f>IF(V10=0,0,V10/MBunk_act!V9*100)</f>
        <v>8758.9515016183777</v>
      </c>
      <c r="W21" s="64">
        <f>IF(W10=0,0,W10/MBunk_act!W9*100)</f>
        <v>8770.8604238674779</v>
      </c>
      <c r="X21" s="64">
        <f>IF(X10=0,0,X10/MBunk_act!X9*100)</f>
        <v>9593.3398428238143</v>
      </c>
      <c r="Y21" s="64">
        <f>IF(Y10=0,0,Y10/MBunk_act!Y9*100)</f>
        <v>14215.413470378158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1.47179175070331</v>
      </c>
      <c r="C23" s="62">
        <f>IF(C3=0,0,C3/MBunk_act!C3*1000)</f>
        <v>1.4943317162362717</v>
      </c>
      <c r="D23" s="62">
        <f>IF(D3=0,0,D3/MBunk_act!D3*1000)</f>
        <v>1.4890403016784841</v>
      </c>
      <c r="E23" s="62">
        <f>IF(E3=0,0,E3/MBunk_act!E3*1000)</f>
        <v>1.6889145757519404</v>
      </c>
      <c r="F23" s="62">
        <f>IF(F3=0,0,F3/MBunk_act!F3*1000)</f>
        <v>1.7592712857463344</v>
      </c>
      <c r="G23" s="62">
        <f>IF(G3=0,0,G3/MBunk_act!G3*1000)</f>
        <v>1.3126208218778932</v>
      </c>
      <c r="H23" s="62">
        <f>IF(H3=0,0,H3/MBunk_act!H3*1000)</f>
        <v>2.2911364234059866</v>
      </c>
      <c r="I23" s="62">
        <f>IF(I3=0,0,I3/MBunk_act!I3*1000)</f>
        <v>2.6728008921524147</v>
      </c>
      <c r="J23" s="62">
        <f>IF(J3=0,0,J3/MBunk_act!J3*1000)</f>
        <v>3.2546246233194664</v>
      </c>
      <c r="K23" s="62">
        <f>IF(K3=0,0,K3/MBunk_act!K3*1000)</f>
        <v>2.519699469023716</v>
      </c>
      <c r="L23" s="62">
        <f>IF(L3=0,0,L3/MBunk_act!L3*1000)</f>
        <v>1.9843129174675604</v>
      </c>
      <c r="M23" s="62">
        <f>IF(M3=0,0,M3/MBunk_act!M3*1000)</f>
        <v>1.6982606556801159</v>
      </c>
      <c r="N23" s="62">
        <f>IF(N3=0,0,N3/MBunk_act!N3*1000)</f>
        <v>3.4400267903481754</v>
      </c>
      <c r="O23" s="62">
        <f>IF(O3=0,0,O3/MBunk_act!O3*1000)</f>
        <v>4.2605054583326991</v>
      </c>
      <c r="P23" s="62">
        <f>IF(P3=0,0,P3/MBunk_act!P3*1000)</f>
        <v>3.6088211261483534</v>
      </c>
      <c r="Q23" s="62">
        <f>IF(Q3=0,0,Q3/MBunk_act!Q3*1000)</f>
        <v>4.2456788120449396</v>
      </c>
      <c r="R23" s="62">
        <f>IF(R3=0,0,R3/MBunk_act!R3*1000)</f>
        <v>4.2951852886224389</v>
      </c>
      <c r="S23" s="62">
        <f>IF(S3=0,0,S3/MBunk_act!S3*1000)</f>
        <v>5.0204281088398819</v>
      </c>
      <c r="T23" s="62">
        <f>IF(T3=0,0,T3/MBunk_act!T3*1000)</f>
        <v>4.673873091118562</v>
      </c>
      <c r="U23" s="62">
        <f>IF(U3=0,0,U3/MBunk_act!U3*1000)</f>
        <v>2.5061316112127381</v>
      </c>
      <c r="V23" s="62">
        <f>IF(V3=0,0,V3/MBunk_act!V3*1000)</f>
        <v>3.783485407723548</v>
      </c>
      <c r="W23" s="62">
        <f>IF(W3=0,0,W3/MBunk_act!W3*1000)</f>
        <v>3.8397925172542862</v>
      </c>
      <c r="X23" s="62">
        <f>IF(X3=0,0,X3/MBunk_act!X3*1000)</f>
        <v>5.2971716964864122</v>
      </c>
      <c r="Y23" s="62">
        <f>IF(Y3=0,0,Y3/MBunk_act!Y3*1000)</f>
        <v>8.6343266857448864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2.0990159700355768</v>
      </c>
      <c r="C24" s="63">
        <f>IF(C4=0,0,C4/MBunk_act!C4*1000)</f>
        <v>2.1589391986353439</v>
      </c>
      <c r="D24" s="63">
        <f>IF(D4=0,0,D4/MBunk_act!D4*1000)</f>
        <v>2.1449033785820348</v>
      </c>
      <c r="E24" s="63">
        <f>IF(E4=0,0,E4/MBunk_act!E4*1000)</f>
        <v>2.0616005795358849</v>
      </c>
      <c r="F24" s="63">
        <f>IF(F4=0,0,F4/MBunk_act!F4*1000)</f>
        <v>2.6653589208720523</v>
      </c>
      <c r="G24" s="63">
        <f>IF(G4=0,0,G4/MBunk_act!G4*1000)</f>
        <v>2.293564558867673</v>
      </c>
      <c r="H24" s="63">
        <f>IF(H4=0,0,H4/MBunk_act!H4*1000)</f>
        <v>3.9158324727378542</v>
      </c>
      <c r="I24" s="63">
        <f>IF(I4=0,0,I4/MBunk_act!I4*1000)</f>
        <v>5.5687238204945544</v>
      </c>
      <c r="J24" s="63">
        <f>IF(J4=0,0,J4/MBunk_act!J4*1000)</f>
        <v>7.4516694956879013</v>
      </c>
      <c r="K24" s="63">
        <f>IF(K4=0,0,K4/MBunk_act!K4*1000)</f>
        <v>5.914696714428862</v>
      </c>
      <c r="L24" s="63">
        <f>IF(L4=0,0,L4/MBunk_act!L4*1000)</f>
        <v>4.786212575164531</v>
      </c>
      <c r="M24" s="63">
        <f>IF(M4=0,0,M4/MBunk_act!M4*1000)</f>
        <v>3.9312987573687552</v>
      </c>
      <c r="N24" s="63">
        <f>IF(N4=0,0,N4/MBunk_act!N4*1000)</f>
        <v>9.8331875817938705</v>
      </c>
      <c r="O24" s="63">
        <f>IF(O4=0,0,O4/MBunk_act!O4*1000)</f>
        <v>9.299016183694345</v>
      </c>
      <c r="P24" s="63">
        <f>IF(P4=0,0,P4/MBunk_act!P4*1000)</f>
        <v>7.8169316612998418</v>
      </c>
      <c r="Q24" s="63">
        <f>IF(Q4=0,0,Q4/MBunk_act!Q4*1000)</f>
        <v>9.8462945491139457</v>
      </c>
      <c r="R24" s="63">
        <f>IF(R4=0,0,R4/MBunk_act!R4*1000)</f>
        <v>10.081776276172615</v>
      </c>
      <c r="S24" s="63">
        <f>IF(S4=0,0,S4/MBunk_act!S4*1000)</f>
        <v>11.797379247537194</v>
      </c>
      <c r="T24" s="63">
        <f>IF(T4=0,0,T4/MBunk_act!T4*1000)</f>
        <v>10.627507385037001</v>
      </c>
      <c r="U24" s="63">
        <f>IF(U4=0,0,U4/MBunk_act!U4*1000)</f>
        <v>6.1483601100165055</v>
      </c>
      <c r="V24" s="63">
        <f>IF(V4=0,0,V4/MBunk_act!V4*1000)</f>
        <v>9.2578169176166902</v>
      </c>
      <c r="W24" s="63">
        <f>IF(W4=0,0,W4/MBunk_act!W4*1000)</f>
        <v>8.5651164332823946</v>
      </c>
      <c r="X24" s="63">
        <f>IF(X4=0,0,X4/MBunk_act!X4*1000)</f>
        <v>10.565256351299622</v>
      </c>
      <c r="Y24" s="63">
        <f>IF(Y4=0,0,Y4/MBunk_act!Y4*1000)</f>
        <v>12.703961386158923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1.055452028984007</v>
      </c>
      <c r="C25" s="64">
        <f>IF(C10=0,0,C10/MBunk_act!C5*1000)</f>
        <v>1.0624931668076332</v>
      </c>
      <c r="D25" s="64">
        <f>IF(D10=0,0,D10/MBunk_act!D5*1000)</f>
        <v>1.0631074872966269</v>
      </c>
      <c r="E25" s="64">
        <f>IF(E10=0,0,E10/MBunk_act!E5*1000)</f>
        <v>1.3453186330310083</v>
      </c>
      <c r="F25" s="64">
        <f>IF(F10=0,0,F10/MBunk_act!F5*1000)</f>
        <v>1.2639611316701032</v>
      </c>
      <c r="G25" s="64">
        <f>IF(G10=0,0,G10/MBunk_act!G5*1000)</f>
        <v>0.93625063271656017</v>
      </c>
      <c r="H25" s="64">
        <f>IF(H10=0,0,H10/MBunk_act!H5*1000)</f>
        <v>1.6382443399841429</v>
      </c>
      <c r="I25" s="64">
        <f>IF(I10=0,0,I10/MBunk_act!I5*1000)</f>
        <v>1.7883973603922756</v>
      </c>
      <c r="J25" s="64">
        <f>IF(J10=0,0,J10/MBunk_act!J5*1000)</f>
        <v>2.1494904987379693</v>
      </c>
      <c r="K25" s="64">
        <f>IF(K10=0,0,K10/MBunk_act!K5*1000)</f>
        <v>1.6986524004862726</v>
      </c>
      <c r="L25" s="64">
        <f>IF(L10=0,0,L10/MBunk_act!L5*1000)</f>
        <v>1.343576440754787</v>
      </c>
      <c r="M25" s="64">
        <f>IF(M10=0,0,M10/MBunk_act!M5*1000)</f>
        <v>1.1380786683573165</v>
      </c>
      <c r="N25" s="64">
        <f>IF(N10=0,0,N10/MBunk_act!N5*1000)</f>
        <v>2.468407556305471</v>
      </c>
      <c r="O25" s="64">
        <f>IF(O10=0,0,O10/MBunk_act!O5*1000)</f>
        <v>2.7855287662498998</v>
      </c>
      <c r="P25" s="64">
        <f>IF(P10=0,0,P10/MBunk_act!P5*1000)</f>
        <v>2.3653118485496223</v>
      </c>
      <c r="Q25" s="64">
        <f>IF(Q10=0,0,Q10/MBunk_act!Q5*1000)</f>
        <v>2.8577647420504833</v>
      </c>
      <c r="R25" s="64">
        <f>IF(R10=0,0,R10/MBunk_act!R5*1000)</f>
        <v>2.917255317054396</v>
      </c>
      <c r="S25" s="64">
        <f>IF(S10=0,0,S10/MBunk_act!S5*1000)</f>
        <v>3.3545996865719907</v>
      </c>
      <c r="T25" s="64">
        <f>IF(T10=0,0,T10/MBunk_act!T5*1000)</f>
        <v>3.1393000637473643</v>
      </c>
      <c r="U25" s="64">
        <f>IF(U10=0,0,U10/MBunk_act!U5*1000)</f>
        <v>1.6973912904128237</v>
      </c>
      <c r="V25" s="64">
        <f>IF(V10=0,0,V10/MBunk_act!V5*1000)</f>
        <v>2.8513206675340181</v>
      </c>
      <c r="W25" s="64">
        <f>IF(W10=0,0,W10/MBunk_act!W5*1000)</f>
        <v>2.8339471279788606</v>
      </c>
      <c r="X25" s="64">
        <f>IF(X10=0,0,X10/MBunk_act!X5*1000)</f>
        <v>3.5187299628316118</v>
      </c>
      <c r="Y25" s="64">
        <f>IF(Y10=0,0,Y10/MBunk_act!Y5*1000)</f>
        <v>5.8072385939774964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0.56898152089447251</v>
      </c>
      <c r="C28" s="77">
        <f t="shared" si="6"/>
        <v>0.56902001889361509</v>
      </c>
      <c r="D28" s="77">
        <f t="shared" si="6"/>
        <v>0.56714884670342447</v>
      </c>
      <c r="E28" s="77">
        <f t="shared" si="6"/>
        <v>0.58554579379999494</v>
      </c>
      <c r="F28" s="77">
        <f t="shared" si="6"/>
        <v>0.53547437045737889</v>
      </c>
      <c r="G28" s="77">
        <f t="shared" si="6"/>
        <v>0.48451429207387836</v>
      </c>
      <c r="H28" s="77">
        <f t="shared" si="6"/>
        <v>0.48993601484689109</v>
      </c>
      <c r="I28" s="77">
        <f t="shared" si="6"/>
        <v>0.4874277316081852</v>
      </c>
      <c r="J28" s="77">
        <f t="shared" si="6"/>
        <v>0.47721411734102215</v>
      </c>
      <c r="K28" s="77">
        <f t="shared" si="6"/>
        <v>0.4571372630226358</v>
      </c>
      <c r="L28" s="77">
        <f t="shared" si="6"/>
        <v>0.44892123589170324</v>
      </c>
      <c r="M28" s="77">
        <f t="shared" si="6"/>
        <v>0.46425403170921464</v>
      </c>
      <c r="N28" s="77">
        <f t="shared" si="6"/>
        <v>0.37711067213262101</v>
      </c>
      <c r="O28" s="77">
        <f t="shared" si="6"/>
        <v>0.49425088602450296</v>
      </c>
      <c r="P28" s="77">
        <f t="shared" si="6"/>
        <v>0.49407676109513632</v>
      </c>
      <c r="Q28" s="77">
        <f t="shared" si="6"/>
        <v>0.4605772088586359</v>
      </c>
      <c r="R28" s="77">
        <f t="shared" si="6"/>
        <v>0.4514349109880037</v>
      </c>
      <c r="S28" s="77">
        <f t="shared" si="6"/>
        <v>0.46364929734345189</v>
      </c>
      <c r="T28" s="77">
        <f t="shared" si="6"/>
        <v>0.46597669857980017</v>
      </c>
      <c r="U28" s="77">
        <f t="shared" si="6"/>
        <v>0.44576910529735209</v>
      </c>
      <c r="V28" s="77">
        <f t="shared" si="6"/>
        <v>0.35603166046543927</v>
      </c>
      <c r="W28" s="77">
        <f t="shared" si="6"/>
        <v>0.39148353787326318</v>
      </c>
      <c r="X28" s="77">
        <f t="shared" ref="X28:Y28" si="8">IF(X4=0,0,X4/X$3)</f>
        <v>0.50338532163494087</v>
      </c>
      <c r="Y28" s="77">
        <f t="shared" si="8"/>
        <v>0.60312490127720808</v>
      </c>
      <c r="DA28" s="184"/>
    </row>
    <row r="29" spans="1:105" ht="11.45" customHeight="1" x14ac:dyDescent="0.25">
      <c r="A29" s="57" t="s">
        <v>167</v>
      </c>
      <c r="B29" s="78">
        <f>IF(B10=0,0,B10/B$3)</f>
        <v>0.43101847910552737</v>
      </c>
      <c r="C29" s="78">
        <f t="shared" ref="C29:W29" si="9">IF(C10=0,0,C10/C$3)</f>
        <v>0.43097998110638497</v>
      </c>
      <c r="D29" s="78">
        <f t="shared" si="9"/>
        <v>0.43285115329657547</v>
      </c>
      <c r="E29" s="78">
        <f t="shared" si="9"/>
        <v>0.41445420620000512</v>
      </c>
      <c r="F29" s="78">
        <f t="shared" si="9"/>
        <v>0.464525629542621</v>
      </c>
      <c r="G29" s="78">
        <f t="shared" si="9"/>
        <v>0.51548570792612169</v>
      </c>
      <c r="H29" s="78">
        <f t="shared" si="9"/>
        <v>0.51006398515310891</v>
      </c>
      <c r="I29" s="78">
        <f t="shared" si="9"/>
        <v>0.51257226839181491</v>
      </c>
      <c r="J29" s="78">
        <f t="shared" si="9"/>
        <v>0.52278588265897774</v>
      </c>
      <c r="K29" s="78">
        <f t="shared" si="9"/>
        <v>0.54286273697736409</v>
      </c>
      <c r="L29" s="78">
        <f t="shared" si="9"/>
        <v>0.5510787641082967</v>
      </c>
      <c r="M29" s="78">
        <f t="shared" si="9"/>
        <v>0.53574596829078547</v>
      </c>
      <c r="N29" s="78">
        <f t="shared" si="9"/>
        <v>0.62288932786737894</v>
      </c>
      <c r="O29" s="78">
        <f t="shared" si="9"/>
        <v>0.50574911397549716</v>
      </c>
      <c r="P29" s="78">
        <f t="shared" si="9"/>
        <v>0.50592323890486368</v>
      </c>
      <c r="Q29" s="78">
        <f t="shared" si="9"/>
        <v>0.53942279114136404</v>
      </c>
      <c r="R29" s="78">
        <f t="shared" si="9"/>
        <v>0.5485650890119963</v>
      </c>
      <c r="S29" s="78">
        <f t="shared" si="9"/>
        <v>0.53635070265654805</v>
      </c>
      <c r="T29" s="78">
        <f t="shared" si="9"/>
        <v>0.53402330142019983</v>
      </c>
      <c r="U29" s="78">
        <f t="shared" si="9"/>
        <v>0.55423089470264797</v>
      </c>
      <c r="V29" s="78">
        <f t="shared" si="9"/>
        <v>0.64396833953456079</v>
      </c>
      <c r="W29" s="78">
        <f t="shared" si="9"/>
        <v>0.60851646212673682</v>
      </c>
      <c r="X29" s="78">
        <f t="shared" ref="X29:Y29" si="10">IF(X10=0,0,X10/X$3)</f>
        <v>0.49661467836505901</v>
      </c>
      <c r="Y29" s="78">
        <f t="shared" si="10"/>
        <v>0.39687509872279192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331.37688384</v>
      </c>
      <c r="C3" s="62">
        <f t="shared" ref="C3:W3" si="1">SUM(C4:C5)</f>
        <v>316.19771711999999</v>
      </c>
      <c r="D3" s="62">
        <f t="shared" si="1"/>
        <v>371.75438808000001</v>
      </c>
      <c r="E3" s="62">
        <f t="shared" si="1"/>
        <v>353.00939615999999</v>
      </c>
      <c r="F3" s="62">
        <f t="shared" si="1"/>
        <v>473.21780904000019</v>
      </c>
      <c r="G3" s="62">
        <f t="shared" si="1"/>
        <v>377.65344096000001</v>
      </c>
      <c r="H3" s="62">
        <f t="shared" si="1"/>
        <v>669.56757192000009</v>
      </c>
      <c r="I3" s="62">
        <f t="shared" si="1"/>
        <v>779.32458287999987</v>
      </c>
      <c r="J3" s="62">
        <f t="shared" si="1"/>
        <v>794.01020903999995</v>
      </c>
      <c r="K3" s="62">
        <f t="shared" si="1"/>
        <v>707.66408808000006</v>
      </c>
      <c r="L3" s="62">
        <f t="shared" si="1"/>
        <v>695.74280615999999</v>
      </c>
      <c r="M3" s="62">
        <f t="shared" si="1"/>
        <v>588.24742104000006</v>
      </c>
      <c r="N3" s="62">
        <f t="shared" si="1"/>
        <v>1256.1399561600003</v>
      </c>
      <c r="O3" s="62">
        <f t="shared" si="1"/>
        <v>1315.3433140800003</v>
      </c>
      <c r="P3" s="62">
        <f t="shared" si="1"/>
        <v>1009.73299896</v>
      </c>
      <c r="Q3" s="62">
        <f t="shared" si="1"/>
        <v>910.67126903999997</v>
      </c>
      <c r="R3" s="62">
        <f t="shared" si="1"/>
        <v>854.87154408000026</v>
      </c>
      <c r="S3" s="62">
        <f t="shared" si="1"/>
        <v>1013.2586481600001</v>
      </c>
      <c r="T3" s="62">
        <f t="shared" si="1"/>
        <v>955.94796871095127</v>
      </c>
      <c r="U3" s="62">
        <f t="shared" si="1"/>
        <v>567.39295263198483</v>
      </c>
      <c r="V3" s="62">
        <f t="shared" si="1"/>
        <v>915.12209551361343</v>
      </c>
      <c r="W3" s="62">
        <f t="shared" si="1"/>
        <v>941.01803690592908</v>
      </c>
      <c r="X3" s="62">
        <f t="shared" ref="X3:Y3" si="2">SUM(X4:X5)</f>
        <v>937.73059363194943</v>
      </c>
      <c r="Y3" s="62">
        <f t="shared" si="2"/>
        <v>736.60363914399011</v>
      </c>
      <c r="DA3" s="172" t="s">
        <v>987</v>
      </c>
    </row>
    <row r="4" spans="1:105" ht="11.45" customHeight="1" x14ac:dyDescent="0.25">
      <c r="A4" s="55" t="s">
        <v>166</v>
      </c>
      <c r="B4" s="63">
        <v>186.76578541406775</v>
      </c>
      <c r="C4" s="63">
        <v>178.0125185351429</v>
      </c>
      <c r="D4" s="63">
        <v>208.75414232410466</v>
      </c>
      <c r="E4" s="63">
        <v>204.90740045235376</v>
      </c>
      <c r="F4" s="63">
        <v>251.17079971990358</v>
      </c>
      <c r="G4" s="63">
        <v>180.83238850342755</v>
      </c>
      <c r="H4" s="63">
        <v>325.91500149454083</v>
      </c>
      <c r="I4" s="63">
        <v>378.38665857900446</v>
      </c>
      <c r="J4" s="63">
        <v>377.94645235682924</v>
      </c>
      <c r="K4" s="63">
        <v>322.7561767205014</v>
      </c>
      <c r="L4" s="63">
        <v>311.27425882246655</v>
      </c>
      <c r="M4" s="63">
        <v>271.90783257147933</v>
      </c>
      <c r="N4" s="63">
        <v>469.11543817042406</v>
      </c>
      <c r="O4" s="63">
        <v>648.2017281691061</v>
      </c>
      <c r="P4" s="63">
        <v>496.49945649501569</v>
      </c>
      <c r="Q4" s="63">
        <v>414.86352738073811</v>
      </c>
      <c r="R4" s="63">
        <v>380.31910322832977</v>
      </c>
      <c r="S4" s="63">
        <v>464.13048443085643</v>
      </c>
      <c r="T4" s="63">
        <v>437.61928677604948</v>
      </c>
      <c r="U4" s="63">
        <v>249.71277499073801</v>
      </c>
      <c r="V4" s="63">
        <v>319.57124427158237</v>
      </c>
      <c r="W4" s="63">
        <v>362.36892086655871</v>
      </c>
      <c r="X4" s="63">
        <v>467.38679931248947</v>
      </c>
      <c r="Y4" s="63">
        <v>441.57199523115196</v>
      </c>
      <c r="DA4" s="181" t="s">
        <v>988</v>
      </c>
    </row>
    <row r="5" spans="1:105" ht="11.45" customHeight="1" x14ac:dyDescent="0.25">
      <c r="A5" s="57" t="s">
        <v>167</v>
      </c>
      <c r="B5" s="64">
        <v>144.61109842593225</v>
      </c>
      <c r="C5" s="64">
        <v>138.18519858485712</v>
      </c>
      <c r="D5" s="64">
        <v>163.00024575589538</v>
      </c>
      <c r="E5" s="64">
        <v>148.10199570764624</v>
      </c>
      <c r="F5" s="64">
        <v>222.04700932009661</v>
      </c>
      <c r="G5" s="64">
        <v>196.82105245657249</v>
      </c>
      <c r="H5" s="64">
        <v>343.6525704254592</v>
      </c>
      <c r="I5" s="64">
        <v>400.93792430099541</v>
      </c>
      <c r="J5" s="64">
        <v>416.06375668317071</v>
      </c>
      <c r="K5" s="64">
        <v>384.90791135949866</v>
      </c>
      <c r="L5" s="64">
        <v>384.46854733753344</v>
      </c>
      <c r="M5" s="64">
        <v>316.33958846852067</v>
      </c>
      <c r="N5" s="64">
        <v>787.02451798957622</v>
      </c>
      <c r="O5" s="64">
        <v>667.14158591089404</v>
      </c>
      <c r="P5" s="64">
        <v>513.23354246498434</v>
      </c>
      <c r="Q5" s="64">
        <v>495.80774165926192</v>
      </c>
      <c r="R5" s="64">
        <v>474.5524408516705</v>
      </c>
      <c r="S5" s="64">
        <v>549.12816372914369</v>
      </c>
      <c r="T5" s="64">
        <v>518.32868193490174</v>
      </c>
      <c r="U5" s="64">
        <v>317.68017764124676</v>
      </c>
      <c r="V5" s="64">
        <v>595.55085124203106</v>
      </c>
      <c r="W5" s="64">
        <v>578.64911603937037</v>
      </c>
      <c r="X5" s="64">
        <v>470.3437943194599</v>
      </c>
      <c r="Y5" s="64">
        <v>295.03164391283815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3.1842469252066832</v>
      </c>
      <c r="C9" s="79">
        <f>IF(C3=0,0,C3/MBunk_ene!C3)</f>
        <v>3.1774601174472692</v>
      </c>
      <c r="D9" s="79">
        <f>IF(D3=0,0,D3/MBunk_ene!D3)</f>
        <v>3.1820368945011568</v>
      </c>
      <c r="E9" s="79">
        <f>IF(E3=0,0,E3/MBunk_ene!E3)</f>
        <v>3.1851649701932749</v>
      </c>
      <c r="F9" s="79">
        <f>IF(F3=0,0,F3/MBunk_ene!F3)</f>
        <v>3.1934824561628123</v>
      </c>
      <c r="G9" s="79">
        <f>IF(G3=0,0,G3/MBunk_ene!G3)</f>
        <v>3.1875641059365458</v>
      </c>
      <c r="H9" s="79">
        <f>IF(H3=0,0,H3/MBunk_ene!H3)</f>
        <v>3.2104642211632286</v>
      </c>
      <c r="I9" s="79">
        <f>IF(I3=0,0,I3/MBunk_ene!I3)</f>
        <v>3.2226888469577597</v>
      </c>
      <c r="J9" s="79">
        <f>IF(J3=0,0,J3/MBunk_ene!J3)</f>
        <v>3.2292289864373864</v>
      </c>
      <c r="K9" s="79">
        <f>IF(K3=0,0,K3/MBunk_ene!K3)</f>
        <v>3.2310231869740451</v>
      </c>
      <c r="L9" s="79">
        <f>IF(L3=0,0,L3/MBunk_ene!L3)</f>
        <v>3.2269868581873813</v>
      </c>
      <c r="M9" s="79">
        <f>IF(M3=0,0,M3/MBunk_ene!M3)</f>
        <v>3.2222320901218526</v>
      </c>
      <c r="N9" s="79">
        <f>IF(N3=0,0,N3/MBunk_ene!N3)</f>
        <v>3.2099066069565056</v>
      </c>
      <c r="O9" s="79">
        <f>IF(O3=0,0,O3/MBunk_ene!O3)</f>
        <v>3.2268851519379531</v>
      </c>
      <c r="P9" s="79">
        <f>IF(P3=0,0,P3/MBunk_ene!P3)</f>
        <v>3.2183373335750911</v>
      </c>
      <c r="Q9" s="79">
        <f>IF(Q3=0,0,Q3/MBunk_ene!Q3)</f>
        <v>3.1955199988580603</v>
      </c>
      <c r="R9" s="79">
        <f>IF(R3=0,0,R3/MBunk_ene!R3)</f>
        <v>3.1828934671514033</v>
      </c>
      <c r="S9" s="79">
        <f>IF(S3=0,0,S3/MBunk_ene!S3)</f>
        <v>3.1519962248634403</v>
      </c>
      <c r="T9" s="79">
        <f>IF(T3=0,0,T3/MBunk_ene!T3)</f>
        <v>3.1201184984007071</v>
      </c>
      <c r="U9" s="79">
        <f>IF(U3=0,0,U3/MBunk_ene!U3)</f>
        <v>3.0908141534451308</v>
      </c>
      <c r="V9" s="79">
        <f>IF(V3=0,0,V3/MBunk_ene!V3)</f>
        <v>3.1180441455825725</v>
      </c>
      <c r="W9" s="79">
        <f>IF(W3=0,0,W3/MBunk_ene!W3)</f>
        <v>3.1144835392334018</v>
      </c>
      <c r="X9" s="79">
        <f>IF(X3=0,0,X3/MBunk_ene!X3)</f>
        <v>3.0287194127356134</v>
      </c>
      <c r="Y9" s="79">
        <f>IF(Y3=0,0,Y3/MBunk_ene!Y3)</f>
        <v>3.1349813963047146</v>
      </c>
      <c r="DA9" s="172"/>
    </row>
    <row r="10" spans="1:105" ht="11.45" customHeight="1" x14ac:dyDescent="0.25">
      <c r="A10" s="55" t="s">
        <v>166</v>
      </c>
      <c r="B10" s="80">
        <f>IF(B4=0,0,B4/MBunk_ene!B4)</f>
        <v>3.1541597480751697</v>
      </c>
      <c r="C10" s="80">
        <f>IF(C4=0,0,C4/MBunk_ene!C4)</f>
        <v>3.1437237564747265</v>
      </c>
      <c r="D10" s="80">
        <f>IF(D4=0,0,D4/MBunk_ene!D4)</f>
        <v>3.150555655838462</v>
      </c>
      <c r="E10" s="80">
        <f>IF(E4=0,0,E4/MBunk_ene!E4)</f>
        <v>3.1574933429027063</v>
      </c>
      <c r="F10" s="80">
        <f>IF(F4=0,0,F4/MBunk_ene!F4)</f>
        <v>3.1654387435632887</v>
      </c>
      <c r="G10" s="80">
        <f>IF(G4=0,0,G4/MBunk_ene!G4)</f>
        <v>3.1501781004804137</v>
      </c>
      <c r="H10" s="80">
        <f>IF(H4=0,0,H4/MBunk_ene!H4)</f>
        <v>3.1896160498619963</v>
      </c>
      <c r="I10" s="80">
        <f>IF(I4=0,0,I4/MBunk_ene!I4)</f>
        <v>3.2101518876706705</v>
      </c>
      <c r="J10" s="80">
        <f>IF(J4=0,0,J4/MBunk_ene!J4)</f>
        <v>3.2209927406947632</v>
      </c>
      <c r="K10" s="80">
        <f>IF(K4=0,0,K4/MBunk_ene!K4)</f>
        <v>3.223597841179171</v>
      </c>
      <c r="L10" s="80">
        <f>IF(L4=0,0,L4/MBunk_ene!L4)</f>
        <v>3.216040654247919</v>
      </c>
      <c r="M10" s="80">
        <f>IF(M4=0,0,M4/MBunk_ene!M4)</f>
        <v>3.2082102402431478</v>
      </c>
      <c r="N10" s="80">
        <f>IF(N4=0,0,N4/MBunk_ene!N4)</f>
        <v>3.1788151117625518</v>
      </c>
      <c r="O10" s="80">
        <f>IF(O4=0,0,O4/MBunk_ene!O4)</f>
        <v>3.2174152438352923</v>
      </c>
      <c r="P10" s="80">
        <f>IF(P4=0,0,P4/MBunk_ene!P4)</f>
        <v>3.2029441336422373</v>
      </c>
      <c r="Q10" s="80">
        <f>IF(Q4=0,0,Q4/MBunk_ene!Q4)</f>
        <v>3.160695926868279</v>
      </c>
      <c r="R10" s="80">
        <f>IF(R4=0,0,R4/MBunk_ene!R4)</f>
        <v>3.1367090765024424</v>
      </c>
      <c r="S10" s="80">
        <f>IF(S4=0,0,S4/MBunk_ene!S4)</f>
        <v>3.1139802781959243</v>
      </c>
      <c r="T10" s="80">
        <f>IF(T4=0,0,T4/MBunk_ene!T4)</f>
        <v>3.0652724897209365</v>
      </c>
      <c r="U10" s="80">
        <f>IF(U4=0,0,U4/MBunk_ene!U4)</f>
        <v>3.0515447991520315</v>
      </c>
      <c r="V10" s="80">
        <f>IF(V4=0,0,V4/MBunk_ene!V4)</f>
        <v>3.0583155442485768</v>
      </c>
      <c r="W10" s="80">
        <f>IF(W4=0,0,W4/MBunk_ene!W4)</f>
        <v>3.0635539324307826</v>
      </c>
      <c r="X10" s="80">
        <f>IF(X4=0,0,X4/MBunk_ene!X4)</f>
        <v>2.998864551052236</v>
      </c>
      <c r="Y10" s="80">
        <f>IF(Y4=0,0,Y4/MBunk_ene!Y4)</f>
        <v>3.1159850879053392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3.2239645907676504</v>
      </c>
      <c r="C11" s="81">
        <f>IF(C5=0,0,C5/MBunk_ene!C10)</f>
        <v>3.2220020117336761</v>
      </c>
      <c r="D11" s="81">
        <f>IF(D5=0,0,D5/MBunk_ene!D10)</f>
        <v>3.2232855964264342</v>
      </c>
      <c r="E11" s="81">
        <f>IF(E5=0,0,E5/MBunk_ene!E10)</f>
        <v>3.2242597718027306</v>
      </c>
      <c r="F11" s="81">
        <f>IF(F5=0,0,F5/MBunk_ene!F10)</f>
        <v>3.2258093901240312</v>
      </c>
      <c r="G11" s="81">
        <f>IF(G5=0,0,G5/MBunk_ene!G10)</f>
        <v>3.2227038851554952</v>
      </c>
      <c r="H11" s="81">
        <f>IF(H5=0,0,H5/MBunk_ene!H10)</f>
        <v>3.2304896890682104</v>
      </c>
      <c r="I11" s="81">
        <f>IF(I5=0,0,I5/MBunk_ene!I10)</f>
        <v>3.2346107982676546</v>
      </c>
      <c r="J11" s="81">
        <f>IF(J5=0,0,J5/MBunk_ene!J10)</f>
        <v>3.2367472704474269</v>
      </c>
      <c r="K11" s="81">
        <f>IF(K5=0,0,K5/MBunk_ene!K10)</f>
        <v>3.2372759687961414</v>
      </c>
      <c r="L11" s="81">
        <f>IF(L5=0,0,L5/MBunk_ene!L10)</f>
        <v>3.2359038837032847</v>
      </c>
      <c r="M11" s="81">
        <f>IF(M5=0,0,M5/MBunk_ene!M10)</f>
        <v>3.2343828121496405</v>
      </c>
      <c r="N11" s="81">
        <f>IF(N5=0,0,N5/MBunk_ene!N10)</f>
        <v>3.2287300706532478</v>
      </c>
      <c r="O11" s="81">
        <f>IF(O5=0,0,O5/MBunk_ene!O10)</f>
        <v>3.2361397612708664</v>
      </c>
      <c r="P11" s="81">
        <f>IF(P5=0,0,P5/MBunk_ene!P10)</f>
        <v>3.2333700930549227</v>
      </c>
      <c r="Q11" s="81">
        <f>IF(Q5=0,0,Q5/MBunk_ene!Q10)</f>
        <v>3.2252539554901274</v>
      </c>
      <c r="R11" s="81">
        <f>IF(R5=0,0,R5/MBunk_ene!R10)</f>
        <v>3.2209003449117066</v>
      </c>
      <c r="S11" s="81">
        <f>IF(S5=0,0,S5/MBunk_ene!S10)</f>
        <v>3.1848591760499265</v>
      </c>
      <c r="T11" s="81">
        <f>IF(T5=0,0,T5/MBunk_ene!T10)</f>
        <v>3.1679758896173662</v>
      </c>
      <c r="U11" s="81">
        <f>IF(U5=0,0,U5/MBunk_ene!U10)</f>
        <v>3.1223985798929399</v>
      </c>
      <c r="V11" s="81">
        <f>IF(V5=0,0,V5/MBunk_ene!V10)</f>
        <v>3.1510663794482783</v>
      </c>
      <c r="W11" s="81">
        <f>IF(W5=0,0,W5/MBunk_ene!W10)</f>
        <v>3.1472486391025174</v>
      </c>
      <c r="X11" s="81">
        <f>IF(X5=0,0,X5/MBunk_ene!X10)</f>
        <v>3.0589813035043885</v>
      </c>
      <c r="Y11" s="81">
        <f>IF(Y5=0,0,Y5/MBunk_ene!Y10)</f>
        <v>3.1638497900761449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4557.2036873842744</v>
      </c>
      <c r="C13" s="62">
        <f>IF(C3=0,0,C3/MBunk_act!C7*100)</f>
        <v>4796.2201071375912</v>
      </c>
      <c r="D13" s="62">
        <f>IF(D3=0,0,D3/MBunk_act!D7*100)</f>
        <v>4907.5061592930633</v>
      </c>
      <c r="E13" s="62">
        <f>IF(E3=0,0,E3/MBunk_act!E7*100)</f>
        <v>3330.0495594405097</v>
      </c>
      <c r="F13" s="62">
        <f>IF(F3=0,0,F3/MBunk_act!F7*100)</f>
        <v>4520.0304607258349</v>
      </c>
      <c r="G13" s="62">
        <f>IF(G3=0,0,G3/MBunk_act!G7*100)</f>
        <v>4028.7683438237887</v>
      </c>
      <c r="H13" s="62">
        <f>IF(H3=0,0,H3/MBunk_act!H7*100)</f>
        <v>7408.174700654753</v>
      </c>
      <c r="I13" s="62">
        <f>IF(I3=0,0,I3/MBunk_act!I7*100)</f>
        <v>10389.59115095521</v>
      </c>
      <c r="J13" s="62">
        <f>IF(J3=0,0,J3/MBunk_act!J7*100)</f>
        <v>15719.313859584381</v>
      </c>
      <c r="K13" s="62">
        <f>IF(K3=0,0,K3/MBunk_act!K7*100)</f>
        <v>12864.706450567899</v>
      </c>
      <c r="L13" s="62">
        <f>IF(L3=0,0,L3/MBunk_act!L7*100)</f>
        <v>9839.6882347225855</v>
      </c>
      <c r="M13" s="62">
        <f>IF(M3=0,0,M3/MBunk_act!M7*100)</f>
        <v>8926.0394316443726</v>
      </c>
      <c r="N13" s="62">
        <f>IF(N3=0,0,N3/MBunk_act!N7*100)</f>
        <v>21513.629595071605</v>
      </c>
      <c r="O13" s="62">
        <f>IF(O3=0,0,O3/MBunk_act!O7*100)</f>
        <v>21849.135699046336</v>
      </c>
      <c r="P13" s="62">
        <f>IF(P3=0,0,P3/MBunk_act!P7*100)</f>
        <v>18459.39557391177</v>
      </c>
      <c r="Q13" s="62">
        <f>IF(Q3=0,0,Q3/MBunk_act!Q7*100)</f>
        <v>23747.617706315075</v>
      </c>
      <c r="R13" s="62">
        <f>IF(R3=0,0,R3/MBunk_act!R7*100)</f>
        <v>24583.415120123133</v>
      </c>
      <c r="S13" s="62">
        <f>IF(S3=0,0,S3/MBunk_act!S7*100)</f>
        <v>29117.690449047994</v>
      </c>
      <c r="T13" s="62">
        <f>IF(T3=0,0,T3/MBunk_act!T7*100)</f>
        <v>26014.582258475781</v>
      </c>
      <c r="U13" s="62">
        <f>IF(U3=0,0,U3/MBunk_act!U7*100)</f>
        <v>14427.886818051633</v>
      </c>
      <c r="V13" s="62">
        <f>IF(V3=0,0,V3/MBunk_act!V7*100)</f>
        <v>25160.880175503651</v>
      </c>
      <c r="W13" s="62">
        <f>IF(W3=0,0,W3/MBunk_act!W7*100)</f>
        <v>23614.601948654887</v>
      </c>
      <c r="X13" s="62">
        <f>IF(X3=0,0,X3/MBunk_act!X7*100)</f>
        <v>25438.633060081975</v>
      </c>
      <c r="Y13" s="62">
        <f>IF(Y3=0,0,Y3/MBunk_act!Y7*100)</f>
        <v>33048.210808676216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3760.252196749318</v>
      </c>
      <c r="C14" s="63">
        <f>IF(C4=0,0,C4/MBunk_act!C8*100)</f>
        <v>3942.7316100040644</v>
      </c>
      <c r="D14" s="63">
        <f>IF(D4=0,0,D4/MBunk_act!D8*100)</f>
        <v>4037.1004065275506</v>
      </c>
      <c r="E14" s="63">
        <f>IF(E4=0,0,E4/MBunk_act!E8*100)</f>
        <v>2599.4580338728451</v>
      </c>
      <c r="F14" s="63">
        <f>IF(F4=0,0,F4/MBunk_act!F8*100)</f>
        <v>3539.6758920316124</v>
      </c>
      <c r="G14" s="63">
        <f>IF(G4=0,0,G4/MBunk_act!G8*100)</f>
        <v>3165.2274609117603</v>
      </c>
      <c r="H14" s="63">
        <f>IF(H4=0,0,H4/MBunk_act!H8*100)</f>
        <v>5884.8511239934833</v>
      </c>
      <c r="I14" s="63">
        <f>IF(I4=0,0,I4/MBunk_act!I8*100)</f>
        <v>8187.4263739415237</v>
      </c>
      <c r="J14" s="63">
        <f>IF(J4=0,0,J4/MBunk_act!J8*100)</f>
        <v>12692.345745390707</v>
      </c>
      <c r="K14" s="63">
        <f>IF(K4=0,0,K4/MBunk_act!K8*100)</f>
        <v>10745.533546580835</v>
      </c>
      <c r="L14" s="63">
        <f>IF(L4=0,0,L4/MBunk_act!L8*100)</f>
        <v>8852.9405490661138</v>
      </c>
      <c r="M14" s="63">
        <f>IF(M4=0,0,M4/MBunk_act!M8*100)</f>
        <v>8141.7477445846316</v>
      </c>
      <c r="N14" s="63">
        <f>IF(N4=0,0,N4/MBunk_act!N8*100)</f>
        <v>20414.47452932821</v>
      </c>
      <c r="O14" s="63">
        <f>IF(O4=0,0,O4/MBunk_act!O8*100)</f>
        <v>19710.747472886578</v>
      </c>
      <c r="P14" s="63">
        <f>IF(P4=0,0,P4/MBunk_act!P8*100)</f>
        <v>16442.873008390536</v>
      </c>
      <c r="Q14" s="63">
        <f>IF(Q4=0,0,Q4/MBunk_act!Q8*100)</f>
        <v>21783.078766259361</v>
      </c>
      <c r="R14" s="63">
        <f>IF(R4=0,0,R4/MBunk_act!R8*100)</f>
        <v>22778.536618616119</v>
      </c>
      <c r="S14" s="63">
        <f>IF(S4=0,0,S4/MBunk_act!S8*100)</f>
        <v>26814.030219169439</v>
      </c>
      <c r="T14" s="63">
        <f>IF(T4=0,0,T4/MBunk_act!T8*100)</f>
        <v>23412.467486996888</v>
      </c>
      <c r="U14" s="63">
        <f>IF(U4=0,0,U4/MBunk_act!U8*100)</f>
        <v>13232.928699028434</v>
      </c>
      <c r="V14" s="63">
        <f>IF(V4=0,0,V4/MBunk_act!V8*100)</f>
        <v>21602.971437814034</v>
      </c>
      <c r="W14" s="63">
        <f>IF(W4=0,0,W4/MBunk_act!W8*100)</f>
        <v>19186.62290004197</v>
      </c>
      <c r="X14" s="63">
        <f>IF(X4=0,0,X4/MBunk_act!X8*100)</f>
        <v>22432.933249458933</v>
      </c>
      <c r="Y14" s="63">
        <f>IF(Y4=0,0,Y4/MBunk_act!Y8*100)</f>
        <v>28073.891610558894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6274.7422574465509</v>
      </c>
      <c r="C15" s="64">
        <f>IF(C5=0,0,C5/MBunk_act!C9*100)</f>
        <v>6650.9055049048275</v>
      </c>
      <c r="D15" s="64">
        <f>IF(D5=0,0,D5/MBunk_act!D9*100)</f>
        <v>6779.4541156795804</v>
      </c>
      <c r="E15" s="64">
        <f>IF(E5=0,0,E5/MBunk_act!E9*100)</f>
        <v>5448.8767484237196</v>
      </c>
      <c r="F15" s="64">
        <f>IF(F5=0,0,F5/MBunk_act!F9*100)</f>
        <v>6582.1350451194785</v>
      </c>
      <c r="G15" s="64">
        <f>IF(G5=0,0,G5/MBunk_act!G9*100)</f>
        <v>5376.4124878018611</v>
      </c>
      <c r="H15" s="64">
        <f>IF(H5=0,0,H5/MBunk_act!H9*100)</f>
        <v>9818.5803471994095</v>
      </c>
      <c r="I15" s="64">
        <f>IF(I5=0,0,I5/MBunk_act!I9*100)</f>
        <v>13924.090645660217</v>
      </c>
      <c r="J15" s="64">
        <f>IF(J5=0,0,J5/MBunk_act!J9*100)</f>
        <v>20066.496578519636</v>
      </c>
      <c r="K15" s="64">
        <f>IF(K5=0,0,K5/MBunk_act!K9*100)</f>
        <v>15413.659904504497</v>
      </c>
      <c r="L15" s="64">
        <f>IF(L5=0,0,L5/MBunk_act!L9*100)</f>
        <v>10815.701332185194</v>
      </c>
      <c r="M15" s="64">
        <f>IF(M5=0,0,M5/MBunk_act!M9*100)</f>
        <v>9731.8309632390374</v>
      </c>
      <c r="N15" s="64">
        <f>IF(N5=0,0,N5/MBunk_act!N9*100)</f>
        <v>22226.962640084843</v>
      </c>
      <c r="O15" s="64">
        <f>IF(O5=0,0,O5/MBunk_act!O9*100)</f>
        <v>24423.589641576382</v>
      </c>
      <c r="P15" s="64">
        <f>IF(P5=0,0,P5/MBunk_act!P9*100)</f>
        <v>20944.204501362357</v>
      </c>
      <c r="Q15" s="64">
        <f>IF(Q5=0,0,Q5/MBunk_act!Q9*100)</f>
        <v>25685.953539055816</v>
      </c>
      <c r="R15" s="64">
        <f>IF(R5=0,0,R5/MBunk_act!R9*100)</f>
        <v>26250.360431092839</v>
      </c>
      <c r="S15" s="64">
        <f>IF(S5=0,0,S5/MBunk_act!S9*100)</f>
        <v>31397.608719816508</v>
      </c>
      <c r="T15" s="64">
        <f>IF(T5=0,0,T5/MBunk_act!T9*100)</f>
        <v>28708.47703032981</v>
      </c>
      <c r="U15" s="64">
        <f>IF(U5=0,0,U5/MBunk_act!U9*100)</f>
        <v>15530.253013787773</v>
      </c>
      <c r="V15" s="64">
        <f>IF(V5=0,0,V5/MBunk_act!V9*100)</f>
        <v>27600.037595967682</v>
      </c>
      <c r="W15" s="64">
        <f>IF(W5=0,0,W5/MBunk_act!W9*100)</f>
        <v>27604.078532775049</v>
      </c>
      <c r="X15" s="64">
        <f>IF(X5=0,0,X5/MBunk_act!X9*100)</f>
        <v>29345.847217361785</v>
      </c>
      <c r="Y15" s="64">
        <f>IF(Y5=0,0,Y5/MBunk_act!Y9*100)</f>
        <v>44975.432924101537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4.686548356721576</v>
      </c>
      <c r="C17" s="62">
        <f>IF(C3=0,0,C3/MBunk_act!C3*1000)</f>
        <v>4.7481794305772826</v>
      </c>
      <c r="D17" s="62">
        <f>IF(D3=0,0,D3/MBunk_act!D3*1000)</f>
        <v>4.7381811773400688</v>
      </c>
      <c r="E17" s="62">
        <f>IF(E3=0,0,E3/MBunk_act!E3*1000)</f>
        <v>5.3794715443339172</v>
      </c>
      <c r="F17" s="62">
        <f>IF(F3=0,0,F3/MBunk_act!F3*1000)</f>
        <v>5.6182019866619131</v>
      </c>
      <c r="G17" s="62">
        <f>IF(G3=0,0,G3/MBunk_act!G3*1000)</f>
        <v>4.1840630165229005</v>
      </c>
      <c r="H17" s="62">
        <f>IF(H3=0,0,H3/MBunk_act!H3*1000)</f>
        <v>7.3556115131488058</v>
      </c>
      <c r="I17" s="62">
        <f>IF(I3=0,0,I3/MBunk_act!I3*1000)</f>
        <v>8.6136056252783355</v>
      </c>
      <c r="J17" s="62">
        <f>IF(J3=0,0,J3/MBunk_act!J3*1000)</f>
        <v>10.509928173596082</v>
      </c>
      <c r="K17" s="62">
        <f>IF(K3=0,0,K3/MBunk_act!K3*1000)</f>
        <v>8.1412074086218151</v>
      </c>
      <c r="L17" s="62">
        <f>IF(L3=0,0,L3/MBunk_act!L3*1000)</f>
        <v>6.4033517071992794</v>
      </c>
      <c r="M17" s="62">
        <f>IF(M3=0,0,M3/MBunk_act!M3*1000)</f>
        <v>5.4721899821238473</v>
      </c>
      <c r="N17" s="62">
        <f>IF(N3=0,0,N3/MBunk_act!N3*1000)</f>
        <v>11.042164722445989</v>
      </c>
      <c r="O17" s="62">
        <f>IF(O3=0,0,O3/MBunk_act!O3*1000)</f>
        <v>13.748161803244392</v>
      </c>
      <c r="P17" s="62">
        <f>IF(P3=0,0,P3/MBunk_act!P3*1000)</f>
        <v>11.614403760477749</v>
      </c>
      <c r="Q17" s="62">
        <f>IF(Q3=0,0,Q3/MBunk_act!Q3*1000)</f>
        <v>13.567151552617533</v>
      </c>
      <c r="R17" s="62">
        <f>IF(R3=0,0,R3/MBunk_act!R3*1000)</f>
        <v>13.671117195361177</v>
      </c>
      <c r="S17" s="62">
        <f>IF(S3=0,0,S3/MBunk_act!S3*1000)</f>
        <v>15.824370446261609</v>
      </c>
      <c r="T17" s="62">
        <f>IF(T3=0,0,T3/MBunk_act!T3*1000)</f>
        <v>14.583037890776319</v>
      </c>
      <c r="U17" s="62">
        <f>IF(U3=0,0,U3/MBunk_act!U3*1000)</f>
        <v>7.7459870543325815</v>
      </c>
      <c r="V17" s="62">
        <f>IF(V3=0,0,V3/MBunk_act!V3*1000)</f>
        <v>11.797074525449501</v>
      </c>
      <c r="W17" s="62">
        <f>IF(W3=0,0,W3/MBunk_act!W3*1000)</f>
        <v>11.95897058906006</v>
      </c>
      <c r="X17" s="62">
        <f>IF(X3=0,0,X3/MBunk_act!X3*1000)</f>
        <v>16.043646749742038</v>
      </c>
      <c r="Y17" s="62">
        <f>IF(Y3=0,0,Y3/MBunk_act!Y3*1000)</f>
        <v>27.068453529427561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6.6206316832531726</v>
      </c>
      <c r="C18" s="63">
        <f>IF(C4=0,0,C4/MBunk_act!C4*1000)</f>
        <v>6.7871084475344388</v>
      </c>
      <c r="D18" s="63">
        <f>IF(D4=0,0,D4/MBunk_act!D4*1000)</f>
        <v>6.7576374706186559</v>
      </c>
      <c r="E18" s="63">
        <f>IF(E4=0,0,E4/MBunk_act!E4*1000)</f>
        <v>6.5094901056089176</v>
      </c>
      <c r="F18" s="63">
        <f>IF(F4=0,0,F4/MBunk_act!F4*1000)</f>
        <v>8.4370303936304314</v>
      </c>
      <c r="G18" s="63">
        <f>IF(G4=0,0,G4/MBunk_act!G4*1000)</f>
        <v>7.2251368453829654</v>
      </c>
      <c r="H18" s="63">
        <f>IF(H4=0,0,H4/MBunk_act!H4*1000)</f>
        <v>12.490002103615447</v>
      </c>
      <c r="I18" s="63">
        <f>IF(I4=0,0,I4/MBunk_act!I4*1000)</f>
        <v>17.876449284277221</v>
      </c>
      <c r="J18" s="63">
        <f>IF(J4=0,0,J4/MBunk_act!J4*1000)</f>
        <v>24.001773351667339</v>
      </c>
      <c r="K18" s="63">
        <f>IF(K4=0,0,K4/MBunk_act!K4*1000)</f>
        <v>19.066603559862415</v>
      </c>
      <c r="L18" s="63">
        <f>IF(L4=0,0,L4/MBunk_act!L4*1000)</f>
        <v>15.392654221601758</v>
      </c>
      <c r="M18" s="63">
        <f>IF(M4=0,0,M4/MBunk_act!M4*1000)</f>
        <v>12.612432930845603</v>
      </c>
      <c r="N18" s="63">
        <f>IF(N4=0,0,N4/MBunk_act!N4*1000)</f>
        <v>31.257885281802221</v>
      </c>
      <c r="O18" s="63">
        <f>IF(O4=0,0,O4/MBunk_act!O4*1000)</f>
        <v>29.918796422089272</v>
      </c>
      <c r="P18" s="63">
        <f>IF(P4=0,0,P4/MBunk_act!P4*1000)</f>
        <v>25.037195407642603</v>
      </c>
      <c r="Q18" s="63">
        <f>IF(Q4=0,0,Q4/MBunk_act!Q4*1000)</f>
        <v>31.121143076129783</v>
      </c>
      <c r="R18" s="63">
        <f>IF(R4=0,0,R4/MBunk_act!R4*1000)</f>
        <v>31.623599152737629</v>
      </c>
      <c r="S18" s="63">
        <f>IF(S4=0,0,S4/MBunk_act!S4*1000)</f>
        <v>36.73680631122869</v>
      </c>
      <c r="T18" s="63">
        <f>IF(T4=0,0,T4/MBunk_act!T4*1000)</f>
        <v>32.576206021660006</v>
      </c>
      <c r="U18" s="63">
        <f>IF(U4=0,0,U4/MBunk_act!U4*1000)</f>
        <v>18.761996317034679</v>
      </c>
      <c r="V18" s="63">
        <f>IF(V4=0,0,V4/MBunk_act!V4*1000)</f>
        <v>28.313325384954567</v>
      </c>
      <c r="W18" s="63">
        <f>IF(W4=0,0,W4/MBunk_act!W4*1000)</f>
        <v>26.239696130909802</v>
      </c>
      <c r="X18" s="63">
        <f>IF(X4=0,0,X4/MBunk_act!X4*1000)</f>
        <v>31.683772744691925</v>
      </c>
      <c r="Y18" s="63">
        <f>IF(Y4=0,0,Y4/MBunk_act!Y4*1000)</f>
        <v>39.585354236596451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3.4027399686983104</v>
      </c>
      <c r="C19" s="64">
        <f>IF(C5=0,0,C5/MBunk_act!C5*1000)</f>
        <v>3.4233551209074777</v>
      </c>
      <c r="D19" s="64">
        <f>IF(D5=0,0,D5/MBunk_act!D5*1000)</f>
        <v>3.4266990512563154</v>
      </c>
      <c r="E19" s="64">
        <f>IF(E5=0,0,E5/MBunk_act!E5*1000)</f>
        <v>4.33765674873852</v>
      </c>
      <c r="F19" s="64">
        <f>IF(F5=0,0,F5/MBunk_act!F5*1000)</f>
        <v>4.0772976872932158</v>
      </c>
      <c r="G19" s="64">
        <f>IF(G5=0,0,G5/MBunk_act!G5*1000)</f>
        <v>3.0172585515349493</v>
      </c>
      <c r="H19" s="64">
        <f>IF(H5=0,0,H5/MBunk_act!H5*1000)</f>
        <v>5.2923314484931296</v>
      </c>
      <c r="I19" s="64">
        <f>IF(I5=0,0,I5/MBunk_act!I5*1000)</f>
        <v>5.7847694135182248</v>
      </c>
      <c r="J19" s="64">
        <f>IF(J5=0,0,J5/MBunk_act!J5*1000)</f>
        <v>6.9573575046427996</v>
      </c>
      <c r="K19" s="64">
        <f>IF(K5=0,0,K5/MBunk_act!K5*1000)</f>
        <v>5.499006595432089</v>
      </c>
      <c r="L19" s="64">
        <f>IF(L5=0,0,L5/MBunk_act!L5*1000)</f>
        <v>4.3476842226906518</v>
      </c>
      <c r="M19" s="64">
        <f>IF(M5=0,0,M5/MBunk_act!M5*1000)</f>
        <v>3.6809820838090559</v>
      </c>
      <c r="N19" s="64">
        <f>IF(N5=0,0,N5/MBunk_act!N5*1000)</f>
        <v>7.9698217036711752</v>
      </c>
      <c r="O19" s="64">
        <f>IF(O5=0,0,O5/MBunk_act!O5*1000)</f>
        <v>9.0143603966250812</v>
      </c>
      <c r="P19" s="64">
        <f>IF(P5=0,0,P5/MBunk_act!P5*1000)</f>
        <v>7.6479285918488014</v>
      </c>
      <c r="Q19" s="64">
        <f>IF(Q5=0,0,Q5/MBunk_act!Q5*1000)</f>
        <v>9.217017038158545</v>
      </c>
      <c r="R19" s="64">
        <f>IF(R5=0,0,R5/MBunk_act!R5*1000)</f>
        <v>9.3961886568960136</v>
      </c>
      <c r="S19" s="64">
        <f>IF(S5=0,0,S5/MBunk_act!S5*1000)</f>
        <v>10.683927593753014</v>
      </c>
      <c r="T19" s="64">
        <f>IF(T5=0,0,T5/MBunk_act!T5*1000)</f>
        <v>9.9452269122259125</v>
      </c>
      <c r="U19" s="64">
        <f>IF(U5=0,0,U5/MBunk_act!U5*1000)</f>
        <v>5.299932154707645</v>
      </c>
      <c r="V19" s="64">
        <f>IF(V5=0,0,V5/MBunk_act!V5*1000)</f>
        <v>8.9847006924924653</v>
      </c>
      <c r="W19" s="64">
        <f>IF(W5=0,0,W5/MBunk_act!W5*1000)</f>
        <v>8.919136241819956</v>
      </c>
      <c r="X19" s="64">
        <f>IF(X5=0,0,X5/MBunk_act!X5*1000)</f>
        <v>10.763729168382593</v>
      </c>
      <c r="Y19" s="64">
        <f>IF(Y5=0,0,Y5/MBunk_act!Y5*1000)</f>
        <v>18.37323060647779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0.56360535246098997</v>
      </c>
      <c r="C22" s="77">
        <f t="shared" si="3"/>
        <v>0.56297850647538195</v>
      </c>
      <c r="D22" s="77">
        <f t="shared" si="3"/>
        <v>0.56153780296248079</v>
      </c>
      <c r="E22" s="77">
        <f t="shared" si="3"/>
        <v>0.58045877158318004</v>
      </c>
      <c r="F22" s="77">
        <f t="shared" si="3"/>
        <v>0.53077207772345825</v>
      </c>
      <c r="G22" s="77">
        <f t="shared" si="3"/>
        <v>0.47883156590272086</v>
      </c>
      <c r="H22" s="77">
        <f t="shared" si="3"/>
        <v>0.48675445938932232</v>
      </c>
      <c r="I22" s="77">
        <f t="shared" si="3"/>
        <v>0.48553153190763432</v>
      </c>
      <c r="J22" s="77">
        <f t="shared" si="3"/>
        <v>0.47599696836868932</v>
      </c>
      <c r="K22" s="77">
        <f t="shared" si="3"/>
        <v>0.45608669728626167</v>
      </c>
      <c r="L22" s="77">
        <f t="shared" si="3"/>
        <v>0.44739845826143232</v>
      </c>
      <c r="M22" s="77">
        <f t="shared" si="3"/>
        <v>0.46223378606701948</v>
      </c>
      <c r="N22" s="77">
        <f t="shared" si="3"/>
        <v>0.37345793824161316</v>
      </c>
      <c r="O22" s="77">
        <f t="shared" si="3"/>
        <v>0.49280041281274339</v>
      </c>
      <c r="P22" s="77">
        <f t="shared" si="3"/>
        <v>0.49171360845530238</v>
      </c>
      <c r="Q22" s="77">
        <f t="shared" si="3"/>
        <v>0.45555794004358319</v>
      </c>
      <c r="R22" s="77">
        <f t="shared" si="3"/>
        <v>0.4448845044171208</v>
      </c>
      <c r="S22" s="77">
        <f t="shared" si="3"/>
        <v>0.4580572643260255</v>
      </c>
      <c r="T22" s="77">
        <f t="shared" si="3"/>
        <v>0.45778567568500356</v>
      </c>
      <c r="U22" s="77">
        <f t="shared" si="3"/>
        <v>0.44010552798089392</v>
      </c>
      <c r="V22" s="77">
        <f t="shared" si="3"/>
        <v>0.34921159246212125</v>
      </c>
      <c r="W22" s="77">
        <f t="shared" si="3"/>
        <v>0.38508180146900173</v>
      </c>
      <c r="X22" s="77">
        <f t="shared" ref="X22:Y22" si="5">IF(X4=0,0,X4/X$3)</f>
        <v>0.49842332380587173</v>
      </c>
      <c r="Y22" s="77">
        <f t="shared" si="5"/>
        <v>0.59947028736418473</v>
      </c>
      <c r="DA22" s="184"/>
    </row>
    <row r="23" spans="1:105" ht="11.45" customHeight="1" x14ac:dyDescent="0.25">
      <c r="A23" s="57" t="s">
        <v>167</v>
      </c>
      <c r="B23" s="78">
        <f t="shared" si="3"/>
        <v>0.43639464753900997</v>
      </c>
      <c r="C23" s="78">
        <f t="shared" si="3"/>
        <v>0.43702149352461817</v>
      </c>
      <c r="D23" s="78">
        <f t="shared" si="3"/>
        <v>0.43846219703751926</v>
      </c>
      <c r="E23" s="78">
        <f t="shared" si="3"/>
        <v>0.41954122841681996</v>
      </c>
      <c r="F23" s="78">
        <f t="shared" si="3"/>
        <v>0.46922792227654181</v>
      </c>
      <c r="G23" s="78">
        <f t="shared" si="3"/>
        <v>0.5211684340972792</v>
      </c>
      <c r="H23" s="78">
        <f t="shared" si="3"/>
        <v>0.51324554061067762</v>
      </c>
      <c r="I23" s="78">
        <f t="shared" si="3"/>
        <v>0.51446846809236568</v>
      </c>
      <c r="J23" s="78">
        <f t="shared" si="3"/>
        <v>0.52400303163131068</v>
      </c>
      <c r="K23" s="78">
        <f t="shared" si="3"/>
        <v>0.54391330271373828</v>
      </c>
      <c r="L23" s="78">
        <f t="shared" si="3"/>
        <v>0.55260154173856768</v>
      </c>
      <c r="M23" s="78">
        <f t="shared" si="3"/>
        <v>0.53776621393298041</v>
      </c>
      <c r="N23" s="78">
        <f t="shared" si="3"/>
        <v>0.62654206175838678</v>
      </c>
      <c r="O23" s="78">
        <f t="shared" si="3"/>
        <v>0.50719958718725655</v>
      </c>
      <c r="P23" s="78">
        <f t="shared" si="3"/>
        <v>0.50828639154469768</v>
      </c>
      <c r="Q23" s="78">
        <f t="shared" si="3"/>
        <v>0.54444205995641692</v>
      </c>
      <c r="R23" s="78">
        <f t="shared" si="3"/>
        <v>0.5551154955828792</v>
      </c>
      <c r="S23" s="78">
        <f t="shared" si="3"/>
        <v>0.54194273567397455</v>
      </c>
      <c r="T23" s="78">
        <f t="shared" si="3"/>
        <v>0.54221432431499639</v>
      </c>
      <c r="U23" s="78">
        <f t="shared" si="3"/>
        <v>0.55989447201910603</v>
      </c>
      <c r="V23" s="78">
        <f t="shared" si="3"/>
        <v>0.6507884075378787</v>
      </c>
      <c r="W23" s="78">
        <f t="shared" si="3"/>
        <v>0.61491819853099827</v>
      </c>
      <c r="X23" s="78">
        <f t="shared" ref="X23:Y23" si="6">IF(X5=0,0,X5/X$3)</f>
        <v>0.50157667619412816</v>
      </c>
      <c r="Y23" s="78">
        <f t="shared" si="6"/>
        <v>0.40052971263581533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2025-11-06T10:22:29Z</dcterms:created>
  <dcterms:modified xsi:type="dcterms:W3CDTF">2025-11-06T10:22:29Z</dcterms:modified>
</cp:coreProperties>
</file>