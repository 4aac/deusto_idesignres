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DE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X67" i="6"/>
  <c r="Y119" i="6"/>
  <c r="Y173" i="6" s="1"/>
  <c r="X119" i="6"/>
  <c r="X173" i="6" s="1"/>
  <c r="Y16" i="7"/>
  <c r="Y14" i="13"/>
  <c r="X13" i="12"/>
  <c r="X21" i="12"/>
  <c r="X20" i="12"/>
  <c r="X16" i="8"/>
  <c r="Y14" i="12"/>
  <c r="Y6" i="12"/>
  <c r="Y33" i="10"/>
  <c r="X33" i="10"/>
  <c r="Y22" i="13"/>
  <c r="X22" i="13"/>
  <c r="Y21" i="13"/>
  <c r="X21" i="13"/>
  <c r="Y20" i="13"/>
  <c r="Y18" i="13"/>
  <c r="X18" i="10"/>
  <c r="Y17" i="13"/>
  <c r="X17" i="10"/>
  <c r="Y6" i="13"/>
  <c r="X5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6" i="12"/>
  <c r="X24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4" i="25"/>
  <c r="Y14" i="24"/>
  <c r="X13" i="23"/>
  <c r="Y10" i="24"/>
  <c r="X9" i="23"/>
  <c r="Y8" i="23"/>
  <c r="X24" i="23"/>
  <c r="Y23" i="23"/>
  <c r="Y22" i="24"/>
  <c r="X18" i="24"/>
  <c r="Y17" i="24"/>
  <c r="Y20" i="21"/>
  <c r="X20" i="21"/>
  <c r="Y18" i="21"/>
  <c r="X5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2" i="25"/>
  <c r="Y19" i="22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6" i="23"/>
  <c r="X23" i="23"/>
  <c r="Y22" i="23"/>
  <c r="Y20" i="23"/>
  <c r="Y20" i="26" s="1"/>
  <c r="Y33" i="24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20" i="25"/>
  <c r="Y20" i="28" s="1"/>
  <c r="Y15" i="25"/>
  <c r="Y15" i="28" s="1"/>
  <c r="X15" i="25"/>
  <c r="X15" i="28" s="1"/>
  <c r="X11" i="25"/>
  <c r="X11" i="28" s="1"/>
  <c r="Y7" i="25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9" i="36"/>
  <c r="Y27" i="6" l="1"/>
  <c r="Y24" i="28" s="1"/>
  <c r="Y17" i="10"/>
  <c r="Y33" i="27"/>
  <c r="Y18" i="10"/>
  <c r="X7" i="12"/>
  <c r="X8" i="12"/>
  <c r="Y24" i="23"/>
  <c r="Y5" i="10"/>
  <c r="X25" i="23"/>
  <c r="Y24" i="12"/>
  <c r="X25" i="12"/>
  <c r="Y23" i="10"/>
  <c r="Y10" i="12"/>
  <c r="X8" i="13"/>
  <c r="X11" i="12"/>
  <c r="Y8" i="13"/>
  <c r="X21" i="21"/>
  <c r="X9" i="21"/>
  <c r="X25" i="24"/>
  <c r="X17" i="24"/>
  <c r="X25" i="13"/>
  <c r="X12" i="12"/>
  <c r="X14" i="30"/>
  <c r="X7" i="14"/>
  <c r="Y25" i="13"/>
  <c r="X16" i="7"/>
  <c r="X16" i="12" s="1"/>
  <c r="X31" i="23"/>
  <c r="X26" i="13"/>
  <c r="Y7" i="28"/>
  <c r="Y26" i="24"/>
  <c r="Y26" i="27" s="1"/>
  <c r="Y31" i="23"/>
  <c r="Y10" i="13"/>
  <c r="Y26" i="13"/>
  <c r="X27" i="21"/>
  <c r="X32" i="23"/>
  <c r="X11" i="13"/>
  <c r="Y67" i="6"/>
  <c r="Y14" i="36"/>
  <c r="X12" i="24"/>
  <c r="X12" i="13"/>
  <c r="X30" i="13"/>
  <c r="X8" i="24"/>
  <c r="Y8" i="24"/>
  <c r="X8" i="25"/>
  <c r="Y13" i="29"/>
  <c r="Y5" i="29" s="1"/>
  <c r="Y9" i="25"/>
  <c r="Y12" i="24"/>
  <c r="Y21" i="25"/>
  <c r="Y21" i="28" s="1"/>
  <c r="X10" i="14"/>
  <c r="X30" i="14"/>
  <c r="Y12" i="13"/>
  <c r="X7" i="21"/>
  <c r="Y52" i="38"/>
  <c r="X14" i="29"/>
  <c r="X6" i="29" s="1"/>
  <c r="X10" i="25"/>
  <c r="X10" i="28" s="1"/>
  <c r="X13" i="21"/>
  <c r="X31" i="24"/>
  <c r="X17" i="23"/>
  <c r="X22" i="24"/>
  <c r="Y10" i="14"/>
  <c r="X31" i="13"/>
  <c r="Y33" i="12"/>
  <c r="X13" i="29"/>
  <c r="Y17" i="23"/>
  <c r="X31" i="14"/>
  <c r="Y31" i="13"/>
  <c r="X23" i="21"/>
  <c r="Y8" i="25"/>
  <c r="X9" i="36"/>
  <c r="Y53" i="38"/>
  <c r="Y31" i="14"/>
  <c r="X32" i="10"/>
  <c r="Y7" i="24"/>
  <c r="Y7" i="27" s="1"/>
  <c r="Y11" i="24"/>
  <c r="Y14" i="21"/>
  <c r="Y32" i="21"/>
  <c r="X17" i="13"/>
  <c r="Y45" i="37"/>
  <c r="X15" i="21"/>
  <c r="X33" i="21"/>
  <c r="Y33" i="21"/>
  <c r="Y12" i="23"/>
  <c r="X6" i="14"/>
  <c r="X10" i="12"/>
  <c r="X14" i="13"/>
  <c r="X13" i="24"/>
  <c r="X32" i="25"/>
  <c r="X11" i="24"/>
  <c r="X29" i="19"/>
  <c r="X71" i="6"/>
  <c r="X7" i="25"/>
  <c r="X7" i="28" s="1"/>
  <c r="X17" i="25"/>
  <c r="Y31" i="21"/>
  <c r="Y6" i="23"/>
  <c r="Y6" i="26" s="1"/>
  <c r="Y10" i="23"/>
  <c r="Y14" i="23"/>
  <c r="Y14" i="26" s="1"/>
  <c r="Y19" i="19"/>
  <c r="Y5" i="23"/>
  <c r="X14" i="36"/>
  <c r="X12" i="36" s="1"/>
  <c r="X22" i="25"/>
  <c r="X17" i="21"/>
  <c r="X32" i="21"/>
  <c r="X7" i="23"/>
  <c r="X11" i="23"/>
  <c r="Y26" i="12"/>
  <c r="Y29" i="7"/>
  <c r="Y37" i="6"/>
  <c r="X33" i="24"/>
  <c r="X33" i="27" s="1"/>
  <c r="Y30" i="14"/>
  <c r="Y24" i="13"/>
  <c r="Y30" i="13"/>
  <c r="X18" i="12"/>
  <c r="X23" i="14"/>
  <c r="X28" i="12"/>
  <c r="X33" i="12"/>
  <c r="X27" i="6"/>
  <c r="X28" i="26" s="1"/>
  <c r="Y8" i="14"/>
  <c r="Y12" i="12"/>
  <c r="Y18" i="12"/>
  <c r="Y28" i="12"/>
  <c r="X82" i="6"/>
  <c r="X81" i="6" s="1"/>
  <c r="X113" i="6" s="1"/>
  <c r="X107" i="6"/>
  <c r="X24" i="28"/>
  <c r="X9" i="25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31" i="6" s="1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X21" i="25"/>
  <c r="Y12" i="21"/>
  <c r="X9" i="24"/>
  <c r="X12" i="21"/>
  <c r="X17" i="14"/>
  <c r="X5" i="13"/>
  <c r="X6" i="12"/>
  <c r="Y14" i="10"/>
  <c r="X4" i="8"/>
  <c r="X9" i="12"/>
  <c r="Y117" i="6"/>
  <c r="Y29" i="22"/>
  <c r="Y29" i="25" s="1"/>
  <c r="Y5" i="21"/>
  <c r="Y23" i="24"/>
  <c r="Y28" i="24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28" i="13"/>
  <c r="Y9" i="13"/>
  <c r="Y16" i="9"/>
  <c r="Y16" i="13" s="1"/>
  <c r="Y9" i="39"/>
  <c r="Y17" i="38"/>
  <c r="Y46" i="37"/>
  <c r="X6" i="25"/>
  <c r="Y15" i="21"/>
  <c r="X51" i="39"/>
  <c r="Y32" i="24"/>
  <c r="Y16" i="22"/>
  <c r="X6" i="24"/>
  <c r="X24" i="24"/>
  <c r="X30" i="24"/>
  <c r="X6" i="13"/>
  <c r="Y11" i="10"/>
  <c r="Y15" i="10"/>
  <c r="X8" i="14"/>
  <c r="X13" i="13"/>
  <c r="X9" i="39"/>
  <c r="X46" i="37"/>
  <c r="X21" i="23"/>
  <c r="X21" i="26" s="1"/>
  <c r="Y13" i="13"/>
  <c r="X19" i="7"/>
  <c r="X27" i="12" s="1"/>
  <c r="X29" i="7"/>
  <c r="Y19" i="18"/>
  <c r="Y27" i="24" s="1"/>
  <c r="Y31" i="25"/>
  <c r="Y9" i="38"/>
  <c r="Y52" i="37"/>
  <c r="X32" i="24"/>
  <c r="X32" i="27" s="1"/>
  <c r="Y51" i="39"/>
  <c r="Y6" i="24"/>
  <c r="Y6" i="27" s="1"/>
  <c r="Y24" i="24"/>
  <c r="Y24" i="27" s="1"/>
  <c r="Y18" i="23"/>
  <c r="X16" i="9"/>
  <c r="X16" i="10" s="1"/>
  <c r="X19" i="8"/>
  <c r="Y33" i="6"/>
  <c r="Y31" i="6" s="1"/>
  <c r="X103" i="6"/>
  <c r="X124" i="6" s="1"/>
  <c r="X17" i="37"/>
  <c r="Y11" i="23"/>
  <c r="Y71" i="6"/>
  <c r="Y104" i="6"/>
  <c r="Y10" i="21"/>
  <c r="X21" i="10"/>
  <c r="X105" i="6"/>
  <c r="X8" i="33"/>
  <c r="Y9" i="21"/>
  <c r="Y25" i="21"/>
  <c r="Y13" i="23"/>
  <c r="Y21" i="10"/>
  <c r="Y9" i="12"/>
  <c r="Y105" i="6"/>
  <c r="X72" i="29"/>
  <c r="X6" i="34" s="1"/>
  <c r="X10" i="21"/>
  <c r="X26" i="21"/>
  <c r="X14" i="23"/>
  <c r="X14" i="26" s="1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Y22" i="21"/>
  <c r="Y13" i="21"/>
  <c r="Y16" i="19"/>
  <c r="X8" i="10"/>
  <c r="X26" i="10"/>
  <c r="X30" i="25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5" i="21"/>
  <c r="Y9" i="10"/>
  <c r="Y6" i="21"/>
  <c r="Y103" i="6"/>
  <c r="Y19" i="36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X29" i="22"/>
  <c r="Y12" i="10"/>
  <c r="X24" i="6"/>
  <c r="X17" i="38"/>
  <c r="X53" i="37"/>
  <c r="X17" i="39"/>
  <c r="X5" i="39" s="1"/>
  <c r="X47" i="38"/>
  <c r="Y14" i="29"/>
  <c r="X7" i="24"/>
  <c r="X26" i="24"/>
  <c r="X26" i="27" s="1"/>
  <c r="Y21" i="23"/>
  <c r="Y21" i="26" s="1"/>
  <c r="X13" i="10"/>
  <c r="Y24" i="6"/>
  <c r="Y17" i="39"/>
  <c r="Y47" i="38"/>
  <c r="X15" i="29"/>
  <c r="X7" i="29" s="1"/>
  <c r="Y17" i="25"/>
  <c r="Y25" i="23"/>
  <c r="X25" i="6"/>
  <c r="X51" i="38"/>
  <c r="Y15" i="29"/>
  <c r="Y5" i="33" s="1"/>
  <c r="X28" i="24"/>
  <c r="X4" i="19"/>
  <c r="X26" i="23"/>
  <c r="X26" i="26" s="1"/>
  <c r="Y9" i="14"/>
  <c r="Y25" i="6"/>
  <c r="Y49" i="37"/>
  <c r="X16" i="29"/>
  <c r="Y9" i="23"/>
  <c r="X26" i="6"/>
  <c r="X33" i="39"/>
  <c r="Y51" i="38"/>
  <c r="X9" i="38"/>
  <c r="X52" i="38"/>
  <c r="X68" i="29"/>
  <c r="X6" i="30" s="1"/>
  <c r="X10" i="23"/>
  <c r="X5" i="31"/>
  <c r="X5" i="29"/>
  <c r="Y12" i="29"/>
  <c r="Y16" i="29"/>
  <c r="X8" i="23"/>
  <c r="Y30" i="23"/>
  <c r="Y30" i="26" s="1"/>
  <c r="X24" i="21"/>
  <c r="X29" i="20"/>
  <c r="X31" i="21"/>
  <c r="X4" i="18"/>
  <c r="X3" i="18" s="1"/>
  <c r="X15" i="18"/>
  <c r="X6" i="23"/>
  <c r="Y32" i="14"/>
  <c r="Y29" i="11"/>
  <c r="Y29" i="14" s="1"/>
  <c r="Y29" i="8"/>
  <c r="Y29" i="12" s="1"/>
  <c r="Y30" i="12"/>
  <c r="X69" i="29"/>
  <c r="X6" i="31" s="1"/>
  <c r="Y24" i="26"/>
  <c r="Y13" i="24"/>
  <c r="X4" i="22"/>
  <c r="Y48" i="6"/>
  <c r="Y102" i="6"/>
  <c r="X8" i="35"/>
  <c r="Y4" i="18"/>
  <c r="Y3" i="18" s="1"/>
  <c r="Y15" i="18"/>
  <c r="Y15" i="24" s="1"/>
  <c r="Y8" i="35"/>
  <c r="X8" i="34"/>
  <c r="Y26" i="26"/>
  <c r="Y5" i="25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X4" i="20"/>
  <c r="X6" i="21"/>
  <c r="Y27" i="10"/>
  <c r="Y28" i="13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29" i="19"/>
  <c r="Y29" i="23" s="1"/>
  <c r="Y4" i="11"/>
  <c r="Y5" i="14"/>
  <c r="Y4" i="8"/>
  <c r="Y5" i="12"/>
  <c r="Y149" i="6"/>
  <c r="X14" i="24"/>
  <c r="X14" i="27" s="1"/>
  <c r="Y14" i="27"/>
  <c r="Y33" i="26"/>
  <c r="X16" i="22"/>
  <c r="Y7" i="21"/>
  <c r="X16" i="20"/>
  <c r="X18" i="21"/>
  <c r="Y28" i="23"/>
  <c r="X16" i="18"/>
  <c r="X18" i="23"/>
  <c r="Y7" i="13"/>
  <c r="Y11" i="13"/>
  <c r="Y23" i="13"/>
  <c r="X149" i="6"/>
  <c r="X50" i="37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Y16" i="25" l="1"/>
  <c r="X17" i="27"/>
  <c r="X17" i="28"/>
  <c r="X9" i="29"/>
  <c r="X4" i="13"/>
  <c r="Y16" i="28"/>
  <c r="X28" i="27"/>
  <c r="X25" i="26"/>
  <c r="X11" i="26"/>
  <c r="Y22" i="27"/>
  <c r="Y5" i="37"/>
  <c r="Y36" i="37" s="1"/>
  <c r="X8" i="26"/>
  <c r="X22" i="26"/>
  <c r="Y18" i="27"/>
  <c r="X31" i="28"/>
  <c r="X30" i="26"/>
  <c r="X19" i="10"/>
  <c r="X94" i="6"/>
  <c r="X89" i="6"/>
  <c r="Y5" i="39"/>
  <c r="Y37" i="39" s="1"/>
  <c r="X25" i="27"/>
  <c r="X4" i="14"/>
  <c r="X4" i="17" s="1"/>
  <c r="Y32" i="27"/>
  <c r="X90" i="6"/>
  <c r="Y5" i="28"/>
  <c r="Y17" i="28"/>
  <c r="X10" i="26"/>
  <c r="X91" i="6"/>
  <c r="Y25" i="26"/>
  <c r="X29" i="10"/>
  <c r="Y15" i="27"/>
  <c r="Y17" i="27"/>
  <c r="X92" i="6"/>
  <c r="X93" i="6"/>
  <c r="Y28" i="26"/>
  <c r="Y31" i="26"/>
  <c r="Y28" i="16"/>
  <c r="X16" i="13"/>
  <c r="X16" i="16" s="1"/>
  <c r="X15" i="12"/>
  <c r="X15" i="15" s="1"/>
  <c r="X16" i="14"/>
  <c r="X16" i="17" s="1"/>
  <c r="X22" i="15"/>
  <c r="Y16" i="23"/>
  <c r="Y16" i="26" s="1"/>
  <c r="Y5" i="31"/>
  <c r="X5" i="32"/>
  <c r="Y12" i="27"/>
  <c r="Y5" i="26"/>
  <c r="Y31" i="28"/>
  <c r="Y28" i="27"/>
  <c r="Y27" i="27"/>
  <c r="Y23" i="28"/>
  <c r="Y10" i="26"/>
  <c r="Y29" i="28"/>
  <c r="Y11" i="26"/>
  <c r="Y10" i="27"/>
  <c r="Y9" i="28"/>
  <c r="Y9" i="27"/>
  <c r="Y5" i="27"/>
  <c r="Y23" i="27"/>
  <c r="Y13" i="27"/>
  <c r="X8" i="28"/>
  <c r="Y8" i="28"/>
  <c r="Y8" i="27"/>
  <c r="Y22" i="28"/>
  <c r="X8" i="27"/>
  <c r="Y11" i="27"/>
  <c r="Y10" i="16"/>
  <c r="Y22" i="26"/>
  <c r="Y17" i="26"/>
  <c r="Y12" i="26"/>
  <c r="Y139" i="6"/>
  <c r="Y30" i="15"/>
  <c r="Y9" i="26"/>
  <c r="X163" i="6"/>
  <c r="Y25" i="27"/>
  <c r="X5" i="28"/>
  <c r="Y18" i="26"/>
  <c r="X12" i="26"/>
  <c r="Y31" i="27"/>
  <c r="Y23" i="26"/>
  <c r="Y29" i="26"/>
  <c r="X9" i="28"/>
  <c r="Y8" i="26"/>
  <c r="Y32" i="26"/>
  <c r="X23" i="27"/>
  <c r="X23" i="26"/>
  <c r="Y13" i="26"/>
  <c r="X27" i="13"/>
  <c r="X27" i="16" s="1"/>
  <c r="X3" i="8"/>
  <c r="X4" i="23"/>
  <c r="X4" i="26" s="1"/>
  <c r="X29" i="13"/>
  <c r="X29" i="16" s="1"/>
  <c r="X3" i="19"/>
  <c r="X3" i="23" s="1"/>
  <c r="X5" i="26"/>
  <c r="X13" i="26"/>
  <c r="X5" i="27"/>
  <c r="X17" i="26"/>
  <c r="X11" i="27"/>
  <c r="X9" i="27"/>
  <c r="X13" i="27"/>
  <c r="X6" i="27"/>
  <c r="X21" i="28"/>
  <c r="X4" i="12"/>
  <c r="X4" i="15" s="1"/>
  <c r="X7" i="27"/>
  <c r="X30" i="27"/>
  <c r="X24" i="27"/>
  <c r="Y15" i="13"/>
  <c r="Y15" i="16" s="1"/>
  <c r="X33" i="26"/>
  <c r="X32" i="26"/>
  <c r="Y10" i="17"/>
  <c r="X18" i="26"/>
  <c r="X6" i="26"/>
  <c r="X23" i="28"/>
  <c r="X22" i="27"/>
  <c r="X22" i="28"/>
  <c r="X7" i="26"/>
  <c r="X30" i="28"/>
  <c r="X18" i="27"/>
  <c r="Y19" i="23"/>
  <c r="Y19" i="26" s="1"/>
  <c r="X31" i="26"/>
  <c r="Y12" i="36"/>
  <c r="X114" i="6"/>
  <c r="X168" i="6" s="1"/>
  <c r="X29" i="23"/>
  <c r="X29" i="26" s="1"/>
  <c r="X6" i="28"/>
  <c r="X10" i="27"/>
  <c r="X21" i="27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53" i="6" s="1"/>
  <c r="X12" i="27"/>
  <c r="X24" i="26"/>
  <c r="X58" i="6"/>
  <c r="Y50" i="39"/>
  <c r="Y48" i="38"/>
  <c r="X19" i="14"/>
  <c r="X19" i="17" s="1"/>
  <c r="X31" i="27"/>
  <c r="X16" i="23"/>
  <c r="X16" i="26" s="1"/>
  <c r="X5" i="37"/>
  <c r="X39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9" i="15"/>
  <c r="Y20" i="15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140" i="6"/>
  <c r="X16" i="15"/>
  <c r="X20" i="17"/>
  <c r="X32" i="16"/>
  <c r="X8" i="15"/>
  <c r="X23" i="15"/>
  <c r="X8" i="36"/>
  <c r="X3" i="11"/>
  <c r="X3" i="35"/>
  <c r="Y159" i="6"/>
  <c r="Y135" i="6"/>
  <c r="Y34" i="37"/>
  <c r="X5" i="38"/>
  <c r="X38" i="38" s="1"/>
  <c r="X44" i="37"/>
  <c r="X3" i="31"/>
  <c r="Y163" i="6"/>
  <c r="Y165" i="6"/>
  <c r="Y37" i="37"/>
  <c r="Y3" i="31"/>
  <c r="X158" i="6"/>
  <c r="X125" i="6"/>
  <c r="Y164" i="6"/>
  <c r="X3" i="32"/>
  <c r="X3" i="30"/>
  <c r="X3" i="33"/>
  <c r="Y171" i="6"/>
  <c r="Y162" i="6"/>
  <c r="Y38" i="37"/>
  <c r="Y157" i="6"/>
  <c r="Y124" i="6"/>
  <c r="Y134" i="6"/>
  <c r="Y125" i="6"/>
  <c r="X12" i="15"/>
  <c r="X13" i="16"/>
  <c r="Y169" i="6"/>
  <c r="X35" i="39"/>
  <c r="X16" i="25"/>
  <c r="X16" i="28" s="1"/>
  <c r="X30" i="16"/>
  <c r="X9" i="17"/>
  <c r="X31" i="17"/>
  <c r="X147" i="6"/>
  <c r="X26" i="15"/>
  <c r="Y33" i="37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3" i="29" s="1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X143" i="6"/>
  <c r="X167" i="6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X31" i="36"/>
  <c r="X34" i="36"/>
  <c r="X32" i="36"/>
  <c r="X38" i="39"/>
  <c r="Y39" i="37"/>
  <c r="Y40" i="37"/>
  <c r="Y32" i="37"/>
  <c r="X37" i="39"/>
  <c r="Y35" i="37" l="1"/>
  <c r="Y35" i="39"/>
  <c r="Y44" i="39"/>
  <c r="Y36" i="39"/>
  <c r="Y38" i="39"/>
  <c r="X3" i="12"/>
  <c r="Y34" i="36"/>
  <c r="Y44" i="38"/>
  <c r="X34" i="37"/>
  <c r="Y32" i="36"/>
  <c r="X35" i="37"/>
  <c r="X37" i="37"/>
  <c r="X40" i="37"/>
  <c r="X36" i="37"/>
  <c r="X38" i="37"/>
  <c r="X44" i="39"/>
  <c r="X32" i="37"/>
  <c r="X33" i="37"/>
  <c r="Y31" i="36"/>
  <c r="X144" i="6"/>
  <c r="X3" i="13"/>
  <c r="X3" i="16" s="1"/>
  <c r="X129" i="6"/>
  <c r="X3" i="14"/>
  <c r="X3" i="10"/>
  <c r="Y39" i="38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/>
  <c r="X31" i="37" l="1"/>
  <c r="X3" i="17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R7" i="29"/>
  <c r="T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R3" i="35"/>
  <c r="W3" i="31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V90" i="6" l="1"/>
  <c r="W90" i="6"/>
  <c r="T56" i="6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9" i="24" l="1"/>
  <c r="E4" i="24"/>
  <c r="P29" i="25"/>
  <c r="P29" i="28" s="1"/>
  <c r="K16" i="24"/>
  <c r="N19" i="24"/>
  <c r="K29" i="13"/>
  <c r="K29" i="12"/>
  <c r="J29" i="23"/>
  <c r="I29" i="24"/>
  <c r="E19" i="14"/>
  <c r="O4" i="24"/>
  <c r="O4" i="23"/>
  <c r="N19" i="23"/>
  <c r="G16" i="12"/>
  <c r="C4" i="13"/>
  <c r="O4" i="12"/>
  <c r="F4" i="24"/>
  <c r="C16" i="13"/>
  <c r="E4" i="23"/>
  <c r="H4" i="12"/>
  <c r="J29" i="13"/>
  <c r="C4" i="12"/>
  <c r="G19" i="24"/>
  <c r="P29" i="12"/>
  <c r="P29" i="15" s="1"/>
  <c r="H29" i="23"/>
  <c r="H29" i="26" s="1"/>
  <c r="O29" i="13"/>
  <c r="P19" i="24"/>
  <c r="P19" i="27" s="1"/>
  <c r="J19" i="23"/>
  <c r="J19" i="26" s="1"/>
  <c r="P29" i="13"/>
  <c r="P29" i="16" s="1"/>
  <c r="H29" i="24"/>
  <c r="G19" i="23"/>
  <c r="G19" i="26" s="1"/>
  <c r="O29" i="23"/>
  <c r="O29" i="26" s="1"/>
  <c r="O29" i="12"/>
  <c r="C17" i="16"/>
  <c r="E4" i="13"/>
  <c r="P4" i="12"/>
  <c r="O4" i="13"/>
  <c r="O4" i="16" s="1"/>
  <c r="K4" i="24"/>
  <c r="K4" i="27" s="1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C19" i="23"/>
  <c r="C19" i="26" s="1"/>
  <c r="F4" i="12"/>
  <c r="F4" i="15" s="1"/>
  <c r="E19" i="24"/>
  <c r="E19" i="27" s="1"/>
  <c r="P16" i="25"/>
  <c r="G29" i="12"/>
  <c r="G29" i="13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M16" i="24"/>
  <c r="J4" i="23"/>
  <c r="J4" i="26" s="1"/>
  <c r="P19" i="12"/>
  <c r="P19" i="15" s="1"/>
  <c r="H4" i="24"/>
  <c r="M4" i="12"/>
  <c r="M4" i="15" s="1"/>
  <c r="O19" i="24"/>
  <c r="O19" i="27" s="1"/>
  <c r="P16" i="24"/>
  <c r="P16" i="27" s="1"/>
  <c r="L19" i="13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D4" i="13"/>
  <c r="D4" i="16" s="1"/>
  <c r="N16" i="12"/>
  <c r="N16" i="15" s="1"/>
  <c r="E16" i="12"/>
  <c r="E16" i="15" s="1"/>
  <c r="I16" i="14"/>
  <c r="I16" i="17" s="1"/>
  <c r="Q4" i="23"/>
  <c r="Q4" i="26" s="1"/>
  <c r="J29" i="24"/>
  <c r="J29" i="27" s="1"/>
  <c r="P16" i="13"/>
  <c r="P16" i="16" s="1"/>
  <c r="C29" i="12"/>
  <c r="G16" i="24"/>
  <c r="I4" i="12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6" s="1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3" i="8"/>
  <c r="F16" i="15"/>
  <c r="F19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1"/>
  <c r="D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7" i="4"/>
  <c r="B44" i="4"/>
  <c r="B11" i="4"/>
  <c r="B42" i="4"/>
  <c r="B10" i="4"/>
  <c r="B29" i="4"/>
  <c r="B21" i="4"/>
  <c r="B22" i="4"/>
  <c r="B20" i="4"/>
  <c r="B34" i="4"/>
  <c r="B39" i="4"/>
  <c r="B24" i="4"/>
  <c r="B7" i="4"/>
  <c r="B15" i="4"/>
  <c r="B37" i="4"/>
  <c r="B45" i="4"/>
  <c r="B9" i="4"/>
  <c r="B30" i="4"/>
  <c r="B33" i="4"/>
  <c r="B25" i="4"/>
  <c r="B36" i="4"/>
  <c r="B43" i="4"/>
  <c r="B23" i="4"/>
  <c r="B26" i="4"/>
  <c r="B14" i="4"/>
  <c r="B16" i="4"/>
  <c r="B12" i="4"/>
  <c r="B28" i="4"/>
  <c r="B17" i="4"/>
  <c r="B13" i="4"/>
  <c r="B8" i="4"/>
  <c r="B4" i="4"/>
  <c r="B35" i="4"/>
  <c r="B38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<sst xmlns="http://schemas.openxmlformats.org/spreadsheetml/2006/main" count="2101" uniqueCount="1057">
  <si>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</si>
  <si>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</si>
  <si>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</si>
  <si>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</si>
  <si>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</si>
  <si>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</si>
  <si>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</si>
  <si>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</si>
  <si>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</si>
  <si>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</si>
  <si>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</si>
  <si>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</si>
  <si>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</si>
  <si>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</si>
  <si>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</si>
  <si>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</si>
  <si>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</si>
  <si>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</si>
  <si>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</si>
  <si>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</si>
  <si>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</si>
  <si>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</si>
  <si>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</si>
  <si>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</si>
  <si>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</si>
  <si>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</si>
  <si>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</si>
  <si>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</si>
  <si>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</si>
  <si>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</si>
  <si>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</si>
  <si>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</si>
  <si>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</si>
  <si>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</si>
  <si>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</si>
  <si>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</si>
  <si>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</si>
  <si>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</si>
  <si>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</si>
  <si>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</si>
  <si>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</si>
  <si>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</si>
  <si>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</si>
  <si>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</si>
  <si>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</si>
  <si>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</si>
  <si>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</si>
  <si>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</si>
  <si>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</si>
  <si>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</si>
  <si>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</si>
  <si>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</si>
  <si>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</si>
  <si>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</si>
  <si>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</si>
  <si>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</si>
  <si>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</si>
  <si>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</si>
  <si>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</si>
  <si>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</si>
  <si>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</si>
  <si>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</si>
  <si>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</si>
  <si>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</si>
  <si>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</si>
  <si>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</si>
  <si>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</si>
  <si>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</si>
  <si>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</si>
  <si>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</si>
  <si>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</si>
  <si>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</si>
  <si>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</si>
  <si>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</si>
  <si>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</si>
  <si>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</si>
  <si>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</si>
  <si>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</si>
  <si>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</si>
  <si>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</si>
  <si>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</si>
  <si>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</si>
  <si>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</si>
  <si>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</si>
  <si>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</si>
  <si>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</si>
  <si>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</si>
  <si>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</si>
  <si>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</si>
  <si>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</si>
  <si>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</si>
  <si>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</si>
  <si>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</si>
  <si>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</si>
  <si>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</si>
  <si>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</si>
  <si>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</si>
  <si>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</si>
  <si>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</si>
  <si>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</si>
  <si>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</si>
  <si>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</si>
  <si>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</si>
  <si>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</si>
  <si>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</si>
  <si>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</si>
  <si>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</si>
  <si>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</si>
  <si>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</si>
  <si>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</si>
  <si>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</si>
  <si>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</si>
  <si>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</si>
  <si>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</si>
  <si>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</si>
  <si>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</si>
  <si>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</si>
  <si>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</si>
  <si>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</si>
  <si>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</si>
  <si>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</si>
  <si>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</si>
  <si>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</si>
  <si>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</si>
  <si>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</si>
  <si>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</si>
  <si>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</si>
  <si>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</si>
  <si>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</si>
  <si>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</si>
  <si>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</si>
  <si>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</si>
  <si>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</si>
  <si>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</si>
  <si>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</si>
  <si>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</si>
  <si>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</si>
  <si>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</si>
  <si>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</si>
  <si>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</si>
  <si>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</si>
  <si>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</si>
  <si>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</si>
  <si>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</si>
  <si>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</si>
  <si>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</si>
  <si>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</si>
  <si>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</si>
  <si>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</si>
  <si>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</si>
  <si>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</si>
  <si>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</si>
  <si>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</si>
  <si>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</si>
  <si>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</si>
  <si>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</si>
  <si>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</si>
  <si>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</si>
  <si>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</si>
  <si>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</si>
  <si>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</si>
  <si>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</si>
  <si>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</si>
  <si>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</si>
  <si>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</si>
  <si>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</si>
  <si>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</si>
  <si>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</si>
  <si>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</si>
  <si>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</si>
  <si>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</si>
  <si>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</si>
  <si>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</si>
  <si>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</si>
  <si>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</si>
  <si>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</si>
  <si>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</si>
  <si>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</si>
  <si>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</si>
  <si>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</si>
  <si>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</si>
  <si>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</si>
  <si>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</si>
  <si>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</si>
  <si>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</si>
  <si>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DE</t>
  </si>
  <si>
    <t>Germany</t>
  </si>
  <si>
    <t>DE - Services sector summary</t>
  </si>
  <si>
    <t>Macro.number.DE.Population</t>
  </si>
  <si>
    <t>Macro.Meuro2015.DE.GDP</t>
  </si>
  <si>
    <t>Macro.Meuro2015.DE.VA</t>
  </si>
  <si>
    <t>Macro.number.DE.Employees</t>
  </si>
  <si>
    <t>NUM.number.DE.Ser.Bld</t>
  </si>
  <si>
    <t>SurfaceArea.ksqm.DE.Ser.Bld</t>
  </si>
  <si>
    <t>NUM.number.DE.Ser.BldNew</t>
  </si>
  <si>
    <t>SurfaceArea.ksqm.DE.Ser.BldNew</t>
  </si>
  <si>
    <t>HDD.Celsius.DE.Actual</t>
  </si>
  <si>
    <t>HDD.Celsius.DE.Mean</t>
  </si>
  <si>
    <t>HDD.ratio.DE.Relative</t>
  </si>
  <si>
    <t>FEC.ktoe.DE.ES.Ser</t>
  </si>
  <si>
    <t>FEC.ktoe.DE.ES.Ser.Solids</t>
  </si>
  <si>
    <t>FEC.ktoe.DE.ES.Ser.LPG</t>
  </si>
  <si>
    <t>FEC.ktoe.DE.ES.Ser.Oil</t>
  </si>
  <si>
    <t>FEC.ktoe.DE.ES.Ser.NG</t>
  </si>
  <si>
    <t>FEC.ktoe.DE.ES.Ser.Biomass_Waste</t>
  </si>
  <si>
    <t>FEC.ktoe.DE.ES.Ser.Biogas</t>
  </si>
  <si>
    <t>FEC.ktoe.DE.ES.Ser.LiqBio</t>
  </si>
  <si>
    <t>FEC.ktoe.DE.ES.Ser.Solar</t>
  </si>
  <si>
    <t>FEC.ktoe.DE.ES.Ser.Geo</t>
  </si>
  <si>
    <t>FEC.ktoe.DE.ES.Ser.Ambient</t>
  </si>
  <si>
    <t>FEC.ktoe.DE.ES.Ser.Steam_Distr</t>
  </si>
  <si>
    <t>FEC.ktoe.DE.ES.Ser.Elec</t>
  </si>
  <si>
    <t>FEC.ktoe.DE.Ser</t>
  </si>
  <si>
    <t>FEC.ktoe.DE.Ser.Bld.Thermal</t>
  </si>
  <si>
    <t>FEC.ktoe.DE.Ser.Bld.Thermal.SH</t>
  </si>
  <si>
    <t>FEC.ktoe.DE.Ser.Bld.Thermal.SC</t>
  </si>
  <si>
    <t>FEC.ktoe.DE.Ser.Bld.Thermal.HW</t>
  </si>
  <si>
    <t>FEC.ktoe.DE.Ser.Bld.Thermal.CA</t>
  </si>
  <si>
    <t>FEC.ktoe.DE.Ser.SEU</t>
  </si>
  <si>
    <t>EMI.ktCO2.DE.ES.Ser</t>
  </si>
  <si>
    <t>EMI.ktCO2.DE.ES.Ser.Solids</t>
  </si>
  <si>
    <t>EMI.ktCO2.DE.ES.Ser.LPG</t>
  </si>
  <si>
    <t>EMI.ktCO2.DE.ES.Ser.Oil</t>
  </si>
  <si>
    <t>EMI.ktCO2.DE.ES.Ser.NG</t>
  </si>
  <si>
    <t>EMI.ktCO2.DE.ES.Ser.Biomass_Waste</t>
  </si>
  <si>
    <t>EMI.ktCO2.DE.ES.Ser.Biogas</t>
  </si>
  <si>
    <t>EMI.ktCO2.DE.ES.Ser.LiqBio</t>
  </si>
  <si>
    <t>EMI.ktCO2.DE.ES.Ser.Solar</t>
  </si>
  <si>
    <t>EMI.ktCO2.DE.ES.Ser.Geo</t>
  </si>
  <si>
    <t>EMI.ktCO2.DE.ES.Ser.Ambient</t>
  </si>
  <si>
    <t>EMI.ktCO2.DE.ES.Ser.Steam_Distr</t>
  </si>
  <si>
    <t>EMI.ktCO2.DE.ES.Ser.Elec</t>
  </si>
  <si>
    <t>EMI.ktCO2.DE.Ser</t>
  </si>
  <si>
    <t>EMI.ktCO2.DE.Ser.Bld.Thermal</t>
  </si>
  <si>
    <t>EMI.ktCO2.DE.Ser.Bld.Thermal.SH</t>
  </si>
  <si>
    <t>EMI.ktCO2.DE.Ser.Bld.Thermal.SC</t>
  </si>
  <si>
    <t>EMI.ktCO2.DE.Ser.Bld.Thermal.HW</t>
  </si>
  <si>
    <t>EMI.ktCO2.DE.Ser.Bld.Thermal.CA</t>
  </si>
  <si>
    <t>EMI.ktCO2.DE.Ser.SEU</t>
  </si>
  <si>
    <t>Eff.ratio.DE.Ser.Bld.Thermal</t>
  </si>
  <si>
    <t>Eff.ratio.DE.Ser.Bld.Thermal.SH</t>
  </si>
  <si>
    <t>Eff.ratio.DE.Ser.Bld.Thermal.SC</t>
  </si>
  <si>
    <t>Eff.ratio.DE.Ser.Bld.Thermal.HW</t>
  </si>
  <si>
    <t>Eff.ratio.DE.Ser.Bld.Thermal.CA</t>
  </si>
  <si>
    <t>DE - Number of buildings</t>
  </si>
  <si>
    <t>NUM.number.DE.Ser.Bld.Thermal</t>
  </si>
  <si>
    <t>NUM.number.DE.Ser.Bld.Thermal.SH</t>
  </si>
  <si>
    <t>NUM.number.DE.Ser.Bld.Thermal.SH.Solids</t>
  </si>
  <si>
    <t>NUM.number.DE.Ser.Bld.Thermal.SH.LPG</t>
  </si>
  <si>
    <t>NUM.number.DE.Ser.Bld.Thermal.SH.Oil</t>
  </si>
  <si>
    <t>NUM.number.DE.Ser.Bld.Thermal.SH.GasHP</t>
  </si>
  <si>
    <t>NUM.number.DE.Ser.Bld.Thermal.SH.GasTH</t>
  </si>
  <si>
    <t>NUM.number.DE.Ser.Bld.Thermal.SH.Biomass</t>
  </si>
  <si>
    <t>NUM.number.DE.Ser.Bld.Thermal.SH.Geo</t>
  </si>
  <si>
    <t>NUM.number.DE.Ser.Bld.Thermal.SH.DistrHeat</t>
  </si>
  <si>
    <t>NUM.number.DE.Ser.Bld.Thermal.SH.AdvElc</t>
  </si>
  <si>
    <t>NUM.number.DE.Ser.Bld.Thermal.SH.ConvElc</t>
  </si>
  <si>
    <t>NUM.number.DE.Ser.Bld.Thermal.SC</t>
  </si>
  <si>
    <t>NUM.number.DE.Ser.Bld.Thermal.SC.GasHP</t>
  </si>
  <si>
    <t>NUM.number.DE.Ser.Bld.Thermal.SC.AC</t>
  </si>
  <si>
    <t>NUM.number.DE.Ser.Bld.Thermal.HW</t>
  </si>
  <si>
    <t>NUM.number.DE.Ser.Bld.Thermal.HW.Solids</t>
  </si>
  <si>
    <t>NUM.number.DE.Ser.Bld.Thermal.HW.LPG</t>
  </si>
  <si>
    <t>NUM.number.DE.Ser.Bld.Thermal.HW.Oil</t>
  </si>
  <si>
    <t>NUM.number.DE.Ser.Bld.Thermal.HW.Gas</t>
  </si>
  <si>
    <t>NUM.number.DE.Ser.Bld.Thermal.HW.Biomass</t>
  </si>
  <si>
    <t>NUM.number.DE.Ser.Bld.Thermal.HW.DistrHeat</t>
  </si>
  <si>
    <t>NUM.number.DE.Ser.Bld.Thermal.HW.Elc</t>
  </si>
  <si>
    <t>NUM.number.DE.Ser.Bld.Thermal.HW.Solar</t>
  </si>
  <si>
    <t>NUM.number.DE.Ser.Bld.Thermal.CA</t>
  </si>
  <si>
    <t>NUM.number.DE.Ser.Bld.Thermal.CA.LPG</t>
  </si>
  <si>
    <t>NUM.number.DE.Ser.Bld.Thermal.CA.Gas</t>
  </si>
  <si>
    <t>NUM.number.DE.Ser.Bld.Thermal.CA.Biomass</t>
  </si>
  <si>
    <t>NUM.number.DE.Ser.Bld.Thermal.CA.Elc</t>
  </si>
  <si>
    <t>DE - Final energy consumption</t>
  </si>
  <si>
    <t>FEC.ktoe.DE.Ser.Bld.Thermal.SH.Solids.Solids</t>
  </si>
  <si>
    <t>FEC.ktoe.DE.Ser.Bld.Thermal.SH.LPG.LPG</t>
  </si>
  <si>
    <t>FEC.ktoe.DE.Ser.Bld.Thermal.SH.Oil.Oil_LiqBio</t>
  </si>
  <si>
    <t>FEC.ktoe.DE.Ser.Bld.Thermal.SH.GasHP.NG_Biogas</t>
  </si>
  <si>
    <t>FEC.ktoe.DE.Ser.Bld.Thermal.SH.GasTH.NG_Biogas</t>
  </si>
  <si>
    <t>FEC.ktoe.DE.Ser.Bld.Thermal.SH.Biomass.Biomass_Waste</t>
  </si>
  <si>
    <t>FEC.ktoe.DE.Ser.Bld.Thermal.SH.Geo.Geo</t>
  </si>
  <si>
    <t>FEC.ktoe.DE.Ser.Bld.Thermal.SH.DistrHeat.Steam_Distr</t>
  </si>
  <si>
    <t>FEC.ktoe.DE.Ser.Bld.Thermal.SH.AdvElc.Elec</t>
  </si>
  <si>
    <t>FEC.ktoe.DE.Ser.Bld.Thermal.SH.ConvElc.Elec</t>
  </si>
  <si>
    <t>FEC.ktoe.DE.Ser.Bld.Thermal.SH.TotalCirculation.Elec</t>
  </si>
  <si>
    <t>FEC.ktoe.DE.Ser.Bld.Thermal.SC.GasHP.NG_Biogas</t>
  </si>
  <si>
    <t>FEC.ktoe.DE.Ser.Bld.Thermal.SC.AC.Elec</t>
  </si>
  <si>
    <t>FEC.ktoe.DE.Ser.Bld.Thermal.HW.Solids.Solids</t>
  </si>
  <si>
    <t>FEC.ktoe.DE.Ser.Bld.Thermal.HW.LPG.LPG</t>
  </si>
  <si>
    <t>FEC.ktoe.DE.Ser.Bld.Thermal.HW.Oil.Oil_LiqBio</t>
  </si>
  <si>
    <t>FEC.ktoe.DE.Ser.Bld.Thermal.HW.Gas.NG_Biogas</t>
  </si>
  <si>
    <t>FEC.ktoe.DE.Ser.Bld.Thermal.HW.Biomass.Biomass_Waste</t>
  </si>
  <si>
    <t>FEC.ktoe.DE.Ser.Bld.Thermal.HW.DistrHeat.Steam_Distr</t>
  </si>
  <si>
    <t>FEC.ktoe.DE.Ser.Bld.Thermal.HW.Elc.Elec</t>
  </si>
  <si>
    <t>FEC.ktoe.DE.Ser.Bld.Thermal.HW.TotalSolar.Solar</t>
  </si>
  <si>
    <t>FEC.ktoe.DE.Ser.Bld.Thermal.CA.LPG</t>
  </si>
  <si>
    <t>FEC.ktoe.DE.Ser.Bld.Thermal.CA.Gas.NG_Biogas</t>
  </si>
  <si>
    <t>FEC.ktoe.DE.Ser.Bld.Thermal.CA.Biomass.Biomass_Waste</t>
  </si>
  <si>
    <t>FEC.ktoe.DE.Ser.Bld.Thermal.CA.Elc.Elec</t>
  </si>
  <si>
    <t>DE - Thermal energy service</t>
  </si>
  <si>
    <t>TES.ktoe.DE.Ser.Bld.Thermal</t>
  </si>
  <si>
    <t>TES.ktoe.DE.Ser.Bld.Thermal.SH</t>
  </si>
  <si>
    <t>TES.ktoe.DE.Ser.Bld.Thermal.SH.Solids.Solids</t>
  </si>
  <si>
    <t>TES.ktoe.DE.Ser.Bld.Thermal.SH.LPG.LPG</t>
  </si>
  <si>
    <t>TES.ktoe.DE.Ser.Bld.Thermal.SH.Oil.Oil_LiqBio</t>
  </si>
  <si>
    <t>TES.ktoe.DE.Ser.Bld.Thermal.SH.GasHP.NG_Biogas</t>
  </si>
  <si>
    <t>TES.ktoe.DE.Ser.Bld.Thermal.SH.GasTH.NG_Biogas</t>
  </si>
  <si>
    <t>TES.ktoe.DE.Ser.Bld.Thermal.SH.Biomass.Biomass_Waste</t>
  </si>
  <si>
    <t>TES.ktoe.DE.Ser.Bld.Thermal.SH.Geo.Geo</t>
  </si>
  <si>
    <t>TES.ktoe.DE.Ser.Bld.Thermal.SH.DistrHeat.Steam_Distr</t>
  </si>
  <si>
    <t>TES.ktoe.DE.Ser.Bld.Thermal.SH.AdvElc.Elec</t>
  </si>
  <si>
    <t>TES.ktoe.DE.Ser.Bld.Thermal.SH.ConvElc.Elec</t>
  </si>
  <si>
    <t>TES.ktoe.DE.Ser.Bld.Thermal.SH.TotalCirculation.Elec</t>
  </si>
  <si>
    <t>TES.ktoe.DE.Ser.Bld.Thermal.SC</t>
  </si>
  <si>
    <t>TES.ktoe.DE.Ser.Bld.Thermal.SC.GasHP.NG_Biogas</t>
  </si>
  <si>
    <t>TES.ktoe.DE.Ser.Bld.Thermal.SC.AC.Elec</t>
  </si>
  <si>
    <t>TES.ktoe.DE.Ser.Bld.Thermal.HW</t>
  </si>
  <si>
    <t>TES.ktoe.DE.Ser.Bld.Thermal.HW.Solids.Solids</t>
  </si>
  <si>
    <t>TES.ktoe.DE.Ser.Bld.Thermal.HW.LPG.LPG</t>
  </si>
  <si>
    <t>TES.ktoe.DE.Ser.Bld.Thermal.HW.Oil.Oil_LiqBio</t>
  </si>
  <si>
    <t>TES.ktoe.DE.Ser.Bld.Thermal.HW.Gas.NG_Biogas</t>
  </si>
  <si>
    <t>TES.ktoe.DE.Ser.Bld.Thermal.HW.Biomass.Biomass_Waste</t>
  </si>
  <si>
    <t>TES.ktoe.DE.Ser.Bld.Thermal.HW.DistrHeat.Steam_Distr</t>
  </si>
  <si>
    <t>TES.ktoe.DE.Ser.Bld.Thermal.HW.Elc.Elec</t>
  </si>
  <si>
    <t>TES.ktoe.DE.Ser.Bld.Thermal.HW.TotalSolar.Solar</t>
  </si>
  <si>
    <t>TES.ktoe.DE.Ser.Bld.Thermal.CA</t>
  </si>
  <si>
    <t>TES.ktoe.DE.Ser.Bld.Thermal.CA.LPG</t>
  </si>
  <si>
    <t>TES.ktoe.DE.Ser.Bld.Thermal.CA.Gas.NG_Biogas</t>
  </si>
  <si>
    <t>TES.ktoe.DE.Ser.Bld.Thermal.CA.Biomass.Biomass_Waste</t>
  </si>
  <si>
    <t>TES.ktoe.DE.Ser.Bld.Thermal.CA.Elc.Elec</t>
  </si>
  <si>
    <t>DE - System efficiency indicator of total stock</t>
  </si>
  <si>
    <t>Eff.ratio.DE.Ser.Bld.Thermal.SH.Solids.Solids</t>
  </si>
  <si>
    <t>Eff.ratio.DE.Ser.Bld.Thermal.SH.LPG.LPG</t>
  </si>
  <si>
    <t>Eff.ratio.DE.Ser.Bld.Thermal.SH.Oil.Oil_LiqBio</t>
  </si>
  <si>
    <t>Eff.ratio.DE.Ser.Bld.Thermal.SH.GasHP.NG_Biogas</t>
  </si>
  <si>
    <t>Eff.ratio.DE.Ser.Bld.Thermal.SH.GasTH.NG_Biogas</t>
  </si>
  <si>
    <t>Eff.ratio.DE.Ser.Bld.Thermal.SH.Biomass.Biomass_Waste</t>
  </si>
  <si>
    <t>Eff.ratio.DE.Ser.Bld.Thermal.SH.Geo.Geo</t>
  </si>
  <si>
    <t>Eff.ratio.DE.Ser.Bld.Thermal.SH.DistrHeat.Steam_Distr</t>
  </si>
  <si>
    <t>Eff.ratio.DE.Ser.Bld.Thermal.SH.AdvElc.Elec</t>
  </si>
  <si>
    <t>Eff.ratio.DE.Ser.Bld.Thermal.SH.ConvElc.Elec</t>
  </si>
  <si>
    <t>Eff.ratio.DE.Ser.Bld.Thermal.SH.TotalCirculation.Elec</t>
  </si>
  <si>
    <t>Eff.ratio.DE.Ser.Bld.Thermal.SC.GasHP.NG_Biogas</t>
  </si>
  <si>
    <t>Eff.ratio.DE.Ser.Bld.Thermal.SC.AC.Elec</t>
  </si>
  <si>
    <t>Eff.ratio.DE.Ser.Bld.Thermal.HW.Solids.Solids</t>
  </si>
  <si>
    <t>Eff.ratio.DE.Ser.Bld.Thermal.HW.LPG.LPG</t>
  </si>
  <si>
    <t>Eff.ratio.DE.Ser.Bld.Thermal.HW.Oil.Oil_LiqBio</t>
  </si>
  <si>
    <t>Eff.ratio.DE.Ser.Bld.Thermal.HW.Gas.NG_Biogas</t>
  </si>
  <si>
    <t>Eff.ratio.DE.Ser.Bld.Thermal.HW.Biomass.Biomass_Waste</t>
  </si>
  <si>
    <t>Eff.ratio.DE.Ser.Bld.Thermal.HW.DistrHeat.Steam_Distr</t>
  </si>
  <si>
    <t>Eff.ratio.DE.Ser.Bld.Thermal.HW.Elc.Elec</t>
  </si>
  <si>
    <t>Eff.ratio.DE.Ser.Bld.Thermal.HW.TotalSolar.Solar</t>
  </si>
  <si>
    <t>Eff.ratio.DE.Ser.Bld.Thermal.CA.LPG</t>
  </si>
  <si>
    <t>Eff.ratio.DE.Ser.Bld.Thermal.CA.Gas.NG_Biogas</t>
  </si>
  <si>
    <t>Eff.ratio.DE.Ser.Bld.Thermal.CA.Biomass.Biomass_Waste</t>
  </si>
  <si>
    <t>Eff.ratio.DE.Ser.Bld.Thermal.CA.Elc.Elec</t>
  </si>
  <si>
    <t>DE - CO2 emissions</t>
  </si>
  <si>
    <t>EMI.ktCO2.DE.Ser.Bld.Thermal.SH.Solids.Solids</t>
  </si>
  <si>
    <t>EMI.ktCO2.DE.Ser.Bld.Thermal.SH.LPG.LPG</t>
  </si>
  <si>
    <t>EMI.ktCO2.DE.Ser.Bld.Thermal.SH.Oil.Oil_LiqBio</t>
  </si>
  <si>
    <t>EMI.ktCO2.DE.Ser.Bld.Thermal.SH.GasHP.NG_Biogas</t>
  </si>
  <si>
    <t>EMI.ktCO2.DE.Ser.Bld.Thermal.SH.GasTH.NG_Biogas</t>
  </si>
  <si>
    <t>EMI.ktCO2.DE.Ser.Bld.Thermal.SH.Biomass.Biomass_Waste</t>
  </si>
  <si>
    <t>EMI.ktCO2.DE.Ser.Bld.Thermal.SH.Geo.Geo</t>
  </si>
  <si>
    <t>EMI.ktCO2.DE.Ser.Bld.Thermal.SH.DistrHeat.Steam_Distr</t>
  </si>
  <si>
    <t>EMI.ktCO2.DE.Ser.Bld.Thermal.SH.AdvElc.Elec</t>
  </si>
  <si>
    <t>EMI.ktCO2.DE.Ser.Bld.Thermal.SH.ConvElc.Elec</t>
  </si>
  <si>
    <t>EMI.ktCO2.DE.Ser.Bld.Thermal.SH.TotalCirculation.Elec</t>
  </si>
  <si>
    <t>EMI.ktCO2.DE.Ser.Bld.Thermal.SC.GasHP.NG_Biogas</t>
  </si>
  <si>
    <t>EMI.ktCO2.DE.Ser.Bld.Thermal.SC.AC.Elec</t>
  </si>
  <si>
    <t>EMI.ktCO2.DE.Ser.Bld.Thermal.HW.Solids.Solids</t>
  </si>
  <si>
    <t>EMI.ktCO2.DE.Ser.Bld.Thermal.HW.LPG.LPG</t>
  </si>
  <si>
    <t>EMI.ktCO2.DE.Ser.Bld.Thermal.HW.Oil.Oil_LiqBio</t>
  </si>
  <si>
    <t>EMI.ktCO2.DE.Ser.Bld.Thermal.HW.Gas.NG_Biogas</t>
  </si>
  <si>
    <t>EMI.ktCO2.DE.Ser.Bld.Thermal.HW.Biomass.Biomass_Waste</t>
  </si>
  <si>
    <t>EMI.ktCO2.DE.Ser.Bld.Thermal.HW.DistrHeat.Steam_Distr</t>
  </si>
  <si>
    <t>EMI.ktCO2.DE.Ser.Bld.Thermal.HW.Elc.Elec</t>
  </si>
  <si>
    <t>EMI.ktCO2.DE.Ser.Bld.Thermal.HW.TotalSolar.Solar</t>
  </si>
  <si>
    <t>EMI.ktCO2.DE.Ser.Bld.Thermal.CA.LPG</t>
  </si>
  <si>
    <t>EMI.ktCO2.DE.Ser.Bld.Thermal.CA.Gas.NG_Biogas</t>
  </si>
  <si>
    <t>EMI.ktCO2.DE.Ser.Bld.Thermal.CA.Biomass.Biomass_Waste</t>
  </si>
  <si>
    <t>EMI.ktCO2.DE.Ser.Bld.Thermal.CA.Elc.Elec</t>
  </si>
  <si>
    <t>DE - Final energy consumption per building</t>
  </si>
  <si>
    <t>FEC_per_building.kWh.DE.Ser.Bld.Thermal</t>
  </si>
  <si>
    <t>FEC_per_building.kWh.DE.Ser.Bld.Thermal.SH</t>
  </si>
  <si>
    <t>FEC_per_building.kWh.DE.Ser.Bld.Thermal.SH.Solids.Solids</t>
  </si>
  <si>
    <t>FEC_per_building.kWh.DE.Ser.Bld.Thermal.SH.LPG.LPG</t>
  </si>
  <si>
    <t>FEC_per_building.kWh.DE.Ser.Bld.Thermal.SH.Oil.Oil_LiqBio</t>
  </si>
  <si>
    <t>FEC_per_building.kWh.DE.Ser.Bld.Thermal.SH.GasHP.NG_Biogas</t>
  </si>
  <si>
    <t>FEC_per_building.kWh.DE.Ser.Bld.Thermal.SH.GasTH.NG_Biogas</t>
  </si>
  <si>
    <t>FEC_per_building.kWh.DE.Ser.Bld.Thermal.SH.Biomass.Biomass_Waste</t>
  </si>
  <si>
    <t>FEC_per_building.kWh.DE.Ser.Bld.Thermal.SH.Geo.Geo</t>
  </si>
  <si>
    <t>FEC_per_building.kWh.DE.Ser.Bld.Thermal.SH.DistrHeat.Steam_Distr</t>
  </si>
  <si>
    <t>FEC_per_building.kWh.DE.Ser.Bld.Thermal.SH.AdvElc.Elec</t>
  </si>
  <si>
    <t>FEC_per_building.kWh.DE.Ser.Bld.Thermal.SH.ConvElc.Elec</t>
  </si>
  <si>
    <t>FEC_per_building.kWh.DE.Ser.Bld.Thermal.SH.TotalCirculation.Elec</t>
  </si>
  <si>
    <t>FEC_per_building.kWh.DE.Ser.Bld.Thermal.SC</t>
  </si>
  <si>
    <t>FEC_per_building.kWh.DE.Ser.Bld.Thermal.SC.GasHP.NG_Biogas</t>
  </si>
  <si>
    <t>FEC_per_building.kWh.DE.Ser.Bld.Thermal.SC.AC.Elec</t>
  </si>
  <si>
    <t>FEC_per_building.kWh.DE.Ser.Bld.Thermal.HW</t>
  </si>
  <si>
    <t>FEC_per_building.kWh.DE.Ser.Bld.Thermal.HW.Solids.Solids</t>
  </si>
  <si>
    <t>FEC_per_building.kWh.DE.Ser.Bld.Thermal.HW.LPG.LPG</t>
  </si>
  <si>
    <t>FEC_per_building.kWh.DE.Ser.Bld.Thermal.HW.Oil.Oil_LiqBio</t>
  </si>
  <si>
    <t>FEC_per_building.kWh.DE.Ser.Bld.Thermal.HW.Gas.NG_Biogas</t>
  </si>
  <si>
    <t>FEC_per_building.kWh.DE.Ser.Bld.Thermal.HW.Biomass.Biomass_Waste</t>
  </si>
  <si>
    <t>FEC_per_building.kWh.DE.Ser.Bld.Thermal.HW.DistrHeat.Steam_Distr</t>
  </si>
  <si>
    <t>FEC_per_building.kWh.DE.Ser.Bld.Thermal.HW.Elc.Elec</t>
  </si>
  <si>
    <t>FEC_per_building.kWh.DE.Ser.Bld.Thermal.HW.TotalSolar.Solar</t>
  </si>
  <si>
    <t>FEC_per_building.kWh.DE.Ser.Bld.Thermal.CA</t>
  </si>
  <si>
    <t>FEC_per_building.kWh.DE.Ser.Bld.Thermal.CA.LPG</t>
  </si>
  <si>
    <t>FEC_per_building.kWh.DE.Ser.Bld.Thermal.CA.Gas.NG_Biogas</t>
  </si>
  <si>
    <t>FEC_per_building.kWh.DE.Ser.Bld.Thermal.CA.Biomass.Biomass_Waste</t>
  </si>
  <si>
    <t>FEC_per_building.kWh.DE.Ser.Bld.Thermal.CA.Elc.Elec</t>
  </si>
  <si>
    <t>DE - Thermal energy service per building</t>
  </si>
  <si>
    <t>TES_per_building.kWh.DE.Ser.Bld.Thermal</t>
  </si>
  <si>
    <t>TES_per_building.kWh.DE.Ser.Bld.Thermal.SH</t>
  </si>
  <si>
    <t>TES_per_building.kWh.DE.Ser.Bld.Thermal.SH.Solids.Solids</t>
  </si>
  <si>
    <t>TES_per_building.kWh.DE.Ser.Bld.Thermal.SH.LPG.LPG</t>
  </si>
  <si>
    <t>TES_per_building.kWh.DE.Ser.Bld.Thermal.SH.Oil.Oil_LiqBio</t>
  </si>
  <si>
    <t>TES_per_building.kWh.DE.Ser.Bld.Thermal.SH.GasHP.NG_Biogas</t>
  </si>
  <si>
    <t>TES_per_building.kWh.DE.Ser.Bld.Thermal.SH.GasTH.NG_Biogas</t>
  </si>
  <si>
    <t>TES_per_building.kWh.DE.Ser.Bld.Thermal.SH.Biomass.Biomass_Waste</t>
  </si>
  <si>
    <t>TES_per_building.kWh.DE.Ser.Bld.Thermal.SH.Geo.Geo</t>
  </si>
  <si>
    <t>TES_per_building.kWh.DE.Ser.Bld.Thermal.SH.DistrHeat.Steam_Distr</t>
  </si>
  <si>
    <t>TES_per_building.kWh.DE.Ser.Bld.Thermal.SH.AdvElc.Elec</t>
  </si>
  <si>
    <t>TES_per_building.kWh.DE.Ser.Bld.Thermal.SH.ConvElc.Elec</t>
  </si>
  <si>
    <t>TES_per_building.kWh.DE.Ser.Bld.Thermal.SH.TotalCirculation.Elec</t>
  </si>
  <si>
    <t>TES_per_building.kWh.DE.Ser.Bld.Thermal.SC</t>
  </si>
  <si>
    <t>TES_per_building.kWh.DE.Ser.Bld.Thermal.SC.GasHP.NG_Biogas</t>
  </si>
  <si>
    <t>TES_per_building.kWh.DE.Ser.Bld.Thermal.SC.AC.Elec</t>
  </si>
  <si>
    <t>TES_per_building.kWh.DE.Ser.Bld.Thermal.HW</t>
  </si>
  <si>
    <t>TES_per_building.kWh.DE.Ser.Bld.Thermal.HW.Solids.Solids</t>
  </si>
  <si>
    <t>TES_per_building.kWh.DE.Ser.Bld.Thermal.HW.LPG.LPG</t>
  </si>
  <si>
    <t>TES_per_building.kWh.DE.Ser.Bld.Thermal.HW.Oil.Oil_LiqBio</t>
  </si>
  <si>
    <t>TES_per_building.kWh.DE.Ser.Bld.Thermal.HW.Gas.NG_Biogas</t>
  </si>
  <si>
    <t>TES_per_building.kWh.DE.Ser.Bld.Thermal.HW.Biomass.Biomass_Waste</t>
  </si>
  <si>
    <t>TES_per_building.kWh.DE.Ser.Bld.Thermal.HW.DistrHeat.Steam_Distr</t>
  </si>
  <si>
    <t>TES_per_building.kWh.DE.Ser.Bld.Thermal.HW.Elc.Elec</t>
  </si>
  <si>
    <t>TES_per_building.kWh.DE.Ser.Bld.Thermal.HW.TotalSolar.Solar</t>
  </si>
  <si>
    <t>TES_per_building.kWh.DE.Ser.Bld.Thermal.CA</t>
  </si>
  <si>
    <t>TES_per_building.kWh.DE.Ser.Bld.Thermal.CA.LPG</t>
  </si>
  <si>
    <t>TES_per_building.kWh.DE.Ser.Bld.Thermal.CA.Gas.NG_Biogas</t>
  </si>
  <si>
    <t>TES_per_building.kWh.DE.Ser.Bld.Thermal.CA.Biomass.Biomass_Waste</t>
  </si>
  <si>
    <t>TES_per_building.kWh.DE.Ser.Bld.Thermal.CA.Elc.Elec</t>
  </si>
  <si>
    <t>DE - CO2 emissions per building</t>
  </si>
  <si>
    <t>EMI_per_building.kgCO2.DE.Ser.Bld.Thermal</t>
  </si>
  <si>
    <t>EMI_per_building.kgCO2.DE.Ser.Bld.Thermal.SH</t>
  </si>
  <si>
    <t>EMI_per_building.kgCO2.DE.Ser.Bld.Thermal.SH.Solids.Solids</t>
  </si>
  <si>
    <t>EMI_per_building.kgCO2.DE.Ser.Bld.Thermal.SH.LPG.LPG</t>
  </si>
  <si>
    <t>EMI_per_building.kgCO2.DE.Ser.Bld.Thermal.SH.Oil.Oil_LiqBio</t>
  </si>
  <si>
    <t>EMI_per_building.kgCO2.DE.Ser.Bld.Thermal.SH.GasHP.NG_Biogas</t>
  </si>
  <si>
    <t>EMI_per_building.kgCO2.DE.Ser.Bld.Thermal.SH.GasTH.NG_Biogas</t>
  </si>
  <si>
    <t>EMI_per_building.kgCO2.DE.Ser.Bld.Thermal.SH.Biomass.Biomass_Waste</t>
  </si>
  <si>
    <t>EMI_per_building.kgCO2.DE.Ser.Bld.Thermal.SH.Geo.Geo</t>
  </si>
  <si>
    <t>EMI_per_building.kgCO2.DE.Ser.Bld.Thermal.SH.DistrHeat.Steam_Distr</t>
  </si>
  <si>
    <t>EMI_per_building.kgCO2.DE.Ser.Bld.Thermal.SH.AdvElc.Elec</t>
  </si>
  <si>
    <t>EMI_per_building.kgCO2.DE.Ser.Bld.Thermal.SH.ConvElc.Elec</t>
  </si>
  <si>
    <t>EMI_per_building.kgCO2.DE.Ser.Bld.Thermal.SH.TotalCirculation.Elec</t>
  </si>
  <si>
    <t>EMI_per_building.kgCO2.DE.Ser.Bld.Thermal.SC</t>
  </si>
  <si>
    <t>EMI_per_building.kgCO2.DE.Ser.Bld.Thermal.SC.GasHP.NG_Biogas</t>
  </si>
  <si>
    <t>EMI_per_building.kgCO2.DE.Ser.Bld.Thermal.SC.AC.Elec</t>
  </si>
  <si>
    <t>EMI_per_building.kgCO2.DE.Ser.Bld.Thermal.HW</t>
  </si>
  <si>
    <t>EMI_per_building.kgCO2.DE.Ser.Bld.Thermal.HW.Solids.Solids</t>
  </si>
  <si>
    <t>EMI_per_building.kgCO2.DE.Ser.Bld.Thermal.HW.LPG.LPG</t>
  </si>
  <si>
    <t>EMI_per_building.kgCO2.DE.Ser.Bld.Thermal.HW.Oil.Oil_LiqBio</t>
  </si>
  <si>
    <t>EMI_per_building.kgCO2.DE.Ser.Bld.Thermal.HW.Gas.NG_Biogas</t>
  </si>
  <si>
    <t>EMI_per_building.kgCO2.DE.Ser.Bld.Thermal.HW.Biomass.Biomass_Waste</t>
  </si>
  <si>
    <t>EMI_per_building.kgCO2.DE.Ser.Bld.Thermal.HW.DistrHeat.Steam_Distr</t>
  </si>
  <si>
    <t>EMI_per_building.kgCO2.DE.Ser.Bld.Thermal.HW.Elc.Elec</t>
  </si>
  <si>
    <t>EMI_per_building.kgCO2.DE.Ser.Bld.Thermal.HW.TotalSolar.Solar</t>
  </si>
  <si>
    <t>EMI_per_building.kgCO2.DE.Ser.Bld.Thermal.CA</t>
  </si>
  <si>
    <t>EMI_per_building.kgCO2.DE.Ser.Bld.Thermal.CA.LPG</t>
  </si>
  <si>
    <t>EMI_per_building.kgCO2.DE.Ser.Bld.Thermal.CA.Gas.NG_Biogas</t>
  </si>
  <si>
    <t>EMI_per_building.kgCO2.DE.Ser.Bld.Thermal.CA.Biomass.Biomass_Waste</t>
  </si>
  <si>
    <t>EMI_per_building.kgCO2.DE.Ser.Bld.Thermal.CA.Elc.Elec</t>
  </si>
  <si>
    <t>DE - Final energy consumption per useful surface area</t>
  </si>
  <si>
    <t>FEC_per_sqm.kWh.DE.Ser.Bld.Thermal</t>
  </si>
  <si>
    <t>FEC_per_sqm.kWh.DE.Ser.Bld.Thermal.SH</t>
  </si>
  <si>
    <t>FEC_per_sqm.kWh.DE.Ser.Bld.Thermal.SH.Solids.Solids</t>
  </si>
  <si>
    <t>FEC_per_sqm.kWh.DE.Ser.Bld.Thermal.SH.LPG.LPG</t>
  </si>
  <si>
    <t>FEC_per_sqm.kWh.DE.Ser.Bld.Thermal.SH.Oil.Oil_LiqBio</t>
  </si>
  <si>
    <t>FEC_per_sqm.kWh.DE.Ser.Bld.Thermal.SH.GasHP.NG_Biogas</t>
  </si>
  <si>
    <t>FEC_per_sqm.kWh.DE.Ser.Bld.Thermal.SH.GasTH.NG_Biogas</t>
  </si>
  <si>
    <t>FEC_per_sqm.kWh.DE.Ser.Bld.Thermal.SH.Biomass.Biomass_Waste</t>
  </si>
  <si>
    <t>FEC_per_sqm.kWh.DE.Ser.Bld.Thermal.SH.Geo.Geo</t>
  </si>
  <si>
    <t>FEC_per_sqm.kWh.DE.Ser.Bld.Thermal.SH.DistrHeat.Steam_Distr</t>
  </si>
  <si>
    <t>FEC_per_sqm.kWh.DE.Ser.Bld.Thermal.SH.AdvElc.Elec</t>
  </si>
  <si>
    <t>FEC_per_sqm.kWh.DE.Ser.Bld.Thermal.SH.ConvElc.Elec</t>
  </si>
  <si>
    <t>FEC_per_sqm.kWh.DE.Ser.Bld.Thermal.SH.TotalCirculation.Elec</t>
  </si>
  <si>
    <t>FEC_per_sqm.kWh.DE.Ser.Bld.Thermal.SC</t>
  </si>
  <si>
    <t>FEC_per_sqm.kWh.DE.Ser.Bld.Thermal.SC.GasHP.NG_Biogas</t>
  </si>
  <si>
    <t>FEC_per_sqm.kWh.DE.Ser.Bld.Thermal.SC.AC.Elec</t>
  </si>
  <si>
    <t>FEC_per_sqm.kWh.DE.Ser.Bld.Thermal.HW</t>
  </si>
  <si>
    <t>FEC_per_sqm.kWh.DE.Ser.Bld.Thermal.HW.Solids.Solids</t>
  </si>
  <si>
    <t>FEC_per_sqm.kWh.DE.Ser.Bld.Thermal.HW.LPG.LPG</t>
  </si>
  <si>
    <t>FEC_per_sqm.kWh.DE.Ser.Bld.Thermal.HW.Oil.Oil_LiqBio</t>
  </si>
  <si>
    <t>FEC_per_sqm.kWh.DE.Ser.Bld.Thermal.HW.Gas.NG_Biogas</t>
  </si>
  <si>
    <t>FEC_per_sqm.kWh.DE.Ser.Bld.Thermal.HW.Biomass.Biomass_Waste</t>
  </si>
  <si>
    <t>FEC_per_sqm.kWh.DE.Ser.Bld.Thermal.HW.DistrHeat.Steam_Distr</t>
  </si>
  <si>
    <t>FEC_per_sqm.kWh.DE.Ser.Bld.Thermal.HW.Elc.Elec</t>
  </si>
  <si>
    <t>FEC_per_sqm.kWh.DE.Ser.Bld.Thermal.HW.TotalSolar.Solar</t>
  </si>
  <si>
    <t>FEC_per_sqm.kWh.DE.Ser.Bld.Thermal.CA</t>
  </si>
  <si>
    <t>FEC_per_sqm.kWh.DE.Ser.Bld.Thermal.CA.LPG</t>
  </si>
  <si>
    <t>FEC_per_sqm.kWh.DE.Ser.Bld.Thermal.CA.Gas.NG_Biogas</t>
  </si>
  <si>
    <t>FEC_per_sqm.kWh.DE.Ser.Bld.Thermal.CA.Biomass.Biomass_Waste</t>
  </si>
  <si>
    <t>FEC_per_sqm.kWh.DE.Ser.Bld.Thermal.CA.Elc.Elec</t>
  </si>
  <si>
    <t>DE - Thermal energy service per useful surface area</t>
  </si>
  <si>
    <t>TES_per_sqm.kWh.DE.Ser.Bld.Thermal</t>
  </si>
  <si>
    <t>TES_per_sqm.kWh.DE.Ser.Bld.Thermal.SH</t>
  </si>
  <si>
    <t>TES_per_sqm.kWh.DE.Ser.Bld.Thermal.SH.Solids.Solids</t>
  </si>
  <si>
    <t>TES_per_sqm.kWh.DE.Ser.Bld.Thermal.SH.LPG.LPG</t>
  </si>
  <si>
    <t>TES_per_sqm.kWh.DE.Ser.Bld.Thermal.SH.Oil.Oil_LiqBio</t>
  </si>
  <si>
    <t>TES_per_sqm.kWh.DE.Ser.Bld.Thermal.SH.GasHP.NG_Biogas</t>
  </si>
  <si>
    <t>TES_per_sqm.kWh.DE.Ser.Bld.Thermal.SH.GasTH.NG_Biogas</t>
  </si>
  <si>
    <t>TES_per_sqm.kWh.DE.Ser.Bld.Thermal.SH.Biomass.Biomass_Waste</t>
  </si>
  <si>
    <t>TES_per_sqm.kWh.DE.Ser.Bld.Thermal.SH.Geo.Geo</t>
  </si>
  <si>
    <t>TES_per_sqm.kWh.DE.Ser.Bld.Thermal.SH.DistrHeat.Steam_Distr</t>
  </si>
  <si>
    <t>TES_per_sqm.kWh.DE.Ser.Bld.Thermal.SH.AdvElc.Elec</t>
  </si>
  <si>
    <t>TES_per_sqm.kWh.DE.Ser.Bld.Thermal.SH.ConvElc.Elec</t>
  </si>
  <si>
    <t>TES_per_sqm.kWh.DE.Ser.Bld.Thermal.SH.TotalCirculation.Elec</t>
  </si>
  <si>
    <t>TES_per_sqm.kWh.DE.Ser.Bld.Thermal.SC</t>
  </si>
  <si>
    <t>TES_per_sqm.kWh.DE.Ser.Bld.Thermal.SC.GasHP.NG_Biogas</t>
  </si>
  <si>
    <t>TES_per_sqm.kWh.DE.Ser.Bld.Thermal.SC.AC.Elec</t>
  </si>
  <si>
    <t>TES_per_sqm.kWh.DE.Ser.Bld.Thermal.HW</t>
  </si>
  <si>
    <t>TES_per_sqm.kWh.DE.Ser.Bld.Thermal.HW.Solids.Solids</t>
  </si>
  <si>
    <t>TES_per_sqm.kWh.DE.Ser.Bld.Thermal.HW.LPG.LPG</t>
  </si>
  <si>
    <t>TES_per_sqm.kWh.DE.Ser.Bld.Thermal.HW.Oil.Oil_LiqBio</t>
  </si>
  <si>
    <t>TES_per_sqm.kWh.DE.Ser.Bld.Thermal.HW.Gas.NG_Biogas</t>
  </si>
  <si>
    <t>TES_per_sqm.kWh.DE.Ser.Bld.Thermal.HW.Biomass.Biomass_Waste</t>
  </si>
  <si>
    <t>TES_per_sqm.kWh.DE.Ser.Bld.Thermal.HW.DistrHeat.Steam_Distr</t>
  </si>
  <si>
    <t>TES_per_sqm.kWh.DE.Ser.Bld.Thermal.HW.Elc.Elec</t>
  </si>
  <si>
    <t>TES_per_sqm.kWh.DE.Ser.Bld.Thermal.HW.TotalSolar.Solar</t>
  </si>
  <si>
    <t>TES_per_sqm.kWh.DE.Ser.Bld.Thermal.CA</t>
  </si>
  <si>
    <t>TES_per_sqm.kWh.DE.Ser.Bld.Thermal.CA.LPG</t>
  </si>
  <si>
    <t>TES_per_sqm.kWh.DE.Ser.Bld.Thermal.CA.Gas.NG_Biogas</t>
  </si>
  <si>
    <t>TES_per_sqm.kWh.DE.Ser.Bld.Thermal.CA.Biomass.Biomass_Waste</t>
  </si>
  <si>
    <t>TES_per_sqm.kWh.DE.Ser.Bld.Thermal.CA.Elc.Elec</t>
  </si>
  <si>
    <t>DE - CO2 emissions per useful surface area</t>
  </si>
  <si>
    <t>EMI_per_sqm.kgCO2.DE.Ser.Bld.Thermal</t>
  </si>
  <si>
    <t>EMI_per_sqm.kgCO2.DE.Ser.Bld.Thermal.SH</t>
  </si>
  <si>
    <t>EMI_per_sqm.kgCO2.DE.Ser.Bld.Thermal.SH.Solids.Solids</t>
  </si>
  <si>
    <t>EMI_per_sqm.kgCO2.DE.Ser.Bld.Thermal.SH.LPG.LPG</t>
  </si>
  <si>
    <t>EMI_per_sqm.kgCO2.DE.Ser.Bld.Thermal.SH.Oil.Oil_LiqBio</t>
  </si>
  <si>
    <t>EMI_per_sqm.kgCO2.DE.Ser.Bld.Thermal.SH.GasHP.NG_Biogas</t>
  </si>
  <si>
    <t>EMI_per_sqm.kgCO2.DE.Ser.Bld.Thermal.SH.GasTH.NG_Biogas</t>
  </si>
  <si>
    <t>EMI_per_sqm.kgCO2.DE.Ser.Bld.Thermal.SH.Biomass.Biomass_Waste</t>
  </si>
  <si>
    <t>EMI_per_sqm.kgCO2.DE.Ser.Bld.Thermal.SH.Geo.Geo</t>
  </si>
  <si>
    <t>EMI_per_sqm.kgCO2.DE.Ser.Bld.Thermal.SH.DistrHeat.Steam_Distr</t>
  </si>
  <si>
    <t>EMI_per_sqm.kgCO2.DE.Ser.Bld.Thermal.SH.AdvElc.Elec</t>
  </si>
  <si>
    <t>EMI_per_sqm.kgCO2.DE.Ser.Bld.Thermal.SH.ConvElc.Elec</t>
  </si>
  <si>
    <t>EMI_per_sqm.kgCO2.DE.Ser.Bld.Thermal.SH.TotalCirculation.Elec</t>
  </si>
  <si>
    <t>EMI_per_sqm.kgCO2.DE.Ser.Bld.Thermal.SC</t>
  </si>
  <si>
    <t>EMI_per_sqm.kgCO2.DE.Ser.Bld.Thermal.SC.GasHP.NG_Biogas</t>
  </si>
  <si>
    <t>EMI_per_sqm.kgCO2.DE.Ser.Bld.Thermal.SC.AC.Elec</t>
  </si>
  <si>
    <t>EMI_per_sqm.kgCO2.DE.Ser.Bld.Thermal.HW</t>
  </si>
  <si>
    <t>EMI_per_sqm.kgCO2.DE.Ser.Bld.Thermal.HW.Solids.Solids</t>
  </si>
  <si>
    <t>EMI_per_sqm.kgCO2.DE.Ser.Bld.Thermal.HW.LPG.LPG</t>
  </si>
  <si>
    <t>EMI_per_sqm.kgCO2.DE.Ser.Bld.Thermal.HW.Oil.Oil_LiqBio</t>
  </si>
  <si>
    <t>EMI_per_sqm.kgCO2.DE.Ser.Bld.Thermal.HW.Gas.NG_Biogas</t>
  </si>
  <si>
    <t>EMI_per_sqm.kgCO2.DE.Ser.Bld.Thermal.HW.Biomass.Biomass_Waste</t>
  </si>
  <si>
    <t>EMI_per_sqm.kgCO2.DE.Ser.Bld.Thermal.HW.DistrHeat.Steam_Distr</t>
  </si>
  <si>
    <t>EMI_per_sqm.kgCO2.DE.Ser.Bld.Thermal.HW.Elc.Elec</t>
  </si>
  <si>
    <t>EMI_per_sqm.kgCO2.DE.Ser.Bld.Thermal.HW.TotalSolar.Solar</t>
  </si>
  <si>
    <t>EMI_per_sqm.kgCO2.DE.Ser.Bld.Thermal.CA</t>
  </si>
  <si>
    <t>EMI_per_sqm.kgCO2.DE.Ser.Bld.Thermal.CA.LPG</t>
  </si>
  <si>
    <t>EMI_per_sqm.kgCO2.DE.Ser.Bld.Thermal.CA.Gas.NG_Biogas</t>
  </si>
  <si>
    <t>EMI_per_sqm.kgCO2.DE.Ser.Bld.Thermal.CA.Biomass.Biomass_Waste</t>
  </si>
  <si>
    <t>EMI_per_sqm.kgCO2.DE.Ser.Bld.Thermal.CA.Elc.Elec</t>
  </si>
  <si>
    <t>DE - Number of new and renovated buildings</t>
  </si>
  <si>
    <t>NUM.number.DE.Ser.BldNew.Thermal</t>
  </si>
  <si>
    <t>NUM.number.DE.Ser.BldNew.Thermal.SH</t>
  </si>
  <si>
    <t>NUM.number.DE.Ser.BldNew.Thermal.SH.Solids</t>
  </si>
  <si>
    <t>NUM.number.DE.Ser.BldNew.Thermal.SH.LPG</t>
  </si>
  <si>
    <t>NUM.number.DE.Ser.BldNew.Thermal.SH.Oil</t>
  </si>
  <si>
    <t>NUM.number.DE.Ser.BldNew.Thermal.SH.GasHP</t>
  </si>
  <si>
    <t>NUM.number.DE.Ser.BldNew.Thermal.SH.GasTH</t>
  </si>
  <si>
    <t>NUM.number.DE.Ser.BldNew.Thermal.SH.Biomass</t>
  </si>
  <si>
    <t>NUM.number.DE.Ser.BldNew.Thermal.SH.Geo</t>
  </si>
  <si>
    <t>NUM.number.DE.Ser.BldNew.Thermal.SH.DistrHeat</t>
  </si>
  <si>
    <t>NUM.number.DE.Ser.BldNew.Thermal.SH.AdvElc</t>
  </si>
  <si>
    <t>NUM.number.DE.Ser.BldNew.Thermal.SH.ConvElc</t>
  </si>
  <si>
    <t>NUM.number.DE.Ser.BldNew.Thermal.SC</t>
  </si>
  <si>
    <t>NUM.number.DE.Ser.BldNew.Thermal.SC.GasHP</t>
  </si>
  <si>
    <t>NUM.number.DE.Ser.BldNew.Thermal.SC.AC</t>
  </si>
  <si>
    <t>NUM.number.DE.Ser.BldNew.Thermal.HW</t>
  </si>
  <si>
    <t>NUM.number.DE.Ser.BldNew.Thermal.HW.Solids</t>
  </si>
  <si>
    <t>NUM.number.DE.Ser.BldNew.Thermal.HW.LPG</t>
  </si>
  <si>
    <t>NUM.number.DE.Ser.BldNew.Thermal.HW.Oil</t>
  </si>
  <si>
    <t>NUM.number.DE.Ser.BldNew.Thermal.HW.Gas</t>
  </si>
  <si>
    <t>NUM.number.DE.Ser.BldNew.Thermal.HW.Biomass</t>
  </si>
  <si>
    <t>NUM.number.DE.Ser.BldNew.Thermal.HW.DistrHeat</t>
  </si>
  <si>
    <t>NUM.number.DE.Ser.BldNew.Thermal.HW.Elc</t>
  </si>
  <si>
    <t>NUM.number.DE.Ser.BldNew.Thermal.HW.Solar</t>
  </si>
  <si>
    <t>NUM.number.DE.Ser.BldNew.Thermal.CA</t>
  </si>
  <si>
    <t>NUM.number.DE.Ser.BldNew.Thermal.CA.LPG</t>
  </si>
  <si>
    <t>NUM.number.DE.Ser.BldNew.Thermal.CA.Gas</t>
  </si>
  <si>
    <t>NUM.number.DE.Ser.BldNew.Thermal.CA.Biomass</t>
  </si>
  <si>
    <t>NUM.number.DE.Ser.BldNew.Thermal.CA.Elc</t>
  </si>
  <si>
    <t>DE - Final energy consumption in new and renovated buildings</t>
  </si>
  <si>
    <t>FEC.ktoe.DE.Ser.BldNew.Thermal</t>
  </si>
  <si>
    <t>FEC.ktoe.DE.Ser.BldNew.Thermal.SH</t>
  </si>
  <si>
    <t>FEC.ktoe.DE.Ser.BldNew.Thermal.SH.Solids.Solids</t>
  </si>
  <si>
    <t>FEC.ktoe.DE.Ser.BldNew.Thermal.SH.LPG.LPG</t>
  </si>
  <si>
    <t>FEC.ktoe.DE.Ser.BldNew.Thermal.SH.Oil.Oil_LiqBio</t>
  </si>
  <si>
    <t>FEC.ktoe.DE.Ser.BldNew.Thermal.SH.GasHP.NG_Biogas</t>
  </si>
  <si>
    <t>FEC.ktoe.DE.Ser.BldNew.Thermal.SH.GasTH.NG_Biogas</t>
  </si>
  <si>
    <t>FEC.ktoe.DE.Ser.BldNew.Thermal.SH.Biomass.Biomass_Waste</t>
  </si>
  <si>
    <t>FEC.ktoe.DE.Ser.BldNew.Thermal.SH.Geo.Geo</t>
  </si>
  <si>
    <t>FEC.ktoe.DE.Ser.BldNew.Thermal.SH.DistrHeat.Steam_Distr</t>
  </si>
  <si>
    <t>FEC.ktoe.DE.Ser.BldNew.Thermal.SH.AdvElc.Elec</t>
  </si>
  <si>
    <t>FEC.ktoe.DE.Ser.BldNew.Thermal.SH.ConvElc.Elec</t>
  </si>
  <si>
    <t>FEC.ktoe.DE.Ser.BldNew.Thermal.SH.TotalCirculation.Elec</t>
  </si>
  <si>
    <t>FEC.ktoe.DE.Ser.BldNew.Thermal.SC</t>
  </si>
  <si>
    <t>FEC.ktoe.DE.Ser.BldNew.Thermal.SC.GasHP.NG_Biogas</t>
  </si>
  <si>
    <t>FEC.ktoe.DE.Ser.BldNew.Thermal.SC.AC.Elec</t>
  </si>
  <si>
    <t>FEC.ktoe.DE.Ser.BldNew.Thermal.HW</t>
  </si>
  <si>
    <t>FEC.ktoe.DE.Ser.BldNew.Thermal.HW.Solids.Solids</t>
  </si>
  <si>
    <t>FEC.ktoe.DE.Ser.BldNew.Thermal.HW.LPG.LPG</t>
  </si>
  <si>
    <t>FEC.ktoe.DE.Ser.BldNew.Thermal.HW.Oil.Oil_LiqBio</t>
  </si>
  <si>
    <t>FEC.ktoe.DE.Ser.BldNew.Thermal.HW.Gas.NG_Biogas</t>
  </si>
  <si>
    <t>FEC.ktoe.DE.Ser.BldNew.Thermal.HW.Biomass.Biomass_Waste</t>
  </si>
  <si>
    <t>FEC.ktoe.DE.Ser.BldNew.Thermal.HW.DistrHeat.Steam_Distr</t>
  </si>
  <si>
    <t>FEC.ktoe.DE.Ser.BldNew.Thermal.HW.Elc.Elec</t>
  </si>
  <si>
    <t>FEC.ktoe.DE.Ser.BldNew.Thermal.HW.TotalSolar.Solar</t>
  </si>
  <si>
    <t>FEC.ktoe.DE.Ser.BldNew.Thermal.CA</t>
  </si>
  <si>
    <t>FEC.ktoe.DE.Ser.BldNew.Thermal.CA.LPG</t>
  </si>
  <si>
    <t>FEC.ktoe.DE.Ser.BldNew.Thermal.CA.Gas.NG_Biogas</t>
  </si>
  <si>
    <t>FEC.ktoe.DE.Ser.BldNew.Thermal.CA.Biomass.Biomass_Waste</t>
  </si>
  <si>
    <t>FEC.ktoe.DE.Ser.BldNew.Thermal.CA.Elc.Elec</t>
  </si>
  <si>
    <t>DE - Thermal energy service in new and renovated buildings</t>
  </si>
  <si>
    <t>TES.ktoe.DE.Ser.BldNew.Thermal</t>
  </si>
  <si>
    <t>TES.ktoe.DE.Ser.BldNew.Thermal.SH</t>
  </si>
  <si>
    <t>TES.ktoe.DE.Ser.BldNew.Thermal.SH.Solids.Solids</t>
  </si>
  <si>
    <t>TES.ktoe.DE.Ser.BldNew.Thermal.SH.LPG.LPG</t>
  </si>
  <si>
    <t>TES.ktoe.DE.Ser.BldNew.Thermal.SH.Oil.Oil_LiqBio</t>
  </si>
  <si>
    <t>TES.ktoe.DE.Ser.BldNew.Thermal.SH.GasHP.NG_Biogas</t>
  </si>
  <si>
    <t>TES.ktoe.DE.Ser.BldNew.Thermal.SH.GasTH.NG_Biogas</t>
  </si>
  <si>
    <t>TES.ktoe.DE.Ser.BldNew.Thermal.SH.Biomass.Biomass_Waste</t>
  </si>
  <si>
    <t>TES.ktoe.DE.Ser.BldNew.Thermal.SH.Geo.Geo</t>
  </si>
  <si>
    <t>TES.ktoe.DE.Ser.BldNew.Thermal.SH.DistrHeat.Steam_Distr</t>
  </si>
  <si>
    <t>TES.ktoe.DE.Ser.BldNew.Thermal.SH.AdvElc.Elec</t>
  </si>
  <si>
    <t>TES.ktoe.DE.Ser.BldNew.Thermal.SH.ConvElc.Elec</t>
  </si>
  <si>
    <t>TES.ktoe.DE.Ser.BldNew.Thermal.SH.TotalCirculation.Elec</t>
  </si>
  <si>
    <t>TES.ktoe.DE.Ser.BldNew.Thermal.SC</t>
  </si>
  <si>
    <t>TES.ktoe.DE.Ser.BldNew.Thermal.SC.GasHP.NG_Biogas</t>
  </si>
  <si>
    <t>TES.ktoe.DE.Ser.BldNew.Thermal.SC.AC.Elec</t>
  </si>
  <si>
    <t>TES.ktoe.DE.Ser.BldNew.Thermal.HW</t>
  </si>
  <si>
    <t>TES.ktoe.DE.Ser.BldNew.Thermal.HW.Solids.Solids</t>
  </si>
  <si>
    <t>TES.ktoe.DE.Ser.BldNew.Thermal.HW.LPG.LPG</t>
  </si>
  <si>
    <t>TES.ktoe.DE.Ser.BldNew.Thermal.HW.Oil.Oil_LiqBio</t>
  </si>
  <si>
    <t>TES.ktoe.DE.Ser.BldNew.Thermal.HW.Gas.NG_Biogas</t>
  </si>
  <si>
    <t>TES.ktoe.DE.Ser.BldNew.Thermal.HW.Biomass.Biomass_Waste</t>
  </si>
  <si>
    <t>TES.ktoe.DE.Ser.BldNew.Thermal.HW.DistrHeat.Steam_Distr</t>
  </si>
  <si>
    <t>TES.ktoe.DE.Ser.BldNew.Thermal.HW.Elc.Elec</t>
  </si>
  <si>
    <t>TES.ktoe.DE.Ser.BldNew.Thermal.HW.TotalSolar.Solar</t>
  </si>
  <si>
    <t>TES.ktoe.DE.Ser.BldNew.Thermal.CA</t>
  </si>
  <si>
    <t>TES.ktoe.DE.Ser.BldNew.Thermal.CA.LPG</t>
  </si>
  <si>
    <t>TES.ktoe.DE.Ser.BldNew.Thermal.CA.Gas.NG_Biogas</t>
  </si>
  <si>
    <t>TES.ktoe.DE.Ser.BldNew.Thermal.CA.Biomass.Biomass_Waste</t>
  </si>
  <si>
    <t>TES.ktoe.DE.Ser.BldNew.Thermal.CA.Elc.Elec</t>
  </si>
  <si>
    <t>DE - System efficiency indicator of new and renovated buildings</t>
  </si>
  <si>
    <t>Eff.ratio.DE.Ser.BldNew.Thermal</t>
  </si>
  <si>
    <t>Eff.ratio.DE.Ser.BldNew.Thermal.SH</t>
  </si>
  <si>
    <t>Eff.ratio.DE.Ser.BldNew.Thermal.SH.Solids.Solids</t>
  </si>
  <si>
    <t>Eff.ratio.DE.Ser.BldNew.Thermal.SH.LPG.LPG</t>
  </si>
  <si>
    <t>Eff.ratio.DE.Ser.BldNew.Thermal.SH.Oil.Oil_LiqBio</t>
  </si>
  <si>
    <t>Eff.ratio.DE.Ser.BldNew.Thermal.SH.GasHP.NG_Biogas</t>
  </si>
  <si>
    <t>Eff.ratio.DE.Ser.BldNew.Thermal.SH.GasTH.NG_Biogas</t>
  </si>
  <si>
    <t>Eff.ratio.DE.Ser.BldNew.Thermal.SH.Biomass.Biomass_Waste</t>
  </si>
  <si>
    <t>Eff.ratio.DE.Ser.BldNew.Thermal.SH.Geo.Geo</t>
  </si>
  <si>
    <t>Eff.ratio.DE.Ser.BldNew.Thermal.SH.DistrHeat.Steam_Distr</t>
  </si>
  <si>
    <t>Eff.ratio.DE.Ser.BldNew.Thermal.SH.AdvElc.Elec</t>
  </si>
  <si>
    <t>Eff.ratio.DE.Ser.BldNew.Thermal.SH.ConvElc.Elec</t>
  </si>
  <si>
    <t>Eff.ratio.DE.Ser.BldNew.Thermal.SH.TotalCirculation.Elec</t>
  </si>
  <si>
    <t>Eff.ratio.DE.Ser.BldNew.Thermal.SC</t>
  </si>
  <si>
    <t>Eff.ratio.DE.Ser.BldNew.Thermal.SC.GasHP.NG_Biogas</t>
  </si>
  <si>
    <t>Eff.ratio.DE.Ser.BldNew.Thermal.SC.AC.Elec</t>
  </si>
  <si>
    <t>Eff.ratio.DE.Ser.BldNew.Thermal.HW</t>
  </si>
  <si>
    <t>Eff.ratio.DE.Ser.BldNew.Thermal.HW.Solids.Solids</t>
  </si>
  <si>
    <t>Eff.ratio.DE.Ser.BldNew.Thermal.HW.LPG.LPG</t>
  </si>
  <si>
    <t>Eff.ratio.DE.Ser.BldNew.Thermal.HW.Oil.Oil_LiqBio</t>
  </si>
  <si>
    <t>Eff.ratio.DE.Ser.BldNew.Thermal.HW.Gas.NG_Biogas</t>
  </si>
  <si>
    <t>Eff.ratio.DE.Ser.BldNew.Thermal.HW.Biomass.Biomass_Waste</t>
  </si>
  <si>
    <t>Eff.ratio.DE.Ser.BldNew.Thermal.HW.DistrHeat.Steam_Distr</t>
  </si>
  <si>
    <t>Eff.ratio.DE.Ser.BldNew.Thermal.HW.Elc.Elec</t>
  </si>
  <si>
    <t>Eff.ratio.DE.Ser.BldNew.Thermal.HW.TotalSolar.Solar</t>
  </si>
  <si>
    <t>Eff.ratio.DE.Ser.BldNew.Thermal.CA</t>
  </si>
  <si>
    <t>Eff.ratio.DE.Ser.BldNew.Thermal.CA.LPG</t>
  </si>
  <si>
    <t>Eff.ratio.DE.Ser.BldNew.Thermal.CA.Gas.NG_Biogas</t>
  </si>
  <si>
    <t>Eff.ratio.DE.Ser.BldNew.Thermal.CA.Biomass.Biomass_Waste</t>
  </si>
  <si>
    <t>Eff.ratio.DE.Ser.BldNew.Thermal.CA.Elc.Elec</t>
  </si>
  <si>
    <t>DE - CO2 emissions in new and renovated buildings</t>
  </si>
  <si>
    <t>EMI.ktCO2.DE.Ser.BldNew.Thermal</t>
  </si>
  <si>
    <t>EMI.ktCO2.DE.Ser.BldNew.Thermal.SH</t>
  </si>
  <si>
    <t>EMI.ktCO2.DE.Ser.BldNew.Thermal.SH.Solids.Solids</t>
  </si>
  <si>
    <t>EMI.ktCO2.DE.Ser.BldNew.Thermal.SH.LPG.LPG</t>
  </si>
  <si>
    <t>EMI.ktCO2.DE.Ser.BldNew.Thermal.SH.Oil.Oil_LiqBio</t>
  </si>
  <si>
    <t>EMI.ktCO2.DE.Ser.BldNew.Thermal.SH.GasHP.NG_Biogas</t>
  </si>
  <si>
    <t>EMI.ktCO2.DE.Ser.BldNew.Thermal.SH.GasTH.NG_Biogas</t>
  </si>
  <si>
    <t>EMI.ktCO2.DE.Ser.BldNew.Thermal.SH.Biomass.Biomass_Waste</t>
  </si>
  <si>
    <t>EMI.ktCO2.DE.Ser.BldNew.Thermal.SH.Geo.Geo</t>
  </si>
  <si>
    <t>EMI.ktCO2.DE.Ser.BldNew.Thermal.SH.DistrHeat.Steam_Distr</t>
  </si>
  <si>
    <t>EMI.ktCO2.DE.Ser.BldNew.Thermal.SH.AdvElc.Elec</t>
  </si>
  <si>
    <t>EMI.ktCO2.DE.Ser.BldNew.Thermal.SH.ConvElc.Elec</t>
  </si>
  <si>
    <t>EMI.ktCO2.DE.Ser.BldNew.Thermal.SH.TotalCirculation.Elec</t>
  </si>
  <si>
    <t>EMI.ktCO2.DE.Ser.BldNew.Thermal.SC</t>
  </si>
  <si>
    <t>EMI.ktCO2.DE.Ser.BldNew.Thermal.SC.GasHP.NG_Biogas</t>
  </si>
  <si>
    <t>EMI.ktCO2.DE.Ser.BldNew.Thermal.SC.AC.Elec</t>
  </si>
  <si>
    <t>EMI.ktCO2.DE.Ser.BldNew.Thermal.HW</t>
  </si>
  <si>
    <t>EMI.ktCO2.DE.Ser.BldNew.Thermal.HW.Solids.Solids</t>
  </si>
  <si>
    <t>EMI.ktCO2.DE.Ser.BldNew.Thermal.HW.LPG.LPG</t>
  </si>
  <si>
    <t>EMI.ktCO2.DE.Ser.BldNew.Thermal.HW.Oil.Oil_LiqBio</t>
  </si>
  <si>
    <t>EMI.ktCO2.DE.Ser.BldNew.Thermal.HW.Gas.NG_Biogas</t>
  </si>
  <si>
    <t>EMI.ktCO2.DE.Ser.BldNew.Thermal.HW.Biomass.Biomass_Waste</t>
  </si>
  <si>
    <t>EMI.ktCO2.DE.Ser.BldNew.Thermal.HW.DistrHeat.Steam_Distr</t>
  </si>
  <si>
    <t>EMI.ktCO2.DE.Ser.BldNew.Thermal.HW.Elc.Elec</t>
  </si>
  <si>
    <t>EMI.ktCO2.DE.Ser.BldNew.Thermal.HW.TotalSolar.Solar</t>
  </si>
  <si>
    <t>EMI.ktCO2.DE.Ser.BldNew.Thermal.CA</t>
  </si>
  <si>
    <t>EMI.ktCO2.DE.Ser.BldNew.Thermal.CA.LPG</t>
  </si>
  <si>
    <t>EMI.ktCO2.DE.Ser.BldNew.Thermal.CA.Gas.NG_Biogas</t>
  </si>
  <si>
    <t>EMI.ktCO2.DE.Ser.BldNew.Thermal.CA.Biomass.Biomass_Waste</t>
  </si>
  <si>
    <t>EMI.ktCO2.DE.Ser.BldNew.Thermal.CA.Elc.Elec</t>
  </si>
  <si>
    <t>DE - Final energy consumption of new and renovated buildings (per building)</t>
  </si>
  <si>
    <t>FEC_per_building.kWh.DE.Ser.BldNew.Thermal</t>
  </si>
  <si>
    <t>FEC_per_building.kWh.DE.Ser.BldNew.Thermal.SH</t>
  </si>
  <si>
    <t>FEC_per_building.kWh.DE.Ser.BldNew.Thermal.SH.Solids.Solids</t>
  </si>
  <si>
    <t>FEC_per_building.kWh.DE.Ser.BldNew.Thermal.SH.LPG.LPG</t>
  </si>
  <si>
    <t>FEC_per_building.kWh.DE.Ser.BldNew.Thermal.SH.Oil.Oil_LiqBio</t>
  </si>
  <si>
    <t>FEC_per_building.kWh.DE.Ser.BldNew.Thermal.SH.GasHP.NG_Biogas</t>
  </si>
  <si>
    <t>FEC_per_building.kWh.DE.Ser.BldNew.Thermal.SH.GasTH.NG_Biogas</t>
  </si>
  <si>
    <t>FEC_per_building.kWh.DE.Ser.BldNew.Thermal.SH.Biomass.Biomass_Waste</t>
  </si>
  <si>
    <t>FEC_per_building.kWh.DE.Ser.BldNew.Thermal.SH.Geo.Geo</t>
  </si>
  <si>
    <t>FEC_per_building.kWh.DE.Ser.BldNew.Thermal.SH.DistrHeat.Steam_Distr</t>
  </si>
  <si>
    <t>FEC_per_building.kWh.DE.Ser.BldNew.Thermal.SH.AdvElc.Elec</t>
  </si>
  <si>
    <t>FEC_per_building.kWh.DE.Ser.BldNew.Thermal.SH.ConvElc.Elec</t>
  </si>
  <si>
    <t>FEC_per_building.kWh.DE.Ser.BldNew.Thermal.SH.TotalCirculation.Elec</t>
  </si>
  <si>
    <t>FEC_per_building.kWh.DE.Ser.BldNew.Thermal.SC</t>
  </si>
  <si>
    <t>FEC_per_building.kWh.DE.Ser.BldNew.Thermal.SC.GasHP.NG_Biogas</t>
  </si>
  <si>
    <t>FEC_per_building.kWh.DE.Ser.BldNew.Thermal.SC.AC.Elec</t>
  </si>
  <si>
    <t>FEC_per_building.kWh.DE.Ser.BldNew.Thermal.HW</t>
  </si>
  <si>
    <t>FEC_per_building.kWh.DE.Ser.BldNew.Thermal.HW.Solids.Solids</t>
  </si>
  <si>
    <t>FEC_per_building.kWh.DE.Ser.BldNew.Thermal.HW.LPG.LPG</t>
  </si>
  <si>
    <t>FEC_per_building.kWh.DE.Ser.BldNew.Thermal.HW.Oil.Oil_LiqBio</t>
  </si>
  <si>
    <t>FEC_per_building.kWh.DE.Ser.BldNew.Thermal.HW.Gas.NG_Biogas</t>
  </si>
  <si>
    <t>FEC_per_building.kWh.DE.Ser.BldNew.Thermal.HW.Biomass.Biomass_Waste</t>
  </si>
  <si>
    <t>FEC_per_building.kWh.DE.Ser.BldNew.Thermal.HW.DistrHeat.Steam_Distr</t>
  </si>
  <si>
    <t>FEC_per_building.kWh.DE.Ser.BldNew.Thermal.HW.Elc.Elec</t>
  </si>
  <si>
    <t>FEC_per_building.kWh.DE.Ser.BldNew.Thermal.HW.TotalSolar.Solar</t>
  </si>
  <si>
    <t>FEC_per_building.kWh.DE.Ser.BldNew.Thermal.CA</t>
  </si>
  <si>
    <t>FEC_per_building.kWh.DE.Ser.BldNew.Thermal.CA.LPG</t>
  </si>
  <si>
    <t>FEC_per_building.kWh.DE.Ser.BldNew.Thermal.CA.Gas.NG_Biogas</t>
  </si>
  <si>
    <t>FEC_per_building.kWh.DE.Ser.BldNew.Thermal.CA.Biomass.Biomass_Waste</t>
  </si>
  <si>
    <t>FEC_per_building.kWh.DE.Ser.BldNew.Thermal.CA.Elc.Elec</t>
  </si>
  <si>
    <t>DE - Thermal energy service of new and renovated buildings (per building)</t>
  </si>
  <si>
    <t>TES_per_building.kWh.DE.Ser.BldNew.Thermal</t>
  </si>
  <si>
    <t>TES_per_building.kWh.DE.Ser.BldNew.Thermal.SH</t>
  </si>
  <si>
    <t>TES_per_building.kWh.DE.Ser.BldNew.Thermal.SH.Solids.Solids</t>
  </si>
  <si>
    <t>TES_per_building.kWh.DE.Ser.BldNew.Thermal.SH.LPG.LPG</t>
  </si>
  <si>
    <t>TES_per_building.kWh.DE.Ser.BldNew.Thermal.SH.Oil.Oil_LiqBio</t>
  </si>
  <si>
    <t>TES_per_building.kWh.DE.Ser.BldNew.Thermal.SH.GasHP.NG_Biogas</t>
  </si>
  <si>
    <t>TES_per_building.kWh.DE.Ser.BldNew.Thermal.SH.GasTH.NG_Biogas</t>
  </si>
  <si>
    <t>TES_per_building.kWh.DE.Ser.BldNew.Thermal.SH.Biomass.Biomass_Waste</t>
  </si>
  <si>
    <t>TES_per_building.kWh.DE.Ser.BldNew.Thermal.SH.Geo.Geo</t>
  </si>
  <si>
    <t>TES_per_building.kWh.DE.Ser.BldNew.Thermal.SH.DistrHeat.Steam_Distr</t>
  </si>
  <si>
    <t>TES_per_building.kWh.DE.Ser.BldNew.Thermal.SH.AdvElc.Elec</t>
  </si>
  <si>
    <t>TES_per_building.kWh.DE.Ser.BldNew.Thermal.SH.ConvElc.Elec</t>
  </si>
  <si>
    <t>TES_per_building.kWh.DE.Ser.BldNew.Thermal.SH.TotalCirculation.Elec</t>
  </si>
  <si>
    <t>TES_per_building.kWh.DE.Ser.BldNew.Thermal.SC</t>
  </si>
  <si>
    <t>TES_per_building.kWh.DE.Ser.BldNew.Thermal.SC.GasHP.NG_Biogas</t>
  </si>
  <si>
    <t>TES_per_building.kWh.DE.Ser.BldNew.Thermal.SC.AC.Elec</t>
  </si>
  <si>
    <t>TES_per_building.kWh.DE.Ser.BldNew.Thermal.HW</t>
  </si>
  <si>
    <t>TES_per_building.kWh.DE.Ser.BldNew.Thermal.HW.Solids.Solids</t>
  </si>
  <si>
    <t>TES_per_building.kWh.DE.Ser.BldNew.Thermal.HW.LPG.LPG</t>
  </si>
  <si>
    <t>TES_per_building.kWh.DE.Ser.BldNew.Thermal.HW.Oil.Oil_LiqBio</t>
  </si>
  <si>
    <t>TES_per_building.kWh.DE.Ser.BldNew.Thermal.HW.Gas.NG_Biogas</t>
  </si>
  <si>
    <t>TES_per_building.kWh.DE.Ser.BldNew.Thermal.HW.Biomass.Biomass_Waste</t>
  </si>
  <si>
    <t>TES_per_building.kWh.DE.Ser.BldNew.Thermal.HW.DistrHeat.Steam_Distr</t>
  </si>
  <si>
    <t>TES_per_building.kWh.DE.Ser.BldNew.Thermal.HW.Elc.Elec</t>
  </si>
  <si>
    <t>TES_per_building.kWh.DE.Ser.BldNew.Thermal.HW.TotalSolar.Solar</t>
  </si>
  <si>
    <t>TES_per_building.kWh.DE.Ser.BldNew.Thermal.CA</t>
  </si>
  <si>
    <t>TES_per_building.kWh.DE.Ser.BldNew.Thermal.CA.LPG</t>
  </si>
  <si>
    <t>TES_per_building.kWh.DE.Ser.BldNew.Thermal.CA.Gas.NG_Biogas</t>
  </si>
  <si>
    <t>TES_per_building.kWh.DE.Ser.BldNew.Thermal.CA.Biomass.Biomass_Waste</t>
  </si>
  <si>
    <t>TES_per_building.kWh.DE.Ser.BldNew.Thermal.CA.Elc.Elec</t>
  </si>
  <si>
    <t>DE - CO2 emissions in new and renovated buildings (per building)</t>
  </si>
  <si>
    <t>EMI_per_building.kgCO2.DE.Ser.BldNew.Thermal</t>
  </si>
  <si>
    <t>EMI_per_building.kgCO2.DE.Ser.BldNew.Thermal.SH</t>
  </si>
  <si>
    <t>EMI_per_building.kgCO2.DE.Ser.BldNew.Thermal.SH.Solids.Solids</t>
  </si>
  <si>
    <t>EMI_per_building.kgCO2.DE.Ser.BldNew.Thermal.SH.LPG.LPG</t>
  </si>
  <si>
    <t>EMI_per_building.kgCO2.DE.Ser.BldNew.Thermal.SH.Oil.Oil_LiqBio</t>
  </si>
  <si>
    <t>EMI_per_building.kgCO2.DE.Ser.BldNew.Thermal.SH.GasHP.NG_Biogas</t>
  </si>
  <si>
    <t>EMI_per_building.kgCO2.DE.Ser.BldNew.Thermal.SH.GasTH.NG_Biogas</t>
  </si>
  <si>
    <t>EMI_per_building.kgCO2.DE.Ser.BldNew.Thermal.SH.Biomass.Biomass_Waste</t>
  </si>
  <si>
    <t>EMI_per_building.kgCO2.DE.Ser.BldNew.Thermal.SH.Geo.Geo</t>
  </si>
  <si>
    <t>EMI_per_building.kgCO2.DE.Ser.BldNew.Thermal.SH.DistrHeat.Steam_Distr</t>
  </si>
  <si>
    <t>EMI_per_building.kgCO2.DE.Ser.BldNew.Thermal.SH.AdvElc.Elec</t>
  </si>
  <si>
    <t>EMI_per_building.kgCO2.DE.Ser.BldNew.Thermal.SH.ConvElc.Elec</t>
  </si>
  <si>
    <t>EMI_per_building.kgCO2.DE.Ser.BldNew.Thermal.SH.TotalCirculation.Elec</t>
  </si>
  <si>
    <t>EMI_per_building.kgCO2.DE.Ser.BldNew.Thermal.SC</t>
  </si>
  <si>
    <t>EMI_per_building.kgCO2.DE.Ser.BldNew.Thermal.SC.GasHP.NG_Biogas</t>
  </si>
  <si>
    <t>EMI_per_building.kgCO2.DE.Ser.BldNew.Thermal.SC.AC.Elec</t>
  </si>
  <si>
    <t>EMI_per_building.kgCO2.DE.Ser.BldNew.Thermal.HW</t>
  </si>
  <si>
    <t>EMI_per_building.kgCO2.DE.Ser.BldNew.Thermal.HW.Solids.Solids</t>
  </si>
  <si>
    <t>EMI_per_building.kgCO2.DE.Ser.BldNew.Thermal.HW.LPG.LPG</t>
  </si>
  <si>
    <t>EMI_per_building.kgCO2.DE.Ser.BldNew.Thermal.HW.Oil.Oil_LiqBio</t>
  </si>
  <si>
    <t>EMI_per_building.kgCO2.DE.Ser.BldNew.Thermal.HW.Gas.NG_Biogas</t>
  </si>
  <si>
    <t>EMI_per_building.kgCO2.DE.Ser.BldNew.Thermal.HW.Biomass.Biomass_Waste</t>
  </si>
  <si>
    <t>EMI_per_building.kgCO2.DE.Ser.BldNew.Thermal.HW.DistrHeat.Steam_Distr</t>
  </si>
  <si>
    <t>EMI_per_building.kgCO2.DE.Ser.BldNew.Thermal.HW.Elc.Elec</t>
  </si>
  <si>
    <t>EMI_per_building.kgCO2.DE.Ser.BldNew.Thermal.HW.TotalSolar.Solar</t>
  </si>
  <si>
    <t>EMI_per_building.kgCO2.DE.Ser.BldNew.Thermal.CA</t>
  </si>
  <si>
    <t>EMI_per_building.kgCO2.DE.Ser.BldNew.Thermal.CA.LPG</t>
  </si>
  <si>
    <t>EMI_per_building.kgCO2.DE.Ser.BldNew.Thermal.CA.Gas.NG_Biogas</t>
  </si>
  <si>
    <t>EMI_per_building.kgCO2.DE.Ser.BldNew.Thermal.CA.Biomass.Biomass_Waste</t>
  </si>
  <si>
    <t>EMI_per_building.kgCO2.DE.Ser.BldNew.Thermal.CA.Elc.Elec</t>
  </si>
  <si>
    <t>DE - Final energy consumption in new and renovated buildings per surface area</t>
  </si>
  <si>
    <t>FEC_per_sqm.kWh.DE.Ser.BldNew.Thermal</t>
  </si>
  <si>
    <t>FEC_per_sqm.kWh.DE.Ser.BldNew.Thermal.SH</t>
  </si>
  <si>
    <t>FEC_per_sqm.kWh.DE.Ser.BldNew.Thermal.SH.Solids.Solids</t>
  </si>
  <si>
    <t>FEC_per_sqm.kWh.DE.Ser.BldNew.Thermal.SH.LPG.LPG</t>
  </si>
  <si>
    <t>FEC_per_sqm.kWh.DE.Ser.BldNew.Thermal.SH.Oil.Oil_LiqBio</t>
  </si>
  <si>
    <t>FEC_per_sqm.kWh.DE.Ser.BldNew.Thermal.SH.GasHP.NG_Biogas</t>
  </si>
  <si>
    <t>FEC_per_sqm.kWh.DE.Ser.BldNew.Thermal.SH.GasTH.NG_Biogas</t>
  </si>
  <si>
    <t>FEC_per_sqm.kWh.DE.Ser.BldNew.Thermal.SH.Biomass.Biomass_Waste</t>
  </si>
  <si>
    <t>FEC_per_sqm.kWh.DE.Ser.BldNew.Thermal.SH.Geo.Geo</t>
  </si>
  <si>
    <t>FEC_per_sqm.kWh.DE.Ser.BldNew.Thermal.SH.DistrHeat.Steam_Distr</t>
  </si>
  <si>
    <t>FEC_per_sqm.kWh.DE.Ser.BldNew.Thermal.SH.AdvElc.Elec</t>
  </si>
  <si>
    <t>FEC_per_sqm.kWh.DE.Ser.BldNew.Thermal.SH.ConvElc.Elec</t>
  </si>
  <si>
    <t>FEC_per_sqm.kWh.DE.Ser.BldNew.Thermal.SH.TotalCirculation.Elec</t>
  </si>
  <si>
    <t>FEC_per_sqm.kWh.DE.Ser.BldNew.Thermal.SC</t>
  </si>
  <si>
    <t>FEC_per_sqm.kWh.DE.Ser.BldNew.Thermal.SC.GasHP.NG_Biogas</t>
  </si>
  <si>
    <t>FEC_per_sqm.kWh.DE.Ser.BldNew.Thermal.SC.AC.Elec</t>
  </si>
  <si>
    <t>FEC_per_sqm.kWh.DE.Ser.BldNew.Thermal.HW</t>
  </si>
  <si>
    <t>FEC_per_sqm.kWh.DE.Ser.BldNew.Thermal.HW.Solids.Solids</t>
  </si>
  <si>
    <t>FEC_per_sqm.kWh.DE.Ser.BldNew.Thermal.HW.LPG.LPG</t>
  </si>
  <si>
    <t>FEC_per_sqm.kWh.DE.Ser.BldNew.Thermal.HW.Oil.Oil_LiqBio</t>
  </si>
  <si>
    <t>FEC_per_sqm.kWh.DE.Ser.BldNew.Thermal.HW.Gas.NG_Biogas</t>
  </si>
  <si>
    <t>FEC_per_sqm.kWh.DE.Ser.BldNew.Thermal.HW.Biomass.Biomass_Waste</t>
  </si>
  <si>
    <t>FEC_per_sqm.kWh.DE.Ser.BldNew.Thermal.HW.DistrHeat.Steam_Distr</t>
  </si>
  <si>
    <t>FEC_per_sqm.kWh.DE.Ser.BldNew.Thermal.HW.Elc.Elec</t>
  </si>
  <si>
    <t>FEC_per_sqm.kWh.DE.Ser.BldNew.Thermal.HW.TotalSolar.Solar</t>
  </si>
  <si>
    <t>FEC_per_sqm.kWh.DE.Ser.BldNew.Thermal.CA</t>
  </si>
  <si>
    <t>FEC_per_sqm.kWh.DE.Ser.BldNew.Thermal.CA.LPG</t>
  </si>
  <si>
    <t>FEC_per_sqm.kWh.DE.Ser.BldNew.Thermal.CA.Gas.NG_Biogas</t>
  </si>
  <si>
    <t>FEC_per_sqm.kWh.DE.Ser.BldNew.Thermal.CA.Biomass.Biomass_Waste</t>
  </si>
  <si>
    <t>FEC_per_sqm.kWh.DE.Ser.BldNew.Thermal.CA.Elc.Elec</t>
  </si>
  <si>
    <t>DE - Thermal energy service in new and renovated buildings per surface area</t>
  </si>
  <si>
    <t>TES_per_sqm.kWh.DE.Ser.BldNew.Thermal</t>
  </si>
  <si>
    <t>TES_per_sqm.kWh.DE.Ser.BldNew.Thermal.SH</t>
  </si>
  <si>
    <t>TES_per_sqm.kWh.DE.Ser.BldNew.Thermal.SH.Solids.Solids</t>
  </si>
  <si>
    <t>TES_per_sqm.kWh.DE.Ser.BldNew.Thermal.SH.LPG.LPG</t>
  </si>
  <si>
    <t>TES_per_sqm.kWh.DE.Ser.BldNew.Thermal.SH.Oil.Oil_LiqBio</t>
  </si>
  <si>
    <t>TES_per_sqm.kWh.DE.Ser.BldNew.Thermal.SH.GasHP.NG_Biogas</t>
  </si>
  <si>
    <t>TES_per_sqm.kWh.DE.Ser.BldNew.Thermal.SH.GasTH.NG_Biogas</t>
  </si>
  <si>
    <t>TES_per_sqm.kWh.DE.Ser.BldNew.Thermal.SH.Biomass.Biomass_Waste</t>
  </si>
  <si>
    <t>TES_per_sqm.kWh.DE.Ser.BldNew.Thermal.SH.Geo.Geo</t>
  </si>
  <si>
    <t>TES_per_sqm.kWh.DE.Ser.BldNew.Thermal.SH.DistrHeat.Steam_Distr</t>
  </si>
  <si>
    <t>TES_per_sqm.kWh.DE.Ser.BldNew.Thermal.SH.AdvElc.Elec</t>
  </si>
  <si>
    <t>TES_per_sqm.kWh.DE.Ser.BldNew.Thermal.SH.ConvElc.Elec</t>
  </si>
  <si>
    <t>TES_per_sqm.kWh.DE.Ser.BldNew.Thermal.SH.TotalCirculation.Elec</t>
  </si>
  <si>
    <t>TES_per_sqm.kWh.DE.Ser.BldNew.Thermal.SC</t>
  </si>
  <si>
    <t>TES_per_sqm.kWh.DE.Ser.BldNew.Thermal.SC.GasHP.NG_Biogas</t>
  </si>
  <si>
    <t>TES_per_sqm.kWh.DE.Ser.BldNew.Thermal.SC.AC.Elec</t>
  </si>
  <si>
    <t>TES_per_sqm.kWh.DE.Ser.BldNew.Thermal.HW</t>
  </si>
  <si>
    <t>TES_per_sqm.kWh.DE.Ser.BldNew.Thermal.HW.Solids.Solids</t>
  </si>
  <si>
    <t>TES_per_sqm.kWh.DE.Ser.BldNew.Thermal.HW.LPG.LPG</t>
  </si>
  <si>
    <t>TES_per_sqm.kWh.DE.Ser.BldNew.Thermal.HW.Oil.Oil_LiqBio</t>
  </si>
  <si>
    <t>TES_per_sqm.kWh.DE.Ser.BldNew.Thermal.HW.Gas.NG_Biogas</t>
  </si>
  <si>
    <t>TES_per_sqm.kWh.DE.Ser.BldNew.Thermal.HW.Biomass.Biomass_Waste</t>
  </si>
  <si>
    <t>TES_per_sqm.kWh.DE.Ser.BldNew.Thermal.HW.DistrHeat.Steam_Distr</t>
  </si>
  <si>
    <t>TES_per_sqm.kWh.DE.Ser.BldNew.Thermal.HW.Elc.Elec</t>
  </si>
  <si>
    <t>TES_per_sqm.kWh.DE.Ser.BldNew.Thermal.HW.TotalSolar.Solar</t>
  </si>
  <si>
    <t>TES_per_sqm.kWh.DE.Ser.BldNew.Thermal.CA</t>
  </si>
  <si>
    <t>TES_per_sqm.kWh.DE.Ser.BldNew.Thermal.CA.LPG</t>
  </si>
  <si>
    <t>TES_per_sqm.kWh.DE.Ser.BldNew.Thermal.CA.Gas.NG_Biogas</t>
  </si>
  <si>
    <t>TES_per_sqm.kWh.DE.Ser.BldNew.Thermal.CA.Biomass.Biomass_Waste</t>
  </si>
  <si>
    <t>TES_per_sqm.kWh.DE.Ser.BldNew.Thermal.CA.Elc.Elec</t>
  </si>
  <si>
    <t>DE - CO2 emissions in new and renovated buildings per surface area</t>
  </si>
  <si>
    <t>EMI_per_sqm.kgCO2.DE.Ser.BldNew.Thermal</t>
  </si>
  <si>
    <t>EMI_per_sqm.kgCO2.DE.Ser.BldNew.Thermal.SH</t>
  </si>
  <si>
    <t>EMI_per_sqm.kgCO2.DE.Ser.BldNew.Thermal.SH.Solids.Solids</t>
  </si>
  <si>
    <t>EMI_per_sqm.kgCO2.DE.Ser.BldNew.Thermal.SH.LPG.LPG</t>
  </si>
  <si>
    <t>EMI_per_sqm.kgCO2.DE.Ser.BldNew.Thermal.SH.Oil.Oil_LiqBio</t>
  </si>
  <si>
    <t>EMI_per_sqm.kgCO2.DE.Ser.BldNew.Thermal.SH.GasHP.NG_Biogas</t>
  </si>
  <si>
    <t>EMI_per_sqm.kgCO2.DE.Ser.BldNew.Thermal.SH.GasTH.NG_Biogas</t>
  </si>
  <si>
    <t>EMI_per_sqm.kgCO2.DE.Ser.BldNew.Thermal.SH.Biomass.Biomass_Waste</t>
  </si>
  <si>
    <t>EMI_per_sqm.kgCO2.DE.Ser.BldNew.Thermal.SH.Geo.Geo</t>
  </si>
  <si>
    <t>EMI_per_sqm.kgCO2.DE.Ser.BldNew.Thermal.SH.DistrHeat.Steam_Distr</t>
  </si>
  <si>
    <t>EMI_per_sqm.kgCO2.DE.Ser.BldNew.Thermal.SH.AdvElc.Elec</t>
  </si>
  <si>
    <t>EMI_per_sqm.kgCO2.DE.Ser.BldNew.Thermal.SH.ConvElc.Elec</t>
  </si>
  <si>
    <t>EMI_per_sqm.kgCO2.DE.Ser.BldNew.Thermal.SH.TotalCirculation.Elec</t>
  </si>
  <si>
    <t>EMI_per_sqm.kgCO2.DE.Ser.BldNew.Thermal.SC</t>
  </si>
  <si>
    <t>EMI_per_sqm.kgCO2.DE.Ser.BldNew.Thermal.SC.GasHP.NG_Biogas</t>
  </si>
  <si>
    <t>EMI_per_sqm.kgCO2.DE.Ser.BldNew.Thermal.SC.AC.Elec</t>
  </si>
  <si>
    <t>EMI_per_sqm.kgCO2.DE.Ser.BldNew.Thermal.HW</t>
  </si>
  <si>
    <t>EMI_per_sqm.kgCO2.DE.Ser.BldNew.Thermal.HW.Solids.Solids</t>
  </si>
  <si>
    <t>EMI_per_sqm.kgCO2.DE.Ser.BldNew.Thermal.HW.LPG.LPG</t>
  </si>
  <si>
    <t>EMI_per_sqm.kgCO2.DE.Ser.BldNew.Thermal.HW.Oil.Oil_LiqBio</t>
  </si>
  <si>
    <t>EMI_per_sqm.kgCO2.DE.Ser.BldNew.Thermal.HW.Gas.NG_Biogas</t>
  </si>
  <si>
    <t>EMI_per_sqm.kgCO2.DE.Ser.BldNew.Thermal.HW.Biomass.Biomass_Waste</t>
  </si>
  <si>
    <t>EMI_per_sqm.kgCO2.DE.Ser.BldNew.Thermal.HW.DistrHeat.Steam_Distr</t>
  </si>
  <si>
    <t>EMI_per_sqm.kgCO2.DE.Ser.BldNew.Thermal.HW.Elc.Elec</t>
  </si>
  <si>
    <t>EMI_per_sqm.kgCO2.DE.Ser.BldNew.Thermal.HW.TotalSolar.Solar</t>
  </si>
  <si>
    <t>EMI_per_sqm.kgCO2.DE.Ser.BldNew.Thermal.CA</t>
  </si>
  <si>
    <t>EMI_per_sqm.kgCO2.DE.Ser.BldNew.Thermal.CA.LPG</t>
  </si>
  <si>
    <t>EMI_per_sqm.kgCO2.DE.Ser.BldNew.Thermal.CA.Gas.NG_Biogas</t>
  </si>
  <si>
    <t>EMI_per_sqm.kgCO2.DE.Ser.BldNew.Thermal.CA.Biomass.Biomass_Waste</t>
  </si>
  <si>
    <t>EMI_per_sqm.kgCO2.DE.Ser.BldNew.Thermal.CA.Elc.Elec</t>
  </si>
  <si>
    <t>FEC.ktoe.DE.Ser.SEU.VE</t>
  </si>
  <si>
    <t>FEC.ktoe.DE.Ser.SEU.SL</t>
  </si>
  <si>
    <t>FEC.ktoe.DE.Ser.SEU.BL</t>
  </si>
  <si>
    <t>FEC.ktoe.DE.Ser.SEU.CR</t>
  </si>
  <si>
    <t>FEC.ktoe.DE.Ser.SEU.BT</t>
  </si>
  <si>
    <t>FEC.ktoe.DE.Ser.SEU.IT</t>
  </si>
  <si>
    <t>Size.MW.DE.Ser.SEU</t>
  </si>
  <si>
    <t>Size.MW.DE.Ser.SEU.VE</t>
  </si>
  <si>
    <t>Size.MW.DE.Ser.SEU.SL</t>
  </si>
  <si>
    <t>Size.MW.DE.Ser.SEU.BL</t>
  </si>
  <si>
    <t>Size.MW.DE.Ser.SEU.CR</t>
  </si>
  <si>
    <t>Size.MW.DE.Ser.SEU.BT</t>
  </si>
  <si>
    <t>Size.MW.DE.Ser.SEU.IT</t>
  </si>
  <si>
    <t>NUM.Msqm.DE.Ser.SEU.VE</t>
  </si>
  <si>
    <t>NUM.k.DE.Ser.SEU.SL</t>
  </si>
  <si>
    <t>NUM.M.DE.Ser.SEU.BL</t>
  </si>
  <si>
    <t>NUM.k.DE.Ser.SEU.CR</t>
  </si>
  <si>
    <t>NUM.Msqm.DE.Ser.SEU.BT</t>
  </si>
  <si>
    <t>NUM.k.DE.Ser.SEU.IT</t>
  </si>
  <si>
    <t>NUM.Msqm.DE.Ser.SEUnew.VE</t>
  </si>
  <si>
    <t>NUM.k.DE.Ser.SEUnew.SL</t>
  </si>
  <si>
    <t>NUM.M.DE.Ser.SEUnew.BL</t>
  </si>
  <si>
    <t>NUM.k.DE.Ser.SEUnew.CR</t>
  </si>
  <si>
    <t>NUM.Msqm.DE.Ser.SEUnew.BT</t>
  </si>
  <si>
    <t>NUM.k.DE.Ser.SEUnew.IT</t>
  </si>
  <si>
    <t>NUM.Msqm.DE.Ser.SEUrepl.VE</t>
  </si>
  <si>
    <t>NUM.k.DE.Ser.SEUrepl.SL</t>
  </si>
  <si>
    <t>NUM.M.DE.Ser.SEUrepl.BL</t>
  </si>
  <si>
    <t>NUM.k.DE.Ser.SEUrepl.CR</t>
  </si>
  <si>
    <t>NUM.Msqm.DE.Ser.SEUrepl.BT</t>
  </si>
  <si>
    <t>NUM.k.DE.Ser.SEUrepl.IT</t>
  </si>
  <si>
    <t>Op.hours.DE.Ser.SEU.VE</t>
  </si>
  <si>
    <t>Op.hours.DE.Ser.SEU.SL</t>
  </si>
  <si>
    <t>Op.hours.DE.Ser.SEU.BL</t>
  </si>
  <si>
    <t>Op.hours.DE.Ser.SEU.CR</t>
  </si>
  <si>
    <t>Op.hours.DE.Ser.SEU.BT</t>
  </si>
  <si>
    <t>Op.hours.DE.Ser.SEU.IT</t>
  </si>
  <si>
    <t>Size_per_appl.W.DE.Ser.SEU.VE</t>
  </si>
  <si>
    <t>Size_per_appl.W.DE.Ser.SEU.SL</t>
  </si>
  <si>
    <t>Size_per_appl.W.DE.Ser.SEU.BL</t>
  </si>
  <si>
    <t>Size_per_appl.W.DE.Ser.SEU.CR</t>
  </si>
  <si>
    <t>Size_per_appl.W.DE.Ser.SEU.BT</t>
  </si>
  <si>
    <t>Size_per_appl.W.DE.Ser.SEU.IT</t>
  </si>
  <si>
    <t>Size_per_appl.W.DE.Ser.SEUnew.VE</t>
  </si>
  <si>
    <t>Size_per_appl.W.DE.Ser.SEUnew.SL</t>
  </si>
  <si>
    <t>Size_per_appl.W.DE.Ser.SEUnew.BL</t>
  </si>
  <si>
    <t>Size_per_appl.W.DE.Ser.SEUnew.CR</t>
  </si>
  <si>
    <t>Size_per_appl.W.DE.Ser.SEUnew.BT</t>
  </si>
  <si>
    <t>Size_per_appl.W.DE.Ser.SEUnew.IT</t>
  </si>
  <si>
    <t>NUM.sqm_per_building.DE.Ser.SEU.VE</t>
  </si>
  <si>
    <t>NUM.number_per_capita.DE.Ser.SEU.SL</t>
  </si>
  <si>
    <t>NUM.number_per_building.DE.Ser.SEU.BL</t>
  </si>
  <si>
    <t>NUM.number_per_capita.DE.Ser.SEU.CR</t>
  </si>
  <si>
    <t>NUM.sqm_per_building.DE.Ser.SEU.BT</t>
  </si>
  <si>
    <t>NUM.number_per_capita.DE.Ser.SEU.IT</t>
  </si>
  <si>
    <t>Lumens_per_sqm.lumen.DE.Ser.SEU.BL</t>
  </si>
  <si>
    <t>FEC.ktoe.DE.Ser.SEU.IT.DataCenters</t>
  </si>
  <si>
    <t>DE - Services / specific electric uses</t>
  </si>
  <si>
    <t>DE - Ventilation and others</t>
  </si>
  <si>
    <t>DE - Street lighting</t>
  </si>
  <si>
    <t>DE - Building lighting</t>
  </si>
  <si>
    <t>DE - Commercial refrigeration</t>
  </si>
  <si>
    <t>DE - Miscellaneous building technologies</t>
  </si>
  <si>
    <t>DE - ICT and multimedia</t>
  </si>
  <si>
    <t>DE - Agriculture, forestry and fishing</t>
  </si>
  <si>
    <t>VA.Meuro2015.Meuro2023.DE.AGR.AGR</t>
  </si>
  <si>
    <t>OUTPUT.index.index.DE.AGR.AGR</t>
  </si>
  <si>
    <t>CAP.index.index.DE.AGR.AGR</t>
  </si>
  <si>
    <t>NEWCAP.index.index.DE.AGR.AGR</t>
  </si>
  <si>
    <t>CAPOUT.index.DE.AGR.AGR</t>
  </si>
  <si>
    <t>CAPIDLE.index.DE.AGR.AGR</t>
  </si>
  <si>
    <t>FEC.ktoe.DE.ES.AGR</t>
  </si>
  <si>
    <t>FEC.ktoe.DE.ES.AGR.Solids</t>
  </si>
  <si>
    <t>FEC.ktoe.DE.ES.AGR.LPG</t>
  </si>
  <si>
    <t>FEC.ktoe.DE.ES.AGR.Diesel</t>
  </si>
  <si>
    <t>FEC.ktoe.DE.ES.AGR.RFO</t>
  </si>
  <si>
    <t>FEC.ktoe.DE.ES.AGR.NG</t>
  </si>
  <si>
    <t>FEC.ktoe.DE.ES.AGR.Biomass_Waste</t>
  </si>
  <si>
    <t>FEC.ktoe.DE.ES.AGR.Biogas</t>
  </si>
  <si>
    <t>FEC.ktoe.DE.ES.AGR.LiqBio</t>
  </si>
  <si>
    <t>FEC.ktoe.DE.ES.AGR.Solar</t>
  </si>
  <si>
    <t>FEC.ktoe.DE.ES.AGR.Geo</t>
  </si>
  <si>
    <t>FEC.ktoe.DE.ES.AGR.Ambient</t>
  </si>
  <si>
    <t>FEC.ktoe.DE.ES.AGR.Steam_Distr</t>
  </si>
  <si>
    <t>FEC.ktoe.DE.ES.AGR.Elec</t>
  </si>
  <si>
    <t>DE - Agriculture, forestry and fishing / final energy consumption</t>
  </si>
  <si>
    <t>FEC.ktoe.ktoe.DE.AGR.AGR.LIGHT.GENERIC.ELEC</t>
  </si>
  <si>
    <t>FEC.ktoe.ktoe.DE.AGR.AGR.FANS.GENERIC.ELEC</t>
  </si>
  <si>
    <t>FEC.ktoe.ktoe.DE.AGR.AGR.MOTOR.GENERIC.ELEC</t>
  </si>
  <si>
    <t>FEC.ktoe.ktoe.DE.AGR.AGR.LOW_ENTH.THERM.DIESEL_LIQBIO</t>
  </si>
  <si>
    <t>FEC.ktoe.ktoe.DE.AGR.AGR.LOW_ENTH.THERM.NG_BIOGAS</t>
  </si>
  <si>
    <t>FEC.ktoe.ktoe.DE.AGR.AGR.LOW_ENTH.THERM.SOLAR_GEO</t>
  </si>
  <si>
    <t>FEC.ktoe.ktoe.DE.AGR.AGR.LOW_ENTH.HP.AMBIENT</t>
  </si>
  <si>
    <t>FEC.ktoe.ktoe.DE.AGR.AGR.LOW_ENTH.THERM.STEAM_DISTR</t>
  </si>
  <si>
    <t>FEC.ktoe.ktoe.DE.AGR.AGR.LOW_ENTH.THERM.ELEC</t>
  </si>
  <si>
    <t>FEC.ktoe.ktoe.DE.AGR.AGR.FARM_DRIVES.MECH.DIESEL_LIQBIO</t>
  </si>
  <si>
    <t>FEC.ktoe.ktoe.DE.AGR.AGR.HEAT_USE.THERM.SOLIDS</t>
  </si>
  <si>
    <t>FEC.ktoe.ktoe.DE.AGR.AGR.HEAT_USE.THERM.LPG</t>
  </si>
  <si>
    <t>FEC.ktoe.ktoe.DE.AGR.AGR.HEAT_USE.THERM.DIESEL_LIQBIO</t>
  </si>
  <si>
    <t>FEC.ktoe.ktoe.DE.AGR.AGR.HEAT_USE.THERM.RFO</t>
  </si>
  <si>
    <t>FEC.ktoe.ktoe.DE.AGR.AGR.HEAT_USE.THERM.NG_BIOGAS</t>
  </si>
  <si>
    <t>FEC.ktoe.ktoe.DE.AGR.AGR.HEAT_USE.THERM.BIOMASS_WASTE</t>
  </si>
  <si>
    <t>FEC.ktoe.ktoe.DE.AGR.AGR.HEAT_USE.THERM.SOLAR_GEO</t>
  </si>
  <si>
    <t>FEC.ktoe.ktoe.DE.AGR.AGR.FARM_PUMP.MECH.DIESEL_LIQBIO</t>
  </si>
  <si>
    <t>FEC.ktoe.ktoe.DE.AGR.AGR.FARM_PUMP_ELEC.MECH.ELEC</t>
  </si>
  <si>
    <t>FEC.ktoe.ktoe.DE.AGR.AGR.GENERIC.MECH.ELEC</t>
  </si>
  <si>
    <t>DE - Agriculture, forestry and fishing / useful energy demand</t>
  </si>
  <si>
    <t>UED.ktoe.ktoe.DE.AGR.AGR.LIGHT.GENERIC.ELEC</t>
  </si>
  <si>
    <t>UED.ktoe.ktoe.DE.AGR.AGR.FANS.GENERIC.ELEC</t>
  </si>
  <si>
    <t>UED.ktoe.ktoe.DE.AGR.AGR.MOTOR.GENERIC.ELEC</t>
  </si>
  <si>
    <t>UED.ktoe.ktoe.DE.AGR.AGR.LOW_ENTH.THERM.DIESEL_LIQBIO</t>
  </si>
  <si>
    <t>UED.ktoe.ktoe.DE.AGR.AGR.LOW_ENTH.THERM.NG_BIOGAS</t>
  </si>
  <si>
    <t>UED.ktoe.ktoe.DE.AGR.AGR.LOW_ENTH.THERM.SOLAR_GEO</t>
  </si>
  <si>
    <t>UED.ktoe.ktoe.DE.AGR.AGR.LOW_ENTH.HP.AMBIENT</t>
  </si>
  <si>
    <t>UED.ktoe.ktoe.DE.AGR.AGR.LOW_ENTH.THERM.STEAM_DISTR</t>
  </si>
  <si>
    <t>UED.ktoe.ktoe.DE.AGR.AGR.LOW_ENTH.THERM.ELEC</t>
  </si>
  <si>
    <t>UED.ktoe.ktoe.DE.AGR.AGR.FARM_DRIVES.MECH.DIESEL_LIQBIO</t>
  </si>
  <si>
    <t>UED.ktoe.ktoe.DE.AGR.AGR.HEAT_USE.THERM.SOLIDS</t>
  </si>
  <si>
    <t>UED.ktoe.ktoe.DE.AGR.AGR.HEAT_USE.THERM.LPG</t>
  </si>
  <si>
    <t>UED.ktoe.ktoe.DE.AGR.AGR.HEAT_USE.THERM.DIESEL_LIQBIO</t>
  </si>
  <si>
    <t>UED.ktoe.ktoe.DE.AGR.AGR.HEAT_USE.THERM.RFO</t>
  </si>
  <si>
    <t>UED.ktoe.ktoe.DE.AGR.AGR.HEAT_USE.THERM.NG_BIOGAS</t>
  </si>
  <si>
    <t>UED.ktoe.ktoe.DE.AGR.AGR.HEAT_USE.THERM.BIOMASS_WASTE</t>
  </si>
  <si>
    <t>UED.ktoe.ktoe.DE.AGR.AGR.HEAT_USE.THERM.SOLAR_GEO</t>
  </si>
  <si>
    <t>UED.ktoe.ktoe.DE.AGR.AGR.FARM_PUMP.MECH.DIESEL_LIQBIO</t>
  </si>
  <si>
    <t>UED.ktoe.ktoe.DE.AGR.AGR.FARM_PUMP_ELEC.MECH.ELEC</t>
  </si>
  <si>
    <t>UED.ktoe.ktoe.DE.AGR.AGR.GENERIC.MECH.ELEC</t>
  </si>
  <si>
    <t>DE - Agriculture, forestry and fishing / CO2 emissions</t>
  </si>
  <si>
    <t>FUEL_EMI.ktCO2.ktCO2.DE.AGR.AGR.LIGHT.GENERIC.ELEC</t>
  </si>
  <si>
    <t>FUEL_EMI.ktCO2.ktCO2.DE.AGR.AGR.FANS.GENERIC.ELEC</t>
  </si>
  <si>
    <t>FUEL_EMI.ktCO2.ktCO2.DE.AGR.AGR.MOTOR.GENERIC.ELEC</t>
  </si>
  <si>
    <t>FUEL_EMI.ktCO2.ktCO2.DE.AGR.AGR.LOW_ENTH.THERM.DIESEL_LIQBIO</t>
  </si>
  <si>
    <t>FUEL_EMI.ktCO2.ktCO2.DE.AGR.AGR.LOW_ENTH.THERM.NG_BIOGAS</t>
  </si>
  <si>
    <t>FUEL_EMI.ktCO2.ktCO2.DE.AGR.AGR.LOW_ENTH.THERM.SOLAR_GEO</t>
  </si>
  <si>
    <t>FUEL_EMI.ktCO2.ktCO2.DE.AGR.AGR.LOW_ENTH.HP.AMBIENT</t>
  </si>
  <si>
    <t>FUEL_EMI.ktCO2.ktCO2.DE.AGR.AGR.LOW_ENTH.THERM.STEAM_DISTR</t>
  </si>
  <si>
    <t>FUEL_EMI.ktCO2.ktCO2.DE.AGR.AGR.LOW_ENTH.THERM.ELEC</t>
  </si>
  <si>
    <t>FUEL_EMI.ktCO2.ktCO2.DE.AGR.AGR.FARM_DRIVES.MECH.DIESEL_LIQBIO</t>
  </si>
  <si>
    <t>FUEL_EMI.ktCO2.ktCO2.DE.AGR.AGR.HEAT_USE.THERM.SOLIDS</t>
  </si>
  <si>
    <t>FUEL_EMI.ktCO2.ktCO2.DE.AGR.AGR.HEAT_USE.THERM.LPG</t>
  </si>
  <si>
    <t>FUEL_EMI.ktCO2.ktCO2.DE.AGR.AGR.HEAT_USE.THERM.DIESEL_LIQBIO</t>
  </si>
  <si>
    <t>FUEL_EMI.ktCO2.ktCO2.DE.AGR.AGR.HEAT_USE.THERM.RFO</t>
  </si>
  <si>
    <t>FUEL_EMI.ktCO2.ktCO2.DE.AGR.AGR.HEAT_USE.THERM.NG_BIOGAS</t>
  </si>
  <si>
    <t>FUEL_EMI.ktCO2.ktCO2.DE.AGR.AGR.HEAT_USE.THERM.BIOMASS_WASTE</t>
  </si>
  <si>
    <t>FUEL_EMI.ktCO2.ktCO2.DE.AGR.AGR.HEAT_USE.THERM.SOLAR_GEO</t>
  </si>
  <si>
    <t>FUEL_EMI.ktCO2.ktCO2.DE.AGR.AGR.FARM_PUMP.MECH.DIESEL_LIQBIO</t>
  </si>
  <si>
    <t>FUEL_EMI.ktCO2.ktCO2.DE.AGR.AGR.FARM_PUMP_ELEC.MECH.ELEC</t>
  </si>
  <si>
    <t>FUEL_EMI.ktCO2.ktCO2.DE.AGR.AGR.GENERIC.MECH.ELEC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</si>
</sst>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45967.473229166666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82163475</v>
      </c>
      <c r="C3" s="34">
        <v>82259540</v>
      </c>
      <c r="D3" s="34">
        <v>82440309</v>
      </c>
      <c r="E3" s="34">
        <v>82536680</v>
      </c>
      <c r="F3" s="34">
        <v>82531671</v>
      </c>
      <c r="G3" s="34">
        <v>82500849</v>
      </c>
      <c r="H3" s="34">
        <v>82437995</v>
      </c>
      <c r="I3" s="34">
        <v>82314906</v>
      </c>
      <c r="J3" s="34">
        <v>82217837</v>
      </c>
      <c r="K3" s="34">
        <v>82002356</v>
      </c>
      <c r="L3" s="34">
        <v>81802257</v>
      </c>
      <c r="M3" s="34">
        <v>80222065</v>
      </c>
      <c r="N3" s="34">
        <v>80327900</v>
      </c>
      <c r="O3" s="34">
        <v>80523746</v>
      </c>
      <c r="P3" s="34">
        <v>80767463</v>
      </c>
      <c r="Q3" s="34">
        <v>81197537</v>
      </c>
      <c r="R3" s="34">
        <v>82175684</v>
      </c>
      <c r="S3" s="34">
        <v>82521653</v>
      </c>
      <c r="T3" s="34">
        <v>82792351</v>
      </c>
      <c r="U3" s="34">
        <v>83019213</v>
      </c>
      <c r="V3" s="34">
        <v>83166711</v>
      </c>
      <c r="W3" s="34">
        <v>83155031</v>
      </c>
      <c r="X3" s="34">
        <v>83237124</v>
      </c>
      <c r="Y3" s="34">
        <v>83118501</v>
      </c>
      <c r="DA3" s="88" t="s">
        <v>188</v>
      </c>
    </row>
    <row r="4" spans="1:105" ht="12" customHeight="1" x14ac:dyDescent="0.25">
      <c r="A4" s="35" t="s">
        <v>178</v>
      </c>
      <c r="B4" s="36">
        <v>3295140.0075725191</v>
      </c>
      <c r="C4" s="36">
        <v>3349036.4900239618</v>
      </c>
      <c r="D4" s="36">
        <v>3341396.6773435837</v>
      </c>
      <c r="E4" s="36">
        <v>3323696.754636568</v>
      </c>
      <c r="F4" s="36">
        <v>3362311.3985763066</v>
      </c>
      <c r="G4" s="36">
        <v>3392115.6191857788</v>
      </c>
      <c r="H4" s="36">
        <v>3523280.0453946241</v>
      </c>
      <c r="I4" s="36">
        <v>3625055.031348139</v>
      </c>
      <c r="J4" s="36">
        <v>3657250.8218399137</v>
      </c>
      <c r="K4" s="36">
        <v>3454456.177522168</v>
      </c>
      <c r="L4" s="36">
        <v>3597285.1748661762</v>
      </c>
      <c r="M4" s="36">
        <v>3732492.9757269584</v>
      </c>
      <c r="N4" s="36">
        <v>3749758.2658531689</v>
      </c>
      <c r="O4" s="36">
        <v>3764658.3939123764</v>
      </c>
      <c r="P4" s="36">
        <v>3846758.1883298573</v>
      </c>
      <c r="Q4" s="36">
        <v>3910711.3446</v>
      </c>
      <c r="R4" s="36">
        <v>3997625.705848658</v>
      </c>
      <c r="S4" s="36">
        <v>4109480.7834626134</v>
      </c>
      <c r="T4" s="36">
        <v>4156123.7815270559</v>
      </c>
      <c r="U4" s="36">
        <v>4196766.1433856236</v>
      </c>
      <c r="V4" s="36">
        <v>4023378.6255073585</v>
      </c>
      <c r="W4" s="36">
        <v>4180695.6012224304</v>
      </c>
      <c r="X4" s="36">
        <v>4256330.4107397022</v>
      </c>
      <c r="Y4" s="36">
        <v>4219310</v>
      </c>
      <c r="DA4" s="89" t="s">
        <v>189</v>
      </c>
    </row>
    <row r="5" spans="1:105" ht="12" customHeight="1" x14ac:dyDescent="0.25">
      <c r="A5" s="35" t="s">
        <v>179</v>
      </c>
      <c r="B5" s="36">
        <v>2070229.1222698023</v>
      </c>
      <c r="C5" s="36">
        <v>2129938.9309929362</v>
      </c>
      <c r="D5" s="36">
        <v>2163695.3914605696</v>
      </c>
      <c r="E5" s="36">
        <v>2160041.4470312842</v>
      </c>
      <c r="F5" s="36">
        <v>2186403.0300955256</v>
      </c>
      <c r="G5" s="36">
        <v>2219081.4532802729</v>
      </c>
      <c r="H5" s="36">
        <v>2285040.6868993649</v>
      </c>
      <c r="I5" s="36">
        <v>2345958.01297752</v>
      </c>
      <c r="J5" s="36">
        <v>2383050.6282195849</v>
      </c>
      <c r="K5" s="36">
        <v>2314130.4918979621</v>
      </c>
      <c r="L5" s="36">
        <v>2339567.3826232641</v>
      </c>
      <c r="M5" s="36">
        <v>2410368.3314106646</v>
      </c>
      <c r="N5" s="36">
        <v>2413833.3317185543</v>
      </c>
      <c r="O5" s="36">
        <v>2448180.9908459182</v>
      </c>
      <c r="P5" s="36">
        <v>2500836.3391692713</v>
      </c>
      <c r="Q5" s="36">
        <v>2550491.8337250724</v>
      </c>
      <c r="R5" s="36">
        <v>2595130.2144157672</v>
      </c>
      <c r="S5" s="36">
        <v>2668457.9401095673</v>
      </c>
      <c r="T5" s="36">
        <v>2713665.8158455295</v>
      </c>
      <c r="U5" s="36">
        <v>2744621.3657299783</v>
      </c>
      <c r="V5" s="36">
        <v>2646963.2483605738</v>
      </c>
      <c r="W5" s="36">
        <v>2749795.5649405695</v>
      </c>
      <c r="X5" s="36">
        <v>2802084.0749279689</v>
      </c>
      <c r="Y5" s="36">
        <v>2756245.8724753805</v>
      </c>
      <c r="DA5" s="89" t="s">
        <v>190</v>
      </c>
    </row>
    <row r="6" spans="1:105" ht="12" customHeight="1" x14ac:dyDescent="0.25">
      <c r="A6" s="37" t="s">
        <v>70</v>
      </c>
      <c r="B6" s="38">
        <v>28299000</v>
      </c>
      <c r="C6" s="38">
        <v>28428000</v>
      </c>
      <c r="D6" s="38">
        <v>28571000</v>
      </c>
      <c r="E6" s="38">
        <v>28482000</v>
      </c>
      <c r="F6" s="38">
        <v>28801000</v>
      </c>
      <c r="G6" s="38">
        <v>28985000</v>
      </c>
      <c r="H6" s="38">
        <v>29378000</v>
      </c>
      <c r="I6" s="38">
        <v>29911000</v>
      </c>
      <c r="J6" s="38">
        <v>30333000</v>
      </c>
      <c r="K6" s="38">
        <v>30571000</v>
      </c>
      <c r="L6" s="38">
        <v>30896000</v>
      </c>
      <c r="M6" s="38">
        <v>31184000</v>
      </c>
      <c r="N6" s="38">
        <v>31527000</v>
      </c>
      <c r="O6" s="38">
        <v>31811000</v>
      </c>
      <c r="P6" s="38">
        <v>32138000</v>
      </c>
      <c r="Q6" s="38">
        <v>32501000</v>
      </c>
      <c r="R6" s="38">
        <v>33022000</v>
      </c>
      <c r="S6" s="38">
        <v>33540000</v>
      </c>
      <c r="T6" s="38">
        <v>33962000</v>
      </c>
      <c r="U6" s="38">
        <v>34310000</v>
      </c>
      <c r="V6" s="38">
        <v>34148000</v>
      </c>
      <c r="W6" s="38">
        <v>34326000</v>
      </c>
      <c r="X6" s="38">
        <v>34904000</v>
      </c>
      <c r="Y6" s="38">
        <v>35208743.627955906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3266869.5618509422</v>
      </c>
      <c r="C8" s="34">
        <v>3317895.3644663836</v>
      </c>
      <c r="D8" s="34">
        <v>3342490.0545854373</v>
      </c>
      <c r="E8" s="34">
        <v>3356704.1908271788</v>
      </c>
      <c r="F8" s="34">
        <v>3399692.171674917</v>
      </c>
      <c r="G8" s="34">
        <v>3431996.7096609301</v>
      </c>
      <c r="H8" s="34">
        <v>3517709.1503257928</v>
      </c>
      <c r="I8" s="34">
        <v>3600093.8794843261</v>
      </c>
      <c r="J8" s="34">
        <v>3642383.6887803334</v>
      </c>
      <c r="K8" s="34">
        <v>3624169.1576501075</v>
      </c>
      <c r="L8" s="34">
        <v>3656607.743527316</v>
      </c>
      <c r="M8" s="34">
        <v>3651700.4833033662</v>
      </c>
      <c r="N8" s="34">
        <v>3674664.2812388218</v>
      </c>
      <c r="O8" s="34">
        <v>3691490.8280287813</v>
      </c>
      <c r="P8" s="34">
        <v>3716385.619934197</v>
      </c>
      <c r="Q8" s="34">
        <v>3750616.7853102055</v>
      </c>
      <c r="R8" s="34">
        <v>3798031.9045505179</v>
      </c>
      <c r="S8" s="34">
        <v>3831169.5538928285</v>
      </c>
      <c r="T8" s="34">
        <v>3858590.1722437781</v>
      </c>
      <c r="U8" s="34">
        <v>3879879.0814961642</v>
      </c>
      <c r="V8" s="34">
        <v>3896666.662222222</v>
      </c>
      <c r="W8" s="34">
        <v>3909718.8985883105</v>
      </c>
      <c r="X8" s="34">
        <v>3920584.8304122854</v>
      </c>
      <c r="Y8" s="34">
        <v>3929598.7159912148</v>
      </c>
      <c r="DA8" s="88" t="s">
        <v>192</v>
      </c>
    </row>
    <row r="9" spans="1:105" ht="12" customHeight="1" x14ac:dyDescent="0.25">
      <c r="A9" s="39" t="s">
        <v>68</v>
      </c>
      <c r="B9" s="40">
        <v>2940182.6056658481</v>
      </c>
      <c r="C9" s="40">
        <v>2986105.8280197452</v>
      </c>
      <c r="D9" s="40">
        <v>3008241.0491268937</v>
      </c>
      <c r="E9" s="40">
        <v>3021033.7717444608</v>
      </c>
      <c r="F9" s="40">
        <v>3059722.9545074254</v>
      </c>
      <c r="G9" s="40">
        <v>3088797.0386948371</v>
      </c>
      <c r="H9" s="40">
        <v>3165938.2352932137</v>
      </c>
      <c r="I9" s="40">
        <v>3240084.4915358932</v>
      </c>
      <c r="J9" s="40">
        <v>3278145.3199022999</v>
      </c>
      <c r="K9" s="40">
        <v>3261752.2418850968</v>
      </c>
      <c r="L9" s="40">
        <v>3290946.9691745844</v>
      </c>
      <c r="M9" s="40">
        <v>3286530.4349730294</v>
      </c>
      <c r="N9" s="40">
        <v>3307197.8531149398</v>
      </c>
      <c r="O9" s="40">
        <v>3322341.7452259031</v>
      </c>
      <c r="P9" s="40">
        <v>3344747.0579407774</v>
      </c>
      <c r="Q9" s="40">
        <v>3375555.1067791851</v>
      </c>
      <c r="R9" s="40">
        <v>3418228.7140954663</v>
      </c>
      <c r="S9" s="40">
        <v>3448052.5985035454</v>
      </c>
      <c r="T9" s="40">
        <v>3472731.1550194002</v>
      </c>
      <c r="U9" s="40">
        <v>3491891.1733465479</v>
      </c>
      <c r="V9" s="40">
        <v>3506999.9959999998</v>
      </c>
      <c r="W9" s="40">
        <v>3518747.0087294793</v>
      </c>
      <c r="X9" s="40">
        <v>3528526.3473710571</v>
      </c>
      <c r="Y9" s="40">
        <v>3536638.8443920934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64093.431181147265</v>
      </c>
      <c r="D10" s="41">
        <v>37866.486389342717</v>
      </c>
      <c r="E10" s="41">
        <v>27584.434474766353</v>
      </c>
      <c r="F10" s="41">
        <v>56414.693841241577</v>
      </c>
      <c r="G10" s="41">
        <v>45903.181678112269</v>
      </c>
      <c r="H10" s="41">
        <v>99440.032380908655</v>
      </c>
      <c r="I10" s="41">
        <v>96455.286799383306</v>
      </c>
      <c r="J10" s="41">
        <v>56689.900775834016</v>
      </c>
      <c r="K10" s="41">
        <v>14569.335761257218</v>
      </c>
      <c r="L10" s="41">
        <v>46935.388374995651</v>
      </c>
      <c r="M10" s="41">
        <v>14626.645994122644</v>
      </c>
      <c r="N10" s="41">
        <v>37570.743537030343</v>
      </c>
      <c r="O10" s="41">
        <v>31524.830575164251</v>
      </c>
      <c r="P10" s="41">
        <v>39661.131592148136</v>
      </c>
      <c r="Q10" s="41">
        <v>49096.902497866431</v>
      </c>
      <c r="R10" s="41">
        <v>66748.195453252003</v>
      </c>
      <c r="S10" s="41">
        <v>52715.133386385365</v>
      </c>
      <c r="T10" s="41">
        <v>47168.915020499138</v>
      </c>
      <c r="U10" s="41">
        <v>41178.549315499236</v>
      </c>
      <c r="V10" s="41">
        <v>36786.957434801094</v>
      </c>
      <c r="W10" s="41">
        <v>33138.146996099764</v>
      </c>
      <c r="X10" s="41">
        <v>31019.122022884327</v>
      </c>
      <c r="Y10" s="41">
        <v>29223.085735693123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57684.088063032541</v>
      </c>
      <c r="D11" s="42">
        <v>34079.837750408449</v>
      </c>
      <c r="E11" s="42">
        <v>24825.991027289718</v>
      </c>
      <c r="F11" s="42">
        <v>50773.224457117423</v>
      </c>
      <c r="G11" s="42">
        <v>41312.863510301038</v>
      </c>
      <c r="H11" s="42">
        <v>89496.029142817802</v>
      </c>
      <c r="I11" s="42">
        <v>86809.758119444974</v>
      </c>
      <c r="J11" s="42">
        <v>51020.91069825062</v>
      </c>
      <c r="K11" s="42">
        <v>13112.402185131496</v>
      </c>
      <c r="L11" s="42">
        <v>42241.849537496091</v>
      </c>
      <c r="M11" s="42">
        <v>13163.981394710379</v>
      </c>
      <c r="N11" s="42">
        <v>33813.669183327314</v>
      </c>
      <c r="O11" s="42">
        <v>28372.347517647828</v>
      </c>
      <c r="P11" s="42">
        <v>35695.018432933321</v>
      </c>
      <c r="Q11" s="42">
        <v>44187.212248079784</v>
      </c>
      <c r="R11" s="42">
        <v>60073.375907926806</v>
      </c>
      <c r="S11" s="42">
        <v>47443.62004774683</v>
      </c>
      <c r="T11" s="42">
        <v>42452.023518449219</v>
      </c>
      <c r="U11" s="42">
        <v>37060.694383949318</v>
      </c>
      <c r="V11" s="42">
        <v>33108.261691320986</v>
      </c>
      <c r="W11" s="42">
        <v>29824.332296489789</v>
      </c>
      <c r="X11" s="42">
        <v>27917.209820595897</v>
      </c>
      <c r="Y11" s="42">
        <v>26300.77716212381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2842.27</v>
      </c>
      <c r="C13" s="43">
        <v>3216.74</v>
      </c>
      <c r="D13" s="43">
        <v>3052.98</v>
      </c>
      <c r="E13" s="43">
        <v>3221.84</v>
      </c>
      <c r="F13" s="43">
        <v>3174.13</v>
      </c>
      <c r="G13" s="43">
        <v>3149.06</v>
      </c>
      <c r="H13" s="43">
        <v>3024.04</v>
      </c>
      <c r="I13" s="43">
        <v>2820.38</v>
      </c>
      <c r="J13" s="43">
        <v>2985.84</v>
      </c>
      <c r="K13" s="43">
        <v>3081.38</v>
      </c>
      <c r="L13" s="43">
        <v>3635.4</v>
      </c>
      <c r="M13" s="43">
        <v>2873.02</v>
      </c>
      <c r="N13" s="43">
        <v>3130.93</v>
      </c>
      <c r="O13" s="43">
        <v>3289.06</v>
      </c>
      <c r="P13" s="43">
        <v>2659</v>
      </c>
      <c r="Q13" s="43">
        <v>2908.42</v>
      </c>
      <c r="R13" s="43">
        <v>3009.02</v>
      </c>
      <c r="S13" s="43">
        <v>2965.83</v>
      </c>
      <c r="T13" s="43">
        <v>2774.95</v>
      </c>
      <c r="U13" s="43">
        <v>2800.81</v>
      </c>
      <c r="V13" s="43">
        <v>2741.03</v>
      </c>
      <c r="W13" s="43">
        <v>3114.19</v>
      </c>
      <c r="X13" s="43">
        <v>2736.71</v>
      </c>
      <c r="Y13" s="43">
        <v>2661.88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3016.9585714285708</v>
      </c>
      <c r="C14" s="44">
        <f t="shared" ref="C14:Y14" si="0">AVERAGE($B$13:$V$13)</f>
        <v>3016.9585714285708</v>
      </c>
      <c r="D14" s="44">
        <f t="shared" si="0"/>
        <v>3016.9585714285708</v>
      </c>
      <c r="E14" s="44">
        <f t="shared" si="0"/>
        <v>3016.9585714285708</v>
      </c>
      <c r="F14" s="44">
        <f t="shared" si="0"/>
        <v>3016.9585714285708</v>
      </c>
      <c r="G14" s="44">
        <f t="shared" si="0"/>
        <v>3016.9585714285708</v>
      </c>
      <c r="H14" s="44">
        <f t="shared" si="0"/>
        <v>3016.9585714285708</v>
      </c>
      <c r="I14" s="44">
        <f t="shared" si="0"/>
        <v>3016.9585714285708</v>
      </c>
      <c r="J14" s="44">
        <f t="shared" si="0"/>
        <v>3016.9585714285708</v>
      </c>
      <c r="K14" s="44">
        <f t="shared" si="0"/>
        <v>3016.9585714285708</v>
      </c>
      <c r="L14" s="44">
        <f t="shared" si="0"/>
        <v>3016.9585714285708</v>
      </c>
      <c r="M14" s="44">
        <f t="shared" si="0"/>
        <v>3016.9585714285708</v>
      </c>
      <c r="N14" s="44">
        <f t="shared" si="0"/>
        <v>3016.9585714285708</v>
      </c>
      <c r="O14" s="44">
        <f t="shared" si="0"/>
        <v>3016.9585714285708</v>
      </c>
      <c r="P14" s="44">
        <f t="shared" si="0"/>
        <v>3016.9585714285708</v>
      </c>
      <c r="Q14" s="44">
        <f t="shared" si="0"/>
        <v>3016.9585714285708</v>
      </c>
      <c r="R14" s="44">
        <f t="shared" si="0"/>
        <v>3016.9585714285708</v>
      </c>
      <c r="S14" s="44">
        <f t="shared" si="0"/>
        <v>3016.9585714285708</v>
      </c>
      <c r="T14" s="44">
        <f t="shared" si="0"/>
        <v>3016.9585714285708</v>
      </c>
      <c r="U14" s="44">
        <f t="shared" si="0"/>
        <v>3016.9585714285708</v>
      </c>
      <c r="V14" s="44">
        <f t="shared" si="0"/>
        <v>3016.9585714285708</v>
      </c>
      <c r="W14" s="44">
        <f t="shared" si="0"/>
        <v>3016.9585714285708</v>
      </c>
      <c r="X14" s="44">
        <f t="shared" si="0"/>
        <v>3016.9585714285708</v>
      </c>
      <c r="Y14" s="44">
        <f t="shared" si="0"/>
        <v>3016.9585714285708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0.94209778911685438</v>
      </c>
      <c r="C15" s="46">
        <f t="shared" ref="C15:W15" si="1">C13/C14</f>
        <v>1.0662194802618155</v>
      </c>
      <c r="D15" s="46">
        <f t="shared" si="1"/>
        <v>1.0119396497229236</v>
      </c>
      <c r="E15" s="46">
        <f t="shared" si="1"/>
        <v>1.0679099244224672</v>
      </c>
      <c r="F15" s="46">
        <f t="shared" si="1"/>
        <v>1.0520959850293889</v>
      </c>
      <c r="G15" s="46">
        <f t="shared" si="1"/>
        <v>1.0437862918710472</v>
      </c>
      <c r="H15" s="46">
        <f t="shared" si="1"/>
        <v>1.0023472077603226</v>
      </c>
      <c r="I15" s="46">
        <f t="shared" si="1"/>
        <v>0.93484213761162516</v>
      </c>
      <c r="J15" s="46">
        <f t="shared" si="1"/>
        <v>0.98968544953740101</v>
      </c>
      <c r="K15" s="46">
        <f t="shared" si="1"/>
        <v>1.0213531034802792</v>
      </c>
      <c r="L15" s="46">
        <f t="shared" si="1"/>
        <v>1.2049883728693658</v>
      </c>
      <c r="M15" s="46">
        <f t="shared" si="1"/>
        <v>0.95229017302666708</v>
      </c>
      <c r="N15" s="46">
        <f t="shared" si="1"/>
        <v>1.0377769286097496</v>
      </c>
      <c r="O15" s="46">
        <f t="shared" si="1"/>
        <v>1.0901906413791373</v>
      </c>
      <c r="P15" s="46">
        <f t="shared" si="1"/>
        <v>0.88135118101437082</v>
      </c>
      <c r="Q15" s="46">
        <f t="shared" si="1"/>
        <v>0.964023844259427</v>
      </c>
      <c r="R15" s="46">
        <f t="shared" si="1"/>
        <v>0.99736868397738332</v>
      </c>
      <c r="S15" s="46">
        <f t="shared" si="1"/>
        <v>0.98305294215413741</v>
      </c>
      <c r="T15" s="46">
        <f t="shared" si="1"/>
        <v>0.91978392619624982</v>
      </c>
      <c r="U15" s="46">
        <f t="shared" si="1"/>
        <v>0.92835547246967276</v>
      </c>
      <c r="V15" s="46">
        <f t="shared" si="1"/>
        <v>0.9085408152297183</v>
      </c>
      <c r="W15" s="46">
        <f t="shared" si="1"/>
        <v>1.0322282942471395</v>
      </c>
      <c r="X15" s="46">
        <f t="shared" ref="X15:Y15" si="2">X13/X14</f>
        <v>0.90710890958775436</v>
      </c>
      <c r="Y15" s="46">
        <f t="shared" si="2"/>
        <v>0.88230578477568011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40104.681643181706</v>
      </c>
      <c r="C19" s="34">
        <f t="shared" si="3"/>
        <v>40713.046657250474</v>
      </c>
      <c r="D19" s="34">
        <f t="shared" ref="D19:W19" si="4">D4*1000000/D3</f>
        <v>40531.103265801481</v>
      </c>
      <c r="E19" s="34">
        <f t="shared" si="4"/>
        <v>40269.329401625655</v>
      </c>
      <c r="F19" s="34">
        <f t="shared" si="4"/>
        <v>40739.650098400489</v>
      </c>
      <c r="G19" s="34">
        <f t="shared" si="4"/>
        <v>41116.129837473294</v>
      </c>
      <c r="H19" s="34">
        <f t="shared" si="4"/>
        <v>42738.546047785661</v>
      </c>
      <c r="I19" s="34">
        <f t="shared" si="4"/>
        <v>44038.864982098617</v>
      </c>
      <c r="J19" s="34">
        <f t="shared" si="4"/>
        <v>44482.449980287289</v>
      </c>
      <c r="K19" s="34">
        <f t="shared" si="4"/>
        <v>42126.30399938958</v>
      </c>
      <c r="L19" s="34">
        <f t="shared" si="4"/>
        <v>43975.378024914105</v>
      </c>
      <c r="M19" s="34">
        <f t="shared" si="4"/>
        <v>46527.011935269409</v>
      </c>
      <c r="N19" s="34">
        <f t="shared" si="4"/>
        <v>46680.646025268543</v>
      </c>
      <c r="O19" s="34">
        <f t="shared" si="4"/>
        <v>46752.151767906777</v>
      </c>
      <c r="P19" s="34">
        <f t="shared" si="4"/>
        <v>47627.572359550992</v>
      </c>
      <c r="Q19" s="34">
        <f t="shared" si="4"/>
        <v>48162.930663771243</v>
      </c>
      <c r="R19" s="34">
        <f t="shared" si="4"/>
        <v>48647.306736730759</v>
      </c>
      <c r="S19" s="34">
        <f t="shared" si="4"/>
        <v>49798.818056427124</v>
      </c>
      <c r="T19" s="34">
        <f t="shared" si="4"/>
        <v>50199.36903986524</v>
      </c>
      <c r="U19" s="34">
        <f t="shared" si="4"/>
        <v>50551.745695127509</v>
      </c>
      <c r="V19" s="34">
        <f t="shared" si="4"/>
        <v>48377.272314007445</v>
      </c>
      <c r="W19" s="34">
        <f t="shared" si="4"/>
        <v>50275.918978641595</v>
      </c>
      <c r="X19" s="34">
        <f t="shared" ref="X19:Y19" si="5">X4*1000000/X3</f>
        <v>51135.000901036685</v>
      </c>
      <c r="Y19" s="34">
        <f t="shared" si="5"/>
        <v>50762.585335844786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73155.557520400092</v>
      </c>
      <c r="C20" s="36">
        <f t="shared" si="6"/>
        <v>74923.980969218246</v>
      </c>
      <c r="D20" s="36">
        <f t="shared" ref="D20:W20" si="7">D5*1000000/D6</f>
        <v>75730.474658239807</v>
      </c>
      <c r="E20" s="36">
        <f t="shared" si="7"/>
        <v>75838.826172013345</v>
      </c>
      <c r="F20" s="36">
        <f t="shared" si="7"/>
        <v>75914.135970817879</v>
      </c>
      <c r="G20" s="36">
        <f t="shared" si="7"/>
        <v>76559.649932043234</v>
      </c>
      <c r="H20" s="36">
        <f t="shared" si="7"/>
        <v>77780.675570132909</v>
      </c>
      <c r="I20" s="36">
        <f t="shared" si="7"/>
        <v>78431.27989627629</v>
      </c>
      <c r="J20" s="36">
        <f t="shared" si="7"/>
        <v>78562.97195198579</v>
      </c>
      <c r="K20" s="36">
        <f t="shared" si="7"/>
        <v>75696.918383368611</v>
      </c>
      <c r="L20" s="36">
        <f t="shared" si="7"/>
        <v>75723.957231462453</v>
      </c>
      <c r="M20" s="36">
        <f t="shared" si="7"/>
        <v>77295.033716350197</v>
      </c>
      <c r="N20" s="36">
        <f t="shared" si="7"/>
        <v>76564.003289832661</v>
      </c>
      <c r="O20" s="36">
        <f t="shared" si="7"/>
        <v>76960.202157930209</v>
      </c>
      <c r="P20" s="36">
        <f t="shared" si="7"/>
        <v>77815.556013730515</v>
      </c>
      <c r="Q20" s="36">
        <f t="shared" si="7"/>
        <v>78474.25721439562</v>
      </c>
      <c r="R20" s="36">
        <f t="shared" si="7"/>
        <v>78587.917582695387</v>
      </c>
      <c r="S20" s="36">
        <f t="shared" si="7"/>
        <v>79560.463330637067</v>
      </c>
      <c r="T20" s="36">
        <f t="shared" si="7"/>
        <v>79903.00382325922</v>
      </c>
      <c r="U20" s="36">
        <f t="shared" si="7"/>
        <v>79994.79352171316</v>
      </c>
      <c r="V20" s="36">
        <f t="shared" si="7"/>
        <v>77514.444428973104</v>
      </c>
      <c r="W20" s="36">
        <f t="shared" si="7"/>
        <v>80108.243458036741</v>
      </c>
      <c r="X20" s="36">
        <f t="shared" ref="X20:Y20" si="8">X5*1000000/X6</f>
        <v>80279.740858582649</v>
      </c>
      <c r="Y20" s="36">
        <f t="shared" si="8"/>
        <v>78282.994178949011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25196.465001873428</v>
      </c>
      <c r="C21" s="36">
        <f t="shared" si="9"/>
        <v>25892.910791780945</v>
      </c>
      <c r="D21" s="36">
        <f t="shared" ref="D21:W21" si="10">D5*1000000/D3</f>
        <v>26245.600213125956</v>
      </c>
      <c r="E21" s="36">
        <f t="shared" si="10"/>
        <v>26170.684924948328</v>
      </c>
      <c r="F21" s="36">
        <f t="shared" si="10"/>
        <v>26491.684993213399</v>
      </c>
      <c r="G21" s="36">
        <f t="shared" si="10"/>
        <v>26897.680207876077</v>
      </c>
      <c r="H21" s="36">
        <f t="shared" si="10"/>
        <v>27718.295270273917</v>
      </c>
      <c r="I21" s="36">
        <f t="shared" si="10"/>
        <v>28499.795808277056</v>
      </c>
      <c r="J21" s="36">
        <f t="shared" si="10"/>
        <v>28984.594039120548</v>
      </c>
      <c r="K21" s="36">
        <f t="shared" si="10"/>
        <v>28220.292742539761</v>
      </c>
      <c r="L21" s="36">
        <f t="shared" si="10"/>
        <v>28600.279117277463</v>
      </c>
      <c r="M21" s="36">
        <f t="shared" si="10"/>
        <v>30046.201520874147</v>
      </c>
      <c r="N21" s="36">
        <f t="shared" si="10"/>
        <v>30049.750232715585</v>
      </c>
      <c r="O21" s="36">
        <f t="shared" si="10"/>
        <v>30403.217838945518</v>
      </c>
      <c r="P21" s="36">
        <f t="shared" si="10"/>
        <v>30963.413313716086</v>
      </c>
      <c r="Q21" s="36">
        <f t="shared" si="10"/>
        <v>31410.950725328927</v>
      </c>
      <c r="R21" s="36">
        <f t="shared" si="10"/>
        <v>31580.269102667487</v>
      </c>
      <c r="S21" s="36">
        <f t="shared" si="10"/>
        <v>32336.457682319662</v>
      </c>
      <c r="T21" s="36">
        <f t="shared" si="10"/>
        <v>32776.769629908566</v>
      </c>
      <c r="U21" s="36">
        <f t="shared" si="10"/>
        <v>33060.074488178761</v>
      </c>
      <c r="V21" s="36">
        <f t="shared" si="10"/>
        <v>31827.196441140659</v>
      </c>
      <c r="W21" s="36">
        <f t="shared" si="10"/>
        <v>33068.30064125127</v>
      </c>
      <c r="X21" s="36">
        <f t="shared" ref="X21:Y21" si="11">X5*1000000/X3</f>
        <v>33663.874245919033</v>
      </c>
      <c r="Y21" s="36">
        <f t="shared" si="11"/>
        <v>33160.437680118659</v>
      </c>
      <c r="DA21" s="89"/>
    </row>
    <row r="22" spans="1:105" ht="12" customHeight="1" x14ac:dyDescent="0.25">
      <c r="A22" s="51" t="s">
        <v>148</v>
      </c>
      <c r="B22" s="52">
        <v>1.3747659652097219</v>
      </c>
      <c r="C22" s="52">
        <v>1.3775330661850997</v>
      </c>
      <c r="D22" s="52">
        <v>1.3686799341221885</v>
      </c>
      <c r="E22" s="52">
        <v>1.3498590190132902</v>
      </c>
      <c r="F22" s="52">
        <v>1.3354341389385618</v>
      </c>
      <c r="G22" s="52">
        <v>1.3272623489581585</v>
      </c>
      <c r="H22" s="52">
        <v>1.3271078771471738</v>
      </c>
      <c r="I22" s="52">
        <v>1.3239590938250259</v>
      </c>
      <c r="J22" s="52">
        <v>1.3285874737600114</v>
      </c>
      <c r="K22" s="52">
        <v>1.3234882580216256</v>
      </c>
      <c r="L22" s="52">
        <v>1.3214305284192633</v>
      </c>
      <c r="M22" s="52">
        <v>1.3608918720551408</v>
      </c>
      <c r="N22" s="52">
        <v>1.3653805690806979</v>
      </c>
      <c r="O22" s="52">
        <v>1.3734916423554724</v>
      </c>
      <c r="P22" s="52">
        <v>1.3760527381616914</v>
      </c>
      <c r="Q22" s="52">
        <v>1.3731212736001381</v>
      </c>
      <c r="R22" s="52">
        <v>1.3576733333275062</v>
      </c>
      <c r="S22" s="52">
        <v>1.3537951601028468</v>
      </c>
      <c r="T22" s="52">
        <v>1.3432596897099673</v>
      </c>
      <c r="U22" s="52">
        <v>1.3296679458146068</v>
      </c>
      <c r="V22" s="52">
        <v>1.3525005598780453</v>
      </c>
      <c r="W22" s="52">
        <v>1.3241202718719145</v>
      </c>
      <c r="X22" s="52">
        <v>1.3072793371475029</v>
      </c>
      <c r="Y22" s="52">
        <v>1.2847328312907276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8.6624211540194942</v>
      </c>
      <c r="C23" s="53">
        <f t="shared" si="12"/>
        <v>8.5680821355775549</v>
      </c>
      <c r="D23" s="53">
        <f t="shared" ref="D23:W23" si="13">D6/D8</f>
        <v>8.5478190012276958</v>
      </c>
      <c r="E23" s="53">
        <f t="shared" si="13"/>
        <v>8.4851087199856288</v>
      </c>
      <c r="F23" s="53">
        <f t="shared" si="13"/>
        <v>8.4716493569506586</v>
      </c>
      <c r="G23" s="53">
        <f t="shared" si="13"/>
        <v>8.445520917432237</v>
      </c>
      <c r="H23" s="53">
        <f t="shared" si="13"/>
        <v>8.3514579359919949</v>
      </c>
      <c r="I23" s="53">
        <f t="shared" si="13"/>
        <v>8.3083944478371272</v>
      </c>
      <c r="J23" s="53">
        <f t="shared" si="13"/>
        <v>8.3277882265492806</v>
      </c>
      <c r="K23" s="53">
        <f t="shared" si="13"/>
        <v>8.4353126662062525</v>
      </c>
      <c r="L23" s="53">
        <f t="shared" si="13"/>
        <v>8.4493613116391941</v>
      </c>
      <c r="M23" s="53">
        <f t="shared" si="13"/>
        <v>8.5395831729853793</v>
      </c>
      <c r="N23" s="53">
        <f t="shared" si="13"/>
        <v>8.5795592704788408</v>
      </c>
      <c r="O23" s="53">
        <f t="shared" si="13"/>
        <v>8.6173856260091952</v>
      </c>
      <c r="P23" s="53">
        <f t="shared" si="13"/>
        <v>8.6476494332601153</v>
      </c>
      <c r="Q23" s="53">
        <f t="shared" si="13"/>
        <v>8.6655080645120908</v>
      </c>
      <c r="R23" s="53">
        <f t="shared" si="13"/>
        <v>8.6945030557630414</v>
      </c>
      <c r="S23" s="53">
        <f t="shared" si="13"/>
        <v>8.7545068230979766</v>
      </c>
      <c r="T23" s="53">
        <f t="shared" si="13"/>
        <v>8.8016603173617245</v>
      </c>
      <c r="U23" s="53">
        <f t="shared" si="13"/>
        <v>8.8430590952255486</v>
      </c>
      <c r="V23" s="53">
        <f t="shared" si="13"/>
        <v>8.7633875206882106</v>
      </c>
      <c r="W23" s="53">
        <f t="shared" si="13"/>
        <v>8.7796593285502329</v>
      </c>
      <c r="X23" s="53">
        <f t="shared" ref="X23:Y23" si="14">X6/X8</f>
        <v>8.9027534181244903</v>
      </c>
      <c r="Y23" s="53">
        <f t="shared" si="14"/>
        <v>8.9598827189851455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35.784545452414811</v>
      </c>
      <c r="C24" s="54">
        <f t="shared" si="15"/>
        <v>36.301027552788959</v>
      </c>
      <c r="D24" s="54">
        <f t="shared" ref="D24:W24" si="16">D9*1000/D3</f>
        <v>36.489929327252931</v>
      </c>
      <c r="E24" s="54">
        <f t="shared" si="16"/>
        <v>36.602317560440525</v>
      </c>
      <c r="F24" s="54">
        <f t="shared" si="16"/>
        <v>37.073318853648622</v>
      </c>
      <c r="G24" s="54">
        <f t="shared" si="16"/>
        <v>37.439578818089949</v>
      </c>
      <c r="H24" s="54">
        <f t="shared" si="16"/>
        <v>38.403872332086848</v>
      </c>
      <c r="I24" s="54">
        <f t="shared" si="16"/>
        <v>39.362062705093692</v>
      </c>
      <c r="J24" s="54">
        <f t="shared" si="16"/>
        <v>39.871461467689791</v>
      </c>
      <c r="K24" s="54">
        <f t="shared" si="16"/>
        <v>39.776323522766795</v>
      </c>
      <c r="L24" s="54">
        <f t="shared" si="16"/>
        <v>40.230515512238057</v>
      </c>
      <c r="M24" s="54">
        <f t="shared" si="16"/>
        <v>40.967911197162898</v>
      </c>
      <c r="N24" s="54">
        <f t="shared" si="16"/>
        <v>41.17122261524252</v>
      </c>
      <c r="O24" s="54">
        <f t="shared" si="16"/>
        <v>41.259155345628145</v>
      </c>
      <c r="P24" s="54">
        <f t="shared" si="16"/>
        <v>41.412060422657788</v>
      </c>
      <c r="Q24" s="54">
        <f t="shared" si="16"/>
        <v>41.572136686599066</v>
      </c>
      <c r="R24" s="54">
        <f t="shared" si="16"/>
        <v>41.596595826272235</v>
      </c>
      <c r="S24" s="54">
        <f t="shared" si="16"/>
        <v>41.783610399849181</v>
      </c>
      <c r="T24" s="54">
        <f t="shared" si="16"/>
        <v>41.945072377753839</v>
      </c>
      <c r="U24" s="54">
        <f t="shared" si="16"/>
        <v>42.061241574845425</v>
      </c>
      <c r="V24" s="54">
        <f t="shared" si="16"/>
        <v>42.168314146750376</v>
      </c>
      <c r="W24" s="54">
        <f t="shared" si="16"/>
        <v>42.315503540964094</v>
      </c>
      <c r="X24" s="54">
        <f t="shared" ref="X24:Y24" si="17">X9*1000/X3</f>
        <v>42.391257383797367</v>
      </c>
      <c r="Y24" s="54">
        <f t="shared" si="17"/>
        <v>42.549357866693157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103.89704956591569</v>
      </c>
      <c r="C25" s="54">
        <f t="shared" si="18"/>
        <v>105.04100985013878</v>
      </c>
      <c r="D25" s="54">
        <f t="shared" ref="D25:W25" si="19">D9*1000/D6</f>
        <v>105.29001606968232</v>
      </c>
      <c r="E25" s="54">
        <f t="shared" si="19"/>
        <v>106.06817540005831</v>
      </c>
      <c r="F25" s="54">
        <f t="shared" si="19"/>
        <v>106.23669159082759</v>
      </c>
      <c r="G25" s="54">
        <f t="shared" si="19"/>
        <v>106.56536272881964</v>
      </c>
      <c r="H25" s="54">
        <f t="shared" si="19"/>
        <v>107.7656149259042</v>
      </c>
      <c r="I25" s="54">
        <f t="shared" si="19"/>
        <v>108.32417811293146</v>
      </c>
      <c r="J25" s="54">
        <f t="shared" si="19"/>
        <v>108.07191243537731</v>
      </c>
      <c r="K25" s="54">
        <f t="shared" si="19"/>
        <v>106.69432605688714</v>
      </c>
      <c r="L25" s="54">
        <f t="shared" si="19"/>
        <v>106.51692675992311</v>
      </c>
      <c r="M25" s="54">
        <f t="shared" si="19"/>
        <v>105.39156089574877</v>
      </c>
      <c r="N25" s="54">
        <f t="shared" si="19"/>
        <v>104.90049332682906</v>
      </c>
      <c r="O25" s="54">
        <f t="shared" si="19"/>
        <v>104.44002845637996</v>
      </c>
      <c r="P25" s="54">
        <f t="shared" si="19"/>
        <v>104.07452417514398</v>
      </c>
      <c r="Q25" s="54">
        <f t="shared" si="19"/>
        <v>103.86003836125613</v>
      </c>
      <c r="R25" s="54">
        <f t="shared" si="19"/>
        <v>103.51367918646557</v>
      </c>
      <c r="S25" s="54">
        <f t="shared" si="19"/>
        <v>102.80419196492383</v>
      </c>
      <c r="T25" s="54">
        <f t="shared" si="19"/>
        <v>102.25343486895353</v>
      </c>
      <c r="U25" s="54">
        <f t="shared" si="19"/>
        <v>101.77473545166272</v>
      </c>
      <c r="V25" s="54">
        <f t="shared" si="19"/>
        <v>102.7000115965796</v>
      </c>
      <c r="W25" s="54">
        <f t="shared" si="19"/>
        <v>102.50967222308103</v>
      </c>
      <c r="X25" s="54">
        <f t="shared" ref="X25:Y25" si="20">X9*1000/X6</f>
        <v>101.0923202891089</v>
      </c>
      <c r="Y25" s="54">
        <f t="shared" si="20"/>
        <v>100.44774337201812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900.00000000000011</v>
      </c>
      <c r="C26" s="55">
        <f t="shared" si="21"/>
        <v>900</v>
      </c>
      <c r="D26" s="55">
        <f t="shared" ref="D26:W26" si="22">D9*1000/D8</f>
        <v>900</v>
      </c>
      <c r="E26" s="55">
        <f t="shared" si="22"/>
        <v>899.99999999999989</v>
      </c>
      <c r="F26" s="55">
        <f t="shared" si="22"/>
        <v>900</v>
      </c>
      <c r="G26" s="55">
        <f t="shared" si="22"/>
        <v>900</v>
      </c>
      <c r="H26" s="55">
        <f t="shared" si="22"/>
        <v>900.00000000000011</v>
      </c>
      <c r="I26" s="55">
        <f t="shared" si="22"/>
        <v>899.99999999999989</v>
      </c>
      <c r="J26" s="55">
        <f t="shared" si="22"/>
        <v>900</v>
      </c>
      <c r="K26" s="55">
        <f t="shared" si="22"/>
        <v>899.99999999999989</v>
      </c>
      <c r="L26" s="55">
        <f t="shared" si="22"/>
        <v>900</v>
      </c>
      <c r="M26" s="55">
        <f t="shared" si="22"/>
        <v>900</v>
      </c>
      <c r="N26" s="55">
        <f t="shared" si="22"/>
        <v>900</v>
      </c>
      <c r="O26" s="55">
        <f t="shared" si="22"/>
        <v>900</v>
      </c>
      <c r="P26" s="55">
        <f t="shared" si="22"/>
        <v>900</v>
      </c>
      <c r="Q26" s="55">
        <f t="shared" si="22"/>
        <v>900.00000000000011</v>
      </c>
      <c r="R26" s="55">
        <f t="shared" si="22"/>
        <v>900</v>
      </c>
      <c r="S26" s="55">
        <f t="shared" si="22"/>
        <v>899.99999999999989</v>
      </c>
      <c r="T26" s="55">
        <f t="shared" si="22"/>
        <v>900</v>
      </c>
      <c r="U26" s="55">
        <f t="shared" si="22"/>
        <v>900.00000000000011</v>
      </c>
      <c r="V26" s="55">
        <f t="shared" si="22"/>
        <v>900.00000000000011</v>
      </c>
      <c r="W26" s="55">
        <f t="shared" si="22"/>
        <v>900</v>
      </c>
      <c r="X26" s="55">
        <f t="shared" ref="X26:Y26" si="23">X9*1000/X8</f>
        <v>900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</v>
      </c>
      <c r="D27" s="57">
        <f t="shared" ref="D27:W27" si="25">IF(SUM(D11)=0,"",D11*1000/D10)</f>
        <v>900.00000000000011</v>
      </c>
      <c r="E27" s="57">
        <f t="shared" si="25"/>
        <v>900</v>
      </c>
      <c r="F27" s="57">
        <f t="shared" si="25"/>
        <v>900.00000000000011</v>
      </c>
      <c r="G27" s="57">
        <f t="shared" si="25"/>
        <v>899.99999999999989</v>
      </c>
      <c r="H27" s="57">
        <f t="shared" si="25"/>
        <v>900.00000000000011</v>
      </c>
      <c r="I27" s="57">
        <f t="shared" si="25"/>
        <v>900.00000000000011</v>
      </c>
      <c r="J27" s="57">
        <f t="shared" si="25"/>
        <v>900.00000000000011</v>
      </c>
      <c r="K27" s="57">
        <f t="shared" si="25"/>
        <v>900</v>
      </c>
      <c r="L27" s="57">
        <f t="shared" si="25"/>
        <v>900.00000000000011</v>
      </c>
      <c r="M27" s="57">
        <f t="shared" si="25"/>
        <v>899.99999999999989</v>
      </c>
      <c r="N27" s="57">
        <f t="shared" si="25"/>
        <v>900.00000000000023</v>
      </c>
      <c r="O27" s="57">
        <f t="shared" si="25"/>
        <v>900.00000000000011</v>
      </c>
      <c r="P27" s="57">
        <f t="shared" si="25"/>
        <v>900</v>
      </c>
      <c r="Q27" s="57">
        <f t="shared" si="25"/>
        <v>899.99999999999989</v>
      </c>
      <c r="R27" s="57">
        <f t="shared" si="25"/>
        <v>900</v>
      </c>
      <c r="S27" s="57">
        <f t="shared" si="25"/>
        <v>900</v>
      </c>
      <c r="T27" s="57">
        <f t="shared" si="25"/>
        <v>899.99999999999989</v>
      </c>
      <c r="U27" s="57">
        <f t="shared" si="25"/>
        <v>900.00000000000011</v>
      </c>
      <c r="V27" s="57">
        <f t="shared" si="25"/>
        <v>900</v>
      </c>
      <c r="W27" s="57">
        <f t="shared" si="25"/>
        <v>900.00000000000011</v>
      </c>
      <c r="X27" s="57">
        <f t="shared" ref="X27:Y27" si="26">IF(SUM(X11)=0,"",X11*1000/X10)</f>
        <v>900.00000000000011</v>
      </c>
      <c r="Y27" s="57">
        <f t="shared" si="26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27071.906288802304</v>
      </c>
      <c r="C31" s="80">
        <f t="shared" ref="C31:W31" si="27">SUM(C32:C33,C36:C37,C44:C45)</f>
        <v>28286.16866991877</v>
      </c>
      <c r="D31" s="80">
        <f t="shared" si="27"/>
        <v>28368.823943472875</v>
      </c>
      <c r="E31" s="80">
        <f t="shared" si="27"/>
        <v>31601.058198058126</v>
      </c>
      <c r="F31" s="80">
        <f t="shared" si="27"/>
        <v>31284.569572909844</v>
      </c>
      <c r="G31" s="80">
        <f t="shared" si="27"/>
        <v>30544.380807246456</v>
      </c>
      <c r="H31" s="80">
        <f t="shared" si="27"/>
        <v>33160.808303603408</v>
      </c>
      <c r="I31" s="80">
        <f t="shared" si="27"/>
        <v>28973.226006200319</v>
      </c>
      <c r="J31" s="80">
        <f t="shared" si="27"/>
        <v>31634.062517118808</v>
      </c>
      <c r="K31" s="80">
        <f t="shared" si="27"/>
        <v>30687.729306644374</v>
      </c>
      <c r="L31" s="80">
        <f t="shared" si="27"/>
        <v>32522.910197925521</v>
      </c>
      <c r="M31" s="80">
        <f t="shared" si="27"/>
        <v>28636.388534102902</v>
      </c>
      <c r="N31" s="80">
        <f t="shared" si="27"/>
        <v>29825.526553181218</v>
      </c>
      <c r="O31" s="80">
        <f t="shared" si="27"/>
        <v>31175.063487581232</v>
      </c>
      <c r="P31" s="80">
        <f t="shared" si="27"/>
        <v>28589.262364467049</v>
      </c>
      <c r="Q31" s="80">
        <f t="shared" si="27"/>
        <v>30169.55926598949</v>
      </c>
      <c r="R31" s="80">
        <f t="shared" si="27"/>
        <v>29699.98790136919</v>
      </c>
      <c r="S31" s="80">
        <f t="shared" si="27"/>
        <v>29707.624150807969</v>
      </c>
      <c r="T31" s="80">
        <f t="shared" si="27"/>
        <v>28536.088960736924</v>
      </c>
      <c r="U31" s="80">
        <f t="shared" si="27"/>
        <v>27405.637790457859</v>
      </c>
      <c r="V31" s="80">
        <f t="shared" si="27"/>
        <v>26658.945225576419</v>
      </c>
      <c r="W31" s="80">
        <f t="shared" si="27"/>
        <v>29730.53957767981</v>
      </c>
      <c r="X31" s="80">
        <f t="shared" ref="X31:Y31" si="28">SUM(X32:X33,X36:X37,X44:X45)</f>
        <v>24388.721666338399</v>
      </c>
      <c r="Y31" s="80">
        <f t="shared" si="28"/>
        <v>23437.844881950041</v>
      </c>
      <c r="DA31" s="103" t="s">
        <v>199</v>
      </c>
    </row>
    <row r="32" spans="1:105" ht="12" customHeight="1" x14ac:dyDescent="0.25">
      <c r="A32" s="58" t="s">
        <v>29</v>
      </c>
      <c r="B32" s="59">
        <v>328.50610490111785</v>
      </c>
      <c r="C32" s="59">
        <v>348.67179707652622</v>
      </c>
      <c r="D32" s="59">
        <v>285.01160791057606</v>
      </c>
      <c r="E32" s="59">
        <v>124.96259673258811</v>
      </c>
      <c r="F32" s="59">
        <v>89.736113499570081</v>
      </c>
      <c r="G32" s="59">
        <v>79.928460877042141</v>
      </c>
      <c r="H32" s="59">
        <v>94.616337059329311</v>
      </c>
      <c r="I32" s="59">
        <v>200.72115219260533</v>
      </c>
      <c r="J32" s="59">
        <v>148.57179707652622</v>
      </c>
      <c r="K32" s="59">
        <v>114.54376612209802</v>
      </c>
      <c r="L32" s="59">
        <v>94.700343938091123</v>
      </c>
      <c r="M32" s="59">
        <v>96.638693035253652</v>
      </c>
      <c r="N32" s="59">
        <v>103.06913155631986</v>
      </c>
      <c r="O32" s="59">
        <v>45.677558039552878</v>
      </c>
      <c r="P32" s="59">
        <v>53.350730868443669</v>
      </c>
      <c r="Q32" s="59">
        <v>183.95477214101464</v>
      </c>
      <c r="R32" s="59">
        <v>27.411779879621669</v>
      </c>
      <c r="S32" s="59">
        <v>18.276784178847805</v>
      </c>
      <c r="T32" s="59">
        <v>20.911693895098878</v>
      </c>
      <c r="U32" s="59">
        <v>1.8388650042992263</v>
      </c>
      <c r="V32" s="59">
        <v>1.2568357695614789</v>
      </c>
      <c r="W32" s="59">
        <v>0.79509888220120373</v>
      </c>
      <c r="X32" s="59">
        <v>0.91375752364574381</v>
      </c>
      <c r="Y32" s="59">
        <v>43.00920034393809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6382.6747081696485</v>
      </c>
      <c r="C33" s="55">
        <f t="shared" ref="C33:W33" si="29">SUM(C34:C35)</f>
        <v>7318.5322763421409</v>
      </c>
      <c r="D33" s="55">
        <f t="shared" si="29"/>
        <v>6589.3930089699179</v>
      </c>
      <c r="E33" s="55">
        <f t="shared" si="29"/>
        <v>6904.792398074861</v>
      </c>
      <c r="F33" s="55">
        <f t="shared" si="29"/>
        <v>6381.6406546052485</v>
      </c>
      <c r="G33" s="55">
        <f t="shared" si="29"/>
        <v>6341.3529106536289</v>
      </c>
      <c r="H33" s="55">
        <f t="shared" si="29"/>
        <v>6592.1912963553814</v>
      </c>
      <c r="I33" s="55">
        <f t="shared" si="29"/>
        <v>4630.290508221964</v>
      </c>
      <c r="J33" s="55">
        <f t="shared" si="29"/>
        <v>5947.1724388428556</v>
      </c>
      <c r="K33" s="55">
        <f t="shared" si="29"/>
        <v>5432.2794081704078</v>
      </c>
      <c r="L33" s="55">
        <f t="shared" si="29"/>
        <v>5451.7876888454775</v>
      </c>
      <c r="M33" s="55">
        <f t="shared" si="29"/>
        <v>4960.0413795773948</v>
      </c>
      <c r="N33" s="55">
        <f t="shared" si="29"/>
        <v>5205.8707438020383</v>
      </c>
      <c r="O33" s="55">
        <f t="shared" si="29"/>
        <v>5529.7510635104445</v>
      </c>
      <c r="P33" s="55">
        <f t="shared" si="29"/>
        <v>5070.7324642366511</v>
      </c>
      <c r="Q33" s="55">
        <f t="shared" si="29"/>
        <v>4964.7339948255894</v>
      </c>
      <c r="R33" s="55">
        <f t="shared" si="29"/>
        <v>4965.7509672694741</v>
      </c>
      <c r="S33" s="55">
        <f t="shared" si="29"/>
        <v>4952.1303959012703</v>
      </c>
      <c r="T33" s="55">
        <f t="shared" si="29"/>
        <v>3239.0941530524506</v>
      </c>
      <c r="U33" s="55">
        <f t="shared" si="29"/>
        <v>3344.3947549441095</v>
      </c>
      <c r="V33" s="55">
        <f t="shared" si="29"/>
        <v>2746.7104041272569</v>
      </c>
      <c r="W33" s="55">
        <f t="shared" si="29"/>
        <v>4007.9338779019781</v>
      </c>
      <c r="X33" s="55">
        <f t="shared" ref="X33:Y33" si="30">SUM(X34:X35)</f>
        <v>1851.8266552020632</v>
      </c>
      <c r="Y33" s="55">
        <f t="shared" si="30"/>
        <v>1622.9770421324158</v>
      </c>
      <c r="DA33" s="101"/>
    </row>
    <row r="34" spans="1:105" ht="12" customHeight="1" x14ac:dyDescent="0.25">
      <c r="A34" s="61" t="s">
        <v>52</v>
      </c>
      <c r="B34" s="55">
        <v>102.4988817376753</v>
      </c>
      <c r="C34" s="55">
        <v>105.60489532369346</v>
      </c>
      <c r="D34" s="55">
        <v>93.18080157970482</v>
      </c>
      <c r="E34" s="55">
        <v>172.56615593559727</v>
      </c>
      <c r="F34" s="55">
        <v>171.23400537229435</v>
      </c>
      <c r="G34" s="55">
        <v>256.26383110878305</v>
      </c>
      <c r="H34" s="55">
        <v>197.21679224424233</v>
      </c>
      <c r="I34" s="55">
        <v>184.29405316207502</v>
      </c>
      <c r="J34" s="55">
        <v>201.03109812201455</v>
      </c>
      <c r="K34" s="55">
        <v>187.91092606026328</v>
      </c>
      <c r="L34" s="55">
        <v>167.25583524345666</v>
      </c>
      <c r="M34" s="55">
        <v>167.75964197064471</v>
      </c>
      <c r="N34" s="55">
        <v>175.82015560649214</v>
      </c>
      <c r="O34" s="55">
        <v>212.09250636772168</v>
      </c>
      <c r="P34" s="55">
        <v>182.66652142776022</v>
      </c>
      <c r="Q34" s="55">
        <v>153.41992430580822</v>
      </c>
      <c r="R34" s="55">
        <v>192.81077842646005</v>
      </c>
      <c r="S34" s="55">
        <v>126.34055896892738</v>
      </c>
      <c r="T34" s="55">
        <v>174.89681857265691</v>
      </c>
      <c r="U34" s="55">
        <v>186.21367153912291</v>
      </c>
      <c r="V34" s="55">
        <v>170.7815993121238</v>
      </c>
      <c r="W34" s="55">
        <v>133.7446259673259</v>
      </c>
      <c r="X34" s="55">
        <v>153.29191745485809</v>
      </c>
      <c r="Y34" s="55">
        <v>43.209802235597593</v>
      </c>
      <c r="DA34" s="101" t="s">
        <v>201</v>
      </c>
    </row>
    <row r="35" spans="1:105" ht="12" customHeight="1" x14ac:dyDescent="0.25">
      <c r="A35" s="61" t="s">
        <v>163</v>
      </c>
      <c r="B35" s="55">
        <v>6280.1758264319733</v>
      </c>
      <c r="C35" s="55">
        <v>7212.9273810184477</v>
      </c>
      <c r="D35" s="55">
        <v>6496.2122073902128</v>
      </c>
      <c r="E35" s="55">
        <v>6732.2262421392634</v>
      </c>
      <c r="F35" s="55">
        <v>6210.4066492329539</v>
      </c>
      <c r="G35" s="55">
        <v>6085.0890795448458</v>
      </c>
      <c r="H35" s="55">
        <v>6394.9745041111391</v>
      </c>
      <c r="I35" s="55">
        <v>4445.9964550598888</v>
      </c>
      <c r="J35" s="55">
        <v>5746.1413407208411</v>
      </c>
      <c r="K35" s="55">
        <v>5244.3684821101442</v>
      </c>
      <c r="L35" s="55">
        <v>5284.5318536020204</v>
      </c>
      <c r="M35" s="55">
        <v>4792.2817376067496</v>
      </c>
      <c r="N35" s="55">
        <v>5030.050588195546</v>
      </c>
      <c r="O35" s="55">
        <v>5317.6585571427231</v>
      </c>
      <c r="P35" s="55">
        <v>4888.0659428088911</v>
      </c>
      <c r="Q35" s="55">
        <v>4811.3140705197811</v>
      </c>
      <c r="R35" s="55">
        <v>4772.9401888430139</v>
      </c>
      <c r="S35" s="55">
        <v>4825.789836932343</v>
      </c>
      <c r="T35" s="55">
        <v>3064.1973344797934</v>
      </c>
      <c r="U35" s="55">
        <v>3158.1810834049866</v>
      </c>
      <c r="V35" s="55">
        <v>2575.9288048151329</v>
      </c>
      <c r="W35" s="55">
        <v>3874.189251934652</v>
      </c>
      <c r="X35" s="55">
        <v>1698.5347377472051</v>
      </c>
      <c r="Y35" s="55">
        <v>1579.7672398968182</v>
      </c>
      <c r="DA35" s="101" t="s">
        <v>202</v>
      </c>
    </row>
    <row r="36" spans="1:105" ht="12" customHeight="1" x14ac:dyDescent="0.25">
      <c r="A36" s="60" t="s">
        <v>149</v>
      </c>
      <c r="B36" s="55">
        <v>10021.58211521926</v>
      </c>
      <c r="C36" s="55">
        <v>10321.646603611351</v>
      </c>
      <c r="D36" s="55">
        <v>10321.281169389511</v>
      </c>
      <c r="E36" s="55">
        <v>9515.7171859200607</v>
      </c>
      <c r="F36" s="55">
        <v>9443.8017584955142</v>
      </c>
      <c r="G36" s="55">
        <v>9141.4751997691328</v>
      </c>
      <c r="H36" s="55">
        <v>11257.991337542888</v>
      </c>
      <c r="I36" s="55">
        <v>9188.8583004402008</v>
      </c>
      <c r="J36" s="55">
        <v>9686.4095145265346</v>
      </c>
      <c r="K36" s="55">
        <v>8984.8704116750778</v>
      </c>
      <c r="L36" s="55">
        <v>9101.8255374032669</v>
      </c>
      <c r="M36" s="55">
        <v>8061.842390369733</v>
      </c>
      <c r="N36" s="55">
        <v>8290.4961306964742</v>
      </c>
      <c r="O36" s="55">
        <v>9934.0362854686155</v>
      </c>
      <c r="P36" s="55">
        <v>9085.3778159931207</v>
      </c>
      <c r="Q36" s="55">
        <v>9620.2708512467743</v>
      </c>
      <c r="R36" s="55">
        <v>9552.8475494410995</v>
      </c>
      <c r="S36" s="55">
        <v>9579.4860705073079</v>
      </c>
      <c r="T36" s="55">
        <v>10456.9831900258</v>
      </c>
      <c r="U36" s="55">
        <v>9467.9340498710226</v>
      </c>
      <c r="V36" s="55">
        <v>9945.0066208082535</v>
      </c>
      <c r="W36" s="55">
        <v>10606.533677011053</v>
      </c>
      <c r="X36" s="55">
        <v>9032.701315282553</v>
      </c>
      <c r="Y36" s="55">
        <v>8532.5954084691712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14.09191745485812</v>
      </c>
      <c r="C37" s="55">
        <f t="shared" ref="C37:W37" si="31">SUM(C38:C42)</f>
        <v>13.8530524505589</v>
      </c>
      <c r="D37" s="55">
        <f t="shared" si="31"/>
        <v>15.3816852966466</v>
      </c>
      <c r="E37" s="55">
        <f t="shared" si="31"/>
        <v>726.21100601891669</v>
      </c>
      <c r="F37" s="55">
        <f t="shared" si="31"/>
        <v>989.70103181427316</v>
      </c>
      <c r="G37" s="55">
        <f t="shared" si="31"/>
        <v>1071.9112639724847</v>
      </c>
      <c r="H37" s="55">
        <f t="shared" si="31"/>
        <v>1224.5287188306102</v>
      </c>
      <c r="I37" s="55">
        <f t="shared" si="31"/>
        <v>1311.0950988822008</v>
      </c>
      <c r="J37" s="55">
        <f t="shared" si="31"/>
        <v>1709.3018916595015</v>
      </c>
      <c r="K37" s="55">
        <f t="shared" si="31"/>
        <v>1839.2144453998283</v>
      </c>
      <c r="L37" s="55">
        <f t="shared" si="31"/>
        <v>2250.8903697334476</v>
      </c>
      <c r="M37" s="55">
        <f t="shared" si="31"/>
        <v>1761.9811693895099</v>
      </c>
      <c r="N37" s="55">
        <f t="shared" si="31"/>
        <v>1909.7762682717105</v>
      </c>
      <c r="O37" s="55">
        <f t="shared" si="31"/>
        <v>2001.0575236457435</v>
      </c>
      <c r="P37" s="55">
        <f t="shared" si="31"/>
        <v>1748.4805674978502</v>
      </c>
      <c r="Q37" s="55">
        <f t="shared" si="31"/>
        <v>1921.1443680137572</v>
      </c>
      <c r="R37" s="55">
        <f t="shared" si="31"/>
        <v>1897.0508168529664</v>
      </c>
      <c r="S37" s="55">
        <f t="shared" si="31"/>
        <v>1970.680911435941</v>
      </c>
      <c r="T37" s="55">
        <f t="shared" si="31"/>
        <v>2018.1054170249361</v>
      </c>
      <c r="U37" s="55">
        <f t="shared" si="31"/>
        <v>2053.9712811693903</v>
      </c>
      <c r="V37" s="55">
        <f t="shared" si="31"/>
        <v>2062.6236457437662</v>
      </c>
      <c r="W37" s="55">
        <f t="shared" si="31"/>
        <v>2299.8773290078657</v>
      </c>
      <c r="X37" s="55">
        <f t="shared" ref="X37:Y37" si="32">SUM(X38:X42)</f>
        <v>2147.8352281396296</v>
      </c>
      <c r="Y37" s="55">
        <f t="shared" si="32"/>
        <v>2289.9102665093342</v>
      </c>
      <c r="DA37" s="101"/>
    </row>
    <row r="38" spans="1:105" ht="12" customHeight="1" x14ac:dyDescent="0.25">
      <c r="A38" s="61" t="s">
        <v>164</v>
      </c>
      <c r="B38" s="55">
        <v>0</v>
      </c>
      <c r="C38" s="55">
        <v>0</v>
      </c>
      <c r="D38" s="55">
        <v>0</v>
      </c>
      <c r="E38" s="55">
        <v>509.14789337919194</v>
      </c>
      <c r="F38" s="55">
        <v>745.22304385210634</v>
      </c>
      <c r="G38" s="55">
        <v>780.59621668099726</v>
      </c>
      <c r="H38" s="55">
        <v>904.29449699054157</v>
      </c>
      <c r="I38" s="55">
        <v>932.71719690455677</v>
      </c>
      <c r="J38" s="55">
        <v>1309.3533104041276</v>
      </c>
      <c r="K38" s="55">
        <v>1344.0813413585556</v>
      </c>
      <c r="L38" s="55">
        <v>1737.4367153912292</v>
      </c>
      <c r="M38" s="55">
        <v>1247.8742046431644</v>
      </c>
      <c r="N38" s="55">
        <v>1366.8912295786754</v>
      </c>
      <c r="O38" s="55">
        <v>1459.2767841788475</v>
      </c>
      <c r="P38" s="55">
        <v>1151.2133276010316</v>
      </c>
      <c r="Q38" s="55">
        <v>1321.0566638005155</v>
      </c>
      <c r="R38" s="55">
        <v>1274.2190025795358</v>
      </c>
      <c r="S38" s="55">
        <v>1326.7172828890793</v>
      </c>
      <c r="T38" s="55">
        <v>1481.8000000000006</v>
      </c>
      <c r="U38" s="55">
        <v>1536.615133276011</v>
      </c>
      <c r="V38" s="55">
        <v>1542.610060189166</v>
      </c>
      <c r="W38" s="55">
        <v>1762.0617368873604</v>
      </c>
      <c r="X38" s="55">
        <v>1612.4247635425629</v>
      </c>
      <c r="Y38" s="55">
        <v>1747.6115219260537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164.13490971625109</v>
      </c>
      <c r="F39" s="55">
        <v>173.37824591573511</v>
      </c>
      <c r="G39" s="55">
        <v>185.82209802235599</v>
      </c>
      <c r="H39" s="55">
        <v>175.62338779019771</v>
      </c>
      <c r="I39" s="55">
        <v>195.06543422184001</v>
      </c>
      <c r="J39" s="55">
        <v>202.20696474634559</v>
      </c>
      <c r="K39" s="55">
        <v>224.10911435941529</v>
      </c>
      <c r="L39" s="55">
        <v>256.20997420464317</v>
      </c>
      <c r="M39" s="55">
        <v>281.33654342218398</v>
      </c>
      <c r="N39" s="55">
        <v>312.76870163370592</v>
      </c>
      <c r="O39" s="55">
        <v>317.56947549441099</v>
      </c>
      <c r="P39" s="55">
        <v>347.54462596732583</v>
      </c>
      <c r="Q39" s="55">
        <v>374.58202923473772</v>
      </c>
      <c r="R39" s="55">
        <v>391.58787618228718</v>
      </c>
      <c r="S39" s="55">
        <v>401.04617368873602</v>
      </c>
      <c r="T39" s="55">
        <v>412.4391229578676</v>
      </c>
      <c r="U39" s="55">
        <v>402.57472055030098</v>
      </c>
      <c r="V39" s="55">
        <v>399.89965606190879</v>
      </c>
      <c r="W39" s="55">
        <v>431.70269444208702</v>
      </c>
      <c r="X39" s="55">
        <v>430.47538291176966</v>
      </c>
      <c r="Y39" s="55">
        <v>439.07277725739908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20.798796216681001</v>
      </c>
      <c r="G40" s="55">
        <v>49.397506448839209</v>
      </c>
      <c r="H40" s="55">
        <v>88.123817712811686</v>
      </c>
      <c r="I40" s="55">
        <v>124.98632846087702</v>
      </c>
      <c r="J40" s="55">
        <v>139.6543422184007</v>
      </c>
      <c r="K40" s="55">
        <v>206.51169389509892</v>
      </c>
      <c r="L40" s="55">
        <v>192.39707652622531</v>
      </c>
      <c r="M40" s="55">
        <v>160.47171109200349</v>
      </c>
      <c r="N40" s="55">
        <v>156.76680997420462</v>
      </c>
      <c r="O40" s="55">
        <v>150.02570937231303</v>
      </c>
      <c r="P40" s="55">
        <v>159.10447119518491</v>
      </c>
      <c r="Q40" s="55">
        <v>151.17678417884775</v>
      </c>
      <c r="R40" s="55">
        <v>153.09355116079101</v>
      </c>
      <c r="S40" s="55">
        <v>157.07626827171109</v>
      </c>
      <c r="T40" s="55">
        <v>29.97601031814273</v>
      </c>
      <c r="U40" s="55">
        <v>28.940240756663801</v>
      </c>
      <c r="V40" s="55">
        <v>31.478245915735169</v>
      </c>
      <c r="W40" s="55">
        <v>19.79398108340499</v>
      </c>
      <c r="X40" s="55">
        <v>13.982545141874461</v>
      </c>
      <c r="Y40" s="55">
        <v>15.354600171969039</v>
      </c>
      <c r="DA40" s="101" t="s">
        <v>206</v>
      </c>
    </row>
    <row r="41" spans="1:105" ht="12" customHeight="1" x14ac:dyDescent="0.25">
      <c r="A41" s="61" t="s">
        <v>26</v>
      </c>
      <c r="B41" s="55">
        <v>14.09191745485812</v>
      </c>
      <c r="C41" s="55">
        <v>13.8530524505589</v>
      </c>
      <c r="D41" s="55">
        <v>15.3816852966466</v>
      </c>
      <c r="E41" s="55">
        <v>16.432588134135859</v>
      </c>
      <c r="F41" s="55">
        <v>15.3816852966466</v>
      </c>
      <c r="G41" s="55">
        <v>17.364058469475491</v>
      </c>
      <c r="H41" s="55">
        <v>19.012123817712808</v>
      </c>
      <c r="I41" s="55">
        <v>20.49294926913155</v>
      </c>
      <c r="J41" s="55">
        <v>22.117110920034388</v>
      </c>
      <c r="K41" s="55">
        <v>24.60111779879621</v>
      </c>
      <c r="L41" s="55">
        <v>25.12656921754084</v>
      </c>
      <c r="M41" s="55">
        <v>27.32398968185727</v>
      </c>
      <c r="N41" s="55">
        <v>27.25227858985383</v>
      </c>
      <c r="O41" s="55">
        <v>26.559673258813412</v>
      </c>
      <c r="P41" s="55">
        <v>27.73000859845228</v>
      </c>
      <c r="Q41" s="55">
        <v>28.924247635425619</v>
      </c>
      <c r="R41" s="55">
        <v>28.398796216680999</v>
      </c>
      <c r="S41" s="55">
        <v>28.542046431642309</v>
      </c>
      <c r="T41" s="55">
        <v>31.88589853826311</v>
      </c>
      <c r="U41" s="55">
        <v>30.190111779879619</v>
      </c>
      <c r="V41" s="55">
        <v>31.360447119518479</v>
      </c>
      <c r="W41" s="55">
        <v>29.688564058469471</v>
      </c>
      <c r="X41" s="55">
        <v>33.438435081685299</v>
      </c>
      <c r="Y41" s="55">
        <v>31.121582115219262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36.495614789337921</v>
      </c>
      <c r="F42" s="55">
        <v>34.919260533104037</v>
      </c>
      <c r="G42" s="55">
        <v>38.731384350816853</v>
      </c>
      <c r="H42" s="55">
        <v>37.474892519346518</v>
      </c>
      <c r="I42" s="55">
        <v>37.833190025795354</v>
      </c>
      <c r="J42" s="55">
        <v>35.970163370593291</v>
      </c>
      <c r="K42" s="55">
        <v>39.911177987962162</v>
      </c>
      <c r="L42" s="55">
        <v>39.720034393809122</v>
      </c>
      <c r="M42" s="55">
        <v>44.974720550300937</v>
      </c>
      <c r="N42" s="55">
        <v>46.097248495270847</v>
      </c>
      <c r="O42" s="55">
        <v>47.62588134135855</v>
      </c>
      <c r="P42" s="55">
        <v>62.888134135855537</v>
      </c>
      <c r="Q42" s="55">
        <v>45.404643164230443</v>
      </c>
      <c r="R42" s="55">
        <v>49.751590713671533</v>
      </c>
      <c r="S42" s="55">
        <v>57.29914015477214</v>
      </c>
      <c r="T42" s="55">
        <v>62.004385210662079</v>
      </c>
      <c r="U42" s="55">
        <v>55.651074806534822</v>
      </c>
      <c r="V42" s="55">
        <v>57.275236457437657</v>
      </c>
      <c r="W42" s="55">
        <v>56.63035253654342</v>
      </c>
      <c r="X42" s="55">
        <v>57.514101461736892</v>
      </c>
      <c r="Y42" s="55">
        <v>56.749785038693027</v>
      </c>
      <c r="DA42" s="101" t="s">
        <v>208</v>
      </c>
    </row>
    <row r="43" spans="1:105" ht="12" customHeight="1" x14ac:dyDescent="0.25">
      <c r="A43" s="61" t="s">
        <v>151</v>
      </c>
      <c r="B43" s="309">
        <v>0.81302525368766065</v>
      </c>
      <c r="C43" s="309">
        <v>1.4538194930820498</v>
      </c>
      <c r="D43" s="55">
        <v>5.2760707130500482</v>
      </c>
      <c r="E43" s="55">
        <v>10.98693035253654</v>
      </c>
      <c r="F43" s="55">
        <v>11.321324161650905</v>
      </c>
      <c r="G43" s="55">
        <v>12.181169389509892</v>
      </c>
      <c r="H43" s="55">
        <v>14.641272570937224</v>
      </c>
      <c r="I43" s="55">
        <v>18.319518486672401</v>
      </c>
      <c r="J43" s="55">
        <v>21.663370593293212</v>
      </c>
      <c r="K43" s="55">
        <v>27.347893379191721</v>
      </c>
      <c r="L43" s="55">
        <v>34.011693895098873</v>
      </c>
      <c r="M43" s="55">
        <v>38.621410146173709</v>
      </c>
      <c r="N43" s="55">
        <v>43.278933791917424</v>
      </c>
      <c r="O43" s="55">
        <v>47.960275150472917</v>
      </c>
      <c r="P43" s="55">
        <v>53.47755803955291</v>
      </c>
      <c r="Q43" s="55">
        <v>59.209888220120348</v>
      </c>
      <c r="R43" s="55">
        <v>67.784522785898673</v>
      </c>
      <c r="S43" s="55">
        <v>78.198108340498692</v>
      </c>
      <c r="T43" s="55">
        <v>88.587876182287133</v>
      </c>
      <c r="U43" s="55">
        <v>101.17506448839205</v>
      </c>
      <c r="V43" s="55">
        <v>115.0281169389512</v>
      </c>
      <c r="W43" s="55">
        <v>125.6806534823732</v>
      </c>
      <c r="X43" s="55">
        <v>143.95236457437645</v>
      </c>
      <c r="Y43" s="55">
        <v>172.87661220980183</v>
      </c>
      <c r="DA43" s="101" t="s">
        <v>209</v>
      </c>
    </row>
    <row r="44" spans="1:105" ht="12" customHeight="1" x14ac:dyDescent="0.25">
      <c r="A44" s="60" t="s">
        <v>162</v>
      </c>
      <c r="B44" s="55">
        <v>0</v>
      </c>
      <c r="C44" s="55">
        <v>0</v>
      </c>
      <c r="D44" s="55">
        <v>0</v>
      </c>
      <c r="E44" s="55">
        <v>2627.6392089423898</v>
      </c>
      <c r="F44" s="55">
        <v>2730.510146173689</v>
      </c>
      <c r="G44" s="55">
        <v>2597.1864144453989</v>
      </c>
      <c r="H44" s="55">
        <v>2284.9192605331041</v>
      </c>
      <c r="I44" s="55">
        <v>2183.2903697334482</v>
      </c>
      <c r="J44" s="55">
        <v>2405.7753224419598</v>
      </c>
      <c r="K44" s="55">
        <v>2357.3373172828892</v>
      </c>
      <c r="L44" s="55">
        <v>3254.0842648323301</v>
      </c>
      <c r="M44" s="55">
        <v>2036.3045571797079</v>
      </c>
      <c r="N44" s="55">
        <v>2347.4013757523639</v>
      </c>
      <c r="O44" s="55">
        <v>1450.797764402407</v>
      </c>
      <c r="P44" s="55">
        <v>1325.4992261392949</v>
      </c>
      <c r="Q44" s="55">
        <v>1381.556319862425</v>
      </c>
      <c r="R44" s="55">
        <v>1088.014703353396</v>
      </c>
      <c r="S44" s="55">
        <v>1264.6889939810831</v>
      </c>
      <c r="T44" s="55">
        <v>1338.2774720550301</v>
      </c>
      <c r="U44" s="55">
        <v>1389.9398108340499</v>
      </c>
      <c r="V44" s="55">
        <v>1063.6046431642301</v>
      </c>
      <c r="W44" s="55">
        <v>1723.798624247635</v>
      </c>
      <c r="X44" s="55">
        <v>1501.5077386070509</v>
      </c>
      <c r="Y44" s="55">
        <v>1454.239982803095</v>
      </c>
      <c r="DA44" s="101" t="s">
        <v>210</v>
      </c>
    </row>
    <row r="45" spans="1:105" ht="12" customHeight="1" x14ac:dyDescent="0.25">
      <c r="A45" s="62" t="s">
        <v>24</v>
      </c>
      <c r="B45" s="63">
        <v>10325.051443057417</v>
      </c>
      <c r="C45" s="63">
        <v>10283.464940438194</v>
      </c>
      <c r="D45" s="63">
        <v>11157.756471906221</v>
      </c>
      <c r="E45" s="63">
        <v>11701.73580236931</v>
      </c>
      <c r="F45" s="63">
        <v>11649.179868321547</v>
      </c>
      <c r="G45" s="63">
        <v>11312.52655752877</v>
      </c>
      <c r="H45" s="63">
        <v>11706.561353282095</v>
      </c>
      <c r="I45" s="63">
        <v>11458.970576729898</v>
      </c>
      <c r="J45" s="63">
        <v>11736.83155257143</v>
      </c>
      <c r="K45" s="63">
        <v>11959.483957994076</v>
      </c>
      <c r="L45" s="63">
        <v>12369.621993172905</v>
      </c>
      <c r="M45" s="63">
        <v>11719.580344551303</v>
      </c>
      <c r="N45" s="63">
        <v>11968.912903102311</v>
      </c>
      <c r="O45" s="63">
        <v>12213.743292514469</v>
      </c>
      <c r="P45" s="63">
        <v>11305.821559731688</v>
      </c>
      <c r="Q45" s="63">
        <v>12097.898959899929</v>
      </c>
      <c r="R45" s="63">
        <v>12168.912084572634</v>
      </c>
      <c r="S45" s="63">
        <v>11922.360994803519</v>
      </c>
      <c r="T45" s="63">
        <v>11462.717034683608</v>
      </c>
      <c r="U45" s="63">
        <v>11147.559028634987</v>
      </c>
      <c r="V45" s="63">
        <v>10839.74307596335</v>
      </c>
      <c r="W45" s="63">
        <v>11091.600970629075</v>
      </c>
      <c r="X45" s="63">
        <v>9853.9369715834564</v>
      </c>
      <c r="Y45" s="63">
        <v>9495.1129816920875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27071.906288802304</v>
      </c>
      <c r="C47" s="82">
        <f t="shared" ref="C47:W47" si="34">SUM(C48,C53)</f>
        <v>28286.16866991877</v>
      </c>
      <c r="D47" s="82">
        <f t="shared" si="34"/>
        <v>28368.823943472868</v>
      </c>
      <c r="E47" s="82">
        <f t="shared" si="34"/>
        <v>31601.058198058126</v>
      </c>
      <c r="F47" s="82">
        <f t="shared" si="34"/>
        <v>31284.569572909837</v>
      </c>
      <c r="G47" s="82">
        <f t="shared" si="34"/>
        <v>30544.38080724646</v>
      </c>
      <c r="H47" s="82">
        <f t="shared" si="34"/>
        <v>33160.808303603408</v>
      </c>
      <c r="I47" s="82">
        <f t="shared" si="34"/>
        <v>28973.226006200319</v>
      </c>
      <c r="J47" s="82">
        <f t="shared" si="34"/>
        <v>31634.0625171188</v>
      </c>
      <c r="K47" s="82">
        <f t="shared" si="34"/>
        <v>30687.729306644374</v>
      </c>
      <c r="L47" s="82">
        <f t="shared" si="34"/>
        <v>32522.910197925521</v>
      </c>
      <c r="M47" s="82">
        <f t="shared" si="34"/>
        <v>28636.388534102902</v>
      </c>
      <c r="N47" s="82">
        <f t="shared" si="34"/>
        <v>29825.526553181218</v>
      </c>
      <c r="O47" s="82">
        <f t="shared" si="34"/>
        <v>31175.063487581228</v>
      </c>
      <c r="P47" s="82">
        <f t="shared" si="34"/>
        <v>28589.262364467049</v>
      </c>
      <c r="Q47" s="82">
        <f t="shared" si="34"/>
        <v>30169.55926598949</v>
      </c>
      <c r="R47" s="82">
        <f t="shared" si="34"/>
        <v>29699.98790136919</v>
      </c>
      <c r="S47" s="82">
        <f t="shared" si="34"/>
        <v>29707.624150807962</v>
      </c>
      <c r="T47" s="82">
        <f t="shared" si="34"/>
        <v>28536.088960736928</v>
      </c>
      <c r="U47" s="82">
        <f t="shared" si="34"/>
        <v>27405.637790457855</v>
      </c>
      <c r="V47" s="82">
        <f t="shared" si="34"/>
        <v>26658.945225576423</v>
      </c>
      <c r="W47" s="82">
        <f t="shared" si="34"/>
        <v>29730.539577679829</v>
      </c>
      <c r="X47" s="82">
        <f t="shared" ref="X47:Y47" si="35">SUM(X48,X53)</f>
        <v>24388.721666338402</v>
      </c>
      <c r="Y47" s="82">
        <f t="shared" si="35"/>
        <v>23437.844881950026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20013.968057446575</v>
      </c>
      <c r="C48" s="64">
        <f t="shared" ref="C48:W48" si="37">SUM(C49:C52)</f>
        <v>20972.586070947797</v>
      </c>
      <c r="D48" s="64">
        <f t="shared" si="37"/>
        <v>20847.660256955565</v>
      </c>
      <c r="E48" s="64">
        <f t="shared" si="37"/>
        <v>23888.117054123468</v>
      </c>
      <c r="F48" s="64">
        <f t="shared" si="37"/>
        <v>23338.823819511072</v>
      </c>
      <c r="G48" s="64">
        <f t="shared" si="37"/>
        <v>22407.739822345331</v>
      </c>
      <c r="H48" s="64">
        <f t="shared" si="37"/>
        <v>24795.232681605357</v>
      </c>
      <c r="I48" s="64">
        <f t="shared" si="37"/>
        <v>20393.453062536988</v>
      </c>
      <c r="J48" s="64">
        <f t="shared" si="37"/>
        <v>22901.954694698437</v>
      </c>
      <c r="K48" s="64">
        <f t="shared" si="37"/>
        <v>21910.598597607481</v>
      </c>
      <c r="L48" s="64">
        <f t="shared" si="37"/>
        <v>23611.564944693066</v>
      </c>
      <c r="M48" s="64">
        <f t="shared" si="37"/>
        <v>19750.152867565768</v>
      </c>
      <c r="N48" s="64">
        <f t="shared" si="37"/>
        <v>20911.298716786816</v>
      </c>
      <c r="O48" s="64">
        <f t="shared" si="37"/>
        <v>22205.119712613654</v>
      </c>
      <c r="P48" s="64">
        <f t="shared" si="37"/>
        <v>19523.776758070206</v>
      </c>
      <c r="Q48" s="64">
        <f t="shared" si="37"/>
        <v>20938.344878461307</v>
      </c>
      <c r="R48" s="64">
        <f t="shared" si="37"/>
        <v>20485.827201604705</v>
      </c>
      <c r="S48" s="64">
        <f t="shared" si="37"/>
        <v>20432.271668726848</v>
      </c>
      <c r="T48" s="64">
        <f t="shared" si="37"/>
        <v>19331.594001144735</v>
      </c>
      <c r="U48" s="64">
        <f t="shared" si="37"/>
        <v>18351.221786954666</v>
      </c>
      <c r="V48" s="64">
        <f t="shared" si="37"/>
        <v>17856.430160054188</v>
      </c>
      <c r="W48" s="64">
        <f t="shared" si="37"/>
        <v>20912.019795249907</v>
      </c>
      <c r="X48" s="64">
        <f t="shared" ref="X48:Y48" si="38">SUM(X49:X52)</f>
        <v>15739.935570495427</v>
      </c>
      <c r="Y48" s="64">
        <f t="shared" si="38"/>
        <v>14924.021526822067</v>
      </c>
      <c r="DA48" s="108" t="s">
        <v>213</v>
      </c>
    </row>
    <row r="49" spans="1:105" ht="12" customHeight="1" x14ac:dyDescent="0.25">
      <c r="A49" s="61" t="s">
        <v>32</v>
      </c>
      <c r="B49" s="65">
        <v>14018.004074837476</v>
      </c>
      <c r="C49" s="65">
        <v>15057.070918603702</v>
      </c>
      <c r="D49" s="65">
        <v>14734.189989860697</v>
      </c>
      <c r="E49" s="65">
        <v>17498.943948734093</v>
      </c>
      <c r="F49" s="65">
        <v>17031.539573421927</v>
      </c>
      <c r="G49" s="65">
        <v>16128.491312050828</v>
      </c>
      <c r="H49" s="65">
        <v>18393.897177711591</v>
      </c>
      <c r="I49" s="65">
        <v>13919.955630119897</v>
      </c>
      <c r="J49" s="65">
        <v>16465.886122374974</v>
      </c>
      <c r="K49" s="65">
        <v>15345.841815263193</v>
      </c>
      <c r="L49" s="65">
        <v>16965.262354457962</v>
      </c>
      <c r="M49" s="65">
        <v>13282.303377093654</v>
      </c>
      <c r="N49" s="65">
        <v>14380.148126612983</v>
      </c>
      <c r="O49" s="65">
        <v>15631.811977277626</v>
      </c>
      <c r="P49" s="65">
        <v>12759.344258121404</v>
      </c>
      <c r="Q49" s="65">
        <v>14120.212409835345</v>
      </c>
      <c r="R49" s="65">
        <v>13751.870481519798</v>
      </c>
      <c r="S49" s="65">
        <v>13586.845294672417</v>
      </c>
      <c r="T49" s="65">
        <v>12140.113468783089</v>
      </c>
      <c r="U49" s="65">
        <v>11181.851922209782</v>
      </c>
      <c r="V49" s="65">
        <v>11483.026759021317</v>
      </c>
      <c r="W49" s="65">
        <v>14455.205766932711</v>
      </c>
      <c r="X49" s="65">
        <v>9798.1754336544236</v>
      </c>
      <c r="Y49" s="65">
        <v>9164.3449937130317</v>
      </c>
      <c r="DA49" s="109" t="s">
        <v>214</v>
      </c>
    </row>
    <row r="50" spans="1:105" ht="12" customHeight="1" x14ac:dyDescent="0.25">
      <c r="A50" s="61" t="s">
        <v>31</v>
      </c>
      <c r="B50" s="65">
        <v>364.38908029287927</v>
      </c>
      <c r="C50" s="65">
        <v>374.67237556867929</v>
      </c>
      <c r="D50" s="65">
        <v>385.37542763481451</v>
      </c>
      <c r="E50" s="65">
        <v>469.968669322089</v>
      </c>
      <c r="F50" s="65">
        <v>391.19879751217047</v>
      </c>
      <c r="G50" s="65">
        <v>402.25056313044666</v>
      </c>
      <c r="H50" s="65">
        <v>458.87016813556744</v>
      </c>
      <c r="I50" s="65">
        <v>437.44606719572602</v>
      </c>
      <c r="J50" s="65">
        <v>443.07981883345224</v>
      </c>
      <c r="K50" s="65">
        <v>465.33240224807673</v>
      </c>
      <c r="L50" s="65">
        <v>526.95077893896632</v>
      </c>
      <c r="M50" s="65">
        <v>493.43515568572701</v>
      </c>
      <c r="N50" s="65">
        <v>509.49860696365118</v>
      </c>
      <c r="O50" s="65">
        <v>535.58221810147518</v>
      </c>
      <c r="P50" s="65">
        <v>501.724570341662</v>
      </c>
      <c r="Q50" s="65">
        <v>560.91109513384492</v>
      </c>
      <c r="R50" s="65">
        <v>505.09327846227319</v>
      </c>
      <c r="S50" s="65">
        <v>487.0854284711948</v>
      </c>
      <c r="T50" s="65">
        <v>588.15216383879965</v>
      </c>
      <c r="U50" s="65">
        <v>560.84356935132098</v>
      </c>
      <c r="V50" s="65">
        <v>477.45680077554783</v>
      </c>
      <c r="W50" s="65">
        <v>456.70962048771298</v>
      </c>
      <c r="X50" s="65">
        <v>510.93757662422087</v>
      </c>
      <c r="Y50" s="65">
        <v>490.25035584735173</v>
      </c>
      <c r="DA50" s="109" t="s">
        <v>215</v>
      </c>
    </row>
    <row r="51" spans="1:105" ht="12" customHeight="1" x14ac:dyDescent="0.25">
      <c r="A51" s="61" t="s">
        <v>35</v>
      </c>
      <c r="B51" s="65">
        <v>2717.8930424590585</v>
      </c>
      <c r="C51" s="65">
        <v>2652.9873446454799</v>
      </c>
      <c r="D51" s="65">
        <v>2682.0048292652441</v>
      </c>
      <c r="E51" s="65">
        <v>2736.7688011299169</v>
      </c>
      <c r="F51" s="65">
        <v>2709.8072200010843</v>
      </c>
      <c r="G51" s="65">
        <v>2723.1121344747121</v>
      </c>
      <c r="H51" s="65">
        <v>2793.5923081943602</v>
      </c>
      <c r="I51" s="65">
        <v>2820.6284571640672</v>
      </c>
      <c r="J51" s="65">
        <v>2828.913891083092</v>
      </c>
      <c r="K51" s="65">
        <v>2858.041703748519</v>
      </c>
      <c r="L51" s="65">
        <v>2830.6854494433642</v>
      </c>
      <c r="M51" s="65">
        <v>2776.1252250697798</v>
      </c>
      <c r="N51" s="65">
        <v>2793.8139107085558</v>
      </c>
      <c r="O51" s="65">
        <v>2742.8447550562219</v>
      </c>
      <c r="P51" s="65">
        <v>2822.6811565359872</v>
      </c>
      <c r="Q51" s="65">
        <v>2826.3221568426093</v>
      </c>
      <c r="R51" s="65">
        <v>2793.1502971553628</v>
      </c>
      <c r="S51" s="65">
        <v>2804.5982314252951</v>
      </c>
      <c r="T51" s="65">
        <v>2956.4912092649838</v>
      </c>
      <c r="U51" s="65">
        <v>2876.0392587003689</v>
      </c>
      <c r="V51" s="65">
        <v>2516.7056289330635</v>
      </c>
      <c r="W51" s="65">
        <v>2541.7369514722836</v>
      </c>
      <c r="X51" s="65">
        <v>2352.2124016818839</v>
      </c>
      <c r="Y51" s="65">
        <v>2272.1161103755353</v>
      </c>
      <c r="DA51" s="109" t="s">
        <v>216</v>
      </c>
    </row>
    <row r="52" spans="1:105" ht="12" customHeight="1" x14ac:dyDescent="0.25">
      <c r="A52" s="66" t="s">
        <v>34</v>
      </c>
      <c r="B52" s="67">
        <v>2913.6818598571599</v>
      </c>
      <c r="C52" s="67">
        <v>2887.8554321299348</v>
      </c>
      <c r="D52" s="67">
        <v>3046.0900101948109</v>
      </c>
      <c r="E52" s="67">
        <v>3182.4356349373652</v>
      </c>
      <c r="F52" s="67">
        <v>3206.2782285758904</v>
      </c>
      <c r="G52" s="67">
        <v>3153.8858126893419</v>
      </c>
      <c r="H52" s="67">
        <v>3148.8730275638418</v>
      </c>
      <c r="I52" s="67">
        <v>3215.4229080572977</v>
      </c>
      <c r="J52" s="67">
        <v>3164.0748624069211</v>
      </c>
      <c r="K52" s="67">
        <v>3241.3826763476891</v>
      </c>
      <c r="L52" s="67">
        <v>3288.6663618527718</v>
      </c>
      <c r="M52" s="67">
        <v>3198.289109716608</v>
      </c>
      <c r="N52" s="67">
        <v>3227.8380725016259</v>
      </c>
      <c r="O52" s="67">
        <v>3294.880762178329</v>
      </c>
      <c r="P52" s="67">
        <v>3440.0267730711512</v>
      </c>
      <c r="Q52" s="67">
        <v>3430.8992166495073</v>
      </c>
      <c r="R52" s="67">
        <v>3435.7131444672723</v>
      </c>
      <c r="S52" s="67">
        <v>3553.742714157941</v>
      </c>
      <c r="T52" s="67">
        <v>3646.8371592578624</v>
      </c>
      <c r="U52" s="67">
        <v>3732.4870366931955</v>
      </c>
      <c r="V52" s="67">
        <v>3379.24097132426</v>
      </c>
      <c r="W52" s="67">
        <v>3458.3674563572004</v>
      </c>
      <c r="X52" s="67">
        <v>3078.6101585348993</v>
      </c>
      <c r="Y52" s="67">
        <v>2997.3100668861507</v>
      </c>
      <c r="DA52" s="110" t="s">
        <v>217</v>
      </c>
    </row>
    <row r="53" spans="1:105" ht="12" customHeight="1" x14ac:dyDescent="0.25">
      <c r="A53" s="78" t="s">
        <v>33</v>
      </c>
      <c r="B53" s="68">
        <v>7057.9382313557289</v>
      </c>
      <c r="C53" s="68">
        <v>7313.5825989709756</v>
      </c>
      <c r="D53" s="68">
        <v>7521.1636865173041</v>
      </c>
      <c r="E53" s="68">
        <v>7712.9411439346586</v>
      </c>
      <c r="F53" s="68">
        <v>7945.7457533987663</v>
      </c>
      <c r="G53" s="68">
        <v>8136.640984901127</v>
      </c>
      <c r="H53" s="68">
        <v>8365.575621998054</v>
      </c>
      <c r="I53" s="68">
        <v>8579.772943663329</v>
      </c>
      <c r="J53" s="68">
        <v>8732.1078224203648</v>
      </c>
      <c r="K53" s="68">
        <v>8777.1307090368937</v>
      </c>
      <c r="L53" s="68">
        <v>8911.3452532324536</v>
      </c>
      <c r="M53" s="68">
        <v>8886.2356665371335</v>
      </c>
      <c r="N53" s="68">
        <v>8914.2278363944042</v>
      </c>
      <c r="O53" s="68">
        <v>8969.9437749675744</v>
      </c>
      <c r="P53" s="68">
        <v>9065.4856063968437</v>
      </c>
      <c r="Q53" s="68">
        <v>9231.2143875281854</v>
      </c>
      <c r="R53" s="68">
        <v>9214.1606997644849</v>
      </c>
      <c r="S53" s="68">
        <v>9275.3524820811126</v>
      </c>
      <c r="T53" s="68">
        <v>9204.4949595921935</v>
      </c>
      <c r="U53" s="68">
        <v>9054.416003503191</v>
      </c>
      <c r="V53" s="68">
        <v>8802.5150655222351</v>
      </c>
      <c r="W53" s="68">
        <v>8818.5197824299212</v>
      </c>
      <c r="X53" s="68">
        <v>8648.7860958429737</v>
      </c>
      <c r="Y53" s="68">
        <v>8513.8233551279591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0.73928920423771227</v>
      </c>
      <c r="C56" s="70">
        <f t="shared" ref="C56:W56" si="43">IF(C48=0,0,C48/C$47)</f>
        <v>0.74144315250623949</v>
      </c>
      <c r="D56" s="70">
        <f t="shared" si="43"/>
        <v>0.73487925683828781</v>
      </c>
      <c r="E56" s="70">
        <f t="shared" si="43"/>
        <v>0.75592775736830808</v>
      </c>
      <c r="F56" s="70">
        <f t="shared" si="43"/>
        <v>0.74601709846507835</v>
      </c>
      <c r="G56" s="70">
        <f t="shared" si="43"/>
        <v>0.73361250842672954</v>
      </c>
      <c r="H56" s="70">
        <f t="shared" si="43"/>
        <v>0.74772702928688839</v>
      </c>
      <c r="I56" s="70">
        <f t="shared" si="43"/>
        <v>0.70387236333892389</v>
      </c>
      <c r="J56" s="70">
        <f t="shared" si="43"/>
        <v>0.72396501974114214</v>
      </c>
      <c r="K56" s="70">
        <f t="shared" si="43"/>
        <v>0.71398565787216761</v>
      </c>
      <c r="L56" s="70">
        <f t="shared" si="43"/>
        <v>0.72599791350157628</v>
      </c>
      <c r="M56" s="70">
        <f t="shared" si="43"/>
        <v>0.6896872782699337</v>
      </c>
      <c r="N56" s="70">
        <f t="shared" si="43"/>
        <v>0.7011208563074437</v>
      </c>
      <c r="O56" s="70">
        <f t="shared" si="43"/>
        <v>0.71227183615710021</v>
      </c>
      <c r="P56" s="70">
        <f t="shared" si="43"/>
        <v>0.68290592842772568</v>
      </c>
      <c r="Q56" s="70">
        <f t="shared" si="43"/>
        <v>0.69402223260401941</v>
      </c>
      <c r="R56" s="70">
        <f t="shared" si="43"/>
        <v>0.68975877261755703</v>
      </c>
      <c r="S56" s="70">
        <f t="shared" si="43"/>
        <v>0.68777871852034822</v>
      </c>
      <c r="T56" s="70">
        <f t="shared" si="43"/>
        <v>0.67744371093541433</v>
      </c>
      <c r="U56" s="70">
        <f t="shared" si="43"/>
        <v>0.66961484083191913</v>
      </c>
      <c r="V56" s="70">
        <f t="shared" si="43"/>
        <v>0.66981007721651498</v>
      </c>
      <c r="W56" s="70">
        <f t="shared" si="43"/>
        <v>0.70338514175334999</v>
      </c>
      <c r="X56" s="70">
        <f t="shared" ref="X56:Y56" si="44">IF(X48=0,0,X48/X$47)</f>
        <v>0.64537763749298382</v>
      </c>
      <c r="Y56" s="70">
        <f t="shared" si="44"/>
        <v>0.63674888207470681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0.51780631645565767</v>
      </c>
      <c r="C57" s="71">
        <f t="shared" ref="C57:W57" si="46">IF(C49=0,0,C49/C$47)</f>
        <v>0.53231213793249799</v>
      </c>
      <c r="D57" s="71">
        <f t="shared" si="46"/>
        <v>0.51937965490637683</v>
      </c>
      <c r="E57" s="71">
        <f t="shared" si="46"/>
        <v>0.55374550557960101</v>
      </c>
      <c r="F57" s="71">
        <f t="shared" si="46"/>
        <v>0.54440702895813542</v>
      </c>
      <c r="G57" s="71">
        <f t="shared" si="46"/>
        <v>0.52803464617048146</v>
      </c>
      <c r="H57" s="71">
        <f t="shared" si="46"/>
        <v>0.55468784142130889</v>
      </c>
      <c r="I57" s="71">
        <f t="shared" si="46"/>
        <v>0.48044203386744033</v>
      </c>
      <c r="J57" s="71">
        <f t="shared" si="46"/>
        <v>0.52051127209679271</v>
      </c>
      <c r="K57" s="71">
        <f t="shared" si="46"/>
        <v>0.50006442842092513</v>
      </c>
      <c r="L57" s="71">
        <f t="shared" si="46"/>
        <v>0.52164035294541677</v>
      </c>
      <c r="M57" s="71">
        <f t="shared" si="46"/>
        <v>0.46382606386541514</v>
      </c>
      <c r="N57" s="71">
        <f t="shared" si="46"/>
        <v>0.48214230521536872</v>
      </c>
      <c r="O57" s="71">
        <f t="shared" si="46"/>
        <v>0.5014203734823075</v>
      </c>
      <c r="P57" s="71">
        <f t="shared" si="46"/>
        <v>0.44629847722058424</v>
      </c>
      <c r="Q57" s="71">
        <f t="shared" si="46"/>
        <v>0.46802846158091649</v>
      </c>
      <c r="R57" s="71">
        <f t="shared" si="46"/>
        <v>0.46302613075764343</v>
      </c>
      <c r="S57" s="71">
        <f t="shared" si="46"/>
        <v>0.4573521337721278</v>
      </c>
      <c r="T57" s="71">
        <f t="shared" si="46"/>
        <v>0.42543018020047474</v>
      </c>
      <c r="U57" s="71">
        <f t="shared" si="46"/>
        <v>0.40801283326101245</v>
      </c>
      <c r="V57" s="71">
        <f t="shared" si="46"/>
        <v>0.43073822545704377</v>
      </c>
      <c r="W57" s="71">
        <f t="shared" si="46"/>
        <v>0.48620731316242044</v>
      </c>
      <c r="X57" s="71">
        <f t="shared" ref="X57:Y57" si="47">IF(X49=0,0,X49/X$47)</f>
        <v>0.4017502666889663</v>
      </c>
      <c r="Y57" s="71">
        <f t="shared" si="47"/>
        <v>0.39100629942178194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1.3460045125954088E-2</v>
      </c>
      <c r="C58" s="72">
        <f t="shared" ref="C58:W58" si="49">IF(C50=0,0,C50/C$47)</f>
        <v>1.3245780294279608E-2</v>
      </c>
      <c r="D58" s="72">
        <f t="shared" si="49"/>
        <v>1.3584469641840128E-2</v>
      </c>
      <c r="E58" s="72">
        <f t="shared" si="49"/>
        <v>1.4871928223940564E-2</v>
      </c>
      <c r="F58" s="72">
        <f t="shared" si="49"/>
        <v>1.2504528681478813E-2</v>
      </c>
      <c r="G58" s="72">
        <f t="shared" si="49"/>
        <v>1.3169380177286661E-2</v>
      </c>
      <c r="H58" s="72">
        <f t="shared" si="49"/>
        <v>1.3837725665019585E-2</v>
      </c>
      <c r="I58" s="72">
        <f t="shared" si="49"/>
        <v>1.5098286504309593E-2</v>
      </c>
      <c r="J58" s="72">
        <f t="shared" si="49"/>
        <v>1.4006415350342031E-2</v>
      </c>
      <c r="K58" s="72">
        <f t="shared" si="49"/>
        <v>1.5163468029787561E-2</v>
      </c>
      <c r="L58" s="72">
        <f t="shared" si="49"/>
        <v>1.6202448542645423E-2</v>
      </c>
      <c r="M58" s="72">
        <f t="shared" si="49"/>
        <v>1.7231053947256585E-2</v>
      </c>
      <c r="N58" s="72">
        <f t="shared" si="49"/>
        <v>1.7082635776946832E-2</v>
      </c>
      <c r="O58" s="72">
        <f t="shared" si="49"/>
        <v>1.7179827663056004E-2</v>
      </c>
      <c r="P58" s="72">
        <f t="shared" si="49"/>
        <v>1.754940592539541E-2</v>
      </c>
      <c r="Q58" s="72">
        <f t="shared" si="49"/>
        <v>1.8591955228400264E-2</v>
      </c>
      <c r="R58" s="72">
        <f t="shared" si="49"/>
        <v>1.7006514620128449E-2</v>
      </c>
      <c r="S58" s="72">
        <f t="shared" si="49"/>
        <v>1.6395973841548263E-2</v>
      </c>
      <c r="T58" s="72">
        <f t="shared" si="49"/>
        <v>2.0610818975510054E-2</v>
      </c>
      <c r="U58" s="72">
        <f t="shared" si="49"/>
        <v>2.0464532649796478E-2</v>
      </c>
      <c r="V58" s="72">
        <f t="shared" si="49"/>
        <v>1.7909815888645091E-2</v>
      </c>
      <c r="W58" s="72">
        <f t="shared" si="49"/>
        <v>1.5361632414858264E-2</v>
      </c>
      <c r="X58" s="72">
        <f t="shared" ref="X58:Y58" si="50">IF(X50=0,0,X50/X$47)</f>
        <v>2.0949748150573339E-2</v>
      </c>
      <c r="Y58" s="72">
        <f t="shared" si="50"/>
        <v>2.0917040722669162E-2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0.10039533283931523</v>
      </c>
      <c r="C59" s="72">
        <f t="shared" ref="C59:W59" si="52">IF(C51=0,0,C51/C$47)</f>
        <v>9.3790975214922898E-2</v>
      </c>
      <c r="D59" s="72">
        <f t="shared" si="52"/>
        <v>9.4540571530541823E-2</v>
      </c>
      <c r="E59" s="72">
        <f t="shared" si="52"/>
        <v>8.6603707508063454E-2</v>
      </c>
      <c r="F59" s="72">
        <f t="shared" si="52"/>
        <v>8.6618011914333007E-2</v>
      </c>
      <c r="G59" s="72">
        <f t="shared" si="52"/>
        <v>8.9152638308800519E-2</v>
      </c>
      <c r="H59" s="72">
        <f t="shared" si="52"/>
        <v>8.4243794138479891E-2</v>
      </c>
      <c r="I59" s="72">
        <f t="shared" si="52"/>
        <v>9.7352930480038638E-2</v>
      </c>
      <c r="J59" s="72">
        <f t="shared" si="52"/>
        <v>8.9426196510556388E-2</v>
      </c>
      <c r="K59" s="72">
        <f t="shared" si="52"/>
        <v>9.3133045954289881E-2</v>
      </c>
      <c r="L59" s="72">
        <f t="shared" si="52"/>
        <v>8.7036659149399245E-2</v>
      </c>
      <c r="M59" s="72">
        <f t="shared" si="52"/>
        <v>9.6943971191189457E-2</v>
      </c>
      <c r="N59" s="72">
        <f t="shared" si="52"/>
        <v>9.3671905698864022E-2</v>
      </c>
      <c r="O59" s="72">
        <f t="shared" si="52"/>
        <v>8.7982010241898959E-2</v>
      </c>
      <c r="P59" s="72">
        <f t="shared" si="52"/>
        <v>9.8732213533575947E-2</v>
      </c>
      <c r="Q59" s="72">
        <f t="shared" si="52"/>
        <v>9.3681254403631828E-2</v>
      </c>
      <c r="R59" s="72">
        <f t="shared" si="52"/>
        <v>9.4045502861184557E-2</v>
      </c>
      <c r="S59" s="72">
        <f t="shared" si="52"/>
        <v>9.4406682176535417E-2</v>
      </c>
      <c r="T59" s="72">
        <f t="shared" si="52"/>
        <v>0.10360534035805845</v>
      </c>
      <c r="U59" s="72">
        <f t="shared" si="52"/>
        <v>0.10494334343504144</v>
      </c>
      <c r="V59" s="72">
        <f t="shared" si="52"/>
        <v>9.4403796085621272E-2</v>
      </c>
      <c r="W59" s="72">
        <f t="shared" si="52"/>
        <v>8.5492459524027273E-2</v>
      </c>
      <c r="X59" s="72">
        <f t="shared" ref="X59:Y59" si="53">IF(X51=0,0,X51/X$47)</f>
        <v>9.6446727871286289E-2</v>
      </c>
      <c r="Y59" s="72">
        <f t="shared" si="53"/>
        <v>9.6942194208535754E-2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0.10762750981678523</v>
      </c>
      <c r="C60" s="73">
        <f t="shared" ref="C60:W60" si="55">IF(C52=0,0,C52/C$47)</f>
        <v>0.10209425906453905</v>
      </c>
      <c r="D60" s="73">
        <f t="shared" si="55"/>
        <v>0.10737456075952909</v>
      </c>
      <c r="E60" s="73">
        <f t="shared" si="55"/>
        <v>0.10070661605670296</v>
      </c>
      <c r="F60" s="73">
        <f t="shared" si="55"/>
        <v>0.10248752891113114</v>
      </c>
      <c r="G60" s="73">
        <f t="shared" si="55"/>
        <v>0.10325584377016091</v>
      </c>
      <c r="H60" s="73">
        <f t="shared" si="55"/>
        <v>9.49576680620801E-2</v>
      </c>
      <c r="I60" s="73">
        <f t="shared" si="55"/>
        <v>0.11097911248713525</v>
      </c>
      <c r="J60" s="73">
        <f t="shared" si="55"/>
        <v>0.10002113578345112</v>
      </c>
      <c r="K60" s="73">
        <f t="shared" si="55"/>
        <v>0.10562471546716488</v>
      </c>
      <c r="L60" s="73">
        <f t="shared" si="55"/>
        <v>0.10111845286411485</v>
      </c>
      <c r="M60" s="73">
        <f t="shared" si="55"/>
        <v>0.1116861892660726</v>
      </c>
      <c r="N60" s="73">
        <f t="shared" si="55"/>
        <v>0.10822400961626415</v>
      </c>
      <c r="O60" s="73">
        <f t="shared" si="55"/>
        <v>0.10568962476983773</v>
      </c>
      <c r="P60" s="73">
        <f t="shared" si="55"/>
        <v>0.12032583174817001</v>
      </c>
      <c r="Q60" s="73">
        <f t="shared" si="55"/>
        <v>0.11372056139107081</v>
      </c>
      <c r="R60" s="73">
        <f t="shared" si="55"/>
        <v>0.11568062437860062</v>
      </c>
      <c r="S60" s="73">
        <f t="shared" si="55"/>
        <v>0.11962392873013675</v>
      </c>
      <c r="T60" s="73">
        <f t="shared" si="55"/>
        <v>0.12779737140137107</v>
      </c>
      <c r="U60" s="73">
        <f t="shared" si="55"/>
        <v>0.13619413148606888</v>
      </c>
      <c r="V60" s="73">
        <f t="shared" si="55"/>
        <v>0.12675823978520492</v>
      </c>
      <c r="W60" s="73">
        <f t="shared" si="55"/>
        <v>0.11632373665204401</v>
      </c>
      <c r="X60" s="73">
        <f t="shared" ref="X60:Y60" si="56">IF(X52=0,0,X52/X$47)</f>
        <v>0.12623089478215796</v>
      </c>
      <c r="Y60" s="73">
        <f t="shared" si="56"/>
        <v>0.12788334772172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0.26071079576228767</v>
      </c>
      <c r="C61" s="70">
        <f t="shared" ref="C61:W61" si="58">IF(C53=0,0,C53/C$47)</f>
        <v>0.25855684749376057</v>
      </c>
      <c r="D61" s="70">
        <f t="shared" si="58"/>
        <v>0.2651207431617123</v>
      </c>
      <c r="E61" s="70">
        <f t="shared" si="58"/>
        <v>0.24407224263169186</v>
      </c>
      <c r="F61" s="70">
        <f t="shared" si="58"/>
        <v>0.2539829015349217</v>
      </c>
      <c r="G61" s="70">
        <f t="shared" si="58"/>
        <v>0.26638749157327035</v>
      </c>
      <c r="H61" s="70">
        <f t="shared" si="58"/>
        <v>0.25227297071311172</v>
      </c>
      <c r="I61" s="70">
        <f t="shared" si="58"/>
        <v>0.29612763666107611</v>
      </c>
      <c r="J61" s="70">
        <f t="shared" si="58"/>
        <v>0.27603498025885792</v>
      </c>
      <c r="K61" s="70">
        <f t="shared" si="58"/>
        <v>0.28601434212783244</v>
      </c>
      <c r="L61" s="70">
        <f t="shared" si="58"/>
        <v>0.27400208649842367</v>
      </c>
      <c r="M61" s="70">
        <f t="shared" si="58"/>
        <v>0.31031272173006624</v>
      </c>
      <c r="N61" s="70">
        <f t="shared" si="58"/>
        <v>0.29887914369255636</v>
      </c>
      <c r="O61" s="70">
        <f t="shared" si="58"/>
        <v>0.28772816384289979</v>
      </c>
      <c r="P61" s="70">
        <f t="shared" si="58"/>
        <v>0.31709407157227432</v>
      </c>
      <c r="Q61" s="70">
        <f t="shared" si="58"/>
        <v>0.30597776739598065</v>
      </c>
      <c r="R61" s="70">
        <f t="shared" si="58"/>
        <v>0.31024122738244297</v>
      </c>
      <c r="S61" s="70">
        <f t="shared" si="58"/>
        <v>0.31222128147965172</v>
      </c>
      <c r="T61" s="70">
        <f t="shared" si="58"/>
        <v>0.32255628906458572</v>
      </c>
      <c r="U61" s="70">
        <f t="shared" si="58"/>
        <v>0.33038515916808087</v>
      </c>
      <c r="V61" s="70">
        <f t="shared" si="58"/>
        <v>0.33018992278348502</v>
      </c>
      <c r="W61" s="70">
        <f t="shared" si="58"/>
        <v>0.29661485824665001</v>
      </c>
      <c r="X61" s="70">
        <f t="shared" ref="X61:Y61" si="59">IF(X53=0,0,X53/X$47)</f>
        <v>0.35462236250701606</v>
      </c>
      <c r="Y61" s="70">
        <f t="shared" si="59"/>
        <v>0.36325111792529324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44627.68530075789</v>
      </c>
      <c r="C65" s="80">
        <v>48307.757595617397</v>
      </c>
      <c r="D65" s="80">
        <v>45800.510540227267</v>
      </c>
      <c r="E65" s="80">
        <v>44214.6842781503</v>
      </c>
      <c r="F65" s="80">
        <v>42309.965845296727</v>
      </c>
      <c r="G65" s="80">
        <v>41438.160657298053</v>
      </c>
      <c r="H65" s="80">
        <v>47266.630221002481</v>
      </c>
      <c r="I65" s="80">
        <v>36748.071104710871</v>
      </c>
      <c r="J65" s="80">
        <v>41768.360996642383</v>
      </c>
      <c r="K65" s="80">
        <v>38387.590152055986</v>
      </c>
      <c r="L65" s="80">
        <v>38651.388670313128</v>
      </c>
      <c r="M65" s="80">
        <v>34625.150559198373</v>
      </c>
      <c r="N65" s="80">
        <v>35937.856975804956</v>
      </c>
      <c r="O65" s="80">
        <v>40554.780318017423</v>
      </c>
      <c r="P65" s="80">
        <v>37180.279116564954</v>
      </c>
      <c r="Q65" s="80">
        <v>38653.289159315027</v>
      </c>
      <c r="R65" s="80">
        <v>37842.785433295758</v>
      </c>
      <c r="S65" s="80">
        <v>37856.927041684619</v>
      </c>
      <c r="T65" s="80">
        <v>34591.653362544035</v>
      </c>
      <c r="U65" s="80">
        <v>32512.471867238019</v>
      </c>
      <c r="V65" s="80">
        <v>31783.454539620168</v>
      </c>
      <c r="W65" s="80">
        <v>37228.261021523984</v>
      </c>
      <c r="X65" s="80">
        <v>26843.520591719629</v>
      </c>
      <c r="Y65" s="80">
        <v>25183.841237700661</v>
      </c>
      <c r="DA65" s="103" t="s">
        <v>219</v>
      </c>
    </row>
    <row r="66" spans="1:105" ht="12" customHeight="1" x14ac:dyDescent="0.25">
      <c r="A66" s="58" t="s">
        <v>29</v>
      </c>
      <c r="B66" s="59">
        <v>1361.1227087543764</v>
      </c>
      <c r="C66" s="59">
        <v>1433.9817183382711</v>
      </c>
      <c r="D66" s="59">
        <v>1183.7874623363464</v>
      </c>
      <c r="E66" s="59">
        <v>511.24004948191555</v>
      </c>
      <c r="F66" s="59">
        <v>371.83014340457044</v>
      </c>
      <c r="G66" s="59">
        <v>330.16916056469137</v>
      </c>
      <c r="H66" s="59">
        <v>386.90110414909185</v>
      </c>
      <c r="I66" s="59">
        <v>815.8195669328029</v>
      </c>
      <c r="J66" s="59">
        <v>613.15622188509485</v>
      </c>
      <c r="K66" s="59">
        <v>470.3306671353547</v>
      </c>
      <c r="L66" s="59">
        <v>388.43272813606796</v>
      </c>
      <c r="M66" s="59">
        <v>396.95498889622297</v>
      </c>
      <c r="N66" s="59">
        <v>419.40086664778369</v>
      </c>
      <c r="O66" s="59">
        <v>187.87840552526086</v>
      </c>
      <c r="P66" s="59">
        <v>217.21765757734784</v>
      </c>
      <c r="Q66" s="59">
        <v>748.55927710820356</v>
      </c>
      <c r="R66" s="59">
        <v>111.40535642350568</v>
      </c>
      <c r="S66" s="59">
        <v>74.622535101094073</v>
      </c>
      <c r="T66" s="59">
        <v>85.206517764022919</v>
      </c>
      <c r="U66" s="59">
        <v>7.6238868380188807</v>
      </c>
      <c r="V66" s="59">
        <v>5.2209418201699442</v>
      </c>
      <c r="W66" s="59">
        <v>3.2720852155382154</v>
      </c>
      <c r="X66" s="59">
        <v>3.7523766708040807</v>
      </c>
      <c r="Y66" s="59">
        <v>177.39955918439358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19730.07075200351</v>
      </c>
      <c r="C67" s="55">
        <f t="shared" ref="C67:W67" si="60">SUM(C68:C69)</f>
        <v>22632.062397279118</v>
      </c>
      <c r="D67" s="55">
        <f t="shared" si="60"/>
        <v>20375.688917890915</v>
      </c>
      <c r="E67" s="55">
        <f t="shared" si="60"/>
        <v>21318.047010940707</v>
      </c>
      <c r="F67" s="55">
        <f t="shared" si="60"/>
        <v>19695.624726025431</v>
      </c>
      <c r="G67" s="55">
        <f t="shared" si="60"/>
        <v>19531.474955597052</v>
      </c>
      <c r="H67" s="55">
        <f t="shared" si="60"/>
        <v>20336.874674814804</v>
      </c>
      <c r="I67" s="55">
        <f t="shared" si="60"/>
        <v>14256.188327613689</v>
      </c>
      <c r="J67" s="55">
        <f t="shared" si="60"/>
        <v>18333.999373970029</v>
      </c>
      <c r="K67" s="55">
        <f t="shared" si="60"/>
        <v>16742.628024625545</v>
      </c>
      <c r="L67" s="55">
        <f t="shared" si="60"/>
        <v>16812.663542113052</v>
      </c>
      <c r="M67" s="55">
        <f t="shared" si="60"/>
        <v>15286.82852022855</v>
      </c>
      <c r="N67" s="55">
        <f t="shared" si="60"/>
        <v>16045.781907957169</v>
      </c>
      <c r="O67" s="55">
        <f t="shared" si="60"/>
        <v>17033.889142172156</v>
      </c>
      <c r="P67" s="55">
        <f t="shared" si="60"/>
        <v>15623.373288747604</v>
      </c>
      <c r="Q67" s="55">
        <f t="shared" si="60"/>
        <v>15308.687732206821</v>
      </c>
      <c r="R67" s="55">
        <f t="shared" si="60"/>
        <v>15293.701427552252</v>
      </c>
      <c r="S67" s="55">
        <f t="shared" si="60"/>
        <v>15282.057437503525</v>
      </c>
      <c r="T67" s="55">
        <f t="shared" si="60"/>
        <v>9945.1391043599997</v>
      </c>
      <c r="U67" s="55">
        <f t="shared" si="60"/>
        <v>10266.613717319999</v>
      </c>
      <c r="V67" s="55">
        <f t="shared" si="60"/>
        <v>8419.4537608800001</v>
      </c>
      <c r="W67" s="55">
        <f t="shared" si="60"/>
        <v>12312.417789720002</v>
      </c>
      <c r="X67" s="55">
        <f t="shared" ref="X67:Y67" si="61">SUM(X68:X69)</f>
        <v>5623.8063357599985</v>
      </c>
      <c r="Y67" s="55">
        <f t="shared" si="61"/>
        <v>4965.1259525999994</v>
      </c>
      <c r="DA67" s="101"/>
    </row>
    <row r="68" spans="1:105" ht="12" customHeight="1" x14ac:dyDescent="0.25">
      <c r="A68" s="61" t="s">
        <v>52</v>
      </c>
      <c r="B68" s="55">
        <v>270.7888026954177</v>
      </c>
      <c r="C68" s="55">
        <v>278.99448929272233</v>
      </c>
      <c r="D68" s="55">
        <v>246.17163881401606</v>
      </c>
      <c r="E68" s="55">
        <v>455.89748843450116</v>
      </c>
      <c r="F68" s="55">
        <v>452.37811876010761</v>
      </c>
      <c r="G68" s="55">
        <v>677.0159325024257</v>
      </c>
      <c r="H68" s="55">
        <v>521.02128469973036</v>
      </c>
      <c r="I68" s="55">
        <v>486.88107766253376</v>
      </c>
      <c r="J68" s="55">
        <v>531.09818802048517</v>
      </c>
      <c r="K68" s="55">
        <v>496.43638855956868</v>
      </c>
      <c r="L68" s="55">
        <v>441.86830725929912</v>
      </c>
      <c r="M68" s="55">
        <v>443.19929954070079</v>
      </c>
      <c r="N68" s="55">
        <v>464.49413514824795</v>
      </c>
      <c r="O68" s="55">
        <v>560.32099947169809</v>
      </c>
      <c r="P68" s="55">
        <v>482.5813490975741</v>
      </c>
      <c r="Q68" s="55">
        <v>405.31561816172507</v>
      </c>
      <c r="R68" s="55">
        <v>509.3811654501348</v>
      </c>
      <c r="S68" s="55">
        <v>333.77543359568739</v>
      </c>
      <c r="T68" s="55">
        <v>462.05479800000006</v>
      </c>
      <c r="U68" s="55">
        <v>491.95246139999995</v>
      </c>
      <c r="V68" s="55">
        <v>451.18292040000006</v>
      </c>
      <c r="W68" s="55">
        <v>353.33602200000013</v>
      </c>
      <c r="X68" s="55">
        <v>404.97744059999997</v>
      </c>
      <c r="Y68" s="55">
        <v>114.15471480000002</v>
      </c>
      <c r="DA68" s="101" t="s">
        <v>221</v>
      </c>
    </row>
    <row r="69" spans="1:105" ht="12" customHeight="1" x14ac:dyDescent="0.25">
      <c r="A69" s="61" t="s">
        <v>163</v>
      </c>
      <c r="B69" s="55">
        <v>19459.281949308093</v>
      </c>
      <c r="C69" s="55">
        <v>22353.067907986395</v>
      </c>
      <c r="D69" s="55">
        <v>20129.517279076899</v>
      </c>
      <c r="E69" s="55">
        <v>20862.149522506206</v>
      </c>
      <c r="F69" s="55">
        <v>19243.246607265322</v>
      </c>
      <c r="G69" s="55">
        <v>18854.459023094627</v>
      </c>
      <c r="H69" s="55">
        <v>19815.853390115073</v>
      </c>
      <c r="I69" s="55">
        <v>13769.307249951155</v>
      </c>
      <c r="J69" s="55">
        <v>17802.901185949544</v>
      </c>
      <c r="K69" s="55">
        <v>16246.191636065976</v>
      </c>
      <c r="L69" s="55">
        <v>16370.795234853753</v>
      </c>
      <c r="M69" s="55">
        <v>14843.62922068785</v>
      </c>
      <c r="N69" s="55">
        <v>15581.287772808921</v>
      </c>
      <c r="O69" s="55">
        <v>16473.56814270046</v>
      </c>
      <c r="P69" s="55">
        <v>15140.791939650029</v>
      </c>
      <c r="Q69" s="55">
        <v>14903.372114045096</v>
      </c>
      <c r="R69" s="55">
        <v>14784.320262102117</v>
      </c>
      <c r="S69" s="55">
        <v>14948.282003907838</v>
      </c>
      <c r="T69" s="55">
        <v>9483.0843063600005</v>
      </c>
      <c r="U69" s="55">
        <v>9774.6612559199984</v>
      </c>
      <c r="V69" s="55">
        <v>7968.2708404799996</v>
      </c>
      <c r="W69" s="55">
        <v>11959.081767720003</v>
      </c>
      <c r="X69" s="55">
        <v>5218.8288951599989</v>
      </c>
      <c r="Y69" s="55">
        <v>4850.9712377999995</v>
      </c>
      <c r="DA69" s="101" t="s">
        <v>222</v>
      </c>
    </row>
    <row r="70" spans="1:105" ht="12" customHeight="1" x14ac:dyDescent="0.25">
      <c r="A70" s="60" t="s">
        <v>149</v>
      </c>
      <c r="B70" s="55">
        <v>23536.491839999999</v>
      </c>
      <c r="C70" s="55">
        <v>24241.713480000006</v>
      </c>
      <c r="D70" s="55">
        <v>24241.034160000003</v>
      </c>
      <c r="E70" s="55">
        <v>22350.467044559675</v>
      </c>
      <c r="F70" s="55">
        <v>22181.552462585121</v>
      </c>
      <c r="G70" s="55">
        <v>21471.449413546703</v>
      </c>
      <c r="H70" s="55">
        <v>26442.711512065784</v>
      </c>
      <c r="I70" s="55">
        <v>21582.742594010782</v>
      </c>
      <c r="J70" s="55">
        <v>22751.388298390451</v>
      </c>
      <c r="K70" s="55">
        <v>21103.616901616286</v>
      </c>
      <c r="L70" s="55">
        <v>21378.320492760002</v>
      </c>
      <c r="M70" s="55">
        <v>18935.613484920003</v>
      </c>
      <c r="N70" s="55">
        <v>19472.674201200003</v>
      </c>
      <c r="O70" s="55">
        <v>23333.012770320001</v>
      </c>
      <c r="P70" s="55">
        <v>21339.688170240002</v>
      </c>
      <c r="Q70" s="55">
        <v>22596.042150000001</v>
      </c>
      <c r="R70" s="55">
        <v>22437.678649320002</v>
      </c>
      <c r="S70" s="55">
        <v>22500.24706908</v>
      </c>
      <c r="T70" s="55">
        <v>24561.307740420012</v>
      </c>
      <c r="U70" s="55">
        <v>22238.234263080001</v>
      </c>
      <c r="V70" s="55">
        <v>23358.779836919999</v>
      </c>
      <c r="W70" s="55">
        <v>24912.571146588445</v>
      </c>
      <c r="X70" s="55">
        <v>21215.961879288825</v>
      </c>
      <c r="Y70" s="55">
        <v>20041.315725916269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34.93017316800001</v>
      </c>
      <c r="F71" s="55">
        <f t="shared" si="62"/>
        <v>60.958513281599991</v>
      </c>
      <c r="G71" s="55">
        <f t="shared" si="62"/>
        <v>105.06712758960001</v>
      </c>
      <c r="H71" s="55">
        <f t="shared" si="62"/>
        <v>100.14292997280002</v>
      </c>
      <c r="I71" s="55">
        <f t="shared" si="62"/>
        <v>93.3206161536</v>
      </c>
      <c r="J71" s="55">
        <f t="shared" si="62"/>
        <v>69.817102396800024</v>
      </c>
      <c r="K71" s="55">
        <f t="shared" si="62"/>
        <v>71.014558678799986</v>
      </c>
      <c r="L71" s="55">
        <f t="shared" si="62"/>
        <v>71.971907303999984</v>
      </c>
      <c r="M71" s="55">
        <f t="shared" si="62"/>
        <v>5.7535651535999994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34.93017316800001</v>
      </c>
      <c r="F72" s="55">
        <v>60.958513281599991</v>
      </c>
      <c r="G72" s="55">
        <v>105.06712758960001</v>
      </c>
      <c r="H72" s="55">
        <v>100.14292997280002</v>
      </c>
      <c r="I72" s="55">
        <v>93.3206161536</v>
      </c>
      <c r="J72" s="55">
        <v>69.817102396800024</v>
      </c>
      <c r="K72" s="55">
        <v>71.014558678799986</v>
      </c>
      <c r="L72" s="55">
        <v>71.971907303999984</v>
      </c>
      <c r="M72" s="55">
        <v>5.7535651535999994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44627.685300757897</v>
      </c>
      <c r="C81" s="82">
        <f t="shared" ref="C81:W81" si="65">C82+C87</f>
        <v>48307.757595617397</v>
      </c>
      <c r="D81" s="82">
        <f t="shared" si="65"/>
        <v>45800.51054022726</v>
      </c>
      <c r="E81" s="82">
        <f t="shared" si="65"/>
        <v>44214.6842781503</v>
      </c>
      <c r="F81" s="82">
        <f t="shared" si="65"/>
        <v>42309.965845296712</v>
      </c>
      <c r="G81" s="82">
        <f t="shared" si="65"/>
        <v>41438.160657298038</v>
      </c>
      <c r="H81" s="82">
        <f t="shared" si="65"/>
        <v>47266.630221002488</v>
      </c>
      <c r="I81" s="82">
        <f t="shared" si="65"/>
        <v>36748.071104710878</v>
      </c>
      <c r="J81" s="82">
        <f t="shared" si="65"/>
        <v>41768.360996642376</v>
      </c>
      <c r="K81" s="82">
        <f t="shared" si="65"/>
        <v>38387.590152055978</v>
      </c>
      <c r="L81" s="82">
        <f t="shared" si="65"/>
        <v>38651.388670313114</v>
      </c>
      <c r="M81" s="82">
        <f t="shared" si="65"/>
        <v>34625.150559198381</v>
      </c>
      <c r="N81" s="82">
        <f t="shared" si="65"/>
        <v>35937.856975804963</v>
      </c>
      <c r="O81" s="82">
        <f t="shared" si="65"/>
        <v>40554.780318017401</v>
      </c>
      <c r="P81" s="82">
        <f t="shared" si="65"/>
        <v>37180.279116564947</v>
      </c>
      <c r="Q81" s="82">
        <f t="shared" si="65"/>
        <v>38653.289159315034</v>
      </c>
      <c r="R81" s="82">
        <f t="shared" si="65"/>
        <v>37842.785433295758</v>
      </c>
      <c r="S81" s="82">
        <f t="shared" si="65"/>
        <v>37856.927041684605</v>
      </c>
      <c r="T81" s="82">
        <f t="shared" si="65"/>
        <v>34591.653362544042</v>
      </c>
      <c r="U81" s="82">
        <f t="shared" si="65"/>
        <v>32512.471867238019</v>
      </c>
      <c r="V81" s="82">
        <f t="shared" si="65"/>
        <v>31783.454539620179</v>
      </c>
      <c r="W81" s="82">
        <f t="shared" si="65"/>
        <v>37228.261021524035</v>
      </c>
      <c r="X81" s="82">
        <f t="shared" ref="X81:Y81" si="66">X82+X87</f>
        <v>26843.520591719644</v>
      </c>
      <c r="Y81" s="82">
        <f t="shared" si="66"/>
        <v>25183.841237700639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44627.685300757897</v>
      </c>
      <c r="C82" s="64">
        <f t="shared" ref="C82:W82" si="68">SUM(C83:C86)</f>
        <v>48307.757595617397</v>
      </c>
      <c r="D82" s="64">
        <f t="shared" si="68"/>
        <v>45800.51054022726</v>
      </c>
      <c r="E82" s="64">
        <f t="shared" si="68"/>
        <v>44214.6842781503</v>
      </c>
      <c r="F82" s="64">
        <f t="shared" si="68"/>
        <v>42309.965845296712</v>
      </c>
      <c r="G82" s="64">
        <f t="shared" si="68"/>
        <v>41438.160657298038</v>
      </c>
      <c r="H82" s="64">
        <f t="shared" si="68"/>
        <v>47266.630221002488</v>
      </c>
      <c r="I82" s="64">
        <f t="shared" si="68"/>
        <v>36748.071104710878</v>
      </c>
      <c r="J82" s="64">
        <f t="shared" si="68"/>
        <v>41768.360996642376</v>
      </c>
      <c r="K82" s="64">
        <f t="shared" si="68"/>
        <v>38387.590152055978</v>
      </c>
      <c r="L82" s="64">
        <f t="shared" si="68"/>
        <v>38651.388670313114</v>
      </c>
      <c r="M82" s="64">
        <f t="shared" si="68"/>
        <v>34625.150559198381</v>
      </c>
      <c r="N82" s="64">
        <f t="shared" si="68"/>
        <v>35937.856975804963</v>
      </c>
      <c r="O82" s="64">
        <f t="shared" si="68"/>
        <v>40554.780318017401</v>
      </c>
      <c r="P82" s="64">
        <f t="shared" si="68"/>
        <v>37180.279116564947</v>
      </c>
      <c r="Q82" s="64">
        <f t="shared" si="68"/>
        <v>38653.289159315034</v>
      </c>
      <c r="R82" s="64">
        <f t="shared" si="68"/>
        <v>37842.785433295758</v>
      </c>
      <c r="S82" s="64">
        <f t="shared" si="68"/>
        <v>37856.927041684605</v>
      </c>
      <c r="T82" s="64">
        <f t="shared" si="68"/>
        <v>34591.653362544042</v>
      </c>
      <c r="U82" s="64">
        <f t="shared" si="68"/>
        <v>32512.471867238019</v>
      </c>
      <c r="V82" s="64">
        <f t="shared" si="68"/>
        <v>31783.454539620179</v>
      </c>
      <c r="W82" s="64">
        <f t="shared" si="68"/>
        <v>37228.261021524035</v>
      </c>
      <c r="X82" s="64">
        <f t="shared" ref="X82:Y82" si="69">SUM(X83:X86)</f>
        <v>26843.520591719644</v>
      </c>
      <c r="Y82" s="64">
        <f t="shared" si="69"/>
        <v>25183.841237700639</v>
      </c>
      <c r="DA82" s="108" t="s">
        <v>233</v>
      </c>
    </row>
    <row r="83" spans="1:105" ht="12" customHeight="1" x14ac:dyDescent="0.25">
      <c r="A83" s="61" t="s">
        <v>32</v>
      </c>
      <c r="B83" s="65">
        <v>34526.973662560762</v>
      </c>
      <c r="C83" s="65">
        <v>38203.54251751797</v>
      </c>
      <c r="D83" s="65">
        <v>35439.111366440455</v>
      </c>
      <c r="E83" s="65">
        <v>33812.804183561871</v>
      </c>
      <c r="F83" s="65">
        <v>31978.426832561789</v>
      </c>
      <c r="G83" s="65">
        <v>31138.061742672173</v>
      </c>
      <c r="H83" s="65">
        <v>36856.539511550982</v>
      </c>
      <c r="I83" s="65">
        <v>26543.683595598497</v>
      </c>
      <c r="J83" s="65">
        <v>31554.873987530751</v>
      </c>
      <c r="K83" s="65">
        <v>28483.256460642053</v>
      </c>
      <c r="L83" s="65">
        <v>29085.444874801582</v>
      </c>
      <c r="M83" s="65">
        <v>25327.094652429852</v>
      </c>
      <c r="N83" s="65">
        <v>26655.584897097066</v>
      </c>
      <c r="O83" s="65">
        <v>30927.025313218175</v>
      </c>
      <c r="P83" s="65">
        <v>26043.672903561899</v>
      </c>
      <c r="Q83" s="65">
        <v>27964.971119713067</v>
      </c>
      <c r="R83" s="65">
        <v>27304.29694271562</v>
      </c>
      <c r="S83" s="65">
        <v>26993.380901974866</v>
      </c>
      <c r="T83" s="65">
        <v>22479.940622669794</v>
      </c>
      <c r="U83" s="65">
        <v>20011.808859864555</v>
      </c>
      <c r="V83" s="65">
        <v>20922.42008032947</v>
      </c>
      <c r="W83" s="65">
        <v>26548.621109492011</v>
      </c>
      <c r="X83" s="65">
        <v>15836.597659729669</v>
      </c>
      <c r="Y83" s="65">
        <v>14240.965971737322</v>
      </c>
      <c r="DA83" s="109" t="s">
        <v>234</v>
      </c>
    </row>
    <row r="84" spans="1:105" ht="12" customHeight="1" x14ac:dyDescent="0.25">
      <c r="A84" s="61" t="s">
        <v>31</v>
      </c>
      <c r="B84" s="65">
        <v>0.41626278380523507</v>
      </c>
      <c r="C84" s="65">
        <v>0.44534000575824256</v>
      </c>
      <c r="D84" s="65">
        <v>0.48437684136769443</v>
      </c>
      <c r="E84" s="65">
        <v>0.58105189180833616</v>
      </c>
      <c r="F84" s="65">
        <v>0.71701257037913502</v>
      </c>
      <c r="G84" s="65">
        <v>0.89371626613202537</v>
      </c>
      <c r="H84" s="65">
        <v>1.0559655216975685</v>
      </c>
      <c r="I84" s="65">
        <v>1.601965019351079</v>
      </c>
      <c r="J84" s="65">
        <v>1.9803733937498902</v>
      </c>
      <c r="K84" s="65">
        <v>2.4152067871707339</v>
      </c>
      <c r="L84" s="65">
        <v>3.1110807239331568</v>
      </c>
      <c r="M84" s="65">
        <v>3.4040886688341159</v>
      </c>
      <c r="N84" s="65">
        <v>3.8926363631984313</v>
      </c>
      <c r="O84" s="65">
        <v>4.7865505976106215</v>
      </c>
      <c r="P84" s="65">
        <v>6.2679176530514269</v>
      </c>
      <c r="Q84" s="65">
        <v>8.5951602996521235</v>
      </c>
      <c r="R84" s="65">
        <v>10.875724616967652</v>
      </c>
      <c r="S84" s="65">
        <v>11.685123452157395</v>
      </c>
      <c r="T84" s="65">
        <v>19.333842964975162</v>
      </c>
      <c r="U84" s="65">
        <v>20.814871968176462</v>
      </c>
      <c r="V84" s="65">
        <v>15.936206575873806</v>
      </c>
      <c r="W84" s="65">
        <v>15.915263264027542</v>
      </c>
      <c r="X84" s="65">
        <v>20.954073574005189</v>
      </c>
      <c r="Y84" s="65">
        <v>20.353040668764834</v>
      </c>
      <c r="DA84" s="109" t="s">
        <v>235</v>
      </c>
    </row>
    <row r="85" spans="1:105" ht="12" customHeight="1" x14ac:dyDescent="0.25">
      <c r="A85" s="61" t="s">
        <v>35</v>
      </c>
      <c r="B85" s="65">
        <v>5203.9359683474613</v>
      </c>
      <c r="C85" s="65">
        <v>5202.7890079273011</v>
      </c>
      <c r="D85" s="65">
        <v>5257.1405518047814</v>
      </c>
      <c r="E85" s="65">
        <v>5186.7210878778706</v>
      </c>
      <c r="F85" s="65">
        <v>5096.7172931895475</v>
      </c>
      <c r="G85" s="65">
        <v>5112.4015902671827</v>
      </c>
      <c r="H85" s="65">
        <v>5272.0227023237467</v>
      </c>
      <c r="I85" s="65">
        <v>5212.7964539848435</v>
      </c>
      <c r="J85" s="65">
        <v>5205.0075129809284</v>
      </c>
      <c r="K85" s="65">
        <v>5104.4171815126911</v>
      </c>
      <c r="L85" s="65">
        <v>5012.0355687967131</v>
      </c>
      <c r="M85" s="65">
        <v>4998.7270656255532</v>
      </c>
      <c r="N85" s="65">
        <v>4967.4471395041537</v>
      </c>
      <c r="O85" s="65">
        <v>5113.3548502921249</v>
      </c>
      <c r="P85" s="65">
        <v>5322.4080756776029</v>
      </c>
      <c r="Q85" s="65">
        <v>5292.674005877634</v>
      </c>
      <c r="R85" s="65">
        <v>5178.8015174996872</v>
      </c>
      <c r="S85" s="65">
        <v>5237.4442334953774</v>
      </c>
      <c r="T85" s="65">
        <v>5592.6396237443132</v>
      </c>
      <c r="U85" s="65">
        <v>5424.764588304376</v>
      </c>
      <c r="V85" s="65">
        <v>4925.371964323047</v>
      </c>
      <c r="W85" s="65">
        <v>4826.2561462895928</v>
      </c>
      <c r="X85" s="65">
        <v>4779.8032491853237</v>
      </c>
      <c r="Y85" s="65">
        <v>4692.1419336925246</v>
      </c>
      <c r="DA85" s="109" t="s">
        <v>236</v>
      </c>
    </row>
    <row r="86" spans="1:105" ht="12" customHeight="1" x14ac:dyDescent="0.25">
      <c r="A86" s="66" t="s">
        <v>34</v>
      </c>
      <c r="B86" s="67">
        <v>4896.3594070658637</v>
      </c>
      <c r="C86" s="67">
        <v>4900.9807301663714</v>
      </c>
      <c r="D86" s="67">
        <v>5103.7742451406557</v>
      </c>
      <c r="E86" s="67">
        <v>5214.5779548187465</v>
      </c>
      <c r="F86" s="67">
        <v>5234.1047069749966</v>
      </c>
      <c r="G86" s="67">
        <v>5186.8036080925549</v>
      </c>
      <c r="H86" s="67">
        <v>5137.0120416060581</v>
      </c>
      <c r="I86" s="67">
        <v>4989.9890901081853</v>
      </c>
      <c r="J86" s="67">
        <v>5006.4991227369455</v>
      </c>
      <c r="K86" s="67">
        <v>4797.5013031140606</v>
      </c>
      <c r="L86" s="67">
        <v>4550.7971459908886</v>
      </c>
      <c r="M86" s="67">
        <v>4295.9247524741395</v>
      </c>
      <c r="N86" s="67">
        <v>4310.9323028405424</v>
      </c>
      <c r="O86" s="67">
        <v>4509.6136039094918</v>
      </c>
      <c r="P86" s="67">
        <v>5807.9302196723938</v>
      </c>
      <c r="Q86" s="67">
        <v>5387.0488734246846</v>
      </c>
      <c r="R86" s="67">
        <v>5348.8112484634848</v>
      </c>
      <c r="S86" s="67">
        <v>5614.4167827622032</v>
      </c>
      <c r="T86" s="67">
        <v>6499.7392731649597</v>
      </c>
      <c r="U86" s="67">
        <v>7055.0835471009086</v>
      </c>
      <c r="V86" s="67">
        <v>5919.7262883917892</v>
      </c>
      <c r="W86" s="67">
        <v>5837.4685024784003</v>
      </c>
      <c r="X86" s="67">
        <v>6206.1656092306466</v>
      </c>
      <c r="Y86" s="67">
        <v>6230.3802916020286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0.77366714024879979</v>
      </c>
      <c r="C91" s="71">
        <f t="shared" ref="C91:W91" si="77">IF(C83=0,0,C83/C$81)</f>
        <v>0.79083659476224355</v>
      </c>
      <c r="D91" s="71">
        <f t="shared" si="77"/>
        <v>0.77377109880279094</v>
      </c>
      <c r="E91" s="71">
        <f t="shared" si="77"/>
        <v>0.76474150467407598</v>
      </c>
      <c r="F91" s="71">
        <f t="shared" si="77"/>
        <v>0.75581310912631228</v>
      </c>
      <c r="G91" s="71">
        <f t="shared" si="77"/>
        <v>0.75143445676052645</v>
      </c>
      <c r="H91" s="71">
        <f t="shared" si="77"/>
        <v>0.7797581367493831</v>
      </c>
      <c r="I91" s="71">
        <f t="shared" si="77"/>
        <v>0.72231501675187948</v>
      </c>
      <c r="J91" s="71">
        <f t="shared" si="77"/>
        <v>0.75547311971535935</v>
      </c>
      <c r="K91" s="71">
        <f t="shared" si="77"/>
        <v>0.7419912619629897</v>
      </c>
      <c r="L91" s="71">
        <f t="shared" si="77"/>
        <v>0.7525071123030872</v>
      </c>
      <c r="M91" s="71">
        <f t="shared" si="77"/>
        <v>0.7314652569994835</v>
      </c>
      <c r="N91" s="71">
        <f t="shared" si="77"/>
        <v>0.74171325560794699</v>
      </c>
      <c r="O91" s="71">
        <f t="shared" si="77"/>
        <v>0.7625987632209692</v>
      </c>
      <c r="P91" s="71">
        <f t="shared" si="77"/>
        <v>0.70047007506080416</v>
      </c>
      <c r="Q91" s="71">
        <f t="shared" si="77"/>
        <v>0.72348231490602155</v>
      </c>
      <c r="R91" s="71">
        <f t="shared" si="77"/>
        <v>0.72151921773422345</v>
      </c>
      <c r="S91" s="71">
        <f t="shared" si="77"/>
        <v>0.71303676794083715</v>
      </c>
      <c r="T91" s="71">
        <f t="shared" si="77"/>
        <v>0.64986603522719</v>
      </c>
      <c r="U91" s="71">
        <f t="shared" si="77"/>
        <v>0.61551176242708083</v>
      </c>
      <c r="V91" s="71">
        <f t="shared" si="77"/>
        <v>0.65828023993579077</v>
      </c>
      <c r="W91" s="71">
        <f t="shared" si="77"/>
        <v>0.71313084149008621</v>
      </c>
      <c r="X91" s="71">
        <f t="shared" ref="X91:Y91" si="78">IF(X83=0,0,X83/X$81)</f>
        <v>0.58995978584920583</v>
      </c>
      <c r="Y91" s="71">
        <f t="shared" si="78"/>
        <v>0.56548029497654051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9.3274562863820729E-6</v>
      </c>
      <c r="C92" s="72">
        <f t="shared" ref="C92:W92" si="80">IF(C84=0,0,C84/C$81)</f>
        <v>9.2188093160143895E-6</v>
      </c>
      <c r="D92" s="72">
        <f t="shared" si="80"/>
        <v>1.0575795676824588E-5</v>
      </c>
      <c r="E92" s="72">
        <f t="shared" si="80"/>
        <v>1.3141604453239899E-5</v>
      </c>
      <c r="F92" s="72">
        <f t="shared" si="80"/>
        <v>1.6946659163017026E-5</v>
      </c>
      <c r="G92" s="72">
        <f t="shared" si="80"/>
        <v>2.1567469500474199E-5</v>
      </c>
      <c r="H92" s="72">
        <f t="shared" si="80"/>
        <v>2.2340613594839261E-5</v>
      </c>
      <c r="I92" s="72">
        <f t="shared" si="80"/>
        <v>4.3593172952844233E-5</v>
      </c>
      <c r="J92" s="72">
        <f t="shared" si="80"/>
        <v>4.7413241661770878E-5</v>
      </c>
      <c r="K92" s="72">
        <f t="shared" si="80"/>
        <v>6.2916342953645373E-5</v>
      </c>
      <c r="L92" s="72">
        <f t="shared" si="80"/>
        <v>8.0490787807649394E-5</v>
      </c>
      <c r="M92" s="72">
        <f t="shared" si="80"/>
        <v>9.8312602656100198E-5</v>
      </c>
      <c r="N92" s="72">
        <f t="shared" si="80"/>
        <v>1.0831576200604101E-4</v>
      </c>
      <c r="O92" s="72">
        <f t="shared" si="80"/>
        <v>1.1802679141832474E-4</v>
      </c>
      <c r="P92" s="72">
        <f t="shared" si="80"/>
        <v>1.6858178050252663E-4</v>
      </c>
      <c r="Q92" s="72">
        <f t="shared" si="80"/>
        <v>2.2236556025609998E-4</v>
      </c>
      <c r="R92" s="72">
        <f t="shared" si="80"/>
        <v>2.8739228607095894E-4</v>
      </c>
      <c r="S92" s="72">
        <f t="shared" si="80"/>
        <v>3.0866539799415837E-4</v>
      </c>
      <c r="T92" s="72">
        <f t="shared" si="80"/>
        <v>5.5891641727394013E-4</v>
      </c>
      <c r="U92" s="72">
        <f t="shared" si="80"/>
        <v>6.4021191785024114E-4</v>
      </c>
      <c r="V92" s="72">
        <f t="shared" si="80"/>
        <v>5.0139944844599163E-4</v>
      </c>
      <c r="W92" s="72">
        <f t="shared" si="80"/>
        <v>4.2750488009165704E-4</v>
      </c>
      <c r="X92" s="72">
        <f t="shared" ref="X92:Y92" si="81">IF(X84=0,0,X84/X$81)</f>
        <v>7.8060079721692106E-4</v>
      </c>
      <c r="Y92" s="72">
        <f t="shared" si="81"/>
        <v>8.0817856484482543E-4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0.11660779476409645</v>
      </c>
      <c r="C93" s="72">
        <f t="shared" ref="C93:W93" si="83">IF(C85=0,0,C85/C$81)</f>
        <v>0.10770090078450073</v>
      </c>
      <c r="D93" s="72">
        <f t="shared" si="83"/>
        <v>0.11478344869512661</v>
      </c>
      <c r="E93" s="72">
        <f t="shared" si="83"/>
        <v>0.11730765858800914</v>
      </c>
      <c r="F93" s="72">
        <f t="shared" si="83"/>
        <v>0.12046138991993803</v>
      </c>
      <c r="G93" s="72">
        <f t="shared" si="83"/>
        <v>0.12337424029381461</v>
      </c>
      <c r="H93" s="72">
        <f t="shared" si="83"/>
        <v>0.11153794289276776</v>
      </c>
      <c r="I93" s="72">
        <f t="shared" si="83"/>
        <v>0.14185224686028744</v>
      </c>
      <c r="J93" s="72">
        <f t="shared" si="83"/>
        <v>0.1246160344524733</v>
      </c>
      <c r="K93" s="72">
        <f t="shared" si="83"/>
        <v>0.13297050326143764</v>
      </c>
      <c r="L93" s="72">
        <f t="shared" si="83"/>
        <v>0.12967284594993855</v>
      </c>
      <c r="M93" s="72">
        <f t="shared" si="83"/>
        <v>0.14436694093443042</v>
      </c>
      <c r="N93" s="72">
        <f t="shared" si="83"/>
        <v>0.13822324305114994</v>
      </c>
      <c r="O93" s="72">
        <f t="shared" si="83"/>
        <v>0.12608513250953055</v>
      </c>
      <c r="P93" s="72">
        <f t="shared" si="83"/>
        <v>0.143151374926239</v>
      </c>
      <c r="Q93" s="72">
        <f t="shared" si="83"/>
        <v>0.13692687274459683</v>
      </c>
      <c r="R93" s="72">
        <f t="shared" si="83"/>
        <v>0.13685043154733395</v>
      </c>
      <c r="S93" s="72">
        <f t="shared" si="83"/>
        <v>0.13834837222071353</v>
      </c>
      <c r="T93" s="72">
        <f t="shared" si="83"/>
        <v>0.16167598481430326</v>
      </c>
      <c r="U93" s="72">
        <f t="shared" si="83"/>
        <v>0.16685180414629661</v>
      </c>
      <c r="V93" s="72">
        <f t="shared" si="83"/>
        <v>0.15496653953028439</v>
      </c>
      <c r="W93" s="72">
        <f t="shared" si="83"/>
        <v>0.12963958062664346</v>
      </c>
      <c r="X93" s="72">
        <f t="shared" ref="X93:Y93" si="84">IF(X85=0,0,X85/X$81)</f>
        <v>0.17806171261528705</v>
      </c>
      <c r="Y93" s="72">
        <f t="shared" si="84"/>
        <v>0.1863155778900126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0.10971573753081723</v>
      </c>
      <c r="C94" s="73">
        <f t="shared" ref="C94:W94" si="86">IF(C86=0,0,C86/C$81)</f>
        <v>0.10145328564393974</v>
      </c>
      <c r="D94" s="73">
        <f t="shared" si="86"/>
        <v>0.11143487670640562</v>
      </c>
      <c r="E94" s="73">
        <f t="shared" si="86"/>
        <v>0.11793769513346157</v>
      </c>
      <c r="F94" s="73">
        <f t="shared" si="86"/>
        <v>0.12370855429458669</v>
      </c>
      <c r="G94" s="73">
        <f t="shared" si="86"/>
        <v>0.12516973547615853</v>
      </c>
      <c r="H94" s="73">
        <f t="shared" si="86"/>
        <v>0.10868157974425421</v>
      </c>
      <c r="I94" s="73">
        <f t="shared" si="86"/>
        <v>0.13578914321488017</v>
      </c>
      <c r="J94" s="73">
        <f t="shared" si="86"/>
        <v>0.11986343259050557</v>
      </c>
      <c r="K94" s="73">
        <f t="shared" si="86"/>
        <v>0.12497531843261889</v>
      </c>
      <c r="L94" s="73">
        <f t="shared" si="86"/>
        <v>0.11773955095916668</v>
      </c>
      <c r="M94" s="73">
        <f t="shared" si="86"/>
        <v>0.12406948946342997</v>
      </c>
      <c r="N94" s="73">
        <f t="shared" si="86"/>
        <v>0.11995518557889699</v>
      </c>
      <c r="O94" s="73">
        <f t="shared" si="86"/>
        <v>0.11119807747808194</v>
      </c>
      <c r="P94" s="73">
        <f t="shared" si="86"/>
        <v>0.15620996823245428</v>
      </c>
      <c r="Q94" s="73">
        <f t="shared" si="86"/>
        <v>0.13936844678912566</v>
      </c>
      <c r="R94" s="73">
        <f t="shared" si="86"/>
        <v>0.14134295843237174</v>
      </c>
      <c r="S94" s="73">
        <f t="shared" si="86"/>
        <v>0.1483061944404552</v>
      </c>
      <c r="T94" s="73">
        <f t="shared" si="86"/>
        <v>0.18789906354123273</v>
      </c>
      <c r="U94" s="73">
        <f t="shared" si="86"/>
        <v>0.21699622150877229</v>
      </c>
      <c r="V94" s="73">
        <f t="shared" si="86"/>
        <v>0.18625182108547889</v>
      </c>
      <c r="W94" s="73">
        <f t="shared" si="86"/>
        <v>0.15680207300317861</v>
      </c>
      <c r="X94" s="73">
        <f t="shared" ref="X94:Y94" si="87">IF(X86=0,0,X86/X$81)</f>
        <v>0.23119790073829019</v>
      </c>
      <c r="Y94" s="73">
        <f t="shared" si="87"/>
        <v>0.24739594856860211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96375.525308817436</v>
      </c>
      <c r="C99" s="82">
        <f t="shared" ref="C99:W99" si="92">C47*11630*1000/C$8</f>
        <v>99149.643220910672</v>
      </c>
      <c r="D99" s="82">
        <f t="shared" si="92"/>
        <v>98707.675138770137</v>
      </c>
      <c r="E99" s="82">
        <f t="shared" si="92"/>
        <v>109488.44043146069</v>
      </c>
      <c r="F99" s="82">
        <f t="shared" si="92"/>
        <v>107021.32009607492</v>
      </c>
      <c r="G99" s="82">
        <f t="shared" si="92"/>
        <v>103505.6787170906</v>
      </c>
      <c r="H99" s="82">
        <f t="shared" si="92"/>
        <v>109633.90777636909</v>
      </c>
      <c r="I99" s="82">
        <f t="shared" si="92"/>
        <v>93597.175443762404</v>
      </c>
      <c r="J99" s="82">
        <f t="shared" si="92"/>
        <v>101006.42285637015</v>
      </c>
      <c r="K99" s="82">
        <f t="shared" si="92"/>
        <v>98477.271979127239</v>
      </c>
      <c r="L99" s="82">
        <f t="shared" si="92"/>
        <v>103440.53071358603</v>
      </c>
      <c r="M99" s="82">
        <f t="shared" si="92"/>
        <v>91201.674445748693</v>
      </c>
      <c r="N99" s="82">
        <f t="shared" si="92"/>
        <v>94395.255529726564</v>
      </c>
      <c r="O99" s="82">
        <f t="shared" si="92"/>
        <v>98216.684058287705</v>
      </c>
      <c r="P99" s="82">
        <f t="shared" si="92"/>
        <v>89466.797932728776</v>
      </c>
      <c r="Q99" s="82">
        <f t="shared" si="92"/>
        <v>93550.472988254885</v>
      </c>
      <c r="R99" s="82">
        <f t="shared" si="92"/>
        <v>90944.696614864719</v>
      </c>
      <c r="S99" s="82">
        <f t="shared" si="92"/>
        <v>90181.252490596889</v>
      </c>
      <c r="T99" s="82">
        <f t="shared" si="92"/>
        <v>86009.319414293917</v>
      </c>
      <c r="U99" s="82">
        <f t="shared" si="92"/>
        <v>82148.840416984531</v>
      </c>
      <c r="V99" s="82">
        <f t="shared" si="92"/>
        <v>79566.347303784947</v>
      </c>
      <c r="W99" s="82">
        <f t="shared" si="92"/>
        <v>88437.604916625292</v>
      </c>
      <c r="X99" s="82">
        <f t="shared" ref="X99:Y99" si="93">X47*11630*1000/X$8</f>
        <v>72346.561864773685</v>
      </c>
      <c r="Y99" s="82">
        <f t="shared" si="93"/>
        <v>69366.404988841663</v>
      </c>
      <c r="DA99" s="107"/>
    </row>
    <row r="100" spans="1:105" ht="12" customHeight="1" x14ac:dyDescent="0.25">
      <c r="A100" s="77" t="s">
        <v>36</v>
      </c>
      <c r="B100" s="64">
        <f t="shared" si="91"/>
        <v>71249.385413547148</v>
      </c>
      <c r="C100" s="64">
        <f t="shared" ref="C100:W100" si="94">C48*11630*1000/C$8</f>
        <v>73513.824039580897</v>
      </c>
      <c r="D100" s="64">
        <f t="shared" si="94"/>
        <v>72538.222950214535</v>
      </c>
      <c r="E100" s="64">
        <f t="shared" si="94"/>
        <v>82765.351233107678</v>
      </c>
      <c r="F100" s="64">
        <f t="shared" si="94"/>
        <v>79839.734691976206</v>
      </c>
      <c r="G100" s="64">
        <f t="shared" si="94"/>
        <v>75933.060600055993</v>
      </c>
      <c r="H100" s="64">
        <f t="shared" si="94"/>
        <v>81976.236170737146</v>
      </c>
      <c r="I100" s="64">
        <f t="shared" si="94"/>
        <v>65880.465081448929</v>
      </c>
      <c r="J100" s="64">
        <f t="shared" si="94"/>
        <v>73125.116917194158</v>
      </c>
      <c r="K100" s="64">
        <f t="shared" si="94"/>
        <v>70311.359819473524</v>
      </c>
      <c r="L100" s="64">
        <f t="shared" si="94"/>
        <v>75097.60946955916</v>
      </c>
      <c r="M100" s="64">
        <f t="shared" si="94"/>
        <v>62900.63462214898</v>
      </c>
      <c r="N100" s="64">
        <f t="shared" si="94"/>
        <v>66182.482388361852</v>
      </c>
      <c r="O100" s="64">
        <f t="shared" si="94"/>
        <v>69956.977895458374</v>
      </c>
      <c r="P100" s="64">
        <f t="shared" si="94"/>
        <v>61097.406705705878</v>
      </c>
      <c r="Q100" s="64">
        <f t="shared" si="94"/>
        <v>64926.108124470673</v>
      </c>
      <c r="R100" s="64">
        <f t="shared" si="94"/>
        <v>62729.902313145176</v>
      </c>
      <c r="S100" s="64">
        <f t="shared" si="94"/>
        <v>62024.746272542681</v>
      </c>
      <c r="T100" s="64">
        <f t="shared" si="94"/>
        <v>58266.472519048642</v>
      </c>
      <c r="U100" s="64">
        <f t="shared" si="94"/>
        <v>55008.082700345818</v>
      </c>
      <c r="V100" s="64">
        <f t="shared" si="94"/>
        <v>53294.341231384249</v>
      </c>
      <c r="W100" s="64">
        <f t="shared" si="94"/>
        <v>62205.697270607248</v>
      </c>
      <c r="X100" s="64">
        <f t="shared" ref="X100:Y100" si="95">X48*11630*1000/X$8</f>
        <v>46690.853177027639</v>
      </c>
      <c r="Y100" s="64">
        <f t="shared" si="95"/>
        <v>44168.980830186294</v>
      </c>
      <c r="DA100" s="108"/>
    </row>
    <row r="101" spans="1:105" ht="12" customHeight="1" x14ac:dyDescent="0.25">
      <c r="A101" s="61" t="s">
        <v>32</v>
      </c>
      <c r="B101" s="65">
        <f t="shared" si="91"/>
        <v>49903.855756637771</v>
      </c>
      <c r="C101" s="65">
        <f t="shared" ref="C101:W101" si="96">C49*11630*1000/C$8</f>
        <v>52778.558558167359</v>
      </c>
      <c r="D101" s="65">
        <f t="shared" si="96"/>
        <v>51266.758250185194</v>
      </c>
      <c r="E101" s="65">
        <f t="shared" si="96"/>
        <v>60628.731801841226</v>
      </c>
      <c r="F101" s="65">
        <f t="shared" si="96"/>
        <v>58263.158908681748</v>
      </c>
      <c r="G101" s="65">
        <f t="shared" si="96"/>
        <v>54654.58443801447</v>
      </c>
      <c r="H101" s="65">
        <f t="shared" si="96"/>
        <v>60812.595651057018</v>
      </c>
      <c r="I101" s="65">
        <f t="shared" si="96"/>
        <v>44968.017334448858</v>
      </c>
      <c r="J101" s="65">
        <f t="shared" si="96"/>
        <v>52574.981650915775</v>
      </c>
      <c r="K101" s="65">
        <f t="shared" si="96"/>
        <v>49244.980724694244</v>
      </c>
      <c r="L101" s="65">
        <f t="shared" si="96"/>
        <v>53958.754950296236</v>
      </c>
      <c r="M101" s="65">
        <f t="shared" si="96"/>
        <v>42301.713676106636</v>
      </c>
      <c r="N101" s="65">
        <f t="shared" si="96"/>
        <v>45511.946102496149</v>
      </c>
      <c r="O101" s="65">
        <f t="shared" si="96"/>
        <v>49247.846402700416</v>
      </c>
      <c r="P101" s="65">
        <f t="shared" si="96"/>
        <v>39928.895679178568</v>
      </c>
      <c r="Q101" s="65">
        <f t="shared" si="96"/>
        <v>43784.283952860016</v>
      </c>
      <c r="R101" s="65">
        <f t="shared" si="96"/>
        <v>42109.770986508556</v>
      </c>
      <c r="S101" s="65">
        <f t="shared" si="96"/>
        <v>41244.588252817499</v>
      </c>
      <c r="T101" s="65">
        <f t="shared" si="96"/>
        <v>36590.960257343249</v>
      </c>
      <c r="U101" s="65">
        <f t="shared" si="96"/>
        <v>33517.781127640628</v>
      </c>
      <c r="V101" s="65">
        <f t="shared" si="96"/>
        <v>34272.26724373117</v>
      </c>
      <c r="W101" s="65">
        <f t="shared" si="96"/>
        <v>42999.010269032049</v>
      </c>
      <c r="X101" s="65">
        <f t="shared" ref="X101:Y101" si="97">X49*11630*1000/X$8</f>
        <v>29065.250523202623</v>
      </c>
      <c r="Y101" s="65">
        <f t="shared" si="97"/>
        <v>27122.701318879612</v>
      </c>
      <c r="DA101" s="109"/>
    </row>
    <row r="102" spans="1:105" ht="12" customHeight="1" x14ac:dyDescent="0.25">
      <c r="A102" s="61" t="s">
        <v>31</v>
      </c>
      <c r="B102" s="65">
        <f t="shared" si="91"/>
        <v>1297.2189196942129</v>
      </c>
      <c r="C102" s="65">
        <f t="shared" ref="C102:W102" si="98">C50*11630*1000/C$8</f>
        <v>1313.3143903603923</v>
      </c>
      <c r="D102" s="65">
        <f t="shared" si="98"/>
        <v>1340.8914163392405</v>
      </c>
      <c r="E102" s="65">
        <f t="shared" si="98"/>
        <v>1628.3042274478755</v>
      </c>
      <c r="F102" s="65">
        <f t="shared" si="98"/>
        <v>1338.2511666710939</v>
      </c>
      <c r="G102" s="65">
        <f t="shared" si="98"/>
        <v>1363.1056335334549</v>
      </c>
      <c r="H102" s="65">
        <f t="shared" si="98"/>
        <v>1517.0839393934527</v>
      </c>
      <c r="I102" s="65">
        <f t="shared" si="98"/>
        <v>1413.1569708440552</v>
      </c>
      <c r="J102" s="65">
        <f t="shared" si="98"/>
        <v>1414.7379115786009</v>
      </c>
      <c r="K102" s="65">
        <f t="shared" si="98"/>
        <v>1493.25696531619</v>
      </c>
      <c r="L102" s="65">
        <f t="shared" si="98"/>
        <v>1675.9898761108111</v>
      </c>
      <c r="M102" s="65">
        <f t="shared" si="98"/>
        <v>1571.5009724548281</v>
      </c>
      <c r="N102" s="65">
        <f t="shared" si="98"/>
        <v>1612.519769286145</v>
      </c>
      <c r="O102" s="65">
        <f t="shared" si="98"/>
        <v>1687.3457057582027</v>
      </c>
      <c r="P102" s="65">
        <f t="shared" si="98"/>
        <v>1570.0891537667842</v>
      </c>
      <c r="Q102" s="65">
        <f t="shared" si="98"/>
        <v>1739.2862053933031</v>
      </c>
      <c r="R102" s="65">
        <f t="shared" si="98"/>
        <v>1546.652312603843</v>
      </c>
      <c r="S102" s="65">
        <f t="shared" si="98"/>
        <v>1478.6094568338856</v>
      </c>
      <c r="T102" s="65">
        <f t="shared" si="98"/>
        <v>1772.7225126548342</v>
      </c>
      <c r="U102" s="65">
        <f t="shared" si="98"/>
        <v>1681.1376268562999</v>
      </c>
      <c r="V102" s="65">
        <f t="shared" si="98"/>
        <v>1425.0186311427815</v>
      </c>
      <c r="W102" s="65">
        <f t="shared" si="98"/>
        <v>1358.5459783796596</v>
      </c>
      <c r="X102" s="65">
        <f t="shared" ref="X102:Y102" si="99">X50*11630*1000/X$8</f>
        <v>1515.6422506268818</v>
      </c>
      <c r="Y102" s="65">
        <f t="shared" si="99"/>
        <v>1450.9399179367624</v>
      </c>
      <c r="DA102" s="109"/>
    </row>
    <row r="103" spans="1:105" ht="12" customHeight="1" x14ac:dyDescent="0.25">
      <c r="A103" s="61" t="s">
        <v>35</v>
      </c>
      <c r="B103" s="65">
        <f t="shared" si="91"/>
        <v>9675.6529409425748</v>
      </c>
      <c r="C103" s="65">
        <f t="shared" ref="C103:W103" si="100">C51*11630*1000/C$8</f>
        <v>9299.3417299008797</v>
      </c>
      <c r="D103" s="65">
        <f t="shared" si="100"/>
        <v>9331.8800220703833</v>
      </c>
      <c r="E103" s="65">
        <f t="shared" si="100"/>
        <v>9482.1048706402507</v>
      </c>
      <c r="F103" s="65">
        <f t="shared" si="100"/>
        <v>9269.9739791694647</v>
      </c>
      <c r="G103" s="65">
        <f t="shared" si="100"/>
        <v>9227.8043375716898</v>
      </c>
      <c r="H103" s="65">
        <f t="shared" si="100"/>
        <v>9235.9763573095279</v>
      </c>
      <c r="I103" s="65">
        <f t="shared" si="100"/>
        <v>9111.9593141045807</v>
      </c>
      <c r="J103" s="65">
        <f t="shared" si="100"/>
        <v>9032.6202191821103</v>
      </c>
      <c r="K103" s="65">
        <f t="shared" si="100"/>
        <v>9171.4882966851601</v>
      </c>
      <c r="L103" s="65">
        <f t="shared" si="100"/>
        <v>9003.1182139513494</v>
      </c>
      <c r="M103" s="65">
        <f t="shared" si="100"/>
        <v>8841.452500056901</v>
      </c>
      <c r="N103" s="65">
        <f t="shared" si="100"/>
        <v>8842.1834744007192</v>
      </c>
      <c r="O103" s="65">
        <f t="shared" si="100"/>
        <v>8641.3013027416218</v>
      </c>
      <c r="P103" s="65">
        <f t="shared" si="100"/>
        <v>8833.2549976594692</v>
      </c>
      <c r="Q103" s="65">
        <f t="shared" si="100"/>
        <v>8763.9256595927945</v>
      </c>
      <c r="R103" s="65">
        <f t="shared" si="100"/>
        <v>8552.9397257028213</v>
      </c>
      <c r="S103" s="65">
        <f t="shared" si="100"/>
        <v>8513.7128421616744</v>
      </c>
      <c r="T103" s="65">
        <f t="shared" si="100"/>
        <v>8911.0248118828858</v>
      </c>
      <c r="U103" s="65">
        <f t="shared" si="100"/>
        <v>8620.9739726700191</v>
      </c>
      <c r="V103" s="65">
        <f t="shared" si="100"/>
        <v>7511.3652261442367</v>
      </c>
      <c r="W103" s="65">
        <f t="shared" si="100"/>
        <v>7560.7483587365032</v>
      </c>
      <c r="X103" s="65">
        <f t="shared" ref="X103:Y103" si="101">X51*11630*1000/X$8</f>
        <v>6977.589164595006</v>
      </c>
      <c r="Y103" s="65">
        <f t="shared" si="101"/>
        <v>6724.5315039762327</v>
      </c>
      <c r="DA103" s="109"/>
    </row>
    <row r="104" spans="1:105" ht="12" customHeight="1" x14ac:dyDescent="0.25">
      <c r="A104" s="66" t="s">
        <v>34</v>
      </c>
      <c r="B104" s="67">
        <f t="shared" si="91"/>
        <v>10372.657796272581</v>
      </c>
      <c r="C104" s="67">
        <f t="shared" ref="C104:W104" si="102">C52*11630*1000/C$8</f>
        <v>10122.609361152272</v>
      </c>
      <c r="D104" s="67">
        <f t="shared" si="102"/>
        <v>10598.693261619734</v>
      </c>
      <c r="E104" s="67">
        <f t="shared" si="102"/>
        <v>11026.210333178306</v>
      </c>
      <c r="F104" s="67">
        <f t="shared" si="102"/>
        <v>10968.350637453897</v>
      </c>
      <c r="G104" s="67">
        <f t="shared" si="102"/>
        <v>10687.566190936379</v>
      </c>
      <c r="H104" s="67">
        <f t="shared" si="102"/>
        <v>10410.580222977158</v>
      </c>
      <c r="I104" s="67">
        <f t="shared" si="102"/>
        <v>10387.331462051441</v>
      </c>
      <c r="J104" s="67">
        <f t="shared" si="102"/>
        <v>10102.777135517679</v>
      </c>
      <c r="K104" s="67">
        <f t="shared" si="102"/>
        <v>10401.633832777923</v>
      </c>
      <c r="L104" s="67">
        <f t="shared" si="102"/>
        <v>10459.746429200772</v>
      </c>
      <c r="M104" s="67">
        <f t="shared" si="102"/>
        <v>10185.967473530625</v>
      </c>
      <c r="N104" s="67">
        <f t="shared" si="102"/>
        <v>10215.83304217884</v>
      </c>
      <c r="O104" s="67">
        <f t="shared" si="102"/>
        <v>10380.484484258131</v>
      </c>
      <c r="P104" s="67">
        <f t="shared" si="102"/>
        <v>10765.166875101047</v>
      </c>
      <c r="Q104" s="67">
        <f t="shared" si="102"/>
        <v>10638.612306624551</v>
      </c>
      <c r="R104" s="67">
        <f t="shared" si="102"/>
        <v>10520.539288329956</v>
      </c>
      <c r="S104" s="67">
        <f t="shared" si="102"/>
        <v>10787.835720729629</v>
      </c>
      <c r="T104" s="67">
        <f t="shared" si="102"/>
        <v>10991.764937167676</v>
      </c>
      <c r="U104" s="67">
        <f t="shared" si="102"/>
        <v>11188.189973178878</v>
      </c>
      <c r="V104" s="67">
        <f t="shared" si="102"/>
        <v>10085.690130366065</v>
      </c>
      <c r="W104" s="67">
        <f t="shared" si="102"/>
        <v>10287.392664459036</v>
      </c>
      <c r="X104" s="67">
        <f t="shared" ref="X104:Y104" si="103">X52*11630*1000/X$8</f>
        <v>9132.3712386031275</v>
      </c>
      <c r="Y104" s="67">
        <f t="shared" si="103"/>
        <v>8870.8080893936913</v>
      </c>
      <c r="DA104" s="110"/>
    </row>
    <row r="105" spans="1:105" ht="12" customHeight="1" x14ac:dyDescent="0.25">
      <c r="A105" s="78" t="s">
        <v>33</v>
      </c>
      <c r="B105" s="68">
        <f t="shared" si="91"/>
        <v>25126.139895270284</v>
      </c>
      <c r="C105" s="68">
        <f t="shared" ref="C105:W105" si="104">C53*11630*1000/C$8</f>
        <v>25635.819181329767</v>
      </c>
      <c r="D105" s="68">
        <f t="shared" si="104"/>
        <v>26169.452188555613</v>
      </c>
      <c r="E105" s="68">
        <f t="shared" si="104"/>
        <v>26723.089198353013</v>
      </c>
      <c r="F105" s="68">
        <f t="shared" si="104"/>
        <v>27181.585404098732</v>
      </c>
      <c r="G105" s="68">
        <f t="shared" si="104"/>
        <v>27572.618117034606</v>
      </c>
      <c r="H105" s="68">
        <f t="shared" si="104"/>
        <v>27657.671605631949</v>
      </c>
      <c r="I105" s="68">
        <f t="shared" si="104"/>
        <v>27716.710362313468</v>
      </c>
      <c r="J105" s="68">
        <f t="shared" si="104"/>
        <v>27881.305939175985</v>
      </c>
      <c r="K105" s="68">
        <f t="shared" si="104"/>
        <v>28165.912159653701</v>
      </c>
      <c r="L105" s="68">
        <f t="shared" si="104"/>
        <v>28342.921244026846</v>
      </c>
      <c r="M105" s="68">
        <f t="shared" si="104"/>
        <v>28301.039823599705</v>
      </c>
      <c r="N105" s="68">
        <f t="shared" si="104"/>
        <v>28212.77314136472</v>
      </c>
      <c r="O105" s="68">
        <f t="shared" si="104"/>
        <v>28259.70616282933</v>
      </c>
      <c r="P105" s="68">
        <f t="shared" si="104"/>
        <v>28369.391227022905</v>
      </c>
      <c r="Q105" s="68">
        <f t="shared" si="104"/>
        <v>28624.364863784231</v>
      </c>
      <c r="R105" s="68">
        <f t="shared" si="104"/>
        <v>28214.794301719539</v>
      </c>
      <c r="S105" s="68">
        <f t="shared" si="104"/>
        <v>28156.506218054197</v>
      </c>
      <c r="T105" s="68">
        <f t="shared" si="104"/>
        <v>27742.846895245271</v>
      </c>
      <c r="U105" s="68">
        <f t="shared" si="104"/>
        <v>27140.757716638705</v>
      </c>
      <c r="V105" s="68">
        <f t="shared" si="104"/>
        <v>26272.006072400705</v>
      </c>
      <c r="W105" s="68">
        <f t="shared" si="104"/>
        <v>26231.907646018051</v>
      </c>
      <c r="X105" s="68">
        <f t="shared" ref="X105:Y105" si="105">X53*11630*1000/X$8</f>
        <v>25655.708687746035</v>
      </c>
      <c r="Y105" s="68">
        <f t="shared" si="105"/>
        <v>25197.424158655373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43199.856244179013</v>
      </c>
      <c r="C107" s="85">
        <f t="shared" ref="C107:W107" si="107">SUM(C108:C111)</f>
        <v>44479.875357103352</v>
      </c>
      <c r="D107" s="85">
        <f t="shared" si="107"/>
        <v>44960.764447860674</v>
      </c>
      <c r="E107" s="85">
        <f t="shared" si="107"/>
        <v>54738.78227470586</v>
      </c>
      <c r="F107" s="85">
        <f t="shared" si="107"/>
        <v>52918.773699788828</v>
      </c>
      <c r="G107" s="85">
        <f t="shared" si="107"/>
        <v>50507.867040942278</v>
      </c>
      <c r="H107" s="85">
        <f t="shared" si="107"/>
        <v>54614.998163733973</v>
      </c>
      <c r="I107" s="85">
        <f t="shared" si="107"/>
        <v>45516.204814688826</v>
      </c>
      <c r="J107" s="85">
        <f t="shared" si="107"/>
        <v>50620.303670031513</v>
      </c>
      <c r="K107" s="85">
        <f t="shared" si="107"/>
        <v>49773.363183054214</v>
      </c>
      <c r="L107" s="85">
        <f t="shared" si="107"/>
        <v>54752.577487951559</v>
      </c>
      <c r="M107" s="85">
        <f t="shared" si="107"/>
        <v>46260.266372805912</v>
      </c>
      <c r="N107" s="85">
        <f t="shared" si="107"/>
        <v>49682.146363410429</v>
      </c>
      <c r="O107" s="85">
        <f t="shared" si="107"/>
        <v>52820.488150163255</v>
      </c>
      <c r="P107" s="85">
        <f t="shared" si="107"/>
        <v>46511.604121676181</v>
      </c>
      <c r="Q107" s="85">
        <f t="shared" si="107"/>
        <v>50613.823168536408</v>
      </c>
      <c r="R107" s="85">
        <f t="shared" si="107"/>
        <v>49137.949986733161</v>
      </c>
      <c r="S107" s="85">
        <f t="shared" si="107"/>
        <v>49201.302819281591</v>
      </c>
      <c r="T107" s="85">
        <f t="shared" si="107"/>
        <v>48643.763564772918</v>
      </c>
      <c r="U107" s="85">
        <f t="shared" si="107"/>
        <v>46455.517027529386</v>
      </c>
      <c r="V107" s="85">
        <f t="shared" si="107"/>
        <v>45286.720037618732</v>
      </c>
      <c r="W107" s="85">
        <f t="shared" si="107"/>
        <v>52462.854692194873</v>
      </c>
      <c r="X107" s="85">
        <f t="shared" ref="X107:Y107" si="108">SUM(X108:X111)</f>
        <v>42060.241314186474</v>
      </c>
      <c r="Y107" s="85">
        <f t="shared" si="108"/>
        <v>40404.309933990262</v>
      </c>
      <c r="DA107" s="117"/>
    </row>
    <row r="108" spans="1:105" ht="12" customHeight="1" x14ac:dyDescent="0.25">
      <c r="A108" s="61" t="s">
        <v>32</v>
      </c>
      <c r="B108" s="65">
        <v>27943.704153592033</v>
      </c>
      <c r="C108" s="65">
        <v>29490.354247542855</v>
      </c>
      <c r="D108" s="65">
        <v>29408.015241904533</v>
      </c>
      <c r="E108" s="65">
        <v>37845.585762773764</v>
      </c>
      <c r="F108" s="65">
        <v>36651.291162024027</v>
      </c>
      <c r="G108" s="65">
        <v>34190.211679922853</v>
      </c>
      <c r="H108" s="65">
        <v>37828.241413277021</v>
      </c>
      <c r="I108" s="65">
        <v>28736.590129615157</v>
      </c>
      <c r="J108" s="65">
        <v>33793.515285395159</v>
      </c>
      <c r="K108" s="65">
        <v>32174.631896345294</v>
      </c>
      <c r="L108" s="65">
        <v>36396.795070338834</v>
      </c>
      <c r="M108" s="65">
        <v>28253.403363719692</v>
      </c>
      <c r="N108" s="65">
        <v>31232.945903577776</v>
      </c>
      <c r="O108" s="65">
        <v>33936.879193065986</v>
      </c>
      <c r="P108" s="65">
        <v>27683.477881879164</v>
      </c>
      <c r="Q108" s="65">
        <v>30908.819255879866</v>
      </c>
      <c r="R108" s="65">
        <v>30039.262316542154</v>
      </c>
      <c r="S108" s="65">
        <v>29919.89753556751</v>
      </c>
      <c r="T108" s="65">
        <v>27528.933199813506</v>
      </c>
      <c r="U108" s="65">
        <v>25616.547459075882</v>
      </c>
      <c r="V108" s="65">
        <v>26667.898332332716</v>
      </c>
      <c r="W108" s="65">
        <v>33659.431322802768</v>
      </c>
      <c r="X108" s="65">
        <v>23859.800140111682</v>
      </c>
      <c r="Y108" s="65">
        <v>22728.457364208029</v>
      </c>
      <c r="DA108" s="109"/>
    </row>
    <row r="109" spans="1:105" ht="12" customHeight="1" x14ac:dyDescent="0.25">
      <c r="A109" s="61" t="s">
        <v>31</v>
      </c>
      <c r="B109" s="65">
        <v>2492.4163749962972</v>
      </c>
      <c r="C109" s="65">
        <v>2616.6288656061233</v>
      </c>
      <c r="D109" s="65">
        <v>2786.2779335081523</v>
      </c>
      <c r="E109" s="65">
        <v>3528.4479355051321</v>
      </c>
      <c r="F109" s="65">
        <v>3043.5812886800718</v>
      </c>
      <c r="G109" s="65">
        <v>3264.9694776711253</v>
      </c>
      <c r="H109" s="65">
        <v>3846.472038242794</v>
      </c>
      <c r="I109" s="65">
        <v>3811.1612734842784</v>
      </c>
      <c r="J109" s="65">
        <v>4054.588487861392</v>
      </c>
      <c r="K109" s="65">
        <v>4379.8722638317977</v>
      </c>
      <c r="L109" s="65">
        <v>5057.812544094546</v>
      </c>
      <c r="M109" s="65">
        <v>4918.3099040770894</v>
      </c>
      <c r="N109" s="65">
        <v>5237.4002963826551</v>
      </c>
      <c r="O109" s="65">
        <v>5683.452688791931</v>
      </c>
      <c r="P109" s="65">
        <v>5482.398243502209</v>
      </c>
      <c r="Q109" s="65">
        <v>6307.3286983241242</v>
      </c>
      <c r="R109" s="65">
        <v>5827.650088686275</v>
      </c>
      <c r="S109" s="65">
        <v>5769.9182257646189</v>
      </c>
      <c r="T109" s="65">
        <v>7121.8744895445216</v>
      </c>
      <c r="U109" s="65">
        <v>6933.6861534719819</v>
      </c>
      <c r="V109" s="65">
        <v>6030.4256266603797</v>
      </c>
      <c r="W109" s="65">
        <v>5871.8693631952192</v>
      </c>
      <c r="X109" s="65">
        <v>6656.0783522362026</v>
      </c>
      <c r="Y109" s="65">
        <v>6458.0207416830663</v>
      </c>
      <c r="DA109" s="109"/>
    </row>
    <row r="110" spans="1:105" ht="12" customHeight="1" x14ac:dyDescent="0.25">
      <c r="A110" s="61" t="s">
        <v>35</v>
      </c>
      <c r="B110" s="65">
        <v>6158.3247052301249</v>
      </c>
      <c r="C110" s="65">
        <v>5930.2228373277003</v>
      </c>
      <c r="D110" s="65">
        <v>5994.3213153794813</v>
      </c>
      <c r="E110" s="65">
        <v>6299.4661375181277</v>
      </c>
      <c r="F110" s="65">
        <v>6180.6770490324388</v>
      </c>
      <c r="G110" s="65">
        <v>6184.7784741837695</v>
      </c>
      <c r="H110" s="65">
        <v>6224.482666643371</v>
      </c>
      <c r="I110" s="65">
        <v>6194.6700655241239</v>
      </c>
      <c r="J110" s="65">
        <v>6193.3388662185198</v>
      </c>
      <c r="K110" s="65">
        <v>6349.573952534246</v>
      </c>
      <c r="L110" s="65">
        <v>6300.2436945385462</v>
      </c>
      <c r="M110" s="65">
        <v>6242.2414808451367</v>
      </c>
      <c r="N110" s="65">
        <v>6335.6969748207566</v>
      </c>
      <c r="O110" s="65">
        <v>6225.9630135925936</v>
      </c>
      <c r="P110" s="65">
        <v>6407.4702519221037</v>
      </c>
      <c r="Q110" s="65">
        <v>6425.3461668202099</v>
      </c>
      <c r="R110" s="65">
        <v>6343.8546761163925</v>
      </c>
      <c r="S110" s="65">
        <v>6409.6748470515186</v>
      </c>
      <c r="T110" s="65">
        <v>6918.0657759936494</v>
      </c>
      <c r="U110" s="65">
        <v>6777.910928615991</v>
      </c>
      <c r="V110" s="65">
        <v>5990.5147575611545</v>
      </c>
      <c r="W110" s="65">
        <v>6106.0322211450757</v>
      </c>
      <c r="X110" s="65">
        <v>5751.6169006405498</v>
      </c>
      <c r="Y110" s="65">
        <v>5635.4455095098001</v>
      </c>
      <c r="DA110" s="109"/>
    </row>
    <row r="111" spans="1:105" ht="12" customHeight="1" x14ac:dyDescent="0.25">
      <c r="A111" s="74" t="s">
        <v>34</v>
      </c>
      <c r="B111" s="68">
        <v>6605.4110103605599</v>
      </c>
      <c r="C111" s="68">
        <v>6442.6694066266746</v>
      </c>
      <c r="D111" s="68">
        <v>6772.149957068511</v>
      </c>
      <c r="E111" s="68">
        <v>7065.28243890884</v>
      </c>
      <c r="F111" s="68">
        <v>7043.2242000522874</v>
      </c>
      <c r="G111" s="68">
        <v>6867.9074091645271</v>
      </c>
      <c r="H111" s="68">
        <v>6715.8020455707874</v>
      </c>
      <c r="I111" s="68">
        <v>6773.7833460652719</v>
      </c>
      <c r="J111" s="68">
        <v>6578.8610305564425</v>
      </c>
      <c r="K111" s="68">
        <v>6869.2850703428785</v>
      </c>
      <c r="L111" s="68">
        <v>6997.7261789796294</v>
      </c>
      <c r="M111" s="68">
        <v>6846.3116241639927</v>
      </c>
      <c r="N111" s="68">
        <v>6876.1031886292367</v>
      </c>
      <c r="O111" s="68">
        <v>6974.1932547127508</v>
      </c>
      <c r="P111" s="68">
        <v>6938.2577443727023</v>
      </c>
      <c r="Q111" s="68">
        <v>6972.3290475122121</v>
      </c>
      <c r="R111" s="68">
        <v>6927.1829053883403</v>
      </c>
      <c r="S111" s="68">
        <v>7101.8122108979469</v>
      </c>
      <c r="T111" s="68">
        <v>7074.8900994212345</v>
      </c>
      <c r="U111" s="68">
        <v>7127.3724863655325</v>
      </c>
      <c r="V111" s="68">
        <v>6597.8813210644794</v>
      </c>
      <c r="W111" s="68">
        <v>6825.5217850518065</v>
      </c>
      <c r="X111" s="68">
        <v>5792.7459211980413</v>
      </c>
      <c r="Y111" s="68">
        <v>5582.3863185893642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13660.687840708508</v>
      </c>
      <c r="C113" s="82">
        <f t="shared" ref="C113:W113" si="110">C81*1000000/C$8</f>
        <v>14559.759211510493</v>
      </c>
      <c r="D113" s="82">
        <f t="shared" si="110"/>
        <v>13702.512136840989</v>
      </c>
      <c r="E113" s="82">
        <f t="shared" si="110"/>
        <v>13172.052633942301</v>
      </c>
      <c r="F113" s="82">
        <f t="shared" si="110"/>
        <v>12445.234364984281</v>
      </c>
      <c r="G113" s="82">
        <f t="shared" si="110"/>
        <v>12074.067711268868</v>
      </c>
      <c r="H113" s="82">
        <f t="shared" si="110"/>
        <v>13436.764724174222</v>
      </c>
      <c r="I113" s="82">
        <f t="shared" si="110"/>
        <v>10207.531340814545</v>
      </c>
      <c r="J113" s="82">
        <f t="shared" si="110"/>
        <v>11467.314968849059</v>
      </c>
      <c r="K113" s="82">
        <f t="shared" si="110"/>
        <v>10592.107730685035</v>
      </c>
      <c r="L113" s="82">
        <f t="shared" si="110"/>
        <v>10570.285735113708</v>
      </c>
      <c r="M113" s="82">
        <f t="shared" si="110"/>
        <v>9481.9251243399103</v>
      </c>
      <c r="N113" s="82">
        <f t="shared" si="110"/>
        <v>9779.9021149462405</v>
      </c>
      <c r="O113" s="82">
        <f t="shared" si="110"/>
        <v>10986.016817404161</v>
      </c>
      <c r="P113" s="82">
        <f t="shared" si="110"/>
        <v>10004.419056282773</v>
      </c>
      <c r="Q113" s="82">
        <f t="shared" si="110"/>
        <v>10305.848710192369</v>
      </c>
      <c r="R113" s="82">
        <f t="shared" si="110"/>
        <v>9963.7881893396861</v>
      </c>
      <c r="S113" s="82">
        <f t="shared" si="110"/>
        <v>9881.2977366711457</v>
      </c>
      <c r="T113" s="82">
        <f t="shared" si="110"/>
        <v>8964.8425508814598</v>
      </c>
      <c r="U113" s="82">
        <f t="shared" si="110"/>
        <v>8379.7642102548507</v>
      </c>
      <c r="V113" s="82">
        <f t="shared" si="110"/>
        <v>8156.5751691715031</v>
      </c>
      <c r="W113" s="82">
        <f t="shared" si="110"/>
        <v>9521.97894200683</v>
      </c>
      <c r="X113" s="82">
        <f t="shared" ref="X113:Y113" si="111">X81*1000000/X$8</f>
        <v>6846.8153994506993</v>
      </c>
      <c r="Y113" s="82">
        <f t="shared" si="111"/>
        <v>6408.7564807105709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13660.687840708508</v>
      </c>
      <c r="C114" s="64">
        <f t="shared" ref="C114:W114" si="113">C82*1000000/C$8</f>
        <v>14559.759211510493</v>
      </c>
      <c r="D114" s="64">
        <f t="shared" si="113"/>
        <v>13702.512136840989</v>
      </c>
      <c r="E114" s="64">
        <f t="shared" si="113"/>
        <v>13172.052633942301</v>
      </c>
      <c r="F114" s="64">
        <f t="shared" si="113"/>
        <v>12445.234364984281</v>
      </c>
      <c r="G114" s="64">
        <f t="shared" si="113"/>
        <v>12074.067711268868</v>
      </c>
      <c r="H114" s="64">
        <f t="shared" si="113"/>
        <v>13436.764724174222</v>
      </c>
      <c r="I114" s="64">
        <f t="shared" si="113"/>
        <v>10207.531340814545</v>
      </c>
      <c r="J114" s="64">
        <f t="shared" si="113"/>
        <v>11467.314968849059</v>
      </c>
      <c r="K114" s="64">
        <f t="shared" si="113"/>
        <v>10592.107730685035</v>
      </c>
      <c r="L114" s="64">
        <f t="shared" si="113"/>
        <v>10570.285735113708</v>
      </c>
      <c r="M114" s="64">
        <f t="shared" si="113"/>
        <v>9481.9251243399103</v>
      </c>
      <c r="N114" s="64">
        <f t="shared" si="113"/>
        <v>9779.9021149462405</v>
      </c>
      <c r="O114" s="64">
        <f t="shared" si="113"/>
        <v>10986.016817404161</v>
      </c>
      <c r="P114" s="64">
        <f t="shared" si="113"/>
        <v>10004.419056282773</v>
      </c>
      <c r="Q114" s="64">
        <f t="shared" si="113"/>
        <v>10305.848710192369</v>
      </c>
      <c r="R114" s="64">
        <f t="shared" si="113"/>
        <v>9963.7881893396861</v>
      </c>
      <c r="S114" s="64">
        <f t="shared" si="113"/>
        <v>9881.2977366711457</v>
      </c>
      <c r="T114" s="64">
        <f t="shared" si="113"/>
        <v>8964.8425508814598</v>
      </c>
      <c r="U114" s="64">
        <f t="shared" si="113"/>
        <v>8379.7642102548507</v>
      </c>
      <c r="V114" s="64">
        <f t="shared" si="113"/>
        <v>8156.5751691715031</v>
      </c>
      <c r="W114" s="64">
        <f t="shared" si="113"/>
        <v>9521.97894200683</v>
      </c>
      <c r="X114" s="64">
        <f t="shared" ref="X114:Y114" si="114">X82*1000000/X$8</f>
        <v>6846.8153994506993</v>
      </c>
      <c r="Y114" s="64">
        <f t="shared" si="114"/>
        <v>6408.7564807105709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10568.825295552502</v>
      </c>
      <c r="C115" s="65">
        <f t="shared" ref="C115:W115" si="116">C83*1000000/C$8</f>
        <v>11514.390395389168</v>
      </c>
      <c r="D115" s="65">
        <f t="shared" si="116"/>
        <v>10602.607872482031</v>
      </c>
      <c r="E115" s="65">
        <f t="shared" si="116"/>
        <v>10073.215350927161</v>
      </c>
      <c r="F115" s="65">
        <f t="shared" si="116"/>
        <v>9406.2712792043949</v>
      </c>
      <c r="G115" s="65">
        <f t="shared" si="116"/>
        <v>9072.8705115071371</v>
      </c>
      <c r="H115" s="65">
        <f t="shared" si="116"/>
        <v>10477.426625261929</v>
      </c>
      <c r="I115" s="65">
        <f t="shared" si="116"/>
        <v>7373.0531714357921</v>
      </c>
      <c r="J115" s="65">
        <f t="shared" si="116"/>
        <v>8663.2482142750378</v>
      </c>
      <c r="K115" s="65">
        <f t="shared" si="116"/>
        <v>7859.2513819389287</v>
      </c>
      <c r="L115" s="65">
        <f t="shared" si="116"/>
        <v>7954.2151947489319</v>
      </c>
      <c r="M115" s="65">
        <f t="shared" si="116"/>
        <v>6935.6987979251517</v>
      </c>
      <c r="N115" s="65">
        <f t="shared" si="116"/>
        <v>7253.8830372038219</v>
      </c>
      <c r="O115" s="65">
        <f t="shared" si="116"/>
        <v>8377.9228376771807</v>
      </c>
      <c r="P115" s="65">
        <f t="shared" si="116"/>
        <v>7007.7961672941328</v>
      </c>
      <c r="Q115" s="65">
        <f t="shared" si="116"/>
        <v>7456.0992819212115</v>
      </c>
      <c r="R115" s="65">
        <f t="shared" si="116"/>
        <v>7189.064660041864</v>
      </c>
      <c r="S115" s="65">
        <f t="shared" si="116"/>
        <v>7045.7286012171016</v>
      </c>
      <c r="T115" s="65">
        <f t="shared" si="116"/>
        <v>5825.9466849773426</v>
      </c>
      <c r="U115" s="65">
        <f t="shared" si="116"/>
        <v>5157.8434377773374</v>
      </c>
      <c r="V115" s="65">
        <f t="shared" si="116"/>
        <v>5369.3122594165316</v>
      </c>
      <c r="W115" s="65">
        <f t="shared" si="116"/>
        <v>6790.4168555642127</v>
      </c>
      <c r="X115" s="65">
        <f t="shared" ref="X115:Y115" si="117">X83*1000000/X$8</f>
        <v>4039.3457468089791</v>
      </c>
      <c r="Y115" s="65">
        <f t="shared" si="117"/>
        <v>3624.0255051450295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0.12741946867611972</v>
      </c>
      <c r="C116" s="65">
        <f t="shared" ref="C116:W116" si="119">C84*1000000/C$8</f>
        <v>0.13422364385799929</v>
      </c>
      <c r="D116" s="65">
        <f t="shared" si="119"/>
        <v>0.14491496861843939</v>
      </c>
      <c r="E116" s="65">
        <f t="shared" si="119"/>
        <v>0.1731019055525265</v>
      </c>
      <c r="F116" s="65">
        <f t="shared" si="119"/>
        <v>0.21090514498725524</v>
      </c>
      <c r="G116" s="65">
        <f t="shared" si="119"/>
        <v>0.26040708710945171</v>
      </c>
      <c r="H116" s="65">
        <f t="shared" si="119"/>
        <v>0.30018556866754326</v>
      </c>
      <c r="I116" s="65">
        <f t="shared" si="119"/>
        <v>0.44497867916170647</v>
      </c>
      <c r="J116" s="65">
        <f t="shared" si="119"/>
        <v>0.54370257582968318</v>
      </c>
      <c r="K116" s="65">
        <f t="shared" si="119"/>
        <v>0.66641668258573816</v>
      </c>
      <c r="L116" s="65">
        <f t="shared" si="119"/>
        <v>0.85081062617126091</v>
      </c>
      <c r="M116" s="65">
        <f t="shared" si="119"/>
        <v>0.93219273716412299</v>
      </c>
      <c r="N116" s="65">
        <f t="shared" si="119"/>
        <v>1.0593175499248941</v>
      </c>
      <c r="O116" s="65">
        <f t="shared" si="119"/>
        <v>1.2966443154259688</v>
      </c>
      <c r="P116" s="65">
        <f t="shared" si="119"/>
        <v>1.686562777401557</v>
      </c>
      <c r="Q116" s="65">
        <f t="shared" si="119"/>
        <v>2.2916658223565318</v>
      </c>
      <c r="R116" s="65">
        <f t="shared" si="119"/>
        <v>2.8635158656611526</v>
      </c>
      <c r="S116" s="65">
        <f t="shared" si="119"/>
        <v>3.0500146985883752</v>
      </c>
      <c r="T116" s="65">
        <f t="shared" si="119"/>
        <v>5.0105976799636363</v>
      </c>
      <c r="U116" s="65">
        <f t="shared" si="119"/>
        <v>5.3648249161800692</v>
      </c>
      <c r="V116" s="65">
        <f t="shared" si="119"/>
        <v>4.0897022910308625</v>
      </c>
      <c r="W116" s="65">
        <f t="shared" si="119"/>
        <v>4.0706924658379133</v>
      </c>
      <c r="X116" s="65">
        <f t="shared" ref="X116:Y116" si="120">X84*1000000/X$8</f>
        <v>5.3446295592083075</v>
      </c>
      <c r="Y116" s="65">
        <f t="shared" si="120"/>
        <v>5.1794196150206435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1592.9426840657259</v>
      </c>
      <c r="C117" s="65">
        <f t="shared" ref="C117:W117" si="122">C85*1000000/C$8</f>
        <v>1568.0991822851124</v>
      </c>
      <c r="D117" s="65">
        <f t="shared" si="122"/>
        <v>1572.8215988534375</v>
      </c>
      <c r="E117" s="65">
        <f t="shared" si="122"/>
        <v>1545.1826532857899</v>
      </c>
      <c r="F117" s="65">
        <f t="shared" si="122"/>
        <v>1499.1702294853837</v>
      </c>
      <c r="G117" s="65">
        <f t="shared" si="122"/>
        <v>1489.6289311338735</v>
      </c>
      <c r="H117" s="65">
        <f t="shared" si="122"/>
        <v>1498.7090964685008</v>
      </c>
      <c r="I117" s="65">
        <f t="shared" si="122"/>
        <v>1447.9612555913457</v>
      </c>
      <c r="J117" s="65">
        <f t="shared" si="122"/>
        <v>1429.0113172354575</v>
      </c>
      <c r="K117" s="65">
        <f t="shared" si="122"/>
        <v>1408.4378955485536</v>
      </c>
      <c r="L117" s="65">
        <f t="shared" si="122"/>
        <v>1370.6790337762329</v>
      </c>
      <c r="M117" s="65">
        <f t="shared" si="122"/>
        <v>1368.8765243702717</v>
      </c>
      <c r="N117" s="65">
        <f t="shared" si="122"/>
        <v>1351.8097870506695</v>
      </c>
      <c r="O117" s="65">
        <f t="shared" si="122"/>
        <v>1385.1733861743344</v>
      </c>
      <c r="P117" s="65">
        <f t="shared" si="122"/>
        <v>1432.1463432451453</v>
      </c>
      <c r="Q117" s="65">
        <f t="shared" si="122"/>
        <v>1411.1476348655781</v>
      </c>
      <c r="R117" s="65">
        <f t="shared" si="122"/>
        <v>1363.5487135573649</v>
      </c>
      <c r="S117" s="65">
        <f t="shared" si="122"/>
        <v>1367.0614572966738</v>
      </c>
      <c r="T117" s="65">
        <f t="shared" si="122"/>
        <v>1449.3997481189306</v>
      </c>
      <c r="U117" s="65">
        <f t="shared" si="122"/>
        <v>1398.1787768015879</v>
      </c>
      <c r="V117" s="65">
        <f t="shared" si="122"/>
        <v>1263.9962283851517</v>
      </c>
      <c r="W117" s="65">
        <f t="shared" si="122"/>
        <v>1234.4253567774956</v>
      </c>
      <c r="X117" s="65">
        <f t="shared" ref="X117:Y117" si="123">X85*1000000/X$8</f>
        <v>1219.1556759869122</v>
      </c>
      <c r="Y117" s="65">
        <f t="shared" si="123"/>
        <v>1194.0511672599537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1498.792441621601</v>
      </c>
      <c r="C118" s="67">
        <f t="shared" ref="C118:W118" si="125">C86*1000000/C$8</f>
        <v>1477.1354101923571</v>
      </c>
      <c r="D118" s="67">
        <f t="shared" si="125"/>
        <v>1526.9377505369023</v>
      </c>
      <c r="E118" s="67">
        <f t="shared" si="125"/>
        <v>1553.4815278237966</v>
      </c>
      <c r="F118" s="67">
        <f t="shared" si="125"/>
        <v>1539.5819511495138</v>
      </c>
      <c r="G118" s="67">
        <f t="shared" si="125"/>
        <v>1511.3078615407512</v>
      </c>
      <c r="H118" s="67">
        <f t="shared" si="125"/>
        <v>1460.3288168751226</v>
      </c>
      <c r="I118" s="67">
        <f t="shared" si="125"/>
        <v>1386.0719351082441</v>
      </c>
      <c r="J118" s="67">
        <f t="shared" si="125"/>
        <v>1374.5117347627347</v>
      </c>
      <c r="K118" s="67">
        <f t="shared" si="125"/>
        <v>1323.7520365149664</v>
      </c>
      <c r="L118" s="67">
        <f t="shared" si="125"/>
        <v>1244.5406959623731</v>
      </c>
      <c r="M118" s="67">
        <f t="shared" si="125"/>
        <v>1176.4176093073222</v>
      </c>
      <c r="N118" s="67">
        <f t="shared" si="125"/>
        <v>1173.1499731418237</v>
      </c>
      <c r="O118" s="67">
        <f t="shared" si="125"/>
        <v>1221.623949237219</v>
      </c>
      <c r="P118" s="67">
        <f t="shared" si="125"/>
        <v>1562.7899829660921</v>
      </c>
      <c r="Q118" s="67">
        <f t="shared" si="125"/>
        <v>1436.3101275832244</v>
      </c>
      <c r="R118" s="67">
        <f t="shared" si="125"/>
        <v>1408.3112998747954</v>
      </c>
      <c r="S118" s="67">
        <f t="shared" si="125"/>
        <v>1465.4576634587806</v>
      </c>
      <c r="T118" s="67">
        <f t="shared" si="125"/>
        <v>1684.4855201052223</v>
      </c>
      <c r="U118" s="67">
        <f t="shared" si="125"/>
        <v>1818.3771707597436</v>
      </c>
      <c r="V118" s="67">
        <f t="shared" si="125"/>
        <v>1519.1769790787907</v>
      </c>
      <c r="W118" s="67">
        <f t="shared" si="125"/>
        <v>1493.0660371992847</v>
      </c>
      <c r="X118" s="67">
        <f t="shared" ref="X118:Y118" si="126">X86*1000000/X$8</f>
        <v>1582.9693470955995</v>
      </c>
      <c r="Y118" s="67">
        <f t="shared" si="126"/>
        <v>1585.5003886905681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0.60631900181927911</v>
      </c>
      <c r="C121" s="86">
        <f t="shared" ref="C121:W121" si="131">IF(C107=0,"",C107/C100)</f>
        <v>0.60505457222786763</v>
      </c>
      <c r="D121" s="86">
        <f t="shared" si="131"/>
        <v>0.61982169702060097</v>
      </c>
      <c r="E121" s="86">
        <f t="shared" si="131"/>
        <v>0.66137316472607843</v>
      </c>
      <c r="F121" s="86">
        <f t="shared" si="131"/>
        <v>0.66281249435448208</v>
      </c>
      <c r="G121" s="86">
        <f t="shared" si="131"/>
        <v>0.66516306127801506</v>
      </c>
      <c r="H121" s="86">
        <f t="shared" si="131"/>
        <v>0.6662296381842151</v>
      </c>
      <c r="I121" s="86">
        <f t="shared" si="131"/>
        <v>0.69089076342154709</v>
      </c>
      <c r="J121" s="86">
        <f t="shared" si="131"/>
        <v>0.69224236218799107</v>
      </c>
      <c r="K121" s="86">
        <f t="shared" si="131"/>
        <v>0.70789931116179206</v>
      </c>
      <c r="L121" s="86">
        <f t="shared" si="131"/>
        <v>0.72908549119856514</v>
      </c>
      <c r="M121" s="86">
        <f t="shared" si="131"/>
        <v>0.73544991478538191</v>
      </c>
      <c r="N121" s="86">
        <f t="shared" si="131"/>
        <v>0.75068423804162121</v>
      </c>
      <c r="O121" s="86">
        <f t="shared" si="131"/>
        <v>0.75504245236403178</v>
      </c>
      <c r="P121" s="86">
        <f t="shared" si="131"/>
        <v>0.76126969423945234</v>
      </c>
      <c r="Q121" s="86">
        <f t="shared" si="131"/>
        <v>0.77956040536888493</v>
      </c>
      <c r="R121" s="86">
        <f t="shared" si="131"/>
        <v>0.78332578522820695</v>
      </c>
      <c r="S121" s="86">
        <f t="shared" si="131"/>
        <v>0.793252786606919</v>
      </c>
      <c r="T121" s="86">
        <f t="shared" si="131"/>
        <v>0.83484998253275344</v>
      </c>
      <c r="U121" s="86">
        <f t="shared" si="131"/>
        <v>0.84452165476469765</v>
      </c>
      <c r="V121" s="86">
        <f t="shared" si="131"/>
        <v>0.84974725254601802</v>
      </c>
      <c r="W121" s="86">
        <f t="shared" si="131"/>
        <v>0.84337700554936212</v>
      </c>
      <c r="X121" s="86">
        <f t="shared" ref="X121:Y121" si="132">IF(X107=0,"",X107/X100)</f>
        <v>0.90082400410880747</v>
      </c>
      <c r="Y121" s="86">
        <f t="shared" si="132"/>
        <v>0.91476663428866911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0.55995080399925223</v>
      </c>
      <c r="C122" s="75">
        <f t="shared" ref="C122:W122" si="134">IF(C108=0,"",C108/C101)</f>
        <v>0.55875634070304281</v>
      </c>
      <c r="D122" s="75">
        <f t="shared" si="134"/>
        <v>0.5736273609966025</v>
      </c>
      <c r="E122" s="75">
        <f t="shared" si="134"/>
        <v>0.62421866065858289</v>
      </c>
      <c r="F122" s="75">
        <f t="shared" si="134"/>
        <v>0.62906460700953593</v>
      </c>
      <c r="G122" s="75">
        <f t="shared" si="134"/>
        <v>0.62556896244813787</v>
      </c>
      <c r="H122" s="75">
        <f t="shared" si="134"/>
        <v>0.62204615685762965</v>
      </c>
      <c r="I122" s="75">
        <f t="shared" si="134"/>
        <v>0.63904507765791096</v>
      </c>
      <c r="J122" s="75">
        <f t="shared" si="134"/>
        <v>0.64276799010174313</v>
      </c>
      <c r="K122" s="75">
        <f t="shared" si="134"/>
        <v>0.65335860473209806</v>
      </c>
      <c r="L122" s="75">
        <f t="shared" si="134"/>
        <v>0.6745299276061042</v>
      </c>
      <c r="M122" s="75">
        <f t="shared" si="134"/>
        <v>0.66790209919268873</v>
      </c>
      <c r="N122" s="75">
        <f t="shared" si="134"/>
        <v>0.68625819324972293</v>
      </c>
      <c r="O122" s="75">
        <f t="shared" si="134"/>
        <v>0.68910382223749622</v>
      </c>
      <c r="P122" s="75">
        <f t="shared" si="134"/>
        <v>0.69331939716817825</v>
      </c>
      <c r="Q122" s="75">
        <f t="shared" si="134"/>
        <v>0.70593410387063971</v>
      </c>
      <c r="R122" s="75">
        <f t="shared" si="134"/>
        <v>0.71335610744989231</v>
      </c>
      <c r="S122" s="75">
        <f t="shared" si="134"/>
        <v>0.72542602079494933</v>
      </c>
      <c r="T122" s="75">
        <f t="shared" si="134"/>
        <v>0.75234246399119487</v>
      </c>
      <c r="U122" s="75">
        <f t="shared" si="134"/>
        <v>0.76426740068276933</v>
      </c>
      <c r="V122" s="75">
        <f t="shared" si="134"/>
        <v>0.77811888378089755</v>
      </c>
      <c r="W122" s="75">
        <f t="shared" si="134"/>
        <v>0.78279549022653527</v>
      </c>
      <c r="X122" s="75">
        <f t="shared" ref="X122:Y122" si="135">IF(X108=0,"",X108/X101)</f>
        <v>0.82090467863211913</v>
      </c>
      <c r="Y122" s="75">
        <f t="shared" si="135"/>
        <v>0.83798649319591068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1.9213537030309598</v>
      </c>
      <c r="C123" s="76">
        <f t="shared" ref="C123:W123" si="137">IF(C109=0,"",C109/C102)</f>
        <v>1.9923857416106459</v>
      </c>
      <c r="D123" s="76">
        <f t="shared" si="137"/>
        <v>2.0779295769637729</v>
      </c>
      <c r="E123" s="76">
        <f t="shared" si="137"/>
        <v>2.1669463703569996</v>
      </c>
      <c r="F123" s="76">
        <f t="shared" si="137"/>
        <v>2.2742975044445468</v>
      </c>
      <c r="G123" s="76">
        <f t="shared" si="137"/>
        <v>2.3952431839105834</v>
      </c>
      <c r="H123" s="76">
        <f t="shared" si="137"/>
        <v>2.5354378478099617</v>
      </c>
      <c r="I123" s="76">
        <f t="shared" si="137"/>
        <v>2.6969129064324222</v>
      </c>
      <c r="J123" s="76">
        <f t="shared" si="137"/>
        <v>2.8659643985486882</v>
      </c>
      <c r="K123" s="76">
        <f t="shared" si="137"/>
        <v>2.9331001733545445</v>
      </c>
      <c r="L123" s="76">
        <f t="shared" si="137"/>
        <v>3.0178061432157119</v>
      </c>
      <c r="M123" s="76">
        <f t="shared" si="137"/>
        <v>3.1296893799526195</v>
      </c>
      <c r="N123" s="76">
        <f t="shared" si="137"/>
        <v>3.247960363736333</v>
      </c>
      <c r="O123" s="76">
        <f t="shared" si="137"/>
        <v>3.3682799377724981</v>
      </c>
      <c r="P123" s="76">
        <f t="shared" si="137"/>
        <v>3.4917751201257876</v>
      </c>
      <c r="Q123" s="76">
        <f t="shared" si="137"/>
        <v>3.6263891927423493</v>
      </c>
      <c r="R123" s="76">
        <f t="shared" si="137"/>
        <v>3.7679121811645069</v>
      </c>
      <c r="S123" s="76">
        <f t="shared" si="137"/>
        <v>3.9022597881387964</v>
      </c>
      <c r="T123" s="76">
        <f t="shared" si="137"/>
        <v>4.017478448377565</v>
      </c>
      <c r="U123" s="76">
        <f t="shared" si="137"/>
        <v>4.1244012641831489</v>
      </c>
      <c r="V123" s="76">
        <f t="shared" si="137"/>
        <v>4.2318223038419722</v>
      </c>
      <c r="W123" s="76">
        <f t="shared" si="137"/>
        <v>4.3221719813992667</v>
      </c>
      <c r="X123" s="76">
        <f t="shared" ref="X123:Y123" si="138">IF(X109=0,"",X109/X102)</f>
        <v>4.3915893407452815</v>
      </c>
      <c r="Y123" s="76">
        <f t="shared" si="138"/>
        <v>4.4509222345101485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0.6364763952178506</v>
      </c>
      <c r="C124" s="76">
        <f t="shared" ref="C124:W124" si="140">IF(C110=0,"",C110/C103)</f>
        <v>0.63770350736330128</v>
      </c>
      <c r="D124" s="76">
        <f t="shared" si="140"/>
        <v>0.64234873371738588</v>
      </c>
      <c r="E124" s="76">
        <f t="shared" si="140"/>
        <v>0.66435313925111383</v>
      </c>
      <c r="F124" s="76">
        <f t="shared" si="140"/>
        <v>0.6667415747790687</v>
      </c>
      <c r="G124" s="76">
        <f t="shared" si="140"/>
        <v>0.67023294468890993</v>
      </c>
      <c r="H124" s="76">
        <f t="shared" si="140"/>
        <v>0.67393878306295107</v>
      </c>
      <c r="I124" s="76">
        <f t="shared" si="140"/>
        <v>0.67983952210314114</v>
      </c>
      <c r="J124" s="76">
        <f t="shared" si="140"/>
        <v>0.68566359660135434</v>
      </c>
      <c r="K124" s="76">
        <f t="shared" si="140"/>
        <v>0.69231663903765372</v>
      </c>
      <c r="L124" s="76">
        <f t="shared" si="140"/>
        <v>0.69978462404010278</v>
      </c>
      <c r="M124" s="76">
        <f t="shared" si="140"/>
        <v>0.70601990801906855</v>
      </c>
      <c r="N124" s="76">
        <f t="shared" si="140"/>
        <v>0.71653081992286527</v>
      </c>
      <c r="O124" s="76">
        <f t="shared" si="140"/>
        <v>0.72048905546405206</v>
      </c>
      <c r="P124" s="76">
        <f t="shared" si="140"/>
        <v>0.72538042359468613</v>
      </c>
      <c r="Q124" s="76">
        <f t="shared" si="140"/>
        <v>0.73315845163373461</v>
      </c>
      <c r="R124" s="76">
        <f t="shared" si="140"/>
        <v>0.74171628464213202</v>
      </c>
      <c r="S124" s="76">
        <f t="shared" si="140"/>
        <v>0.75286481537285088</v>
      </c>
      <c r="T124" s="76">
        <f t="shared" si="140"/>
        <v>0.77634906444973451</v>
      </c>
      <c r="U124" s="76">
        <f t="shared" si="140"/>
        <v>0.78621173780400488</v>
      </c>
      <c r="V124" s="76">
        <f t="shared" si="140"/>
        <v>0.79752675807993278</v>
      </c>
      <c r="W124" s="76">
        <f t="shared" si="140"/>
        <v>0.80759627637778852</v>
      </c>
      <c r="X124" s="76">
        <f t="shared" ref="X124:Y124" si="141">IF(X110=0,"",X110/X103)</f>
        <v>0.8242985886622326</v>
      </c>
      <c r="Y124" s="76">
        <f t="shared" si="141"/>
        <v>0.83804284449817013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0.63680988422602902</v>
      </c>
      <c r="C125" s="56">
        <f t="shared" ref="C125:W125" si="143">IF(C111=0,"",C111/C104)</f>
        <v>0.63646330474352075</v>
      </c>
      <c r="D125" s="56">
        <f t="shared" si="143"/>
        <v>0.63896084072854509</v>
      </c>
      <c r="E125" s="56">
        <f t="shared" si="143"/>
        <v>0.64077160016158263</v>
      </c>
      <c r="F125" s="56">
        <f t="shared" si="143"/>
        <v>0.64214068576560779</v>
      </c>
      <c r="G125" s="56">
        <f t="shared" si="143"/>
        <v>0.64260723970896905</v>
      </c>
      <c r="H125" s="56">
        <f t="shared" si="143"/>
        <v>0.6450939238476221</v>
      </c>
      <c r="I125" s="56">
        <f t="shared" si="143"/>
        <v>0.65211968741079207</v>
      </c>
      <c r="J125" s="56">
        <f t="shared" si="143"/>
        <v>0.65119332459859647</v>
      </c>
      <c r="K125" s="56">
        <f t="shared" si="143"/>
        <v>0.66040443076319344</v>
      </c>
      <c r="L125" s="56">
        <f t="shared" si="143"/>
        <v>0.66901489690456339</v>
      </c>
      <c r="M125" s="56">
        <f t="shared" si="143"/>
        <v>0.67213169902170788</v>
      </c>
      <c r="N125" s="56">
        <f t="shared" si="143"/>
        <v>0.67308296447674687</v>
      </c>
      <c r="O125" s="56">
        <f t="shared" si="143"/>
        <v>0.67185623804833228</v>
      </c>
      <c r="P125" s="56">
        <f t="shared" si="143"/>
        <v>0.64451000387372781</v>
      </c>
      <c r="Q125" s="56">
        <f t="shared" si="143"/>
        <v>0.65537955952870064</v>
      </c>
      <c r="R125" s="56">
        <f t="shared" si="143"/>
        <v>0.65844370859128942</v>
      </c>
      <c r="S125" s="56">
        <f t="shared" si="143"/>
        <v>0.65831668137579136</v>
      </c>
      <c r="T125" s="56">
        <f t="shared" si="143"/>
        <v>0.64365369345719192</v>
      </c>
      <c r="U125" s="56">
        <f t="shared" si="143"/>
        <v>0.63704428539842239</v>
      </c>
      <c r="V125" s="56">
        <f t="shared" si="143"/>
        <v>0.65418243429862399</v>
      </c>
      <c r="W125" s="56">
        <f t="shared" si="143"/>
        <v>0.66348413127387196</v>
      </c>
      <c r="X125" s="56">
        <f t="shared" ref="X125:Y125" si="144">IF(X111=0,"",X111/X104)</f>
        <v>0.63430907152697946</v>
      </c>
      <c r="Y125" s="56">
        <f t="shared" si="144"/>
        <v>0.62929851061301834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107.08391700979713</v>
      </c>
      <c r="C129" s="82">
        <f t="shared" ref="C129:W129" si="146">IF(C99=0,0,C99/C$26)</f>
        <v>110.1662702454563</v>
      </c>
      <c r="D129" s="82">
        <f t="shared" si="146"/>
        <v>109.67519459863348</v>
      </c>
      <c r="E129" s="82">
        <f t="shared" si="146"/>
        <v>121.65382270162301</v>
      </c>
      <c r="F129" s="82">
        <f t="shared" si="146"/>
        <v>118.91257788452769</v>
      </c>
      <c r="G129" s="82">
        <f t="shared" si="146"/>
        <v>115.00630968565622</v>
      </c>
      <c r="H129" s="82">
        <f t="shared" si="146"/>
        <v>121.81545308485452</v>
      </c>
      <c r="I129" s="82">
        <f t="shared" si="146"/>
        <v>103.99686160418047</v>
      </c>
      <c r="J129" s="82">
        <f t="shared" si="146"/>
        <v>112.22935872930016</v>
      </c>
      <c r="K129" s="82">
        <f t="shared" si="146"/>
        <v>109.41919108791917</v>
      </c>
      <c r="L129" s="82">
        <f t="shared" si="146"/>
        <v>114.9339230150956</v>
      </c>
      <c r="M129" s="82">
        <f t="shared" si="146"/>
        <v>101.33519382860966</v>
      </c>
      <c r="N129" s="82">
        <f t="shared" si="146"/>
        <v>104.88361725525174</v>
      </c>
      <c r="O129" s="82">
        <f t="shared" si="146"/>
        <v>109.129648953653</v>
      </c>
      <c r="P129" s="82">
        <f t="shared" si="146"/>
        <v>99.407553258587527</v>
      </c>
      <c r="Q129" s="82">
        <f t="shared" si="146"/>
        <v>103.94496998694986</v>
      </c>
      <c r="R129" s="82">
        <f t="shared" si="146"/>
        <v>101.04966290540524</v>
      </c>
      <c r="S129" s="82">
        <f t="shared" si="146"/>
        <v>100.20139165621877</v>
      </c>
      <c r="T129" s="82">
        <f t="shared" si="146"/>
        <v>95.565910460326577</v>
      </c>
      <c r="U129" s="82">
        <f t="shared" si="146"/>
        <v>91.276489352205019</v>
      </c>
      <c r="V129" s="82">
        <f t="shared" si="146"/>
        <v>88.407052559761041</v>
      </c>
      <c r="W129" s="82">
        <f t="shared" si="146"/>
        <v>98.264005462916998</v>
      </c>
      <c r="X129" s="82">
        <f t="shared" ref="X129:Y129" si="147">IF(X99=0,0,X99/X$26)</f>
        <v>80.385068738637429</v>
      </c>
      <c r="Y129" s="82">
        <f t="shared" si="147"/>
        <v>77.073783320935178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79.165983792830161</v>
      </c>
      <c r="C130" s="64">
        <f t="shared" ref="C130:W130" si="149">IF(C100=0,0,C100/C$26)</f>
        <v>81.682026710645445</v>
      </c>
      <c r="D130" s="64">
        <f t="shared" si="149"/>
        <v>80.598025500238379</v>
      </c>
      <c r="E130" s="64">
        <f t="shared" si="149"/>
        <v>91.961501370119649</v>
      </c>
      <c r="F130" s="64">
        <f t="shared" si="149"/>
        <v>88.710816324418005</v>
      </c>
      <c r="G130" s="64">
        <f t="shared" si="149"/>
        <v>84.370067333395554</v>
      </c>
      <c r="H130" s="64">
        <f t="shared" si="149"/>
        <v>91.084706856374595</v>
      </c>
      <c r="I130" s="64">
        <f t="shared" si="149"/>
        <v>73.200516757165488</v>
      </c>
      <c r="J130" s="64">
        <f t="shared" si="149"/>
        <v>81.250129907993511</v>
      </c>
      <c r="K130" s="64">
        <f t="shared" si="149"/>
        <v>78.12373313274837</v>
      </c>
      <c r="L130" s="64">
        <f t="shared" si="149"/>
        <v>83.441788299510179</v>
      </c>
      <c r="M130" s="64">
        <f t="shared" si="149"/>
        <v>69.889594024609977</v>
      </c>
      <c r="N130" s="64">
        <f t="shared" si="149"/>
        <v>73.536091542624277</v>
      </c>
      <c r="O130" s="64">
        <f t="shared" si="149"/>
        <v>77.729975439398189</v>
      </c>
      <c r="P130" s="64">
        <f t="shared" si="149"/>
        <v>67.886007450784305</v>
      </c>
      <c r="Q130" s="64">
        <f t="shared" si="149"/>
        <v>72.140120138300745</v>
      </c>
      <c r="R130" s="64">
        <f t="shared" si="149"/>
        <v>69.699891459050193</v>
      </c>
      <c r="S130" s="64">
        <f t="shared" si="149"/>
        <v>68.91638474726966</v>
      </c>
      <c r="T130" s="64">
        <f t="shared" si="149"/>
        <v>64.740525021165155</v>
      </c>
      <c r="U130" s="64">
        <f t="shared" si="149"/>
        <v>61.120091889273127</v>
      </c>
      <c r="V130" s="64">
        <f t="shared" si="149"/>
        <v>59.215934701538046</v>
      </c>
      <c r="W130" s="64">
        <f t="shared" si="149"/>
        <v>69.117441411785833</v>
      </c>
      <c r="X130" s="64">
        <f t="shared" ref="X130:Y130" si="150">IF(X100=0,0,X100/X$26)</f>
        <v>51.878725752252933</v>
      </c>
      <c r="Y130" s="64">
        <f t="shared" si="150"/>
        <v>49.076645366873663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55.448728618486406</v>
      </c>
      <c r="C131" s="65">
        <f t="shared" ref="C131:W131" si="152">IF(C101=0,0,C101/C$26)</f>
        <v>58.642842842408179</v>
      </c>
      <c r="D131" s="65">
        <f t="shared" si="152"/>
        <v>56.963064722427994</v>
      </c>
      <c r="E131" s="65">
        <f t="shared" si="152"/>
        <v>67.365257557601367</v>
      </c>
      <c r="F131" s="65">
        <f t="shared" si="152"/>
        <v>64.736843231868605</v>
      </c>
      <c r="G131" s="65">
        <f t="shared" si="152"/>
        <v>60.7273160422383</v>
      </c>
      <c r="H131" s="65">
        <f t="shared" si="152"/>
        <v>67.569550723396674</v>
      </c>
      <c r="I131" s="65">
        <f t="shared" si="152"/>
        <v>49.964463704943178</v>
      </c>
      <c r="J131" s="65">
        <f t="shared" si="152"/>
        <v>58.416646278795305</v>
      </c>
      <c r="K131" s="65">
        <f t="shared" si="152"/>
        <v>54.716645249660274</v>
      </c>
      <c r="L131" s="65">
        <f t="shared" si="152"/>
        <v>59.954172166995818</v>
      </c>
      <c r="M131" s="65">
        <f t="shared" si="152"/>
        <v>47.001904084562931</v>
      </c>
      <c r="N131" s="65">
        <f t="shared" si="152"/>
        <v>50.568829002773498</v>
      </c>
      <c r="O131" s="65">
        <f t="shared" si="152"/>
        <v>54.719829336333795</v>
      </c>
      <c r="P131" s="65">
        <f t="shared" si="152"/>
        <v>44.365439643531744</v>
      </c>
      <c r="Q131" s="65">
        <f t="shared" si="152"/>
        <v>48.649204392066679</v>
      </c>
      <c r="R131" s="65">
        <f t="shared" si="152"/>
        <v>46.78863442945395</v>
      </c>
      <c r="S131" s="65">
        <f t="shared" si="152"/>
        <v>45.827320280908339</v>
      </c>
      <c r="T131" s="65">
        <f t="shared" si="152"/>
        <v>40.656622508159167</v>
      </c>
      <c r="U131" s="65">
        <f t="shared" si="152"/>
        <v>37.241979030711803</v>
      </c>
      <c r="V131" s="65">
        <f t="shared" si="152"/>
        <v>38.080296937479076</v>
      </c>
      <c r="W131" s="65">
        <f t="shared" si="152"/>
        <v>47.776678076702275</v>
      </c>
      <c r="X131" s="65">
        <f t="shared" ref="X131:Y131" si="153">IF(X101=0,0,X101/X$26)</f>
        <v>32.294722803558471</v>
      </c>
      <c r="Y131" s="65">
        <f t="shared" si="153"/>
        <v>30.136334798755126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1.4413543552157919</v>
      </c>
      <c r="C132" s="65">
        <f t="shared" ref="C132:W132" si="155">IF(C102=0,0,C102/C$26)</f>
        <v>1.459238211511547</v>
      </c>
      <c r="D132" s="65">
        <f t="shared" si="155"/>
        <v>1.4898793514880451</v>
      </c>
      <c r="E132" s="65">
        <f t="shared" si="155"/>
        <v>1.8092269193865287</v>
      </c>
      <c r="F132" s="65">
        <f t="shared" si="155"/>
        <v>1.4869457407456599</v>
      </c>
      <c r="G132" s="65">
        <f t="shared" si="155"/>
        <v>1.5145618150371722</v>
      </c>
      <c r="H132" s="65">
        <f t="shared" si="155"/>
        <v>1.6856488215482806</v>
      </c>
      <c r="I132" s="65">
        <f t="shared" si="155"/>
        <v>1.5701744120489505</v>
      </c>
      <c r="J132" s="65">
        <f t="shared" si="155"/>
        <v>1.5719310128651121</v>
      </c>
      <c r="K132" s="65">
        <f t="shared" si="155"/>
        <v>1.659174405906878</v>
      </c>
      <c r="L132" s="65">
        <f t="shared" si="155"/>
        <v>1.8622109734564567</v>
      </c>
      <c r="M132" s="65">
        <f t="shared" si="155"/>
        <v>1.7461121916164757</v>
      </c>
      <c r="N132" s="65">
        <f t="shared" si="155"/>
        <v>1.7916886325401611</v>
      </c>
      <c r="O132" s="65">
        <f t="shared" si="155"/>
        <v>1.8748285619535585</v>
      </c>
      <c r="P132" s="65">
        <f t="shared" si="155"/>
        <v>1.7445435041853157</v>
      </c>
      <c r="Q132" s="65">
        <f t="shared" si="155"/>
        <v>1.932540228214781</v>
      </c>
      <c r="R132" s="65">
        <f t="shared" si="155"/>
        <v>1.7185025695598255</v>
      </c>
      <c r="S132" s="65">
        <f t="shared" si="155"/>
        <v>1.6428993964820953</v>
      </c>
      <c r="T132" s="65">
        <f t="shared" si="155"/>
        <v>1.9696916807275935</v>
      </c>
      <c r="U132" s="65">
        <f t="shared" si="155"/>
        <v>1.8679306965069997</v>
      </c>
      <c r="V132" s="65">
        <f t="shared" si="155"/>
        <v>1.5833540346030903</v>
      </c>
      <c r="W132" s="65">
        <f t="shared" si="155"/>
        <v>1.509495531532955</v>
      </c>
      <c r="X132" s="65">
        <f t="shared" ref="X132:Y132" si="156">IF(X102=0,0,X102/X$26)</f>
        <v>1.6840469451409799</v>
      </c>
      <c r="Y132" s="65">
        <f t="shared" si="156"/>
        <v>1.6121554643741804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10.750725489936192</v>
      </c>
      <c r="C133" s="65">
        <f t="shared" ref="C133:W133" si="158">IF(C103=0,0,C103/C$26)</f>
        <v>10.332601922112088</v>
      </c>
      <c r="D133" s="65">
        <f t="shared" si="158"/>
        <v>10.368755580078204</v>
      </c>
      <c r="E133" s="65">
        <f t="shared" si="158"/>
        <v>10.535672078489169</v>
      </c>
      <c r="F133" s="65">
        <f t="shared" si="158"/>
        <v>10.299971087966071</v>
      </c>
      <c r="G133" s="65">
        <f t="shared" si="158"/>
        <v>10.253115930635211</v>
      </c>
      <c r="H133" s="65">
        <f t="shared" si="158"/>
        <v>10.26219595256614</v>
      </c>
      <c r="I133" s="65">
        <f t="shared" si="158"/>
        <v>10.12439923789398</v>
      </c>
      <c r="J133" s="65">
        <f t="shared" si="158"/>
        <v>10.036244687980123</v>
      </c>
      <c r="K133" s="65">
        <f t="shared" si="158"/>
        <v>10.190542551872401</v>
      </c>
      <c r="L133" s="65">
        <f t="shared" si="158"/>
        <v>10.003464682168167</v>
      </c>
      <c r="M133" s="65">
        <f t="shared" si="158"/>
        <v>9.8238361111743338</v>
      </c>
      <c r="N133" s="65">
        <f t="shared" si="158"/>
        <v>9.8246483048896884</v>
      </c>
      <c r="O133" s="65">
        <f t="shared" si="158"/>
        <v>9.6014458919351355</v>
      </c>
      <c r="P133" s="65">
        <f t="shared" si="158"/>
        <v>9.8147277751771878</v>
      </c>
      <c r="Q133" s="65">
        <f t="shared" si="158"/>
        <v>9.7376951773253264</v>
      </c>
      <c r="R133" s="65">
        <f t="shared" si="158"/>
        <v>9.5032663618920239</v>
      </c>
      <c r="S133" s="65">
        <f t="shared" si="158"/>
        <v>9.4596809357351948</v>
      </c>
      <c r="T133" s="65">
        <f t="shared" si="158"/>
        <v>9.9011386798698737</v>
      </c>
      <c r="U133" s="65">
        <f t="shared" si="158"/>
        <v>9.5788599696333527</v>
      </c>
      <c r="V133" s="65">
        <f t="shared" si="158"/>
        <v>8.345961362382484</v>
      </c>
      <c r="W133" s="65">
        <f t="shared" si="158"/>
        <v>8.4008315097072259</v>
      </c>
      <c r="X133" s="65">
        <f t="shared" ref="X133:Y133" si="159">IF(X103=0,0,X103/X$26)</f>
        <v>7.7528768495500069</v>
      </c>
      <c r="Y133" s="65">
        <f t="shared" si="159"/>
        <v>7.4717016710847028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11.525175329191754</v>
      </c>
      <c r="C134" s="67">
        <f t="shared" ref="C134:W134" si="161">IF(C104=0,0,C104/C$26)</f>
        <v>11.247343734613635</v>
      </c>
      <c r="D134" s="67">
        <f t="shared" si="161"/>
        <v>11.776325846244148</v>
      </c>
      <c r="E134" s="67">
        <f t="shared" si="161"/>
        <v>12.251344814642563</v>
      </c>
      <c r="F134" s="67">
        <f t="shared" si="161"/>
        <v>12.187056263837663</v>
      </c>
      <c r="G134" s="67">
        <f t="shared" si="161"/>
        <v>11.875073545484865</v>
      </c>
      <c r="H134" s="67">
        <f t="shared" si="161"/>
        <v>11.567311358863508</v>
      </c>
      <c r="I134" s="67">
        <f t="shared" si="161"/>
        <v>11.54147940227938</v>
      </c>
      <c r="J134" s="67">
        <f t="shared" si="161"/>
        <v>11.225307928352978</v>
      </c>
      <c r="K134" s="67">
        <f t="shared" si="161"/>
        <v>11.557370925308804</v>
      </c>
      <c r="L134" s="67">
        <f t="shared" si="161"/>
        <v>11.621940476889746</v>
      </c>
      <c r="M134" s="67">
        <f t="shared" si="161"/>
        <v>11.317741637256251</v>
      </c>
      <c r="N134" s="67">
        <f t="shared" si="161"/>
        <v>11.350925602420933</v>
      </c>
      <c r="O134" s="67">
        <f t="shared" si="161"/>
        <v>11.533871649175701</v>
      </c>
      <c r="P134" s="67">
        <f t="shared" si="161"/>
        <v>11.961296527890052</v>
      </c>
      <c r="Q134" s="67">
        <f t="shared" si="161"/>
        <v>11.820680340693944</v>
      </c>
      <c r="R134" s="67">
        <f t="shared" si="161"/>
        <v>11.689488098144395</v>
      </c>
      <c r="S134" s="67">
        <f t="shared" si="161"/>
        <v>11.986484134144034</v>
      </c>
      <c r="T134" s="67">
        <f t="shared" si="161"/>
        <v>12.213072152408529</v>
      </c>
      <c r="U134" s="67">
        <f t="shared" si="161"/>
        <v>12.431322192420975</v>
      </c>
      <c r="V134" s="67">
        <f t="shared" si="161"/>
        <v>11.206322367073405</v>
      </c>
      <c r="W134" s="67">
        <f t="shared" si="161"/>
        <v>11.430436293843373</v>
      </c>
      <c r="X134" s="67">
        <f t="shared" ref="X134:Y134" si="162">IF(X104=0,0,X104/X$26)</f>
        <v>10.147079154003475</v>
      </c>
      <c r="Y134" s="67">
        <f t="shared" si="162"/>
        <v>9.8564534326596576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27.917933216966979</v>
      </c>
      <c r="C135" s="68">
        <f t="shared" ref="C135:W135" si="164">IF(C105=0,0,C105/C$26)</f>
        <v>28.484243534810851</v>
      </c>
      <c r="D135" s="68">
        <f t="shared" si="164"/>
        <v>29.077169098395125</v>
      </c>
      <c r="E135" s="68">
        <f t="shared" si="164"/>
        <v>29.692321331503351</v>
      </c>
      <c r="F135" s="68">
        <f t="shared" si="164"/>
        <v>30.201761560109702</v>
      </c>
      <c r="G135" s="68">
        <f t="shared" si="164"/>
        <v>30.636242352260673</v>
      </c>
      <c r="H135" s="68">
        <f t="shared" si="164"/>
        <v>30.730746228479941</v>
      </c>
      <c r="I135" s="68">
        <f t="shared" si="164"/>
        <v>30.796344847014968</v>
      </c>
      <c r="J135" s="68">
        <f t="shared" si="164"/>
        <v>30.979228821306652</v>
      </c>
      <c r="K135" s="68">
        <f t="shared" si="164"/>
        <v>31.295457955170782</v>
      </c>
      <c r="L135" s="68">
        <f t="shared" si="164"/>
        <v>31.492134715585383</v>
      </c>
      <c r="M135" s="68">
        <f t="shared" si="164"/>
        <v>31.445599803999674</v>
      </c>
      <c r="N135" s="68">
        <f t="shared" si="164"/>
        <v>31.347525712627466</v>
      </c>
      <c r="O135" s="68">
        <f t="shared" si="164"/>
        <v>31.399673514254811</v>
      </c>
      <c r="P135" s="68">
        <f t="shared" si="164"/>
        <v>31.521545807803228</v>
      </c>
      <c r="Q135" s="68">
        <f t="shared" si="164"/>
        <v>31.804849848649141</v>
      </c>
      <c r="R135" s="68">
        <f t="shared" si="164"/>
        <v>31.349771446355042</v>
      </c>
      <c r="S135" s="68">
        <f t="shared" si="164"/>
        <v>31.285006908949111</v>
      </c>
      <c r="T135" s="68">
        <f t="shared" si="164"/>
        <v>30.825385439161412</v>
      </c>
      <c r="U135" s="68">
        <f t="shared" si="164"/>
        <v>30.156397462931892</v>
      </c>
      <c r="V135" s="68">
        <f t="shared" si="164"/>
        <v>29.191117858223002</v>
      </c>
      <c r="W135" s="68">
        <f t="shared" si="164"/>
        <v>29.146564051131168</v>
      </c>
      <c r="X135" s="68">
        <f t="shared" ref="X135:Y135" si="165">IF(X105=0,0,X105/X$26)</f>
        <v>28.506342986384482</v>
      </c>
      <c r="Y135" s="68">
        <f t="shared" si="165"/>
        <v>27.997137954061525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47.999840271310006</v>
      </c>
      <c r="C137" s="85">
        <f t="shared" ref="C137:W137" si="167">IF(C107=0,0,C107/C$26)</f>
        <v>49.422083730114835</v>
      </c>
      <c r="D137" s="85">
        <f t="shared" si="167"/>
        <v>49.956404942067415</v>
      </c>
      <c r="E137" s="85">
        <f t="shared" si="167"/>
        <v>60.820869194117627</v>
      </c>
      <c r="F137" s="85">
        <f t="shared" si="167"/>
        <v>58.79863744420981</v>
      </c>
      <c r="G137" s="85">
        <f t="shared" si="167"/>
        <v>56.11985226771364</v>
      </c>
      <c r="H137" s="85">
        <f t="shared" si="167"/>
        <v>60.683331293037739</v>
      </c>
      <c r="I137" s="85">
        <f t="shared" si="167"/>
        <v>50.573560905209817</v>
      </c>
      <c r="J137" s="85">
        <f t="shared" si="167"/>
        <v>56.244781855590567</v>
      </c>
      <c r="K137" s="85">
        <f t="shared" si="167"/>
        <v>55.303736870060249</v>
      </c>
      <c r="L137" s="85">
        <f t="shared" si="167"/>
        <v>60.836197208835067</v>
      </c>
      <c r="M137" s="85">
        <f t="shared" si="167"/>
        <v>51.400295969784345</v>
      </c>
      <c r="N137" s="85">
        <f t="shared" si="167"/>
        <v>55.202384848233812</v>
      </c>
      <c r="O137" s="85">
        <f t="shared" si="167"/>
        <v>58.689431277959173</v>
      </c>
      <c r="P137" s="85">
        <f t="shared" si="167"/>
        <v>51.679560135195757</v>
      </c>
      <c r="Q137" s="85">
        <f t="shared" si="167"/>
        <v>56.237581298373783</v>
      </c>
      <c r="R137" s="85">
        <f t="shared" si="167"/>
        <v>54.59772220748129</v>
      </c>
      <c r="S137" s="85">
        <f t="shared" si="167"/>
        <v>54.668114243646222</v>
      </c>
      <c r="T137" s="85">
        <f t="shared" si="167"/>
        <v>54.048626183081019</v>
      </c>
      <c r="U137" s="85">
        <f t="shared" si="167"/>
        <v>51.61724114169931</v>
      </c>
      <c r="V137" s="85">
        <f t="shared" si="167"/>
        <v>50.318577819576362</v>
      </c>
      <c r="W137" s="85">
        <f t="shared" si="167"/>
        <v>58.292060769105412</v>
      </c>
      <c r="X137" s="85">
        <f t="shared" ref="X137:Y137" si="168">IF(X107=0,0,X107/X$26)</f>
        <v>46.733601460207197</v>
      </c>
      <c r="Y137" s="85">
        <f t="shared" si="168"/>
        <v>44.893677704433621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31.048560170657812</v>
      </c>
      <c r="C138" s="65">
        <f t="shared" ref="C138:W138" si="170">IF(C108=0,0,C108/C$26)</f>
        <v>32.767060275047619</v>
      </c>
      <c r="D138" s="65">
        <f t="shared" si="170"/>
        <v>32.675572491005035</v>
      </c>
      <c r="E138" s="65">
        <f t="shared" si="170"/>
        <v>42.050650847526413</v>
      </c>
      <c r="F138" s="65">
        <f t="shared" si="170"/>
        <v>40.723656846693366</v>
      </c>
      <c r="G138" s="65">
        <f t="shared" si="170"/>
        <v>37.989124088803173</v>
      </c>
      <c r="H138" s="65">
        <f t="shared" si="170"/>
        <v>42.031379348085572</v>
      </c>
      <c r="I138" s="65">
        <f t="shared" si="170"/>
        <v>31.92954458846129</v>
      </c>
      <c r="J138" s="65">
        <f t="shared" si="170"/>
        <v>37.548350317105729</v>
      </c>
      <c r="K138" s="65">
        <f t="shared" si="170"/>
        <v>35.749590995939222</v>
      </c>
      <c r="L138" s="65">
        <f t="shared" si="170"/>
        <v>40.44088341148759</v>
      </c>
      <c r="M138" s="65">
        <f t="shared" si="170"/>
        <v>31.392670404132989</v>
      </c>
      <c r="N138" s="65">
        <f t="shared" si="170"/>
        <v>34.703273226197531</v>
      </c>
      <c r="O138" s="65">
        <f t="shared" si="170"/>
        <v>37.707643547851099</v>
      </c>
      <c r="P138" s="65">
        <f t="shared" si="170"/>
        <v>30.759419868754627</v>
      </c>
      <c r="Q138" s="65">
        <f t="shared" si="170"/>
        <v>34.343132506533181</v>
      </c>
      <c r="R138" s="65">
        <f t="shared" si="170"/>
        <v>33.376958129491285</v>
      </c>
      <c r="S138" s="65">
        <f t="shared" si="170"/>
        <v>33.244330595075013</v>
      </c>
      <c r="T138" s="65">
        <f t="shared" si="170"/>
        <v>30.587703555348341</v>
      </c>
      <c r="U138" s="65">
        <f t="shared" si="170"/>
        <v>28.462830510084309</v>
      </c>
      <c r="V138" s="65">
        <f t="shared" si="170"/>
        <v>29.630998147036347</v>
      </c>
      <c r="W138" s="65">
        <f t="shared" si="170"/>
        <v>37.399368136447521</v>
      </c>
      <c r="X138" s="65">
        <f t="shared" ref="X138:Y138" si="171">IF(X108=0,0,X108/X$26)</f>
        <v>26.510889044568536</v>
      </c>
      <c r="Y138" s="65">
        <f t="shared" si="171"/>
        <v>25.2538415157867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2.7693515277736633</v>
      </c>
      <c r="C139" s="65">
        <f t="shared" ref="C139:W139" si="173">IF(C109=0,0,C109/C$26)</f>
        <v>2.907365406229026</v>
      </c>
      <c r="D139" s="65">
        <f t="shared" si="173"/>
        <v>3.0958643705646138</v>
      </c>
      <c r="E139" s="65">
        <f t="shared" si="173"/>
        <v>3.920497706116814</v>
      </c>
      <c r="F139" s="65">
        <f t="shared" si="173"/>
        <v>3.3817569874223019</v>
      </c>
      <c r="G139" s="65">
        <f t="shared" si="173"/>
        <v>3.627743864079028</v>
      </c>
      <c r="H139" s="65">
        <f t="shared" si="173"/>
        <v>4.2738578202697708</v>
      </c>
      <c r="I139" s="65">
        <f t="shared" si="173"/>
        <v>4.2346236372047539</v>
      </c>
      <c r="J139" s="65">
        <f t="shared" si="173"/>
        <v>4.5050983198459909</v>
      </c>
      <c r="K139" s="65">
        <f t="shared" si="173"/>
        <v>4.8665247375908871</v>
      </c>
      <c r="L139" s="65">
        <f t="shared" si="173"/>
        <v>5.6197917156606065</v>
      </c>
      <c r="M139" s="65">
        <f t="shared" si="173"/>
        <v>5.4647887823078776</v>
      </c>
      <c r="N139" s="65">
        <f t="shared" si="173"/>
        <v>5.819333662647395</v>
      </c>
      <c r="O139" s="65">
        <f t="shared" si="173"/>
        <v>6.3149474319910341</v>
      </c>
      <c r="P139" s="65">
        <f t="shared" si="173"/>
        <v>6.0915536038913434</v>
      </c>
      <c r="Q139" s="65">
        <f t="shared" si="173"/>
        <v>7.0081429981379149</v>
      </c>
      <c r="R139" s="65">
        <f t="shared" si="173"/>
        <v>6.4751667652069722</v>
      </c>
      <c r="S139" s="65">
        <f t="shared" si="173"/>
        <v>6.4110202508495773</v>
      </c>
      <c r="T139" s="65">
        <f t="shared" si="173"/>
        <v>7.9131938772716905</v>
      </c>
      <c r="U139" s="65">
        <f t="shared" si="173"/>
        <v>7.7040957260799789</v>
      </c>
      <c r="V139" s="65">
        <f t="shared" si="173"/>
        <v>6.7004729185115321</v>
      </c>
      <c r="W139" s="65">
        <f t="shared" si="173"/>
        <v>6.5242992924391325</v>
      </c>
      <c r="X139" s="65">
        <f t="shared" ref="X139:Y139" si="174">IF(X109=0,0,X109/X$26)</f>
        <v>7.3956426135957809</v>
      </c>
      <c r="Y139" s="65">
        <f t="shared" si="174"/>
        <v>7.1755786018700736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6.8425830058112487</v>
      </c>
      <c r="C140" s="65">
        <f t="shared" ref="C140:W140" si="176">IF(C110=0,0,C110/C$26)</f>
        <v>6.5891364859196671</v>
      </c>
      <c r="D140" s="65">
        <f t="shared" si="176"/>
        <v>6.6603570170883124</v>
      </c>
      <c r="E140" s="65">
        <f t="shared" si="176"/>
        <v>6.9994068194645873</v>
      </c>
      <c r="F140" s="65">
        <f t="shared" si="176"/>
        <v>6.8674189433693762</v>
      </c>
      <c r="G140" s="65">
        <f t="shared" si="176"/>
        <v>6.8719760824264107</v>
      </c>
      <c r="H140" s="65">
        <f t="shared" si="176"/>
        <v>6.9160918518259669</v>
      </c>
      <c r="I140" s="65">
        <f t="shared" si="176"/>
        <v>6.8829667394712493</v>
      </c>
      <c r="J140" s="65">
        <f t="shared" si="176"/>
        <v>6.8814876291316889</v>
      </c>
      <c r="K140" s="65">
        <f t="shared" si="176"/>
        <v>7.0550821694824961</v>
      </c>
      <c r="L140" s="65">
        <f t="shared" si="176"/>
        <v>7.0002707717094959</v>
      </c>
      <c r="M140" s="65">
        <f t="shared" si="176"/>
        <v>6.9358238676057073</v>
      </c>
      <c r="N140" s="65">
        <f t="shared" si="176"/>
        <v>7.0396633053563962</v>
      </c>
      <c r="O140" s="65">
        <f t="shared" si="176"/>
        <v>6.917736681769548</v>
      </c>
      <c r="P140" s="65">
        <f t="shared" si="176"/>
        <v>7.1194113910245598</v>
      </c>
      <c r="Q140" s="65">
        <f t="shared" si="176"/>
        <v>7.1392735186891212</v>
      </c>
      <c r="R140" s="65">
        <f t="shared" si="176"/>
        <v>7.0487274179071031</v>
      </c>
      <c r="S140" s="65">
        <f t="shared" si="176"/>
        <v>7.1218609411683547</v>
      </c>
      <c r="T140" s="65">
        <f t="shared" si="176"/>
        <v>7.6867397511040547</v>
      </c>
      <c r="U140" s="65">
        <f t="shared" si="176"/>
        <v>7.5310121429066559</v>
      </c>
      <c r="V140" s="65">
        <f t="shared" si="176"/>
        <v>6.6561275084012816</v>
      </c>
      <c r="W140" s="65">
        <f t="shared" si="176"/>
        <v>6.7844802457167503</v>
      </c>
      <c r="X140" s="65">
        <f t="shared" ref="X140:Y140" si="177">IF(X110=0,0,X110/X$26)</f>
        <v>6.3906854451561665</v>
      </c>
      <c r="Y140" s="65">
        <f t="shared" si="177"/>
        <v>6.2616061216775556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7.339345567067288</v>
      </c>
      <c r="C141" s="68">
        <f t="shared" ref="C141:W141" si="179">IF(C111=0,0,C111/C$26)</f>
        <v>7.1585215629185273</v>
      </c>
      <c r="D141" s="68">
        <f t="shared" si="179"/>
        <v>7.5246110634094565</v>
      </c>
      <c r="E141" s="68">
        <f t="shared" si="179"/>
        <v>7.8503138210098236</v>
      </c>
      <c r="F141" s="68">
        <f t="shared" si="179"/>
        <v>7.825804666724764</v>
      </c>
      <c r="G141" s="68">
        <f t="shared" si="179"/>
        <v>7.6310082324050299</v>
      </c>
      <c r="H141" s="68">
        <f t="shared" si="179"/>
        <v>7.4620022728564299</v>
      </c>
      <c r="I141" s="68">
        <f t="shared" si="179"/>
        <v>7.5264259400725253</v>
      </c>
      <c r="J141" s="68">
        <f t="shared" si="179"/>
        <v>7.3098455895071588</v>
      </c>
      <c r="K141" s="68">
        <f t="shared" si="179"/>
        <v>7.632538967047644</v>
      </c>
      <c r="L141" s="68">
        <f t="shared" si="179"/>
        <v>7.7752513099773664</v>
      </c>
      <c r="M141" s="68">
        <f t="shared" si="179"/>
        <v>7.6070129157377693</v>
      </c>
      <c r="N141" s="68">
        <f t="shared" si="179"/>
        <v>7.6401146540324856</v>
      </c>
      <c r="O141" s="68">
        <f t="shared" si="179"/>
        <v>7.7491036163475009</v>
      </c>
      <c r="P141" s="68">
        <f t="shared" si="179"/>
        <v>7.7091752715252246</v>
      </c>
      <c r="Q141" s="68">
        <f t="shared" si="179"/>
        <v>7.7470322750135683</v>
      </c>
      <c r="R141" s="68">
        <f t="shared" si="179"/>
        <v>7.6968698948759338</v>
      </c>
      <c r="S141" s="68">
        <f t="shared" si="179"/>
        <v>7.8909024565532757</v>
      </c>
      <c r="T141" s="68">
        <f t="shared" si="179"/>
        <v>7.8609889993569269</v>
      </c>
      <c r="U141" s="68">
        <f t="shared" si="179"/>
        <v>7.9193027626283685</v>
      </c>
      <c r="V141" s="68">
        <f t="shared" si="179"/>
        <v>7.3309792456271987</v>
      </c>
      <c r="W141" s="68">
        <f t="shared" si="179"/>
        <v>7.583913094502007</v>
      </c>
      <c r="X141" s="68">
        <f t="shared" ref="X141:Y141" si="180">IF(X111=0,0,X111/X$26)</f>
        <v>6.4363843568867125</v>
      </c>
      <c r="Y141" s="68">
        <f t="shared" si="180"/>
        <v>6.2026514650992937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15.178542045231673</v>
      </c>
      <c r="C143" s="82">
        <f t="shared" ref="C143:W143" si="182">IF(C113=0,0,C113/C$26)</f>
        <v>16.17751023501166</v>
      </c>
      <c r="D143" s="82">
        <f t="shared" si="182"/>
        <v>15.225013485378877</v>
      </c>
      <c r="E143" s="82">
        <f t="shared" si="182"/>
        <v>14.635614037713671</v>
      </c>
      <c r="F143" s="82">
        <f t="shared" si="182"/>
        <v>13.828038183315867</v>
      </c>
      <c r="G143" s="82">
        <f t="shared" si="182"/>
        <v>13.415630790298742</v>
      </c>
      <c r="H143" s="82">
        <f t="shared" si="182"/>
        <v>14.9297385824158</v>
      </c>
      <c r="I143" s="82">
        <f t="shared" si="182"/>
        <v>11.341701489793941</v>
      </c>
      <c r="J143" s="82">
        <f t="shared" si="182"/>
        <v>12.741461076498954</v>
      </c>
      <c r="K143" s="82">
        <f t="shared" si="182"/>
        <v>11.76900858965004</v>
      </c>
      <c r="L143" s="82">
        <f t="shared" si="182"/>
        <v>11.74476192790412</v>
      </c>
      <c r="M143" s="82">
        <f t="shared" si="182"/>
        <v>10.535472360377678</v>
      </c>
      <c r="N143" s="82">
        <f t="shared" si="182"/>
        <v>10.866557905495823</v>
      </c>
      <c r="O143" s="82">
        <f t="shared" si="182"/>
        <v>12.20668535267129</v>
      </c>
      <c r="P143" s="82">
        <f t="shared" si="182"/>
        <v>11.116021173647527</v>
      </c>
      <c r="Q143" s="82">
        <f t="shared" si="182"/>
        <v>11.450943011324853</v>
      </c>
      <c r="R143" s="82">
        <f t="shared" si="182"/>
        <v>11.070875765932984</v>
      </c>
      <c r="S143" s="82">
        <f t="shared" si="182"/>
        <v>10.979219707412385</v>
      </c>
      <c r="T143" s="82">
        <f t="shared" si="182"/>
        <v>9.9609361676460662</v>
      </c>
      <c r="U143" s="82">
        <f t="shared" si="182"/>
        <v>9.3108491225053882</v>
      </c>
      <c r="V143" s="82">
        <f t="shared" si="182"/>
        <v>9.0628612990794473</v>
      </c>
      <c r="W143" s="82">
        <f t="shared" si="182"/>
        <v>10.579976602229811</v>
      </c>
      <c r="X143" s="82">
        <f t="shared" ref="X143:Y143" si="183">IF(X113=0,0,X113/X$26)</f>
        <v>7.6075726660563321</v>
      </c>
      <c r="Y143" s="82">
        <f t="shared" si="183"/>
        <v>7.1208405341228564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15.178542045231673</v>
      </c>
      <c r="C144" s="64">
        <f t="shared" ref="C144:W144" si="185">IF(C114=0,0,C114/C$26)</f>
        <v>16.17751023501166</v>
      </c>
      <c r="D144" s="64">
        <f t="shared" si="185"/>
        <v>15.225013485378877</v>
      </c>
      <c r="E144" s="64">
        <f t="shared" si="185"/>
        <v>14.635614037713671</v>
      </c>
      <c r="F144" s="64">
        <f t="shared" si="185"/>
        <v>13.828038183315867</v>
      </c>
      <c r="G144" s="64">
        <f t="shared" si="185"/>
        <v>13.415630790298742</v>
      </c>
      <c r="H144" s="64">
        <f t="shared" si="185"/>
        <v>14.9297385824158</v>
      </c>
      <c r="I144" s="64">
        <f t="shared" si="185"/>
        <v>11.341701489793941</v>
      </c>
      <c r="J144" s="64">
        <f t="shared" si="185"/>
        <v>12.741461076498954</v>
      </c>
      <c r="K144" s="64">
        <f t="shared" si="185"/>
        <v>11.76900858965004</v>
      </c>
      <c r="L144" s="64">
        <f t="shared" si="185"/>
        <v>11.74476192790412</v>
      </c>
      <c r="M144" s="64">
        <f t="shared" si="185"/>
        <v>10.535472360377678</v>
      </c>
      <c r="N144" s="64">
        <f t="shared" si="185"/>
        <v>10.866557905495823</v>
      </c>
      <c r="O144" s="64">
        <f t="shared" si="185"/>
        <v>12.20668535267129</v>
      </c>
      <c r="P144" s="64">
        <f t="shared" si="185"/>
        <v>11.116021173647527</v>
      </c>
      <c r="Q144" s="64">
        <f t="shared" si="185"/>
        <v>11.450943011324853</v>
      </c>
      <c r="R144" s="64">
        <f t="shared" si="185"/>
        <v>11.070875765932984</v>
      </c>
      <c r="S144" s="64">
        <f t="shared" si="185"/>
        <v>10.979219707412385</v>
      </c>
      <c r="T144" s="64">
        <f t="shared" si="185"/>
        <v>9.9609361676460662</v>
      </c>
      <c r="U144" s="64">
        <f t="shared" si="185"/>
        <v>9.3108491225053882</v>
      </c>
      <c r="V144" s="64">
        <f t="shared" si="185"/>
        <v>9.0628612990794473</v>
      </c>
      <c r="W144" s="64">
        <f t="shared" si="185"/>
        <v>10.579976602229811</v>
      </c>
      <c r="X144" s="64">
        <f t="shared" ref="X144:Y144" si="186">IF(X114=0,0,X114/X$26)</f>
        <v>7.6075726660563321</v>
      </c>
      <c r="Y144" s="64">
        <f t="shared" si="186"/>
        <v>7.1208405341228564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11.743139217280557</v>
      </c>
      <c r="C145" s="65">
        <f t="shared" ref="C145:W145" si="188">IF(C115=0,0,C115/C$26)</f>
        <v>12.793767105987964</v>
      </c>
      <c r="D145" s="65">
        <f t="shared" si="188"/>
        <v>11.780675413868924</v>
      </c>
      <c r="E145" s="65">
        <f t="shared" si="188"/>
        <v>11.192461501030181</v>
      </c>
      <c r="F145" s="65">
        <f t="shared" si="188"/>
        <v>10.451412532449327</v>
      </c>
      <c r="G145" s="65">
        <f t="shared" si="188"/>
        <v>10.080967235007931</v>
      </c>
      <c r="H145" s="65">
        <f t="shared" si="188"/>
        <v>11.64158513917992</v>
      </c>
      <c r="I145" s="65">
        <f t="shared" si="188"/>
        <v>8.192281301595326</v>
      </c>
      <c r="J145" s="65">
        <f t="shared" si="188"/>
        <v>9.6258313491944865</v>
      </c>
      <c r="K145" s="65">
        <f t="shared" si="188"/>
        <v>8.7325015354876996</v>
      </c>
      <c r="L145" s="65">
        <f t="shared" si="188"/>
        <v>8.8380168830543688</v>
      </c>
      <c r="M145" s="65">
        <f t="shared" si="188"/>
        <v>7.7063319976946127</v>
      </c>
      <c r="N145" s="65">
        <f t="shared" si="188"/>
        <v>8.0598700413375806</v>
      </c>
      <c r="O145" s="65">
        <f t="shared" si="188"/>
        <v>9.3088031529746456</v>
      </c>
      <c r="P145" s="65">
        <f t="shared" si="188"/>
        <v>7.7864401858823697</v>
      </c>
      <c r="Q145" s="65">
        <f t="shared" si="188"/>
        <v>8.2845547576902341</v>
      </c>
      <c r="R145" s="65">
        <f t="shared" si="188"/>
        <v>7.9878496222687376</v>
      </c>
      <c r="S145" s="65">
        <f t="shared" si="188"/>
        <v>7.8285873346856691</v>
      </c>
      <c r="T145" s="65">
        <f t="shared" si="188"/>
        <v>6.4732740944192697</v>
      </c>
      <c r="U145" s="65">
        <f t="shared" si="188"/>
        <v>5.7309371530859297</v>
      </c>
      <c r="V145" s="65">
        <f t="shared" si="188"/>
        <v>5.9659025104628123</v>
      </c>
      <c r="W145" s="65">
        <f t="shared" si="188"/>
        <v>7.5449076172935694</v>
      </c>
      <c r="X145" s="65">
        <f t="shared" ref="X145:Y145" si="189">IF(X115=0,0,X115/X$26)</f>
        <v>4.4881619408988653</v>
      </c>
      <c r="Y145" s="65">
        <f t="shared" si="189"/>
        <v>4.0266950057166992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1.415771874179108E-4</v>
      </c>
      <c r="C146" s="65">
        <f t="shared" ref="C146:W146" si="191">IF(C116=0,0,C116/C$26)</f>
        <v>1.4913738206444365E-4</v>
      </c>
      <c r="D146" s="65">
        <f t="shared" si="191"/>
        <v>1.6101663179826598E-4</v>
      </c>
      <c r="E146" s="65">
        <f t="shared" si="191"/>
        <v>1.9233545061391835E-4</v>
      </c>
      <c r="F146" s="65">
        <f t="shared" si="191"/>
        <v>2.3433904998583916E-4</v>
      </c>
      <c r="G146" s="65">
        <f t="shared" si="191"/>
        <v>2.8934120789939077E-4</v>
      </c>
      <c r="H146" s="65">
        <f t="shared" si="191"/>
        <v>3.3353952074171466E-4</v>
      </c>
      <c r="I146" s="65">
        <f t="shared" si="191"/>
        <v>4.9442075462411837E-4</v>
      </c>
      <c r="J146" s="65">
        <f t="shared" si="191"/>
        <v>6.0411397314409242E-4</v>
      </c>
      <c r="K146" s="65">
        <f t="shared" si="191"/>
        <v>7.4046298065082031E-4</v>
      </c>
      <c r="L146" s="65">
        <f t="shared" si="191"/>
        <v>9.4534514019028993E-4</v>
      </c>
      <c r="M146" s="65">
        <f t="shared" si="191"/>
        <v>1.0357697079601367E-3</v>
      </c>
      <c r="N146" s="65">
        <f t="shared" si="191"/>
        <v>1.177019499916549E-3</v>
      </c>
      <c r="O146" s="65">
        <f t="shared" si="191"/>
        <v>1.4407159060288543E-3</v>
      </c>
      <c r="P146" s="65">
        <f t="shared" si="191"/>
        <v>1.8739586415572856E-3</v>
      </c>
      <c r="Q146" s="65">
        <f t="shared" si="191"/>
        <v>2.5462953581739237E-3</v>
      </c>
      <c r="R146" s="65">
        <f t="shared" si="191"/>
        <v>3.1816842951790584E-3</v>
      </c>
      <c r="S146" s="65">
        <f t="shared" si="191"/>
        <v>3.3889052206537507E-3</v>
      </c>
      <c r="T146" s="65">
        <f t="shared" si="191"/>
        <v>5.567330755515151E-3</v>
      </c>
      <c r="U146" s="65">
        <f t="shared" si="191"/>
        <v>5.9609165735334093E-3</v>
      </c>
      <c r="V146" s="65">
        <f t="shared" si="191"/>
        <v>4.5441136567009573E-3</v>
      </c>
      <c r="W146" s="65">
        <f t="shared" si="191"/>
        <v>4.522991628708793E-3</v>
      </c>
      <c r="X146" s="65">
        <f t="shared" ref="X146:Y146" si="192">IF(X116=0,0,X116/X$26)</f>
        <v>5.9384772880092303E-3</v>
      </c>
      <c r="Y146" s="65">
        <f t="shared" si="192"/>
        <v>5.7549106833562702E-3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1.7699363156285841</v>
      </c>
      <c r="C147" s="65">
        <f t="shared" ref="C147:W147" si="194">IF(C117=0,0,C117/C$26)</f>
        <v>1.742332424761236</v>
      </c>
      <c r="D147" s="65">
        <f t="shared" si="194"/>
        <v>1.7475795542815973</v>
      </c>
      <c r="E147" s="65">
        <f t="shared" si="194"/>
        <v>1.7168696147619891</v>
      </c>
      <c r="F147" s="65">
        <f t="shared" si="194"/>
        <v>1.6657446994282041</v>
      </c>
      <c r="G147" s="65">
        <f t="shared" si="194"/>
        <v>1.655143256815415</v>
      </c>
      <c r="H147" s="65">
        <f t="shared" si="194"/>
        <v>1.6652323294094451</v>
      </c>
      <c r="I147" s="65">
        <f t="shared" si="194"/>
        <v>1.6088458395459397</v>
      </c>
      <c r="J147" s="65">
        <f t="shared" si="194"/>
        <v>1.5877903524838417</v>
      </c>
      <c r="K147" s="65">
        <f t="shared" si="194"/>
        <v>1.5649309950539485</v>
      </c>
      <c r="L147" s="65">
        <f t="shared" si="194"/>
        <v>1.5229767041958144</v>
      </c>
      <c r="M147" s="65">
        <f t="shared" si="194"/>
        <v>1.5209739159669686</v>
      </c>
      <c r="N147" s="65">
        <f t="shared" si="194"/>
        <v>1.5020108745007439</v>
      </c>
      <c r="O147" s="65">
        <f t="shared" si="194"/>
        <v>1.5390815401937048</v>
      </c>
      <c r="P147" s="65">
        <f t="shared" si="194"/>
        <v>1.5912737147168281</v>
      </c>
      <c r="Q147" s="65">
        <f t="shared" si="194"/>
        <v>1.5679418165173087</v>
      </c>
      <c r="R147" s="65">
        <f t="shared" si="194"/>
        <v>1.5150541261748498</v>
      </c>
      <c r="S147" s="65">
        <f t="shared" si="194"/>
        <v>1.5189571747740822</v>
      </c>
      <c r="T147" s="65">
        <f t="shared" si="194"/>
        <v>1.6104441645765895</v>
      </c>
      <c r="U147" s="65">
        <f t="shared" si="194"/>
        <v>1.5535319742239864</v>
      </c>
      <c r="V147" s="65">
        <f t="shared" si="194"/>
        <v>1.4044402537612795</v>
      </c>
      <c r="W147" s="65">
        <f t="shared" si="194"/>
        <v>1.3715837297527729</v>
      </c>
      <c r="X147" s="65">
        <f t="shared" ref="X147:Y147" si="195">IF(X117=0,0,X117/X$26)</f>
        <v>1.3546174177632357</v>
      </c>
      <c r="Y147" s="65">
        <f t="shared" si="195"/>
        <v>1.3267235191777262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1.665324935135112</v>
      </c>
      <c r="C148" s="67">
        <f t="shared" ref="C148:W148" si="197">IF(C118=0,0,C118/C$26)</f>
        <v>1.6412615668803967</v>
      </c>
      <c r="D148" s="67">
        <f t="shared" si="197"/>
        <v>1.6965975005965581</v>
      </c>
      <c r="E148" s="67">
        <f t="shared" si="197"/>
        <v>1.7260905864708853</v>
      </c>
      <c r="F148" s="67">
        <f t="shared" si="197"/>
        <v>1.7106466123883486</v>
      </c>
      <c r="G148" s="67">
        <f t="shared" si="197"/>
        <v>1.6792309572675013</v>
      </c>
      <c r="H148" s="67">
        <f t="shared" si="197"/>
        <v>1.6225875743056914</v>
      </c>
      <c r="I148" s="67">
        <f t="shared" si="197"/>
        <v>1.5400799278980493</v>
      </c>
      <c r="J148" s="67">
        <f t="shared" si="197"/>
        <v>1.5272352608474831</v>
      </c>
      <c r="K148" s="67">
        <f t="shared" si="197"/>
        <v>1.4708355961277406</v>
      </c>
      <c r="L148" s="67">
        <f t="shared" si="197"/>
        <v>1.3828229955137479</v>
      </c>
      <c r="M148" s="67">
        <f t="shared" si="197"/>
        <v>1.3071306770081357</v>
      </c>
      <c r="N148" s="67">
        <f t="shared" si="197"/>
        <v>1.3034999701575818</v>
      </c>
      <c r="O148" s="67">
        <f t="shared" si="197"/>
        <v>1.3573599435969099</v>
      </c>
      <c r="P148" s="67">
        <f t="shared" si="197"/>
        <v>1.736433314406769</v>
      </c>
      <c r="Q148" s="67">
        <f t="shared" si="197"/>
        <v>1.5959001417591381</v>
      </c>
      <c r="R148" s="67">
        <f t="shared" si="197"/>
        <v>1.564790333194217</v>
      </c>
      <c r="S148" s="67">
        <f t="shared" si="197"/>
        <v>1.6282862927319788</v>
      </c>
      <c r="T148" s="67">
        <f t="shared" si="197"/>
        <v>1.8716505778946915</v>
      </c>
      <c r="U148" s="67">
        <f t="shared" si="197"/>
        <v>2.0204190786219369</v>
      </c>
      <c r="V148" s="67">
        <f t="shared" si="197"/>
        <v>1.6879744211986563</v>
      </c>
      <c r="W148" s="67">
        <f t="shared" si="197"/>
        <v>1.6589622635547607</v>
      </c>
      <c r="X148" s="67">
        <f t="shared" ref="X148:Y148" si="198">IF(X118=0,0,X118/X$26)</f>
        <v>1.7588548301062217</v>
      </c>
      <c r="Y148" s="67">
        <f t="shared" si="198"/>
        <v>1.7616670985450757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11125.703033279297</v>
      </c>
      <c r="C153" s="82">
        <f t="shared" ref="C153:W153" si="203">IF(C99=0,0,C99/C$23)</f>
        <v>11571.976278006025</v>
      </c>
      <c r="D153" s="82">
        <f t="shared" si="203"/>
        <v>11547.703001735656</v>
      </c>
      <c r="E153" s="82">
        <f t="shared" si="203"/>
        <v>12903.599004403344</v>
      </c>
      <c r="F153" s="82">
        <f t="shared" si="203"/>
        <v>12632.878862988835</v>
      </c>
      <c r="G153" s="82">
        <f t="shared" si="203"/>
        <v>12255.689107754919</v>
      </c>
      <c r="H153" s="82">
        <f t="shared" si="203"/>
        <v>13127.517209166983</v>
      </c>
      <c r="I153" s="82">
        <f t="shared" si="203"/>
        <v>11265.374559597129</v>
      </c>
      <c r="J153" s="82">
        <f t="shared" si="203"/>
        <v>12128.841429271475</v>
      </c>
      <c r="K153" s="82">
        <f t="shared" si="203"/>
        <v>11674.406850815287</v>
      </c>
      <c r="L153" s="82">
        <f t="shared" si="203"/>
        <v>12242.408260029581</v>
      </c>
      <c r="M153" s="82">
        <f t="shared" si="203"/>
        <v>10679.874251270419</v>
      </c>
      <c r="N153" s="82">
        <f t="shared" si="203"/>
        <v>11002.343191978227</v>
      </c>
      <c r="O153" s="82">
        <f t="shared" si="203"/>
        <v>11397.503642154275</v>
      </c>
      <c r="P153" s="82">
        <f t="shared" si="203"/>
        <v>10345.793804802781</v>
      </c>
      <c r="Q153" s="82">
        <f t="shared" si="203"/>
        <v>10795.728570304229</v>
      </c>
      <c r="R153" s="82">
        <f t="shared" si="203"/>
        <v>10460.022387890609</v>
      </c>
      <c r="S153" s="82">
        <f t="shared" si="203"/>
        <v>10301.123102978432</v>
      </c>
      <c r="T153" s="82">
        <f t="shared" si="203"/>
        <v>9771.9426009472481</v>
      </c>
      <c r="U153" s="82">
        <f t="shared" si="203"/>
        <v>9289.6405567771762</v>
      </c>
      <c r="V153" s="82">
        <f t="shared" si="203"/>
        <v>9079.405323106881</v>
      </c>
      <c r="W153" s="82">
        <f t="shared" si="203"/>
        <v>10073.010991330664</v>
      </c>
      <c r="X153" s="82">
        <f t="shared" ref="X153:Y153" si="204">IF(X99=0,0,X99/X$23)</f>
        <v>8126.3131153883696</v>
      </c>
      <c r="Y153" s="82">
        <f t="shared" si="204"/>
        <v>7741.8876077318291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8225.1121420581549</v>
      </c>
      <c r="C154" s="64">
        <f t="shared" ref="C154:W154" si="206">IF(C100=0,0,C100/C$23)</f>
        <v>8579.9625722922065</v>
      </c>
      <c r="D154" s="64">
        <f t="shared" si="206"/>
        <v>8486.1674001047631</v>
      </c>
      <c r="E154" s="64">
        <f t="shared" si="206"/>
        <v>9754.1886573785541</v>
      </c>
      <c r="F154" s="64">
        <f t="shared" si="206"/>
        <v>9424.3436346277485</v>
      </c>
      <c r="G154" s="64">
        <f t="shared" si="206"/>
        <v>8990.9268288382336</v>
      </c>
      <c r="H154" s="64">
        <f t="shared" si="206"/>
        <v>9815.7994447229321</v>
      </c>
      <c r="I154" s="64">
        <f t="shared" si="206"/>
        <v>7929.3858151618188</v>
      </c>
      <c r="J154" s="64">
        <f t="shared" si="206"/>
        <v>8780.8569247797059</v>
      </c>
      <c r="K154" s="64">
        <f t="shared" si="206"/>
        <v>8335.3590556466916</v>
      </c>
      <c r="L154" s="64">
        <f t="shared" si="206"/>
        <v>8887.9628530159353</v>
      </c>
      <c r="M154" s="64">
        <f t="shared" si="206"/>
        <v>7365.7734046238411</v>
      </c>
      <c r="N154" s="64">
        <f t="shared" si="206"/>
        <v>7713.9722801481485</v>
      </c>
      <c r="O154" s="64">
        <f t="shared" si="206"/>
        <v>8118.1208468044633</v>
      </c>
      <c r="P154" s="64">
        <f t="shared" si="206"/>
        <v>7065.2039235906559</v>
      </c>
      <c r="Q154" s="64">
        <f t="shared" si="206"/>
        <v>7492.4756449495408</v>
      </c>
      <c r="R154" s="64">
        <f t="shared" si="206"/>
        <v>7214.8922038235933</v>
      </c>
      <c r="S154" s="64">
        <f t="shared" si="206"/>
        <v>7084.8932470868585</v>
      </c>
      <c r="T154" s="64">
        <f t="shared" si="206"/>
        <v>6619.941058633568</v>
      </c>
      <c r="U154" s="64">
        <f t="shared" si="206"/>
        <v>6220.4811828120883</v>
      </c>
      <c r="V154" s="64">
        <f t="shared" si="206"/>
        <v>6081.4771805502578</v>
      </c>
      <c r="W154" s="64">
        <f t="shared" si="206"/>
        <v>7085.2062640201721</v>
      </c>
      <c r="X154" s="64">
        <f t="shared" ref="X154:Y154" si="207">IF(X100=0,0,X100/X$23)</f>
        <v>5244.5407599375949</v>
      </c>
      <c r="Y154" s="64">
        <f t="shared" si="207"/>
        <v>4929.6382793712683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5760.9593056418908</v>
      </c>
      <c r="C155" s="65">
        <f t="shared" ref="C155:W155" si="209">IF(C101=0,0,C101/C$23)</f>
        <v>6159.9034326495375</v>
      </c>
      <c r="D155" s="65">
        <f t="shared" si="209"/>
        <v>5997.6420000027974</v>
      </c>
      <c r="E155" s="65">
        <f t="shared" si="209"/>
        <v>7145.3099544897659</v>
      </c>
      <c r="F155" s="65">
        <f t="shared" si="209"/>
        <v>6877.4280489877801</v>
      </c>
      <c r="G155" s="65">
        <f t="shared" si="209"/>
        <v>6471.4284615887927</v>
      </c>
      <c r="H155" s="65">
        <f t="shared" si="209"/>
        <v>7281.6741839739188</v>
      </c>
      <c r="I155" s="65">
        <f t="shared" si="209"/>
        <v>5412.3594656913647</v>
      </c>
      <c r="J155" s="65">
        <f t="shared" si="209"/>
        <v>6313.1986814103766</v>
      </c>
      <c r="K155" s="65">
        <f t="shared" si="209"/>
        <v>5837.9555890062784</v>
      </c>
      <c r="L155" s="65">
        <f t="shared" si="209"/>
        <v>6386.1341656637151</v>
      </c>
      <c r="M155" s="65">
        <f t="shared" si="209"/>
        <v>4953.6040365443559</v>
      </c>
      <c r="N155" s="65">
        <f t="shared" si="209"/>
        <v>5304.6951093510006</v>
      </c>
      <c r="O155" s="65">
        <f t="shared" si="209"/>
        <v>5714.9405330149566</v>
      </c>
      <c r="P155" s="65">
        <f t="shared" si="209"/>
        <v>4617.3120207216352</v>
      </c>
      <c r="Q155" s="65">
        <f t="shared" si="209"/>
        <v>5052.7082344046357</v>
      </c>
      <c r="R155" s="65">
        <f t="shared" si="209"/>
        <v>4843.2636939033137</v>
      </c>
      <c r="S155" s="65">
        <f t="shared" si="209"/>
        <v>4711.2406313965485</v>
      </c>
      <c r="T155" s="65">
        <f t="shared" si="209"/>
        <v>4157.2793016296837</v>
      </c>
      <c r="U155" s="65">
        <f t="shared" si="209"/>
        <v>3790.2925635470642</v>
      </c>
      <c r="V155" s="65">
        <f t="shared" si="209"/>
        <v>3910.846937080295</v>
      </c>
      <c r="W155" s="65">
        <f t="shared" si="209"/>
        <v>4897.5716095504113</v>
      </c>
      <c r="X155" s="65">
        <f t="shared" ref="X155:Y155" si="210">IF(X101=0,0,X101/X$23)</f>
        <v>3264.7484613053216</v>
      </c>
      <c r="Y155" s="65">
        <f t="shared" si="210"/>
        <v>3027.1268240385748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149.75246488590361</v>
      </c>
      <c r="C156" s="65">
        <f t="shared" ref="C156:W156" si="212">IF(C102=0,0,C102/C$23)</f>
        <v>153.27985534908331</v>
      </c>
      <c r="D156" s="65">
        <f t="shared" si="212"/>
        <v>156.86942086006414</v>
      </c>
      <c r="E156" s="65">
        <f t="shared" si="212"/>
        <v>191.90139822399746</v>
      </c>
      <c r="F156" s="65">
        <f t="shared" si="212"/>
        <v>157.96819607189136</v>
      </c>
      <c r="G156" s="65">
        <f t="shared" si="212"/>
        <v>161.39982919465569</v>
      </c>
      <c r="H156" s="65">
        <f t="shared" si="212"/>
        <v>181.65498180327623</v>
      </c>
      <c r="I156" s="65">
        <f t="shared" si="212"/>
        <v>170.08785267915795</v>
      </c>
      <c r="J156" s="65">
        <f t="shared" si="212"/>
        <v>169.88159077681237</v>
      </c>
      <c r="K156" s="65">
        <f t="shared" si="212"/>
        <v>177.02449504907045</v>
      </c>
      <c r="L156" s="65">
        <f t="shared" si="212"/>
        <v>198.35698987118656</v>
      </c>
      <c r="M156" s="65">
        <f t="shared" si="212"/>
        <v>184.02548937355712</v>
      </c>
      <c r="N156" s="65">
        <f t="shared" si="212"/>
        <v>187.94902144153465</v>
      </c>
      <c r="O156" s="65">
        <f t="shared" si="212"/>
        <v>195.80714836126359</v>
      </c>
      <c r="P156" s="65">
        <f t="shared" si="212"/>
        <v>181.56253510092503</v>
      </c>
      <c r="Q156" s="65">
        <f t="shared" si="212"/>
        <v>200.71370223705784</v>
      </c>
      <c r="R156" s="65">
        <f t="shared" si="212"/>
        <v>177.88852366653251</v>
      </c>
      <c r="S156" s="65">
        <f t="shared" si="212"/>
        <v>168.89694493500284</v>
      </c>
      <c r="T156" s="65">
        <f t="shared" si="212"/>
        <v>201.4077399871986</v>
      </c>
      <c r="U156" s="65">
        <f t="shared" si="212"/>
        <v>190.10815247903997</v>
      </c>
      <c r="V156" s="65">
        <f t="shared" si="212"/>
        <v>162.61047771522846</v>
      </c>
      <c r="W156" s="65">
        <f t="shared" si="212"/>
        <v>154.73789215964868</v>
      </c>
      <c r="X156" s="65">
        <f t="shared" ref="X156:Y156" si="213">IF(X102=0,0,X102/X$23)</f>
        <v>170.24421316008733</v>
      </c>
      <c r="Y156" s="65">
        <f t="shared" si="213"/>
        <v>161.93737836125442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1116.9686590974541</v>
      </c>
      <c r="C157" s="65">
        <f t="shared" ref="C157:W157" si="215">IF(C103=0,0,C103/C$23)</f>
        <v>1085.3469402781386</v>
      </c>
      <c r="D157" s="65">
        <f t="shared" si="215"/>
        <v>1091.7264416490423</v>
      </c>
      <c r="E157" s="65">
        <f t="shared" si="215"/>
        <v>1117.4995139786861</v>
      </c>
      <c r="F157" s="65">
        <f t="shared" si="215"/>
        <v>1094.2348518666925</v>
      </c>
      <c r="G157" s="65">
        <f t="shared" si="215"/>
        <v>1092.6270182487804</v>
      </c>
      <c r="H157" s="65">
        <f t="shared" si="215"/>
        <v>1105.9118573184155</v>
      </c>
      <c r="I157" s="65">
        <f t="shared" si="215"/>
        <v>1096.7172263320551</v>
      </c>
      <c r="J157" s="65">
        <f t="shared" si="215"/>
        <v>1084.6361570994086</v>
      </c>
      <c r="K157" s="65">
        <f t="shared" si="215"/>
        <v>1087.2730697260567</v>
      </c>
      <c r="L157" s="65">
        <f t="shared" si="215"/>
        <v>1065.5383148959841</v>
      </c>
      <c r="M157" s="65">
        <f t="shared" si="215"/>
        <v>1035.3494217406856</v>
      </c>
      <c r="N157" s="65">
        <f t="shared" si="215"/>
        <v>1030.6104539455232</v>
      </c>
      <c r="O157" s="65">
        <f t="shared" si="215"/>
        <v>1002.775282176098</v>
      </c>
      <c r="P157" s="65">
        <f t="shared" si="215"/>
        <v>1021.4631231101354</v>
      </c>
      <c r="Q157" s="65">
        <f t="shared" si="215"/>
        <v>1011.3573946672271</v>
      </c>
      <c r="R157" s="65">
        <f t="shared" si="215"/>
        <v>983.71806540842067</v>
      </c>
      <c r="S157" s="65">
        <f t="shared" si="215"/>
        <v>972.49485484425134</v>
      </c>
      <c r="T157" s="65">
        <f t="shared" si="215"/>
        <v>1012.4254391305507</v>
      </c>
      <c r="U157" s="65">
        <f t="shared" si="215"/>
        <v>974.88593933795653</v>
      </c>
      <c r="V157" s="65">
        <f t="shared" si="215"/>
        <v>857.13032870128632</v>
      </c>
      <c r="W157" s="65">
        <f t="shared" si="215"/>
        <v>861.16648446141858</v>
      </c>
      <c r="X157" s="65">
        <f t="shared" ref="X157:Y157" si="216">IF(X103=0,0,X103/X$23)</f>
        <v>783.75630963672677</v>
      </c>
      <c r="Y157" s="65">
        <f t="shared" si="216"/>
        <v>750.51557200939533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1197.4317124329045</v>
      </c>
      <c r="C158" s="67">
        <f t="shared" ref="C158:W158" si="218">IF(C104=0,0,C104/C$23)</f>
        <v>1181.4323440154476</v>
      </c>
      <c r="D158" s="67">
        <f t="shared" si="218"/>
        <v>1239.9295375928616</v>
      </c>
      <c r="E158" s="67">
        <f t="shared" si="218"/>
        <v>1299.4777906861023</v>
      </c>
      <c r="F158" s="67">
        <f t="shared" si="218"/>
        <v>1294.7125377013854</v>
      </c>
      <c r="G158" s="67">
        <f t="shared" si="218"/>
        <v>1265.4715198060051</v>
      </c>
      <c r="H158" s="67">
        <f t="shared" si="218"/>
        <v>1246.5584216273226</v>
      </c>
      <c r="I158" s="67">
        <f t="shared" si="218"/>
        <v>1250.2212704592414</v>
      </c>
      <c r="J158" s="67">
        <f t="shared" si="218"/>
        <v>1213.1404954931097</v>
      </c>
      <c r="K158" s="67">
        <f t="shared" si="218"/>
        <v>1233.105901865285</v>
      </c>
      <c r="L158" s="67">
        <f t="shared" si="218"/>
        <v>1237.933382585051</v>
      </c>
      <c r="M158" s="67">
        <f t="shared" si="218"/>
        <v>1192.7944569652434</v>
      </c>
      <c r="N158" s="67">
        <f t="shared" si="218"/>
        <v>1190.7176954100901</v>
      </c>
      <c r="O158" s="67">
        <f t="shared" si="218"/>
        <v>1204.5978832521444</v>
      </c>
      <c r="P158" s="67">
        <f t="shared" si="218"/>
        <v>1244.866244657959</v>
      </c>
      <c r="Q158" s="67">
        <f t="shared" si="218"/>
        <v>1227.6963136406191</v>
      </c>
      <c r="R158" s="67">
        <f t="shared" si="218"/>
        <v>1210.0219208453263</v>
      </c>
      <c r="S158" s="67">
        <f t="shared" si="218"/>
        <v>1232.2608159110571</v>
      </c>
      <c r="T158" s="67">
        <f t="shared" si="218"/>
        <v>1248.8285778861357</v>
      </c>
      <c r="U158" s="67">
        <f t="shared" si="218"/>
        <v>1265.1945274480286</v>
      </c>
      <c r="V158" s="67">
        <f t="shared" si="218"/>
        <v>1150.8894370534479</v>
      </c>
      <c r="W158" s="67">
        <f t="shared" si="218"/>
        <v>1171.7302778486933</v>
      </c>
      <c r="X158" s="67">
        <f t="shared" ref="X158:Y158" si="219">IF(X104=0,0,X104/X$23)</f>
        <v>1025.7917758354595</v>
      </c>
      <c r="Y158" s="67">
        <f t="shared" si="219"/>
        <v>990.05850496204448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2900.5908912211426</v>
      </c>
      <c r="C159" s="68">
        <f t="shared" ref="C159:W159" si="221">IF(C105=0,0,C105/C$23)</f>
        <v>2992.0137057138186</v>
      </c>
      <c r="D159" s="68">
        <f t="shared" si="221"/>
        <v>3061.5356016308929</v>
      </c>
      <c r="E159" s="68">
        <f t="shared" si="221"/>
        <v>3149.4103470247901</v>
      </c>
      <c r="F159" s="68">
        <f t="shared" si="221"/>
        <v>3208.5352283610864</v>
      </c>
      <c r="G159" s="68">
        <f t="shared" si="221"/>
        <v>3264.7622789166853</v>
      </c>
      <c r="H159" s="68">
        <f t="shared" si="221"/>
        <v>3311.7177644440521</v>
      </c>
      <c r="I159" s="68">
        <f t="shared" si="221"/>
        <v>3335.9887444353085</v>
      </c>
      <c r="J159" s="68">
        <f t="shared" si="221"/>
        <v>3347.9845044917697</v>
      </c>
      <c r="K159" s="68">
        <f t="shared" si="221"/>
        <v>3339.0477951685939</v>
      </c>
      <c r="L159" s="68">
        <f t="shared" si="221"/>
        <v>3354.4454070136408</v>
      </c>
      <c r="M159" s="68">
        <f t="shared" si="221"/>
        <v>3314.1008466465769</v>
      </c>
      <c r="N159" s="68">
        <f t="shared" si="221"/>
        <v>3288.3709118300799</v>
      </c>
      <c r="O159" s="68">
        <f t="shared" si="221"/>
        <v>3279.3827953498126</v>
      </c>
      <c r="P159" s="68">
        <f t="shared" si="221"/>
        <v>3280.5898812121254</v>
      </c>
      <c r="Q159" s="68">
        <f t="shared" si="221"/>
        <v>3303.2529253546909</v>
      </c>
      <c r="R159" s="68">
        <f t="shared" si="221"/>
        <v>3245.1301840670144</v>
      </c>
      <c r="S159" s="68">
        <f t="shared" si="221"/>
        <v>3216.2298558915732</v>
      </c>
      <c r="T159" s="68">
        <f t="shared" si="221"/>
        <v>3152.0015423136801</v>
      </c>
      <c r="U159" s="68">
        <f t="shared" si="221"/>
        <v>3069.1593739650862</v>
      </c>
      <c r="V159" s="68">
        <f t="shared" si="221"/>
        <v>2997.9281425566242</v>
      </c>
      <c r="W159" s="68">
        <f t="shared" si="221"/>
        <v>2987.8047273104926</v>
      </c>
      <c r="X159" s="68">
        <f t="shared" ref="X159:Y159" si="222">IF(X105=0,0,X105/X$23)</f>
        <v>2881.7723554507734</v>
      </c>
      <c r="Y159" s="68">
        <f t="shared" si="222"/>
        <v>2812.2493283605609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4987.0417838243329</v>
      </c>
      <c r="C161" s="85">
        <f t="shared" ref="C161:W161" si="224">IF(C107=0,0,C107/C$23)</f>
        <v>5191.3455839093758</v>
      </c>
      <c r="D161" s="85">
        <f t="shared" si="224"/>
        <v>5259.9106791338354</v>
      </c>
      <c r="E161" s="85">
        <f t="shared" si="224"/>
        <v>6451.1586216656715</v>
      </c>
      <c r="F161" s="85">
        <f t="shared" si="224"/>
        <v>6246.5727121214049</v>
      </c>
      <c r="G161" s="85">
        <f t="shared" si="224"/>
        <v>5980.432413196676</v>
      </c>
      <c r="H161" s="85">
        <f t="shared" si="224"/>
        <v>6539.5765125465778</v>
      </c>
      <c r="I161" s="85">
        <f t="shared" si="224"/>
        <v>5478.3394193011354</v>
      </c>
      <c r="J161" s="85">
        <f t="shared" si="224"/>
        <v>6078.4811396442828</v>
      </c>
      <c r="K161" s="85">
        <f t="shared" si="224"/>
        <v>5900.5949337784987</v>
      </c>
      <c r="L161" s="85">
        <f t="shared" si="224"/>
        <v>6480.0847624457238</v>
      </c>
      <c r="M161" s="85">
        <f t="shared" si="224"/>
        <v>5417.1574227590363</v>
      </c>
      <c r="N161" s="85">
        <f t="shared" si="224"/>
        <v>5790.7574033972005</v>
      </c>
      <c r="O161" s="85">
        <f t="shared" si="224"/>
        <v>6129.5258727588125</v>
      </c>
      <c r="P161" s="85">
        <f t="shared" si="224"/>
        <v>5378.5256306512374</v>
      </c>
      <c r="Q161" s="85">
        <f t="shared" si="224"/>
        <v>5840.8373509933608</v>
      </c>
      <c r="R161" s="85">
        <f t="shared" si="224"/>
        <v>5651.6111008969847</v>
      </c>
      <c r="S161" s="85">
        <f t="shared" si="224"/>
        <v>5620.1113110641927</v>
      </c>
      <c r="T161" s="85">
        <f t="shared" si="224"/>
        <v>5526.6576771680921</v>
      </c>
      <c r="U161" s="85">
        <f t="shared" si="224"/>
        <v>5253.3310619411286</v>
      </c>
      <c r="V161" s="85">
        <f t="shared" si="224"/>
        <v>5167.7185255938848</v>
      </c>
      <c r="W161" s="85">
        <f t="shared" si="224"/>
        <v>5975.500042648916</v>
      </c>
      <c r="X161" s="85">
        <f t="shared" ref="X161:Y161" si="225">IF(X107=0,0,X107/X$23)</f>
        <v>4724.4082070788327</v>
      </c>
      <c r="Y161" s="85">
        <f t="shared" si="225"/>
        <v>4509.468617081041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3225.8537950011505</v>
      </c>
      <c r="C162" s="65">
        <f t="shared" ref="C162:W162" si="227">IF(C108=0,0,C108/C$23)</f>
        <v>3441.8851011113675</v>
      </c>
      <c r="D162" s="65">
        <f t="shared" si="227"/>
        <v>3440.4115526639898</v>
      </c>
      <c r="E162" s="65">
        <f t="shared" si="227"/>
        <v>4460.2358097820415</v>
      </c>
      <c r="F162" s="65">
        <f t="shared" si="227"/>
        <v>4326.346572872857</v>
      </c>
      <c r="G162" s="65">
        <f t="shared" si="227"/>
        <v>4048.3247882734499</v>
      </c>
      <c r="H162" s="65">
        <f t="shared" si="227"/>
        <v>4529.537441630393</v>
      </c>
      <c r="I162" s="65">
        <f t="shared" si="227"/>
        <v>3458.7416750652678</v>
      </c>
      <c r="J162" s="65">
        <f t="shared" si="227"/>
        <v>4057.9220275631228</v>
      </c>
      <c r="K162" s="65">
        <f t="shared" si="227"/>
        <v>3814.2785181210957</v>
      </c>
      <c r="L162" s="65">
        <f t="shared" si="227"/>
        <v>4307.6386164480136</v>
      </c>
      <c r="M162" s="65">
        <f t="shared" si="227"/>
        <v>3308.522534577352</v>
      </c>
      <c r="N162" s="65">
        <f t="shared" si="227"/>
        <v>3640.3904814838593</v>
      </c>
      <c r="O162" s="65">
        <f t="shared" si="227"/>
        <v>3938.1873651606006</v>
      </c>
      <c r="P162" s="65">
        <f t="shared" si="227"/>
        <v>3201.2719867441074</v>
      </c>
      <c r="Q162" s="65">
        <f t="shared" si="227"/>
        <v>3566.8790595742385</v>
      </c>
      <c r="R162" s="65">
        <f t="shared" si="227"/>
        <v>3454.9717360362542</v>
      </c>
      <c r="S162" s="65">
        <f t="shared" si="227"/>
        <v>3417.6565442414826</v>
      </c>
      <c r="T162" s="65">
        <f t="shared" si="227"/>
        <v>3127.6977532876699</v>
      </c>
      <c r="U162" s="65">
        <f t="shared" si="227"/>
        <v>2896.7970453693451</v>
      </c>
      <c r="V162" s="65">
        <f t="shared" si="227"/>
        <v>3043.1038533188612</v>
      </c>
      <c r="W162" s="65">
        <f t="shared" si="227"/>
        <v>3833.796969017576</v>
      </c>
      <c r="X162" s="65">
        <f t="shared" ref="X162:Y162" si="228">IF(X108=0,0,X108/X$23)</f>
        <v>2680.0472864425506</v>
      </c>
      <c r="Y162" s="65">
        <f t="shared" si="228"/>
        <v>2536.69139173536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287.7274529465447</v>
      </c>
      <c r="C163" s="65">
        <f t="shared" ref="C163:W163" si="230">IF(C109=0,0,C109/C$23)</f>
        <v>305.39259827365584</v>
      </c>
      <c r="D163" s="65">
        <f t="shared" si="230"/>
        <v>325.96360932630512</v>
      </c>
      <c r="E163" s="65">
        <f t="shared" si="230"/>
        <v>415.84003834792446</v>
      </c>
      <c r="F163" s="65">
        <f t="shared" si="230"/>
        <v>359.2666741079093</v>
      </c>
      <c r="G163" s="65">
        <f t="shared" si="230"/>
        <v>386.59184076283145</v>
      </c>
      <c r="H163" s="65">
        <f t="shared" si="230"/>
        <v>460.57491610725646</v>
      </c>
      <c r="I163" s="65">
        <f t="shared" si="230"/>
        <v>458.71212511779748</v>
      </c>
      <c r="J163" s="65">
        <f t="shared" si="230"/>
        <v>486.87459113516144</v>
      </c>
      <c r="K163" s="65">
        <f t="shared" si="230"/>
        <v>519.23057711642923</v>
      </c>
      <c r="L163" s="65">
        <f t="shared" si="230"/>
        <v>598.6029425830435</v>
      </c>
      <c r="M163" s="65">
        <f t="shared" si="230"/>
        <v>575.94261973300536</v>
      </c>
      <c r="N163" s="65">
        <f t="shared" si="230"/>
        <v>610.45097204513468</v>
      </c>
      <c r="O163" s="65">
        <f t="shared" si="230"/>
        <v>659.53328949768718</v>
      </c>
      <c r="P163" s="65">
        <f t="shared" si="230"/>
        <v>633.97554281237501</v>
      </c>
      <c r="Q163" s="65">
        <f t="shared" si="230"/>
        <v>727.86600062777234</v>
      </c>
      <c r="R163" s="65">
        <f t="shared" si="230"/>
        <v>670.26833521249853</v>
      </c>
      <c r="S163" s="65">
        <f t="shared" si="230"/>
        <v>659.07975655935411</v>
      </c>
      <c r="T163" s="65">
        <f t="shared" si="230"/>
        <v>809.15125473500268</v>
      </c>
      <c r="U163" s="65">
        <f t="shared" si="230"/>
        <v>784.08230441607532</v>
      </c>
      <c r="V163" s="65">
        <f t="shared" si="230"/>
        <v>688.13864643370187</v>
      </c>
      <c r="W163" s="65">
        <f t="shared" si="230"/>
        <v>668.80378195321487</v>
      </c>
      <c r="X163" s="65">
        <f t="shared" ref="X163:Y163" si="231">IF(X109=0,0,X109/X$23)</f>
        <v>747.64267183740708</v>
      </c>
      <c r="Y163" s="65">
        <f t="shared" si="231"/>
        <v>720.77067794638981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710.92418571366386</v>
      </c>
      <c r="C164" s="65">
        <f t="shared" ref="C164:W164" si="233">IF(C110=0,0,C110/C$23)</f>
        <v>692.12955052139648</v>
      </c>
      <c r="D164" s="65">
        <f t="shared" si="233"/>
        <v>701.26909735904985</v>
      </c>
      <c r="E164" s="65">
        <f t="shared" si="233"/>
        <v>742.41431022333404</v>
      </c>
      <c r="F164" s="65">
        <f t="shared" si="233"/>
        <v>729.57186831173954</v>
      </c>
      <c r="G164" s="65">
        <f t="shared" si="233"/>
        <v>732.31462388754346</v>
      </c>
      <c r="H164" s="65">
        <f t="shared" si="233"/>
        <v>745.31689129606093</v>
      </c>
      <c r="I164" s="65">
        <f t="shared" si="233"/>
        <v>745.59171503186678</v>
      </c>
      <c r="J164" s="65">
        <f t="shared" si="233"/>
        <v>743.69552848065211</v>
      </c>
      <c r="K164" s="65">
        <f t="shared" si="233"/>
        <v>752.7372373488962</v>
      </c>
      <c r="L164" s="65">
        <f t="shared" si="233"/>
        <v>745.64732908981091</v>
      </c>
      <c r="M164" s="65">
        <f t="shared" si="233"/>
        <v>730.97730350495453</v>
      </c>
      <c r="N164" s="65">
        <f t="shared" si="233"/>
        <v>738.46415358666206</v>
      </c>
      <c r="O164" s="65">
        <f t="shared" si="233"/>
        <v>722.48861589775515</v>
      </c>
      <c r="P164" s="65">
        <f t="shared" si="233"/>
        <v>740.94935292798095</v>
      </c>
      <c r="Q164" s="65">
        <f t="shared" si="233"/>
        <v>741.48522152255214</v>
      </c>
      <c r="R164" s="65">
        <f t="shared" si="233"/>
        <v>729.63970861007965</v>
      </c>
      <c r="S164" s="65">
        <f t="shared" si="233"/>
        <v>732.1571593433647</v>
      </c>
      <c r="T164" s="65">
        <f t="shared" si="233"/>
        <v>785.9955424941146</v>
      </c>
      <c r="U164" s="65">
        <f t="shared" si="233"/>
        <v>766.46676852758446</v>
      </c>
      <c r="V164" s="65">
        <f t="shared" si="233"/>
        <v>683.58437230112406</v>
      </c>
      <c r="W164" s="65">
        <f t="shared" si="233"/>
        <v>695.47484619239231</v>
      </c>
      <c r="X164" s="65">
        <f t="shared" ref="X164:Y164" si="234">IF(X110=0,0,X110/X$23)</f>
        <v>646.04921988867363</v>
      </c>
      <c r="Y164" s="65">
        <f t="shared" si="234"/>
        <v>628.96420480692484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762.53635016297369</v>
      </c>
      <c r="C165" s="68">
        <f t="shared" ref="C165:W165" si="236">IF(C111=0,0,C111/C$23)</f>
        <v>751.9383340029558</v>
      </c>
      <c r="D165" s="68">
        <f t="shared" si="236"/>
        <v>792.26641978449106</v>
      </c>
      <c r="E165" s="68">
        <f t="shared" si="236"/>
        <v>832.66846331237184</v>
      </c>
      <c r="F165" s="68">
        <f t="shared" si="236"/>
        <v>831.38759682889804</v>
      </c>
      <c r="G165" s="68">
        <f t="shared" si="236"/>
        <v>813.20116027285087</v>
      </c>
      <c r="H165" s="68">
        <f t="shared" si="236"/>
        <v>804.14726351286799</v>
      </c>
      <c r="I165" s="68">
        <f t="shared" si="236"/>
        <v>815.29390408620395</v>
      </c>
      <c r="J165" s="68">
        <f t="shared" si="236"/>
        <v>789.98899246534666</v>
      </c>
      <c r="K165" s="68">
        <f t="shared" si="236"/>
        <v>814.34860119207781</v>
      </c>
      <c r="L165" s="68">
        <f t="shared" si="236"/>
        <v>828.19587432485537</v>
      </c>
      <c r="M165" s="68">
        <f t="shared" si="236"/>
        <v>801.71496494372445</v>
      </c>
      <c r="N165" s="68">
        <f t="shared" si="236"/>
        <v>801.45179628154358</v>
      </c>
      <c r="O165" s="68">
        <f t="shared" si="236"/>
        <v>809.3166022027699</v>
      </c>
      <c r="P165" s="68">
        <f t="shared" si="236"/>
        <v>802.32874816677418</v>
      </c>
      <c r="Q165" s="68">
        <f t="shared" si="236"/>
        <v>804.60706926879857</v>
      </c>
      <c r="R165" s="68">
        <f t="shared" si="236"/>
        <v>796.73132103815237</v>
      </c>
      <c r="S165" s="68">
        <f t="shared" si="236"/>
        <v>811.21785091999197</v>
      </c>
      <c r="T165" s="68">
        <f t="shared" si="236"/>
        <v>803.81312665130383</v>
      </c>
      <c r="U165" s="68">
        <f t="shared" si="236"/>
        <v>805.98494362812392</v>
      </c>
      <c r="V165" s="68">
        <f t="shared" si="236"/>
        <v>752.89165354019758</v>
      </c>
      <c r="W165" s="68">
        <f t="shared" si="236"/>
        <v>777.42444548573292</v>
      </c>
      <c r="X165" s="68">
        <f t="shared" ref="X165:Y165" si="237">IF(X111=0,0,X111/X$23)</f>
        <v>650.66902891020175</v>
      </c>
      <c r="Y165" s="68">
        <f t="shared" si="237"/>
        <v>623.04234259236614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1577.0057352117708</v>
      </c>
      <c r="C167" s="82">
        <f t="shared" ref="C167:W167" si="239">IF(C113=0,0,C113/C$23)</f>
        <v>1699.3020119465805</v>
      </c>
      <c r="D167" s="82">
        <f t="shared" si="239"/>
        <v>1603.041914536672</v>
      </c>
      <c r="E167" s="82">
        <f t="shared" si="239"/>
        <v>1552.3728768397691</v>
      </c>
      <c r="F167" s="82">
        <f t="shared" si="239"/>
        <v>1469.0450277871157</v>
      </c>
      <c r="G167" s="82">
        <f t="shared" si="239"/>
        <v>1429.6415614041068</v>
      </c>
      <c r="H167" s="82">
        <f t="shared" si="239"/>
        <v>1608.9124590170361</v>
      </c>
      <c r="I167" s="82">
        <f t="shared" si="239"/>
        <v>1228.5804922841389</v>
      </c>
      <c r="J167" s="82">
        <f t="shared" si="239"/>
        <v>1376.9940657581635</v>
      </c>
      <c r="K167" s="82">
        <f t="shared" si="239"/>
        <v>1255.6864398304269</v>
      </c>
      <c r="L167" s="82">
        <f t="shared" si="239"/>
        <v>1251.0159460872967</v>
      </c>
      <c r="M167" s="82">
        <f t="shared" si="239"/>
        <v>1110.349876834222</v>
      </c>
      <c r="N167" s="82">
        <f t="shared" si="239"/>
        <v>1139.9072850510661</v>
      </c>
      <c r="O167" s="82">
        <f t="shared" si="239"/>
        <v>1274.8665655910661</v>
      </c>
      <c r="P167" s="82">
        <f t="shared" si="239"/>
        <v>1156.8946143681917</v>
      </c>
      <c r="Q167" s="82">
        <f t="shared" si="239"/>
        <v>1189.295380428757</v>
      </c>
      <c r="R167" s="82">
        <f t="shared" si="239"/>
        <v>1145.9870823480032</v>
      </c>
      <c r="S167" s="82">
        <f t="shared" si="239"/>
        <v>1128.7098104258978</v>
      </c>
      <c r="T167" s="82">
        <f t="shared" si="239"/>
        <v>1018.5399376522007</v>
      </c>
      <c r="U167" s="82">
        <f t="shared" si="239"/>
        <v>947.60920627333189</v>
      </c>
      <c r="V167" s="82">
        <f t="shared" si="239"/>
        <v>930.75596051365153</v>
      </c>
      <c r="W167" s="82">
        <f t="shared" si="239"/>
        <v>1084.5499336224443</v>
      </c>
      <c r="X167" s="82">
        <f t="shared" ref="X167:Y167" si="240">IF(X113=0,0,X113/X$23)</f>
        <v>769.0671725796368</v>
      </c>
      <c r="Y167" s="82">
        <f t="shared" si="240"/>
        <v>715.27236256463721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1577.0057352117708</v>
      </c>
      <c r="C168" s="64">
        <f t="shared" ref="C168:W168" si="242">IF(C114=0,0,C114/C$23)</f>
        <v>1699.3020119465805</v>
      </c>
      <c r="D168" s="64">
        <f t="shared" si="242"/>
        <v>1603.041914536672</v>
      </c>
      <c r="E168" s="64">
        <f t="shared" si="242"/>
        <v>1552.3728768397691</v>
      </c>
      <c r="F168" s="64">
        <f t="shared" si="242"/>
        <v>1469.0450277871157</v>
      </c>
      <c r="G168" s="64">
        <f t="shared" si="242"/>
        <v>1429.6415614041068</v>
      </c>
      <c r="H168" s="64">
        <f t="shared" si="242"/>
        <v>1608.9124590170361</v>
      </c>
      <c r="I168" s="64">
        <f t="shared" si="242"/>
        <v>1228.5804922841389</v>
      </c>
      <c r="J168" s="64">
        <f t="shared" si="242"/>
        <v>1376.9940657581635</v>
      </c>
      <c r="K168" s="64">
        <f t="shared" si="242"/>
        <v>1255.6864398304269</v>
      </c>
      <c r="L168" s="64">
        <f t="shared" si="242"/>
        <v>1251.0159460872967</v>
      </c>
      <c r="M168" s="64">
        <f t="shared" si="242"/>
        <v>1110.349876834222</v>
      </c>
      <c r="N168" s="64">
        <f t="shared" si="242"/>
        <v>1139.9072850510661</v>
      </c>
      <c r="O168" s="64">
        <f t="shared" si="242"/>
        <v>1274.8665655910661</v>
      </c>
      <c r="P168" s="64">
        <f t="shared" si="242"/>
        <v>1156.8946143681917</v>
      </c>
      <c r="Q168" s="64">
        <f t="shared" si="242"/>
        <v>1189.295380428757</v>
      </c>
      <c r="R168" s="64">
        <f t="shared" si="242"/>
        <v>1145.9870823480032</v>
      </c>
      <c r="S168" s="64">
        <f t="shared" si="242"/>
        <v>1128.7098104258978</v>
      </c>
      <c r="T168" s="64">
        <f t="shared" si="242"/>
        <v>1018.5399376522007</v>
      </c>
      <c r="U168" s="64">
        <f t="shared" si="242"/>
        <v>947.60920627333189</v>
      </c>
      <c r="V168" s="64">
        <f t="shared" si="242"/>
        <v>930.75596051365153</v>
      </c>
      <c r="W168" s="64">
        <f t="shared" si="242"/>
        <v>1084.5499336224443</v>
      </c>
      <c r="X168" s="64">
        <f t="shared" ref="X168:Y168" si="243">IF(X114=0,0,X114/X$23)</f>
        <v>769.0671725796368</v>
      </c>
      <c r="Y168" s="64">
        <f t="shared" si="243"/>
        <v>715.27236256463721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1220.0775173172465</v>
      </c>
      <c r="C169" s="65">
        <f t="shared" ref="C169:W169" si="245">IF(C115=0,0,C115/C$23)</f>
        <v>1343.8702166004632</v>
      </c>
      <c r="D169" s="65">
        <f t="shared" si="245"/>
        <v>1240.3875036379704</v>
      </c>
      <c r="E169" s="65">
        <f t="shared" si="245"/>
        <v>1187.1639696496691</v>
      </c>
      <c r="F169" s="65">
        <f t="shared" si="245"/>
        <v>1110.3234898983296</v>
      </c>
      <c r="G169" s="65">
        <f t="shared" si="245"/>
        <v>1074.2819300559661</v>
      </c>
      <c r="H169" s="65">
        <f t="shared" si="245"/>
        <v>1254.5625812359922</v>
      </c>
      <c r="I169" s="65">
        <f t="shared" si="245"/>
        <v>887.42213886525008</v>
      </c>
      <c r="J169" s="65">
        <f t="shared" si="245"/>
        <v>1040.2820026878564</v>
      </c>
      <c r="K169" s="65">
        <f t="shared" si="245"/>
        <v>931.70836611959226</v>
      </c>
      <c r="L169" s="65">
        <f t="shared" si="245"/>
        <v>941.39839703526627</v>
      </c>
      <c r="M169" s="65">
        <f t="shared" si="245"/>
        <v>812.18235801788899</v>
      </c>
      <c r="N169" s="65">
        <f t="shared" si="245"/>
        <v>845.48434348644219</v>
      </c>
      <c r="O169" s="65">
        <f t="shared" si="245"/>
        <v>972.21166619151143</v>
      </c>
      <c r="P169" s="65">
        <f t="shared" si="245"/>
        <v>810.37005736392723</v>
      </c>
      <c r="Q169" s="65">
        <f t="shared" si="245"/>
        <v>860.43417493963466</v>
      </c>
      <c r="R169" s="65">
        <f t="shared" si="245"/>
        <v>826.85170318925623</v>
      </c>
      <c r="S169" s="65">
        <f t="shared" si="245"/>
        <v>804.81159516919695</v>
      </c>
      <c r="T169" s="65">
        <f t="shared" si="245"/>
        <v>661.91451100258496</v>
      </c>
      <c r="U169" s="65">
        <f t="shared" si="245"/>
        <v>583.26461264542559</v>
      </c>
      <c r="V169" s="65">
        <f t="shared" si="245"/>
        <v>612.69825700859406</v>
      </c>
      <c r="W169" s="65">
        <f t="shared" si="245"/>
        <v>773.42600680219107</v>
      </c>
      <c r="X169" s="65">
        <f t="shared" ref="X169:Y169" si="246">IF(X115=0,0,X115/X$23)</f>
        <v>453.71870443873678</v>
      </c>
      <c r="Y169" s="65">
        <f t="shared" si="246"/>
        <v>404.47242657161814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1.4709452058561613E-2</v>
      </c>
      <c r="C170" s="65">
        <f t="shared" ref="C170:W170" si="248">IF(C116=0,0,C116/C$23)</f>
        <v>1.5665541218455134E-2</v>
      </c>
      <c r="D170" s="65">
        <f t="shared" si="248"/>
        <v>1.6953443749525548E-2</v>
      </c>
      <c r="E170" s="65">
        <f t="shared" si="248"/>
        <v>2.0400670311366345E-2</v>
      </c>
      <c r="F170" s="65">
        <f t="shared" si="248"/>
        <v>2.4895405381033124E-2</v>
      </c>
      <c r="G170" s="65">
        <f t="shared" si="248"/>
        <v>3.0833750772193396E-2</v>
      </c>
      <c r="H170" s="65">
        <f t="shared" si="248"/>
        <v>3.5944091554822269E-2</v>
      </c>
      <c r="I170" s="65">
        <f t="shared" si="248"/>
        <v>5.3557721886632985E-2</v>
      </c>
      <c r="J170" s="65">
        <f t="shared" si="248"/>
        <v>6.5287752406616245E-2</v>
      </c>
      <c r="K170" s="65">
        <f t="shared" si="248"/>
        <v>7.9003198690613133E-2</v>
      </c>
      <c r="L170" s="65">
        <f t="shared" si="248"/>
        <v>0.10069525906049837</v>
      </c>
      <c r="M170" s="65">
        <f t="shared" si="248"/>
        <v>0.10916138625045264</v>
      </c>
      <c r="N170" s="65">
        <f t="shared" si="248"/>
        <v>0.12346992619654362</v>
      </c>
      <c r="O170" s="65">
        <f t="shared" si="248"/>
        <v>0.15046841022321278</v>
      </c>
      <c r="P170" s="65">
        <f t="shared" si="248"/>
        <v>0.1950313539439737</v>
      </c>
      <c r="Q170" s="65">
        <f t="shared" si="248"/>
        <v>0.26445833357903215</v>
      </c>
      <c r="R170" s="65">
        <f t="shared" si="248"/>
        <v>0.32934784740378087</v>
      </c>
      <c r="S170" s="65">
        <f t="shared" si="248"/>
        <v>0.34839366285502071</v>
      </c>
      <c r="T170" s="65">
        <f t="shared" si="248"/>
        <v>0.56927869280299037</v>
      </c>
      <c r="U170" s="65">
        <f t="shared" si="248"/>
        <v>0.60667070732079453</v>
      </c>
      <c r="V170" s="65">
        <f t="shared" si="248"/>
        <v>0.46668052523936404</v>
      </c>
      <c r="W170" s="65">
        <f t="shared" si="248"/>
        <v>0.46365038932667774</v>
      </c>
      <c r="X170" s="65">
        <f t="shared" ref="X170:Y170" si="249">IF(X116=0,0,X116/X$23)</f>
        <v>0.60033444802902791</v>
      </c>
      <c r="Y170" s="65">
        <f t="shared" si="249"/>
        <v>0.57806779145065623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183.89116111337722</v>
      </c>
      <c r="C171" s="65">
        <f t="shared" ref="C171:W171" si="251">IF(C117=0,0,C117/C$23)</f>
        <v>183.01635739156117</v>
      </c>
      <c r="D171" s="65">
        <f t="shared" si="251"/>
        <v>184.00267935335765</v>
      </c>
      <c r="E171" s="65">
        <f t="shared" si="251"/>
        <v>182.10522743760518</v>
      </c>
      <c r="F171" s="65">
        <f t="shared" si="251"/>
        <v>176.96320590220992</v>
      </c>
      <c r="G171" s="65">
        <f t="shared" si="251"/>
        <v>176.3809415306946</v>
      </c>
      <c r="H171" s="65">
        <f t="shared" si="251"/>
        <v>179.45478597330472</v>
      </c>
      <c r="I171" s="65">
        <f t="shared" si="251"/>
        <v>174.27690327922315</v>
      </c>
      <c r="J171" s="65">
        <f t="shared" si="251"/>
        <v>171.59553993937061</v>
      </c>
      <c r="K171" s="65">
        <f t="shared" si="251"/>
        <v>166.96925784281481</v>
      </c>
      <c r="L171" s="65">
        <f t="shared" si="251"/>
        <v>162.22279805789466</v>
      </c>
      <c r="M171" s="65">
        <f t="shared" si="251"/>
        <v>160.29781508547822</v>
      </c>
      <c r="N171" s="65">
        <f t="shared" si="251"/>
        <v>157.56168171738994</v>
      </c>
      <c r="O171" s="65">
        <f t="shared" si="251"/>
        <v>160.74171985451963</v>
      </c>
      <c r="P171" s="65">
        <f t="shared" si="251"/>
        <v>165.61105469156769</v>
      </c>
      <c r="Q171" s="65">
        <f t="shared" si="251"/>
        <v>162.8464972117053</v>
      </c>
      <c r="R171" s="65">
        <f t="shared" si="251"/>
        <v>156.82882676699433</v>
      </c>
      <c r="S171" s="65">
        <f t="shared" si="251"/>
        <v>156.15516498197312</v>
      </c>
      <c r="T171" s="65">
        <f t="shared" si="251"/>
        <v>164.67344749261858</v>
      </c>
      <c r="U171" s="65">
        <f t="shared" si="251"/>
        <v>158.11030569234552</v>
      </c>
      <c r="V171" s="65">
        <f t="shared" si="251"/>
        <v>144.23603034798657</v>
      </c>
      <c r="W171" s="65">
        <f t="shared" si="251"/>
        <v>140.60059856346768</v>
      </c>
      <c r="X171" s="65">
        <f t="shared" ref="X171:Y171" si="252">IF(X117=0,0,X117/X$23)</f>
        <v>136.94141786572666</v>
      </c>
      <c r="Y171" s="65">
        <f t="shared" si="252"/>
        <v>133.26638357998505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173.02234732908809</v>
      </c>
      <c r="C172" s="67">
        <f t="shared" ref="C172:W172" si="254">IF(C118=0,0,C118/C$23)</f>
        <v>172.39977241333796</v>
      </c>
      <c r="D172" s="67">
        <f t="shared" si="254"/>
        <v>178.63477810159446</v>
      </c>
      <c r="E172" s="67">
        <f t="shared" si="254"/>
        <v>183.08327908218337</v>
      </c>
      <c r="F172" s="67">
        <f t="shared" si="254"/>
        <v>181.73343658119498</v>
      </c>
      <c r="G172" s="67">
        <f t="shared" si="254"/>
        <v>178.94785606667432</v>
      </c>
      <c r="H172" s="67">
        <f t="shared" si="254"/>
        <v>174.85914771618414</v>
      </c>
      <c r="I172" s="67">
        <f t="shared" si="254"/>
        <v>166.82789241777894</v>
      </c>
      <c r="J172" s="67">
        <f t="shared" si="254"/>
        <v>165.05123537852981</v>
      </c>
      <c r="K172" s="67">
        <f t="shared" si="254"/>
        <v>156.92981266932912</v>
      </c>
      <c r="L172" s="67">
        <f t="shared" si="254"/>
        <v>147.29405573507537</v>
      </c>
      <c r="M172" s="67">
        <f t="shared" si="254"/>
        <v>137.76054234460423</v>
      </c>
      <c r="N172" s="67">
        <f t="shared" si="254"/>
        <v>136.73778992103729</v>
      </c>
      <c r="O172" s="67">
        <f t="shared" si="254"/>
        <v>141.76271113481158</v>
      </c>
      <c r="P172" s="67">
        <f t="shared" si="254"/>
        <v>180.71847095875268</v>
      </c>
      <c r="Q172" s="67">
        <f t="shared" si="254"/>
        <v>165.75024994383816</v>
      </c>
      <c r="R172" s="67">
        <f t="shared" si="254"/>
        <v>161.97720454434875</v>
      </c>
      <c r="S172" s="67">
        <f t="shared" si="254"/>
        <v>167.39465661187251</v>
      </c>
      <c r="T172" s="67">
        <f t="shared" si="254"/>
        <v>191.38270046419407</v>
      </c>
      <c r="U172" s="67">
        <f t="shared" si="254"/>
        <v>205.62761722823979</v>
      </c>
      <c r="V172" s="67">
        <f t="shared" si="254"/>
        <v>173.35499263183172</v>
      </c>
      <c r="W172" s="67">
        <f t="shared" si="254"/>
        <v>170.05967786745907</v>
      </c>
      <c r="X172" s="67">
        <f t="shared" ref="X172:Y172" si="255">IF(X118=0,0,X118/X$23)</f>
        <v>177.80671582714436</v>
      </c>
      <c r="Y172" s="67">
        <f t="shared" si="255"/>
        <v>176.95548462158354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3266869.5618509422</v>
      </c>
      <c r="C3" s="124">
        <f t="shared" si="0"/>
        <v>3317895.3644663836</v>
      </c>
      <c r="D3" s="124">
        <f t="shared" si="0"/>
        <v>3342490.0545854387</v>
      </c>
      <c r="E3" s="124">
        <f t="shared" si="0"/>
        <v>3356704.1908271788</v>
      </c>
      <c r="F3" s="124">
        <f t="shared" si="0"/>
        <v>3399692.171674917</v>
      </c>
      <c r="G3" s="124">
        <f t="shared" si="0"/>
        <v>3431996.709660931</v>
      </c>
      <c r="H3" s="124">
        <f t="shared" si="0"/>
        <v>3517709.1503257924</v>
      </c>
      <c r="I3" s="124">
        <f t="shared" si="0"/>
        <v>3600093.8794843266</v>
      </c>
      <c r="J3" s="124">
        <f t="shared" si="0"/>
        <v>3642383.6887803334</v>
      </c>
      <c r="K3" s="124">
        <f t="shared" si="0"/>
        <v>3624169.1576501061</v>
      </c>
      <c r="L3" s="124">
        <f t="shared" si="0"/>
        <v>3656607.7435273174</v>
      </c>
      <c r="M3" s="124">
        <f t="shared" si="0"/>
        <v>3651700.483303363</v>
      </c>
      <c r="N3" s="124">
        <f t="shared" si="0"/>
        <v>3674664.2812388223</v>
      </c>
      <c r="O3" s="124">
        <f t="shared" si="0"/>
        <v>3691490.8280287818</v>
      </c>
      <c r="P3" s="124">
        <f t="shared" si="0"/>
        <v>3716385.6199341966</v>
      </c>
      <c r="Q3" s="124">
        <f t="shared" si="0"/>
        <v>3750616.7853102046</v>
      </c>
      <c r="R3" s="124">
        <f t="shared" si="0"/>
        <v>3798031.904550516</v>
      </c>
      <c r="S3" s="124">
        <f t="shared" si="0"/>
        <v>3831169.5538928267</v>
      </c>
      <c r="T3" s="124">
        <f t="shared" si="0"/>
        <v>3858590.1722437786</v>
      </c>
      <c r="U3" s="124">
        <f t="shared" si="0"/>
        <v>3879879.0814961647</v>
      </c>
      <c r="V3" s="124">
        <f t="shared" si="0"/>
        <v>3896666.6622222215</v>
      </c>
      <c r="W3" s="124">
        <f t="shared" si="0"/>
        <v>3909718.8985883105</v>
      </c>
      <c r="X3" s="124">
        <f t="shared" si="0"/>
        <v>3920584.8304122845</v>
      </c>
      <c r="Y3" s="124">
        <f t="shared" si="0"/>
        <v>3929598.7159912125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3266869.5618509422</v>
      </c>
      <c r="C4" s="139">
        <f t="shared" si="1"/>
        <v>3317895.3644663836</v>
      </c>
      <c r="D4" s="139">
        <f t="shared" si="1"/>
        <v>3342490.0545854387</v>
      </c>
      <c r="E4" s="139">
        <f t="shared" si="1"/>
        <v>3356704.1908271788</v>
      </c>
      <c r="F4" s="139">
        <f t="shared" si="1"/>
        <v>3399692.171674917</v>
      </c>
      <c r="G4" s="139">
        <f t="shared" si="1"/>
        <v>3431996.709660931</v>
      </c>
      <c r="H4" s="139">
        <f t="shared" si="1"/>
        <v>3517709.1503257924</v>
      </c>
      <c r="I4" s="139">
        <f t="shared" si="1"/>
        <v>3600093.8794843266</v>
      </c>
      <c r="J4" s="139">
        <f t="shared" si="1"/>
        <v>3642383.6887803334</v>
      </c>
      <c r="K4" s="139">
        <f t="shared" si="1"/>
        <v>3624169.1576501061</v>
      </c>
      <c r="L4" s="139">
        <f t="shared" si="1"/>
        <v>3656607.7435273174</v>
      </c>
      <c r="M4" s="139">
        <f t="shared" si="1"/>
        <v>3651700.483303363</v>
      </c>
      <c r="N4" s="139">
        <f t="shared" si="1"/>
        <v>3674664.2812388223</v>
      </c>
      <c r="O4" s="139">
        <f t="shared" si="1"/>
        <v>3691490.8280287818</v>
      </c>
      <c r="P4" s="139">
        <f t="shared" si="1"/>
        <v>3716385.6199341966</v>
      </c>
      <c r="Q4" s="139">
        <f t="shared" si="1"/>
        <v>3750616.7853102046</v>
      </c>
      <c r="R4" s="139">
        <f t="shared" ref="R4:W4" si="2">SUM(R5:R14)</f>
        <v>3798031.904550516</v>
      </c>
      <c r="S4" s="139">
        <f t="shared" si="2"/>
        <v>3831169.5538928267</v>
      </c>
      <c r="T4" s="139">
        <f t="shared" si="2"/>
        <v>3858590.1722437786</v>
      </c>
      <c r="U4" s="139">
        <f t="shared" si="2"/>
        <v>3879879.0814961647</v>
      </c>
      <c r="V4" s="139">
        <f t="shared" si="2"/>
        <v>3896666.6622222215</v>
      </c>
      <c r="W4" s="139">
        <f t="shared" si="2"/>
        <v>3909718.8985883105</v>
      </c>
      <c r="X4" s="139">
        <f t="shared" ref="X4:Y4" si="3">SUM(X5:X14)</f>
        <v>3920584.8304122845</v>
      </c>
      <c r="Y4" s="139">
        <f t="shared" si="3"/>
        <v>3929598.7159912125</v>
      </c>
      <c r="DA4" s="169" t="s">
        <v>246</v>
      </c>
    </row>
    <row r="5" spans="1:105" ht="12" customHeight="1" x14ac:dyDescent="0.25">
      <c r="A5" s="131" t="s">
        <v>29</v>
      </c>
      <c r="B5" s="140">
        <v>82453.797571449541</v>
      </c>
      <c r="C5" s="140">
        <v>79067.820840815897</v>
      </c>
      <c r="D5" s="140">
        <v>60402.704690742314</v>
      </c>
      <c r="E5" s="140">
        <v>46267.765267014074</v>
      </c>
      <c r="F5" s="140">
        <v>33356.809285396404</v>
      </c>
      <c r="G5" s="140">
        <v>26003.873833521924</v>
      </c>
      <c r="H5" s="140">
        <v>23623.103004339635</v>
      </c>
      <c r="I5" s="140">
        <v>34988.058809536109</v>
      </c>
      <c r="J5" s="140">
        <v>32321.124734512196</v>
      </c>
      <c r="K5" s="140">
        <v>28695.348228266663</v>
      </c>
      <c r="L5" s="140">
        <v>24136.069616334258</v>
      </c>
      <c r="M5" s="140">
        <v>23439.012291475283</v>
      </c>
      <c r="N5" s="140">
        <v>21795.954627066396</v>
      </c>
      <c r="O5" s="140">
        <v>21042.106736297399</v>
      </c>
      <c r="P5" s="140">
        <v>17714.686777573199</v>
      </c>
      <c r="Q5" s="140">
        <v>27242.880158314583</v>
      </c>
      <c r="R5" s="140">
        <v>16879.240282620387</v>
      </c>
      <c r="S5" s="140">
        <v>10261.246904199075</v>
      </c>
      <c r="T5" s="140">
        <v>4664.2512699113749</v>
      </c>
      <c r="U5" s="140">
        <v>2206.2915986913217</v>
      </c>
      <c r="V5" s="140">
        <v>1028.587525985901</v>
      </c>
      <c r="W5" s="140">
        <v>2114.5385693761286</v>
      </c>
      <c r="X5" s="140">
        <v>4763.9796167959603</v>
      </c>
      <c r="Y5" s="140">
        <v>12201.586905155951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1224022.5783005017</v>
      </c>
      <c r="C7" s="140">
        <v>1142571.5936996313</v>
      </c>
      <c r="D7" s="140">
        <v>1128089.4038190381</v>
      </c>
      <c r="E7" s="140">
        <v>1019493.8532757177</v>
      </c>
      <c r="F7" s="140">
        <v>949168.4089442644</v>
      </c>
      <c r="G7" s="140">
        <v>922810.31854418595</v>
      </c>
      <c r="H7" s="140">
        <v>910814.23711614206</v>
      </c>
      <c r="I7" s="140">
        <v>893259.9341634257</v>
      </c>
      <c r="J7" s="140">
        <v>913810.32824759441</v>
      </c>
      <c r="K7" s="140">
        <v>921656.20052753389</v>
      </c>
      <c r="L7" s="140">
        <v>926799.96938395733</v>
      </c>
      <c r="M7" s="140">
        <v>964476.69505944301</v>
      </c>
      <c r="N7" s="140">
        <v>993470.62881537434</v>
      </c>
      <c r="O7" s="140">
        <v>1020142.0085605043</v>
      </c>
      <c r="P7" s="140">
        <v>1046874.2744643755</v>
      </c>
      <c r="Q7" s="140">
        <v>1029332.2306279488</v>
      </c>
      <c r="R7" s="140">
        <v>998352.58236758446</v>
      </c>
      <c r="S7" s="140">
        <v>941094.78695929516</v>
      </c>
      <c r="T7" s="140">
        <v>810888.48476828285</v>
      </c>
      <c r="U7" s="140">
        <v>762166.20229654154</v>
      </c>
      <c r="V7" s="140">
        <v>626729.04933061323</v>
      </c>
      <c r="W7" s="140">
        <v>598297.13113535708</v>
      </c>
      <c r="X7" s="140">
        <v>526297.63506500318</v>
      </c>
      <c r="Y7" s="140">
        <v>441835.16227862181</v>
      </c>
      <c r="DA7" s="170" t="s">
        <v>249</v>
      </c>
    </row>
    <row r="8" spans="1:105" ht="12" customHeight="1" x14ac:dyDescent="0.25">
      <c r="A8" s="131" t="s">
        <v>73</v>
      </c>
      <c r="B8" s="140">
        <v>225.3678706395099</v>
      </c>
      <c r="C8" s="140">
        <v>272.48959373729105</v>
      </c>
      <c r="D8" s="140">
        <v>329.13681528706081</v>
      </c>
      <c r="E8" s="140">
        <v>379.1215555728088</v>
      </c>
      <c r="F8" s="140">
        <v>461.62989185641982</v>
      </c>
      <c r="G8" s="140">
        <v>633.87688829578519</v>
      </c>
      <c r="H8" s="140">
        <v>886.03052809464555</v>
      </c>
      <c r="I8" s="140">
        <v>1220.0014022481585</v>
      </c>
      <c r="J8" s="140">
        <v>1338.2158859672431</v>
      </c>
      <c r="K8" s="140">
        <v>1417.7471606068848</v>
      </c>
      <c r="L8" s="140">
        <v>1487.617408079373</v>
      </c>
      <c r="M8" s="140">
        <v>1832.138563334727</v>
      </c>
      <c r="N8" s="140">
        <v>2251.4591675045149</v>
      </c>
      <c r="O8" s="140">
        <v>2773.3867083295449</v>
      </c>
      <c r="P8" s="140">
        <v>3401.7759509550251</v>
      </c>
      <c r="Q8" s="140">
        <v>3907.7488403989582</v>
      </c>
      <c r="R8" s="140">
        <v>4452.3986834828593</v>
      </c>
      <c r="S8" s="140">
        <v>5057.0317228709364</v>
      </c>
      <c r="T8" s="140">
        <v>5818.1336014417957</v>
      </c>
      <c r="U8" s="140">
        <v>6462.9241999819915</v>
      </c>
      <c r="V8" s="140">
        <v>7463.7148742332693</v>
      </c>
      <c r="W8" s="140">
        <v>7969.5496672083145</v>
      </c>
      <c r="X8" s="140">
        <v>8835.2860342261829</v>
      </c>
      <c r="Y8" s="140">
        <v>10441.715218069683</v>
      </c>
      <c r="DA8" s="170" t="s">
        <v>250</v>
      </c>
    </row>
    <row r="9" spans="1:105" ht="12" customHeight="1" x14ac:dyDescent="0.25">
      <c r="A9" s="131" t="s">
        <v>78</v>
      </c>
      <c r="B9" s="140">
        <v>1572272.9740618051</v>
      </c>
      <c r="C9" s="140">
        <v>1769373.4889025018</v>
      </c>
      <c r="D9" s="140">
        <v>1777721.9909942376</v>
      </c>
      <c r="E9" s="140">
        <v>1334421.4877231321</v>
      </c>
      <c r="F9" s="140">
        <v>1273661.5099630444</v>
      </c>
      <c r="G9" s="140">
        <v>1256672.4147150966</v>
      </c>
      <c r="H9" s="140">
        <v>1417093.9660067356</v>
      </c>
      <c r="I9" s="140">
        <v>1479013.4873941278</v>
      </c>
      <c r="J9" s="140">
        <v>1450039.2074999418</v>
      </c>
      <c r="K9" s="140">
        <v>1397673.9981214132</v>
      </c>
      <c r="L9" s="140">
        <v>1368095.5033549664</v>
      </c>
      <c r="M9" s="140">
        <v>1420737.2054653086</v>
      </c>
      <c r="N9" s="140">
        <v>1491807.928579852</v>
      </c>
      <c r="O9" s="140">
        <v>1594717.268141198</v>
      </c>
      <c r="P9" s="140">
        <v>1677288.7002089045</v>
      </c>
      <c r="Q9" s="140">
        <v>1730311.840584836</v>
      </c>
      <c r="R9" s="140">
        <v>1803910.8110921106</v>
      </c>
      <c r="S9" s="140">
        <v>1843388.3030215411</v>
      </c>
      <c r="T9" s="140">
        <v>1935096.8931323292</v>
      </c>
      <c r="U9" s="140">
        <v>1916602.2549910527</v>
      </c>
      <c r="V9" s="140">
        <v>2035760.3179333697</v>
      </c>
      <c r="W9" s="140">
        <v>2003016.2472719941</v>
      </c>
      <c r="X9" s="140">
        <v>1960469.892495661</v>
      </c>
      <c r="Y9" s="140">
        <v>1935247.3540063289</v>
      </c>
      <c r="DA9" s="170" t="s">
        <v>251</v>
      </c>
    </row>
    <row r="10" spans="1:105" ht="12" customHeight="1" x14ac:dyDescent="0.25">
      <c r="A10" s="131" t="s">
        <v>128</v>
      </c>
      <c r="B10" s="140">
        <v>0</v>
      </c>
      <c r="C10" s="140">
        <v>0</v>
      </c>
      <c r="D10" s="140">
        <v>0</v>
      </c>
      <c r="E10" s="140">
        <v>94924.603023509</v>
      </c>
      <c r="F10" s="140">
        <v>144600.27839049624</v>
      </c>
      <c r="G10" s="140">
        <v>184632.44557064908</v>
      </c>
      <c r="H10" s="140">
        <v>218796.27682286582</v>
      </c>
      <c r="I10" s="140">
        <v>266011.20537290827</v>
      </c>
      <c r="J10" s="140">
        <v>314793.346720248</v>
      </c>
      <c r="K10" s="140">
        <v>351953.70185978379</v>
      </c>
      <c r="L10" s="140">
        <v>378080.90778050653</v>
      </c>
      <c r="M10" s="140">
        <v>378357.08596127306</v>
      </c>
      <c r="N10" s="140">
        <v>374489.65915849706</v>
      </c>
      <c r="O10" s="140">
        <v>368096.71953841858</v>
      </c>
      <c r="P10" s="140">
        <v>365583.25517158589</v>
      </c>
      <c r="Q10" s="140">
        <v>371726.41463986156</v>
      </c>
      <c r="R10" s="140">
        <v>389906.83021907089</v>
      </c>
      <c r="S10" s="140">
        <v>429602.56904676539</v>
      </c>
      <c r="T10" s="140">
        <v>488654.10751869931</v>
      </c>
      <c r="U10" s="140">
        <v>523690.22202589101</v>
      </c>
      <c r="V10" s="140">
        <v>571510.25807643472</v>
      </c>
      <c r="W10" s="140">
        <v>601208.37265309796</v>
      </c>
      <c r="X10" s="140">
        <v>664660.64884261333</v>
      </c>
      <c r="Y10" s="140">
        <v>748308.06177768682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7032.6507802866035</v>
      </c>
      <c r="F11" s="140">
        <v>9181.3248301487438</v>
      </c>
      <c r="G11" s="140">
        <v>10929.347096677537</v>
      </c>
      <c r="H11" s="140">
        <v>11121.222164739429</v>
      </c>
      <c r="I11" s="140">
        <v>12022.769582561526</v>
      </c>
      <c r="J11" s="140">
        <v>11729.304421229484</v>
      </c>
      <c r="K11" s="140">
        <v>12498.326961591421</v>
      </c>
      <c r="L11" s="140">
        <v>12932.500951958795</v>
      </c>
      <c r="M11" s="140">
        <v>14603.388104365595</v>
      </c>
      <c r="N11" s="140">
        <v>15821.294809448409</v>
      </c>
      <c r="O11" s="140">
        <v>15834.273650460731</v>
      </c>
      <c r="P11" s="140">
        <v>18795.096637041395</v>
      </c>
      <c r="Q11" s="140">
        <v>17917.257526271998</v>
      </c>
      <c r="R11" s="140">
        <v>18948.652499475487</v>
      </c>
      <c r="S11" s="140">
        <v>20371.904587594006</v>
      </c>
      <c r="T11" s="140">
        <v>22525.904242925328</v>
      </c>
      <c r="U11" s="140">
        <v>23271.544104186753</v>
      </c>
      <c r="V11" s="140">
        <v>25249.082347793268</v>
      </c>
      <c r="W11" s="140">
        <v>24841.83958235828</v>
      </c>
      <c r="X11" s="140">
        <v>26068.905266147285</v>
      </c>
      <c r="Y11" s="140">
        <v>26988.316480893969</v>
      </c>
      <c r="DA11" s="170" t="s">
        <v>253</v>
      </c>
    </row>
    <row r="12" spans="1:105" ht="12" customHeight="1" x14ac:dyDescent="0.25">
      <c r="A12" s="131" t="s">
        <v>162</v>
      </c>
      <c r="B12" s="140">
        <v>0</v>
      </c>
      <c r="C12" s="140">
        <v>0</v>
      </c>
      <c r="D12" s="140">
        <v>0</v>
      </c>
      <c r="E12" s="140">
        <v>453779.01942542748</v>
      </c>
      <c r="F12" s="140">
        <v>564262.87849130388</v>
      </c>
      <c r="G12" s="140">
        <v>662112.18392952904</v>
      </c>
      <c r="H12" s="140">
        <v>611264.02225081355</v>
      </c>
      <c r="I12" s="140">
        <v>630400.3795314132</v>
      </c>
      <c r="J12" s="140">
        <v>650558.23370631202</v>
      </c>
      <c r="K12" s="140">
        <v>659333.94880129886</v>
      </c>
      <c r="L12" s="140">
        <v>714261.90679857775</v>
      </c>
      <c r="M12" s="140">
        <v>649049.29595225444</v>
      </c>
      <c r="N12" s="140">
        <v>589211.71801137552</v>
      </c>
      <c r="O12" s="140">
        <v>466677.75395513797</v>
      </c>
      <c r="P12" s="140">
        <v>416522.13002054673</v>
      </c>
      <c r="Q12" s="140">
        <v>377950.87565647578</v>
      </c>
      <c r="R12" s="140">
        <v>367429.65812847443</v>
      </c>
      <c r="S12" s="140">
        <v>397153.76436363952</v>
      </c>
      <c r="T12" s="140">
        <v>419640.42777751223</v>
      </c>
      <c r="U12" s="140">
        <v>471738.66918946948</v>
      </c>
      <c r="V12" s="140">
        <v>452910.65593652707</v>
      </c>
      <c r="W12" s="140">
        <v>507353.97829412488</v>
      </c>
      <c r="X12" s="140">
        <v>594332.65644949861</v>
      </c>
      <c r="Y12" s="140">
        <v>626395.99699957215</v>
      </c>
      <c r="DA12" s="170" t="s">
        <v>254</v>
      </c>
    </row>
    <row r="13" spans="1:105" ht="12" customHeight="1" x14ac:dyDescent="0.25">
      <c r="A13" s="131" t="s">
        <v>77</v>
      </c>
      <c r="B13" s="140">
        <v>898.86276343742168</v>
      </c>
      <c r="C13" s="140">
        <v>1722.9468814841016</v>
      </c>
      <c r="D13" s="140">
        <v>3707.4558245878025</v>
      </c>
      <c r="E13" s="140">
        <v>5319.171839791883</v>
      </c>
      <c r="F13" s="140">
        <v>6334.2037444483458</v>
      </c>
      <c r="G13" s="140">
        <v>7436.4384351705849</v>
      </c>
      <c r="H13" s="140">
        <v>8630.8201896618284</v>
      </c>
      <c r="I13" s="140">
        <v>10901.215834726861</v>
      </c>
      <c r="J13" s="140">
        <v>12704.306402684824</v>
      </c>
      <c r="K13" s="140">
        <v>15715.534690282464</v>
      </c>
      <c r="L13" s="140">
        <v>18547.277796032464</v>
      </c>
      <c r="M13" s="140">
        <v>22120.755128462333</v>
      </c>
      <c r="N13" s="140">
        <v>24442.264329204489</v>
      </c>
      <c r="O13" s="140">
        <v>26599.207741794959</v>
      </c>
      <c r="P13" s="140">
        <v>30098.366968612427</v>
      </c>
      <c r="Q13" s="140">
        <v>32784.5696388211</v>
      </c>
      <c r="R13" s="140">
        <v>37220.368428625858</v>
      </c>
      <c r="S13" s="140">
        <v>42866.524109252001</v>
      </c>
      <c r="T13" s="140">
        <v>50386.503859902514</v>
      </c>
      <c r="U13" s="140">
        <v>56855.565383602567</v>
      </c>
      <c r="V13" s="140">
        <v>67338.455544440687</v>
      </c>
      <c r="W13" s="140">
        <v>74783.948675706226</v>
      </c>
      <c r="X13" s="140">
        <v>87237.040747566425</v>
      </c>
      <c r="Y13" s="140">
        <v>105175.63901757274</v>
      </c>
      <c r="DA13" s="170" t="s">
        <v>255</v>
      </c>
    </row>
    <row r="14" spans="1:105" ht="12" customHeight="1" x14ac:dyDescent="0.25">
      <c r="A14" s="60" t="s">
        <v>76</v>
      </c>
      <c r="B14" s="141">
        <v>386995.98128310899</v>
      </c>
      <c r="C14" s="141">
        <v>324887.02454821288</v>
      </c>
      <c r="D14" s="141">
        <v>372239.36244154535</v>
      </c>
      <c r="E14" s="141">
        <v>395086.51793672715</v>
      </c>
      <c r="F14" s="141">
        <v>418665.12813395838</v>
      </c>
      <c r="G14" s="141">
        <v>360765.81064780412</v>
      </c>
      <c r="H14" s="141">
        <v>315479.47224240005</v>
      </c>
      <c r="I14" s="141">
        <v>272276.82739337871</v>
      </c>
      <c r="J14" s="141">
        <v>255089.62116184356</v>
      </c>
      <c r="K14" s="141">
        <v>235224.3512993294</v>
      </c>
      <c r="L14" s="141">
        <v>212265.99043690437</v>
      </c>
      <c r="M14" s="141">
        <v>177084.9067774463</v>
      </c>
      <c r="N14" s="141">
        <v>161373.37374049926</v>
      </c>
      <c r="O14" s="141">
        <v>175608.10299664037</v>
      </c>
      <c r="P14" s="141">
        <v>140107.33373460238</v>
      </c>
      <c r="Q14" s="141">
        <v>159442.96763727639</v>
      </c>
      <c r="R14" s="141">
        <v>160931.36284907124</v>
      </c>
      <c r="S14" s="141">
        <v>141373.42317766952</v>
      </c>
      <c r="T14" s="141">
        <v>120915.46607277374</v>
      </c>
      <c r="U14" s="141">
        <v>116885.40770674788</v>
      </c>
      <c r="V14" s="141">
        <v>108676.54065282387</v>
      </c>
      <c r="W14" s="141">
        <v>90133.292739087832</v>
      </c>
      <c r="X14" s="141">
        <v>47918.78589477238</v>
      </c>
      <c r="Y14" s="141">
        <v>23004.883307310971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2878974.7178043956</v>
      </c>
      <c r="C15" s="143">
        <f t="shared" si="4"/>
        <v>2991285.3930366863</v>
      </c>
      <c r="D15" s="143">
        <f t="shared" si="4"/>
        <v>2966543.2363193054</v>
      </c>
      <c r="E15" s="143">
        <f t="shared" si="4"/>
        <v>2956298.5010506599</v>
      </c>
      <c r="F15" s="143">
        <f t="shared" si="4"/>
        <v>2974692.8397965105</v>
      </c>
      <c r="G15" s="143">
        <f t="shared" si="4"/>
        <v>3063794.4605779559</v>
      </c>
      <c r="H15" s="143">
        <f t="shared" si="4"/>
        <v>3193598.8578937305</v>
      </c>
      <c r="I15" s="143">
        <f t="shared" si="4"/>
        <v>3316915.8362562209</v>
      </c>
      <c r="J15" s="143">
        <f t="shared" si="4"/>
        <v>3374589.7612158051</v>
      </c>
      <c r="K15" s="143">
        <f t="shared" si="4"/>
        <v>3373229.2716604946</v>
      </c>
      <c r="L15" s="143">
        <f t="shared" si="4"/>
        <v>3425794.4752943804</v>
      </c>
      <c r="M15" s="143">
        <f t="shared" si="4"/>
        <v>3452494.8213974545</v>
      </c>
      <c r="N15" s="143">
        <f t="shared" si="4"/>
        <v>3488848.6431691186</v>
      </c>
      <c r="O15" s="143">
        <f t="shared" si="4"/>
        <v>3489283.5172903463</v>
      </c>
      <c r="P15" s="143">
        <f t="shared" si="4"/>
        <v>3546179.9192309817</v>
      </c>
      <c r="Q15" s="143">
        <f t="shared" si="4"/>
        <v>3558389.248034107</v>
      </c>
      <c r="R15" s="143">
        <f t="shared" ref="R15:W15" si="5">SUM(R5:R12)</f>
        <v>3599880.1732728193</v>
      </c>
      <c r="S15" s="143">
        <f t="shared" si="5"/>
        <v>3646929.6066059051</v>
      </c>
      <c r="T15" s="143">
        <f t="shared" si="5"/>
        <v>3687288.2023111023</v>
      </c>
      <c r="U15" s="143">
        <f t="shared" si="5"/>
        <v>3706138.1084058145</v>
      </c>
      <c r="V15" s="143">
        <f t="shared" si="5"/>
        <v>3720651.6660249573</v>
      </c>
      <c r="W15" s="143">
        <f t="shared" si="5"/>
        <v>3744801.6571735167</v>
      </c>
      <c r="X15" s="143">
        <f t="shared" ref="X15:Y15" si="6">SUM(X5:X12)</f>
        <v>3785429.0037699454</v>
      </c>
      <c r="Y15" s="143">
        <f t="shared" si="6"/>
        <v>3801418.1936663291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323841.10159962991</v>
      </c>
      <c r="C16" s="139">
        <f t="shared" si="7"/>
        <v>342056.17509112833</v>
      </c>
      <c r="D16" s="139">
        <f t="shared" si="7"/>
        <v>365181.78968484653</v>
      </c>
      <c r="E16" s="139">
        <f t="shared" si="7"/>
        <v>382974.17278232268</v>
      </c>
      <c r="F16" s="139">
        <f t="shared" si="7"/>
        <v>409826.53051108058</v>
      </c>
      <c r="G16" s="139">
        <f t="shared" si="7"/>
        <v>439790.15848247439</v>
      </c>
      <c r="H16" s="139">
        <f t="shared" si="7"/>
        <v>481010.35325385642</v>
      </c>
      <c r="I16" s="139">
        <f t="shared" si="7"/>
        <v>537088.17696642654</v>
      </c>
      <c r="J16" s="139">
        <f t="shared" si="7"/>
        <v>576932.66933675343</v>
      </c>
      <c r="K16" s="139">
        <f t="shared" si="7"/>
        <v>622234.77430521999</v>
      </c>
      <c r="L16" s="139">
        <f t="shared" si="7"/>
        <v>665722.66628762579</v>
      </c>
      <c r="M16" s="139">
        <f t="shared" si="7"/>
        <v>697907.99939574488</v>
      </c>
      <c r="N16" s="139">
        <f t="shared" si="7"/>
        <v>735182.3429008869</v>
      </c>
      <c r="O16" s="139">
        <f t="shared" si="7"/>
        <v>764992.36831415037</v>
      </c>
      <c r="P16" s="139">
        <f t="shared" si="7"/>
        <v>784234.78219654621</v>
      </c>
      <c r="Q16" s="139">
        <f t="shared" si="7"/>
        <v>806195.89490674832</v>
      </c>
      <c r="R16" s="139">
        <f t="shared" ref="R16:W16" si="8">SUM(R17:R18)</f>
        <v>833401.1352299836</v>
      </c>
      <c r="S16" s="139">
        <f t="shared" si="8"/>
        <v>843065.67765422573</v>
      </c>
      <c r="T16" s="139">
        <f t="shared" si="8"/>
        <v>855596.77824850962</v>
      </c>
      <c r="U16" s="139">
        <f t="shared" si="8"/>
        <v>872162.32634823641</v>
      </c>
      <c r="V16" s="139">
        <f t="shared" si="8"/>
        <v>879405.32151471276</v>
      </c>
      <c r="W16" s="139">
        <f t="shared" si="8"/>
        <v>882399.69496843196</v>
      </c>
      <c r="X16" s="139">
        <f t="shared" ref="X16:Y16" si="9">SUM(X17:X18)</f>
        <v>892536.14717332285</v>
      </c>
      <c r="Y16" s="139">
        <f t="shared" si="9"/>
        <v>912725.19198530167</v>
      </c>
      <c r="DA16" s="169" t="s">
        <v>257</v>
      </c>
    </row>
    <row r="17" spans="1:105" ht="12.95" customHeight="1" x14ac:dyDescent="0.25">
      <c r="A17" s="131" t="s">
        <v>73</v>
      </c>
      <c r="B17" s="140">
        <v>92.109512334551113</v>
      </c>
      <c r="C17" s="140">
        <v>98.860403923968974</v>
      </c>
      <c r="D17" s="140">
        <v>108.68886440570292</v>
      </c>
      <c r="E17" s="140">
        <v>110.67334392574531</v>
      </c>
      <c r="F17" s="140">
        <v>173.54131529140258</v>
      </c>
      <c r="G17" s="140">
        <v>218.95568198921427</v>
      </c>
      <c r="H17" s="140">
        <v>236.01842585234886</v>
      </c>
      <c r="I17" s="140">
        <v>407.92286011275513</v>
      </c>
      <c r="J17" s="140">
        <v>510.1785199956488</v>
      </c>
      <c r="K17" s="140">
        <v>633.23049395345231</v>
      </c>
      <c r="L17" s="140">
        <v>758.93947231858147</v>
      </c>
      <c r="M17" s="140">
        <v>913.85336130115172</v>
      </c>
      <c r="N17" s="140">
        <v>1041.8522943158141</v>
      </c>
      <c r="O17" s="140">
        <v>1234.5342078827559</v>
      </c>
      <c r="P17" s="140">
        <v>1759.6044508046273</v>
      </c>
      <c r="Q17" s="140">
        <v>2684.7034656200749</v>
      </c>
      <c r="R17" s="140">
        <v>3095.7867399037436</v>
      </c>
      <c r="S17" s="140">
        <v>3824.9509436463954</v>
      </c>
      <c r="T17" s="140">
        <v>4691.2198201094534</v>
      </c>
      <c r="U17" s="140">
        <v>5344.6949762208151</v>
      </c>
      <c r="V17" s="140">
        <v>5590.6768377364015</v>
      </c>
      <c r="W17" s="140">
        <v>5818.0564051794126</v>
      </c>
      <c r="X17" s="140">
        <v>5878.8260736827633</v>
      </c>
      <c r="Y17" s="140">
        <v>6102.7427217419327</v>
      </c>
      <c r="DA17" s="170" t="s">
        <v>258</v>
      </c>
    </row>
    <row r="18" spans="1:105" ht="12" customHeight="1" x14ac:dyDescent="0.25">
      <c r="A18" s="131" t="s">
        <v>72</v>
      </c>
      <c r="B18" s="140">
        <v>323748.99208729534</v>
      </c>
      <c r="C18" s="140">
        <v>341957.31468720437</v>
      </c>
      <c r="D18" s="140">
        <v>365073.10082044086</v>
      </c>
      <c r="E18" s="140">
        <v>382863.49943839695</v>
      </c>
      <c r="F18" s="140">
        <v>409652.98919578915</v>
      </c>
      <c r="G18" s="140">
        <v>439571.20280048519</v>
      </c>
      <c r="H18" s="140">
        <v>480774.33482800407</v>
      </c>
      <c r="I18" s="140">
        <v>536680.25410631381</v>
      </c>
      <c r="J18" s="140">
        <v>576422.49081675778</v>
      </c>
      <c r="K18" s="140">
        <v>621601.54381126654</v>
      </c>
      <c r="L18" s="140">
        <v>664963.72681530716</v>
      </c>
      <c r="M18" s="140">
        <v>696994.14603444375</v>
      </c>
      <c r="N18" s="140">
        <v>734140.49060657108</v>
      </c>
      <c r="O18" s="140">
        <v>763757.83410626766</v>
      </c>
      <c r="P18" s="140">
        <v>782475.17774574156</v>
      </c>
      <c r="Q18" s="140">
        <v>803511.19144112826</v>
      </c>
      <c r="R18" s="140">
        <v>830305.34849007986</v>
      </c>
      <c r="S18" s="140">
        <v>839240.72671057936</v>
      </c>
      <c r="T18" s="140">
        <v>850905.5584284002</v>
      </c>
      <c r="U18" s="140">
        <v>866817.63137201557</v>
      </c>
      <c r="V18" s="140">
        <v>873814.64467697637</v>
      </c>
      <c r="W18" s="140">
        <v>876581.63856325252</v>
      </c>
      <c r="X18" s="140">
        <v>886657.3210996401</v>
      </c>
      <c r="Y18" s="140">
        <v>906622.44926355977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3266869.5618509422</v>
      </c>
      <c r="C19" s="139">
        <f t="shared" si="10"/>
        <v>3317895.3644663831</v>
      </c>
      <c r="D19" s="139">
        <f t="shared" si="10"/>
        <v>3342490.0545854378</v>
      </c>
      <c r="E19" s="139">
        <f t="shared" si="10"/>
        <v>3356704.1908271778</v>
      </c>
      <c r="F19" s="139">
        <f t="shared" si="10"/>
        <v>3399692.1716749175</v>
      </c>
      <c r="G19" s="139">
        <f t="shared" si="10"/>
        <v>3431996.7096609301</v>
      </c>
      <c r="H19" s="139">
        <f t="shared" si="10"/>
        <v>3517709.1503257928</v>
      </c>
      <c r="I19" s="139">
        <f t="shared" si="10"/>
        <v>3600093.8794843261</v>
      </c>
      <c r="J19" s="139">
        <f t="shared" si="10"/>
        <v>3642383.6887803329</v>
      </c>
      <c r="K19" s="139">
        <f t="shared" si="10"/>
        <v>3624169.1576501057</v>
      </c>
      <c r="L19" s="139">
        <f t="shared" si="10"/>
        <v>3656607.7435273165</v>
      </c>
      <c r="M19" s="139">
        <f t="shared" si="10"/>
        <v>3651700.4833033658</v>
      </c>
      <c r="N19" s="139">
        <f t="shared" si="10"/>
        <v>3674664.2812388213</v>
      </c>
      <c r="O19" s="139">
        <f t="shared" si="10"/>
        <v>3691490.8280287804</v>
      </c>
      <c r="P19" s="139">
        <f t="shared" si="10"/>
        <v>3716385.6199341966</v>
      </c>
      <c r="Q19" s="139">
        <f t="shared" si="10"/>
        <v>3750616.7853102037</v>
      </c>
      <c r="R19" s="139">
        <f t="shared" ref="R19:W19" si="11">SUM(R20:R26)</f>
        <v>3798031.9045505184</v>
      </c>
      <c r="S19" s="139">
        <f t="shared" si="11"/>
        <v>3831169.5538928299</v>
      </c>
      <c r="T19" s="139">
        <f t="shared" si="11"/>
        <v>3858590.1722437767</v>
      </c>
      <c r="U19" s="139">
        <f t="shared" si="11"/>
        <v>3879879.081496167</v>
      </c>
      <c r="V19" s="139">
        <f t="shared" si="11"/>
        <v>3896666.6622222196</v>
      </c>
      <c r="W19" s="139">
        <f t="shared" si="11"/>
        <v>3909718.8985883114</v>
      </c>
      <c r="X19" s="139">
        <f t="shared" ref="X19:Y19" si="12">SUM(X20:X26)</f>
        <v>3920584.8304122817</v>
      </c>
      <c r="Y19" s="139">
        <f t="shared" si="12"/>
        <v>3929598.7159912125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25123.467626445206</v>
      </c>
      <c r="C21" s="140">
        <v>31137.984377870675</v>
      </c>
      <c r="D21" s="140">
        <v>40665.849423323067</v>
      </c>
      <c r="E21" s="140">
        <v>49102.178056707795</v>
      </c>
      <c r="F21" s="140">
        <v>59006.213293366964</v>
      </c>
      <c r="G21" s="140">
        <v>66148.285036793284</v>
      </c>
      <c r="H21" s="140">
        <v>70428.337138264324</v>
      </c>
      <c r="I21" s="140">
        <v>71900.404021560724</v>
      </c>
      <c r="J21" s="140">
        <v>71202.012136234232</v>
      </c>
      <c r="K21" s="140">
        <v>69176.479348805951</v>
      </c>
      <c r="L21" s="140">
        <v>66591.919633831669</v>
      </c>
      <c r="M21" s="140">
        <v>64122.466056849531</v>
      </c>
      <c r="N21" s="140">
        <v>60426.21882100153</v>
      </c>
      <c r="O21" s="140">
        <v>56569.923130862684</v>
      </c>
      <c r="P21" s="140">
        <v>53971.952784094545</v>
      </c>
      <c r="Q21" s="140">
        <v>51777.081534392048</v>
      </c>
      <c r="R21" s="140">
        <v>50828.217948132216</v>
      </c>
      <c r="S21" s="140">
        <v>48952.124753820564</v>
      </c>
      <c r="T21" s="140">
        <v>49661.374379051973</v>
      </c>
      <c r="U21" s="140">
        <v>46580.710428539278</v>
      </c>
      <c r="V21" s="140">
        <v>39072.962570750373</v>
      </c>
      <c r="W21" s="140">
        <v>28608.304917732145</v>
      </c>
      <c r="X21" s="140">
        <v>19502.44883344528</v>
      </c>
      <c r="Y21" s="140">
        <v>16543.109984447754</v>
      </c>
      <c r="DA21" s="170" t="s">
        <v>262</v>
      </c>
    </row>
    <row r="22" spans="1:105" ht="12" customHeight="1" x14ac:dyDescent="0.25">
      <c r="A22" s="131" t="s">
        <v>161</v>
      </c>
      <c r="B22" s="140">
        <v>939857.31848221039</v>
      </c>
      <c r="C22" s="140">
        <v>965236.32007772429</v>
      </c>
      <c r="D22" s="140">
        <v>864013.93101811607</v>
      </c>
      <c r="E22" s="140">
        <v>980744.70653543982</v>
      </c>
      <c r="F22" s="140">
        <v>987434.59460090706</v>
      </c>
      <c r="G22" s="140">
        <v>994936.15411527664</v>
      </c>
      <c r="H22" s="140">
        <v>985957.65456497634</v>
      </c>
      <c r="I22" s="140">
        <v>990760.0242018454</v>
      </c>
      <c r="J22" s="140">
        <v>986616.06459644868</v>
      </c>
      <c r="K22" s="140">
        <v>975759.01644232078</v>
      </c>
      <c r="L22" s="140">
        <v>968414.12990333349</v>
      </c>
      <c r="M22" s="140">
        <v>973957.47247857961</v>
      </c>
      <c r="N22" s="140">
        <v>975695.69921494916</v>
      </c>
      <c r="O22" s="140">
        <v>979908.65590400889</v>
      </c>
      <c r="P22" s="140">
        <v>969682.42540712585</v>
      </c>
      <c r="Q22" s="140">
        <v>956993.44993911381</v>
      </c>
      <c r="R22" s="140">
        <v>907170.56787517958</v>
      </c>
      <c r="S22" s="140">
        <v>822407.76230859838</v>
      </c>
      <c r="T22" s="140">
        <v>672298.35659025924</v>
      </c>
      <c r="U22" s="140">
        <v>587590.06614054169</v>
      </c>
      <c r="V22" s="140">
        <v>529555.49025184673</v>
      </c>
      <c r="W22" s="140">
        <v>507512.4122436688</v>
      </c>
      <c r="X22" s="140">
        <v>471642.71884178877</v>
      </c>
      <c r="Y22" s="140">
        <v>436533.87134466751</v>
      </c>
      <c r="DA22" s="170" t="s">
        <v>263</v>
      </c>
    </row>
    <row r="23" spans="1:105" ht="12" customHeight="1" x14ac:dyDescent="0.25">
      <c r="A23" s="131" t="s">
        <v>149</v>
      </c>
      <c r="B23" s="140">
        <v>1233992.4782517257</v>
      </c>
      <c r="C23" s="140">
        <v>1269239.6068992424</v>
      </c>
      <c r="D23" s="140">
        <v>1405874.4013832249</v>
      </c>
      <c r="E23" s="140">
        <v>1199268.2137075001</v>
      </c>
      <c r="F23" s="140">
        <v>1182432.8873451785</v>
      </c>
      <c r="G23" s="140">
        <v>1173124.7400382063</v>
      </c>
      <c r="H23" s="140">
        <v>1226129.5773097989</v>
      </c>
      <c r="I23" s="140">
        <v>1271571.4226838802</v>
      </c>
      <c r="J23" s="140">
        <v>1286856.9063912178</v>
      </c>
      <c r="K23" s="140">
        <v>1254841.3280770325</v>
      </c>
      <c r="L23" s="140">
        <v>1284924.221772969</v>
      </c>
      <c r="M23" s="140">
        <v>1299309.0958621518</v>
      </c>
      <c r="N23" s="140">
        <v>1359029.1981853475</v>
      </c>
      <c r="O23" s="140">
        <v>1448163.6922519982</v>
      </c>
      <c r="P23" s="140">
        <v>1535362.3312339638</v>
      </c>
      <c r="Q23" s="140">
        <v>1606238.7391321997</v>
      </c>
      <c r="R23" s="140">
        <v>1724717.642042933</v>
      </c>
      <c r="S23" s="140">
        <v>1890103.0481029688</v>
      </c>
      <c r="T23" s="140">
        <v>2158348.4367169547</v>
      </c>
      <c r="U23" s="140">
        <v>2328176.448474112</v>
      </c>
      <c r="V23" s="140">
        <v>2499875.1307454347</v>
      </c>
      <c r="W23" s="140">
        <v>2605774.161027588</v>
      </c>
      <c r="X23" s="140">
        <v>2798882.6051488952</v>
      </c>
      <c r="Y23" s="140">
        <v>2965452.8750519785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0</v>
      </c>
      <c r="C25" s="140">
        <v>0</v>
      </c>
      <c r="D25" s="140">
        <v>0</v>
      </c>
      <c r="E25" s="140">
        <v>373486.46475764568</v>
      </c>
      <c r="F25" s="140">
        <v>490226.3357176283</v>
      </c>
      <c r="G25" s="140">
        <v>552364.44450509152</v>
      </c>
      <c r="H25" s="140">
        <v>556650.23137341766</v>
      </c>
      <c r="I25" s="140">
        <v>554403.47217263887</v>
      </c>
      <c r="J25" s="140">
        <v>551059.45564442442</v>
      </c>
      <c r="K25" s="140">
        <v>547018.69078401395</v>
      </c>
      <c r="L25" s="140">
        <v>546754.93317495892</v>
      </c>
      <c r="M25" s="140">
        <v>529875.0723801913</v>
      </c>
      <c r="N25" s="140">
        <v>489502.7429802746</v>
      </c>
      <c r="O25" s="140">
        <v>412274.28092059732</v>
      </c>
      <c r="P25" s="140">
        <v>360791.07420319185</v>
      </c>
      <c r="Q25" s="140">
        <v>322577.00138089882</v>
      </c>
      <c r="R25" s="140">
        <v>291863.07009686477</v>
      </c>
      <c r="S25" s="140">
        <v>274975.65126671188</v>
      </c>
      <c r="T25" s="140">
        <v>261621.0441328845</v>
      </c>
      <c r="U25" s="140">
        <v>261353.96229726661</v>
      </c>
      <c r="V25" s="140">
        <v>264930.4043174886</v>
      </c>
      <c r="W25" s="140">
        <v>277762.13746293599</v>
      </c>
      <c r="X25" s="140">
        <v>291122.42115450435</v>
      </c>
      <c r="Y25" s="140">
        <v>295692.29683526081</v>
      </c>
      <c r="DA25" s="170" t="s">
        <v>266</v>
      </c>
    </row>
    <row r="26" spans="1:105" ht="12" customHeight="1" x14ac:dyDescent="0.25">
      <c r="A26" s="131" t="s">
        <v>24</v>
      </c>
      <c r="B26" s="141">
        <v>1067896.2974905609</v>
      </c>
      <c r="C26" s="141">
        <v>1052281.4531115456</v>
      </c>
      <c r="D26" s="141">
        <v>1031935.8727607736</v>
      </c>
      <c r="E26" s="141">
        <v>754102.62776988465</v>
      </c>
      <c r="F26" s="141">
        <v>680592.14071783668</v>
      </c>
      <c r="G26" s="141">
        <v>645423.08596556226</v>
      </c>
      <c r="H26" s="141">
        <v>678543.34993933572</v>
      </c>
      <c r="I26" s="141">
        <v>711458.55640440062</v>
      </c>
      <c r="J26" s="141">
        <v>746649.25001200743</v>
      </c>
      <c r="K26" s="141">
        <v>777373.64299793285</v>
      </c>
      <c r="L26" s="141">
        <v>789922.53904222301</v>
      </c>
      <c r="M26" s="141">
        <v>784436.37652559357</v>
      </c>
      <c r="N26" s="141">
        <v>790010.4220372485</v>
      </c>
      <c r="O26" s="141">
        <v>794574.27582131349</v>
      </c>
      <c r="P26" s="141">
        <v>796577.83630582097</v>
      </c>
      <c r="Q26" s="141">
        <v>813030.51332359889</v>
      </c>
      <c r="R26" s="141">
        <v>823452.40658740886</v>
      </c>
      <c r="S26" s="141">
        <v>794730.9674607307</v>
      </c>
      <c r="T26" s="141">
        <v>716660.96042462636</v>
      </c>
      <c r="U26" s="141">
        <v>656177.89415570709</v>
      </c>
      <c r="V26" s="141">
        <v>563232.67433669919</v>
      </c>
      <c r="W26" s="141">
        <v>490061.88293638657</v>
      </c>
      <c r="X26" s="141">
        <v>339434.63643364835</v>
      </c>
      <c r="Y26" s="141">
        <v>215376.56277485815</v>
      </c>
      <c r="DA26" s="171" t="s">
        <v>267</v>
      </c>
    </row>
    <row r="27" spans="1:105" ht="12" customHeight="1" x14ac:dyDescent="0.25">
      <c r="A27" s="144" t="s">
        <v>26</v>
      </c>
      <c r="B27" s="150">
        <v>47251.902876396256</v>
      </c>
      <c r="C27" s="150">
        <v>46416.055195189714</v>
      </c>
      <c r="D27" s="150">
        <v>52103.468092715084</v>
      </c>
      <c r="E27" s="150">
        <v>52922.054011286637</v>
      </c>
      <c r="F27" s="150">
        <v>53184.881978067577</v>
      </c>
      <c r="G27" s="150">
        <v>59156.748685119681</v>
      </c>
      <c r="H27" s="150">
        <v>63826.48065497644</v>
      </c>
      <c r="I27" s="150">
        <v>76164.907664268103</v>
      </c>
      <c r="J27" s="150">
        <v>74766.412757032784</v>
      </c>
      <c r="K27" s="150">
        <v>82063.231544336275</v>
      </c>
      <c r="L27" s="150">
        <v>83900.970599148422</v>
      </c>
      <c r="M27" s="150">
        <v>95586.392592247648</v>
      </c>
      <c r="N27" s="150">
        <v>94153.696530606714</v>
      </c>
      <c r="O27" s="150">
        <v>97241.84182310701</v>
      </c>
      <c r="P27" s="150">
        <v>88455.312196888524</v>
      </c>
      <c r="Q27" s="150">
        <v>91853.811402374122</v>
      </c>
      <c r="R27" s="150">
        <v>92458.95307318517</v>
      </c>
      <c r="S27" s="150">
        <v>97023.068826446339</v>
      </c>
      <c r="T27" s="150">
        <v>93515.218965615597</v>
      </c>
      <c r="U27" s="150">
        <v>90924.801128538355</v>
      </c>
      <c r="V27" s="150">
        <v>100353.21681412154</v>
      </c>
      <c r="W27" s="150">
        <v>101815.81465460735</v>
      </c>
      <c r="X27" s="150">
        <v>116443.12587364254</v>
      </c>
      <c r="Y27" s="150">
        <v>102282.00343767025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3266869.5618509427</v>
      </c>
      <c r="C29" s="139">
        <f t="shared" si="13"/>
        <v>3317895.3644663827</v>
      </c>
      <c r="D29" s="139">
        <f t="shared" si="13"/>
        <v>3342490.0545854373</v>
      </c>
      <c r="E29" s="139">
        <f t="shared" si="13"/>
        <v>3356704.1908271788</v>
      </c>
      <c r="F29" s="139">
        <f t="shared" si="13"/>
        <v>3399692.1716749165</v>
      </c>
      <c r="G29" s="139">
        <f t="shared" si="13"/>
        <v>3431996.7096609296</v>
      </c>
      <c r="H29" s="139">
        <f t="shared" si="13"/>
        <v>3517709.1503257938</v>
      </c>
      <c r="I29" s="139">
        <f t="shared" si="13"/>
        <v>3600093.8794843256</v>
      </c>
      <c r="J29" s="139">
        <f t="shared" si="13"/>
        <v>3642383.6887803329</v>
      </c>
      <c r="K29" s="139">
        <f t="shared" si="13"/>
        <v>3624169.1576501075</v>
      </c>
      <c r="L29" s="139">
        <f t="shared" si="13"/>
        <v>3656607.7435273165</v>
      </c>
      <c r="M29" s="139">
        <f t="shared" si="13"/>
        <v>3651700.4833033648</v>
      </c>
      <c r="N29" s="139">
        <f t="shared" si="13"/>
        <v>3674664.2812388213</v>
      </c>
      <c r="O29" s="139">
        <f t="shared" si="13"/>
        <v>3691490.8280287813</v>
      </c>
      <c r="P29" s="139">
        <f t="shared" si="13"/>
        <v>3716385.6199341966</v>
      </c>
      <c r="Q29" s="139">
        <f t="shared" si="13"/>
        <v>3750616.7853102079</v>
      </c>
      <c r="R29" s="139">
        <f t="shared" ref="R29:W29" si="14">SUM(R30:R33)</f>
        <v>3798031.9045505184</v>
      </c>
      <c r="S29" s="139">
        <f t="shared" si="14"/>
        <v>3831169.5538928281</v>
      </c>
      <c r="T29" s="139">
        <f t="shared" si="14"/>
        <v>3858590.1722437786</v>
      </c>
      <c r="U29" s="139">
        <f t="shared" si="14"/>
        <v>3879879.0814961619</v>
      </c>
      <c r="V29" s="139">
        <f t="shared" si="14"/>
        <v>3896666.6622222243</v>
      </c>
      <c r="W29" s="139">
        <f t="shared" si="14"/>
        <v>3909718.8985883072</v>
      </c>
      <c r="X29" s="139">
        <f t="shared" ref="X29:Y29" si="15">SUM(X30:X33)</f>
        <v>3920584.8304122854</v>
      </c>
      <c r="Y29" s="139">
        <f t="shared" si="15"/>
        <v>3929598.7159912148</v>
      </c>
      <c r="DA29" s="169" t="s">
        <v>269</v>
      </c>
    </row>
    <row r="30" spans="1:105" ht="12" customHeight="1" x14ac:dyDescent="0.25">
      <c r="A30" s="131" t="s">
        <v>52</v>
      </c>
      <c r="B30" s="140">
        <v>74782.740024442624</v>
      </c>
      <c r="C30" s="140">
        <v>88411.779740077589</v>
      </c>
      <c r="D30" s="140">
        <v>85948.415963511754</v>
      </c>
      <c r="E30" s="140">
        <v>114173.83270605336</v>
      </c>
      <c r="F30" s="140">
        <v>131044.03816750832</v>
      </c>
      <c r="G30" s="140">
        <v>135031.14733936897</v>
      </c>
      <c r="H30" s="140">
        <v>146330.36925722755</v>
      </c>
      <c r="I30" s="140">
        <v>139553.56110490981</v>
      </c>
      <c r="J30" s="140">
        <v>134113.20719399437</v>
      </c>
      <c r="K30" s="140">
        <v>136510.42764565206</v>
      </c>
      <c r="L30" s="140">
        <v>139367.18780023468</v>
      </c>
      <c r="M30" s="140">
        <v>141315.0063475036</v>
      </c>
      <c r="N30" s="140">
        <v>139715.24331926671</v>
      </c>
      <c r="O30" s="140">
        <v>139838.64795648225</v>
      </c>
      <c r="P30" s="140">
        <v>136343.72328230538</v>
      </c>
      <c r="Q30" s="140">
        <v>125744.50493535565</v>
      </c>
      <c r="R30" s="140">
        <v>125499.0972914395</v>
      </c>
      <c r="S30" s="140">
        <v>115959.12568318783</v>
      </c>
      <c r="T30" s="140">
        <v>127189.70659009994</v>
      </c>
      <c r="U30" s="140">
        <v>132798.26013420874</v>
      </c>
      <c r="V30" s="140">
        <v>131822.9949444097</v>
      </c>
      <c r="W30" s="140">
        <v>129993.03858218869</v>
      </c>
      <c r="X30" s="140">
        <v>120287.1919502869</v>
      </c>
      <c r="Y30" s="140">
        <v>84815.196314664528</v>
      </c>
      <c r="DA30" s="170" t="s">
        <v>270</v>
      </c>
    </row>
    <row r="31" spans="1:105" ht="12" customHeight="1" x14ac:dyDescent="0.25">
      <c r="A31" s="131" t="s">
        <v>149</v>
      </c>
      <c r="B31" s="140">
        <v>2054548.870720455</v>
      </c>
      <c r="C31" s="140">
        <v>2105663.4176213336</v>
      </c>
      <c r="D31" s="140">
        <v>2096427.2785980471</v>
      </c>
      <c r="E31" s="140">
        <v>2056474.5391142983</v>
      </c>
      <c r="F31" s="140">
        <v>2058111.8054245294</v>
      </c>
      <c r="G31" s="140">
        <v>2032480.7115181519</v>
      </c>
      <c r="H31" s="140">
        <v>2076119.629962605</v>
      </c>
      <c r="I31" s="140">
        <v>2085288.8282950816</v>
      </c>
      <c r="J31" s="140">
        <v>2062395.0205030083</v>
      </c>
      <c r="K31" s="140">
        <v>1942575.3961959754</v>
      </c>
      <c r="L31" s="140">
        <v>1875427.0778477625</v>
      </c>
      <c r="M31" s="140">
        <v>1797696.4210892885</v>
      </c>
      <c r="N31" s="140">
        <v>1840237.5466882538</v>
      </c>
      <c r="O31" s="140">
        <v>1941706.2352805268</v>
      </c>
      <c r="P31" s="140">
        <v>2154656.4739073915</v>
      </c>
      <c r="Q31" s="140">
        <v>2222998.4414875424</v>
      </c>
      <c r="R31" s="140">
        <v>2309686.6505109356</v>
      </c>
      <c r="S31" s="140">
        <v>2432737.9385288646</v>
      </c>
      <c r="T31" s="140">
        <v>2612587.3948312388</v>
      </c>
      <c r="U31" s="140">
        <v>2719977.9143270929</v>
      </c>
      <c r="V31" s="140">
        <v>2811468.3133096332</v>
      </c>
      <c r="W31" s="140">
        <v>3025198.9619524302</v>
      </c>
      <c r="X31" s="140">
        <v>3193008.8057462675</v>
      </c>
      <c r="Y31" s="140">
        <v>3413324.9875761061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4065.1992215141945</v>
      </c>
      <c r="F32" s="140">
        <v>5397.5738685608267</v>
      </c>
      <c r="G32" s="140">
        <v>6343.2380090468778</v>
      </c>
      <c r="H32" s="140">
        <v>6588.4160728891857</v>
      </c>
      <c r="I32" s="140">
        <v>6840.0195315268129</v>
      </c>
      <c r="J32" s="140">
        <v>7214.6534558090343</v>
      </c>
      <c r="K32" s="140">
        <v>7851.4027297499879</v>
      </c>
      <c r="L32" s="140">
        <v>8442.9197437606745</v>
      </c>
      <c r="M32" s="140">
        <v>8892.6355302769771</v>
      </c>
      <c r="N32" s="140">
        <v>9275.2504201067077</v>
      </c>
      <c r="O32" s="140">
        <v>9446.6518441387325</v>
      </c>
      <c r="P32" s="140">
        <v>9460.028812217628</v>
      </c>
      <c r="Q32" s="140">
        <v>9289.4911823188941</v>
      </c>
      <c r="R32" s="140">
        <v>8948.8859514552096</v>
      </c>
      <c r="S32" s="140">
        <v>8630.9679451910597</v>
      </c>
      <c r="T32" s="140">
        <v>8182.266197357425</v>
      </c>
      <c r="U32" s="140">
        <v>7495.6186675973595</v>
      </c>
      <c r="V32" s="140">
        <v>6566.982388200171</v>
      </c>
      <c r="W32" s="140">
        <v>5968.3415972181319</v>
      </c>
      <c r="X32" s="140">
        <v>5474.9944104222559</v>
      </c>
      <c r="Y32" s="140">
        <v>5399.9571508021072</v>
      </c>
      <c r="DA32" s="170" t="s">
        <v>272</v>
      </c>
    </row>
    <row r="33" spans="1:105" ht="12" customHeight="1" x14ac:dyDescent="0.25">
      <c r="A33" s="62" t="s">
        <v>24</v>
      </c>
      <c r="B33" s="152">
        <v>1137537.9511060447</v>
      </c>
      <c r="C33" s="152">
        <v>1123820.1671049716</v>
      </c>
      <c r="D33" s="152">
        <v>1160114.3600238787</v>
      </c>
      <c r="E33" s="152">
        <v>1181990.6197853128</v>
      </c>
      <c r="F33" s="152">
        <v>1205138.7542143182</v>
      </c>
      <c r="G33" s="152">
        <v>1258141.6127943622</v>
      </c>
      <c r="H33" s="152">
        <v>1288670.7350330718</v>
      </c>
      <c r="I33" s="152">
        <v>1368411.4705528077</v>
      </c>
      <c r="J33" s="152">
        <v>1438660.807627521</v>
      </c>
      <c r="K33" s="152">
        <v>1537231.9310787304</v>
      </c>
      <c r="L33" s="152">
        <v>1633370.5581355589</v>
      </c>
      <c r="M33" s="152">
        <v>1703796.4203362959</v>
      </c>
      <c r="N33" s="152">
        <v>1685436.2408111941</v>
      </c>
      <c r="O33" s="152">
        <v>1600499.2929476339</v>
      </c>
      <c r="P33" s="152">
        <v>1415925.393932282</v>
      </c>
      <c r="Q33" s="152">
        <v>1392584.347704991</v>
      </c>
      <c r="R33" s="152">
        <v>1353897.2707966883</v>
      </c>
      <c r="S33" s="152">
        <v>1273841.5217355844</v>
      </c>
      <c r="T33" s="152">
        <v>1110630.8046250828</v>
      </c>
      <c r="U33" s="152">
        <v>1019607.2883672625</v>
      </c>
      <c r="V33" s="152">
        <v>946808.37157998118</v>
      </c>
      <c r="W33" s="152">
        <v>748558.5564564704</v>
      </c>
      <c r="X33" s="152">
        <v>601813.83830530918</v>
      </c>
      <c r="Y33" s="152">
        <v>426058.57494964206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20013.968057446575</v>
      </c>
      <c r="C3" s="125">
        <f t="shared" si="0"/>
        <v>20972.586070947797</v>
      </c>
      <c r="D3" s="125">
        <f t="shared" si="0"/>
        <v>20847.660256955565</v>
      </c>
      <c r="E3" s="125">
        <f t="shared" si="0"/>
        <v>23888.117054123471</v>
      </c>
      <c r="F3" s="125">
        <f t="shared" si="0"/>
        <v>23338.823819511072</v>
      </c>
      <c r="G3" s="125">
        <f t="shared" si="0"/>
        <v>22407.739822345327</v>
      </c>
      <c r="H3" s="125">
        <f t="shared" si="0"/>
        <v>24795.232681605357</v>
      </c>
      <c r="I3" s="125">
        <f t="shared" si="0"/>
        <v>20393.453062536988</v>
      </c>
      <c r="J3" s="125">
        <f t="shared" si="0"/>
        <v>22901.954694698437</v>
      </c>
      <c r="K3" s="125">
        <f t="shared" si="0"/>
        <v>21910.598597607481</v>
      </c>
      <c r="L3" s="125">
        <f t="shared" si="0"/>
        <v>23611.564944693066</v>
      </c>
      <c r="M3" s="125">
        <f t="shared" si="0"/>
        <v>19750.152867565768</v>
      </c>
      <c r="N3" s="125">
        <f t="shared" si="0"/>
        <v>20911.298716786812</v>
      </c>
      <c r="O3" s="125">
        <f t="shared" si="0"/>
        <v>22205.119712613654</v>
      </c>
      <c r="P3" s="125">
        <f t="shared" si="0"/>
        <v>19523.776758070206</v>
      </c>
      <c r="Q3" s="125">
        <f t="shared" si="0"/>
        <v>20938.34487846131</v>
      </c>
      <c r="R3" s="125">
        <f t="shared" ref="R3:W3" si="1">SUM(R4,R16,R19,R29)</f>
        <v>20485.827201604705</v>
      </c>
      <c r="S3" s="125">
        <f t="shared" si="1"/>
        <v>20432.271668726848</v>
      </c>
      <c r="T3" s="125">
        <f t="shared" si="1"/>
        <v>19331.594001144731</v>
      </c>
      <c r="U3" s="125">
        <f t="shared" si="1"/>
        <v>18351.221786954669</v>
      </c>
      <c r="V3" s="125">
        <f t="shared" si="1"/>
        <v>17856.430160054188</v>
      </c>
      <c r="W3" s="125">
        <f t="shared" si="1"/>
        <v>20912.019795249907</v>
      </c>
      <c r="X3" s="125">
        <f t="shared" ref="X3:Y3" si="2">SUM(X4,X16,X19,X29)</f>
        <v>15739.935570495429</v>
      </c>
      <c r="Y3" s="125">
        <f t="shared" si="2"/>
        <v>14924.021526822067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14018.004074837476</v>
      </c>
      <c r="C4" s="130">
        <f t="shared" si="3"/>
        <v>15057.070918603704</v>
      </c>
      <c r="D4" s="130">
        <f t="shared" si="3"/>
        <v>14734.189989860699</v>
      </c>
      <c r="E4" s="130">
        <f t="shared" si="3"/>
        <v>17498.943948734097</v>
      </c>
      <c r="F4" s="130">
        <f t="shared" si="3"/>
        <v>17031.539573421927</v>
      </c>
      <c r="G4" s="130">
        <f t="shared" si="3"/>
        <v>16128.491312050826</v>
      </c>
      <c r="H4" s="130">
        <f t="shared" si="3"/>
        <v>18393.897177711588</v>
      </c>
      <c r="I4" s="130">
        <f t="shared" si="3"/>
        <v>13919.955630119897</v>
      </c>
      <c r="J4" s="130">
        <f t="shared" si="3"/>
        <v>16465.886122374974</v>
      </c>
      <c r="K4" s="130">
        <f t="shared" si="3"/>
        <v>15345.841815263195</v>
      </c>
      <c r="L4" s="130">
        <f t="shared" si="3"/>
        <v>16965.262354457966</v>
      </c>
      <c r="M4" s="130">
        <f t="shared" si="3"/>
        <v>13282.303377093654</v>
      </c>
      <c r="N4" s="130">
        <f t="shared" si="3"/>
        <v>14380.148126612981</v>
      </c>
      <c r="O4" s="130">
        <f t="shared" si="3"/>
        <v>15631.811977277628</v>
      </c>
      <c r="P4" s="130">
        <f t="shared" si="3"/>
        <v>12759.344258121404</v>
      </c>
      <c r="Q4" s="130">
        <f t="shared" si="3"/>
        <v>14120.212409835349</v>
      </c>
      <c r="R4" s="130">
        <f t="shared" ref="R4:W4" si="4">SUM(R5:R15)</f>
        <v>13751.870481519794</v>
      </c>
      <c r="S4" s="130">
        <f t="shared" si="4"/>
        <v>13586.845294672416</v>
      </c>
      <c r="T4" s="130">
        <f t="shared" si="4"/>
        <v>12140.113468783085</v>
      </c>
      <c r="U4" s="130">
        <f t="shared" si="4"/>
        <v>11181.851922209784</v>
      </c>
      <c r="V4" s="130">
        <f t="shared" si="4"/>
        <v>11483.026759021315</v>
      </c>
      <c r="W4" s="130">
        <f t="shared" si="4"/>
        <v>14455.20576693271</v>
      </c>
      <c r="X4" s="130">
        <f t="shared" ref="X4:Y4" si="5">SUM(X5:X15)</f>
        <v>9798.1754336544254</v>
      </c>
      <c r="Y4" s="130">
        <f t="shared" si="5"/>
        <v>9164.3449937130317</v>
      </c>
      <c r="DA4" s="155" t="s">
        <v>214</v>
      </c>
    </row>
    <row r="5" spans="1:105" ht="12" customHeight="1" x14ac:dyDescent="0.25">
      <c r="A5" s="131" t="s">
        <v>29</v>
      </c>
      <c r="B5" s="132">
        <v>328.50610490111785</v>
      </c>
      <c r="C5" s="132">
        <v>348.67179707652622</v>
      </c>
      <c r="D5" s="132">
        <v>285.01160791057612</v>
      </c>
      <c r="E5" s="132">
        <v>124.96259673258811</v>
      </c>
      <c r="F5" s="132">
        <v>89.736113499570081</v>
      </c>
      <c r="G5" s="132">
        <v>79.928460877042141</v>
      </c>
      <c r="H5" s="132">
        <v>94.616337059329311</v>
      </c>
      <c r="I5" s="132">
        <v>200.72115219260525</v>
      </c>
      <c r="J5" s="132">
        <v>148.57179707652622</v>
      </c>
      <c r="K5" s="132">
        <v>114.54376612209801</v>
      </c>
      <c r="L5" s="132">
        <v>94.700343938091137</v>
      </c>
      <c r="M5" s="132">
        <v>96.638693035253638</v>
      </c>
      <c r="N5" s="132">
        <v>103.0691315563199</v>
      </c>
      <c r="O5" s="132">
        <v>45.677558039552856</v>
      </c>
      <c r="P5" s="132">
        <v>53.350730868443627</v>
      </c>
      <c r="Q5" s="132">
        <v>183.95477214101462</v>
      </c>
      <c r="R5" s="132">
        <v>27.411779879621673</v>
      </c>
      <c r="S5" s="132">
        <v>18.276784178847794</v>
      </c>
      <c r="T5" s="132">
        <v>20.911693895098892</v>
      </c>
      <c r="U5" s="132">
        <v>1.8388650042992254</v>
      </c>
      <c r="V5" s="132">
        <v>1.2568357695614785</v>
      </c>
      <c r="W5" s="132">
        <v>0.79509888220120339</v>
      </c>
      <c r="X5" s="132">
        <v>0.91375752364574314</v>
      </c>
      <c r="Y5" s="132">
        <v>43.009200343938097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5450.655060708661</v>
      </c>
      <c r="C7" s="132">
        <v>6361.4874116035435</v>
      </c>
      <c r="D7" s="132">
        <v>5641.0956354788714</v>
      </c>
      <c r="E7" s="132">
        <v>5876.1182259143607</v>
      </c>
      <c r="F7" s="132">
        <v>5364.495387374991</v>
      </c>
      <c r="G7" s="132">
        <v>5269.0125636034873</v>
      </c>
      <c r="H7" s="132">
        <v>5605.7047119398048</v>
      </c>
      <c r="I7" s="132">
        <v>3689.8544106441282</v>
      </c>
      <c r="J7" s="132">
        <v>5011.2993204141922</v>
      </c>
      <c r="K7" s="132">
        <v>4586.1893765458617</v>
      </c>
      <c r="L7" s="132">
        <v>4637.1068784984518</v>
      </c>
      <c r="M7" s="132">
        <v>4104.6723002678455</v>
      </c>
      <c r="N7" s="132">
        <v>4347.0480794511714</v>
      </c>
      <c r="O7" s="132">
        <v>4632.8632325716735</v>
      </c>
      <c r="P7" s="132">
        <v>4216.002970039548</v>
      </c>
      <c r="Q7" s="132">
        <v>4145.6066372458472</v>
      </c>
      <c r="R7" s="132">
        <v>4135.7122585442949</v>
      </c>
      <c r="S7" s="132">
        <v>4212.7809802557458</v>
      </c>
      <c r="T7" s="132">
        <v>2572.6177868643417</v>
      </c>
      <c r="U7" s="132">
        <v>2694.4091399060162</v>
      </c>
      <c r="V7" s="132">
        <v>2208.0455583010021</v>
      </c>
      <c r="W7" s="132">
        <v>3482.4040797661628</v>
      </c>
      <c r="X7" s="132">
        <v>1379.8456987856698</v>
      </c>
      <c r="Y7" s="132">
        <v>1308.5202931896274</v>
      </c>
      <c r="DA7" s="156" t="s">
        <v>277</v>
      </c>
    </row>
    <row r="8" spans="1:105" ht="12" customHeight="1" x14ac:dyDescent="0.25">
      <c r="A8" s="131" t="s">
        <v>73</v>
      </c>
      <c r="B8" s="132">
        <v>0.4638821265676939</v>
      </c>
      <c r="C8" s="132">
        <v>0.58216731535848565</v>
      </c>
      <c r="D8" s="132">
        <v>0.72060308501925152</v>
      </c>
      <c r="E8" s="132">
        <v>0.87225766562150331</v>
      </c>
      <c r="F8" s="132">
        <v>0.98086475476490731</v>
      </c>
      <c r="G8" s="132">
        <v>1.0556146467868128</v>
      </c>
      <c r="H8" s="132">
        <v>1.5045835374691605</v>
      </c>
      <c r="I8" s="132">
        <v>2.1807962583604148</v>
      </c>
      <c r="J8" s="132">
        <v>2.4287451296720781</v>
      </c>
      <c r="K8" s="132">
        <v>2.2299972065689255</v>
      </c>
      <c r="L8" s="132">
        <v>2.0449629060189216</v>
      </c>
      <c r="M8" s="132">
        <v>2.5254022347461951</v>
      </c>
      <c r="N8" s="132">
        <v>3.0838231136523726</v>
      </c>
      <c r="O8" s="132">
        <v>3.8047585260292904</v>
      </c>
      <c r="P8" s="132">
        <v>4.2041505944940214</v>
      </c>
      <c r="Q8" s="132">
        <v>4.921429186861852</v>
      </c>
      <c r="R8" s="132">
        <v>5.2896800500925449</v>
      </c>
      <c r="S8" s="132">
        <v>5.6014993544585128</v>
      </c>
      <c r="T8" s="132">
        <v>5.8850502637766695</v>
      </c>
      <c r="U8" s="132">
        <v>6.5231635090370377</v>
      </c>
      <c r="V8" s="132">
        <v>6.8214584235245095</v>
      </c>
      <c r="W8" s="132">
        <v>7.0035653958586934</v>
      </c>
      <c r="X8" s="132">
        <v>7.4239117020802734</v>
      </c>
      <c r="Y8" s="132">
        <v>8.4005796455424626</v>
      </c>
      <c r="DA8" s="156" t="s">
        <v>278</v>
      </c>
    </row>
    <row r="9" spans="1:105" ht="12" customHeight="1" x14ac:dyDescent="0.25">
      <c r="A9" s="131" t="s">
        <v>78</v>
      </c>
      <c r="B9" s="132">
        <v>6930.0459287053418</v>
      </c>
      <c r="C9" s="132">
        <v>7261.1578642618206</v>
      </c>
      <c r="D9" s="132">
        <v>7141.9132971386362</v>
      </c>
      <c r="E9" s="132">
        <v>6520.5928049732311</v>
      </c>
      <c r="F9" s="132">
        <v>6493.6172595806256</v>
      </c>
      <c r="G9" s="132">
        <v>6301.8702796295238</v>
      </c>
      <c r="H9" s="132">
        <v>8316.0698138827156</v>
      </c>
      <c r="I9" s="132">
        <v>6311.0206360535831</v>
      </c>
      <c r="J9" s="132">
        <v>6827.6784573236519</v>
      </c>
      <c r="K9" s="132">
        <v>6226.227774964399</v>
      </c>
      <c r="L9" s="132">
        <v>6461.0625864377171</v>
      </c>
      <c r="M9" s="132">
        <v>5559.0629270236896</v>
      </c>
      <c r="N9" s="132">
        <v>5818.9305891013273</v>
      </c>
      <c r="O9" s="132">
        <v>7369.0207387535902</v>
      </c>
      <c r="P9" s="132">
        <v>5821.4165871623554</v>
      </c>
      <c r="Q9" s="132">
        <v>6526.6247324622163</v>
      </c>
      <c r="R9" s="132">
        <v>6545.4798365033657</v>
      </c>
      <c r="S9" s="132">
        <v>6328.9429723115536</v>
      </c>
      <c r="T9" s="132">
        <v>6415.4612369121023</v>
      </c>
      <c r="U9" s="132">
        <v>5204.5938007636123</v>
      </c>
      <c r="V9" s="132">
        <v>6268.3750018826495</v>
      </c>
      <c r="W9" s="132">
        <v>7015.9294946565342</v>
      </c>
      <c r="X9" s="132">
        <v>5179.0538532196742</v>
      </c>
      <c r="Y9" s="132">
        <v>4505.8730781704144</v>
      </c>
      <c r="DA9" s="156" t="s">
        <v>279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503.03344797936393</v>
      </c>
      <c r="F10" s="132">
        <v>739.10859845227822</v>
      </c>
      <c r="G10" s="132">
        <v>773.71745485812517</v>
      </c>
      <c r="H10" s="132">
        <v>897.41573516766971</v>
      </c>
      <c r="I10" s="132">
        <v>925.83843508168502</v>
      </c>
      <c r="J10" s="132">
        <v>1302.4745485812548</v>
      </c>
      <c r="K10" s="132">
        <v>1335.6739466895963</v>
      </c>
      <c r="L10" s="132">
        <v>1728.2650042992254</v>
      </c>
      <c r="M10" s="132">
        <v>1238.7024935511618</v>
      </c>
      <c r="N10" s="132">
        <v>1356.9552020636281</v>
      </c>
      <c r="O10" s="132">
        <v>1449.1879019776445</v>
      </c>
      <c r="P10" s="132">
        <v>1141.1244453998283</v>
      </c>
      <c r="Q10" s="132">
        <v>1310.9677815993105</v>
      </c>
      <c r="R10" s="132">
        <v>1264.970868443678</v>
      </c>
      <c r="S10" s="132">
        <v>1317.4691487532225</v>
      </c>
      <c r="T10" s="132">
        <v>1472.6282889079978</v>
      </c>
      <c r="U10" s="132">
        <v>1528.2077386070521</v>
      </c>
      <c r="V10" s="132">
        <v>1536.4956147893386</v>
      </c>
      <c r="W10" s="132">
        <v>1755.9472914875323</v>
      </c>
      <c r="X10" s="132">
        <v>1607.8389509888202</v>
      </c>
      <c r="Y10" s="132">
        <v>1743.0257093723103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36.495614789337921</v>
      </c>
      <c r="F11" s="132">
        <v>34.919260533104037</v>
      </c>
      <c r="G11" s="132">
        <v>38.731384350816846</v>
      </c>
      <c r="H11" s="132">
        <v>37.474892519346525</v>
      </c>
      <c r="I11" s="132">
        <v>37.833190025795346</v>
      </c>
      <c r="J11" s="132">
        <v>35.970163370593305</v>
      </c>
      <c r="K11" s="132">
        <v>39.911177987962141</v>
      </c>
      <c r="L11" s="132">
        <v>39.720034393809122</v>
      </c>
      <c r="M11" s="132">
        <v>44.974720550300908</v>
      </c>
      <c r="N11" s="132">
        <v>46.097248495270861</v>
      </c>
      <c r="O11" s="132">
        <v>47.625881341358543</v>
      </c>
      <c r="P11" s="132">
        <v>62.888134135855566</v>
      </c>
      <c r="Q11" s="132">
        <v>45.404643164230471</v>
      </c>
      <c r="R11" s="132">
        <v>49.75159071367154</v>
      </c>
      <c r="S11" s="132">
        <v>57.299140154772083</v>
      </c>
      <c r="T11" s="132">
        <v>62.004385210662036</v>
      </c>
      <c r="U11" s="132">
        <v>55.651074806534844</v>
      </c>
      <c r="V11" s="132">
        <v>57.275236457437636</v>
      </c>
      <c r="W11" s="132">
        <v>56.63035253654342</v>
      </c>
      <c r="X11" s="132">
        <v>57.514101461736907</v>
      </c>
      <c r="Y11" s="132">
        <v>56.749785038692984</v>
      </c>
      <c r="DA11" s="156" t="s">
        <v>281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2313.7649555863932</v>
      </c>
      <c r="F12" s="132">
        <v>2408.5056929634134</v>
      </c>
      <c r="G12" s="132">
        <v>2266.7513612622652</v>
      </c>
      <c r="H12" s="132">
        <v>1952.1091401113467</v>
      </c>
      <c r="I12" s="132">
        <v>1855.8323067141812</v>
      </c>
      <c r="J12" s="132">
        <v>2078.2415640309027</v>
      </c>
      <c r="K12" s="132">
        <v>2029.8981543904688</v>
      </c>
      <c r="L12" s="132">
        <v>2926.7749801324603</v>
      </c>
      <c r="M12" s="132">
        <v>1705.6423396768948</v>
      </c>
      <c r="N12" s="132">
        <v>2020.798181544799</v>
      </c>
      <c r="O12" s="132">
        <v>1235.5654729878329</v>
      </c>
      <c r="P12" s="132">
        <v>1112.401947299418</v>
      </c>
      <c r="Q12" s="132">
        <v>1175.9341881124471</v>
      </c>
      <c r="R12" s="132">
        <v>922.63924132410534</v>
      </c>
      <c r="S12" s="132">
        <v>1098.2171227328179</v>
      </c>
      <c r="T12" s="132">
        <v>1173.5625520586898</v>
      </c>
      <c r="U12" s="132">
        <v>1228.8528643264142</v>
      </c>
      <c r="V12" s="132">
        <v>925.04232099640649</v>
      </c>
      <c r="W12" s="132">
        <v>1568.3155848079848</v>
      </c>
      <c r="X12" s="132">
        <v>1349.7976396832798</v>
      </c>
      <c r="Y12" s="132">
        <v>1303.9696456637528</v>
      </c>
      <c r="DA12" s="156" t="s">
        <v>282</v>
      </c>
    </row>
    <row r="13" spans="1:105" ht="12" customHeight="1" x14ac:dyDescent="0.25">
      <c r="A13" s="131" t="s">
        <v>77</v>
      </c>
      <c r="B13" s="132">
        <v>1.1069984779106501</v>
      </c>
      <c r="C13" s="132">
        <v>1.4760317895851813</v>
      </c>
      <c r="D13" s="132">
        <v>4.6595951204856396</v>
      </c>
      <c r="E13" s="132">
        <v>9.2000526238432645</v>
      </c>
      <c r="F13" s="132">
        <v>9.0820646850124618</v>
      </c>
      <c r="G13" s="132">
        <v>9.3677003350299426</v>
      </c>
      <c r="H13" s="132">
        <v>10.69996985055951</v>
      </c>
      <c r="I13" s="132">
        <v>12.516930609716944</v>
      </c>
      <c r="J13" s="132">
        <v>14.319413807914446</v>
      </c>
      <c r="K13" s="132">
        <v>17.628658101893365</v>
      </c>
      <c r="L13" s="132">
        <v>21.433232029657336</v>
      </c>
      <c r="M13" s="132">
        <v>23.126683608543793</v>
      </c>
      <c r="N13" s="132">
        <v>24.854991182747284</v>
      </c>
      <c r="O13" s="132">
        <v>26.275808155637137</v>
      </c>
      <c r="P13" s="132">
        <v>27.878898651930843</v>
      </c>
      <c r="Q13" s="132">
        <v>29.40145129312053</v>
      </c>
      <c r="R13" s="132">
        <v>31.900746370890843</v>
      </c>
      <c r="S13" s="132">
        <v>34.71016680697506</v>
      </c>
      <c r="T13" s="132">
        <v>37.072336740535683</v>
      </c>
      <c r="U13" s="132">
        <v>40.499573261718361</v>
      </c>
      <c r="V13" s="132">
        <v>44.171423859303985</v>
      </c>
      <c r="W13" s="132">
        <v>46.921848262017761</v>
      </c>
      <c r="X13" s="132">
        <v>52.118318659865452</v>
      </c>
      <c r="Y13" s="132">
        <v>60.669846031852288</v>
      </c>
      <c r="DA13" s="156" t="s">
        <v>283</v>
      </c>
    </row>
    <row r="14" spans="1:105" ht="12" customHeight="1" x14ac:dyDescent="0.25">
      <c r="A14" s="60" t="s">
        <v>76</v>
      </c>
      <c r="B14" s="65">
        <v>1173.0610511166719</v>
      </c>
      <c r="C14" s="65">
        <v>938.09220784729064</v>
      </c>
      <c r="D14" s="65">
        <v>1525.7863453817833</v>
      </c>
      <c r="E14" s="65">
        <v>1973.5089660139731</v>
      </c>
      <c r="F14" s="65">
        <v>1756.5120078365123</v>
      </c>
      <c r="G14" s="65">
        <v>1258.4611438837387</v>
      </c>
      <c r="H14" s="65">
        <v>1325.18216918649</v>
      </c>
      <c r="I14" s="65">
        <v>769.61772514677671</v>
      </c>
      <c r="J14" s="65">
        <v>909.66004430585542</v>
      </c>
      <c r="K14" s="65">
        <v>868.67053650171101</v>
      </c>
      <c r="L14" s="65">
        <v>920.29677985827061</v>
      </c>
      <c r="M14" s="65">
        <v>393.98947620531544</v>
      </c>
      <c r="N14" s="65">
        <v>537.45752951216355</v>
      </c>
      <c r="O14" s="65">
        <v>680.42455033953956</v>
      </c>
      <c r="P14" s="65">
        <v>201.58962193136674</v>
      </c>
      <c r="Q14" s="65">
        <v>569.2026119738731</v>
      </c>
      <c r="R14" s="65">
        <v>641.27724575821287</v>
      </c>
      <c r="S14" s="65">
        <v>385.35487444628353</v>
      </c>
      <c r="T14" s="65">
        <v>264.53173872994233</v>
      </c>
      <c r="U14" s="65">
        <v>317.68448145445655</v>
      </c>
      <c r="V14" s="65">
        <v>323.47251574756513</v>
      </c>
      <c r="W14" s="65">
        <v>381.78182462315243</v>
      </c>
      <c r="X14" s="65">
        <v>68.302445531095998</v>
      </c>
      <c r="Y14" s="65">
        <v>45.493770908873422</v>
      </c>
      <c r="DA14" s="109" t="s">
        <v>284</v>
      </c>
    </row>
    <row r="15" spans="1:105" ht="12" customHeight="1" x14ac:dyDescent="0.25">
      <c r="A15" s="133" t="s">
        <v>80</v>
      </c>
      <c r="B15" s="134">
        <v>134.16504880120385</v>
      </c>
      <c r="C15" s="134">
        <v>145.60343870957789</v>
      </c>
      <c r="D15" s="134">
        <v>135.00290574532747</v>
      </c>
      <c r="E15" s="134">
        <v>140.39502645538235</v>
      </c>
      <c r="F15" s="134">
        <v>134.58232374165684</v>
      </c>
      <c r="G15" s="134">
        <v>129.5953486040122</v>
      </c>
      <c r="H15" s="134">
        <v>153.11982445685675</v>
      </c>
      <c r="I15" s="134">
        <v>114.54004739306599</v>
      </c>
      <c r="J15" s="134">
        <v>135.24206833441127</v>
      </c>
      <c r="K15" s="134">
        <v>124.86842675263539</v>
      </c>
      <c r="L15" s="134">
        <v>133.85755196426038</v>
      </c>
      <c r="M15" s="134">
        <v>112.96834093990418</v>
      </c>
      <c r="N15" s="134">
        <v>121.85335059190334</v>
      </c>
      <c r="O15" s="134">
        <v>141.36607458476931</v>
      </c>
      <c r="P15" s="134">
        <v>118.48677203816177</v>
      </c>
      <c r="Q15" s="134">
        <v>128.19416265642519</v>
      </c>
      <c r="R15" s="134">
        <v>127.437233931864</v>
      </c>
      <c r="S15" s="134">
        <v>128.19260567773793</v>
      </c>
      <c r="T15" s="134">
        <v>115.43839919994087</v>
      </c>
      <c r="U15" s="134">
        <v>103.5912205706401</v>
      </c>
      <c r="V15" s="134">
        <v>112.07079279452634</v>
      </c>
      <c r="W15" s="134">
        <v>139.47662651472075</v>
      </c>
      <c r="X15" s="134">
        <v>95.366756098557289</v>
      </c>
      <c r="Y15" s="134">
        <v>88.633085348027493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364.38908029287927</v>
      </c>
      <c r="C16" s="130">
        <f t="shared" si="6"/>
        <v>374.67237556867929</v>
      </c>
      <c r="D16" s="130">
        <f t="shared" si="6"/>
        <v>385.37542763481451</v>
      </c>
      <c r="E16" s="130">
        <f t="shared" si="6"/>
        <v>469.968669322089</v>
      </c>
      <c r="F16" s="130">
        <f t="shared" si="6"/>
        <v>391.19879751217047</v>
      </c>
      <c r="G16" s="130">
        <f t="shared" si="6"/>
        <v>402.25056313044666</v>
      </c>
      <c r="H16" s="130">
        <f t="shared" si="6"/>
        <v>458.87016813556744</v>
      </c>
      <c r="I16" s="130">
        <f t="shared" si="6"/>
        <v>437.44606719572602</v>
      </c>
      <c r="J16" s="130">
        <f t="shared" si="6"/>
        <v>443.07981883345224</v>
      </c>
      <c r="K16" s="130">
        <f t="shared" si="6"/>
        <v>465.33240224807673</v>
      </c>
      <c r="L16" s="130">
        <f t="shared" si="6"/>
        <v>526.95077893896632</v>
      </c>
      <c r="M16" s="130">
        <f t="shared" si="6"/>
        <v>493.43515568572701</v>
      </c>
      <c r="N16" s="130">
        <f t="shared" si="6"/>
        <v>509.49860696365118</v>
      </c>
      <c r="O16" s="130">
        <f t="shared" si="6"/>
        <v>535.58221810147518</v>
      </c>
      <c r="P16" s="130">
        <f t="shared" si="6"/>
        <v>501.724570341662</v>
      </c>
      <c r="Q16" s="130">
        <f t="shared" si="6"/>
        <v>560.91109513384492</v>
      </c>
      <c r="R16" s="130">
        <f t="shared" ref="R16:W16" si="7">SUM(R17:R18)</f>
        <v>505.09327846227319</v>
      </c>
      <c r="S16" s="130">
        <f t="shared" si="7"/>
        <v>487.0854284711948</v>
      </c>
      <c r="T16" s="130">
        <f t="shared" si="7"/>
        <v>588.15216383879965</v>
      </c>
      <c r="U16" s="130">
        <f t="shared" si="7"/>
        <v>560.84356935132098</v>
      </c>
      <c r="V16" s="130">
        <f t="shared" si="7"/>
        <v>477.45680077554783</v>
      </c>
      <c r="W16" s="130">
        <f t="shared" si="7"/>
        <v>456.70962048771298</v>
      </c>
      <c r="X16" s="130">
        <f t="shared" ref="X16:Y16" si="8">SUM(X17:X18)</f>
        <v>510.93757662422087</v>
      </c>
      <c r="Y16" s="130">
        <f t="shared" si="8"/>
        <v>490.25035584735173</v>
      </c>
      <c r="DA16" s="155" t="s">
        <v>215</v>
      </c>
    </row>
    <row r="17" spans="1:105" ht="12.95" customHeight="1" x14ac:dyDescent="0.25">
      <c r="A17" s="131" t="s">
        <v>73</v>
      </c>
      <c r="B17" s="132">
        <v>0.17724016381763058</v>
      </c>
      <c r="C17" s="132">
        <v>0.18961704838559218</v>
      </c>
      <c r="D17" s="132">
        <v>0.20623664562736438</v>
      </c>
      <c r="E17" s="132">
        <v>0.25165005999118145</v>
      </c>
      <c r="F17" s="132">
        <v>0.31087269326134842</v>
      </c>
      <c r="G17" s="132">
        <v>0.38823449472517868</v>
      </c>
      <c r="H17" s="132">
        <v>0.45659095637057584</v>
      </c>
      <c r="I17" s="132">
        <v>0.69651563056488064</v>
      </c>
      <c r="J17" s="132">
        <v>0.86074540681696043</v>
      </c>
      <c r="K17" s="132">
        <v>1.0539231240731721</v>
      </c>
      <c r="L17" s="132">
        <v>1.3618283954487893</v>
      </c>
      <c r="M17" s="132">
        <v>1.4998680076140427</v>
      </c>
      <c r="N17" s="132">
        <v>1.7198141961667972</v>
      </c>
      <c r="O17" s="132">
        <v>2.1030215928233553</v>
      </c>
      <c r="P17" s="132">
        <v>2.7706487846567205</v>
      </c>
      <c r="Q17" s="132">
        <v>3.8018765458524499</v>
      </c>
      <c r="R17" s="132">
        <v>4.8201484142199869</v>
      </c>
      <c r="S17" s="132">
        <v>5.1832209234685891</v>
      </c>
      <c r="T17" s="132">
        <v>8.5560470289368098</v>
      </c>
      <c r="U17" s="132">
        <v>9.2387450319370537</v>
      </c>
      <c r="V17" s="132">
        <v>7.0576701603089438</v>
      </c>
      <c r="W17" s="132">
        <v>7.0517184592686322</v>
      </c>
      <c r="X17" s="132">
        <v>9.3463639266504099</v>
      </c>
      <c r="Y17" s="132">
        <v>9.1112145503814315</v>
      </c>
      <c r="DA17" s="156" t="s">
        <v>286</v>
      </c>
    </row>
    <row r="18" spans="1:105" ht="12" customHeight="1" x14ac:dyDescent="0.25">
      <c r="A18" s="131" t="s">
        <v>72</v>
      </c>
      <c r="B18" s="132">
        <v>364.21184012906161</v>
      </c>
      <c r="C18" s="132">
        <v>374.48275852029371</v>
      </c>
      <c r="D18" s="132">
        <v>385.16919098918714</v>
      </c>
      <c r="E18" s="132">
        <v>469.71701926209784</v>
      </c>
      <c r="F18" s="132">
        <v>390.88792481890914</v>
      </c>
      <c r="G18" s="132">
        <v>401.8623286357215</v>
      </c>
      <c r="H18" s="132">
        <v>458.41357717919686</v>
      </c>
      <c r="I18" s="132">
        <v>436.74955156516114</v>
      </c>
      <c r="J18" s="132">
        <v>442.21907342663525</v>
      </c>
      <c r="K18" s="132">
        <v>464.27847912400358</v>
      </c>
      <c r="L18" s="132">
        <v>525.58895054351751</v>
      </c>
      <c r="M18" s="132">
        <v>491.93528767811296</v>
      </c>
      <c r="N18" s="132">
        <v>507.77879276748439</v>
      </c>
      <c r="O18" s="132">
        <v>533.47919650865185</v>
      </c>
      <c r="P18" s="132">
        <v>498.95392155700529</v>
      </c>
      <c r="Q18" s="132">
        <v>557.10921858799247</v>
      </c>
      <c r="R18" s="132">
        <v>500.27313004805319</v>
      </c>
      <c r="S18" s="132">
        <v>481.90220754772622</v>
      </c>
      <c r="T18" s="132">
        <v>579.59611680986279</v>
      </c>
      <c r="U18" s="132">
        <v>551.60482431938397</v>
      </c>
      <c r="V18" s="132">
        <v>470.3991306152389</v>
      </c>
      <c r="W18" s="132">
        <v>449.65790202844437</v>
      </c>
      <c r="X18" s="132">
        <v>501.59121269757048</v>
      </c>
      <c r="Y18" s="132">
        <v>481.13914129697031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2717.893042459059</v>
      </c>
      <c r="C19" s="130">
        <f t="shared" si="9"/>
        <v>2652.9873446454794</v>
      </c>
      <c r="D19" s="130">
        <f t="shared" si="9"/>
        <v>2682.0048292652441</v>
      </c>
      <c r="E19" s="130">
        <f t="shared" si="9"/>
        <v>2736.7688011299169</v>
      </c>
      <c r="F19" s="130">
        <f t="shared" si="9"/>
        <v>2709.8072200010834</v>
      </c>
      <c r="G19" s="130">
        <f t="shared" si="9"/>
        <v>2723.1121344747112</v>
      </c>
      <c r="H19" s="130">
        <f t="shared" si="9"/>
        <v>2793.5923081943602</v>
      </c>
      <c r="I19" s="130">
        <f t="shared" si="9"/>
        <v>2820.6284571640676</v>
      </c>
      <c r="J19" s="130">
        <f t="shared" si="9"/>
        <v>2828.913891083092</v>
      </c>
      <c r="K19" s="130">
        <f t="shared" si="9"/>
        <v>2858.0417037485195</v>
      </c>
      <c r="L19" s="130">
        <f t="shared" si="9"/>
        <v>2830.6854494433633</v>
      </c>
      <c r="M19" s="130">
        <f t="shared" si="9"/>
        <v>2776.1252250697798</v>
      </c>
      <c r="N19" s="130">
        <f t="shared" si="9"/>
        <v>2793.8139107085553</v>
      </c>
      <c r="O19" s="130">
        <f t="shared" si="9"/>
        <v>2742.8447550562219</v>
      </c>
      <c r="P19" s="130">
        <f t="shared" si="9"/>
        <v>2822.6811565359876</v>
      </c>
      <c r="Q19" s="130">
        <f t="shared" si="9"/>
        <v>2826.3221568426088</v>
      </c>
      <c r="R19" s="130">
        <f t="shared" ref="R19:W19" si="10">SUM(R20:R27)</f>
        <v>2793.1502971553628</v>
      </c>
      <c r="S19" s="130">
        <f t="shared" si="10"/>
        <v>2804.5982314252956</v>
      </c>
      <c r="T19" s="130">
        <f t="shared" si="10"/>
        <v>2956.4912092649843</v>
      </c>
      <c r="U19" s="130">
        <f t="shared" si="10"/>
        <v>2876.0392587003694</v>
      </c>
      <c r="V19" s="130">
        <f t="shared" si="10"/>
        <v>2516.705628933064</v>
      </c>
      <c r="W19" s="130">
        <f t="shared" si="10"/>
        <v>2541.7369514722841</v>
      </c>
      <c r="X19" s="130">
        <f t="shared" ref="X19:Y19" si="11">SUM(X20:X27)</f>
        <v>2352.212401681883</v>
      </c>
      <c r="Y19" s="130">
        <f t="shared" si="11"/>
        <v>2272.1161103755344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19.611029787156458</v>
      </c>
      <c r="C21" s="132">
        <v>23.779733231525853</v>
      </c>
      <c r="D21" s="132">
        <v>34.900354301634671</v>
      </c>
      <c r="E21" s="132">
        <v>39.021404361598947</v>
      </c>
      <c r="F21" s="132">
        <v>50.783767047355362</v>
      </c>
      <c r="G21" s="132">
        <v>57.13005740938349</v>
      </c>
      <c r="H21" s="132">
        <v>59.080028957139447</v>
      </c>
      <c r="I21" s="132">
        <v>60.128263302464973</v>
      </c>
      <c r="J21" s="132">
        <v>59.616872868022043</v>
      </c>
      <c r="K21" s="132">
        <v>57.918116974078899</v>
      </c>
      <c r="L21" s="132">
        <v>54.462693450710312</v>
      </c>
      <c r="M21" s="132">
        <v>54.253949606869604</v>
      </c>
      <c r="N21" s="132">
        <v>50.55502961418923</v>
      </c>
      <c r="O21" s="132">
        <v>44.691292507917133</v>
      </c>
      <c r="P21" s="132">
        <v>44.145647437743484</v>
      </c>
      <c r="Q21" s="132">
        <v>42.67037874312026</v>
      </c>
      <c r="R21" s="132">
        <v>42.262821701849141</v>
      </c>
      <c r="S21" s="132">
        <v>34.096250857117759</v>
      </c>
      <c r="T21" s="132">
        <v>42.769032499393241</v>
      </c>
      <c r="U21" s="132">
        <v>40.91777776473122</v>
      </c>
      <c r="V21" s="132">
        <v>27.830095744423812</v>
      </c>
      <c r="W21" s="132">
        <v>16.471625803321455</v>
      </c>
      <c r="X21" s="132">
        <v>12.138346877172834</v>
      </c>
      <c r="Y21" s="132">
        <v>9.308057777009104</v>
      </c>
      <c r="DA21" s="156" t="s">
        <v>289</v>
      </c>
    </row>
    <row r="22" spans="1:105" ht="12" customHeight="1" x14ac:dyDescent="0.25">
      <c r="A22" s="131" t="s">
        <v>161</v>
      </c>
      <c r="B22" s="132">
        <v>829.52076572331202</v>
      </c>
      <c r="C22" s="132">
        <v>851.43996941490457</v>
      </c>
      <c r="D22" s="132">
        <v>855.11657191134043</v>
      </c>
      <c r="E22" s="132">
        <v>856.10801622490192</v>
      </c>
      <c r="F22" s="132">
        <v>866.71005807464144</v>
      </c>
      <c r="G22" s="132">
        <v>865.47402239019686</v>
      </c>
      <c r="H22" s="132">
        <v>877.39360988414785</v>
      </c>
      <c r="I22" s="132">
        <v>881.12837287664058</v>
      </c>
      <c r="J22" s="132">
        <v>874.49636252505024</v>
      </c>
      <c r="K22" s="132">
        <v>864.69079945937881</v>
      </c>
      <c r="L22" s="132">
        <v>839.8220516297921</v>
      </c>
      <c r="M22" s="132">
        <v>848.08114843090891</v>
      </c>
      <c r="N22" s="132">
        <v>839.76931871858176</v>
      </c>
      <c r="O22" s="132">
        <v>834.82103394336355</v>
      </c>
      <c r="P22" s="132">
        <v>831.16744396452896</v>
      </c>
      <c r="Q22" s="132">
        <v>816.88421745278401</v>
      </c>
      <c r="R22" s="132">
        <v>790.32148145951066</v>
      </c>
      <c r="S22" s="132">
        <v>770.08512494831109</v>
      </c>
      <c r="T22" s="132">
        <v>521.55555793359508</v>
      </c>
      <c r="U22" s="132">
        <v>492.71218425563461</v>
      </c>
      <c r="V22" s="132">
        <v>399.36149242986704</v>
      </c>
      <c r="W22" s="132">
        <v>411.57915325189674</v>
      </c>
      <c r="X22" s="132">
        <v>332.67158410341125</v>
      </c>
      <c r="Y22" s="132">
        <v>286.60154687915809</v>
      </c>
      <c r="DA22" s="156" t="s">
        <v>290</v>
      </c>
    </row>
    <row r="23" spans="1:105" ht="12" customHeight="1" x14ac:dyDescent="0.25">
      <c r="A23" s="131" t="s">
        <v>149</v>
      </c>
      <c r="B23" s="132">
        <v>1099.3173815831228</v>
      </c>
      <c r="C23" s="132">
        <v>1065.0169824540642</v>
      </c>
      <c r="D23" s="132">
        <v>1070.9266797687328</v>
      </c>
      <c r="E23" s="132">
        <v>1052.7138872745784</v>
      </c>
      <c r="F23" s="132">
        <v>991.12188620556196</v>
      </c>
      <c r="G23" s="132">
        <v>999.74787797640602</v>
      </c>
      <c r="H23" s="132">
        <v>1052.5075146177599</v>
      </c>
      <c r="I23" s="132">
        <v>1043.359794571139</v>
      </c>
      <c r="J23" s="132">
        <v>1044.1734128866626</v>
      </c>
      <c r="K23" s="132">
        <v>1036.0372658364506</v>
      </c>
      <c r="L23" s="132">
        <v>1032.1283956581547</v>
      </c>
      <c r="M23" s="132">
        <v>1019.4153326610272</v>
      </c>
      <c r="N23" s="132">
        <v>1021.1189629803051</v>
      </c>
      <c r="O23" s="132">
        <v>1089.6391009857768</v>
      </c>
      <c r="P23" s="132">
        <v>1198.9786957591898</v>
      </c>
      <c r="Q23" s="132">
        <v>1206.0833500827935</v>
      </c>
      <c r="R23" s="132">
        <v>1194.5133644228072</v>
      </c>
      <c r="S23" s="132">
        <v>1258.4913098117672</v>
      </c>
      <c r="T23" s="132">
        <v>1717.5850601555187</v>
      </c>
      <c r="U23" s="132">
        <v>1689.1068264318244</v>
      </c>
      <c r="V23" s="132">
        <v>1608.2361662522219</v>
      </c>
      <c r="W23" s="132">
        <v>1559.066837065564</v>
      </c>
      <c r="X23" s="132">
        <v>1665.4845213461554</v>
      </c>
      <c r="Y23" s="132">
        <v>1699.2938431459218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313.87425335599664</v>
      </c>
      <c r="F25" s="132">
        <v>322.00445321027587</v>
      </c>
      <c r="G25" s="132">
        <v>330.43505318313339</v>
      </c>
      <c r="H25" s="132">
        <v>332.81012042175684</v>
      </c>
      <c r="I25" s="132">
        <v>327.45806301926746</v>
      </c>
      <c r="J25" s="132">
        <v>327.53375841105651</v>
      </c>
      <c r="K25" s="132">
        <v>327.4391628924202</v>
      </c>
      <c r="L25" s="132">
        <v>327.30928469987094</v>
      </c>
      <c r="M25" s="132">
        <v>330.66221750281335</v>
      </c>
      <c r="N25" s="132">
        <v>326.60319420756474</v>
      </c>
      <c r="O25" s="132">
        <v>215.23229141457395</v>
      </c>
      <c r="P25" s="132">
        <v>213.09727883987728</v>
      </c>
      <c r="Q25" s="132">
        <v>205.6221317499778</v>
      </c>
      <c r="R25" s="132">
        <v>165.37546202929062</v>
      </c>
      <c r="S25" s="132">
        <v>166.47187124826499</v>
      </c>
      <c r="T25" s="132">
        <v>164.71491999634088</v>
      </c>
      <c r="U25" s="132">
        <v>161.08694650763468</v>
      </c>
      <c r="V25" s="132">
        <v>138.56232216782362</v>
      </c>
      <c r="W25" s="132">
        <v>155.48303943964879</v>
      </c>
      <c r="X25" s="132">
        <v>151.71009892377211</v>
      </c>
      <c r="Y25" s="132">
        <v>150.27033713934082</v>
      </c>
      <c r="DA25" s="156" t="s">
        <v>293</v>
      </c>
    </row>
    <row r="26" spans="1:105" ht="12" customHeight="1" x14ac:dyDescent="0.25">
      <c r="A26" s="131" t="s">
        <v>24</v>
      </c>
      <c r="B26" s="65">
        <v>755.35194791060962</v>
      </c>
      <c r="C26" s="65">
        <v>698.89760709442589</v>
      </c>
      <c r="D26" s="65">
        <v>705.67953798688961</v>
      </c>
      <c r="E26" s="65">
        <v>458.61865177870516</v>
      </c>
      <c r="F26" s="65">
        <v>463.80537016660236</v>
      </c>
      <c r="G26" s="65">
        <v>452.961065046116</v>
      </c>
      <c r="H26" s="65">
        <v>452.78891049584297</v>
      </c>
      <c r="I26" s="65">
        <v>488.06101412542421</v>
      </c>
      <c r="J26" s="65">
        <v>500.97637347226612</v>
      </c>
      <c r="K26" s="65">
        <v>547.35524078739434</v>
      </c>
      <c r="L26" s="65">
        <v>551.83645478729443</v>
      </c>
      <c r="M26" s="65">
        <v>496.38858718630348</v>
      </c>
      <c r="N26" s="65">
        <v>528.51512659806099</v>
      </c>
      <c r="O26" s="65">
        <v>531.90136294577712</v>
      </c>
      <c r="P26" s="65">
        <v>507.56208193619585</v>
      </c>
      <c r="Q26" s="65">
        <v>526.13783117850789</v>
      </c>
      <c r="R26" s="65">
        <v>572.27837132522359</v>
      </c>
      <c r="S26" s="65">
        <v>546.91162812819221</v>
      </c>
      <c r="T26" s="65">
        <v>477.98074014187301</v>
      </c>
      <c r="U26" s="65">
        <v>462.02541196066494</v>
      </c>
      <c r="V26" s="65">
        <v>311.35510521920901</v>
      </c>
      <c r="W26" s="65">
        <v>369.4477318533838</v>
      </c>
      <c r="X26" s="65">
        <v>156.76941534968591</v>
      </c>
      <c r="Y26" s="65">
        <v>95.520743318885522</v>
      </c>
      <c r="DA26" s="109" t="s">
        <v>294</v>
      </c>
    </row>
    <row r="27" spans="1:105" ht="12" customHeight="1" x14ac:dyDescent="0.25">
      <c r="A27" s="144" t="s">
        <v>26</v>
      </c>
      <c r="B27" s="145">
        <v>14.09191745485812</v>
      </c>
      <c r="C27" s="145">
        <v>13.853052450558902</v>
      </c>
      <c r="D27" s="145">
        <v>15.381685296646605</v>
      </c>
      <c r="E27" s="145">
        <v>16.432588134135855</v>
      </c>
      <c r="F27" s="145">
        <v>15.381685296646602</v>
      </c>
      <c r="G27" s="145">
        <v>17.364058469475488</v>
      </c>
      <c r="H27" s="145">
        <v>19.012123817712812</v>
      </c>
      <c r="I27" s="145">
        <v>20.492949269131557</v>
      </c>
      <c r="J27" s="145">
        <v>22.117110920034399</v>
      </c>
      <c r="K27" s="145">
        <v>24.601117798796224</v>
      </c>
      <c r="L27" s="145">
        <v>25.12656921754084</v>
      </c>
      <c r="M27" s="145">
        <v>27.323989681857263</v>
      </c>
      <c r="N27" s="145">
        <v>27.252278589853837</v>
      </c>
      <c r="O27" s="145">
        <v>26.55967325881339</v>
      </c>
      <c r="P27" s="145">
        <v>27.730008598452297</v>
      </c>
      <c r="Q27" s="145">
        <v>28.924247635425587</v>
      </c>
      <c r="R27" s="145">
        <v>28.398796216680989</v>
      </c>
      <c r="S27" s="145">
        <v>28.542046431642298</v>
      </c>
      <c r="T27" s="145">
        <v>31.885898538263131</v>
      </c>
      <c r="U27" s="145">
        <v>30.190111779879633</v>
      </c>
      <c r="V27" s="145">
        <v>31.36044711951849</v>
      </c>
      <c r="W27" s="145">
        <v>29.688564058469474</v>
      </c>
      <c r="X27" s="145">
        <v>33.438435081685348</v>
      </c>
      <c r="Y27" s="145">
        <v>31.121582115219255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2913.6818598571599</v>
      </c>
      <c r="C29" s="130">
        <f t="shared" si="12"/>
        <v>2887.8554321299348</v>
      </c>
      <c r="D29" s="130">
        <f t="shared" si="12"/>
        <v>3046.0900101948109</v>
      </c>
      <c r="E29" s="130">
        <f t="shared" si="12"/>
        <v>3182.4356349373652</v>
      </c>
      <c r="F29" s="130">
        <f t="shared" si="12"/>
        <v>3206.2782285758904</v>
      </c>
      <c r="G29" s="130">
        <f t="shared" si="12"/>
        <v>3153.8858126893419</v>
      </c>
      <c r="H29" s="130">
        <f t="shared" si="12"/>
        <v>3148.8730275638418</v>
      </c>
      <c r="I29" s="130">
        <f t="shared" si="12"/>
        <v>3215.4229080572977</v>
      </c>
      <c r="J29" s="130">
        <f t="shared" si="12"/>
        <v>3164.0748624069211</v>
      </c>
      <c r="K29" s="130">
        <f t="shared" si="12"/>
        <v>3241.3826763476891</v>
      </c>
      <c r="L29" s="130">
        <f t="shared" si="12"/>
        <v>3288.6663618527718</v>
      </c>
      <c r="M29" s="130">
        <f t="shared" si="12"/>
        <v>3198.289109716608</v>
      </c>
      <c r="N29" s="130">
        <f t="shared" si="12"/>
        <v>3227.8380725016259</v>
      </c>
      <c r="O29" s="130">
        <f t="shared" si="12"/>
        <v>3294.880762178329</v>
      </c>
      <c r="P29" s="130">
        <f t="shared" si="12"/>
        <v>3440.0267730711512</v>
      </c>
      <c r="Q29" s="130">
        <f t="shared" si="12"/>
        <v>3430.8992166495073</v>
      </c>
      <c r="R29" s="130">
        <f t="shared" ref="R29:W29" si="13">SUM(R30:R33)</f>
        <v>3435.7131444672723</v>
      </c>
      <c r="S29" s="130">
        <f t="shared" si="13"/>
        <v>3553.742714157941</v>
      </c>
      <c r="T29" s="130">
        <f t="shared" si="13"/>
        <v>3646.8371592578624</v>
      </c>
      <c r="U29" s="130">
        <f t="shared" si="13"/>
        <v>3732.4870366931955</v>
      </c>
      <c r="V29" s="130">
        <f t="shared" si="13"/>
        <v>3379.24097132426</v>
      </c>
      <c r="W29" s="130">
        <f t="shared" si="13"/>
        <v>3458.3674563572004</v>
      </c>
      <c r="X29" s="130">
        <f t="shared" ref="X29:Y29" si="14">SUM(X30:X33)</f>
        <v>3078.6101585348993</v>
      </c>
      <c r="Y29" s="130">
        <f t="shared" si="14"/>
        <v>2997.3100668861507</v>
      </c>
      <c r="DA29" s="155" t="s">
        <v>217</v>
      </c>
    </row>
    <row r="30" spans="1:105" ht="12" customHeight="1" x14ac:dyDescent="0.25">
      <c r="A30" s="131" t="s">
        <v>52</v>
      </c>
      <c r="B30" s="132">
        <v>82.887851950518851</v>
      </c>
      <c r="C30" s="132">
        <v>81.825162092167602</v>
      </c>
      <c r="D30" s="132">
        <v>58.280447278070142</v>
      </c>
      <c r="E30" s="132">
        <v>133.5447515739983</v>
      </c>
      <c r="F30" s="132">
        <v>120.45023832493894</v>
      </c>
      <c r="G30" s="132">
        <v>199.13377369939954</v>
      </c>
      <c r="H30" s="132">
        <v>138.13676328710287</v>
      </c>
      <c r="I30" s="132">
        <v>124.16578985960997</v>
      </c>
      <c r="J30" s="132">
        <v>141.41422525399253</v>
      </c>
      <c r="K30" s="132">
        <v>129.99280908618437</v>
      </c>
      <c r="L30" s="132">
        <v>112.79314179274623</v>
      </c>
      <c r="M30" s="132">
        <v>113.50569236377495</v>
      </c>
      <c r="N30" s="132">
        <v>125.26512599230291</v>
      </c>
      <c r="O30" s="132">
        <v>167.40121385980459</v>
      </c>
      <c r="P30" s="132">
        <v>138.52087399001667</v>
      </c>
      <c r="Q30" s="132">
        <v>110.74954556268803</v>
      </c>
      <c r="R30" s="132">
        <v>150.54795672461091</v>
      </c>
      <c r="S30" s="132">
        <v>92.244308111809588</v>
      </c>
      <c r="T30" s="132">
        <v>132.12778607326362</v>
      </c>
      <c r="U30" s="132">
        <v>145.29589377439154</v>
      </c>
      <c r="V30" s="132">
        <v>142.95150356769992</v>
      </c>
      <c r="W30" s="132">
        <v>117.27300016400437</v>
      </c>
      <c r="X30" s="132">
        <v>141.15357057768526</v>
      </c>
      <c r="Y30" s="132">
        <v>33.901744458588482</v>
      </c>
      <c r="DA30" s="156" t="s">
        <v>296</v>
      </c>
    </row>
    <row r="31" spans="1:105" ht="12" customHeight="1" x14ac:dyDescent="0.25">
      <c r="A31" s="131" t="s">
        <v>149</v>
      </c>
      <c r="B31" s="132">
        <v>1991.5776826404106</v>
      </c>
      <c r="C31" s="132">
        <v>1994.6999725317221</v>
      </c>
      <c r="D31" s="132">
        <v>2107.5143527514961</v>
      </c>
      <c r="E31" s="132">
        <v>2105.4214956628884</v>
      </c>
      <c r="F31" s="132">
        <v>2131.1491211770358</v>
      </c>
      <c r="G31" s="132">
        <v>2024.2352910440445</v>
      </c>
      <c r="H31" s="132">
        <v>2063.0762223387705</v>
      </c>
      <c r="I31" s="132">
        <v>2026.6659921483911</v>
      </c>
      <c r="J31" s="132">
        <v>2013.4751185260743</v>
      </c>
      <c r="K31" s="132">
        <v>1943.4305649029998</v>
      </c>
      <c r="L31" s="132">
        <v>1861.4377382105711</v>
      </c>
      <c r="M31" s="132">
        <v>1760.6754038648419</v>
      </c>
      <c r="N31" s="132">
        <v>1758.4116429387279</v>
      </c>
      <c r="O31" s="132">
        <v>1787.0381411047997</v>
      </c>
      <c r="P31" s="132">
        <v>2405.5523596597477</v>
      </c>
      <c r="Q31" s="132">
        <v>2253.4214922037913</v>
      </c>
      <c r="R31" s="132">
        <v>2194.3323962329018</v>
      </c>
      <c r="S31" s="132">
        <v>2382.3132417947841</v>
      </c>
      <c r="T31" s="132">
        <v>2721.9349186233344</v>
      </c>
      <c r="U31" s="132">
        <v>2961.0462346849122</v>
      </c>
      <c r="V31" s="132">
        <v>2454.4159801514606</v>
      </c>
      <c r="W31" s="132">
        <v>2449.1847558759332</v>
      </c>
      <c r="X31" s="132">
        <v>2601.868047999767</v>
      </c>
      <c r="Y31" s="132">
        <v>2748.9894702143029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6.1144453998280301</v>
      </c>
      <c r="F32" s="132">
        <v>6.1144453998280301</v>
      </c>
      <c r="G32" s="132">
        <v>6.8787618228718852</v>
      </c>
      <c r="H32" s="132">
        <v>6.8787618228718852</v>
      </c>
      <c r="I32" s="132">
        <v>6.8787618228718799</v>
      </c>
      <c r="J32" s="132">
        <v>6.8787618228718852</v>
      </c>
      <c r="K32" s="132">
        <v>8.40739466895959</v>
      </c>
      <c r="L32" s="132">
        <v>9.1717110920034433</v>
      </c>
      <c r="M32" s="132">
        <v>9.1717110920034344</v>
      </c>
      <c r="N32" s="132">
        <v>9.9360275150472805</v>
      </c>
      <c r="O32" s="132">
        <v>10.088882201203775</v>
      </c>
      <c r="P32" s="132">
        <v>10.088882201203782</v>
      </c>
      <c r="Q32" s="132">
        <v>10.088882201203786</v>
      </c>
      <c r="R32" s="132">
        <v>9.2481341358555387</v>
      </c>
      <c r="S32" s="132">
        <v>9.2481341358555493</v>
      </c>
      <c r="T32" s="132">
        <v>9.1717110920034433</v>
      </c>
      <c r="U32" s="132">
        <v>8.4073946689595971</v>
      </c>
      <c r="V32" s="132">
        <v>6.1144453998280284</v>
      </c>
      <c r="W32" s="132">
        <v>6.1144453998280284</v>
      </c>
      <c r="X32" s="132">
        <v>4.5858125537403218</v>
      </c>
      <c r="Y32" s="132">
        <v>4.5858125537403209</v>
      </c>
      <c r="DA32" s="156" t="s">
        <v>298</v>
      </c>
    </row>
    <row r="33" spans="1:105" ht="12" customHeight="1" x14ac:dyDescent="0.25">
      <c r="A33" s="62" t="s">
        <v>24</v>
      </c>
      <c r="B33" s="68">
        <v>839.21632526623034</v>
      </c>
      <c r="C33" s="68">
        <v>811.33029750604521</v>
      </c>
      <c r="D33" s="68">
        <v>880.29521016524438</v>
      </c>
      <c r="E33" s="68">
        <v>937.35494230065012</v>
      </c>
      <c r="F33" s="68">
        <v>948.56442367408783</v>
      </c>
      <c r="G33" s="68">
        <v>923.63798612302548</v>
      </c>
      <c r="H33" s="68">
        <v>940.78128011509602</v>
      </c>
      <c r="I33" s="68">
        <v>1057.7123642264248</v>
      </c>
      <c r="J33" s="68">
        <v>1002.3067568039819</v>
      </c>
      <c r="K33" s="68">
        <v>1159.5519076895455</v>
      </c>
      <c r="L33" s="68">
        <v>1305.2637707574509</v>
      </c>
      <c r="M33" s="68">
        <v>1314.9363023959877</v>
      </c>
      <c r="N33" s="68">
        <v>1334.225276055548</v>
      </c>
      <c r="O33" s="68">
        <v>1330.352525012521</v>
      </c>
      <c r="P33" s="68">
        <v>885.86465722018261</v>
      </c>
      <c r="Q33" s="68">
        <v>1056.6392966818237</v>
      </c>
      <c r="R33" s="68">
        <v>1081.5846573739043</v>
      </c>
      <c r="S33" s="68">
        <v>1069.937030115492</v>
      </c>
      <c r="T33" s="68">
        <v>783.60274346926121</v>
      </c>
      <c r="U33" s="68">
        <v>617.73751356493233</v>
      </c>
      <c r="V33" s="68">
        <v>775.75904220527127</v>
      </c>
      <c r="W33" s="68">
        <v>885.79525491743459</v>
      </c>
      <c r="X33" s="68">
        <v>331.00272740370713</v>
      </c>
      <c r="Y33" s="68">
        <v>209.83303965951913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12134.849135033946</v>
      </c>
      <c r="C3" s="125">
        <f t="shared" si="0"/>
        <v>12689.559093669453</v>
      </c>
      <c r="D3" s="125">
        <f t="shared" si="0"/>
        <v>12921.832159375137</v>
      </c>
      <c r="E3" s="125">
        <f t="shared" si="0"/>
        <v>15798.959575432646</v>
      </c>
      <c r="F3" s="125">
        <f t="shared" si="0"/>
        <v>15469.264031109939</v>
      </c>
      <c r="G3" s="125">
        <f t="shared" si="0"/>
        <v>14904.800816552506</v>
      </c>
      <c r="H3" s="125">
        <f t="shared" si="0"/>
        <v>16519.318898159363</v>
      </c>
      <c r="I3" s="125">
        <f t="shared" si="0"/>
        <v>14089.648355177669</v>
      </c>
      <c r="J3" s="125">
        <f t="shared" si="0"/>
        <v>15853.703216580398</v>
      </c>
      <c r="K3" s="125">
        <f t="shared" si="0"/>
        <v>15510.497654388857</v>
      </c>
      <c r="L3" s="125">
        <f t="shared" si="0"/>
        <v>17214.84942566837</v>
      </c>
      <c r="M3" s="125">
        <f t="shared" si="0"/>
        <v>14525.2482434495</v>
      </c>
      <c r="N3" s="125">
        <f t="shared" si="0"/>
        <v>15697.782343671843</v>
      </c>
      <c r="O3" s="125">
        <f t="shared" si="0"/>
        <v>16765.808042848723</v>
      </c>
      <c r="P3" s="125">
        <f t="shared" si="0"/>
        <v>14862.85956301543</v>
      </c>
      <c r="Q3" s="125">
        <f t="shared" si="0"/>
        <v>16322.704621206813</v>
      </c>
      <c r="R3" s="125">
        <f t="shared" ref="R3:W3" si="1">SUM(R4,R16,R19,R29)</f>
        <v>16047.07667874636</v>
      </c>
      <c r="S3" s="125">
        <f t="shared" si="1"/>
        <v>16207.956437927169</v>
      </c>
      <c r="T3" s="125">
        <f t="shared" si="1"/>
        <v>16138.980914185961</v>
      </c>
      <c r="U3" s="125">
        <f t="shared" si="1"/>
        <v>15498.00419047293</v>
      </c>
      <c r="V3" s="125">
        <f t="shared" si="1"/>
        <v>15173.452468785899</v>
      </c>
      <c r="W3" s="125">
        <f t="shared" si="1"/>
        <v>17636.716634906854</v>
      </c>
      <c r="X3" s="125">
        <f t="shared" ref="X3:Y3" si="2">SUM(X4,X16,X19,X29)</f>
        <v>14178.911785028336</v>
      </c>
      <c r="Y3" s="125">
        <f t="shared" si="2"/>
        <v>13651.996942142661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7849.3926521700396</v>
      </c>
      <c r="C4" s="130">
        <f t="shared" si="3"/>
        <v>8413.2338481852075</v>
      </c>
      <c r="D4" s="130">
        <f t="shared" si="3"/>
        <v>8451.9345203063494</v>
      </c>
      <c r="E4" s="130">
        <f t="shared" si="3"/>
        <v>10923.16735461841</v>
      </c>
      <c r="F4" s="130">
        <f t="shared" si="3"/>
        <v>10713.938748522027</v>
      </c>
      <c r="G4" s="130">
        <f t="shared" si="3"/>
        <v>10089.483575933444</v>
      </c>
      <c r="H4" s="130">
        <f t="shared" si="3"/>
        <v>11441.853049029894</v>
      </c>
      <c r="I4" s="130">
        <f t="shared" si="3"/>
        <v>8895.4791266446464</v>
      </c>
      <c r="J4" s="130">
        <f t="shared" si="3"/>
        <v>10583.744528123147</v>
      </c>
      <c r="K4" s="130">
        <f t="shared" si="3"/>
        <v>10026.337796859842</v>
      </c>
      <c r="L4" s="130">
        <f t="shared" si="3"/>
        <v>11443.577187771099</v>
      </c>
      <c r="M4" s="130">
        <f t="shared" si="3"/>
        <v>8871.2783076749838</v>
      </c>
      <c r="N4" s="130">
        <f t="shared" si="3"/>
        <v>9868.4944720328167</v>
      </c>
      <c r="O4" s="130">
        <f t="shared" si="3"/>
        <v>10771.941382039888</v>
      </c>
      <c r="P4" s="130">
        <f t="shared" si="3"/>
        <v>8846.3008693019892</v>
      </c>
      <c r="Q4" s="130">
        <f t="shared" si="3"/>
        <v>9967.9394940001985</v>
      </c>
      <c r="R4" s="130">
        <f t="shared" ref="R4:W4" si="4">SUM(R5:R15)</f>
        <v>9809.9807968520327</v>
      </c>
      <c r="S4" s="130">
        <f t="shared" si="4"/>
        <v>9856.2511172707873</v>
      </c>
      <c r="T4" s="130">
        <f t="shared" si="4"/>
        <v>9133.5228802369602</v>
      </c>
      <c r="U4" s="130">
        <f t="shared" si="4"/>
        <v>8545.9249034069016</v>
      </c>
      <c r="V4" s="130">
        <f t="shared" si="4"/>
        <v>8935.159964155846</v>
      </c>
      <c r="W4" s="130">
        <f t="shared" si="4"/>
        <v>11315.469884651531</v>
      </c>
      <c r="X4" s="130">
        <f t="shared" ref="X4:Y4" si="5">SUM(X5:X15)</f>
        <v>8043.3680555452083</v>
      </c>
      <c r="Y4" s="130">
        <f t="shared" si="5"/>
        <v>7679.597323719081</v>
      </c>
      <c r="DA4" s="155" t="s">
        <v>302</v>
      </c>
    </row>
    <row r="5" spans="1:105" ht="12" customHeight="1" x14ac:dyDescent="0.25">
      <c r="A5" s="131" t="s">
        <v>29</v>
      </c>
      <c r="B5" s="132">
        <v>195.4825574315764</v>
      </c>
      <c r="C5" s="132">
        <v>208.46583066536266</v>
      </c>
      <c r="D5" s="132">
        <v>170.47578808171428</v>
      </c>
      <c r="E5" s="132">
        <v>74.744665015220619</v>
      </c>
      <c r="F5" s="132">
        <v>53.674426737837109</v>
      </c>
      <c r="G5" s="132">
        <v>47.808113704784319</v>
      </c>
      <c r="H5" s="132">
        <v>56.593465591952601</v>
      </c>
      <c r="I5" s="132">
        <v>126.68973903987145</v>
      </c>
      <c r="J5" s="132">
        <v>93.773621052562106</v>
      </c>
      <c r="K5" s="132">
        <v>72.296249554916272</v>
      </c>
      <c r="L5" s="132">
        <v>59.839911506841737</v>
      </c>
      <c r="M5" s="132">
        <v>62.952480628828603</v>
      </c>
      <c r="N5" s="132">
        <v>71.118110515501016</v>
      </c>
      <c r="O5" s="132">
        <v>33.405643502260446</v>
      </c>
      <c r="P5" s="132">
        <v>39.016669931596113</v>
      </c>
      <c r="Q5" s="132">
        <v>136.21583481303128</v>
      </c>
      <c r="R5" s="132">
        <v>20.301617553504542</v>
      </c>
      <c r="S5" s="132">
        <v>13.562462606757144</v>
      </c>
      <c r="T5" s="132">
        <v>15.517722577501596</v>
      </c>
      <c r="U5" s="132">
        <v>1.3645473741789733</v>
      </c>
      <c r="V5" s="132">
        <v>0.93264701058515254</v>
      </c>
      <c r="W5" s="132">
        <v>0.61743609388467746</v>
      </c>
      <c r="X5" s="132">
        <v>0.73072291314399562</v>
      </c>
      <c r="Y5" s="132">
        <v>35.138166002741549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2784.1823162085393</v>
      </c>
      <c r="C7" s="132">
        <v>3253.498457724811</v>
      </c>
      <c r="D7" s="132">
        <v>2907.6320931824689</v>
      </c>
      <c r="E7" s="132">
        <v>3031.3101959477758</v>
      </c>
      <c r="F7" s="132">
        <v>2774.261650671659</v>
      </c>
      <c r="G7" s="132">
        <v>2752.621427983192</v>
      </c>
      <c r="H7" s="132">
        <v>2966.9572469350765</v>
      </c>
      <c r="I7" s="132">
        <v>1979.9932901967304</v>
      </c>
      <c r="J7" s="132">
        <v>2741.7254062866205</v>
      </c>
      <c r="K7" s="132">
        <v>2558.0728052999025</v>
      </c>
      <c r="L7" s="132">
        <v>2639.7684227807476</v>
      </c>
      <c r="M7" s="132">
        <v>2397.6424456731697</v>
      </c>
      <c r="N7" s="132">
        <v>2612.1232400853387</v>
      </c>
      <c r="O7" s="132">
        <v>2862.3334965674348</v>
      </c>
      <c r="P7" s="132">
        <v>2624.5572375531524</v>
      </c>
      <c r="Q7" s="132">
        <v>2591.5903626142931</v>
      </c>
      <c r="R7" s="132">
        <v>2596.8653800638845</v>
      </c>
      <c r="S7" s="132">
        <v>2653.9213971626359</v>
      </c>
      <c r="T7" s="132">
        <v>1627.1180173653909</v>
      </c>
      <c r="U7" s="132">
        <v>1707.4028632865093</v>
      </c>
      <c r="V7" s="132">
        <v>1405.0153271524523</v>
      </c>
      <c r="W7" s="132">
        <v>2227.2391037595398</v>
      </c>
      <c r="X7" s="132">
        <v>889.47815172063667</v>
      </c>
      <c r="Y7" s="132">
        <v>851.30686611081205</v>
      </c>
      <c r="DA7" s="156" t="s">
        <v>305</v>
      </c>
    </row>
    <row r="8" spans="1:105" ht="12" customHeight="1" x14ac:dyDescent="0.25">
      <c r="A8" s="131" t="s">
        <v>73</v>
      </c>
      <c r="B8" s="132">
        <v>0.49121523653348187</v>
      </c>
      <c r="C8" s="132">
        <v>0.66913938413993046</v>
      </c>
      <c r="D8" s="132">
        <v>0.8912149721388255</v>
      </c>
      <c r="E8" s="132">
        <v>1.140349907371363</v>
      </c>
      <c r="F8" s="132">
        <v>1.3640258225794255</v>
      </c>
      <c r="G8" s="132">
        <v>1.5796749531498642</v>
      </c>
      <c r="H8" s="132">
        <v>2.3934128439438407</v>
      </c>
      <c r="I8" s="132">
        <v>3.6400463264950114</v>
      </c>
      <c r="J8" s="132">
        <v>4.137444195793698</v>
      </c>
      <c r="K8" s="132">
        <v>3.8653146096161892</v>
      </c>
      <c r="L8" s="132">
        <v>3.6057075410384241</v>
      </c>
      <c r="M8" s="132">
        <v>4.6228839306829279</v>
      </c>
      <c r="N8" s="132">
        <v>5.8565800231305793</v>
      </c>
      <c r="O8" s="132">
        <v>7.5003158439704354</v>
      </c>
      <c r="P8" s="132">
        <v>8.5692196840055086</v>
      </c>
      <c r="Q8" s="132">
        <v>10.297727924653355</v>
      </c>
      <c r="R8" s="132">
        <v>11.387795006722744</v>
      </c>
      <c r="S8" s="132">
        <v>12.433426627697418</v>
      </c>
      <c r="T8" s="132">
        <v>13.479197586666873</v>
      </c>
      <c r="U8" s="132">
        <v>15.319601477527907</v>
      </c>
      <c r="V8" s="132">
        <v>16.479443132772921</v>
      </c>
      <c r="W8" s="132">
        <v>17.239517312085638</v>
      </c>
      <c r="X8" s="132">
        <v>18.66127368655005</v>
      </c>
      <c r="Y8" s="132">
        <v>21.59989277940905</v>
      </c>
      <c r="DA8" s="156" t="s">
        <v>306</v>
      </c>
    </row>
    <row r="9" spans="1:105" ht="12" customHeight="1" x14ac:dyDescent="0.25">
      <c r="A9" s="131" t="s">
        <v>78</v>
      </c>
      <c r="B9" s="132">
        <v>3826.2060413267313</v>
      </c>
      <c r="C9" s="132">
        <v>4076.8516135641039</v>
      </c>
      <c r="D9" s="132">
        <v>4039.7046264250821</v>
      </c>
      <c r="E9" s="132">
        <v>3694.8938965280568</v>
      </c>
      <c r="F9" s="132">
        <v>3679.6082037992246</v>
      </c>
      <c r="G9" s="132">
        <v>3570.9547780924927</v>
      </c>
      <c r="H9" s="132">
        <v>4805.4250118727532</v>
      </c>
      <c r="I9" s="132">
        <v>3706.1773943278349</v>
      </c>
      <c r="J9" s="132">
        <v>4055.9727559922671</v>
      </c>
      <c r="K9" s="132">
        <v>3741.7911053774301</v>
      </c>
      <c r="L9" s="132">
        <v>3940.1948770488975</v>
      </c>
      <c r="M9" s="132">
        <v>3467.2903744218565</v>
      </c>
      <c r="N9" s="132">
        <v>3737.0387299304698</v>
      </c>
      <c r="O9" s="132">
        <v>4894.3938621179459</v>
      </c>
      <c r="P9" s="132">
        <v>3931.0386699873816</v>
      </c>
      <c r="Q9" s="132">
        <v>4487.4020409746863</v>
      </c>
      <c r="R9" s="132">
        <v>4605.4371271340724</v>
      </c>
      <c r="S9" s="132">
        <v>4563.5765958010861</v>
      </c>
      <c r="T9" s="132">
        <v>4724.0995816471332</v>
      </c>
      <c r="U9" s="132">
        <v>3873.5949103205471</v>
      </c>
      <c r="V9" s="132">
        <v>4776.0346757484494</v>
      </c>
      <c r="W9" s="132">
        <v>5433.1963474487629</v>
      </c>
      <c r="X9" s="132">
        <v>4093.653920500366</v>
      </c>
      <c r="Y9" s="132">
        <v>3625.9021499693849</v>
      </c>
      <c r="DA9" s="156" t="s">
        <v>307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348.73718788927613</v>
      </c>
      <c r="F10" s="132">
        <v>515.47535325642252</v>
      </c>
      <c r="G10" s="132">
        <v>542.98135133115045</v>
      </c>
      <c r="H10" s="132">
        <v>633.70287541431765</v>
      </c>
      <c r="I10" s="132">
        <v>659.68249645497303</v>
      </c>
      <c r="J10" s="132">
        <v>936.72848225818359</v>
      </c>
      <c r="K10" s="132">
        <v>968.01201551819599</v>
      </c>
      <c r="L10" s="132">
        <v>1260.4798287025383</v>
      </c>
      <c r="M10" s="132">
        <v>905.53188943185751</v>
      </c>
      <c r="N10" s="132">
        <v>994.42173359850528</v>
      </c>
      <c r="O10" s="132">
        <v>1065.3718767900598</v>
      </c>
      <c r="P10" s="132">
        <v>843.69035376951138</v>
      </c>
      <c r="Q10" s="132">
        <v>978.88278105187237</v>
      </c>
      <c r="R10" s="132">
        <v>959.12591707693309</v>
      </c>
      <c r="S10" s="132">
        <v>1022.4420868323807</v>
      </c>
      <c r="T10" s="132">
        <v>1175.5213961748627</v>
      </c>
      <c r="U10" s="132">
        <v>1250.9042873692554</v>
      </c>
      <c r="V10" s="132">
        <v>1282.5515316878641</v>
      </c>
      <c r="W10" s="132">
        <v>1486.8577992906714</v>
      </c>
      <c r="X10" s="132">
        <v>1381.8574913924517</v>
      </c>
      <c r="Y10" s="132">
        <v>1518.1620000903592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31.829814252158741</v>
      </c>
      <c r="F11" s="132">
        <v>30.493786673371197</v>
      </c>
      <c r="G11" s="132">
        <v>33.874930683633551</v>
      </c>
      <c r="H11" s="132">
        <v>32.785146985990544</v>
      </c>
      <c r="I11" s="132">
        <v>33.147956297696844</v>
      </c>
      <c r="J11" s="132">
        <v>31.51672307816116</v>
      </c>
      <c r="K11" s="132">
        <v>35.035078063579057</v>
      </c>
      <c r="L11" s="132">
        <v>34.929915231809453</v>
      </c>
      <c r="M11" s="132">
        <v>39.750928511329825</v>
      </c>
      <c r="N11" s="132">
        <v>40.913248179585153</v>
      </c>
      <c r="O11" s="132">
        <v>42.363379162718793</v>
      </c>
      <c r="P11" s="132">
        <v>56.41165227208824</v>
      </c>
      <c r="Q11" s="132">
        <v>40.802612402260429</v>
      </c>
      <c r="R11" s="132">
        <v>44.983994040452117</v>
      </c>
      <c r="S11" s="132">
        <v>52.200518197033666</v>
      </c>
      <c r="T11" s="132">
        <v>56.990075553935235</v>
      </c>
      <c r="U11" s="132">
        <v>51.553944350733502</v>
      </c>
      <c r="V11" s="132">
        <v>53.309512517650333</v>
      </c>
      <c r="W11" s="132">
        <v>52.813445687279703</v>
      </c>
      <c r="X11" s="132">
        <v>53.773633177439123</v>
      </c>
      <c r="Y11" s="132">
        <v>53.189535324850645</v>
      </c>
      <c r="DA11" s="156" t="s">
        <v>309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2031.1751008333611</v>
      </c>
      <c r="F12" s="132">
        <v>2115.2813291390175</v>
      </c>
      <c r="G12" s="132">
        <v>1992.0090635960191</v>
      </c>
      <c r="H12" s="132">
        <v>1715.5081449342892</v>
      </c>
      <c r="I12" s="132">
        <v>1631.3031090932534</v>
      </c>
      <c r="J12" s="132">
        <v>1827.3924917988979</v>
      </c>
      <c r="K12" s="132">
        <v>1785.1904202933247</v>
      </c>
      <c r="L12" s="132">
        <v>2577.0810061301668</v>
      </c>
      <c r="M12" s="132">
        <v>1501.9702890190258</v>
      </c>
      <c r="N12" s="132">
        <v>1779.4931318126924</v>
      </c>
      <c r="O12" s="132">
        <v>1088.0256589532203</v>
      </c>
      <c r="P12" s="132">
        <v>979.56918365847935</v>
      </c>
      <c r="Q12" s="132">
        <v>1035.5149912150914</v>
      </c>
      <c r="R12" s="132">
        <v>812.50542199339441</v>
      </c>
      <c r="S12" s="132">
        <v>979.32948486932162</v>
      </c>
      <c r="T12" s="132">
        <v>1063.1395555698489</v>
      </c>
      <c r="U12" s="132">
        <v>1136.431928280731</v>
      </c>
      <c r="V12" s="132">
        <v>859.76339138076753</v>
      </c>
      <c r="W12" s="132">
        <v>1465.7107035138042</v>
      </c>
      <c r="X12" s="132">
        <v>1265.9793140889371</v>
      </c>
      <c r="Y12" s="132">
        <v>1225.9984385584805</v>
      </c>
      <c r="DA12" s="156" t="s">
        <v>310</v>
      </c>
    </row>
    <row r="13" spans="1:105" ht="12" customHeight="1" x14ac:dyDescent="0.25">
      <c r="A13" s="131" t="s">
        <v>77</v>
      </c>
      <c r="B13" s="132">
        <v>1.8926906216325228</v>
      </c>
      <c r="C13" s="132">
        <v>2.8428792138857863</v>
      </c>
      <c r="D13" s="132">
        <v>9.7650539464161135</v>
      </c>
      <c r="E13" s="132">
        <v>19.918890734629944</v>
      </c>
      <c r="F13" s="132">
        <v>20.020227778848849</v>
      </c>
      <c r="G13" s="132">
        <v>21.024809418176783</v>
      </c>
      <c r="H13" s="132">
        <v>24.452413115022054</v>
      </c>
      <c r="I13" s="132">
        <v>29.377199028254747</v>
      </c>
      <c r="J13" s="132">
        <v>34.274085335086035</v>
      </c>
      <c r="K13" s="132">
        <v>43.341234078037822</v>
      </c>
      <c r="L13" s="132">
        <v>53.884181289736702</v>
      </c>
      <c r="M13" s="132">
        <v>59.650612058780766</v>
      </c>
      <c r="N13" s="132">
        <v>65.361168065186504</v>
      </c>
      <c r="O13" s="132">
        <v>70.540525988168909</v>
      </c>
      <c r="P13" s="132">
        <v>76.991387601972264</v>
      </c>
      <c r="Q13" s="132">
        <v>83.235040775449377</v>
      </c>
      <c r="R13" s="132">
        <v>93.587154200159318</v>
      </c>
      <c r="S13" s="132">
        <v>106.07634787423484</v>
      </c>
      <c r="T13" s="132">
        <v>118.0660655999326</v>
      </c>
      <c r="U13" s="132">
        <v>132.87819978161954</v>
      </c>
      <c r="V13" s="132">
        <v>149.54155608900678</v>
      </c>
      <c r="W13" s="132">
        <v>162.36654982816401</v>
      </c>
      <c r="X13" s="132">
        <v>184.83332124977213</v>
      </c>
      <c r="Y13" s="132">
        <v>220.34714510778755</v>
      </c>
      <c r="DA13" s="156" t="s">
        <v>311</v>
      </c>
    </row>
    <row r="14" spans="1:105" ht="12" customHeight="1" x14ac:dyDescent="0.25">
      <c r="A14" s="60" t="s">
        <v>76</v>
      </c>
      <c r="B14" s="65">
        <v>906.97278254382195</v>
      </c>
      <c r="C14" s="65">
        <v>725.30248892332554</v>
      </c>
      <c r="D14" s="65">
        <v>1188.4628379532039</v>
      </c>
      <c r="E14" s="65">
        <v>1549.022227055176</v>
      </c>
      <c r="F14" s="65">
        <v>1389.1774209014088</v>
      </c>
      <c r="G14" s="65">
        <v>997.03407756683191</v>
      </c>
      <c r="H14" s="65">
        <v>1050.915506879692</v>
      </c>
      <c r="I14" s="65">
        <v>610.92784848647</v>
      </c>
      <c r="J14" s="65">
        <v>722.98144979116205</v>
      </c>
      <c r="K14" s="65">
        <v>693.86514731220473</v>
      </c>
      <c r="L14" s="65">
        <v>739.93578557506305</v>
      </c>
      <c r="M14" s="65">
        <v>318.89806305954852</v>
      </c>
      <c r="N14" s="65">
        <v>440.31517923050376</v>
      </c>
      <c r="O14" s="65">
        <v>566.64054852934066</v>
      </c>
      <c r="P14" s="65">
        <v>167.96972280563969</v>
      </c>
      <c r="Q14" s="65">
        <v>475.80393957243547</v>
      </c>
      <c r="R14" s="65">
        <v>538.34915585104682</v>
      </c>
      <c r="S14" s="65">
        <v>324.51619162189985</v>
      </c>
      <c r="T14" s="65">
        <v>224.15286896174891</v>
      </c>
      <c r="U14" s="65">
        <v>272.88340059515764</v>
      </c>
      <c r="V14" s="65">
        <v>279.46108664177183</v>
      </c>
      <c r="W14" s="65">
        <v>329.95235520261843</v>
      </c>
      <c r="X14" s="65">
        <v>59.033470717353239</v>
      </c>
      <c r="Y14" s="65">
        <v>39.320044427227081</v>
      </c>
      <c r="DA14" s="109" t="s">
        <v>312</v>
      </c>
    </row>
    <row r="15" spans="1:105" ht="12" customHeight="1" x14ac:dyDescent="0.25">
      <c r="A15" s="133" t="s">
        <v>80</v>
      </c>
      <c r="B15" s="134">
        <v>134.16504880120385</v>
      </c>
      <c r="C15" s="134">
        <v>145.60343870957789</v>
      </c>
      <c r="D15" s="134">
        <v>135.00290574532747</v>
      </c>
      <c r="E15" s="134">
        <v>140.39502645538235</v>
      </c>
      <c r="F15" s="134">
        <v>134.58232374165684</v>
      </c>
      <c r="G15" s="134">
        <v>129.5953486040122</v>
      </c>
      <c r="H15" s="134">
        <v>153.11982445685675</v>
      </c>
      <c r="I15" s="134">
        <v>114.54004739306599</v>
      </c>
      <c r="J15" s="134">
        <v>135.24206833441127</v>
      </c>
      <c r="K15" s="134">
        <v>124.86842675263539</v>
      </c>
      <c r="L15" s="134">
        <v>133.85755196426038</v>
      </c>
      <c r="M15" s="134">
        <v>112.96834093990418</v>
      </c>
      <c r="N15" s="134">
        <v>121.85335059190334</v>
      </c>
      <c r="O15" s="134">
        <v>141.36607458476931</v>
      </c>
      <c r="P15" s="134">
        <v>118.48677203816177</v>
      </c>
      <c r="Q15" s="134">
        <v>128.19416265642519</v>
      </c>
      <c r="R15" s="134">
        <v>127.437233931864</v>
      </c>
      <c r="S15" s="134">
        <v>128.19260567773793</v>
      </c>
      <c r="T15" s="134">
        <v>115.43839919994087</v>
      </c>
      <c r="U15" s="134">
        <v>103.5912205706401</v>
      </c>
      <c r="V15" s="134">
        <v>112.07079279452634</v>
      </c>
      <c r="W15" s="134">
        <v>139.47662651472075</v>
      </c>
      <c r="X15" s="134">
        <v>95.366756098557289</v>
      </c>
      <c r="Y15" s="134">
        <v>88.633085348027493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700.12030876476933</v>
      </c>
      <c r="C16" s="130">
        <f t="shared" si="6"/>
        <v>746.49189885842532</v>
      </c>
      <c r="D16" s="130">
        <f t="shared" si="6"/>
        <v>800.78299931744323</v>
      </c>
      <c r="E16" s="130">
        <f t="shared" si="6"/>
        <v>1018.3969021690099</v>
      </c>
      <c r="F16" s="130">
        <f t="shared" si="6"/>
        <v>889.70244892363701</v>
      </c>
      <c r="G16" s="130">
        <f t="shared" si="6"/>
        <v>963.48791956239631</v>
      </c>
      <c r="H16" s="130">
        <f t="shared" si="6"/>
        <v>1163.4367915218381</v>
      </c>
      <c r="I16" s="130">
        <f t="shared" si="6"/>
        <v>1179.7539444882582</v>
      </c>
      <c r="J16" s="130">
        <f t="shared" si="6"/>
        <v>1269.8509864920766</v>
      </c>
      <c r="K16" s="130">
        <f t="shared" si="6"/>
        <v>1364.8665497013199</v>
      </c>
      <c r="L16" s="130">
        <f t="shared" si="6"/>
        <v>1590.2352978543181</v>
      </c>
      <c r="M16" s="130">
        <f t="shared" si="6"/>
        <v>1544.298766444886</v>
      </c>
      <c r="N16" s="130">
        <f t="shared" si="6"/>
        <v>1654.8312807968152</v>
      </c>
      <c r="O16" s="130">
        <f t="shared" si="6"/>
        <v>1803.9908402588937</v>
      </c>
      <c r="P16" s="130">
        <f t="shared" si="6"/>
        <v>1751.9093718748159</v>
      </c>
      <c r="Q16" s="130">
        <f t="shared" si="6"/>
        <v>2034.0819334826504</v>
      </c>
      <c r="R16" s="130">
        <f t="shared" ref="R16:W16" si="7">SUM(R17:R18)</f>
        <v>1903.1471165423141</v>
      </c>
      <c r="S16" s="130">
        <f t="shared" si="7"/>
        <v>1900.7338809114981</v>
      </c>
      <c r="T16" s="130">
        <f t="shared" si="7"/>
        <v>2362.8886425890082</v>
      </c>
      <c r="U16" s="130">
        <f t="shared" si="7"/>
        <v>2313.1439264415781</v>
      </c>
      <c r="V16" s="130">
        <f t="shared" si="7"/>
        <v>2020.5123386429966</v>
      </c>
      <c r="W16" s="130">
        <f t="shared" si="7"/>
        <v>1973.9775253074856</v>
      </c>
      <c r="X16" s="130">
        <f t="shared" ref="X16:Y16" si="8">SUM(X17:X18)</f>
        <v>2243.8280152891534</v>
      </c>
      <c r="Y16" s="130">
        <f t="shared" si="8"/>
        <v>2182.0662093174892</v>
      </c>
      <c r="DA16" s="155" t="s">
        <v>314</v>
      </c>
    </row>
    <row r="17" spans="1:105" ht="12.95" customHeight="1" x14ac:dyDescent="0.25">
      <c r="A17" s="131" t="s">
        <v>73</v>
      </c>
      <c r="B17" s="132">
        <v>0.19913389590542316</v>
      </c>
      <c r="C17" s="132">
        <v>0.21574962249242752</v>
      </c>
      <c r="D17" s="132">
        <v>0.23833662381187906</v>
      </c>
      <c r="E17" s="132">
        <v>0.29430023906764141</v>
      </c>
      <c r="F17" s="132">
        <v>0.376745090201695</v>
      </c>
      <c r="G17" s="132">
        <v>0.47968593759521488</v>
      </c>
      <c r="H17" s="132">
        <v>0.57086613262381292</v>
      </c>
      <c r="I17" s="132">
        <v>0.89603276315398106</v>
      </c>
      <c r="J17" s="132">
        <v>1.1229225372993679</v>
      </c>
      <c r="K17" s="132">
        <v>1.388985564832081</v>
      </c>
      <c r="L17" s="132">
        <v>1.8129055820562423</v>
      </c>
      <c r="M17" s="132">
        <v>2.0221327449891189</v>
      </c>
      <c r="N17" s="132">
        <v>2.345118572626339</v>
      </c>
      <c r="O17" s="132">
        <v>2.9112557134702364</v>
      </c>
      <c r="P17" s="132">
        <v>3.930796743737428</v>
      </c>
      <c r="Q17" s="132">
        <v>5.5155622161238362</v>
      </c>
      <c r="R17" s="132">
        <v>7.0695099079378352</v>
      </c>
      <c r="S17" s="132">
        <v>7.7253892351550606</v>
      </c>
      <c r="T17" s="132">
        <v>12.955670456397849</v>
      </c>
      <c r="U17" s="132">
        <v>14.175169480806506</v>
      </c>
      <c r="V17" s="132">
        <v>10.932886370606724</v>
      </c>
      <c r="W17" s="132">
        <v>11.041024607648081</v>
      </c>
      <c r="X17" s="132">
        <v>14.779317301710691</v>
      </c>
      <c r="Y17" s="132">
        <v>14.58992149267555</v>
      </c>
      <c r="DA17" s="156" t="s">
        <v>315</v>
      </c>
    </row>
    <row r="18" spans="1:105" ht="12" customHeight="1" x14ac:dyDescent="0.25">
      <c r="A18" s="131" t="s">
        <v>72</v>
      </c>
      <c r="B18" s="132">
        <v>699.92117486886389</v>
      </c>
      <c r="C18" s="132">
        <v>746.27614923593285</v>
      </c>
      <c r="D18" s="132">
        <v>800.54466269363138</v>
      </c>
      <c r="E18" s="132">
        <v>1018.1026019299422</v>
      </c>
      <c r="F18" s="132">
        <v>889.32570383343534</v>
      </c>
      <c r="G18" s="132">
        <v>963.00823362480105</v>
      </c>
      <c r="H18" s="132">
        <v>1162.8659253892142</v>
      </c>
      <c r="I18" s="132">
        <v>1178.8579117251043</v>
      </c>
      <c r="J18" s="132">
        <v>1268.7280639547771</v>
      </c>
      <c r="K18" s="132">
        <v>1363.4775641364877</v>
      </c>
      <c r="L18" s="132">
        <v>1588.422392272262</v>
      </c>
      <c r="M18" s="132">
        <v>1542.2766336998968</v>
      </c>
      <c r="N18" s="132">
        <v>1652.486162224189</v>
      </c>
      <c r="O18" s="132">
        <v>1801.0795845454236</v>
      </c>
      <c r="P18" s="132">
        <v>1747.9785751310785</v>
      </c>
      <c r="Q18" s="132">
        <v>2028.5663712665266</v>
      </c>
      <c r="R18" s="132">
        <v>1896.0776066343763</v>
      </c>
      <c r="S18" s="132">
        <v>1893.0084916763431</v>
      </c>
      <c r="T18" s="132">
        <v>2349.9329721326103</v>
      </c>
      <c r="U18" s="132">
        <v>2298.9687569607718</v>
      </c>
      <c r="V18" s="132">
        <v>2009.57945227239</v>
      </c>
      <c r="W18" s="132">
        <v>1962.9365006998376</v>
      </c>
      <c r="X18" s="132">
        <v>2229.0486979874427</v>
      </c>
      <c r="Y18" s="132">
        <v>2167.4762878248139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1729.8747662520179</v>
      </c>
      <c r="C19" s="130">
        <f t="shared" si="9"/>
        <v>1691.819334670874</v>
      </c>
      <c r="D19" s="130">
        <f t="shared" si="9"/>
        <v>1722.7824059024433</v>
      </c>
      <c r="E19" s="130">
        <f t="shared" si="9"/>
        <v>1818.1809444351677</v>
      </c>
      <c r="F19" s="130">
        <f t="shared" si="9"/>
        <v>1806.7411332112129</v>
      </c>
      <c r="G19" s="130">
        <f t="shared" si="9"/>
        <v>1825.1194646070896</v>
      </c>
      <c r="H19" s="130">
        <f t="shared" si="9"/>
        <v>1882.7102005585273</v>
      </c>
      <c r="I19" s="130">
        <f t="shared" si="9"/>
        <v>1917.5747023489394</v>
      </c>
      <c r="J19" s="130">
        <f t="shared" si="9"/>
        <v>1939.6832730355654</v>
      </c>
      <c r="K19" s="130">
        <f t="shared" si="9"/>
        <v>1978.6698265686241</v>
      </c>
      <c r="L19" s="130">
        <f t="shared" si="9"/>
        <v>1980.870153014514</v>
      </c>
      <c r="M19" s="130">
        <f t="shared" si="9"/>
        <v>1959.9996760531817</v>
      </c>
      <c r="N19" s="130">
        <f t="shared" si="9"/>
        <v>2001.8537721519085</v>
      </c>
      <c r="O19" s="130">
        <f t="shared" si="9"/>
        <v>1976.1896268549856</v>
      </c>
      <c r="P19" s="130">
        <f t="shared" si="9"/>
        <v>2047.5176530008127</v>
      </c>
      <c r="Q19" s="130">
        <f t="shared" si="9"/>
        <v>2072.1419763288441</v>
      </c>
      <c r="R19" s="130">
        <f t="shared" ref="R19:W19" si="10">SUM(R20:R27)</f>
        <v>2071.7250608531431</v>
      </c>
      <c r="S19" s="130">
        <f t="shared" si="10"/>
        <v>2111.483329697031</v>
      </c>
      <c r="T19" s="130">
        <f t="shared" si="10"/>
        <v>2295.2691843667344</v>
      </c>
      <c r="U19" s="130">
        <f t="shared" si="10"/>
        <v>2261.1758235753605</v>
      </c>
      <c r="V19" s="130">
        <f t="shared" si="10"/>
        <v>2007.1400812845034</v>
      </c>
      <c r="W19" s="130">
        <f t="shared" si="10"/>
        <v>2052.6972975408494</v>
      </c>
      <c r="X19" s="130">
        <f t="shared" ref="X19:Y19" si="11">SUM(X20:X27)</f>
        <v>1938.9253629401762</v>
      </c>
      <c r="Y19" s="130">
        <f t="shared" si="11"/>
        <v>1904.1306481692307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12.174498294383195</v>
      </c>
      <c r="C21" s="132">
        <v>14.903464139021454</v>
      </c>
      <c r="D21" s="132">
        <v>22.07396145544644</v>
      </c>
      <c r="E21" s="132">
        <v>24.830763279317811</v>
      </c>
      <c r="F21" s="132">
        <v>32.488642546771274</v>
      </c>
      <c r="G21" s="132">
        <v>36.687533736043513</v>
      </c>
      <c r="H21" s="132">
        <v>38.050490930614416</v>
      </c>
      <c r="I21" s="132">
        <v>38.813105388802654</v>
      </c>
      <c r="J21" s="132">
        <v>38.553193324996428</v>
      </c>
      <c r="K21" s="132">
        <v>37.516877909929462</v>
      </c>
      <c r="L21" s="132">
        <v>35.343824686305759</v>
      </c>
      <c r="M21" s="132">
        <v>35.304976885359913</v>
      </c>
      <c r="N21" s="132">
        <v>33.00018063471002</v>
      </c>
      <c r="O21" s="132">
        <v>29.297769411784728</v>
      </c>
      <c r="P21" s="132">
        <v>29.103458634849428</v>
      </c>
      <c r="Q21" s="132">
        <v>28.45474227496506</v>
      </c>
      <c r="R21" s="132">
        <v>28.794640690713123</v>
      </c>
      <c r="S21" s="132">
        <v>23.871326758681178</v>
      </c>
      <c r="T21" s="132">
        <v>31.067055863988831</v>
      </c>
      <c r="U21" s="132">
        <v>30.486565407036007</v>
      </c>
      <c r="V21" s="132">
        <v>21.11237743689238</v>
      </c>
      <c r="W21" s="132">
        <v>12.678024011508697</v>
      </c>
      <c r="X21" s="132">
        <v>9.4236326664260854</v>
      </c>
      <c r="Y21" s="132">
        <v>7.2690916061755448</v>
      </c>
      <c r="DA21" s="156" t="s">
        <v>319</v>
      </c>
    </row>
    <row r="22" spans="1:105" ht="12" customHeight="1" x14ac:dyDescent="0.25">
      <c r="A22" s="131" t="s">
        <v>161</v>
      </c>
      <c r="B22" s="132">
        <v>485.29750098459681</v>
      </c>
      <c r="C22" s="132">
        <v>500.03854260987026</v>
      </c>
      <c r="D22" s="132">
        <v>502.35666328257139</v>
      </c>
      <c r="E22" s="132">
        <v>506.51359947698205</v>
      </c>
      <c r="F22" s="132">
        <v>514.78872740678946</v>
      </c>
      <c r="G22" s="132">
        <v>516.23373792364544</v>
      </c>
      <c r="H22" s="132">
        <v>525.45907075586899</v>
      </c>
      <c r="I22" s="132">
        <v>530.3713633053934</v>
      </c>
      <c r="J22" s="132">
        <v>529.15825406571219</v>
      </c>
      <c r="K22" s="132">
        <v>526.2345862368021</v>
      </c>
      <c r="L22" s="132">
        <v>514.60834354067072</v>
      </c>
      <c r="M22" s="132">
        <v>524.48920752699701</v>
      </c>
      <c r="N22" s="132">
        <v>525.75562074079562</v>
      </c>
      <c r="O22" s="132">
        <v>530.41869249541867</v>
      </c>
      <c r="P22" s="132">
        <v>531.20186591682693</v>
      </c>
      <c r="Q22" s="132">
        <v>526.68466699872499</v>
      </c>
      <c r="R22" s="132">
        <v>512.85848111576604</v>
      </c>
      <c r="S22" s="132">
        <v>502.149210541321</v>
      </c>
      <c r="T22" s="132">
        <v>341.74837504569507</v>
      </c>
      <c r="U22" s="132">
        <v>324.52592175565616</v>
      </c>
      <c r="V22" s="132">
        <v>264.38229648219624</v>
      </c>
      <c r="W22" s="132">
        <v>277.31747918771759</v>
      </c>
      <c r="X22" s="132">
        <v>228.37024465391679</v>
      </c>
      <c r="Y22" s="132">
        <v>201.7482954264583</v>
      </c>
      <c r="DA22" s="156" t="s">
        <v>320</v>
      </c>
    </row>
    <row r="23" spans="1:105" ht="12" customHeight="1" x14ac:dyDescent="0.25">
      <c r="A23" s="131" t="s">
        <v>149</v>
      </c>
      <c r="B23" s="132">
        <v>657.58718616899785</v>
      </c>
      <c r="C23" s="132">
        <v>643.18232416435194</v>
      </c>
      <c r="D23" s="132">
        <v>657.05669198196438</v>
      </c>
      <c r="E23" s="132">
        <v>647.09638947654173</v>
      </c>
      <c r="F23" s="132">
        <v>609.48495075766527</v>
      </c>
      <c r="G23" s="132">
        <v>620.64965691493217</v>
      </c>
      <c r="H23" s="132">
        <v>663.35868592459337</v>
      </c>
      <c r="I23" s="132">
        <v>667.3033976706995</v>
      </c>
      <c r="J23" s="132">
        <v>676.63095950557727</v>
      </c>
      <c r="K23" s="132">
        <v>679.00482925158917</v>
      </c>
      <c r="L23" s="132">
        <v>688.15733471985027</v>
      </c>
      <c r="M23" s="132">
        <v>692.03051153382614</v>
      </c>
      <c r="N23" s="132">
        <v>709.88837839935979</v>
      </c>
      <c r="O23" s="132">
        <v>777.03500234687033</v>
      </c>
      <c r="P23" s="132">
        <v>866.40032164453885</v>
      </c>
      <c r="Q23" s="132">
        <v>884.56827766337381</v>
      </c>
      <c r="R23" s="132">
        <v>894.32297128634332</v>
      </c>
      <c r="S23" s="132">
        <v>965.96629006015644</v>
      </c>
      <c r="T23" s="132">
        <v>1353.9985709396808</v>
      </c>
      <c r="U23" s="132">
        <v>1352.3255801978235</v>
      </c>
      <c r="V23" s="132">
        <v>1308.1198362682337</v>
      </c>
      <c r="W23" s="132">
        <v>1286.9703732821579</v>
      </c>
      <c r="X23" s="132">
        <v>1396.9048532812683</v>
      </c>
      <c r="Y23" s="132">
        <v>1443.9283778545423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281.39876685447723</v>
      </c>
      <c r="F25" s="132">
        <v>288.81058357106804</v>
      </c>
      <c r="G25" s="132">
        <v>296.4788451044642</v>
      </c>
      <c r="H25" s="132">
        <v>298.62613850076565</v>
      </c>
      <c r="I25" s="132">
        <v>293.83119055885703</v>
      </c>
      <c r="J25" s="132">
        <v>293.91686547888071</v>
      </c>
      <c r="K25" s="132">
        <v>293.87183072371869</v>
      </c>
      <c r="L25" s="132">
        <v>293.86064863834099</v>
      </c>
      <c r="M25" s="132">
        <v>296.91181948962969</v>
      </c>
      <c r="N25" s="132">
        <v>293.28124468236825</v>
      </c>
      <c r="O25" s="132">
        <v>193.28279411746482</v>
      </c>
      <c r="P25" s="132">
        <v>191.36552218064611</v>
      </c>
      <c r="Q25" s="132">
        <v>184.65375303078176</v>
      </c>
      <c r="R25" s="132">
        <v>148.52802559607332</v>
      </c>
      <c r="S25" s="132">
        <v>150.46301591746152</v>
      </c>
      <c r="T25" s="132">
        <v>150.86511242026569</v>
      </c>
      <c r="U25" s="132">
        <v>150.44326578988506</v>
      </c>
      <c r="V25" s="132">
        <v>130.32495844111526</v>
      </c>
      <c r="W25" s="132">
        <v>146.75323335315053</v>
      </c>
      <c r="X25" s="132">
        <v>143.38969634204392</v>
      </c>
      <c r="Y25" s="132">
        <v>142.18577436937363</v>
      </c>
      <c r="DA25" s="156" t="s">
        <v>323</v>
      </c>
    </row>
    <row r="26" spans="1:105" ht="12" customHeight="1" x14ac:dyDescent="0.25">
      <c r="A26" s="131" t="s">
        <v>24</v>
      </c>
      <c r="B26" s="65">
        <v>560.72366334918206</v>
      </c>
      <c r="C26" s="65">
        <v>519.84195130707144</v>
      </c>
      <c r="D26" s="65">
        <v>525.91340388581466</v>
      </c>
      <c r="E26" s="65">
        <v>341.90883721371307</v>
      </c>
      <c r="F26" s="65">
        <v>345.7865436322723</v>
      </c>
      <c r="G26" s="65">
        <v>337.70563245852861</v>
      </c>
      <c r="H26" s="65">
        <v>338.20369062897214</v>
      </c>
      <c r="I26" s="65">
        <v>366.76269615605526</v>
      </c>
      <c r="J26" s="65">
        <v>379.30688974036462</v>
      </c>
      <c r="K26" s="65">
        <v>417.44058464778857</v>
      </c>
      <c r="L26" s="65">
        <v>423.77343221180541</v>
      </c>
      <c r="M26" s="65">
        <v>383.93917093551181</v>
      </c>
      <c r="N26" s="65">
        <v>412.67606910482107</v>
      </c>
      <c r="O26" s="65">
        <v>419.59569522463386</v>
      </c>
      <c r="P26" s="65">
        <v>401.71647602549899</v>
      </c>
      <c r="Q26" s="65">
        <v>418.85628872557277</v>
      </c>
      <c r="R26" s="65">
        <v>458.82214594756636</v>
      </c>
      <c r="S26" s="65">
        <v>440.49143998776844</v>
      </c>
      <c r="T26" s="65">
        <v>385.70417155884104</v>
      </c>
      <c r="U26" s="65">
        <v>373.20437864507977</v>
      </c>
      <c r="V26" s="65">
        <v>251.84016553654712</v>
      </c>
      <c r="W26" s="65">
        <v>299.28962364784491</v>
      </c>
      <c r="X26" s="65">
        <v>127.39850091483574</v>
      </c>
      <c r="Y26" s="65">
        <v>77.877526797461627</v>
      </c>
      <c r="DA26" s="109" t="s">
        <v>324</v>
      </c>
    </row>
    <row r="27" spans="1:105" ht="12" customHeight="1" x14ac:dyDescent="0.25">
      <c r="A27" s="144" t="s">
        <v>26</v>
      </c>
      <c r="B27" s="145">
        <v>14.09191745485812</v>
      </c>
      <c r="C27" s="145">
        <v>13.853052450558902</v>
      </c>
      <c r="D27" s="145">
        <v>15.381685296646605</v>
      </c>
      <c r="E27" s="145">
        <v>16.432588134135855</v>
      </c>
      <c r="F27" s="145">
        <v>15.381685296646602</v>
      </c>
      <c r="G27" s="145">
        <v>17.364058469475488</v>
      </c>
      <c r="H27" s="145">
        <v>19.012123817712812</v>
      </c>
      <c r="I27" s="145">
        <v>20.492949269131557</v>
      </c>
      <c r="J27" s="145">
        <v>22.117110920034399</v>
      </c>
      <c r="K27" s="145">
        <v>24.601117798796224</v>
      </c>
      <c r="L27" s="145">
        <v>25.12656921754084</v>
      </c>
      <c r="M27" s="145">
        <v>27.323989681857263</v>
      </c>
      <c r="N27" s="145">
        <v>27.252278589853837</v>
      </c>
      <c r="O27" s="145">
        <v>26.55967325881339</v>
      </c>
      <c r="P27" s="145">
        <v>27.730008598452297</v>
      </c>
      <c r="Q27" s="145">
        <v>28.924247635425587</v>
      </c>
      <c r="R27" s="145">
        <v>28.398796216680989</v>
      </c>
      <c r="S27" s="145">
        <v>28.542046431642298</v>
      </c>
      <c r="T27" s="145">
        <v>31.885898538263131</v>
      </c>
      <c r="U27" s="145">
        <v>30.190111779879633</v>
      </c>
      <c r="V27" s="145">
        <v>31.36044711951849</v>
      </c>
      <c r="W27" s="145">
        <v>29.688564058469474</v>
      </c>
      <c r="X27" s="145">
        <v>33.438435081685348</v>
      </c>
      <c r="Y27" s="145">
        <v>31.121582115219255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1855.4614078471188</v>
      </c>
      <c r="C29" s="130">
        <f t="shared" si="12"/>
        <v>1838.0140119549467</v>
      </c>
      <c r="D29" s="130">
        <f t="shared" si="12"/>
        <v>1946.332233848899</v>
      </c>
      <c r="E29" s="130">
        <f t="shared" si="12"/>
        <v>2039.2143742100579</v>
      </c>
      <c r="F29" s="130">
        <f t="shared" si="12"/>
        <v>2058.8817004530601</v>
      </c>
      <c r="G29" s="130">
        <f t="shared" si="12"/>
        <v>2026.7098564495768</v>
      </c>
      <c r="H29" s="130">
        <f t="shared" si="12"/>
        <v>2031.3188570491006</v>
      </c>
      <c r="I29" s="130">
        <f t="shared" si="12"/>
        <v>2096.8405816958248</v>
      </c>
      <c r="J29" s="130">
        <f t="shared" si="12"/>
        <v>2060.4244289296093</v>
      </c>
      <c r="K29" s="130">
        <f t="shared" si="12"/>
        <v>2140.6234812590724</v>
      </c>
      <c r="L29" s="130">
        <f t="shared" si="12"/>
        <v>2200.1667870284382</v>
      </c>
      <c r="M29" s="130">
        <f t="shared" si="12"/>
        <v>2149.6714932764489</v>
      </c>
      <c r="N29" s="130">
        <f t="shared" si="12"/>
        <v>2172.6028186903027</v>
      </c>
      <c r="O29" s="130">
        <f t="shared" si="12"/>
        <v>2213.686193694954</v>
      </c>
      <c r="P29" s="130">
        <f t="shared" si="12"/>
        <v>2217.1316688378147</v>
      </c>
      <c r="Q29" s="130">
        <f t="shared" si="12"/>
        <v>2248.5412173951195</v>
      </c>
      <c r="R29" s="130">
        <f t="shared" ref="R29:W29" si="13">SUM(R30:R33)</f>
        <v>2262.223704498871</v>
      </c>
      <c r="S29" s="130">
        <f t="shared" si="13"/>
        <v>2339.4881100478528</v>
      </c>
      <c r="T29" s="130">
        <f t="shared" si="13"/>
        <v>2347.3002069932577</v>
      </c>
      <c r="U29" s="130">
        <f t="shared" si="13"/>
        <v>2377.7595370490899</v>
      </c>
      <c r="V29" s="130">
        <f t="shared" si="13"/>
        <v>2210.6400847025525</v>
      </c>
      <c r="W29" s="130">
        <f t="shared" si="13"/>
        <v>2294.5719274069857</v>
      </c>
      <c r="X29" s="130">
        <f t="shared" ref="X29:Y29" si="14">SUM(X30:X33)</f>
        <v>1952.7903512537991</v>
      </c>
      <c r="Y29" s="130">
        <f t="shared" si="14"/>
        <v>1886.2027609368608</v>
      </c>
      <c r="DA29" s="155" t="s">
        <v>326</v>
      </c>
    </row>
    <row r="30" spans="1:105" ht="12" customHeight="1" x14ac:dyDescent="0.25">
      <c r="A30" s="131" t="s">
        <v>52</v>
      </c>
      <c r="B30" s="132">
        <v>47.918111493547542</v>
      </c>
      <c r="C30" s="132">
        <v>47.426199862150675</v>
      </c>
      <c r="D30" s="132">
        <v>33.80585795200281</v>
      </c>
      <c r="E30" s="132">
        <v>77.692934502223878</v>
      </c>
      <c r="F30" s="132">
        <v>70.18558598987326</v>
      </c>
      <c r="G30" s="132">
        <v>116.14361283688102</v>
      </c>
      <c r="H30" s="132">
        <v>80.662006927279279</v>
      </c>
      <c r="I30" s="132">
        <v>72.551209608048069</v>
      </c>
      <c r="J30" s="132">
        <v>82.696775780371908</v>
      </c>
      <c r="K30" s="132">
        <v>76.107138854934973</v>
      </c>
      <c r="L30" s="132">
        <v>66.098194397046285</v>
      </c>
      <c r="M30" s="132">
        <v>66.545856599141089</v>
      </c>
      <c r="N30" s="132">
        <v>73.47782740367056</v>
      </c>
      <c r="O30" s="132">
        <v>98.264203661724238</v>
      </c>
      <c r="P30" s="132">
        <v>81.359389277509536</v>
      </c>
      <c r="Q30" s="132">
        <v>65.097503451992125</v>
      </c>
      <c r="R30" s="132">
        <v>88.607392340110209</v>
      </c>
      <c r="S30" s="132">
        <v>54.328910497597541</v>
      </c>
      <c r="T30" s="132">
        <v>78.145061261239576</v>
      </c>
      <c r="U30" s="132">
        <v>86.218534168078122</v>
      </c>
      <c r="V30" s="132">
        <v>85.088514622207569</v>
      </c>
      <c r="W30" s="132">
        <v>70.058164985632231</v>
      </c>
      <c r="X30" s="132">
        <v>84.525678461627265</v>
      </c>
      <c r="Y30" s="132">
        <v>20.338390667093023</v>
      </c>
      <c r="DA30" s="156" t="s">
        <v>327</v>
      </c>
    </row>
    <row r="31" spans="1:105" ht="12" customHeight="1" x14ac:dyDescent="0.25">
      <c r="A31" s="131" t="s">
        <v>149</v>
      </c>
      <c r="B31" s="132">
        <v>1165.5852117188017</v>
      </c>
      <c r="C31" s="132">
        <v>1169.0052393713122</v>
      </c>
      <c r="D31" s="132">
        <v>1236.5360427562684</v>
      </c>
      <c r="E31" s="132">
        <v>1236.6767920695133</v>
      </c>
      <c r="F31" s="132">
        <v>1253.5400380084695</v>
      </c>
      <c r="G31" s="132">
        <v>1192.3087314978343</v>
      </c>
      <c r="H31" s="132">
        <v>1217.322877615253</v>
      </c>
      <c r="I31" s="132">
        <v>1197.8950920673842</v>
      </c>
      <c r="J31" s="132">
        <v>1192.1973021469564</v>
      </c>
      <c r="K31" s="132">
        <v>1152.7487435609673</v>
      </c>
      <c r="L31" s="132">
        <v>1105.6470604234639</v>
      </c>
      <c r="M31" s="132">
        <v>1046.0929524170272</v>
      </c>
      <c r="N31" s="132">
        <v>1045.4909882068002</v>
      </c>
      <c r="O31" s="132">
        <v>1063.5195434982329</v>
      </c>
      <c r="P31" s="132">
        <v>1432.9557537115431</v>
      </c>
      <c r="Q31" s="132">
        <v>1343.5176417829687</v>
      </c>
      <c r="R31" s="132">
        <v>1310.4245270697854</v>
      </c>
      <c r="S31" s="132">
        <v>1426.5942474405927</v>
      </c>
      <c r="T31" s="132">
        <v>1636.7670936475099</v>
      </c>
      <c r="U31" s="132">
        <v>1787.6389708739896</v>
      </c>
      <c r="V31" s="132">
        <v>1487.7087441479009</v>
      </c>
      <c r="W31" s="132">
        <v>1491.8143719868401</v>
      </c>
      <c r="X31" s="132">
        <v>1591.4764408676726</v>
      </c>
      <c r="Y31" s="132">
        <v>1688.5781523031421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3.447208362972177</v>
      </c>
      <c r="F32" s="132">
        <v>3.4476336647407697</v>
      </c>
      <c r="G32" s="132">
        <v>3.8791096638419704</v>
      </c>
      <c r="H32" s="132">
        <v>3.8793312641328797</v>
      </c>
      <c r="I32" s="132">
        <v>3.8796841000541078</v>
      </c>
      <c r="J32" s="132">
        <v>3.8803365431799706</v>
      </c>
      <c r="K32" s="132">
        <v>4.7440597725381313</v>
      </c>
      <c r="L32" s="132">
        <v>5.1771227286495209</v>
      </c>
      <c r="M32" s="132">
        <v>5.1790176390334199</v>
      </c>
      <c r="N32" s="132">
        <v>5.6129174208980475</v>
      </c>
      <c r="O32" s="132">
        <v>5.7017700303979844</v>
      </c>
      <c r="P32" s="132">
        <v>5.7048799263189878</v>
      </c>
      <c r="Q32" s="132">
        <v>5.70979724539405</v>
      </c>
      <c r="R32" s="132">
        <v>5.2367845312251342</v>
      </c>
      <c r="S32" s="132">
        <v>5.2401388494976349</v>
      </c>
      <c r="T32" s="132">
        <v>5.1997129498644048</v>
      </c>
      <c r="U32" s="132">
        <v>4.7687554870056523</v>
      </c>
      <c r="V32" s="132">
        <v>3.4692760808831222</v>
      </c>
      <c r="W32" s="132">
        <v>3.476613984768723</v>
      </c>
      <c r="X32" s="132">
        <v>2.6153443995808603</v>
      </c>
      <c r="Y32" s="132">
        <v>2.6277659365568171</v>
      </c>
      <c r="DA32" s="156" t="s">
        <v>329</v>
      </c>
    </row>
    <row r="33" spans="1:105" ht="12" customHeight="1" x14ac:dyDescent="0.25">
      <c r="A33" s="62" t="s">
        <v>24</v>
      </c>
      <c r="B33" s="68">
        <v>641.95808463476965</v>
      </c>
      <c r="C33" s="68">
        <v>621.58257272148376</v>
      </c>
      <c r="D33" s="68">
        <v>675.99033314062785</v>
      </c>
      <c r="E33" s="68">
        <v>721.39743927534857</v>
      </c>
      <c r="F33" s="68">
        <v>731.70844278997674</v>
      </c>
      <c r="G33" s="68">
        <v>714.3784024510195</v>
      </c>
      <c r="H33" s="68">
        <v>729.45464124243551</v>
      </c>
      <c r="I33" s="68">
        <v>822.51459592033825</v>
      </c>
      <c r="J33" s="68">
        <v>781.65001445910127</v>
      </c>
      <c r="K33" s="68">
        <v>907.02353907063207</v>
      </c>
      <c r="L33" s="68">
        <v>1023.2444094792785</v>
      </c>
      <c r="M33" s="68">
        <v>1031.8536666212472</v>
      </c>
      <c r="N33" s="68">
        <v>1048.0210856589338</v>
      </c>
      <c r="O33" s="68">
        <v>1046.200676504599</v>
      </c>
      <c r="P33" s="68">
        <v>697.11164592244302</v>
      </c>
      <c r="Q33" s="68">
        <v>834.21627491476431</v>
      </c>
      <c r="R33" s="68">
        <v>857.95500055775017</v>
      </c>
      <c r="S33" s="68">
        <v>853.32481326016512</v>
      </c>
      <c r="T33" s="68">
        <v>627.18833913464391</v>
      </c>
      <c r="U33" s="68">
        <v>499.13327652001647</v>
      </c>
      <c r="V33" s="68">
        <v>634.37354985156048</v>
      </c>
      <c r="W33" s="68">
        <v>729.22277644974486</v>
      </c>
      <c r="X33" s="68">
        <v>274.17288752491851</v>
      </c>
      <c r="Y33" s="68">
        <v>174.65845203006873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0.60631900181927922</v>
      </c>
      <c r="C3" s="126">
        <f>IF(SER_hh_tes!C3=0,"",SER_hh_tes!C3/SER_hh_fec!C3)</f>
        <v>0.60505457222786763</v>
      </c>
      <c r="D3" s="126">
        <f>IF(SER_hh_tes!D3=0,"",SER_hh_tes!D3/SER_hh_fec!D3)</f>
        <v>0.61982169702060097</v>
      </c>
      <c r="E3" s="126">
        <f>IF(SER_hh_tes!E3=0,"",SER_hh_tes!E3/SER_hh_fec!E3)</f>
        <v>0.66137316472607843</v>
      </c>
      <c r="F3" s="126">
        <f>IF(SER_hh_tes!F3=0,"",SER_hh_tes!F3/SER_hh_fec!F3)</f>
        <v>0.66281249435448231</v>
      </c>
      <c r="G3" s="126">
        <f>IF(SER_hh_tes!G3=0,"",SER_hh_tes!G3/SER_hh_fec!G3)</f>
        <v>0.66516306127801517</v>
      </c>
      <c r="H3" s="126">
        <f>IF(SER_hh_tes!H3=0,"",SER_hh_tes!H3/SER_hh_fec!H3)</f>
        <v>0.6662296381842151</v>
      </c>
      <c r="I3" s="126">
        <f>IF(SER_hh_tes!I3=0,"",SER_hh_tes!I3/SER_hh_fec!I3)</f>
        <v>0.6908907634215472</v>
      </c>
      <c r="J3" s="126">
        <f>IF(SER_hh_tes!J3=0,"",SER_hh_tes!J3/SER_hh_fec!J3)</f>
        <v>0.69224236218799107</v>
      </c>
      <c r="K3" s="126">
        <f>IF(SER_hh_tes!K3=0,"",SER_hh_tes!K3/SER_hh_fec!K3)</f>
        <v>0.70789931116179183</v>
      </c>
      <c r="L3" s="126">
        <f>IF(SER_hh_tes!L3=0,"",SER_hh_tes!L3/SER_hh_fec!L3)</f>
        <v>0.72908549119856536</v>
      </c>
      <c r="M3" s="126">
        <f>IF(SER_hh_tes!M3=0,"",SER_hh_tes!M3/SER_hh_fec!M3)</f>
        <v>0.73544991478538135</v>
      </c>
      <c r="N3" s="126">
        <f>IF(SER_hh_tes!N3=0,"",SER_hh_tes!N3/SER_hh_fec!N3)</f>
        <v>0.75068423804162132</v>
      </c>
      <c r="O3" s="126">
        <f>IF(SER_hh_tes!O3=0,"",SER_hh_tes!O3/SER_hh_fec!O3)</f>
        <v>0.755042452364032</v>
      </c>
      <c r="P3" s="126">
        <f>IF(SER_hh_tes!P3=0,"",SER_hh_tes!P3/SER_hh_fec!P3)</f>
        <v>0.76126969423945223</v>
      </c>
      <c r="Q3" s="126">
        <f>IF(SER_hh_tes!Q3=0,"",SER_hh_tes!Q3/SER_hh_fec!Q3)</f>
        <v>0.77956040536888482</v>
      </c>
      <c r="R3" s="126">
        <f>IF(SER_hh_tes!R3=0,"",SER_hh_tes!R3/SER_hh_fec!R3)</f>
        <v>0.78332578522820662</v>
      </c>
      <c r="S3" s="126">
        <f>IF(SER_hh_tes!S3=0,"",SER_hh_tes!S3/SER_hh_fec!S3)</f>
        <v>0.79325278660691867</v>
      </c>
      <c r="T3" s="126">
        <f>IF(SER_hh_tes!T3=0,"",SER_hh_tes!T3/SER_hh_fec!T3)</f>
        <v>0.83484998253275344</v>
      </c>
      <c r="U3" s="126">
        <f>IF(SER_hh_tes!U3=0,"",SER_hh_tes!U3/SER_hh_fec!U3)</f>
        <v>0.84452165476469765</v>
      </c>
      <c r="V3" s="126">
        <f>IF(SER_hh_tes!V3=0,"",SER_hh_tes!V3/SER_hh_fec!V3)</f>
        <v>0.84974725254601802</v>
      </c>
      <c r="W3" s="126">
        <f>IF(SER_hh_tes!W3=0,"",SER_hh_tes!W3/SER_hh_fec!W3)</f>
        <v>0.84337700554936224</v>
      </c>
      <c r="X3" s="126">
        <f>IF(SER_hh_tes!X3=0,"",SER_hh_tes!X3/SER_hh_fec!X3)</f>
        <v>0.90082400410880736</v>
      </c>
      <c r="Y3" s="126">
        <f>IF(SER_hh_tes!Y3=0,"",SER_hh_tes!Y3/SER_hh_fec!Y3)</f>
        <v>0.91476663428866867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0.55995080399925234</v>
      </c>
      <c r="C4" s="135">
        <f>IF(SER_hh_tes!C4=0,"",SER_hh_tes!C4/SER_hh_fec!C4)</f>
        <v>0.5587563407030427</v>
      </c>
      <c r="D4" s="135">
        <f>IF(SER_hh_tes!D4=0,"",SER_hh_tes!D4/SER_hh_fec!D4)</f>
        <v>0.5736273609966025</v>
      </c>
      <c r="E4" s="135">
        <f>IF(SER_hh_tes!E4=0,"",SER_hh_tes!E4/SER_hh_fec!E4)</f>
        <v>0.62421866065858278</v>
      </c>
      <c r="F4" s="135">
        <f>IF(SER_hh_tes!F4=0,"",SER_hh_tes!F4/SER_hh_fec!F4)</f>
        <v>0.62906460700953615</v>
      </c>
      <c r="G4" s="135">
        <f>IF(SER_hh_tes!G4=0,"",SER_hh_tes!G4/SER_hh_fec!G4)</f>
        <v>0.62556896244813798</v>
      </c>
      <c r="H4" s="135">
        <f>IF(SER_hh_tes!H4=0,"",SER_hh_tes!H4/SER_hh_fec!H4)</f>
        <v>0.62204615685762965</v>
      </c>
      <c r="I4" s="135">
        <f>IF(SER_hh_tes!I4=0,"",SER_hh_tes!I4/SER_hh_fec!I4)</f>
        <v>0.63904507765791108</v>
      </c>
      <c r="J4" s="135">
        <f>IF(SER_hh_tes!J4=0,"",SER_hh_tes!J4/SER_hh_fec!J4)</f>
        <v>0.64276799010174313</v>
      </c>
      <c r="K4" s="135">
        <f>IF(SER_hh_tes!K4=0,"",SER_hh_tes!K4/SER_hh_fec!K4)</f>
        <v>0.65335860473209761</v>
      </c>
      <c r="L4" s="135">
        <f>IF(SER_hh_tes!L4=0,"",SER_hh_tes!L4/SER_hh_fec!L4)</f>
        <v>0.67452992760610442</v>
      </c>
      <c r="M4" s="135">
        <f>IF(SER_hh_tes!M4=0,"",SER_hh_tes!M4/SER_hh_fec!M4)</f>
        <v>0.66790209919268817</v>
      </c>
      <c r="N4" s="135">
        <f>IF(SER_hh_tes!N4=0,"",SER_hh_tes!N4/SER_hh_fec!N4)</f>
        <v>0.68625819324972326</v>
      </c>
      <c r="O4" s="135">
        <f>IF(SER_hh_tes!O4=0,"",SER_hh_tes!O4/SER_hh_fec!O4)</f>
        <v>0.68910382223749622</v>
      </c>
      <c r="P4" s="135">
        <f>IF(SER_hh_tes!P4=0,"",SER_hh_tes!P4/SER_hh_fec!P4)</f>
        <v>0.69331939716817836</v>
      </c>
      <c r="Q4" s="135">
        <f>IF(SER_hh_tes!Q4=0,"",SER_hh_tes!Q4/SER_hh_fec!Q4)</f>
        <v>0.70593410387063937</v>
      </c>
      <c r="R4" s="135">
        <f>IF(SER_hh_tes!R4=0,"",SER_hh_tes!R4/SER_hh_fec!R4)</f>
        <v>0.71335610744989197</v>
      </c>
      <c r="S4" s="135">
        <f>IF(SER_hh_tes!S4=0,"",SER_hh_tes!S4/SER_hh_fec!S4)</f>
        <v>0.725426020794949</v>
      </c>
      <c r="T4" s="135">
        <f>IF(SER_hh_tes!T4=0,"",SER_hh_tes!T4/SER_hh_fec!T4)</f>
        <v>0.75234246399119498</v>
      </c>
      <c r="U4" s="135">
        <f>IF(SER_hh_tes!U4=0,"",SER_hh_tes!U4/SER_hh_fec!U4)</f>
        <v>0.76426740068276955</v>
      </c>
      <c r="V4" s="135">
        <f>IF(SER_hh_tes!V4=0,"",SER_hh_tes!V4/SER_hh_fec!V4)</f>
        <v>0.77811888378089777</v>
      </c>
      <c r="W4" s="135">
        <f>IF(SER_hh_tes!W4=0,"",SER_hh_tes!W4/SER_hh_fec!W4)</f>
        <v>0.78279549022653538</v>
      </c>
      <c r="X4" s="135">
        <f>IF(SER_hh_tes!X4=0,"",SER_hh_tes!X4/SER_hh_fec!X4)</f>
        <v>0.82090467863211891</v>
      </c>
      <c r="Y4" s="135">
        <f>IF(SER_hh_tes!Y4=0,"",SER_hh_tes!Y4/SER_hh_fec!Y4)</f>
        <v>0.83798649319591045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0.59506521953501512</v>
      </c>
      <c r="C5" s="136">
        <f>IF(SER_hh_tes!C5=0,"",SER_hh_tes!C5/SER_hh_fec!C5)</f>
        <v>0.59788555430426382</v>
      </c>
      <c r="D5" s="136">
        <f>IF(SER_hh_tes!D5=0,"",SER_hh_tes!D5/SER_hh_fec!D5)</f>
        <v>0.59813629813702873</v>
      </c>
      <c r="E5" s="136">
        <f>IF(SER_hh_tes!E5=0,"",SER_hh_tes!E5/SER_hh_fec!E5)</f>
        <v>0.59813629813702873</v>
      </c>
      <c r="F5" s="136">
        <f>IF(SER_hh_tes!F5=0,"",SER_hh_tes!F5/SER_hh_fec!F5)</f>
        <v>0.59813629813702884</v>
      </c>
      <c r="G5" s="136">
        <f>IF(SER_hh_tes!G5=0,"",SER_hh_tes!G5/SER_hh_fec!G5)</f>
        <v>0.59813629813702873</v>
      </c>
      <c r="H5" s="136">
        <f>IF(SER_hh_tes!H5=0,"",SER_hh_tes!H5/SER_hh_fec!H5)</f>
        <v>0.59813629813702873</v>
      </c>
      <c r="I5" s="136">
        <f>IF(SER_hh_tes!I5=0,"",SER_hh_tes!I5/SER_hh_fec!I5)</f>
        <v>0.63117283682341685</v>
      </c>
      <c r="J5" s="136">
        <f>IF(SER_hh_tes!J5=0,"",SER_hh_tes!J5/SER_hh_fec!J5)</f>
        <v>0.63116703774042171</v>
      </c>
      <c r="K5" s="136">
        <f>IF(SER_hh_tes!K5=0,"",SER_hh_tes!K5/SER_hh_fec!K5)</f>
        <v>0.63116703774042171</v>
      </c>
      <c r="L5" s="136">
        <f>IF(SER_hh_tes!L5=0,"",SER_hh_tes!L5/SER_hh_fec!L5)</f>
        <v>0.63188695012513518</v>
      </c>
      <c r="M5" s="136">
        <f>IF(SER_hh_tes!M5=0,"",SER_hh_tes!M5/SER_hh_fec!M5)</f>
        <v>0.65142106801737931</v>
      </c>
      <c r="N5" s="136">
        <f>IF(SER_hh_tes!N5=0,"",SER_hh_tes!N5/SER_hh_fec!N5)</f>
        <v>0.69000397540596392</v>
      </c>
      <c r="O5" s="136">
        <f>IF(SER_hh_tes!O5=0,"",SER_hh_tes!O5/SER_hh_fec!O5)</f>
        <v>0.73133602005024034</v>
      </c>
      <c r="P5" s="136">
        <f>IF(SER_hh_tes!P5=0,"",SER_hh_tes!P5/SER_hh_fec!P5)</f>
        <v>0.73132400056161262</v>
      </c>
      <c r="Q5" s="136">
        <f>IF(SER_hh_tes!Q5=0,"",SER_hh_tes!Q5/SER_hh_fec!Q5)</f>
        <v>0.74048546404989157</v>
      </c>
      <c r="R5" s="136">
        <f>IF(SER_hh_tes!R5=0,"",SER_hh_tes!R5/SER_hh_fec!R5)</f>
        <v>0.74061653940965244</v>
      </c>
      <c r="S5" s="136">
        <f>IF(SER_hh_tes!S5=0,"",SER_hh_tes!S5/SER_hh_fec!S5)</f>
        <v>0.74205956989158628</v>
      </c>
      <c r="T5" s="136">
        <f>IF(SER_hh_tes!T5=0,"",SER_hh_tes!T5/SER_hh_fec!T5)</f>
        <v>0.74205956989158639</v>
      </c>
      <c r="U5" s="136">
        <f>IF(SER_hh_tes!U5=0,"",SER_hh_tes!U5/SER_hh_fec!U5)</f>
        <v>0.74205956989158639</v>
      </c>
      <c r="V5" s="136">
        <f>IF(SER_hh_tes!V5=0,"",SER_hh_tes!V5/SER_hh_fec!V5)</f>
        <v>0.74205956989158706</v>
      </c>
      <c r="W5" s="136">
        <f>IF(SER_hh_tes!W5=0,"",SER_hh_tes!W5/SER_hh_fec!W5)</f>
        <v>0.77655258698808283</v>
      </c>
      <c r="X5" s="136">
        <f>IF(SER_hh_tes!X5=0,"",SER_hh_tes!X5/SER_hh_fec!X5)</f>
        <v>0.79969017407214404</v>
      </c>
      <c r="Y5" s="136">
        <f>IF(SER_hh_tes!Y5=0,"",SER_hh_tes!Y5/SER_hh_fec!Y5)</f>
        <v>0.81699184643627243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0.5107977454450322</v>
      </c>
      <c r="C7" s="136">
        <f>IF(SER_hh_tes!C7=0,"",SER_hh_tes!C7/SER_hh_fec!C7)</f>
        <v>0.51143675169274605</v>
      </c>
      <c r="D7" s="136">
        <f>IF(SER_hh_tes!D7=0,"",SER_hh_tes!D7/SER_hh_fec!D7)</f>
        <v>0.51543747546049901</v>
      </c>
      <c r="E7" s="136">
        <f>IF(SER_hh_tes!E7=0,"",SER_hh_tes!E7/SER_hh_fec!E7)</f>
        <v>0.51586950422123012</v>
      </c>
      <c r="F7" s="136">
        <f>IF(SER_hh_tes!F7=0,"",SER_hh_tes!F7/SER_hh_fec!F7)</f>
        <v>0.51715239744649844</v>
      </c>
      <c r="G7" s="136">
        <f>IF(SER_hh_tes!G7=0,"",SER_hh_tes!G7/SER_hh_fec!G7)</f>
        <v>0.52241694145831929</v>
      </c>
      <c r="H7" s="136">
        <f>IF(SER_hh_tes!H7=0,"",SER_hh_tes!H7/SER_hh_fec!H7)</f>
        <v>0.52927462279909976</v>
      </c>
      <c r="I7" s="136">
        <f>IF(SER_hh_tes!I7=0,"",SER_hh_tes!I7/SER_hh_fec!I7)</f>
        <v>0.53660471927701026</v>
      </c>
      <c r="J7" s="136">
        <f>IF(SER_hh_tes!J7=0,"",SER_hh_tes!J7/SER_hh_fec!J7)</f>
        <v>0.54710868997943074</v>
      </c>
      <c r="K7" s="136">
        <f>IF(SER_hh_tes!K7=0,"",SER_hh_tes!K7/SER_hh_fec!K7)</f>
        <v>0.55777740413034205</v>
      </c>
      <c r="L7" s="136">
        <f>IF(SER_hh_tes!L7=0,"",SER_hh_tes!L7/SER_hh_fec!L7)</f>
        <v>0.56927055855040698</v>
      </c>
      <c r="M7" s="136">
        <f>IF(SER_hh_tes!M7=0,"",SER_hh_tes!M7/SER_hh_fec!M7)</f>
        <v>0.58412517986313173</v>
      </c>
      <c r="N7" s="136">
        <f>IF(SER_hh_tes!N7=0,"",SER_hh_tes!N7/SER_hh_fec!N7)</f>
        <v>0.60089587056399141</v>
      </c>
      <c r="O7" s="136">
        <f>IF(SER_hh_tes!O7=0,"",SER_hh_tes!O7/SER_hh_fec!O7)</f>
        <v>0.61783250505726051</v>
      </c>
      <c r="P7" s="136">
        <f>IF(SER_hh_tes!P7=0,"",SER_hh_tes!P7/SER_hh_fec!P7)</f>
        <v>0.62252262538812508</v>
      </c>
      <c r="Q7" s="136">
        <f>IF(SER_hh_tes!Q7=0,"",SER_hh_tes!Q7/SER_hh_fec!Q7)</f>
        <v>0.62514140616487146</v>
      </c>
      <c r="R7" s="136">
        <f>IF(SER_hh_tes!R7=0,"",SER_hh_tes!R7/SER_hh_fec!R7)</f>
        <v>0.62791248948686285</v>
      </c>
      <c r="S7" s="136">
        <f>IF(SER_hh_tes!S7=0,"",SER_hh_tes!S7/SER_hh_fec!S7)</f>
        <v>0.62996899425840169</v>
      </c>
      <c r="T7" s="136">
        <f>IF(SER_hh_tes!T7=0,"",SER_hh_tes!T7/SER_hh_fec!T7)</f>
        <v>0.63247561517819495</v>
      </c>
      <c r="U7" s="136">
        <f>IF(SER_hh_tes!U7=0,"",SER_hh_tes!U7/SER_hh_fec!U7)</f>
        <v>0.63368359244285566</v>
      </c>
      <c r="V7" s="136">
        <f>IF(SER_hh_tes!V7=0,"",SER_hh_tes!V7/SER_hh_fec!V7)</f>
        <v>0.63631627611594765</v>
      </c>
      <c r="W7" s="136">
        <f>IF(SER_hh_tes!W7=0,"",SER_hh_tes!W7/SER_hh_fec!W7)</f>
        <v>0.63956940456751787</v>
      </c>
      <c r="X7" s="136">
        <f>IF(SER_hh_tes!X7=0,"",SER_hh_tes!X7/SER_hh_fec!X7)</f>
        <v>0.64462146202536996</v>
      </c>
      <c r="Y7" s="136">
        <f>IF(SER_hh_tes!Y7=0,"",SER_hh_tes!Y7/SER_hh_fec!Y7)</f>
        <v>0.65058743875930314</v>
      </c>
      <c r="DA7" s="163" t="s">
        <v>334</v>
      </c>
    </row>
    <row r="8" spans="1:105" ht="12" customHeight="1" x14ac:dyDescent="0.25">
      <c r="A8" s="131" t="s">
        <v>73</v>
      </c>
      <c r="B8" s="136">
        <f>IF(SER_hh_tes!B8=0,"",SER_hh_tes!B8/SER_hh_fec!B8)</f>
        <v>1.0589225331185492</v>
      </c>
      <c r="C8" s="136">
        <f>IF(SER_hh_tes!C8=0,"",SER_hh_tes!C8/SER_hh_fec!C8)</f>
        <v>1.1493935961140129</v>
      </c>
      <c r="D8" s="136">
        <f>IF(SER_hh_tes!D8=0,"",SER_hh_tes!D8/SER_hh_fec!D8)</f>
        <v>1.2367626376662209</v>
      </c>
      <c r="E8" s="136">
        <f>IF(SER_hh_tes!E8=0,"",SER_hh_tes!E8/SER_hh_fec!E8)</f>
        <v>1.3073544117939484</v>
      </c>
      <c r="F8" s="136">
        <f>IF(SER_hh_tes!F8=0,"",SER_hh_tes!F8/SER_hh_fec!F8)</f>
        <v>1.3906359831497399</v>
      </c>
      <c r="G8" s="136">
        <f>IF(SER_hh_tes!G8=0,"",SER_hh_tes!G8/SER_hh_fec!G8)</f>
        <v>1.4964503931034296</v>
      </c>
      <c r="H8" s="136">
        <f>IF(SER_hh_tes!H8=0,"",SER_hh_tes!H8/SER_hh_fec!H8)</f>
        <v>1.5907477280854527</v>
      </c>
      <c r="I8" s="136">
        <f>IF(SER_hh_tes!I8=0,"",SER_hh_tes!I8/SER_hh_fec!I8)</f>
        <v>1.6691363590433261</v>
      </c>
      <c r="J8" s="136">
        <f>IF(SER_hh_tes!J8=0,"",SER_hh_tes!J8/SER_hh_fec!J8)</f>
        <v>1.7035316490175827</v>
      </c>
      <c r="K8" s="136">
        <f>IF(SER_hh_tes!K8=0,"",SER_hh_tes!K8/SER_hh_fec!K8)</f>
        <v>1.73332710831659</v>
      </c>
      <c r="L8" s="136">
        <f>IF(SER_hh_tes!L8=0,"",SER_hh_tes!L8/SER_hh_fec!L8)</f>
        <v>1.7632141543622999</v>
      </c>
      <c r="M8" s="136">
        <f>IF(SER_hh_tes!M8=0,"",SER_hh_tes!M8/SER_hh_fec!M8)</f>
        <v>1.8305535122596148</v>
      </c>
      <c r="N8" s="136">
        <f>IF(SER_hh_tes!N8=0,"",SER_hh_tes!N8/SER_hh_fec!N8)</f>
        <v>1.8991296865254539</v>
      </c>
      <c r="O8" s="136">
        <f>IF(SER_hh_tes!O8=0,"",SER_hh_tes!O8/SER_hh_fec!O8)</f>
        <v>1.9712987808973754</v>
      </c>
      <c r="P8" s="136">
        <f>IF(SER_hh_tes!P8=0,"",SER_hh_tes!P8/SER_hh_fec!P8)</f>
        <v>2.0382761015336159</v>
      </c>
      <c r="Q8" s="136">
        <f>IF(SER_hh_tes!Q8=0,"",SER_hh_tes!Q8/SER_hh_fec!Q8)</f>
        <v>2.0924263122883007</v>
      </c>
      <c r="R8" s="136">
        <f>IF(SER_hh_tes!R8=0,"",SER_hh_tes!R8/SER_hh_fec!R8)</f>
        <v>2.1528324773676077</v>
      </c>
      <c r="S8" s="136">
        <f>IF(SER_hh_tes!S8=0,"",SER_hh_tes!S8/SER_hh_fec!S8)</f>
        <v>2.2196604589092801</v>
      </c>
      <c r="T8" s="136">
        <f>IF(SER_hh_tes!T8=0,"",SER_hh_tes!T8/SER_hh_fec!T8)</f>
        <v>2.2904133325136189</v>
      </c>
      <c r="U8" s="136">
        <f>IF(SER_hh_tes!U8=0,"",SER_hh_tes!U8/SER_hh_fec!U8)</f>
        <v>2.3484926380129045</v>
      </c>
      <c r="V8" s="136">
        <f>IF(SER_hh_tes!V8=0,"",SER_hh_tes!V8/SER_hh_fec!V8)</f>
        <v>2.4158240231944896</v>
      </c>
      <c r="W8" s="136">
        <f>IF(SER_hh_tes!W8=0,"",SER_hh_tes!W8/SER_hh_fec!W8)</f>
        <v>2.4615344239206514</v>
      </c>
      <c r="X8" s="136">
        <f>IF(SER_hh_tes!X8=0,"",SER_hh_tes!X8/SER_hh_fec!X8)</f>
        <v>2.5136712875128788</v>
      </c>
      <c r="Y8" s="136">
        <f>IF(SER_hh_tes!Y8=0,"",SER_hh_tes!Y8/SER_hh_fec!Y8)</f>
        <v>2.571238377683907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0.55211842471028705</v>
      </c>
      <c r="C9" s="136">
        <f>IF(SER_hh_tes!C9=0,"",SER_hh_tes!C9/SER_hh_fec!C9)</f>
        <v>0.56146026429609408</v>
      </c>
      <c r="D9" s="136">
        <f>IF(SER_hh_tes!D9=0,"",SER_hh_tes!D9/SER_hh_fec!D9)</f>
        <v>0.5656333895909329</v>
      </c>
      <c r="E9" s="136">
        <f>IF(SER_hh_tes!E9=0,"",SER_hh_tes!E9/SER_hh_fec!E9)</f>
        <v>0.56664999748335387</v>
      </c>
      <c r="F9" s="136">
        <f>IF(SER_hh_tes!F9=0,"",SER_hh_tes!F9/SER_hh_fec!F9)</f>
        <v>0.56664999748335387</v>
      </c>
      <c r="G9" s="136">
        <f>IF(SER_hh_tes!G9=0,"",SER_hh_tes!G9/SER_hh_fec!G9)</f>
        <v>0.56664999748335398</v>
      </c>
      <c r="H9" s="136">
        <f>IF(SER_hh_tes!H9=0,"",SER_hh_tes!H9/SER_hh_fec!H9)</f>
        <v>0.57784808442212121</v>
      </c>
      <c r="I9" s="136">
        <f>IF(SER_hh_tes!I9=0,"",SER_hh_tes!I9/SER_hh_fec!I9)</f>
        <v>0.58725483690469871</v>
      </c>
      <c r="J9" s="136">
        <f>IF(SER_hh_tes!J9=0,"",SER_hh_tes!J9/SER_hh_fec!J9)</f>
        <v>0.59404858933297633</v>
      </c>
      <c r="K9" s="136">
        <f>IF(SER_hh_tes!K9=0,"",SER_hh_tes!K9/SER_hh_fec!K9)</f>
        <v>0.60097240907618821</v>
      </c>
      <c r="L9" s="136">
        <f>IF(SER_hh_tes!L9=0,"",SER_hh_tes!L9/SER_hh_fec!L9)</f>
        <v>0.60983697717457175</v>
      </c>
      <c r="M9" s="136">
        <f>IF(SER_hh_tes!M9=0,"",SER_hh_tes!M9/SER_hh_fec!M9)</f>
        <v>0.62371849715294303</v>
      </c>
      <c r="N9" s="136">
        <f>IF(SER_hh_tes!N9=0,"",SER_hh_tes!N9/SER_hh_fec!N9)</f>
        <v>0.64222088108935771</v>
      </c>
      <c r="O9" s="136">
        <f>IF(SER_hh_tes!O9=0,"",SER_hh_tes!O9/SER_hh_fec!O9)</f>
        <v>0.66418511164969152</v>
      </c>
      <c r="P9" s="136">
        <f>IF(SER_hh_tes!P9=0,"",SER_hh_tes!P9/SER_hh_fec!P9)</f>
        <v>0.67527183652451217</v>
      </c>
      <c r="Q9" s="136">
        <f>IF(SER_hh_tes!Q9=0,"",SER_hh_tes!Q9/SER_hh_fec!Q9)</f>
        <v>0.68755324917873462</v>
      </c>
      <c r="R9" s="136">
        <f>IF(SER_hh_tes!R9=0,"",SER_hh_tes!R9/SER_hh_fec!R9)</f>
        <v>0.70360573130942905</v>
      </c>
      <c r="S9" s="136">
        <f>IF(SER_hh_tes!S9=0,"",SER_hh_tes!S9/SER_hh_fec!S9)</f>
        <v>0.72106457836106974</v>
      </c>
      <c r="T9" s="136">
        <f>IF(SER_hh_tes!T9=0,"",SER_hh_tes!T9/SER_hh_fec!T9)</f>
        <v>0.73636164372196289</v>
      </c>
      <c r="U9" s="136">
        <f>IF(SER_hh_tes!U9=0,"",SER_hh_tes!U9/SER_hh_fec!U9)</f>
        <v>0.74426459750849672</v>
      </c>
      <c r="V9" s="136">
        <f>IF(SER_hh_tes!V9=0,"",SER_hh_tes!V9/SER_hh_fec!V9)</f>
        <v>0.76192548695858353</v>
      </c>
      <c r="W9" s="136">
        <f>IF(SER_hh_tes!W9=0,"",SER_hh_tes!W9/SER_hh_fec!W9)</f>
        <v>0.77440862990239412</v>
      </c>
      <c r="X9" s="136">
        <f>IF(SER_hh_tes!X9=0,"",SER_hh_tes!X9/SER_hh_fec!X9)</f>
        <v>0.79042505378766337</v>
      </c>
      <c r="Y9" s="136">
        <f>IF(SER_hh_tes!Y9=0,"",SER_hh_tes!Y9/SER_hh_fec!Y9)</f>
        <v>0.8047057888815774</v>
      </c>
      <c r="DA9" s="163" t="s">
        <v>336</v>
      </c>
    </row>
    <row r="10" spans="1:105" ht="12" customHeight="1" x14ac:dyDescent="0.25">
      <c r="A10" s="131" t="s">
        <v>128</v>
      </c>
      <c r="B10" s="136" t="str">
        <f>IF(SER_hh_tes!B10=0,"",SER_hh_tes!B10/SER_hh_fec!B10)</f>
        <v/>
      </c>
      <c r="C10" s="136" t="str">
        <f>IF(SER_hh_tes!C10=0,"",SER_hh_tes!C10/SER_hh_fec!C10)</f>
        <v/>
      </c>
      <c r="D10" s="136" t="str">
        <f>IF(SER_hh_tes!D10=0,"",SER_hh_tes!D10/SER_hh_fec!D10)</f>
        <v/>
      </c>
      <c r="E10" s="136">
        <f>IF(SER_hh_tes!E10=0,"",SER_hh_tes!E10/SER_hh_fec!E10)</f>
        <v>0.69326838859348072</v>
      </c>
      <c r="F10" s="136">
        <f>IF(SER_hh_tes!F10=0,"",SER_hh_tes!F10/SER_hh_fec!F10)</f>
        <v>0.69742843519321474</v>
      </c>
      <c r="G10" s="136">
        <f>IF(SER_hh_tes!G10=0,"",SER_hh_tes!G10/SER_hh_fec!G10)</f>
        <v>0.70178247617628808</v>
      </c>
      <c r="H10" s="136">
        <f>IF(SER_hh_tes!H10=0,"",SER_hh_tes!H10/SER_hh_fec!H10)</f>
        <v>0.70614192573291468</v>
      </c>
      <c r="I10" s="136">
        <f>IF(SER_hh_tes!I10=0,"",SER_hh_tes!I10/SER_hh_fec!I10)</f>
        <v>0.71252442268371641</v>
      </c>
      <c r="J10" s="136">
        <f>IF(SER_hh_tes!J10=0,"",SER_hh_tes!J10/SER_hh_fec!J10)</f>
        <v>0.71919139094006324</v>
      </c>
      <c r="K10" s="136">
        <f>IF(SER_hh_tes!K10=0,"",SER_hh_tes!K10/SER_hh_fec!K10)</f>
        <v>0.72473676522430286</v>
      </c>
      <c r="L10" s="136">
        <f>IF(SER_hh_tes!L10=0,"",SER_hh_tes!L10/SER_hh_fec!L10)</f>
        <v>0.72933249563404534</v>
      </c>
      <c r="M10" s="136">
        <f>IF(SER_hh_tes!M10=0,"",SER_hh_tes!M10/SER_hh_fec!M10)</f>
        <v>0.73103258784588587</v>
      </c>
      <c r="N10" s="136">
        <f>IF(SER_hh_tes!N10=0,"",SER_hh_tes!N10/SER_hh_fec!N10)</f>
        <v>0.73283313412720641</v>
      </c>
      <c r="O10" s="136">
        <f>IF(SER_hh_tes!O10=0,"",SER_hh_tes!O10/SER_hh_fec!O10)</f>
        <v>0.7351509596072342</v>
      </c>
      <c r="P10" s="136">
        <f>IF(SER_hh_tes!P10=0,"",SER_hh_tes!P10/SER_hh_fec!P10)</f>
        <v>0.73934999567369564</v>
      </c>
      <c r="Q10" s="136">
        <f>IF(SER_hh_tes!Q10=0,"",SER_hh_tes!Q10/SER_hh_fec!Q10)</f>
        <v>0.74668713815200538</v>
      </c>
      <c r="R10" s="136">
        <f>IF(SER_hh_tes!R10=0,"",SER_hh_tes!R10/SER_hh_fec!R10)</f>
        <v>0.75821976695555626</v>
      </c>
      <c r="S10" s="136">
        <f>IF(SER_hh_tes!S10=0,"",SER_hh_tes!S10/SER_hh_fec!S10)</f>
        <v>0.7760652974682265</v>
      </c>
      <c r="T10" s="136">
        <f>IF(SER_hh_tes!T10=0,"",SER_hh_tes!T10/SER_hh_fec!T10)</f>
        <v>0.79824719179240433</v>
      </c>
      <c r="U10" s="136">
        <f>IF(SER_hh_tes!U10=0,"",SER_hh_tes!U10/SER_hh_fec!U10)</f>
        <v>0.81854335360809238</v>
      </c>
      <c r="V10" s="136">
        <f>IF(SER_hh_tes!V10=0,"",SER_hh_tes!V10/SER_hh_fec!V10)</f>
        <v>0.83472514945231946</v>
      </c>
      <c r="W10" s="136">
        <f>IF(SER_hh_tes!W10=0,"",SER_hh_tes!W10/SER_hh_fec!W10)</f>
        <v>0.84675537044799076</v>
      </c>
      <c r="X10" s="136">
        <f>IF(SER_hh_tes!X10=0,"",SER_hh_tes!X10/SER_hh_fec!X10)</f>
        <v>0.85945018967391607</v>
      </c>
      <c r="Y10" s="136">
        <f>IF(SER_hh_tes!Y10=0,"",SER_hh_tes!Y10/SER_hh_fec!Y10)</f>
        <v>0.87099231636524288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>
        <f>IF(SER_hh_tes!E11=0,"",SER_hh_tes!E11/SER_hh_fec!E11)</f>
        <v>0.87215448858413858</v>
      </c>
      <c r="F11" s="136">
        <f>IF(SER_hh_tes!F11=0,"",SER_hh_tes!F11/SER_hh_fec!F11)</f>
        <v>0.87326553334262569</v>
      </c>
      <c r="G11" s="136">
        <f>IF(SER_hh_tes!G11=0,"",SER_hh_tes!G11/SER_hh_fec!G11)</f>
        <v>0.87461192651429531</v>
      </c>
      <c r="H11" s="136">
        <f>IF(SER_hh_tes!H11=0,"",SER_hh_tes!H11/SER_hh_fec!H11)</f>
        <v>0.87485633131743112</v>
      </c>
      <c r="I11" s="136">
        <f>IF(SER_hh_tes!I11=0,"",SER_hh_tes!I11/SER_hh_fec!I11)</f>
        <v>0.87616075395957815</v>
      </c>
      <c r="J11" s="136">
        <f>IF(SER_hh_tes!J11=0,"",SER_hh_tes!J11/SER_hh_fec!J11)</f>
        <v>0.87619071265956583</v>
      </c>
      <c r="K11" s="136">
        <f>IF(SER_hh_tes!K11=0,"",SER_hh_tes!K11/SER_hh_fec!K11)</f>
        <v>0.8778262088416986</v>
      </c>
      <c r="L11" s="136">
        <f>IF(SER_hh_tes!L11=0,"",SER_hh_tes!L11/SER_hh_fec!L11)</f>
        <v>0.87940294526164176</v>
      </c>
      <c r="M11" s="136">
        <f>IF(SER_hh_tes!M11=0,"",SER_hh_tes!M11/SER_hh_fec!M11)</f>
        <v>0.88385048367051755</v>
      </c>
      <c r="N11" s="136">
        <f>IF(SER_hh_tes!N11=0,"",SER_hh_tes!N11/SER_hh_fec!N11)</f>
        <v>0.88754208797912226</v>
      </c>
      <c r="O11" s="136">
        <f>IF(SER_hh_tes!O11=0,"",SER_hh_tes!O11/SER_hh_fec!O11)</f>
        <v>0.88950331142597105</v>
      </c>
      <c r="P11" s="136">
        <f>IF(SER_hh_tes!P11=0,"",SER_hh_tes!P11/SER_hh_fec!P11)</f>
        <v>0.89701583688623432</v>
      </c>
      <c r="Q11" s="136">
        <f>IF(SER_hh_tes!Q11=0,"",SER_hh_tes!Q11/SER_hh_fec!Q11)</f>
        <v>0.89864404956725885</v>
      </c>
      <c r="R11" s="136">
        <f>IF(SER_hh_tes!R11=0,"",SER_hh_tes!R11/SER_hh_fec!R11)</f>
        <v>0.90417197511014846</v>
      </c>
      <c r="S11" s="136">
        <f>IF(SER_hh_tes!S11=0,"",SER_hh_tes!S11/SER_hh_fec!S11)</f>
        <v>0.91101747872714312</v>
      </c>
      <c r="T11" s="136">
        <f>IF(SER_hh_tes!T11=0,"",SER_hh_tes!T11/SER_hh_fec!T11)</f>
        <v>0.91912975768261373</v>
      </c>
      <c r="U11" s="136">
        <f>IF(SER_hh_tes!U11=0,"",SER_hh_tes!U11/SER_hh_fec!U11)</f>
        <v>0.92637823312407552</v>
      </c>
      <c r="V11" s="136">
        <f>IF(SER_hh_tes!V11=0,"",SER_hh_tes!V11/SER_hh_fec!V11)</f>
        <v>0.93076023452588785</v>
      </c>
      <c r="W11" s="136">
        <f>IF(SER_hh_tes!W11=0,"",SER_hh_tes!W11/SER_hh_fec!W11)</f>
        <v>0.9325996276148788</v>
      </c>
      <c r="X11" s="136">
        <f>IF(SER_hh_tes!X11=0,"",SER_hh_tes!X11/SER_hh_fec!X11)</f>
        <v>0.93496432719571831</v>
      </c>
      <c r="Y11" s="136">
        <f>IF(SER_hh_tes!Y11=0,"",SER_hh_tes!Y11/SER_hh_fec!Y11)</f>
        <v>0.93726408458789934</v>
      </c>
      <c r="DA11" s="163" t="s">
        <v>338</v>
      </c>
    </row>
    <row r="12" spans="1:105" ht="12" customHeight="1" x14ac:dyDescent="0.25">
      <c r="A12" s="131" t="s">
        <v>162</v>
      </c>
      <c r="B12" s="136" t="str">
        <f>IF(SER_hh_tes!B12=0,"",SER_hh_tes!B12/SER_hh_fec!B12)</f>
        <v/>
      </c>
      <c r="C12" s="136" t="str">
        <f>IF(SER_hh_tes!C12=0,"",SER_hh_tes!C12/SER_hh_fec!C12)</f>
        <v/>
      </c>
      <c r="D12" s="136" t="str">
        <f>IF(SER_hh_tes!D12=0,"",SER_hh_tes!D12/SER_hh_fec!D12)</f>
        <v/>
      </c>
      <c r="E12" s="136">
        <f>IF(SER_hh_tes!E12=0,"",SER_hh_tes!E12/SER_hh_fec!E12)</f>
        <v>0.87786579009646493</v>
      </c>
      <c r="F12" s="136">
        <f>IF(SER_hh_tes!F12=0,"",SER_hh_tes!F12/SER_hh_fec!F12)</f>
        <v>0.87825465196903307</v>
      </c>
      <c r="G12" s="136">
        <f>IF(SER_hh_tes!G12=0,"",SER_hh_tes!G12/SER_hh_fec!G12)</f>
        <v>0.87879469166249768</v>
      </c>
      <c r="H12" s="136">
        <f>IF(SER_hh_tes!H12=0,"",SER_hh_tes!H12/SER_hh_fec!H12)</f>
        <v>0.87879725046338242</v>
      </c>
      <c r="I12" s="136">
        <f>IF(SER_hh_tes!I12=0,"",SER_hh_tes!I12/SER_hh_fec!I12)</f>
        <v>0.87901428549949923</v>
      </c>
      <c r="J12" s="136">
        <f>IF(SER_hh_tes!J12=0,"",SER_hh_tes!J12/SER_hh_fec!J12)</f>
        <v>0.87929744233126372</v>
      </c>
      <c r="K12" s="136">
        <f>IF(SER_hh_tes!K12=0,"",SER_hh_tes!K12/SER_hh_fec!K12)</f>
        <v>0.87944827006819748</v>
      </c>
      <c r="L12" s="136">
        <f>IF(SER_hh_tes!L12=0,"",SER_hh_tes!L12/SER_hh_fec!L12)</f>
        <v>0.88051900936146887</v>
      </c>
      <c r="M12" s="136">
        <f>IF(SER_hh_tes!M12=0,"",SER_hh_tes!M12/SER_hh_fec!M12)</f>
        <v>0.8805892384821713</v>
      </c>
      <c r="N12" s="136">
        <f>IF(SER_hh_tes!N12=0,"",SER_hh_tes!N12/SER_hh_fec!N12)</f>
        <v>0.88058923848217185</v>
      </c>
      <c r="O12" s="136">
        <f>IF(SER_hh_tes!O12=0,"",SER_hh_tes!O12/SER_hh_fec!O12)</f>
        <v>0.88058923848217185</v>
      </c>
      <c r="P12" s="136">
        <f>IF(SER_hh_tes!P12=0,"",SER_hh_tes!P12/SER_hh_fec!P12)</f>
        <v>0.88058923848217163</v>
      </c>
      <c r="Q12" s="136">
        <f>IF(SER_hh_tes!Q12=0,"",SER_hh_tes!Q12/SER_hh_fec!Q12)</f>
        <v>0.8805892384821723</v>
      </c>
      <c r="R12" s="136">
        <f>IF(SER_hh_tes!R12=0,"",SER_hh_tes!R12/SER_hh_fec!R12)</f>
        <v>0.88063176331774617</v>
      </c>
      <c r="S12" s="136">
        <f>IF(SER_hh_tes!S12=0,"",SER_hh_tes!S12/SER_hh_fec!S12)</f>
        <v>0.89174486956854693</v>
      </c>
      <c r="T12" s="136">
        <f>IF(SER_hh_tes!T12=0,"",SER_hh_tes!T12/SER_hh_fec!T12)</f>
        <v>0.90590787317204835</v>
      </c>
      <c r="U12" s="136">
        <f>IF(SER_hh_tes!U12=0,"",SER_hh_tes!U12/SER_hh_fec!U12)</f>
        <v>0.92479088528117404</v>
      </c>
      <c r="V12" s="136">
        <f>IF(SER_hh_tes!V12=0,"",SER_hh_tes!V12/SER_hh_fec!V12)</f>
        <v>0.92943141288354902</v>
      </c>
      <c r="W12" s="136">
        <f>IF(SER_hh_tes!W12=0,"",SER_hh_tes!W12/SER_hh_fec!W12)</f>
        <v>0.9345763809987625</v>
      </c>
      <c r="X12" s="136">
        <f>IF(SER_hh_tes!X12=0,"",SER_hh_tes!X12/SER_hh_fec!X12)</f>
        <v>0.93790304329320795</v>
      </c>
      <c r="Y12" s="136">
        <f>IF(SER_hh_tes!Y12=0,"",SER_hh_tes!Y12/SER_hh_fec!Y12)</f>
        <v>0.94020473761443812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1.7097499765354589</v>
      </c>
      <c r="C13" s="136">
        <f>IF(SER_hh_tes!C13=0,"",SER_hh_tes!C13/SER_hh_fec!C13)</f>
        <v>1.9260284459623589</v>
      </c>
      <c r="D13" s="136">
        <f>IF(SER_hh_tes!D13=0,"",SER_hh_tes!D13/SER_hh_fec!D13)</f>
        <v>2.0956872204378061</v>
      </c>
      <c r="E13" s="136">
        <f>IF(SER_hh_tes!E13=0,"",SER_hh_tes!E13/SER_hh_fec!E13)</f>
        <v>2.1650844347354345</v>
      </c>
      <c r="F13" s="136">
        <f>IF(SER_hh_tes!F13=0,"",SER_hh_tes!F13/SER_hh_fec!F13)</f>
        <v>2.2043696530687482</v>
      </c>
      <c r="G13" s="136">
        <f>IF(SER_hh_tes!G13=0,"",SER_hh_tes!G13/SER_hh_fec!G13)</f>
        <v>2.244393892442929</v>
      </c>
      <c r="H13" s="136">
        <f>IF(SER_hh_tes!H13=0,"",SER_hh_tes!H13/SER_hh_fec!H13)</f>
        <v>2.2852786929809357</v>
      </c>
      <c r="I13" s="136">
        <f>IF(SER_hh_tes!I13=0,"",SER_hh_tes!I13/SER_hh_fec!I13)</f>
        <v>2.3469970349958724</v>
      </c>
      <c r="J13" s="136">
        <f>IF(SER_hh_tes!J13=0,"",SER_hh_tes!J13/SER_hh_fec!J13)</f>
        <v>2.3935396933736559</v>
      </c>
      <c r="K13" s="136">
        <f>IF(SER_hh_tes!K13=0,"",SER_hh_tes!K13/SER_hh_fec!K13)</f>
        <v>2.4585668306416846</v>
      </c>
      <c r="L13" s="136">
        <f>IF(SER_hh_tes!L13=0,"",SER_hh_tes!L13/SER_hh_fec!L13)</f>
        <v>2.5140483346224558</v>
      </c>
      <c r="M13" s="136">
        <f>IF(SER_hh_tes!M13=0,"",SER_hh_tes!M13/SER_hh_fec!M13)</f>
        <v>2.5792981418547956</v>
      </c>
      <c r="N13" s="136">
        <f>IF(SER_hh_tes!N13=0,"",SER_hh_tes!N13/SER_hh_fec!N13)</f>
        <v>2.6296999095520088</v>
      </c>
      <c r="O13" s="136">
        <f>IF(SER_hh_tes!O13=0,"",SER_hh_tes!O13/SER_hh_fec!O13)</f>
        <v>2.6846187021286858</v>
      </c>
      <c r="P13" s="136">
        <f>IF(SER_hh_tes!P13=0,"",SER_hh_tes!P13/SER_hh_fec!P13)</f>
        <v>2.7616366257222995</v>
      </c>
      <c r="Q13" s="136">
        <f>IF(SER_hh_tes!Q13=0,"",SER_hh_tes!Q13/SER_hh_fec!Q13)</f>
        <v>2.8309840880176225</v>
      </c>
      <c r="R13" s="136">
        <f>IF(SER_hh_tes!R13=0,"",SER_hh_tes!R13/SER_hh_fec!R13)</f>
        <v>2.9336979490096442</v>
      </c>
      <c r="S13" s="136">
        <f>IF(SER_hh_tes!S13=0,"",SER_hh_tes!S13/SER_hh_fec!S13)</f>
        <v>3.0560598704157953</v>
      </c>
      <c r="T13" s="136">
        <f>IF(SER_hh_tes!T13=0,"",SER_hh_tes!T13/SER_hh_fec!T13)</f>
        <v>3.1847484129813877</v>
      </c>
      <c r="U13" s="136">
        <f>IF(SER_hh_tes!U13=0,"",SER_hh_tes!U13/SER_hh_fec!U13)</f>
        <v>3.2809777753194438</v>
      </c>
      <c r="V13" s="136">
        <f>IF(SER_hh_tes!V13=0,"",SER_hh_tes!V13/SER_hh_fec!V13)</f>
        <v>3.3854819026285092</v>
      </c>
      <c r="W13" s="136">
        <f>IF(SER_hh_tes!W13=0,"",SER_hh_tes!W13/SER_hh_fec!W13)</f>
        <v>3.4603613421510566</v>
      </c>
      <c r="X13" s="136">
        <f>IF(SER_hh_tes!X13=0,"",SER_hh_tes!X13/SER_hh_fec!X13)</f>
        <v>3.5464175745198396</v>
      </c>
      <c r="Y13" s="136">
        <f>IF(SER_hh_tes!Y13=0,"",SER_hh_tes!Y13/SER_hh_fec!Y13)</f>
        <v>3.6319054607803531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0.77316758721163525</v>
      </c>
      <c r="C14" s="137">
        <f>IF(SER_hh_tes!C14=0,"",SER_hh_tes!C14/SER_hh_fec!C14)</f>
        <v>0.77316758721163525</v>
      </c>
      <c r="D14" s="137">
        <f>IF(SER_hh_tes!D14=0,"",SER_hh_tes!D14/SER_hh_fec!D14)</f>
        <v>0.77891825520028879</v>
      </c>
      <c r="E14" s="137">
        <f>IF(SER_hh_tes!E14=0,"",SER_hh_tes!E14/SER_hh_fec!E14)</f>
        <v>0.78490762075626086</v>
      </c>
      <c r="F14" s="137">
        <f>IF(SER_hh_tes!F14=0,"",SER_hh_tes!F14/SER_hh_fec!F14)</f>
        <v>0.79087271518994751</v>
      </c>
      <c r="G14" s="137">
        <f>IF(SER_hh_tes!G14=0,"",SER_hh_tes!G14/SER_hh_fec!G14)</f>
        <v>0.79226449097179408</v>
      </c>
      <c r="H14" s="137">
        <f>IF(SER_hh_tes!H14=0,"",SER_hh_tes!H14/SER_hh_fec!H14)</f>
        <v>0.79303474746029345</v>
      </c>
      <c r="I14" s="137">
        <f>IF(SER_hh_tes!I14=0,"",SER_hh_tes!I14/SER_hh_fec!I14)</f>
        <v>0.79380688428135882</v>
      </c>
      <c r="J14" s="137">
        <f>IF(SER_hh_tes!J14=0,"",SER_hh_tes!J14/SER_hh_fec!J14)</f>
        <v>0.79478202248935281</v>
      </c>
      <c r="K14" s="137">
        <f>IF(SER_hh_tes!K14=0,"",SER_hh_tes!K14/SER_hh_fec!K14)</f>
        <v>0.79876675696463895</v>
      </c>
      <c r="L14" s="137">
        <f>IF(SER_hh_tes!L14=0,"",SER_hh_tes!L14/SER_hh_fec!L14)</f>
        <v>0.80401866198968563</v>
      </c>
      <c r="M14" s="137">
        <f>IF(SER_hh_tes!M14=0,"",SER_hh_tes!M14/SER_hh_fec!M14)</f>
        <v>0.80940756624008059</v>
      </c>
      <c r="N14" s="137">
        <f>IF(SER_hh_tes!N14=0,"",SER_hh_tes!N14/SER_hh_fec!N14)</f>
        <v>0.81925576450694915</v>
      </c>
      <c r="O14" s="137">
        <f>IF(SER_hh_tes!O14=0,"",SER_hh_tes!O14/SER_hh_fec!O14)</f>
        <v>0.83277499062398708</v>
      </c>
      <c r="P14" s="137">
        <f>IF(SER_hh_tes!P14=0,"",SER_hh_tes!P14/SER_hh_fec!P14)</f>
        <v>0.83322604207684225</v>
      </c>
      <c r="Q14" s="137">
        <f>IF(SER_hh_tes!Q14=0,"",SER_hh_tes!Q14/SER_hh_fec!Q14)</f>
        <v>0.8359131345558114</v>
      </c>
      <c r="R14" s="137">
        <f>IF(SER_hh_tes!R14=0,"",SER_hh_tes!R14/SER_hh_fec!R14)</f>
        <v>0.83949517843024468</v>
      </c>
      <c r="S14" s="137">
        <f>IF(SER_hh_tes!S14=0,"",SER_hh_tes!S14/SER_hh_fec!S14)</f>
        <v>0.84212297064672459</v>
      </c>
      <c r="T14" s="137">
        <f>IF(SER_hh_tes!T14=0,"",SER_hh_tes!T14/SER_hh_fec!T14)</f>
        <v>0.84735718306597685</v>
      </c>
      <c r="U14" s="137">
        <f>IF(SER_hh_tes!U14=0,"",SER_hh_tes!U14/SER_hh_fec!U14)</f>
        <v>0.85897617455474728</v>
      </c>
      <c r="V14" s="137">
        <f>IF(SER_hh_tes!V14=0,"",SER_hh_tes!V14/SER_hh_fec!V14)</f>
        <v>0.86394074623595096</v>
      </c>
      <c r="W14" s="137">
        <f>IF(SER_hh_tes!W14=0,"",SER_hh_tes!W14/SER_hh_fec!W14)</f>
        <v>0.86424322459118208</v>
      </c>
      <c r="X14" s="137">
        <f>IF(SER_hh_tes!X14=0,"",SER_hh_tes!X14/SER_hh_fec!X14)</f>
        <v>0.86429512528181907</v>
      </c>
      <c r="Y14" s="137">
        <f>IF(SER_hh_tes!Y14=0,"",SER_hh_tes!Y14/SER_hh_fec!Y14)</f>
        <v>0.86429512528181796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1.9213537030309598</v>
      </c>
      <c r="C16" s="135">
        <f>IF(SER_hh_tes!C16=0,"",SER_hh_tes!C16/SER_hh_fec!C16)</f>
        <v>1.9923857416106454</v>
      </c>
      <c r="D16" s="135">
        <f>IF(SER_hh_tes!D16=0,"",SER_hh_tes!D16/SER_hh_fec!D16)</f>
        <v>2.0779295769637729</v>
      </c>
      <c r="E16" s="135">
        <f>IF(SER_hh_tes!E16=0,"",SER_hh_tes!E16/SER_hh_fec!E16)</f>
        <v>2.166946370357</v>
      </c>
      <c r="F16" s="135">
        <f>IF(SER_hh_tes!F16=0,"",SER_hh_tes!F16/SER_hh_fec!F16)</f>
        <v>2.2742975044445473</v>
      </c>
      <c r="G16" s="135">
        <f>IF(SER_hh_tes!G16=0,"",SER_hh_tes!G16/SER_hh_fec!G16)</f>
        <v>2.3952431839105839</v>
      </c>
      <c r="H16" s="135">
        <f>IF(SER_hh_tes!H16=0,"",SER_hh_tes!H16/SER_hh_fec!H16)</f>
        <v>2.5354378478099613</v>
      </c>
      <c r="I16" s="135">
        <f>IF(SER_hh_tes!I16=0,"",SER_hh_tes!I16/SER_hh_fec!I16)</f>
        <v>2.6969129064324222</v>
      </c>
      <c r="J16" s="135">
        <f>IF(SER_hh_tes!J16=0,"",SER_hh_tes!J16/SER_hh_fec!J16)</f>
        <v>2.8659643985486878</v>
      </c>
      <c r="K16" s="135">
        <f>IF(SER_hh_tes!K16=0,"",SER_hh_tes!K16/SER_hh_fec!K16)</f>
        <v>2.9331001733545432</v>
      </c>
      <c r="L16" s="135">
        <f>IF(SER_hh_tes!L16=0,"",SER_hh_tes!L16/SER_hh_fec!L16)</f>
        <v>3.0178061432157137</v>
      </c>
      <c r="M16" s="135">
        <f>IF(SER_hh_tes!M16=0,"",SER_hh_tes!M16/SER_hh_fec!M16)</f>
        <v>3.1296893799526169</v>
      </c>
      <c r="N16" s="135">
        <f>IF(SER_hh_tes!N16=0,"",SER_hh_tes!N16/SER_hh_fec!N16)</f>
        <v>3.2479603637363326</v>
      </c>
      <c r="O16" s="135">
        <f>IF(SER_hh_tes!O16=0,"",SER_hh_tes!O16/SER_hh_fec!O16)</f>
        <v>3.368279937772499</v>
      </c>
      <c r="P16" s="135">
        <f>IF(SER_hh_tes!P16=0,"",SER_hh_tes!P16/SER_hh_fec!P16)</f>
        <v>3.4917751201257872</v>
      </c>
      <c r="Q16" s="135">
        <f>IF(SER_hh_tes!Q16=0,"",SER_hh_tes!Q16/SER_hh_fec!Q16)</f>
        <v>3.6263891927423484</v>
      </c>
      <c r="R16" s="135">
        <f>IF(SER_hh_tes!R16=0,"",SER_hh_tes!R16/SER_hh_fec!R16)</f>
        <v>3.7679121811645042</v>
      </c>
      <c r="S16" s="135">
        <f>IF(SER_hh_tes!S16=0,"",SER_hh_tes!S16/SER_hh_fec!S16)</f>
        <v>3.9022597881387937</v>
      </c>
      <c r="T16" s="135">
        <f>IF(SER_hh_tes!T16=0,"",SER_hh_tes!T16/SER_hh_fec!T16)</f>
        <v>4.017478448377565</v>
      </c>
      <c r="U16" s="135">
        <f>IF(SER_hh_tes!U16=0,"",SER_hh_tes!U16/SER_hh_fec!U16)</f>
        <v>4.1244012641831498</v>
      </c>
      <c r="V16" s="135">
        <f>IF(SER_hh_tes!V16=0,"",SER_hh_tes!V16/SER_hh_fec!V16)</f>
        <v>4.2318223038419731</v>
      </c>
      <c r="W16" s="135">
        <f>IF(SER_hh_tes!W16=0,"",SER_hh_tes!W16/SER_hh_fec!W16)</f>
        <v>4.3221719813992667</v>
      </c>
      <c r="X16" s="135">
        <f>IF(SER_hh_tes!X16=0,"",SER_hh_tes!X16/SER_hh_fec!X16)</f>
        <v>4.3915893407452806</v>
      </c>
      <c r="Y16" s="135">
        <f>IF(SER_hh_tes!Y16=0,"",SER_hh_tes!Y16/SER_hh_fec!Y16)</f>
        <v>4.4509222345101467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1.1235257946969621</v>
      </c>
      <c r="C17" s="136">
        <f>IF(SER_hh_tes!C17=0,"",SER_hh_tes!C17/SER_hh_fec!C17)</f>
        <v>1.1378176399713487</v>
      </c>
      <c r="D17" s="136">
        <f>IF(SER_hh_tes!D17=0,"",SER_hh_tes!D17/SER_hh_fec!D17)</f>
        <v>1.15564633572694</v>
      </c>
      <c r="E17" s="136">
        <f>IF(SER_hh_tes!E17=0,"",SER_hh_tes!E17/SER_hh_fec!E17)</f>
        <v>1.1694820938169239</v>
      </c>
      <c r="F17" s="136">
        <f>IF(SER_hh_tes!F17=0,"",SER_hh_tes!F17/SER_hh_fec!F17)</f>
        <v>1.2118950887878985</v>
      </c>
      <c r="G17" s="136">
        <f>IF(SER_hh_tes!G17=0,"",SER_hh_tes!G17/SER_hh_fec!G17)</f>
        <v>1.2355572318085037</v>
      </c>
      <c r="H17" s="136">
        <f>IF(SER_hh_tes!H17=0,"",SER_hh_tes!H17/SER_hh_fec!H17)</f>
        <v>1.2502791057484057</v>
      </c>
      <c r="I17" s="136">
        <f>IF(SER_hh_tes!I17=0,"",SER_hh_tes!I17/SER_hh_fec!I17)</f>
        <v>1.2864503305220734</v>
      </c>
      <c r="J17" s="136">
        <f>IF(SER_hh_tes!J17=0,"",SER_hh_tes!J17/SER_hh_fec!J17)</f>
        <v>1.3045931217361233</v>
      </c>
      <c r="K17" s="136">
        <f>IF(SER_hh_tes!K17=0,"",SER_hh_tes!K17/SER_hh_fec!K17)</f>
        <v>1.3179192420258976</v>
      </c>
      <c r="L17" s="136">
        <f>IF(SER_hh_tes!L17=0,"",SER_hh_tes!L17/SER_hh_fec!L17)</f>
        <v>1.3312290947339227</v>
      </c>
      <c r="M17" s="136">
        <f>IF(SER_hh_tes!M17=0,"",SER_hh_tes!M17/SER_hh_fec!M17)</f>
        <v>1.3482071320434945</v>
      </c>
      <c r="N17" s="136">
        <f>IF(SER_hh_tes!N17=0,"",SER_hh_tes!N17/SER_hh_fec!N17)</f>
        <v>1.3635883328869187</v>
      </c>
      <c r="O17" s="136">
        <f>IF(SER_hh_tes!O17=0,"",SER_hh_tes!O17/SER_hh_fec!O17)</f>
        <v>1.3843204099306503</v>
      </c>
      <c r="P17" s="136">
        <f>IF(SER_hh_tes!P17=0,"",SER_hh_tes!P17/SER_hh_fec!P17)</f>
        <v>1.4187279042747558</v>
      </c>
      <c r="Q17" s="136">
        <f>IF(SER_hh_tes!Q17=0,"",SER_hh_tes!Q17/SER_hh_fec!Q17)</f>
        <v>1.4507473216459075</v>
      </c>
      <c r="R17" s="136">
        <f>IF(SER_hh_tes!R17=0,"",SER_hh_tes!R17/SER_hh_fec!R17)</f>
        <v>1.466658140044397</v>
      </c>
      <c r="S17" s="136">
        <f>IF(SER_hh_tes!S17=0,"",SER_hh_tes!S17/SER_hh_fec!S17)</f>
        <v>1.4904611146663731</v>
      </c>
      <c r="T17" s="136">
        <f>IF(SER_hh_tes!T17=0,"",SER_hh_tes!T17/SER_hh_fec!T17)</f>
        <v>1.5142121604265824</v>
      </c>
      <c r="U17" s="136">
        <f>IF(SER_hh_tes!U17=0,"",SER_hh_tes!U17/SER_hh_fec!U17)</f>
        <v>1.5343176407406982</v>
      </c>
      <c r="V17" s="136">
        <f>IF(SER_hh_tes!V17=0,"",SER_hh_tes!V17/SER_hh_fec!V17)</f>
        <v>1.5490786792632067</v>
      </c>
      <c r="W17" s="136">
        <f>IF(SER_hh_tes!W17=0,"",SER_hh_tes!W17/SER_hh_fec!W17)</f>
        <v>1.5657211318662316</v>
      </c>
      <c r="X17" s="136">
        <f>IF(SER_hh_tes!X17=0,"",SER_hh_tes!X17/SER_hh_fec!X17)</f>
        <v>1.5812905871949463</v>
      </c>
      <c r="Y17" s="136">
        <f>IF(SER_hh_tes!Y17=0,"",SER_hh_tes!Y17/SER_hh_fec!Y17)</f>
        <v>1.6013146668865084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1.921741958253858</v>
      </c>
      <c r="C18" s="136">
        <f>IF(SER_hh_tes!C18=0,"",SER_hh_tes!C18/SER_hh_fec!C18)</f>
        <v>1.992818446928555</v>
      </c>
      <c r="D18" s="136">
        <f>IF(SER_hh_tes!D18=0,"",SER_hh_tes!D18/SER_hh_fec!D18)</f>
        <v>2.0784234082629549</v>
      </c>
      <c r="E18" s="136">
        <f>IF(SER_hh_tes!E18=0,"",SER_hh_tes!E18/SER_hh_fec!E18)</f>
        <v>2.1674807600740782</v>
      </c>
      <c r="F18" s="136">
        <f>IF(SER_hh_tes!F18=0,"",SER_hh_tes!F18/SER_hh_fec!F18)</f>
        <v>2.2751424317991988</v>
      </c>
      <c r="G18" s="136">
        <f>IF(SER_hh_tes!G18=0,"",SER_hh_tes!G18/SER_hh_fec!G18)</f>
        <v>2.3963635429429484</v>
      </c>
      <c r="H18" s="136">
        <f>IF(SER_hh_tes!H18=0,"",SER_hh_tes!H18/SER_hh_fec!H18)</f>
        <v>2.5367178968493822</v>
      </c>
      <c r="I18" s="136">
        <f>IF(SER_hh_tes!I18=0,"",SER_hh_tes!I18/SER_hh_fec!I18)</f>
        <v>2.6991622716050432</v>
      </c>
      <c r="J18" s="136">
        <f>IF(SER_hh_tes!J18=0,"",SER_hh_tes!J18/SER_hh_fec!J18)</f>
        <v>2.8690034876237895</v>
      </c>
      <c r="K18" s="136">
        <f>IF(SER_hh_tes!K18=0,"",SER_hh_tes!K18/SER_hh_fec!K18)</f>
        <v>2.936766672254731</v>
      </c>
      <c r="L18" s="136">
        <f>IF(SER_hh_tes!L18=0,"",SER_hh_tes!L18/SER_hh_fec!L18)</f>
        <v>3.022176152351864</v>
      </c>
      <c r="M18" s="136">
        <f>IF(SER_hh_tes!M18=0,"",SER_hh_tes!M18/SER_hh_fec!M18)</f>
        <v>3.1351209647498424</v>
      </c>
      <c r="N18" s="136">
        <f>IF(SER_hh_tes!N18=0,"",SER_hh_tes!N18/SER_hh_fec!N18)</f>
        <v>3.2543426109189135</v>
      </c>
      <c r="O18" s="136">
        <f>IF(SER_hh_tes!O18=0,"",SER_hh_tes!O18/SER_hh_fec!O18)</f>
        <v>3.376100879533011</v>
      </c>
      <c r="P18" s="136">
        <f>IF(SER_hh_tes!P18=0,"",SER_hh_tes!P18/SER_hh_fec!P18)</f>
        <v>3.5032865753944629</v>
      </c>
      <c r="Q18" s="136">
        <f>IF(SER_hh_tes!Q18=0,"",SER_hh_tes!Q18/SER_hh_fec!Q18)</f>
        <v>3.6412364103541131</v>
      </c>
      <c r="R18" s="136">
        <f>IF(SER_hh_tes!R18=0,"",SER_hh_tes!R18/SER_hh_fec!R18)</f>
        <v>3.7900848411591697</v>
      </c>
      <c r="S18" s="136">
        <f>IF(SER_hh_tes!S18=0,"",SER_hh_tes!S18/SER_hh_fec!S18)</f>
        <v>3.9282004980001362</v>
      </c>
      <c r="T18" s="136">
        <f>IF(SER_hh_tes!T18=0,"",SER_hh_tes!T18/SER_hh_fec!T18)</f>
        <v>4.0544318776095398</v>
      </c>
      <c r="U18" s="136">
        <f>IF(SER_hh_tes!U18=0,"",SER_hh_tes!U18/SER_hh_fec!U18)</f>
        <v>4.1677821795656538</v>
      </c>
      <c r="V18" s="136">
        <f>IF(SER_hh_tes!V18=0,"",SER_hh_tes!V18/SER_hh_fec!V18)</f>
        <v>4.2720730577117445</v>
      </c>
      <c r="W18" s="136">
        <f>IF(SER_hh_tes!W18=0,"",SER_hh_tes!W18/SER_hh_fec!W18)</f>
        <v>4.3653997669002749</v>
      </c>
      <c r="X18" s="136">
        <f>IF(SER_hh_tes!X18=0,"",SER_hh_tes!X18/SER_hh_fec!X18)</f>
        <v>4.4439548412332845</v>
      </c>
      <c r="Y18" s="136">
        <f>IF(SER_hh_tes!Y18=0,"",SER_hh_tes!Y18/SER_hh_fec!Y18)</f>
        <v>4.5048845578892465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0.63647639521785038</v>
      </c>
      <c r="C19" s="135">
        <f>IF(SER_hh_tes!C19=0,"",SER_hh_tes!C19/SER_hh_fec!C19)</f>
        <v>0.63770350736330139</v>
      </c>
      <c r="D19" s="135">
        <f>IF(SER_hh_tes!D19=0,"",SER_hh_tes!D19/SER_hh_fec!D19)</f>
        <v>0.64234873371738588</v>
      </c>
      <c r="E19" s="135">
        <f>IF(SER_hh_tes!E19=0,"",SER_hh_tes!E19/SER_hh_fec!E19)</f>
        <v>0.66435313925111383</v>
      </c>
      <c r="F19" s="135">
        <f>IF(SER_hh_tes!F19=0,"",SER_hh_tes!F19/SER_hh_fec!F19)</f>
        <v>0.66674157477906881</v>
      </c>
      <c r="G19" s="135">
        <f>IF(SER_hh_tes!G19=0,"",SER_hh_tes!G19/SER_hh_fec!G19)</f>
        <v>0.67023294468891037</v>
      </c>
      <c r="H19" s="135">
        <f>IF(SER_hh_tes!H19=0,"",SER_hh_tes!H19/SER_hh_fec!H19)</f>
        <v>0.67393878306295096</v>
      </c>
      <c r="I19" s="135">
        <f>IF(SER_hh_tes!I19=0,"",SER_hh_tes!I19/SER_hh_fec!I19)</f>
        <v>0.67983952210314091</v>
      </c>
      <c r="J19" s="135">
        <f>IF(SER_hh_tes!J19=0,"",SER_hh_tes!J19/SER_hh_fec!J19)</f>
        <v>0.68566359660135456</v>
      </c>
      <c r="K19" s="135">
        <f>IF(SER_hh_tes!K19=0,"",SER_hh_tes!K19/SER_hh_fec!K19)</f>
        <v>0.6923166390376535</v>
      </c>
      <c r="L19" s="135">
        <f>IF(SER_hh_tes!L19=0,"",SER_hh_tes!L19/SER_hh_fec!L19)</f>
        <v>0.699784624040103</v>
      </c>
      <c r="M19" s="135">
        <f>IF(SER_hh_tes!M19=0,"",SER_hh_tes!M19/SER_hh_fec!M19)</f>
        <v>0.70601990801906844</v>
      </c>
      <c r="N19" s="135">
        <f>IF(SER_hh_tes!N19=0,"",SER_hh_tes!N19/SER_hh_fec!N19)</f>
        <v>0.71653081992286549</v>
      </c>
      <c r="O19" s="135">
        <f>IF(SER_hh_tes!O19=0,"",SER_hh_tes!O19/SER_hh_fec!O19)</f>
        <v>0.72048905546405173</v>
      </c>
      <c r="P19" s="135">
        <f>IF(SER_hh_tes!P19=0,"",SER_hh_tes!P19/SER_hh_fec!P19)</f>
        <v>0.72538042359468591</v>
      </c>
      <c r="Q19" s="135">
        <f>IF(SER_hh_tes!Q19=0,"",SER_hh_tes!Q19/SER_hh_fec!Q19)</f>
        <v>0.7331584516337345</v>
      </c>
      <c r="R19" s="135">
        <f>IF(SER_hh_tes!R19=0,"",SER_hh_tes!R19/SER_hh_fec!R19)</f>
        <v>0.74171628464213213</v>
      </c>
      <c r="S19" s="135">
        <f>IF(SER_hh_tes!S19=0,"",SER_hh_tes!S19/SER_hh_fec!S19)</f>
        <v>0.75286481537285144</v>
      </c>
      <c r="T19" s="135">
        <f>IF(SER_hh_tes!T19=0,"",SER_hh_tes!T19/SER_hh_fec!T19)</f>
        <v>0.77634906444973439</v>
      </c>
      <c r="U19" s="135">
        <f>IF(SER_hh_tes!U19=0,"",SER_hh_tes!U19/SER_hh_fec!U19)</f>
        <v>0.78621173780400522</v>
      </c>
      <c r="V19" s="135">
        <f>IF(SER_hh_tes!V19=0,"",SER_hh_tes!V19/SER_hh_fec!V19)</f>
        <v>0.79752675807993223</v>
      </c>
      <c r="W19" s="135">
        <f>IF(SER_hh_tes!W19=0,"",SER_hh_tes!W19/SER_hh_fec!W19)</f>
        <v>0.80759627637778886</v>
      </c>
      <c r="X19" s="135">
        <f>IF(SER_hh_tes!X19=0,"",SER_hh_tes!X19/SER_hh_fec!X19)</f>
        <v>0.82429858866223238</v>
      </c>
      <c r="Y19" s="135">
        <f>IF(SER_hh_tes!Y19=0,"",SER_hh_tes!Y19/SER_hh_fec!Y19)</f>
        <v>0.8380428444981699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>
        <f>IF(SER_hh_tes!B21=0,"",SER_hh_tes!B21/SER_hh_fec!B21)</f>
        <v>0.62079852136864566</v>
      </c>
      <c r="C21" s="136">
        <f>IF(SER_hh_tes!C21=0,"",SER_hh_tes!C21/SER_hh_fec!C21)</f>
        <v>0.62672966067017377</v>
      </c>
      <c r="D21" s="136">
        <f>IF(SER_hh_tes!D21=0,"",SER_hh_tes!D21/SER_hh_fec!D21)</f>
        <v>0.63248531131423313</v>
      </c>
      <c r="E21" s="136">
        <f>IF(SER_hh_tes!E21=0,"",SER_hh_tes!E21/SER_hh_fec!E21)</f>
        <v>0.6363369972341083</v>
      </c>
      <c r="F21" s="136">
        <f>IF(SER_hh_tes!F21=0,"",SER_hh_tes!F21/SER_hh_fec!F21)</f>
        <v>0.63974463565248985</v>
      </c>
      <c r="G21" s="136">
        <f>IF(SER_hh_tes!G21=0,"",SER_hh_tes!G21/SER_hh_fec!G21)</f>
        <v>0.64217568473890008</v>
      </c>
      <c r="H21" s="136">
        <f>IF(SER_hh_tes!H21=0,"",SER_hh_tes!H21/SER_hh_fec!H21)</f>
        <v>0.6440499708999593</v>
      </c>
      <c r="I21" s="136">
        <f>IF(SER_hh_tes!I21=0,"",SER_hh_tes!I21/SER_hh_fec!I21)</f>
        <v>0.64550517937895446</v>
      </c>
      <c r="J21" s="136">
        <f>IF(SER_hh_tes!J21=0,"",SER_hh_tes!J21/SER_hh_fec!J21)</f>
        <v>0.6466825828041044</v>
      </c>
      <c r="K21" s="136">
        <f>IF(SER_hh_tes!K21=0,"",SER_hh_tes!K21/SER_hh_fec!K21)</f>
        <v>0.64775721086926985</v>
      </c>
      <c r="L21" s="136">
        <f>IF(SER_hh_tes!L21=0,"",SER_hh_tes!L21/SER_hh_fec!L21)</f>
        <v>0.64895476971392418</v>
      </c>
      <c r="M21" s="136">
        <f>IF(SER_hh_tes!M21=0,"",SER_hh_tes!M21/SER_hh_fec!M21)</f>
        <v>0.65073560802824237</v>
      </c>
      <c r="N21" s="136">
        <f>IF(SER_hh_tes!N21=0,"",SER_hh_tes!N21/SER_hh_fec!N21)</f>
        <v>0.65275761653293329</v>
      </c>
      <c r="O21" s="136">
        <f>IF(SER_hh_tes!O21=0,"",SER_hh_tes!O21/SER_hh_fec!O21)</f>
        <v>0.65555878489293151</v>
      </c>
      <c r="P21" s="136">
        <f>IF(SER_hh_tes!P21=0,"",SER_hh_tes!P21/SER_hh_fec!P21)</f>
        <v>0.65925997972716688</v>
      </c>
      <c r="Q21" s="136">
        <f>IF(SER_hh_tes!Q21=0,"",SER_hh_tes!Q21/SER_hh_fec!Q21)</f>
        <v>0.66685000492414925</v>
      </c>
      <c r="R21" s="136">
        <f>IF(SER_hh_tes!R21=0,"",SER_hh_tes!R21/SER_hh_fec!R21)</f>
        <v>0.68132319450533185</v>
      </c>
      <c r="S21" s="136">
        <f>IF(SER_hh_tes!S21=0,"",SER_hh_tes!S21/SER_hh_fec!S21)</f>
        <v>0.70011588249732515</v>
      </c>
      <c r="T21" s="136">
        <f>IF(SER_hh_tes!T21=0,"",SER_hh_tes!T21/SER_hh_fec!T21)</f>
        <v>0.72639136422900319</v>
      </c>
      <c r="U21" s="136">
        <f>IF(SER_hh_tes!U21=0,"",SER_hh_tes!U21/SER_hh_fec!U21)</f>
        <v>0.74506894246132982</v>
      </c>
      <c r="V21" s="136">
        <f>IF(SER_hh_tes!V21=0,"",SER_hh_tes!V21/SER_hh_fec!V21)</f>
        <v>0.75861677339441314</v>
      </c>
      <c r="W21" s="136">
        <f>IF(SER_hh_tes!W21=0,"",SER_hh_tes!W21/SER_hh_fec!W21)</f>
        <v>0.76968868543335967</v>
      </c>
      <c r="X21" s="136">
        <f>IF(SER_hh_tes!X21=0,"",SER_hh_tes!X21/SER_hh_fec!X21)</f>
        <v>0.7763522299851231</v>
      </c>
      <c r="Y21" s="136">
        <f>IF(SER_hh_tes!Y21=0,"",SER_hh_tes!Y21/SER_hh_fec!Y21)</f>
        <v>0.78094612005204733</v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0.58503357726245109</v>
      </c>
      <c r="C22" s="136">
        <f>IF(SER_hh_tes!C22=0,"",SER_hh_tes!C22/SER_hh_fec!C22)</f>
        <v>0.58728572838022686</v>
      </c>
      <c r="D22" s="136">
        <f>IF(SER_hh_tes!D22=0,"",SER_hh_tes!D22/SER_hh_fec!D22)</f>
        <v>0.58747155625777814</v>
      </c>
      <c r="E22" s="136">
        <f>IF(SER_hh_tes!E22=0,"",SER_hh_tes!E22/SER_hh_fec!E22)</f>
        <v>0.59164683647106464</v>
      </c>
      <c r="F22" s="136">
        <f>IF(SER_hh_tes!F22=0,"",SER_hh_tes!F22/SER_hh_fec!F22)</f>
        <v>0.59395725549830369</v>
      </c>
      <c r="G22" s="136">
        <f>IF(SER_hh_tes!G22=0,"",SER_hh_tes!G22/SER_hh_fec!G22)</f>
        <v>0.59647513913583727</v>
      </c>
      <c r="H22" s="136">
        <f>IF(SER_hh_tes!H22=0,"",SER_hh_tes!H22/SER_hh_fec!H22)</f>
        <v>0.59888636620598512</v>
      </c>
      <c r="I22" s="136">
        <f>IF(SER_hh_tes!I22=0,"",SER_hh_tes!I22/SER_hh_fec!I22)</f>
        <v>0.60192292023678395</v>
      </c>
      <c r="J22" s="136">
        <f>IF(SER_hh_tes!J22=0,"",SER_hh_tes!J22/SER_hh_fec!J22)</f>
        <v>0.60510057759165836</v>
      </c>
      <c r="K22" s="136">
        <f>IF(SER_hh_tes!K22=0,"",SER_hh_tes!K22/SER_hh_fec!K22)</f>
        <v>0.60858122529557845</v>
      </c>
      <c r="L22" s="136">
        <f>IF(SER_hh_tes!L22=0,"",SER_hh_tes!L22/SER_hh_fec!L22)</f>
        <v>0.61275878924827143</v>
      </c>
      <c r="M22" s="136">
        <f>IF(SER_hh_tes!M22=0,"",SER_hh_tes!M22/SER_hh_fec!M22)</f>
        <v>0.61844224281767046</v>
      </c>
      <c r="N22" s="136">
        <f>IF(SER_hh_tes!N22=0,"",SER_hh_tes!N22/SER_hh_fec!N22)</f>
        <v>0.62607148060976436</v>
      </c>
      <c r="O22" s="136">
        <f>IF(SER_hh_tes!O22=0,"",SER_hh_tes!O22/SER_hh_fec!O22)</f>
        <v>0.63536814590060231</v>
      </c>
      <c r="P22" s="136">
        <f>IF(SER_hh_tes!P22=0,"",SER_hh_tes!P22/SER_hh_fec!P22)</f>
        <v>0.63910331158193989</v>
      </c>
      <c r="Q22" s="136">
        <f>IF(SER_hh_tes!Q22=0,"",SER_hh_tes!Q22/SER_hh_fec!Q22)</f>
        <v>0.64474824674791498</v>
      </c>
      <c r="R22" s="136">
        <f>IF(SER_hh_tes!R22=0,"",SER_hh_tes!R22/SER_hh_fec!R22)</f>
        <v>0.64892387863310352</v>
      </c>
      <c r="S22" s="136">
        <f>IF(SER_hh_tes!S22=0,"",SER_hh_tes!S22/SER_hh_fec!S22)</f>
        <v>0.65206974433511589</v>
      </c>
      <c r="T22" s="136">
        <f>IF(SER_hh_tes!T22=0,"",SER_hh_tes!T22/SER_hh_fec!T22)</f>
        <v>0.65524826616689369</v>
      </c>
      <c r="U22" s="136">
        <f>IF(SER_hh_tes!U22=0,"",SER_hh_tes!U22/SER_hh_fec!U22)</f>
        <v>0.65865211400431267</v>
      </c>
      <c r="V22" s="136">
        <f>IF(SER_hh_tes!V22=0,"",SER_hh_tes!V22/SER_hh_fec!V22)</f>
        <v>0.6620124911733325</v>
      </c>
      <c r="W22" s="136">
        <f>IF(SER_hh_tes!W22=0,"",SER_hh_tes!W22/SER_hh_fec!W22)</f>
        <v>0.67378893463535638</v>
      </c>
      <c r="X22" s="136">
        <f>IF(SER_hh_tes!X22=0,"",SER_hh_tes!X22/SER_hh_fec!X22)</f>
        <v>0.6864735539989123</v>
      </c>
      <c r="Y22" s="136">
        <f>IF(SER_hh_tes!Y22=0,"",SER_hh_tes!Y22/SER_hh_fec!Y22)</f>
        <v>0.70393303045054012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0.59817773937314533</v>
      </c>
      <c r="C23" s="136">
        <f>IF(SER_hh_tes!C23=0,"",SER_hh_tes!C23/SER_hh_fec!C23)</f>
        <v>0.60391743489601435</v>
      </c>
      <c r="D23" s="136">
        <f>IF(SER_hh_tes!D23=0,"",SER_hh_tes!D23/SER_hh_fec!D23)</f>
        <v>0.6135403145655649</v>
      </c>
      <c r="E23" s="136">
        <f>IF(SER_hh_tes!E23=0,"",SER_hh_tes!E23/SER_hh_fec!E23)</f>
        <v>0.61469350532825273</v>
      </c>
      <c r="F23" s="136">
        <f>IF(SER_hh_tes!F23=0,"",SER_hh_tes!F23/SER_hh_fec!F23)</f>
        <v>0.61494449798806694</v>
      </c>
      <c r="G23" s="136">
        <f>IF(SER_hh_tes!G23=0,"",SER_hh_tes!G23/SER_hh_fec!G23)</f>
        <v>0.62080617582424058</v>
      </c>
      <c r="H23" s="136">
        <f>IF(SER_hh_tes!H23=0,"",SER_hh_tes!H23/SER_hh_fec!H23)</f>
        <v>0.63026503536699785</v>
      </c>
      <c r="I23" s="136">
        <f>IF(SER_hh_tes!I23=0,"",SER_hh_tes!I23/SER_hh_fec!I23)</f>
        <v>0.63957170013915177</v>
      </c>
      <c r="J23" s="136">
        <f>IF(SER_hh_tes!J23=0,"",SER_hh_tes!J23/SER_hh_fec!J23)</f>
        <v>0.64800630925374902</v>
      </c>
      <c r="K23" s="136">
        <f>IF(SER_hh_tes!K23=0,"",SER_hh_tes!K23/SER_hh_fec!K23)</f>
        <v>0.65538649201328747</v>
      </c>
      <c r="L23" s="136">
        <f>IF(SER_hh_tes!L23=0,"",SER_hh_tes!L23/SER_hh_fec!L23)</f>
        <v>0.66673617121156203</v>
      </c>
      <c r="M23" s="136">
        <f>IF(SER_hh_tes!M23=0,"",SER_hh_tes!M23/SER_hh_fec!M23)</f>
        <v>0.67885040509189398</v>
      </c>
      <c r="N23" s="136">
        <f>IF(SER_hh_tes!N23=0,"",SER_hh_tes!N23/SER_hh_fec!N23)</f>
        <v>0.69520634141141868</v>
      </c>
      <c r="O23" s="136">
        <f>IF(SER_hh_tes!O23=0,"",SER_hh_tes!O23/SER_hh_fec!O23)</f>
        <v>0.71311226042081344</v>
      </c>
      <c r="P23" s="136">
        <f>IF(SER_hh_tes!P23=0,"",SER_hh_tes!P23/SER_hh_fec!P23)</f>
        <v>0.72261527640900802</v>
      </c>
      <c r="Q23" s="136">
        <f>IF(SER_hh_tes!Q23=0,"",SER_hh_tes!Q23/SER_hh_fec!Q23)</f>
        <v>0.7334221781626048</v>
      </c>
      <c r="R23" s="136">
        <f>IF(SER_hh_tes!R23=0,"",SER_hh_tes!R23/SER_hh_fec!R23)</f>
        <v>0.74869231096337141</v>
      </c>
      <c r="S23" s="136">
        <f>IF(SER_hh_tes!S23=0,"",SER_hh_tes!S23/SER_hh_fec!S23)</f>
        <v>0.76755896725630646</v>
      </c>
      <c r="T23" s="136">
        <f>IF(SER_hh_tes!T23=0,"",SER_hh_tes!T23/SER_hh_fec!T23)</f>
        <v>0.78831529357683339</v>
      </c>
      <c r="U23" s="136">
        <f>IF(SER_hh_tes!U23=0,"",SER_hh_tes!U23/SER_hh_fec!U23)</f>
        <v>0.80061578050368853</v>
      </c>
      <c r="V23" s="136">
        <f>IF(SER_hh_tes!V23=0,"",SER_hh_tes!V23/SER_hh_fec!V23)</f>
        <v>0.81338789894063324</v>
      </c>
      <c r="W23" s="136">
        <f>IF(SER_hh_tes!W23=0,"",SER_hh_tes!W23/SER_hh_fec!W23)</f>
        <v>0.8254747921548129</v>
      </c>
      <c r="X23" s="136">
        <f>IF(SER_hh_tes!X23=0,"",SER_hh_tes!X23/SER_hh_fec!X23)</f>
        <v>0.83873781796074387</v>
      </c>
      <c r="Y23" s="136">
        <f>IF(SER_hh_tes!Y23=0,"",SER_hh_tes!Y23/SER_hh_fec!Y23)</f>
        <v>0.84972259722978905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 t="str">
        <f>IF(SER_hh_tes!B25=0,"",SER_hh_tes!B25/SER_hh_fec!B25)</f>
        <v/>
      </c>
      <c r="C25" s="136" t="str">
        <f>IF(SER_hh_tes!C25=0,"",SER_hh_tes!C25/SER_hh_fec!C25)</f>
        <v/>
      </c>
      <c r="D25" s="136" t="str">
        <f>IF(SER_hh_tes!D25=0,"",SER_hh_tes!D25/SER_hh_fec!D25)</f>
        <v/>
      </c>
      <c r="E25" s="136">
        <f>IF(SER_hh_tes!E25=0,"",SER_hh_tes!E25/SER_hh_fec!E25)</f>
        <v>0.89653344881178998</v>
      </c>
      <c r="F25" s="136">
        <f>IF(SER_hh_tes!F25=0,"",SER_hh_tes!F25/SER_hh_fec!F25)</f>
        <v>0.89691487397681569</v>
      </c>
      <c r="G25" s="136">
        <f>IF(SER_hh_tes!G25=0,"",SER_hh_tes!G25/SER_hh_fec!G25)</f>
        <v>0.89723787548698708</v>
      </c>
      <c r="H25" s="136">
        <f>IF(SER_hh_tes!H25=0,"",SER_hh_tes!H25/SER_hh_fec!H25)</f>
        <v>0.897286831669448</v>
      </c>
      <c r="I25" s="136">
        <f>IF(SER_hh_tes!I25=0,"",SER_hh_tes!I25/SER_hh_fec!I25)</f>
        <v>0.89730937711424796</v>
      </c>
      <c r="J25" s="136">
        <f>IF(SER_hh_tes!J25=0,"",SER_hh_tes!J25/SER_hh_fec!J25)</f>
        <v>0.89736357835216962</v>
      </c>
      <c r="K25" s="136">
        <f>IF(SER_hh_tes!K25=0,"",SER_hh_tes!K25/SER_hh_fec!K25)</f>
        <v>0.89748528590109422</v>
      </c>
      <c r="L25" s="136">
        <f>IF(SER_hh_tes!L25=0,"",SER_hh_tes!L25/SER_hh_fec!L25)</f>
        <v>0.89780724951875113</v>
      </c>
      <c r="M25" s="136">
        <f>IF(SER_hh_tes!M25=0,"",SER_hh_tes!M25/SER_hh_fec!M25)</f>
        <v>0.89793089071963139</v>
      </c>
      <c r="N25" s="136">
        <f>IF(SER_hh_tes!N25=0,"",SER_hh_tes!N25/SER_hh_fec!N25)</f>
        <v>0.89797420810275497</v>
      </c>
      <c r="O25" s="136">
        <f>IF(SER_hh_tes!O25=0,"",SER_hh_tes!O25/SER_hh_fec!O25)</f>
        <v>0.89801949720067487</v>
      </c>
      <c r="P25" s="136">
        <f>IF(SER_hh_tes!P25=0,"",SER_hh_tes!P25/SER_hh_fec!P25)</f>
        <v>0.89801954873595291</v>
      </c>
      <c r="Q25" s="136">
        <f>IF(SER_hh_tes!Q25=0,"",SER_hh_tes!Q25/SER_hh_fec!Q25)</f>
        <v>0.89802469928338191</v>
      </c>
      <c r="R25" s="136">
        <f>IF(SER_hh_tes!R25=0,"",SER_hh_tes!R25/SER_hh_fec!R25)</f>
        <v>0.89812614140885449</v>
      </c>
      <c r="S25" s="136">
        <f>IF(SER_hh_tes!S25=0,"",SER_hh_tes!S25/SER_hh_fec!S25)</f>
        <v>0.90383447239005965</v>
      </c>
      <c r="T25" s="136">
        <f>IF(SER_hh_tes!T25=0,"",SER_hh_tes!T25/SER_hh_fec!T25)</f>
        <v>0.91591649635392558</v>
      </c>
      <c r="U25" s="136">
        <f>IF(SER_hh_tes!U25=0,"",SER_hh_tes!U25/SER_hh_fec!U25)</f>
        <v>0.93392586458118032</v>
      </c>
      <c r="V25" s="136">
        <f>IF(SER_hh_tes!V25=0,"",SER_hh_tes!V25/SER_hh_fec!V25)</f>
        <v>0.9405512003708234</v>
      </c>
      <c r="W25" s="136">
        <f>IF(SER_hh_tes!W25=0,"",SER_hh_tes!W25/SER_hh_fec!W25)</f>
        <v>0.94385364398612259</v>
      </c>
      <c r="X25" s="136">
        <f>IF(SER_hh_tes!X25=0,"",SER_hh_tes!X25/SER_hh_fec!X25)</f>
        <v>0.94515590827009588</v>
      </c>
      <c r="Y25" s="136">
        <f>IF(SER_hh_tes!Y25=0,"",SER_hh_tes!Y25/SER_hh_fec!Y25)</f>
        <v>0.94619987601098787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0.74233430508812248</v>
      </c>
      <c r="C26" s="137">
        <f>IF(SER_hh_tes!C26=0,"",SER_hh_tes!C26/SER_hh_fec!C26)</f>
        <v>0.74380273452107726</v>
      </c>
      <c r="D26" s="137">
        <f>IF(SER_hh_tes!D26=0,"",SER_hh_tes!D26/SER_hh_fec!D26)</f>
        <v>0.74525811728380498</v>
      </c>
      <c r="E26" s="137">
        <f>IF(SER_hh_tes!E26=0,"",SER_hh_tes!E26/SER_hh_fec!E26)</f>
        <v>0.74551882241957435</v>
      </c>
      <c r="F26" s="137">
        <f>IF(SER_hh_tes!F26=0,"",SER_hh_tes!F26/SER_hh_fec!F26)</f>
        <v>0.74554234572157541</v>
      </c>
      <c r="G26" s="137">
        <f>IF(SER_hh_tes!G26=0,"",SER_hh_tes!G26/SER_hh_fec!G26)</f>
        <v>0.74555112683724101</v>
      </c>
      <c r="H26" s="137">
        <f>IF(SER_hh_tes!H26=0,"",SER_hh_tes!H26/SER_hh_fec!H26)</f>
        <v>0.74693457103136618</v>
      </c>
      <c r="I26" s="137">
        <f>IF(SER_hh_tes!I26=0,"",SER_hh_tes!I26/SER_hh_fec!I26)</f>
        <v>0.75146894658913044</v>
      </c>
      <c r="J26" s="137">
        <f>IF(SER_hh_tes!J26=0,"",SER_hh_tes!J26/SER_hh_fec!J26)</f>
        <v>0.7571352858646595</v>
      </c>
      <c r="K26" s="137">
        <f>IF(SER_hh_tes!K26=0,"",SER_hh_tes!K26/SER_hh_fec!K26)</f>
        <v>0.76265020144373175</v>
      </c>
      <c r="L26" s="137">
        <f>IF(SER_hh_tes!L26=0,"",SER_hh_tes!L26/SER_hh_fec!L26)</f>
        <v>0.76793301445651874</v>
      </c>
      <c r="M26" s="137">
        <f>IF(SER_hh_tes!M26=0,"",SER_hh_tes!M26/SER_hh_fec!M26)</f>
        <v>0.77346494429254997</v>
      </c>
      <c r="N26" s="137">
        <f>IF(SER_hh_tes!N26=0,"",SER_hh_tes!N26/SER_hh_fec!N26)</f>
        <v>0.78082168009292152</v>
      </c>
      <c r="O26" s="137">
        <f>IF(SER_hh_tes!O26=0,"",SER_hh_tes!O26/SER_hh_fec!O26)</f>
        <v>0.78885997377564177</v>
      </c>
      <c r="P26" s="137">
        <f>IF(SER_hh_tes!P26=0,"",SER_hh_tes!P26/SER_hh_fec!P26)</f>
        <v>0.79146273987424776</v>
      </c>
      <c r="Q26" s="137">
        <f>IF(SER_hh_tes!Q26=0,"",SER_hh_tes!Q26/SER_hh_fec!Q26)</f>
        <v>0.7960961252061407</v>
      </c>
      <c r="R26" s="137">
        <f>IF(SER_hh_tes!R26=0,"",SER_hh_tes!R26/SER_hh_fec!R26)</f>
        <v>0.80174643833747039</v>
      </c>
      <c r="S26" s="137">
        <f>IF(SER_hh_tes!S26=0,"",SER_hh_tes!S26/SER_hh_fec!S26)</f>
        <v>0.80541611721687578</v>
      </c>
      <c r="T26" s="137">
        <f>IF(SER_hh_tes!T26=0,"",SER_hh_tes!T26/SER_hh_fec!T26)</f>
        <v>0.80694500670541103</v>
      </c>
      <c r="U26" s="137">
        <f>IF(SER_hh_tes!U26=0,"",SER_hh_tes!U26/SER_hh_fec!U26)</f>
        <v>0.80775725530190745</v>
      </c>
      <c r="V26" s="137">
        <f>IF(SER_hh_tes!V26=0,"",SER_hh_tes!V26/SER_hh_fec!V26)</f>
        <v>0.80885189070286645</v>
      </c>
      <c r="W26" s="137">
        <f>IF(SER_hh_tes!W26=0,"",SER_hh_tes!W26/SER_hh_fec!W26)</f>
        <v>0.8101000435066108</v>
      </c>
      <c r="X26" s="137">
        <f>IF(SER_hh_tes!X26=0,"",SER_hh_tes!X26/SER_hh_fec!X26)</f>
        <v>0.81264895088537414</v>
      </c>
      <c r="Y26" s="137">
        <f>IF(SER_hh_tes!Y26=0,"",SER_hh_tes!Y26/SER_hh_fec!Y26)</f>
        <v>0.81529439671000092</v>
      </c>
      <c r="DA26" s="164" t="s">
        <v>351</v>
      </c>
    </row>
    <row r="27" spans="1:105" ht="12" customHeight="1" x14ac:dyDescent="0.25">
      <c r="A27" s="144" t="s">
        <v>26</v>
      </c>
      <c r="B27" s="153">
        <f>IF(SER_hh_tes!B27=0,"",SER_hh_tes!B27/SER_hh_fec!B27)</f>
        <v>1</v>
      </c>
      <c r="C27" s="153">
        <f>IF(SER_hh_tes!C27=0,"",SER_hh_tes!C27/SER_hh_fec!C27)</f>
        <v>1</v>
      </c>
      <c r="D27" s="153">
        <f>IF(SER_hh_tes!D27=0,"",SER_hh_tes!D27/SER_hh_fec!D27)</f>
        <v>1</v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0.63680988422602902</v>
      </c>
      <c r="C29" s="135">
        <f>IF(SER_hh_tes!C29=0,"",SER_hh_tes!C29/SER_hh_fec!C29)</f>
        <v>0.63646330474352086</v>
      </c>
      <c r="D29" s="135">
        <f>IF(SER_hh_tes!D29=0,"",SER_hh_tes!D29/SER_hh_fec!D29)</f>
        <v>0.63896084072854509</v>
      </c>
      <c r="E29" s="135">
        <f>IF(SER_hh_tes!E29=0,"",SER_hh_tes!E29/SER_hh_fec!E29)</f>
        <v>0.64077160016158274</v>
      </c>
      <c r="F29" s="135">
        <f>IF(SER_hh_tes!F29=0,"",SER_hh_tes!F29/SER_hh_fec!F29)</f>
        <v>0.64214068576560768</v>
      </c>
      <c r="G29" s="135">
        <f>IF(SER_hh_tes!G29=0,"",SER_hh_tes!G29/SER_hh_fec!G29)</f>
        <v>0.64260723970896916</v>
      </c>
      <c r="H29" s="135">
        <f>IF(SER_hh_tes!H29=0,"",SER_hh_tes!H29/SER_hh_fec!H29)</f>
        <v>0.64509392384762221</v>
      </c>
      <c r="I29" s="135">
        <f>IF(SER_hh_tes!I29=0,"",SER_hh_tes!I29/SER_hh_fec!I29)</f>
        <v>0.65211968741079196</v>
      </c>
      <c r="J29" s="135">
        <f>IF(SER_hh_tes!J29=0,"",SER_hh_tes!J29/SER_hh_fec!J29)</f>
        <v>0.65119332459859636</v>
      </c>
      <c r="K29" s="135">
        <f>IF(SER_hh_tes!K29=0,"",SER_hh_tes!K29/SER_hh_fec!K29)</f>
        <v>0.66040443076319355</v>
      </c>
      <c r="L29" s="135">
        <f>IF(SER_hh_tes!L29=0,"",SER_hh_tes!L29/SER_hh_fec!L29)</f>
        <v>0.66901489690456351</v>
      </c>
      <c r="M29" s="135">
        <f>IF(SER_hh_tes!M29=0,"",SER_hh_tes!M29/SER_hh_fec!M29)</f>
        <v>0.67213169902170777</v>
      </c>
      <c r="N29" s="135">
        <f>IF(SER_hh_tes!N29=0,"",SER_hh_tes!N29/SER_hh_fec!N29)</f>
        <v>0.67308296447674676</v>
      </c>
      <c r="O29" s="135">
        <f>IF(SER_hh_tes!O29=0,"",SER_hh_tes!O29/SER_hh_fec!O29)</f>
        <v>0.67185623804833228</v>
      </c>
      <c r="P29" s="135">
        <f>IF(SER_hh_tes!P29=0,"",SER_hh_tes!P29/SER_hh_fec!P29)</f>
        <v>0.6445100038737277</v>
      </c>
      <c r="Q29" s="135">
        <f>IF(SER_hh_tes!Q29=0,"",SER_hh_tes!Q29/SER_hh_fec!Q29)</f>
        <v>0.65537955952870108</v>
      </c>
      <c r="R29" s="135">
        <f>IF(SER_hh_tes!R29=0,"",SER_hh_tes!R29/SER_hh_fec!R29)</f>
        <v>0.65844370859128931</v>
      </c>
      <c r="S29" s="135">
        <f>IF(SER_hh_tes!S29=0,"",SER_hh_tes!S29/SER_hh_fec!S29)</f>
        <v>0.65831668137579125</v>
      </c>
      <c r="T29" s="135">
        <f>IF(SER_hh_tes!T29=0,"",SER_hh_tes!T29/SER_hh_fec!T29)</f>
        <v>0.64365369345719214</v>
      </c>
      <c r="U29" s="135">
        <f>IF(SER_hh_tes!U29=0,"",SER_hh_tes!U29/SER_hh_fec!U29)</f>
        <v>0.63704428539842184</v>
      </c>
      <c r="V29" s="135">
        <f>IF(SER_hh_tes!V29=0,"",SER_hh_tes!V29/SER_hh_fec!V29)</f>
        <v>0.65418243429862444</v>
      </c>
      <c r="W29" s="135">
        <f>IF(SER_hh_tes!W29=0,"",SER_hh_tes!W29/SER_hh_fec!W29)</f>
        <v>0.66348413127387151</v>
      </c>
      <c r="X29" s="135">
        <f>IF(SER_hh_tes!X29=0,"",SER_hh_tes!X29/SER_hh_fec!X29)</f>
        <v>0.63430907152697946</v>
      </c>
      <c r="Y29" s="135">
        <f>IF(SER_hh_tes!Y29=0,"",SER_hh_tes!Y29/SER_hh_fec!Y29)</f>
        <v>0.62929851061301822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0.57810777292374493</v>
      </c>
      <c r="C30" s="136">
        <f>IF(SER_hh_tes!C30=0,"",SER_hh_tes!C30/SER_hh_fec!C30)</f>
        <v>0.57960410525957717</v>
      </c>
      <c r="D30" s="136">
        <f>IF(SER_hh_tes!D30=0,"",SER_hh_tes!D30/SER_hh_fec!D30)</f>
        <v>0.58005488171198938</v>
      </c>
      <c r="E30" s="136">
        <f>IF(SER_hh_tes!E30=0,"",SER_hh_tes!E30/SER_hh_fec!E30)</f>
        <v>0.58177452566657817</v>
      </c>
      <c r="F30" s="136">
        <f>IF(SER_hh_tes!F30=0,"",SER_hh_tes!F30/SER_hh_fec!F30)</f>
        <v>0.58269362490203969</v>
      </c>
      <c r="G30" s="136">
        <f>IF(SER_hh_tes!G30=0,"",SER_hh_tes!G30/SER_hh_fec!G30)</f>
        <v>0.58324417138905071</v>
      </c>
      <c r="H30" s="136">
        <f>IF(SER_hh_tes!H30=0,"",SER_hh_tes!H30/SER_hh_fec!H30)</f>
        <v>0.58392860095926602</v>
      </c>
      <c r="I30" s="136">
        <f>IF(SER_hh_tes!I30=0,"",SER_hh_tes!I30/SER_hh_fec!I30)</f>
        <v>0.58430916994189175</v>
      </c>
      <c r="J30" s="136">
        <f>IF(SER_hh_tes!J30=0,"",SER_hh_tes!J30/SER_hh_fec!J30)</f>
        <v>0.58478399631890743</v>
      </c>
      <c r="K30" s="136">
        <f>IF(SER_hh_tes!K30=0,"",SER_hh_tes!K30/SER_hh_fec!K30)</f>
        <v>0.5854719148693559</v>
      </c>
      <c r="L30" s="136">
        <f>IF(SER_hh_tes!L30=0,"",SER_hh_tes!L30/SER_hh_fec!L30)</f>
        <v>0.58601253007474152</v>
      </c>
      <c r="M30" s="136">
        <f>IF(SER_hh_tes!M30=0,"",SER_hh_tes!M30/SER_hh_fec!M30)</f>
        <v>0.58627770302363291</v>
      </c>
      <c r="N30" s="136">
        <f>IF(SER_hh_tes!N30=0,"",SER_hh_tes!N30/SER_hh_fec!N30)</f>
        <v>0.58657848161335424</v>
      </c>
      <c r="O30" s="136">
        <f>IF(SER_hh_tes!O30=0,"",SER_hh_tes!O30/SER_hh_fec!O30)</f>
        <v>0.58699815488804452</v>
      </c>
      <c r="P30" s="136">
        <f>IF(SER_hh_tes!P30=0,"",SER_hh_tes!P30/SER_hh_fec!P30)</f>
        <v>0.58734389218027305</v>
      </c>
      <c r="Q30" s="136">
        <f>IF(SER_hh_tes!Q30=0,"",SER_hh_tes!Q30/SER_hh_fec!Q30)</f>
        <v>0.58779025341593583</v>
      </c>
      <c r="R30" s="136">
        <f>IF(SER_hh_tes!R30=0,"",SER_hh_tes!R30/SER_hh_fec!R30)</f>
        <v>0.58856589134713289</v>
      </c>
      <c r="S30" s="136">
        <f>IF(SER_hh_tes!S30=0,"",SER_hh_tes!S30/SER_hh_fec!S30)</f>
        <v>0.58896761881226656</v>
      </c>
      <c r="T30" s="136">
        <f>IF(SER_hh_tes!T30=0,"",SER_hh_tes!T30/SER_hh_fec!T30)</f>
        <v>0.59143548517424538</v>
      </c>
      <c r="U30" s="136">
        <f>IF(SER_hh_tes!U30=0,"",SER_hh_tes!U30/SER_hh_fec!U30)</f>
        <v>0.59339966139686029</v>
      </c>
      <c r="V30" s="136">
        <f>IF(SER_hh_tes!V30=0,"",SER_hh_tes!V30/SER_hh_fec!V30)</f>
        <v>0.59522644042642603</v>
      </c>
      <c r="W30" s="136">
        <f>IF(SER_hh_tes!W30=0,"",SER_hh_tes!W30/SER_hh_fec!W30)</f>
        <v>0.59739381518045098</v>
      </c>
      <c r="X30" s="136">
        <f>IF(SER_hh_tes!X30=0,"",SER_hh_tes!X30/SER_hh_fec!X30)</f>
        <v>0.59882068952062195</v>
      </c>
      <c r="Y30" s="136">
        <f>IF(SER_hh_tes!Y30=0,"",SER_hh_tes!Y30/SER_hh_fec!Y30)</f>
        <v>0.5999216557111593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0.58525721686812759</v>
      </c>
      <c r="C31" s="136">
        <f>IF(SER_hh_tes!C31=0,"",SER_hh_tes!C31/SER_hh_fec!C31)</f>
        <v>0.58605567527410252</v>
      </c>
      <c r="D31" s="136">
        <f>IF(SER_hh_tes!D31=0,"",SER_hh_tes!D31/SER_hh_fec!D31)</f>
        <v>0.58672722258896637</v>
      </c>
      <c r="E31" s="136">
        <f>IF(SER_hh_tes!E31=0,"",SER_hh_tes!E31/SER_hh_fec!E31)</f>
        <v>0.58737729932796556</v>
      </c>
      <c r="F31" s="136">
        <f>IF(SER_hh_tes!F31=0,"",SER_hh_tes!F31/SER_hh_fec!F31)</f>
        <v>0.58819912016111675</v>
      </c>
      <c r="G31" s="136">
        <f>IF(SER_hh_tes!G31=0,"",SER_hh_tes!G31/SER_hh_fec!G31)</f>
        <v>0.58901686813437304</v>
      </c>
      <c r="H31" s="136">
        <f>IF(SER_hh_tes!H31=0,"",SER_hh_tes!H31/SER_hh_fec!H31)</f>
        <v>0.59005230365907468</v>
      </c>
      <c r="I31" s="136">
        <f>IF(SER_hh_tes!I31=0,"",SER_hh_tes!I31/SER_hh_fec!I31)</f>
        <v>0.59106685398985825</v>
      </c>
      <c r="J31" s="136">
        <f>IF(SER_hh_tes!J31=0,"",SER_hh_tes!J31/SER_hh_fec!J31)</f>
        <v>0.59210927971122951</v>
      </c>
      <c r="K31" s="136">
        <f>IF(SER_hh_tes!K31=0,"",SER_hh_tes!K31/SER_hh_fec!K31)</f>
        <v>0.59315149425907232</v>
      </c>
      <c r="L31" s="136">
        <f>IF(SER_hh_tes!L31=0,"",SER_hh_tes!L31/SER_hh_fec!L31)</f>
        <v>0.59397477429803247</v>
      </c>
      <c r="M31" s="136">
        <f>IF(SER_hh_tes!M31=0,"",SER_hh_tes!M31/SER_hh_fec!M31)</f>
        <v>0.59414299201360932</v>
      </c>
      <c r="N31" s="136">
        <f>IF(SER_hh_tes!N31=0,"",SER_hh_tes!N31/SER_hh_fec!N31)</f>
        <v>0.59456555147663481</v>
      </c>
      <c r="O31" s="136">
        <f>IF(SER_hh_tes!O31=0,"",SER_hh_tes!O31/SER_hh_fec!O31)</f>
        <v>0.59512973955929882</v>
      </c>
      <c r="P31" s="136">
        <f>IF(SER_hh_tes!P31=0,"",SER_hh_tes!P31/SER_hh_fec!P31)</f>
        <v>0.59568678601293346</v>
      </c>
      <c r="Q31" s="136">
        <f>IF(SER_hh_tes!Q31=0,"",SER_hh_tes!Q31/SER_hh_fec!Q31)</f>
        <v>0.59621231377758854</v>
      </c>
      <c r="R31" s="136">
        <f>IF(SER_hh_tes!R31=0,"",SER_hh_tes!R31/SER_hh_fec!R31)</f>
        <v>0.59718597297266518</v>
      </c>
      <c r="S31" s="136">
        <f>IF(SER_hh_tes!S31=0,"",SER_hh_tes!S31/SER_hh_fec!S31)</f>
        <v>0.5988273172531362</v>
      </c>
      <c r="T31" s="136">
        <f>IF(SER_hh_tes!T31=0,"",SER_hh_tes!T31/SER_hh_fec!T31)</f>
        <v>0.601324845222726</v>
      </c>
      <c r="U31" s="136">
        <f>IF(SER_hh_tes!U31=0,"",SER_hh_tes!U31/SER_hh_fec!U31)</f>
        <v>0.60371869575491921</v>
      </c>
      <c r="V31" s="136">
        <f>IF(SER_hh_tes!V31=0,"",SER_hh_tes!V31/SER_hh_fec!V31)</f>
        <v>0.60613553536923082</v>
      </c>
      <c r="W31" s="136">
        <f>IF(SER_hh_tes!W31=0,"",SER_hh_tes!W31/SER_hh_fec!W31)</f>
        <v>0.60910650713784287</v>
      </c>
      <c r="X31" s="136">
        <f>IF(SER_hh_tes!X31=0,"",SER_hh_tes!X31/SER_hh_fec!X31)</f>
        <v>0.61166685301014745</v>
      </c>
      <c r="Y31" s="136">
        <f>IF(SER_hh_tes!Y31=0,"",SER_hh_tes!Y31/SER_hh_fec!Y31)</f>
        <v>0.61425413614680224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>
        <f>IF(SER_hh_tes!E32=0,"",SER_hh_tes!E32/SER_hh_fec!E32)</f>
        <v>0.5637810361458343</v>
      </c>
      <c r="F32" s="136">
        <f>IF(SER_hh_tes!F32=0,"",SER_hh_tes!F32/SER_hh_fec!F32)</f>
        <v>0.56385059302970231</v>
      </c>
      <c r="G32" s="136">
        <f>IF(SER_hh_tes!G32=0,"",SER_hh_tes!G32/SER_hh_fec!G32)</f>
        <v>0.56392556738102628</v>
      </c>
      <c r="H32" s="136">
        <f>IF(SER_hh_tes!H32=0,"",SER_hh_tes!H32/SER_hh_fec!H32)</f>
        <v>0.56395778252331719</v>
      </c>
      <c r="I32" s="136">
        <f>IF(SER_hh_tes!I32=0,"",SER_hh_tes!I32/SER_hh_fec!I32)</f>
        <v>0.56400907604536621</v>
      </c>
      <c r="J32" s="136">
        <f>IF(SER_hh_tes!J32=0,"",SER_hh_tes!J32/SER_hh_fec!J32)</f>
        <v>0.56410392496478801</v>
      </c>
      <c r="K32" s="136">
        <f>IF(SER_hh_tes!K32=0,"",SER_hh_tes!K32/SER_hh_fec!K32)</f>
        <v>0.56427228164432131</v>
      </c>
      <c r="L32" s="136">
        <f>IF(SER_hh_tes!L32=0,"",SER_hh_tes!L32/SER_hh_fec!L32)</f>
        <v>0.56446639855057235</v>
      </c>
      <c r="M32" s="136">
        <f>IF(SER_hh_tes!M32=0,"",SER_hh_tes!M32/SER_hh_fec!M32)</f>
        <v>0.56467300235273055</v>
      </c>
      <c r="N32" s="136">
        <f>IF(SER_hh_tes!N32=0,"",SER_hh_tes!N32/SER_hh_fec!N32)</f>
        <v>0.56490558348371667</v>
      </c>
      <c r="O32" s="136">
        <f>IF(SER_hh_tes!O32=0,"",SER_hh_tes!O32/SER_hh_fec!O32)</f>
        <v>0.56515379173697422</v>
      </c>
      <c r="P32" s="136">
        <f>IF(SER_hh_tes!P32=0,"",SER_hh_tes!P32/SER_hh_fec!P32)</f>
        <v>0.56546204153699942</v>
      </c>
      <c r="Q32" s="136">
        <f>IF(SER_hh_tes!Q32=0,"",SER_hh_tes!Q32/SER_hh_fec!Q32)</f>
        <v>0.5659494413278775</v>
      </c>
      <c r="R32" s="136">
        <f>IF(SER_hh_tes!R32=0,"",SER_hh_tes!R32/SER_hh_fec!R32)</f>
        <v>0.56625309000675328</v>
      </c>
      <c r="S32" s="136">
        <f>IF(SER_hh_tes!S32=0,"",SER_hh_tes!S32/SER_hh_fec!S32)</f>
        <v>0.5666157921716678</v>
      </c>
      <c r="T32" s="136">
        <f>IF(SER_hh_tes!T32=0,"",SER_hh_tes!T32/SER_hh_fec!T32)</f>
        <v>0.56692943091043158</v>
      </c>
      <c r="U32" s="136">
        <f>IF(SER_hh_tes!U32=0,"",SER_hh_tes!U32/SER_hh_fec!U32)</f>
        <v>0.56720966182449706</v>
      </c>
      <c r="V32" s="136">
        <f>IF(SER_hh_tes!V32=0,"",SER_hh_tes!V32/SER_hh_fec!V32)</f>
        <v>0.56739014808778854</v>
      </c>
      <c r="W32" s="136">
        <f>IF(SER_hh_tes!W32=0,"",SER_hh_tes!W32/SER_hh_fec!W32)</f>
        <v>0.56859024121247437</v>
      </c>
      <c r="X32" s="136">
        <f>IF(SER_hh_tes!X32=0,"",SER_hh_tes!X32/SER_hh_fec!X32)</f>
        <v>0.57031210258424314</v>
      </c>
      <c r="Y32" s="136">
        <f>IF(SER_hh_tes!Y32=0,"",SER_hh_tes!Y32/SER_hh_fec!Y32)</f>
        <v>0.57302079092036495</v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0.764949471676587</v>
      </c>
      <c r="C33" s="149">
        <f>IF(SER_hh_tes!C33=0,"",SER_hh_tes!C33/SER_hh_fec!C33)</f>
        <v>0.76612764817506684</v>
      </c>
      <c r="D33" s="149">
        <f>IF(SER_hh_tes!D33=0,"",SER_hh_tes!D33/SER_hh_fec!D33)</f>
        <v>0.76791322426227282</v>
      </c>
      <c r="E33" s="149">
        <f>IF(SER_hh_tes!E33=0,"",SER_hh_tes!E33/SER_hh_fec!E33)</f>
        <v>0.76960968222426607</v>
      </c>
      <c r="F33" s="149">
        <f>IF(SER_hh_tes!F33=0,"",SER_hh_tes!F33/SER_hh_fec!F33)</f>
        <v>0.77138507889199581</v>
      </c>
      <c r="G33" s="149">
        <f>IF(SER_hh_tes!G33=0,"",SER_hh_tes!G33/SER_hh_fec!G33)</f>
        <v>0.77343982510899756</v>
      </c>
      <c r="H33" s="149">
        <f>IF(SER_hh_tes!H33=0,"",SER_hh_tes!H33/SER_hh_fec!H33)</f>
        <v>0.77537112680770326</v>
      </c>
      <c r="I33" s="149">
        <f>IF(SER_hh_tes!I33=0,"",SER_hh_tes!I33/SER_hh_fec!I33)</f>
        <v>0.77763541747183573</v>
      </c>
      <c r="J33" s="149">
        <f>IF(SER_hh_tes!J33=0,"",SER_hh_tes!J33/SER_hh_fec!J33)</f>
        <v>0.77985108765655686</v>
      </c>
      <c r="K33" s="149">
        <f>IF(SER_hh_tes!K33=0,"",SER_hh_tes!K33/SER_hh_fec!K33)</f>
        <v>0.78221900464802263</v>
      </c>
      <c r="L33" s="149">
        <f>IF(SER_hh_tes!L33=0,"",SER_hh_tes!L33/SER_hh_fec!L33)</f>
        <v>0.78393688111444693</v>
      </c>
      <c r="M33" s="149">
        <f>IF(SER_hh_tes!M33=0,"",SER_hh_tes!M33/SER_hh_fec!M33)</f>
        <v>0.78471760551524317</v>
      </c>
      <c r="N33" s="149">
        <f>IF(SER_hh_tes!N33=0,"",SER_hh_tes!N33/SER_hh_fec!N33)</f>
        <v>0.78549035494010633</v>
      </c>
      <c r="O33" s="149">
        <f>IF(SER_hh_tes!O33=0,"",SER_hh_tes!O33/SER_hh_fec!O33)</f>
        <v>0.78640860736875162</v>
      </c>
      <c r="P33" s="149">
        <f>IF(SER_hh_tes!P33=0,"",SER_hh_tes!P33/SER_hh_fec!P33)</f>
        <v>0.78692793559453988</v>
      </c>
      <c r="Q33" s="149">
        <f>IF(SER_hh_tes!Q33=0,"",SER_hh_tes!Q33/SER_hh_fec!Q33)</f>
        <v>0.78949957429603757</v>
      </c>
      <c r="R33" s="149">
        <f>IF(SER_hh_tes!R33=0,"",SER_hh_tes!R33/SER_hh_fec!R33)</f>
        <v>0.79323887844421848</v>
      </c>
      <c r="S33" s="149">
        <f>IF(SER_hh_tes!S33=0,"",SER_hh_tes!S33/SER_hh_fec!S33)</f>
        <v>0.79754676139029868</v>
      </c>
      <c r="T33" s="149">
        <f>IF(SER_hh_tes!T33=0,"",SER_hh_tes!T33/SER_hh_fec!T33)</f>
        <v>0.8003906882177052</v>
      </c>
      <c r="U33" s="149">
        <f>IF(SER_hh_tes!U33=0,"",SER_hh_tes!U33/SER_hh_fec!U33)</f>
        <v>0.80800221058219901</v>
      </c>
      <c r="V33" s="149">
        <f>IF(SER_hh_tes!V33=0,"",SER_hh_tes!V33/SER_hh_fec!V33)</f>
        <v>0.81774560828605958</v>
      </c>
      <c r="W33" s="149">
        <f>IF(SER_hh_tes!W33=0,"",SER_hh_tes!W33/SER_hh_fec!W33)</f>
        <v>0.8232407798546133</v>
      </c>
      <c r="X33" s="149">
        <f>IF(SER_hh_tes!X33=0,"",SER_hh_tes!X33/SER_hh_fec!X33)</f>
        <v>0.82831005555589832</v>
      </c>
      <c r="Y33" s="149">
        <f>IF(SER_hh_tes!Y33=0,"",SER_hh_tes!Y33/SER_hh_fec!Y33)</f>
        <v>0.83236868852242885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44627.685300757897</v>
      </c>
      <c r="C3" s="125">
        <f t="shared" si="0"/>
        <v>48307.757595617397</v>
      </c>
      <c r="D3" s="125">
        <f t="shared" si="0"/>
        <v>45800.51054022726</v>
      </c>
      <c r="E3" s="125">
        <f t="shared" si="0"/>
        <v>44214.6842781503</v>
      </c>
      <c r="F3" s="125">
        <f t="shared" si="0"/>
        <v>42309.965845296712</v>
      </c>
      <c r="G3" s="125">
        <f t="shared" si="0"/>
        <v>41438.160657298038</v>
      </c>
      <c r="H3" s="125">
        <f t="shared" si="0"/>
        <v>47266.630221002488</v>
      </c>
      <c r="I3" s="125">
        <f t="shared" si="0"/>
        <v>36748.071104710878</v>
      </c>
      <c r="J3" s="125">
        <f t="shared" si="0"/>
        <v>41768.360996642376</v>
      </c>
      <c r="K3" s="125">
        <f t="shared" si="0"/>
        <v>38387.590152055978</v>
      </c>
      <c r="L3" s="125">
        <f t="shared" si="0"/>
        <v>38651.388670313114</v>
      </c>
      <c r="M3" s="125">
        <f t="shared" si="0"/>
        <v>34625.150559198381</v>
      </c>
      <c r="N3" s="125">
        <f t="shared" si="0"/>
        <v>35937.856975804963</v>
      </c>
      <c r="O3" s="125">
        <f t="shared" si="0"/>
        <v>40554.780318017401</v>
      </c>
      <c r="P3" s="125">
        <f t="shared" si="0"/>
        <v>37180.279116564947</v>
      </c>
      <c r="Q3" s="125">
        <f t="shared" si="0"/>
        <v>38653.289159315034</v>
      </c>
      <c r="R3" s="125">
        <f t="shared" ref="R3:W3" si="1">SUM(R4,R16,R19,R29)</f>
        <v>37842.785433295758</v>
      </c>
      <c r="S3" s="125">
        <f t="shared" si="1"/>
        <v>37856.927041684605</v>
      </c>
      <c r="T3" s="125">
        <f t="shared" si="1"/>
        <v>34591.653362544042</v>
      </c>
      <c r="U3" s="125">
        <f t="shared" si="1"/>
        <v>32512.471867238015</v>
      </c>
      <c r="V3" s="125">
        <f t="shared" si="1"/>
        <v>31783.454539620179</v>
      </c>
      <c r="W3" s="125">
        <f t="shared" si="1"/>
        <v>37228.261021524027</v>
      </c>
      <c r="X3" s="125">
        <f t="shared" ref="X3:Y3" si="2">SUM(X4,X16,X19,X29)</f>
        <v>26843.520591719647</v>
      </c>
      <c r="Y3" s="125">
        <f t="shared" si="2"/>
        <v>25183.841237700639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34526.973662560762</v>
      </c>
      <c r="C4" s="130">
        <f t="shared" si="3"/>
        <v>38203.54251751797</v>
      </c>
      <c r="D4" s="130">
        <f t="shared" si="3"/>
        <v>35439.111366440455</v>
      </c>
      <c r="E4" s="130">
        <f t="shared" si="3"/>
        <v>33812.804183561871</v>
      </c>
      <c r="F4" s="130">
        <f t="shared" si="3"/>
        <v>31978.426832561789</v>
      </c>
      <c r="G4" s="130">
        <f t="shared" si="3"/>
        <v>31138.061742672173</v>
      </c>
      <c r="H4" s="130">
        <f t="shared" si="3"/>
        <v>36856.539511550982</v>
      </c>
      <c r="I4" s="130">
        <f t="shared" si="3"/>
        <v>26543.683595598497</v>
      </c>
      <c r="J4" s="130">
        <f t="shared" si="3"/>
        <v>31554.873987530751</v>
      </c>
      <c r="K4" s="130">
        <f t="shared" si="3"/>
        <v>28483.256460642053</v>
      </c>
      <c r="L4" s="130">
        <f t="shared" si="3"/>
        <v>29085.444874801582</v>
      </c>
      <c r="M4" s="130">
        <f t="shared" si="3"/>
        <v>25327.094652429852</v>
      </c>
      <c r="N4" s="130">
        <f t="shared" si="3"/>
        <v>26655.584897097066</v>
      </c>
      <c r="O4" s="130">
        <f t="shared" si="3"/>
        <v>30927.025313218175</v>
      </c>
      <c r="P4" s="130">
        <f t="shared" si="3"/>
        <v>26043.672903561899</v>
      </c>
      <c r="Q4" s="130">
        <f t="shared" si="3"/>
        <v>27964.971119713067</v>
      </c>
      <c r="R4" s="130">
        <f t="shared" ref="R4:W4" si="4">SUM(R5:R15)</f>
        <v>27304.29694271562</v>
      </c>
      <c r="S4" s="130">
        <f t="shared" si="4"/>
        <v>26993.380901974866</v>
      </c>
      <c r="T4" s="130">
        <f t="shared" si="4"/>
        <v>22479.940622669794</v>
      </c>
      <c r="U4" s="130">
        <f t="shared" si="4"/>
        <v>20011.808859864555</v>
      </c>
      <c r="V4" s="130">
        <f t="shared" si="4"/>
        <v>20922.42008032947</v>
      </c>
      <c r="W4" s="130">
        <f t="shared" si="4"/>
        <v>26548.621109492011</v>
      </c>
      <c r="X4" s="130">
        <f t="shared" ref="X4:Y4" si="5">SUM(X5:X15)</f>
        <v>15836.597659729669</v>
      </c>
      <c r="Y4" s="130">
        <f t="shared" si="5"/>
        <v>14240.965971737322</v>
      </c>
      <c r="DA4" s="155" t="s">
        <v>234</v>
      </c>
    </row>
    <row r="5" spans="1:105" ht="12" customHeight="1" x14ac:dyDescent="0.25">
      <c r="A5" s="131" t="s">
        <v>29</v>
      </c>
      <c r="B5" s="132">
        <v>1361.1227087543764</v>
      </c>
      <c r="C5" s="132">
        <v>1433.9817183382711</v>
      </c>
      <c r="D5" s="132">
        <v>1183.7874623363466</v>
      </c>
      <c r="E5" s="132">
        <v>511.24004948191555</v>
      </c>
      <c r="F5" s="132">
        <v>371.83014340457044</v>
      </c>
      <c r="G5" s="132">
        <v>330.16916056469137</v>
      </c>
      <c r="H5" s="132">
        <v>386.90110414909185</v>
      </c>
      <c r="I5" s="132">
        <v>815.81956693280245</v>
      </c>
      <c r="J5" s="132">
        <v>613.15622188509485</v>
      </c>
      <c r="K5" s="132">
        <v>470.33066713535459</v>
      </c>
      <c r="L5" s="132">
        <v>388.43272813606802</v>
      </c>
      <c r="M5" s="132">
        <v>396.95498889622286</v>
      </c>
      <c r="N5" s="132">
        <v>419.40086664778391</v>
      </c>
      <c r="O5" s="132">
        <v>187.87840552526075</v>
      </c>
      <c r="P5" s="132">
        <v>217.21765757734767</v>
      </c>
      <c r="Q5" s="132">
        <v>748.55927710820356</v>
      </c>
      <c r="R5" s="132">
        <v>111.40535642350569</v>
      </c>
      <c r="S5" s="132">
        <v>74.62253510109403</v>
      </c>
      <c r="T5" s="132">
        <v>85.206517764022976</v>
      </c>
      <c r="U5" s="132">
        <v>7.6238868380188762</v>
      </c>
      <c r="V5" s="132">
        <v>5.2209418201699416</v>
      </c>
      <c r="W5" s="132">
        <v>3.2720852155382141</v>
      </c>
      <c r="X5" s="132">
        <v>3.7523766708040776</v>
      </c>
      <c r="Y5" s="132">
        <v>177.39955918439361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16888.991099316598</v>
      </c>
      <c r="C7" s="132">
        <v>19714.431131191632</v>
      </c>
      <c r="D7" s="132">
        <v>17479.806453692774</v>
      </c>
      <c r="E7" s="132">
        <v>18209.200438575135</v>
      </c>
      <c r="F7" s="132">
        <v>16566.667327295178</v>
      </c>
      <c r="G7" s="132">
        <v>16194.408461085677</v>
      </c>
      <c r="H7" s="132">
        <v>17134.064178256165</v>
      </c>
      <c r="I7" s="132">
        <v>11115.058072612761</v>
      </c>
      <c r="J7" s="132">
        <v>15157.791982680166</v>
      </c>
      <c r="K7" s="132">
        <v>13669.005570630314</v>
      </c>
      <c r="L7" s="132">
        <v>13860.528073029507</v>
      </c>
      <c r="M7" s="132">
        <v>12301.891125553928</v>
      </c>
      <c r="N7" s="132">
        <v>13058.606441797148</v>
      </c>
      <c r="O7" s="132">
        <v>13958.3385648245</v>
      </c>
      <c r="P7" s="132">
        <v>12647.408062386819</v>
      </c>
      <c r="Q7" s="132">
        <v>12450.102209222534</v>
      </c>
      <c r="R7" s="132">
        <v>12412.35804896726</v>
      </c>
      <c r="S7" s="132">
        <v>12638.075513968348</v>
      </c>
      <c r="T7" s="132">
        <v>7884.6104087516878</v>
      </c>
      <c r="U7" s="132">
        <v>8263.5500656266377</v>
      </c>
      <c r="V7" s="132">
        <v>6747.8167751864803</v>
      </c>
      <c r="W7" s="132">
        <v>10695.052506912567</v>
      </c>
      <c r="X7" s="132">
        <v>4205.0253598236632</v>
      </c>
      <c r="Y7" s="132">
        <v>3979.3789708670624</v>
      </c>
      <c r="DA7" s="156" t="s">
        <v>360</v>
      </c>
    </row>
    <row r="8" spans="1:105" ht="12" customHeight="1" x14ac:dyDescent="0.25">
      <c r="A8" s="131" t="s">
        <v>73</v>
      </c>
      <c r="B8" s="132">
        <v>1.0894644938448921</v>
      </c>
      <c r="C8" s="132">
        <v>1.3672947542501053</v>
      </c>
      <c r="D8" s="132">
        <v>1.6924414433703756</v>
      </c>
      <c r="E8" s="132">
        <v>2.014014885478105</v>
      </c>
      <c r="F8" s="132">
        <v>2.2623162929818132</v>
      </c>
      <c r="G8" s="132">
        <v>2.4300261656770354</v>
      </c>
      <c r="H8" s="132">
        <v>3.4796754467289785</v>
      </c>
      <c r="I8" s="132">
        <v>5.0157658592554393</v>
      </c>
      <c r="J8" s="132">
        <v>5.5879731647816167</v>
      </c>
      <c r="K8" s="132">
        <v>5.110338947552223</v>
      </c>
      <c r="L8" s="132">
        <v>4.6716933641093545</v>
      </c>
      <c r="M8" s="132">
        <v>5.7316331089849086</v>
      </c>
      <c r="N8" s="132">
        <v>6.9799412149466864</v>
      </c>
      <c r="O8" s="132">
        <v>8.6597632942417953</v>
      </c>
      <c r="P8" s="132">
        <v>9.5108661455914607</v>
      </c>
      <c r="Q8" s="132">
        <v>11.126208927170644</v>
      </c>
      <c r="R8" s="132">
        <v>11.935131160475633</v>
      </c>
      <c r="S8" s="132">
        <v>12.628096012204319</v>
      </c>
      <c r="T8" s="132">
        <v>13.298271649984418</v>
      </c>
      <c r="U8" s="132">
        <v>14.696672848825054</v>
      </c>
      <c r="V8" s="132">
        <v>15.402840897464447</v>
      </c>
      <c r="W8" s="132">
        <v>15.806584977229054</v>
      </c>
      <c r="X8" s="132">
        <v>16.644033255407255</v>
      </c>
      <c r="Y8" s="132">
        <v>18.765592470848581</v>
      </c>
      <c r="DA8" s="156" t="s">
        <v>361</v>
      </c>
    </row>
    <row r="9" spans="1:105" ht="12" customHeight="1" x14ac:dyDescent="0.25">
      <c r="A9" s="131" t="s">
        <v>78</v>
      </c>
      <c r="B9" s="132">
        <v>16275.770389995938</v>
      </c>
      <c r="C9" s="132">
        <v>17053.762373233814</v>
      </c>
      <c r="D9" s="132">
        <v>16773.825008967968</v>
      </c>
      <c r="E9" s="132">
        <v>15055.838989962058</v>
      </c>
      <c r="F9" s="132">
        <v>14977.208687917628</v>
      </c>
      <c r="G9" s="132">
        <v>14506.912838710248</v>
      </c>
      <c r="H9" s="132">
        <v>19232.713388135711</v>
      </c>
      <c r="I9" s="132">
        <v>14515.157810832337</v>
      </c>
      <c r="J9" s="132">
        <v>15708.887495508185</v>
      </c>
      <c r="K9" s="132">
        <v>14268.239530078776</v>
      </c>
      <c r="L9" s="132">
        <v>14760.220403663898</v>
      </c>
      <c r="M9" s="132">
        <v>12616.805627663407</v>
      </c>
      <c r="N9" s="132">
        <v>13170.597647437187</v>
      </c>
      <c r="O9" s="132">
        <v>16772.148579574176</v>
      </c>
      <c r="P9" s="132">
        <v>13169.536317452141</v>
      </c>
      <c r="Q9" s="132">
        <v>14755.183424455159</v>
      </c>
      <c r="R9" s="132">
        <v>14768.598406164378</v>
      </c>
      <c r="S9" s="132">
        <v>14268.054756893218</v>
      </c>
      <c r="T9" s="132">
        <v>14496.825424504099</v>
      </c>
      <c r="U9" s="132">
        <v>11725.938234551077</v>
      </c>
      <c r="V9" s="132">
        <v>14153.979522425356</v>
      </c>
      <c r="W9" s="132">
        <v>15834.489932386678</v>
      </c>
      <c r="X9" s="132">
        <v>11611.175889979795</v>
      </c>
      <c r="Y9" s="132">
        <v>10065.421849215018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34.510690657280456</v>
      </c>
      <c r="F10" s="132">
        <v>60.458357651430013</v>
      </c>
      <c r="G10" s="132">
        <v>104.14125614587826</v>
      </c>
      <c r="H10" s="132">
        <v>99.381165563285279</v>
      </c>
      <c r="I10" s="132">
        <v>92.632379361339019</v>
      </c>
      <c r="J10" s="132">
        <v>69.45031429252397</v>
      </c>
      <c r="K10" s="132">
        <v>70.570353850057131</v>
      </c>
      <c r="L10" s="132">
        <v>71.591976608001005</v>
      </c>
      <c r="M10" s="132">
        <v>5.7112772073138407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0.41626278380523507</v>
      </c>
      <c r="C16" s="130">
        <f t="shared" si="6"/>
        <v>0.44534000575824256</v>
      </c>
      <c r="D16" s="130">
        <f t="shared" si="6"/>
        <v>0.48437684136769443</v>
      </c>
      <c r="E16" s="130">
        <f t="shared" si="6"/>
        <v>0.58105189180833616</v>
      </c>
      <c r="F16" s="130">
        <f t="shared" si="6"/>
        <v>0.71701257037913502</v>
      </c>
      <c r="G16" s="130">
        <f t="shared" si="6"/>
        <v>0.89371626613202537</v>
      </c>
      <c r="H16" s="130">
        <f t="shared" si="6"/>
        <v>1.0559655216975685</v>
      </c>
      <c r="I16" s="130">
        <f t="shared" si="6"/>
        <v>1.601965019351079</v>
      </c>
      <c r="J16" s="130">
        <f t="shared" si="6"/>
        <v>1.9803733937498902</v>
      </c>
      <c r="K16" s="130">
        <f t="shared" si="6"/>
        <v>2.4152067871707339</v>
      </c>
      <c r="L16" s="130">
        <f t="shared" si="6"/>
        <v>3.1110807239331568</v>
      </c>
      <c r="M16" s="130">
        <f t="shared" si="6"/>
        <v>3.4040886688341159</v>
      </c>
      <c r="N16" s="130">
        <f t="shared" si="6"/>
        <v>3.8926363631984313</v>
      </c>
      <c r="O16" s="130">
        <f t="shared" si="6"/>
        <v>4.7865505976106215</v>
      </c>
      <c r="P16" s="130">
        <f t="shared" si="6"/>
        <v>6.2679176530514269</v>
      </c>
      <c r="Q16" s="130">
        <f t="shared" si="6"/>
        <v>8.5951602996521235</v>
      </c>
      <c r="R16" s="130">
        <f t="shared" ref="R16:W16" si="7">SUM(R17:R18)</f>
        <v>10.875724616967652</v>
      </c>
      <c r="S16" s="130">
        <f t="shared" si="7"/>
        <v>11.685123452157395</v>
      </c>
      <c r="T16" s="130">
        <f t="shared" si="7"/>
        <v>19.333842964975162</v>
      </c>
      <c r="U16" s="130">
        <f t="shared" si="7"/>
        <v>20.814871968176462</v>
      </c>
      <c r="V16" s="130">
        <f t="shared" si="7"/>
        <v>15.936206575873806</v>
      </c>
      <c r="W16" s="130">
        <f t="shared" si="7"/>
        <v>15.915263264027542</v>
      </c>
      <c r="X16" s="130">
        <f t="shared" ref="X16:Y16" si="8">SUM(X17:X18)</f>
        <v>20.954073574005189</v>
      </c>
      <c r="Y16" s="130">
        <f t="shared" si="8"/>
        <v>20.353040668764834</v>
      </c>
      <c r="DA16" s="155" t="s">
        <v>235</v>
      </c>
    </row>
    <row r="17" spans="1:105" ht="12.95" customHeight="1" x14ac:dyDescent="0.25">
      <c r="A17" s="131" t="s">
        <v>73</v>
      </c>
      <c r="B17" s="132">
        <v>0.41626278380523507</v>
      </c>
      <c r="C17" s="132">
        <v>0.44534000575824256</v>
      </c>
      <c r="D17" s="132">
        <v>0.48437684136769443</v>
      </c>
      <c r="E17" s="132">
        <v>0.58105189180833616</v>
      </c>
      <c r="F17" s="132">
        <v>0.71701257037913502</v>
      </c>
      <c r="G17" s="132">
        <v>0.89371626613202537</v>
      </c>
      <c r="H17" s="132">
        <v>1.0559655216975685</v>
      </c>
      <c r="I17" s="132">
        <v>1.601965019351079</v>
      </c>
      <c r="J17" s="132">
        <v>1.9803733937498902</v>
      </c>
      <c r="K17" s="132">
        <v>2.4152067871707339</v>
      </c>
      <c r="L17" s="132">
        <v>3.1110807239331568</v>
      </c>
      <c r="M17" s="132">
        <v>3.4040886688341159</v>
      </c>
      <c r="N17" s="132">
        <v>3.8926363631984313</v>
      </c>
      <c r="O17" s="132">
        <v>4.7865505976106215</v>
      </c>
      <c r="P17" s="132">
        <v>6.2679176530514269</v>
      </c>
      <c r="Q17" s="132">
        <v>8.5951602996521235</v>
      </c>
      <c r="R17" s="132">
        <v>10.875724616967652</v>
      </c>
      <c r="S17" s="132">
        <v>11.685123452157395</v>
      </c>
      <c r="T17" s="132">
        <v>19.333842964975162</v>
      </c>
      <c r="U17" s="132">
        <v>20.814871968176462</v>
      </c>
      <c r="V17" s="132">
        <v>15.936206575873806</v>
      </c>
      <c r="W17" s="132">
        <v>15.915263264027542</v>
      </c>
      <c r="X17" s="132">
        <v>20.954073574005189</v>
      </c>
      <c r="Y17" s="132">
        <v>20.353040668764834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5203.9359683474613</v>
      </c>
      <c r="C19" s="130">
        <f t="shared" si="9"/>
        <v>5202.789007927302</v>
      </c>
      <c r="D19" s="130">
        <f t="shared" si="9"/>
        <v>5257.1405518047814</v>
      </c>
      <c r="E19" s="130">
        <f t="shared" si="9"/>
        <v>5186.7210878778715</v>
      </c>
      <c r="F19" s="130">
        <f t="shared" si="9"/>
        <v>5096.7172931895475</v>
      </c>
      <c r="G19" s="130">
        <f t="shared" si="9"/>
        <v>5112.4015902671827</v>
      </c>
      <c r="H19" s="130">
        <f t="shared" si="9"/>
        <v>5272.0227023237458</v>
      </c>
      <c r="I19" s="130">
        <f t="shared" si="9"/>
        <v>5212.7964539848435</v>
      </c>
      <c r="J19" s="130">
        <f t="shared" si="9"/>
        <v>5205.0075129809284</v>
      </c>
      <c r="K19" s="130">
        <f t="shared" si="9"/>
        <v>5104.4171815126901</v>
      </c>
      <c r="L19" s="130">
        <f t="shared" si="9"/>
        <v>5012.0355687967131</v>
      </c>
      <c r="M19" s="130">
        <f t="shared" si="9"/>
        <v>4998.7270656255541</v>
      </c>
      <c r="N19" s="130">
        <f t="shared" si="9"/>
        <v>4967.4471395041537</v>
      </c>
      <c r="O19" s="130">
        <f t="shared" si="9"/>
        <v>5113.3548502921258</v>
      </c>
      <c r="P19" s="130">
        <f t="shared" si="9"/>
        <v>5322.4080756776038</v>
      </c>
      <c r="Q19" s="130">
        <f t="shared" si="9"/>
        <v>5292.674005877634</v>
      </c>
      <c r="R19" s="130">
        <f t="shared" ref="R19:W19" si="10">SUM(R20:R27)</f>
        <v>5178.8015174996872</v>
      </c>
      <c r="S19" s="130">
        <f t="shared" si="10"/>
        <v>5237.4442334953783</v>
      </c>
      <c r="T19" s="130">
        <f t="shared" si="10"/>
        <v>5592.6396237443132</v>
      </c>
      <c r="U19" s="130">
        <f t="shared" si="10"/>
        <v>5424.7645883043742</v>
      </c>
      <c r="V19" s="130">
        <f t="shared" si="10"/>
        <v>4925.371964323047</v>
      </c>
      <c r="W19" s="130">
        <f t="shared" si="10"/>
        <v>4826.2561462895919</v>
      </c>
      <c r="X19" s="130">
        <f t="shared" ref="X19:Y19" si="11">SUM(X20:X27)</f>
        <v>4779.8032491853246</v>
      </c>
      <c r="Y19" s="130">
        <f t="shared" si="11"/>
        <v>4692.1419336925255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51.809806952618871</v>
      </c>
      <c r="C21" s="132">
        <v>62.8229828561578</v>
      </c>
      <c r="D21" s="132">
        <v>92.20222693914306</v>
      </c>
      <c r="E21" s="132">
        <v>103.08950875790092</v>
      </c>
      <c r="F21" s="132">
        <v>134.16415127641037</v>
      </c>
      <c r="G21" s="132">
        <v>150.93023047217392</v>
      </c>
      <c r="H21" s="132">
        <v>156.08180336502116</v>
      </c>
      <c r="I21" s="132">
        <v>158.85110307349382</v>
      </c>
      <c r="J21" s="132">
        <v>157.50007561733972</v>
      </c>
      <c r="K21" s="132">
        <v>153.01218202480342</v>
      </c>
      <c r="L21" s="132">
        <v>143.88339951678284</v>
      </c>
      <c r="M21" s="132">
        <v>143.33192525106031</v>
      </c>
      <c r="N21" s="132">
        <v>133.55985653086182</v>
      </c>
      <c r="O21" s="132">
        <v>118.06862069092506</v>
      </c>
      <c r="P21" s="132">
        <v>116.62709691286935</v>
      </c>
      <c r="Q21" s="132">
        <v>112.72962762639013</v>
      </c>
      <c r="R21" s="132">
        <v>111.65291457972157</v>
      </c>
      <c r="S21" s="132">
        <v>90.077889528894389</v>
      </c>
      <c r="T21" s="132">
        <v>112.99025810439804</v>
      </c>
      <c r="U21" s="132">
        <v>108.09948227753272</v>
      </c>
      <c r="V21" s="132">
        <v>73.523517308397544</v>
      </c>
      <c r="W21" s="132">
        <v>43.515907238321503</v>
      </c>
      <c r="X21" s="132">
        <v>32.067944175074096</v>
      </c>
      <c r="Y21" s="132">
        <v>24.590686045793266</v>
      </c>
      <c r="DA21" s="156" t="s">
        <v>372</v>
      </c>
    </row>
    <row r="22" spans="1:105" ht="12" customHeight="1" x14ac:dyDescent="0.25">
      <c r="A22" s="131" t="s">
        <v>161</v>
      </c>
      <c r="B22" s="132">
        <v>2570.2908499914947</v>
      </c>
      <c r="C22" s="132">
        <v>2638.636776794765</v>
      </c>
      <c r="D22" s="132">
        <v>2649.710825384122</v>
      </c>
      <c r="E22" s="132">
        <v>2652.9490839310706</v>
      </c>
      <c r="F22" s="132">
        <v>2676.5792799701362</v>
      </c>
      <c r="G22" s="132">
        <v>2660.0505620089471</v>
      </c>
      <c r="H22" s="132">
        <v>2681.7892118589129</v>
      </c>
      <c r="I22" s="132">
        <v>2654.2491773384022</v>
      </c>
      <c r="J22" s="132">
        <v>2645.1092032693809</v>
      </c>
      <c r="K22" s="132">
        <v>2577.1860654356547</v>
      </c>
      <c r="L22" s="132">
        <v>2510.2671618242402</v>
      </c>
      <c r="M22" s="132">
        <v>2541.7380951339255</v>
      </c>
      <c r="N22" s="132">
        <v>2522.6813310117777</v>
      </c>
      <c r="O22" s="132">
        <v>2515.2295778759617</v>
      </c>
      <c r="P22" s="132">
        <v>2493.3838772632125</v>
      </c>
      <c r="Q22" s="132">
        <v>2453.2699048225682</v>
      </c>
      <c r="R22" s="132">
        <v>2371.9622131348578</v>
      </c>
      <c r="S22" s="132">
        <v>2310.2064899394982</v>
      </c>
      <c r="T22" s="132">
        <v>1598.4738976083136</v>
      </c>
      <c r="U22" s="132">
        <v>1511.1111902933617</v>
      </c>
      <c r="V22" s="132">
        <v>1220.4540652935234</v>
      </c>
      <c r="W22" s="132">
        <v>1264.0292608074437</v>
      </c>
      <c r="X22" s="132">
        <v>1013.8035353363402</v>
      </c>
      <c r="Y22" s="132">
        <v>871.59226693293192</v>
      </c>
      <c r="DA22" s="156" t="s">
        <v>373</v>
      </c>
    </row>
    <row r="23" spans="1:105" ht="12" customHeight="1" x14ac:dyDescent="0.25">
      <c r="A23" s="131" t="s">
        <v>149</v>
      </c>
      <c r="B23" s="132">
        <v>2581.8353114033475</v>
      </c>
      <c r="C23" s="132">
        <v>2501.3292482763786</v>
      </c>
      <c r="D23" s="132">
        <v>2515.2274994815161</v>
      </c>
      <c r="E23" s="132">
        <v>2430.6824951888998</v>
      </c>
      <c r="F23" s="132">
        <v>2285.9738619430009</v>
      </c>
      <c r="G23" s="132">
        <v>2301.4207977860615</v>
      </c>
      <c r="H23" s="132">
        <v>2434.1516870998121</v>
      </c>
      <c r="I23" s="132">
        <v>2399.6961735729469</v>
      </c>
      <c r="J23" s="132">
        <v>2402.3982340942071</v>
      </c>
      <c r="K23" s="132">
        <v>2374.2189340522327</v>
      </c>
      <c r="L23" s="132">
        <v>2357.8850074556904</v>
      </c>
      <c r="M23" s="132">
        <v>2313.6570452405681</v>
      </c>
      <c r="N23" s="132">
        <v>2311.2059519615141</v>
      </c>
      <c r="O23" s="132">
        <v>2480.0566517252391</v>
      </c>
      <c r="P23" s="132">
        <v>2712.3971015015213</v>
      </c>
      <c r="Q23" s="132">
        <v>2726.6744734286758</v>
      </c>
      <c r="R23" s="132">
        <v>2695.1863897851076</v>
      </c>
      <c r="S23" s="132">
        <v>2837.1598540269856</v>
      </c>
      <c r="T23" s="132">
        <v>3881.1754680316012</v>
      </c>
      <c r="U23" s="132">
        <v>3805.5539157334802</v>
      </c>
      <c r="V23" s="132">
        <v>3631.3943817211257</v>
      </c>
      <c r="W23" s="132">
        <v>3518.710978243827</v>
      </c>
      <c r="X23" s="132">
        <v>3733.9317696739099</v>
      </c>
      <c r="Y23" s="132">
        <v>3795.9589807138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4896.3594070658637</v>
      </c>
      <c r="C29" s="130">
        <f t="shared" si="12"/>
        <v>4900.9807301663714</v>
      </c>
      <c r="D29" s="130">
        <f t="shared" si="12"/>
        <v>5103.7742451406557</v>
      </c>
      <c r="E29" s="130">
        <f t="shared" si="12"/>
        <v>5214.5779548187465</v>
      </c>
      <c r="F29" s="130">
        <f t="shared" si="12"/>
        <v>5234.1047069749966</v>
      </c>
      <c r="G29" s="130">
        <f t="shared" si="12"/>
        <v>5186.8036080925549</v>
      </c>
      <c r="H29" s="130">
        <f t="shared" si="12"/>
        <v>5137.0120416060581</v>
      </c>
      <c r="I29" s="130">
        <f t="shared" si="12"/>
        <v>4989.9890901081853</v>
      </c>
      <c r="J29" s="130">
        <f t="shared" si="12"/>
        <v>5006.4991227369455</v>
      </c>
      <c r="K29" s="130">
        <f t="shared" si="12"/>
        <v>4797.5013031140606</v>
      </c>
      <c r="L29" s="130">
        <f t="shared" si="12"/>
        <v>4550.7971459908886</v>
      </c>
      <c r="M29" s="130">
        <f t="shared" si="12"/>
        <v>4295.9247524741395</v>
      </c>
      <c r="N29" s="130">
        <f t="shared" si="12"/>
        <v>4310.9323028405424</v>
      </c>
      <c r="O29" s="130">
        <f t="shared" si="12"/>
        <v>4509.6136039094918</v>
      </c>
      <c r="P29" s="130">
        <f t="shared" si="12"/>
        <v>5807.9302196723938</v>
      </c>
      <c r="Q29" s="130">
        <f t="shared" si="12"/>
        <v>5387.0488734246846</v>
      </c>
      <c r="R29" s="130">
        <f t="shared" ref="R29:W29" si="13">SUM(R30:R33)</f>
        <v>5348.8112484634848</v>
      </c>
      <c r="S29" s="130">
        <f t="shared" si="13"/>
        <v>5614.4167827622032</v>
      </c>
      <c r="T29" s="130">
        <f t="shared" si="13"/>
        <v>6499.7392731649597</v>
      </c>
      <c r="U29" s="130">
        <f t="shared" si="13"/>
        <v>7055.0835471009086</v>
      </c>
      <c r="V29" s="130">
        <f t="shared" si="13"/>
        <v>5919.7262883917892</v>
      </c>
      <c r="W29" s="130">
        <f t="shared" si="13"/>
        <v>5837.4685024784003</v>
      </c>
      <c r="X29" s="130">
        <f t="shared" ref="X29:Y29" si="14">SUM(X30:X33)</f>
        <v>6206.1656092306466</v>
      </c>
      <c r="Y29" s="130">
        <f t="shared" si="14"/>
        <v>6230.3802916020286</v>
      </c>
      <c r="DA29" s="155" t="s">
        <v>237</v>
      </c>
    </row>
    <row r="30" spans="1:105" ht="12" customHeight="1" x14ac:dyDescent="0.25">
      <c r="A30" s="131" t="s">
        <v>52</v>
      </c>
      <c r="B30" s="132">
        <v>218.97899574279884</v>
      </c>
      <c r="C30" s="132">
        <v>216.17150643656453</v>
      </c>
      <c r="D30" s="132">
        <v>153.969411874873</v>
      </c>
      <c r="E30" s="132">
        <v>352.80797967660021</v>
      </c>
      <c r="F30" s="132">
        <v>318.21396748369716</v>
      </c>
      <c r="G30" s="132">
        <v>526.0857020302517</v>
      </c>
      <c r="H30" s="132">
        <v>364.93948133470911</v>
      </c>
      <c r="I30" s="132">
        <v>328.02997458903974</v>
      </c>
      <c r="J30" s="132">
        <v>373.59811240314548</v>
      </c>
      <c r="K30" s="132">
        <v>343.42420653476523</v>
      </c>
      <c r="L30" s="132">
        <v>297.98490774251593</v>
      </c>
      <c r="M30" s="132">
        <v>299.86737428964005</v>
      </c>
      <c r="N30" s="132">
        <v>330.93427861738616</v>
      </c>
      <c r="O30" s="132">
        <v>442.25237878077309</v>
      </c>
      <c r="P30" s="132">
        <v>365.95425218470456</v>
      </c>
      <c r="Q30" s="132">
        <v>292.5859905353351</v>
      </c>
      <c r="R30" s="132">
        <v>397.72825087041326</v>
      </c>
      <c r="S30" s="132">
        <v>243.69754406679291</v>
      </c>
      <c r="T30" s="132">
        <v>349.06453989560185</v>
      </c>
      <c r="U30" s="132">
        <v>383.85297912246688</v>
      </c>
      <c r="V30" s="132">
        <v>377.65940309160231</v>
      </c>
      <c r="W30" s="132">
        <v>309.82011476167838</v>
      </c>
      <c r="X30" s="132">
        <v>372.90949642492586</v>
      </c>
      <c r="Y30" s="132">
        <v>89.564028754206731</v>
      </c>
      <c r="DA30" s="156" t="s">
        <v>379</v>
      </c>
    </row>
    <row r="31" spans="1:105" ht="12" customHeight="1" x14ac:dyDescent="0.25">
      <c r="A31" s="131" t="s">
        <v>149</v>
      </c>
      <c r="B31" s="132">
        <v>4677.3804113230644</v>
      </c>
      <c r="C31" s="132">
        <v>4684.8092237298069</v>
      </c>
      <c r="D31" s="132">
        <v>4949.8048332657827</v>
      </c>
      <c r="E31" s="132">
        <v>4861.3504926314263</v>
      </c>
      <c r="F31" s="132">
        <v>4915.390583861129</v>
      </c>
      <c r="G31" s="132">
        <v>4659.7920346185811</v>
      </c>
      <c r="H31" s="132">
        <v>4771.3107958618348</v>
      </c>
      <c r="I31" s="132">
        <v>4661.2708787268848</v>
      </c>
      <c r="J31" s="132">
        <v>4632.5342222295249</v>
      </c>
      <c r="K31" s="132">
        <v>4453.6328917505525</v>
      </c>
      <c r="L31" s="132">
        <v>4252.4323075523735</v>
      </c>
      <c r="M31" s="132">
        <v>3996.0150902382138</v>
      </c>
      <c r="N31" s="132">
        <v>3979.9980242231559</v>
      </c>
      <c r="O31" s="132">
        <v>4067.3612251287191</v>
      </c>
      <c r="P31" s="132">
        <v>5441.9759674876896</v>
      </c>
      <c r="Q31" s="132">
        <v>5094.4628828893492</v>
      </c>
      <c r="R31" s="132">
        <v>4951.0829975930719</v>
      </c>
      <c r="S31" s="132">
        <v>5370.7192386954102</v>
      </c>
      <c r="T31" s="132">
        <v>6150.6747332693576</v>
      </c>
      <c r="U31" s="132">
        <v>6671.2305679784422</v>
      </c>
      <c r="V31" s="132">
        <v>5542.0668853001871</v>
      </c>
      <c r="W31" s="132">
        <v>5527.648387716722</v>
      </c>
      <c r="X31" s="132">
        <v>5833.2561128057205</v>
      </c>
      <c r="Y31" s="132">
        <v>6140.8162628478221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0.41948251071955189</v>
      </c>
      <c r="F32" s="132">
        <v>0.50015563016997211</v>
      </c>
      <c r="G32" s="132">
        <v>0.92587144372172314</v>
      </c>
      <c r="H32" s="132">
        <v>0.76176440951474078</v>
      </c>
      <c r="I32" s="132">
        <v>0.68823679226100098</v>
      </c>
      <c r="J32" s="132">
        <v>0.36678810427600783</v>
      </c>
      <c r="K32" s="132">
        <v>0.4442048287428676</v>
      </c>
      <c r="L32" s="132">
        <v>0.37993069599896206</v>
      </c>
      <c r="M32" s="132">
        <v>4.228794628616224E-2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71249.385413547148</v>
      </c>
      <c r="C3" s="125">
        <f>IF(SER_hh_fec!C3=0,0,11630*1000*SER_hh_fec!C3/SER_hh_num!C3)</f>
        <v>73513.824039580897</v>
      </c>
      <c r="D3" s="125">
        <f>IF(SER_hh_fec!D3=0,0,11630*1000*SER_hh_fec!D3/SER_hh_num!D3)</f>
        <v>72538.222950214506</v>
      </c>
      <c r="E3" s="125">
        <f>IF(SER_hh_fec!E3=0,0,11630*1000*SER_hh_fec!E3/SER_hh_num!E3)</f>
        <v>82765.351233107693</v>
      </c>
      <c r="F3" s="125">
        <f>IF(SER_hh_fec!F3=0,0,11630*1000*SER_hh_fec!F3/SER_hh_num!F3)</f>
        <v>79839.734691976191</v>
      </c>
      <c r="G3" s="125">
        <f>IF(SER_hh_fec!G3=0,0,11630*1000*SER_hh_fec!G3/SER_hh_num!G3)</f>
        <v>75933.060600055964</v>
      </c>
      <c r="H3" s="125">
        <f>IF(SER_hh_fec!H3=0,0,11630*1000*SER_hh_fec!H3/SER_hh_num!H3)</f>
        <v>81976.23617073716</v>
      </c>
      <c r="I3" s="125">
        <f>IF(SER_hh_fec!I3=0,0,11630*1000*SER_hh_fec!I3/SER_hh_num!I3)</f>
        <v>65880.465081448929</v>
      </c>
      <c r="J3" s="125">
        <f>IF(SER_hh_fec!J3=0,0,11630*1000*SER_hh_fec!J3/SER_hh_num!J3)</f>
        <v>73125.116917194158</v>
      </c>
      <c r="K3" s="125">
        <f>IF(SER_hh_fec!K3=0,0,11630*1000*SER_hh_fec!K3/SER_hh_num!K3)</f>
        <v>70311.359819473553</v>
      </c>
      <c r="L3" s="125">
        <f>IF(SER_hh_fec!L3=0,0,11630*1000*SER_hh_fec!L3/SER_hh_num!L3)</f>
        <v>75097.609469559146</v>
      </c>
      <c r="M3" s="125">
        <f>IF(SER_hh_fec!M3=0,0,11630*1000*SER_hh_fec!M3/SER_hh_num!M3)</f>
        <v>62900.634622149038</v>
      </c>
      <c r="N3" s="125">
        <f>IF(SER_hh_fec!N3=0,0,11630*1000*SER_hh_fec!N3/SER_hh_num!N3)</f>
        <v>66182.482388361823</v>
      </c>
      <c r="O3" s="125">
        <f>IF(SER_hh_fec!O3=0,0,11630*1000*SER_hh_fec!O3/SER_hh_num!O3)</f>
        <v>69956.977895458374</v>
      </c>
      <c r="P3" s="125">
        <f>IF(SER_hh_fec!P3=0,0,11630*1000*SER_hh_fec!P3/SER_hh_num!P3)</f>
        <v>61097.406705705886</v>
      </c>
      <c r="Q3" s="125">
        <f>IF(SER_hh_fec!Q3=0,0,11630*1000*SER_hh_fec!Q3/SER_hh_num!Q3)</f>
        <v>64926.108124470695</v>
      </c>
      <c r="R3" s="125">
        <f>IF(SER_hh_fec!R3=0,0,11630*1000*SER_hh_fec!R3/SER_hh_num!R3)</f>
        <v>62729.902313145212</v>
      </c>
      <c r="S3" s="125">
        <f>IF(SER_hh_fec!S3=0,0,11630*1000*SER_hh_fec!S3/SER_hh_num!S3)</f>
        <v>62024.746272542718</v>
      </c>
      <c r="T3" s="125">
        <f>IF(SER_hh_fec!T3=0,0,11630*1000*SER_hh_fec!T3/SER_hh_num!T3)</f>
        <v>58266.472519048628</v>
      </c>
      <c r="U3" s="125">
        <f>IF(SER_hh_fec!U3=0,0,11630*1000*SER_hh_fec!U3/SER_hh_num!U3)</f>
        <v>55008.082700345818</v>
      </c>
      <c r="V3" s="125">
        <f>IF(SER_hh_fec!V3=0,0,11630*1000*SER_hh_fec!V3/SER_hh_num!V3)</f>
        <v>53294.341231384256</v>
      </c>
      <c r="W3" s="125">
        <f>IF(SER_hh_fec!W3=0,0,11630*1000*SER_hh_fec!W3/SER_hh_num!W3)</f>
        <v>62205.697270607241</v>
      </c>
      <c r="X3" s="125">
        <f>IF(SER_hh_fec!X3=0,0,11630*1000*SER_hh_fec!X3/SER_hh_num!X3)</f>
        <v>46690.853177027653</v>
      </c>
      <c r="Y3" s="125">
        <f>IF(SER_hh_fec!Y3=0,0,11630*1000*SER_hh_fec!Y3/SER_hh_num!Y3)</f>
        <v>44168.980830186323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49903.855756637764</v>
      </c>
      <c r="C4" s="130">
        <f>IF(SER_hh_fec!C4=0,0,11630*1000*SER_hh_fec!C4/SER_hh_num!C4)</f>
        <v>52778.558558167366</v>
      </c>
      <c r="D4" s="130">
        <f>IF(SER_hh_fec!D4=0,0,11630*1000*SER_hh_fec!D4/SER_hh_num!D4)</f>
        <v>51266.758250185172</v>
      </c>
      <c r="E4" s="130">
        <f>IF(SER_hh_fec!E4=0,0,11630*1000*SER_hh_fec!E4/SER_hh_num!E4)</f>
        <v>60628.731801841248</v>
      </c>
      <c r="F4" s="130">
        <f>IF(SER_hh_fec!F4=0,0,11630*1000*SER_hh_fec!F4/SER_hh_num!F4)</f>
        <v>58263.15890868174</v>
      </c>
      <c r="G4" s="130">
        <f>IF(SER_hh_fec!G4=0,0,11630*1000*SER_hh_fec!G4/SER_hh_num!G4)</f>
        <v>54654.584438014448</v>
      </c>
      <c r="H4" s="130">
        <f>IF(SER_hh_fec!H4=0,0,11630*1000*SER_hh_fec!H4/SER_hh_num!H4)</f>
        <v>60812.595651057018</v>
      </c>
      <c r="I4" s="130">
        <f>IF(SER_hh_fec!I4=0,0,11630*1000*SER_hh_fec!I4/SER_hh_num!I4)</f>
        <v>44968.01733444885</v>
      </c>
      <c r="J4" s="130">
        <f>IF(SER_hh_fec!J4=0,0,11630*1000*SER_hh_fec!J4/SER_hh_num!J4)</f>
        <v>52574.981650915775</v>
      </c>
      <c r="K4" s="130">
        <f>IF(SER_hh_fec!K4=0,0,11630*1000*SER_hh_fec!K4/SER_hh_num!K4)</f>
        <v>49244.980724694273</v>
      </c>
      <c r="L4" s="130">
        <f>IF(SER_hh_fec!L4=0,0,11630*1000*SER_hh_fec!L4/SER_hh_num!L4)</f>
        <v>53958.754950296221</v>
      </c>
      <c r="M4" s="130">
        <f>IF(SER_hh_fec!M4=0,0,11630*1000*SER_hh_fec!M4/SER_hh_num!M4)</f>
        <v>42301.713676106672</v>
      </c>
      <c r="N4" s="130">
        <f>IF(SER_hh_fec!N4=0,0,11630*1000*SER_hh_fec!N4/SER_hh_num!N4)</f>
        <v>45511.946102496135</v>
      </c>
      <c r="O4" s="130">
        <f>IF(SER_hh_fec!O4=0,0,11630*1000*SER_hh_fec!O4/SER_hh_num!O4)</f>
        <v>49247.846402700408</v>
      </c>
      <c r="P4" s="130">
        <f>IF(SER_hh_fec!P4=0,0,11630*1000*SER_hh_fec!P4/SER_hh_num!P4)</f>
        <v>39928.895679178575</v>
      </c>
      <c r="Q4" s="130">
        <f>IF(SER_hh_fec!Q4=0,0,11630*1000*SER_hh_fec!Q4/SER_hh_num!Q4)</f>
        <v>43784.283952860038</v>
      </c>
      <c r="R4" s="130">
        <f>IF(SER_hh_fec!R4=0,0,11630*1000*SER_hh_fec!R4/SER_hh_num!R4)</f>
        <v>42109.770986508564</v>
      </c>
      <c r="S4" s="130">
        <f>IF(SER_hh_fec!S4=0,0,11630*1000*SER_hh_fec!S4/SER_hh_num!S4)</f>
        <v>41244.588252817513</v>
      </c>
      <c r="T4" s="130">
        <f>IF(SER_hh_fec!T4=0,0,11630*1000*SER_hh_fec!T4/SER_hh_num!T4)</f>
        <v>36590.960257343235</v>
      </c>
      <c r="U4" s="130">
        <f>IF(SER_hh_fec!U4=0,0,11630*1000*SER_hh_fec!U4/SER_hh_num!U4)</f>
        <v>33517.781127640628</v>
      </c>
      <c r="V4" s="130">
        <f>IF(SER_hh_fec!V4=0,0,11630*1000*SER_hh_fec!V4/SER_hh_num!V4)</f>
        <v>34272.267243731163</v>
      </c>
      <c r="W4" s="130">
        <f>IF(SER_hh_fec!W4=0,0,11630*1000*SER_hh_fec!W4/SER_hh_num!W4)</f>
        <v>42999.010269032042</v>
      </c>
      <c r="X4" s="130">
        <f>IF(SER_hh_fec!X4=0,0,11630*1000*SER_hh_fec!X4/SER_hh_num!X4)</f>
        <v>29065.250523202638</v>
      </c>
      <c r="Y4" s="130">
        <f>IF(SER_hh_fec!Y4=0,0,11630*1000*SER_hh_fec!Y4/SER_hh_num!Y4)</f>
        <v>27122.701318879626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46335.355223503931</v>
      </c>
      <c r="C5" s="132">
        <f>IF(SER_hh_fec!C5=0,0,11630*1000*SER_hh_fec!C5/SER_hh_num!C5)</f>
        <v>51285.756416176904</v>
      </c>
      <c r="D5" s="132">
        <f>IF(SER_hh_fec!D5=0,0,11630*1000*SER_hh_fec!D5/SER_hh_num!D5)</f>
        <v>54876.4333811037</v>
      </c>
      <c r="E5" s="132">
        <f>IF(SER_hh_fec!E5=0,0,11630*1000*SER_hh_fec!E5/SER_hh_num!E5)</f>
        <v>31410.961640633192</v>
      </c>
      <c r="F5" s="132">
        <f>IF(SER_hh_fec!F5=0,0,11630*1000*SER_hh_fec!F5/SER_hh_num!F5)</f>
        <v>31286.895310364747</v>
      </c>
      <c r="G5" s="132">
        <f>IF(SER_hh_fec!G5=0,0,11630*1000*SER_hh_fec!G5/SER_hh_num!G5)</f>
        <v>35747.289267404543</v>
      </c>
      <c r="H5" s="132">
        <f>IF(SER_hh_fec!H5=0,0,11630*1000*SER_hh_fec!H5/SER_hh_num!H5)</f>
        <v>46581.010115303456</v>
      </c>
      <c r="I5" s="132">
        <f>IF(SER_hh_fec!I5=0,0,11630*1000*SER_hh_fec!I5/SER_hh_num!I5)</f>
        <v>66719.534590577357</v>
      </c>
      <c r="J5" s="132">
        <f>IF(SER_hh_fec!J5=0,0,11630*1000*SER_hh_fec!J5/SER_hh_num!J5)</f>
        <v>53460.08266089129</v>
      </c>
      <c r="K5" s="132">
        <f>IF(SER_hh_fec!K5=0,0,11630*1000*SER_hh_fec!K5/SER_hh_num!K5)</f>
        <v>46423.691721843505</v>
      </c>
      <c r="L5" s="132">
        <f>IF(SER_hh_fec!L5=0,0,11630*1000*SER_hh_fec!L5/SER_hh_num!L5)</f>
        <v>45631.497485184722</v>
      </c>
      <c r="M5" s="132">
        <f>IF(SER_hh_fec!M5=0,0,11630*1000*SER_hh_fec!M5/SER_hh_num!M5)</f>
        <v>47950.314033017617</v>
      </c>
      <c r="N5" s="132">
        <f>IF(SER_hh_fec!N5=0,0,11630*1000*SER_hh_fec!N5/SER_hh_num!N5)</f>
        <v>54996.168807924216</v>
      </c>
      <c r="O5" s="132">
        <f>IF(SER_hh_fec!O5=0,0,11630*1000*SER_hh_fec!O5/SER_hh_num!O5)</f>
        <v>25246.046256558231</v>
      </c>
      <c r="P5" s="132">
        <f>IF(SER_hh_fec!P5=0,0,11630*1000*SER_hh_fec!P5/SER_hh_num!P5)</f>
        <v>35025.682801544841</v>
      </c>
      <c r="Q5" s="132">
        <f>IF(SER_hh_fec!Q5=0,0,11630*1000*SER_hh_fec!Q5/SER_hh_num!Q5)</f>
        <v>78530.389869481281</v>
      </c>
      <c r="R5" s="132">
        <f>IF(SER_hh_fec!R5=0,0,11630*1000*SER_hh_fec!R5/SER_hh_num!R5)</f>
        <v>18887.046730903501</v>
      </c>
      <c r="S5" s="132">
        <f>IF(SER_hh_fec!S5=0,0,11630*1000*SER_hh_fec!S5/SER_hh_num!S5)</f>
        <v>20714.733987447191</v>
      </c>
      <c r="T5" s="132">
        <f>IF(SER_hh_fec!T5=0,0,11630*1000*SER_hh_fec!T5/SER_hh_num!T5)</f>
        <v>52141.916446242656</v>
      </c>
      <c r="U5" s="132">
        <f>IF(SER_hh_fec!U5=0,0,11630*1000*SER_hh_fec!U5/SER_hh_num!U5)</f>
        <v>9693.1883404193977</v>
      </c>
      <c r="V5" s="132">
        <f>IF(SER_hh_fec!V5=0,0,11630*1000*SER_hh_fec!V5/SER_hh_num!V5)</f>
        <v>14210.749820234891</v>
      </c>
      <c r="W5" s="132">
        <f>IF(SER_hh_fec!W5=0,0,11630*1000*SER_hh_fec!W5/SER_hh_num!W5)</f>
        <v>4373.0580912166679</v>
      </c>
      <c r="X5" s="132">
        <f>IF(SER_hh_fec!X5=0,0,11630*1000*SER_hh_fec!X5/SER_hh_num!X5)</f>
        <v>2230.6980413042234</v>
      </c>
      <c r="Y5" s="132">
        <f>IF(SER_hh_fec!Y5=0,0,11630*1000*SER_hh_fec!Y5/SER_hh_num!Y5)</f>
        <v>40994.421782025325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51789.174055969896</v>
      </c>
      <c r="C7" s="132">
        <f>IF(SER_hh_fec!C7=0,0,11630*1000*SER_hh_fec!C7/SER_hh_num!C7)</f>
        <v>64752.264982704233</v>
      </c>
      <c r="D7" s="132">
        <f>IF(SER_hh_fec!D7=0,0,11630*1000*SER_hh_fec!D7/SER_hh_num!D7)</f>
        <v>58156.68688892624</v>
      </c>
      <c r="E7" s="132">
        <f>IF(SER_hh_fec!E7=0,0,11630*1000*SER_hh_fec!E7/SER_hh_num!E7)</f>
        <v>67032.532611946968</v>
      </c>
      <c r="F7" s="132">
        <f>IF(SER_hh_fec!F7=0,0,11630*1000*SER_hh_fec!F7/SER_hh_num!F7)</f>
        <v>65730.254786466088</v>
      </c>
      <c r="G7" s="132">
        <f>IF(SER_hh_fec!G7=0,0,11630*1000*SER_hh_fec!G7/SER_hh_num!G7)</f>
        <v>66404.346465675568</v>
      </c>
      <c r="H7" s="132">
        <f>IF(SER_hh_fec!H7=0,0,11630*1000*SER_hh_fec!H7/SER_hh_num!H7)</f>
        <v>71578.092593590743</v>
      </c>
      <c r="I7" s="132">
        <f>IF(SER_hh_fec!I7=0,0,11630*1000*SER_hh_fec!I7/SER_hh_num!I7)</f>
        <v>48040.895101805938</v>
      </c>
      <c r="J7" s="132">
        <f>IF(SER_hh_fec!J7=0,0,11630*1000*SER_hh_fec!J7/SER_hh_num!J7)</f>
        <v>63778.455216393508</v>
      </c>
      <c r="K7" s="132">
        <f>IF(SER_hh_fec!K7=0,0,11630*1000*SER_hh_fec!K7/SER_hh_num!K7)</f>
        <v>57871.234869031789</v>
      </c>
      <c r="L7" s="132">
        <f>IF(SER_hh_fec!L7=0,0,11630*1000*SER_hh_fec!L7/SER_hh_num!L7)</f>
        <v>58188.988755344799</v>
      </c>
      <c r="M7" s="132">
        <f>IF(SER_hh_fec!M7=0,0,11630*1000*SER_hh_fec!M7/SER_hh_num!M7)</f>
        <v>49495.585633795825</v>
      </c>
      <c r="N7" s="132">
        <f>IF(SER_hh_fec!N7=0,0,11630*1000*SER_hh_fec!N7/SER_hh_num!N7)</f>
        <v>50888.438669093688</v>
      </c>
      <c r="O7" s="132">
        <f>IF(SER_hh_fec!O7=0,0,11630*1000*SER_hh_fec!O7/SER_hh_num!O7)</f>
        <v>52816.371586184854</v>
      </c>
      <c r="P7" s="132">
        <f>IF(SER_hh_fec!P7=0,0,11630*1000*SER_hh_fec!P7/SER_hh_num!P7)</f>
        <v>46836.679186377769</v>
      </c>
      <c r="Q7" s="132">
        <f>IF(SER_hh_fec!Q7=0,0,11630*1000*SER_hh_fec!Q7/SER_hh_num!Q7)</f>
        <v>46839.498226686635</v>
      </c>
      <c r="R7" s="132">
        <f>IF(SER_hh_fec!R7=0,0,11630*1000*SER_hh_fec!R7/SER_hh_num!R7)</f>
        <v>48177.702363232602</v>
      </c>
      <c r="S7" s="132">
        <f>IF(SER_hh_fec!S7=0,0,11630*1000*SER_hh_fec!S7/SER_hh_num!S7)</f>
        <v>52061.326318337655</v>
      </c>
      <c r="T7" s="132">
        <f>IF(SER_hh_fec!T7=0,0,11630*1000*SER_hh_fec!T7/SER_hh_num!T7)</f>
        <v>36897.237318374326</v>
      </c>
      <c r="U7" s="132">
        <f>IF(SER_hh_fec!U7=0,0,11630*1000*SER_hh_fec!U7/SER_hh_num!U7)</f>
        <v>41114.363511116244</v>
      </c>
      <c r="V7" s="132">
        <f>IF(SER_hh_fec!V7=0,0,11630*1000*SER_hh_fec!V7/SER_hh_num!V7)</f>
        <v>40973.958156986788</v>
      </c>
      <c r="W7" s="132">
        <f>IF(SER_hh_fec!W7=0,0,11630*1000*SER_hh_fec!W7/SER_hh_num!W7)</f>
        <v>67692.718784770143</v>
      </c>
      <c r="X7" s="132">
        <f>IF(SER_hh_fec!X7=0,0,11630*1000*SER_hh_fec!X7/SER_hh_num!X7)</f>
        <v>30491.50216093085</v>
      </c>
      <c r="Y7" s="132">
        <f>IF(SER_hh_fec!Y7=0,0,11630*1000*SER_hh_fec!Y7/SER_hh_num!Y7)</f>
        <v>34442.915161647587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23938.412856603863</v>
      </c>
      <c r="C8" s="132">
        <f>IF(SER_hh_fec!C8=0,0,11630*1000*SER_hh_fec!C8/SER_hh_num!C8)</f>
        <v>24847.208969553431</v>
      </c>
      <c r="D8" s="132">
        <f>IF(SER_hh_fec!D8=0,0,11630*1000*SER_hh_fec!D8/SER_hh_num!D8)</f>
        <v>25462.401923846279</v>
      </c>
      <c r="E8" s="132">
        <f>IF(SER_hh_fec!E8=0,0,11630*1000*SER_hh_fec!E8/SER_hh_num!E8)</f>
        <v>26757.530670739983</v>
      </c>
      <c r="F8" s="132">
        <f>IF(SER_hh_fec!F8=0,0,11630*1000*SER_hh_fec!F8/SER_hh_num!F8)</f>
        <v>24711.261768689623</v>
      </c>
      <c r="G8" s="132">
        <f>IF(SER_hh_fec!G8=0,0,11630*1000*SER_hh_fec!G8/SER_hh_num!G8)</f>
        <v>19367.796127001126</v>
      </c>
      <c r="H8" s="132">
        <f>IF(SER_hh_fec!H8=0,0,11630*1000*SER_hh_fec!H8/SER_hh_num!H8)</f>
        <v>19749.101171937466</v>
      </c>
      <c r="I8" s="132">
        <f>IF(SER_hh_fec!I8=0,0,11630*1000*SER_hh_fec!I8/SER_hh_num!I8)</f>
        <v>20789.042076504636</v>
      </c>
      <c r="J8" s="132">
        <f>IF(SER_hh_fec!J8=0,0,11630*1000*SER_hh_fec!J8/SER_hh_num!J8)</f>
        <v>21107.435768983003</v>
      </c>
      <c r="K8" s="132">
        <f>IF(SER_hh_fec!K8=0,0,11630*1000*SER_hh_fec!K8/SER_hh_num!K8)</f>
        <v>18293.013192348662</v>
      </c>
      <c r="L8" s="132">
        <f>IF(SER_hh_fec!L8=0,0,11630*1000*SER_hh_fec!L8/SER_hh_num!L8)</f>
        <v>15987.254833018935</v>
      </c>
      <c r="M8" s="132">
        <f>IF(SER_hh_fec!M8=0,0,11630*1000*SER_hh_fec!M8/SER_hh_num!M8)</f>
        <v>16030.68052704502</v>
      </c>
      <c r="N8" s="132">
        <f>IF(SER_hh_fec!N8=0,0,11630*1000*SER_hh_fec!N8/SER_hh_num!N8)</f>
        <v>15929.608375500406</v>
      </c>
      <c r="O8" s="132">
        <f>IF(SER_hh_fec!O8=0,0,11630*1000*SER_hh_fec!O8/SER_hh_num!O8)</f>
        <v>15954.984396810905</v>
      </c>
      <c r="P8" s="132">
        <f>IF(SER_hh_fec!P8=0,0,11630*1000*SER_hh_fec!P8/SER_hh_num!P8)</f>
        <v>14373.160407650816</v>
      </c>
      <c r="Q8" s="132">
        <f>IF(SER_hh_fec!Q8=0,0,11630*1000*SER_hh_fec!Q8/SER_hh_num!Q8)</f>
        <v>14646.85264607739</v>
      </c>
      <c r="R8" s="132">
        <f>IF(SER_hh_fec!R8=0,0,11630*1000*SER_hh_fec!R8/SER_hh_num!R8)</f>
        <v>13817.041858985882</v>
      </c>
      <c r="S8" s="132">
        <f>IF(SER_hh_fec!S8=0,0,11630*1000*SER_hh_fec!S8/SER_hh_num!S8)</f>
        <v>12882.149265096694</v>
      </c>
      <c r="T8" s="132">
        <f>IF(SER_hh_fec!T8=0,0,11630*1000*SER_hh_fec!T8/SER_hh_num!T8)</f>
        <v>11763.761243083472</v>
      </c>
      <c r="U8" s="132">
        <f>IF(SER_hh_fec!U8=0,0,11630*1000*SER_hh_fec!U8/SER_hh_num!U8)</f>
        <v>11738.400337468314</v>
      </c>
      <c r="V8" s="132">
        <f>IF(SER_hh_fec!V8=0,0,11630*1000*SER_hh_fec!V8/SER_hh_num!V8)</f>
        <v>10629.23260097604</v>
      </c>
      <c r="W8" s="132">
        <f>IF(SER_hh_fec!W8=0,0,11630*1000*SER_hh_fec!W8/SER_hh_num!W8)</f>
        <v>10220.334768597855</v>
      </c>
      <c r="X8" s="132">
        <f>IF(SER_hh_fec!X8=0,0,11630*1000*SER_hh_fec!X8/SER_hh_num!X8)</f>
        <v>9772.1899167416668</v>
      </c>
      <c r="Y8" s="132">
        <f>IF(SER_hh_fec!Y8=0,0,11630*1000*SER_hh_fec!Y8/SER_hh_num!Y8)</f>
        <v>9356.5797608220928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51261.094911929031</v>
      </c>
      <c r="C9" s="132">
        <f>IF(SER_hh_fec!C9=0,0,11630*1000*SER_hh_fec!C9/SER_hh_num!C9)</f>
        <v>47727.213327778249</v>
      </c>
      <c r="D9" s="132">
        <f>IF(SER_hh_fec!D9=0,0,11630*1000*SER_hh_fec!D9/SER_hh_num!D9)</f>
        <v>46722.970220595969</v>
      </c>
      <c r="E9" s="132">
        <f>IF(SER_hh_fec!E9=0,0,11630*1000*SER_hh_fec!E9/SER_hh_num!E9)</f>
        <v>56829.491296061133</v>
      </c>
      <c r="F9" s="132">
        <f>IF(SER_hh_fec!F9=0,0,11630*1000*SER_hh_fec!F9/SER_hh_num!F9)</f>
        <v>59294.222317445958</v>
      </c>
      <c r="G9" s="132">
        <f>IF(SER_hh_fec!G9=0,0,11630*1000*SER_hh_fec!G9/SER_hh_num!G9)</f>
        <v>58321.286035953359</v>
      </c>
      <c r="H9" s="132">
        <f>IF(SER_hh_fec!H9=0,0,11630*1000*SER_hh_fec!H9/SER_hh_num!H9)</f>
        <v>68249.455756271476</v>
      </c>
      <c r="I9" s="132">
        <f>IF(SER_hh_fec!I9=0,0,11630*1000*SER_hh_fec!I9/SER_hh_num!I9)</f>
        <v>49625.761105547164</v>
      </c>
      <c r="J9" s="132">
        <f>IF(SER_hh_fec!J9=0,0,11630*1000*SER_hh_fec!J9/SER_hh_num!J9)</f>
        <v>54761.209247286686</v>
      </c>
      <c r="K9" s="132">
        <f>IF(SER_hh_fec!K9=0,0,11630*1000*SER_hh_fec!K9/SER_hh_num!K9)</f>
        <v>51808.239346344169</v>
      </c>
      <c r="L9" s="132">
        <f>IF(SER_hh_fec!L9=0,0,11630*1000*SER_hh_fec!L9/SER_hh_num!L9)</f>
        <v>54924.643561798359</v>
      </c>
      <c r="M9" s="132">
        <f>IF(SER_hh_fec!M9=0,0,11630*1000*SER_hh_fec!M9/SER_hh_num!M9)</f>
        <v>45505.883560015049</v>
      </c>
      <c r="N9" s="132">
        <f>IF(SER_hh_fec!N9=0,0,11630*1000*SER_hh_fec!N9/SER_hh_num!N9)</f>
        <v>45363.857809545116</v>
      </c>
      <c r="O9" s="132">
        <f>IF(SER_hh_fec!O9=0,0,11630*1000*SER_hh_fec!O9/SER_hh_num!O9)</f>
        <v>53741.006574537285</v>
      </c>
      <c r="P9" s="132">
        <f>IF(SER_hh_fec!P9=0,0,11630*1000*SER_hh_fec!P9/SER_hh_num!P9)</f>
        <v>40364.592511871007</v>
      </c>
      <c r="Q9" s="132">
        <f>IF(SER_hh_fec!Q9=0,0,11630*1000*SER_hh_fec!Q9/SER_hh_num!Q9)</f>
        <v>43867.610368360089</v>
      </c>
      <c r="R9" s="132">
        <f>IF(SER_hh_fec!R9=0,0,11630*1000*SER_hh_fec!R9/SER_hh_num!R9)</f>
        <v>42199.387037570748</v>
      </c>
      <c r="S9" s="132">
        <f>IF(SER_hh_fec!S9=0,0,11630*1000*SER_hh_fec!S9/SER_hh_num!S9)</f>
        <v>39929.518185254128</v>
      </c>
      <c r="T9" s="132">
        <f>IF(SER_hh_fec!T9=0,0,11630*1000*SER_hh_fec!T9/SER_hh_num!T9)</f>
        <v>38557.146388940804</v>
      </c>
      <c r="U9" s="132">
        <f>IF(SER_hh_fec!U9=0,0,11630*1000*SER_hh_fec!U9/SER_hh_num!U9)</f>
        <v>31581.63137148317</v>
      </c>
      <c r="V9" s="132">
        <f>IF(SER_hh_fec!V9=0,0,11630*1000*SER_hh_fec!V9/SER_hh_num!V9)</f>
        <v>35810.306660217197</v>
      </c>
      <c r="W9" s="132">
        <f>IF(SER_hh_fec!W9=0,0,11630*1000*SER_hh_fec!W9/SER_hh_num!W9)</f>
        <v>40736.194793219518</v>
      </c>
      <c r="X9" s="132">
        <f>IF(SER_hh_fec!X9=0,0,11630*1000*SER_hh_fec!X9/SER_hh_num!X9)</f>
        <v>30723.448772921216</v>
      </c>
      <c r="Y9" s="132">
        <f>IF(SER_hh_fec!Y9=0,0,11630*1000*SER_hh_fec!Y9/SER_hh_num!Y9)</f>
        <v>27078.349333813658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0</v>
      </c>
      <c r="C10" s="132">
        <f>IF(SER_hh_fec!C10=0,0,11630*1000*SER_hh_fec!C10/SER_hh_num!C10)</f>
        <v>0</v>
      </c>
      <c r="D10" s="132">
        <f>IF(SER_hh_fec!D10=0,0,11630*1000*SER_hh_fec!D10/SER_hh_num!D10)</f>
        <v>0</v>
      </c>
      <c r="E10" s="132">
        <f>IF(SER_hh_fec!E10=0,0,11630*1000*SER_hh_fec!E10/SER_hh_num!E10)</f>
        <v>61630.797640008299</v>
      </c>
      <c r="F10" s="132">
        <f>IF(SER_hh_fec!F10=0,0,11630*1000*SER_hh_fec!F10/SER_hh_num!F10)</f>
        <v>59445.480296979506</v>
      </c>
      <c r="G10" s="132">
        <f>IF(SER_hh_fec!G10=0,0,11630*1000*SER_hh_fec!G10/SER_hh_num!G10)</f>
        <v>48736.47192501065</v>
      </c>
      <c r="H10" s="132">
        <f>IF(SER_hh_fec!H10=0,0,11630*1000*SER_hh_fec!H10/SER_hh_num!H10)</f>
        <v>47701.657229065153</v>
      </c>
      <c r="I10" s="132">
        <f>IF(SER_hh_fec!I10=0,0,11630*1000*SER_hh_fec!I10/SER_hh_num!I10)</f>
        <v>40477.621929142253</v>
      </c>
      <c r="J10" s="132">
        <f>IF(SER_hh_fec!J10=0,0,11630*1000*SER_hh_fec!J10/SER_hh_num!J10)</f>
        <v>48119.755890081091</v>
      </c>
      <c r="K10" s="132">
        <f>IF(SER_hh_fec!K10=0,0,11630*1000*SER_hh_fec!K10/SER_hh_num!K10)</f>
        <v>44136.168814012388</v>
      </c>
      <c r="L10" s="132">
        <f>IF(SER_hh_fec!L10=0,0,11630*1000*SER_hh_fec!L10/SER_hh_num!L10)</f>
        <v>53162.488732884689</v>
      </c>
      <c r="M10" s="132">
        <f>IF(SER_hh_fec!M10=0,0,11630*1000*SER_hh_fec!M10/SER_hh_num!M10)</f>
        <v>38075.433326163627</v>
      </c>
      <c r="N10" s="132">
        <f>IF(SER_hh_fec!N10=0,0,11630*1000*SER_hh_fec!N10/SER_hh_num!N10)</f>
        <v>42141.054136078994</v>
      </c>
      <c r="O10" s="132">
        <f>IF(SER_hh_fec!O10=0,0,11630*1000*SER_hh_fec!O10/SER_hh_num!O10)</f>
        <v>45787.029346891351</v>
      </c>
      <c r="P10" s="132">
        <f>IF(SER_hh_fec!P10=0,0,11630*1000*SER_hh_fec!P10/SER_hh_num!P10)</f>
        <v>36301.655265286019</v>
      </c>
      <c r="Q10" s="132">
        <f>IF(SER_hh_fec!Q10=0,0,11630*1000*SER_hh_fec!Q10/SER_hh_num!Q10)</f>
        <v>41015.528355097522</v>
      </c>
      <c r="R10" s="132">
        <f>IF(SER_hh_fec!R10=0,0,11630*1000*SER_hh_fec!R10/SER_hh_num!R10)</f>
        <v>37731.093840377689</v>
      </c>
      <c r="S10" s="132">
        <f>IF(SER_hh_fec!S10=0,0,11630*1000*SER_hh_fec!S10/SER_hh_num!S10)</f>
        <v>35665.909154123437</v>
      </c>
      <c r="T10" s="132">
        <f>IF(SER_hh_fec!T10=0,0,11630*1000*SER_hh_fec!T10/SER_hh_num!T10)</f>
        <v>35048.650438990997</v>
      </c>
      <c r="U10" s="132">
        <f>IF(SER_hh_fec!U10=0,0,11630*1000*SER_hh_fec!U10/SER_hh_num!U10)</f>
        <v>33938.109310586522</v>
      </c>
      <c r="V10" s="132">
        <f>IF(SER_hh_fec!V10=0,0,11630*1000*SER_hh_fec!V10/SER_hh_num!V10)</f>
        <v>31267.05732307279</v>
      </c>
      <c r="W10" s="132">
        <f>IF(SER_hh_fec!W10=0,0,11630*1000*SER_hh_fec!W10/SER_hh_num!W10)</f>
        <v>33967.70226249571</v>
      </c>
      <c r="X10" s="132">
        <f>IF(SER_hh_fec!X10=0,0,11630*1000*SER_hh_fec!X10/SER_hh_num!X10)</f>
        <v>28133.404666819388</v>
      </c>
      <c r="Y10" s="132">
        <f>IF(SER_hh_fec!Y10=0,0,11630*1000*SER_hh_fec!Y10/SER_hh_num!Y10)</f>
        <v>27089.630642015389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60353.345169615051</v>
      </c>
      <c r="F11" s="132">
        <f>IF(SER_hh_fec!F11=0,0,11630*1000*SER_hh_fec!F11/SER_hh_num!F11)</f>
        <v>44232.287552494825</v>
      </c>
      <c r="G11" s="132">
        <f>IF(SER_hh_fec!G11=0,0,11630*1000*SER_hh_fec!G11/SER_hh_num!G11)</f>
        <v>41214.355808768589</v>
      </c>
      <c r="H11" s="132">
        <f>IF(SER_hh_fec!H11=0,0,11630*1000*SER_hh_fec!H11/SER_hh_num!H11)</f>
        <v>39189.307932525393</v>
      </c>
      <c r="I11" s="132">
        <f>IF(SER_hh_fec!I11=0,0,11630*1000*SER_hh_fec!I11/SER_hh_num!I11)</f>
        <v>36597.224705878056</v>
      </c>
      <c r="J11" s="132">
        <f>IF(SER_hh_fec!J11=0,0,11630*1000*SER_hh_fec!J11/SER_hh_num!J11)</f>
        <v>35665.627302062108</v>
      </c>
      <c r="K11" s="132">
        <f>IF(SER_hh_fec!K11=0,0,11630*1000*SER_hh_fec!K11/SER_hh_num!K11)</f>
        <v>37138.330708296417</v>
      </c>
      <c r="L11" s="132">
        <f>IF(SER_hh_fec!L11=0,0,11630*1000*SER_hh_fec!L11/SER_hh_num!L11)</f>
        <v>35719.618480293459</v>
      </c>
      <c r="M11" s="132">
        <f>IF(SER_hh_fec!M11=0,0,11630*1000*SER_hh_fec!M11/SER_hh_num!M11)</f>
        <v>35817.441559581312</v>
      </c>
      <c r="N11" s="132">
        <f>IF(SER_hh_fec!N11=0,0,11630*1000*SER_hh_fec!N11/SER_hh_num!N11)</f>
        <v>33885.406122376087</v>
      </c>
      <c r="O11" s="132">
        <f>IF(SER_hh_fec!O11=0,0,11630*1000*SER_hh_fec!O11/SER_hh_num!O11)</f>
        <v>34980.385727000707</v>
      </c>
      <c r="P11" s="132">
        <f>IF(SER_hh_fec!P11=0,0,11630*1000*SER_hh_fec!P11/SER_hh_num!P11)</f>
        <v>38913.819605405915</v>
      </c>
      <c r="Q11" s="132">
        <f>IF(SER_hh_fec!Q11=0,0,11630*1000*SER_hh_fec!Q11/SER_hh_num!Q11)</f>
        <v>29471.921092037333</v>
      </c>
      <c r="R11" s="132">
        <f>IF(SER_hh_fec!R11=0,0,11630*1000*SER_hh_fec!R11/SER_hh_num!R11)</f>
        <v>30535.733346527748</v>
      </c>
      <c r="S11" s="132">
        <f>IF(SER_hh_fec!S11=0,0,11630*1000*SER_hh_fec!S11/SER_hh_num!S11)</f>
        <v>32711.178139220912</v>
      </c>
      <c r="T11" s="132">
        <f>IF(SER_hh_fec!T11=0,0,11630*1000*SER_hh_fec!T11/SER_hh_num!T11)</f>
        <v>32012.521771527889</v>
      </c>
      <c r="U11" s="132">
        <f>IF(SER_hh_fec!U11=0,0,11630*1000*SER_hh_fec!U11/SER_hh_num!U11)</f>
        <v>27811.734240855956</v>
      </c>
      <c r="V11" s="132">
        <f>IF(SER_hh_fec!V11=0,0,11630*1000*SER_hh_fec!V11/SER_hh_num!V11)</f>
        <v>26381.592440654258</v>
      </c>
      <c r="W11" s="132">
        <f>IF(SER_hh_fec!W11=0,0,11630*1000*SER_hh_fec!W11/SER_hh_num!W11)</f>
        <v>26512.167016315499</v>
      </c>
      <c r="X11" s="132">
        <f>IF(SER_hh_fec!X11=0,0,11630*1000*SER_hh_fec!X11/SER_hh_num!X11)</f>
        <v>25658.499778608275</v>
      </c>
      <c r="Y11" s="132">
        <f>IF(SER_hh_fec!Y11=0,0,11630*1000*SER_hh_fec!Y11/SER_hh_num!Y11)</f>
        <v>24455.026695245622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0</v>
      </c>
      <c r="C12" s="132">
        <f>IF(SER_hh_fec!C12=0,0,11630*1000*SER_hh_fec!C12/SER_hh_num!C12)</f>
        <v>0</v>
      </c>
      <c r="D12" s="132">
        <f>IF(SER_hh_fec!D12=0,0,11630*1000*SER_hh_fec!D12/SER_hh_num!D12)</f>
        <v>0</v>
      </c>
      <c r="E12" s="132">
        <f>IF(SER_hh_fec!E12=0,0,11630*1000*SER_hh_fec!E12/SER_hh_num!E12)</f>
        <v>59299.97924439497</v>
      </c>
      <c r="F12" s="132">
        <f>IF(SER_hh_fec!F12=0,0,11630*1000*SER_hh_fec!F12/SER_hh_num!F12)</f>
        <v>49641.616127679015</v>
      </c>
      <c r="G12" s="132">
        <f>IF(SER_hh_fec!G12=0,0,11630*1000*SER_hh_fec!G12/SER_hh_num!G12)</f>
        <v>39815.485912106371</v>
      </c>
      <c r="H12" s="132">
        <f>IF(SER_hh_fec!H12=0,0,11630*1000*SER_hh_fec!H12/SER_hh_num!H12)</f>
        <v>37141.118196188334</v>
      </c>
      <c r="I12" s="132">
        <f>IF(SER_hh_fec!I12=0,0,11630*1000*SER_hh_fec!I12/SER_hh_num!I12)</f>
        <v>34237.494817387582</v>
      </c>
      <c r="J12" s="132">
        <f>IF(SER_hh_fec!J12=0,0,11630*1000*SER_hh_fec!J12/SER_hh_num!J12)</f>
        <v>37152.630060463853</v>
      </c>
      <c r="K12" s="132">
        <f>IF(SER_hh_fec!K12=0,0,11630*1000*SER_hh_fec!K12/SER_hh_num!K12)</f>
        <v>35805.399643808916</v>
      </c>
      <c r="L12" s="132">
        <f>IF(SER_hh_fec!L12=0,0,11630*1000*SER_hh_fec!L12/SER_hh_num!L12)</f>
        <v>47655.338601921772</v>
      </c>
      <c r="M12" s="132">
        <f>IF(SER_hh_fec!M12=0,0,11630*1000*SER_hh_fec!M12/SER_hh_num!M12)</f>
        <v>30562.579043151007</v>
      </c>
      <c r="N12" s="132">
        <f>IF(SER_hh_fec!N12=0,0,11630*1000*SER_hh_fec!N12/SER_hh_num!N12)</f>
        <v>39886.991607509539</v>
      </c>
      <c r="O12" s="132">
        <f>IF(SER_hh_fec!O12=0,0,11630*1000*SER_hh_fec!O12/SER_hh_num!O12)</f>
        <v>30791.325125452324</v>
      </c>
      <c r="P12" s="132">
        <f>IF(SER_hh_fec!P12=0,0,11630*1000*SER_hh_fec!P12/SER_hh_num!P12)</f>
        <v>31060.137540480857</v>
      </c>
      <c r="Q12" s="132">
        <f>IF(SER_hh_fec!Q12=0,0,11630*1000*SER_hh_fec!Q12/SER_hh_num!Q12)</f>
        <v>36184.899913231449</v>
      </c>
      <c r="R12" s="132">
        <f>IF(SER_hh_fec!R12=0,0,11630*1000*SER_hh_fec!R12/SER_hh_num!R12)</f>
        <v>29203.669707161796</v>
      </c>
      <c r="S12" s="132">
        <f>IF(SER_hh_fec!S12=0,0,11630*1000*SER_hh_fec!S12/SER_hh_num!S12)</f>
        <v>32159.496606680044</v>
      </c>
      <c r="T12" s="132">
        <f>IF(SER_hh_fec!T12=0,0,11630*1000*SER_hh_fec!T12/SER_hh_num!T12)</f>
        <v>32524.350794149013</v>
      </c>
      <c r="U12" s="132">
        <f>IF(SER_hh_fec!U12=0,0,11630*1000*SER_hh_fec!U12/SER_hh_num!U12)</f>
        <v>30295.499914542994</v>
      </c>
      <c r="V12" s="132">
        <f>IF(SER_hh_fec!V12=0,0,11630*1000*SER_hh_fec!V12/SER_hh_num!V12)</f>
        <v>23753.563869991867</v>
      </c>
      <c r="W12" s="132">
        <f>IF(SER_hh_fec!W12=0,0,11630*1000*SER_hh_fec!W12/SER_hh_num!W12)</f>
        <v>35950.265557478284</v>
      </c>
      <c r="X12" s="132">
        <f>IF(SER_hh_fec!X12=0,0,11630*1000*SER_hh_fec!X12/SER_hh_num!X12)</f>
        <v>26413.064096622529</v>
      </c>
      <c r="Y12" s="132">
        <f>IF(SER_hh_fec!Y12=0,0,11630*1000*SER_hh_fec!Y12/SER_hh_num!Y12)</f>
        <v>24210.191399227289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14322.978792520833</v>
      </c>
      <c r="C13" s="132">
        <f>IF(SER_hh_fec!C13=0,0,11630*1000*SER_hh_fec!C13/SER_hh_num!C13)</f>
        <v>9963.3075734111426</v>
      </c>
      <c r="D13" s="132">
        <f>IF(SER_hh_fec!D13=0,0,11630*1000*SER_hh_fec!D13/SER_hh_num!D13)</f>
        <v>14616.786771093351</v>
      </c>
      <c r="E13" s="132">
        <f>IF(SER_hh_fec!E13=0,0,11630*1000*SER_hh_fec!E13/SER_hh_num!E13)</f>
        <v>20115.276444891748</v>
      </c>
      <c r="F13" s="132">
        <f>IF(SER_hh_fec!F13=0,0,11630*1000*SER_hh_fec!F13/SER_hh_num!F13)</f>
        <v>16675.247047313584</v>
      </c>
      <c r="G13" s="132">
        <f>IF(SER_hh_fec!G13=0,0,11630*1000*SER_hh_fec!G13/SER_hh_num!G13)</f>
        <v>14650.34046152217</v>
      </c>
      <c r="H13" s="132">
        <f>IF(SER_hh_fec!H13=0,0,11630*1000*SER_hh_fec!H13/SER_hh_num!H13)</f>
        <v>14418.171926587538</v>
      </c>
      <c r="I13" s="132">
        <f>IF(SER_hh_fec!I13=0,0,11630*1000*SER_hh_fec!I13/SER_hh_num!I13)</f>
        <v>13353.730923047582</v>
      </c>
      <c r="J13" s="132">
        <f>IF(SER_hh_fec!J13=0,0,11630*1000*SER_hh_fec!J13/SER_hh_num!J13)</f>
        <v>13108.530076923436</v>
      </c>
      <c r="K13" s="132">
        <f>IF(SER_hh_fec!K13=0,0,11630*1000*SER_hh_fec!K13/SER_hh_num!K13)</f>
        <v>13045.772718874949</v>
      </c>
      <c r="L13" s="132">
        <f>IF(SER_hh_fec!L13=0,0,11630*1000*SER_hh_fec!L13/SER_hh_num!L13)</f>
        <v>13439.626625867275</v>
      </c>
      <c r="M13" s="132">
        <f>IF(SER_hh_fec!M13=0,0,11630*1000*SER_hh_fec!M13/SER_hh_num!M13)</f>
        <v>12158.86748917059</v>
      </c>
      <c r="N13" s="132">
        <f>IF(SER_hh_fec!N13=0,0,11630*1000*SER_hh_fec!N13/SER_hh_num!N13)</f>
        <v>11826.381695331209</v>
      </c>
      <c r="O13" s="132">
        <f>IF(SER_hh_fec!O13=0,0,11630*1000*SER_hh_fec!O13/SER_hh_num!O13)</f>
        <v>11488.599653661653</v>
      </c>
      <c r="P13" s="132">
        <f>IF(SER_hh_fec!P13=0,0,11630*1000*SER_hh_fec!P13/SER_hh_num!P13)</f>
        <v>10772.398105853221</v>
      </c>
      <c r="Q13" s="132">
        <f>IF(SER_hh_fec!Q13=0,0,11630*1000*SER_hh_fec!Q13/SER_hh_num!Q13)</f>
        <v>10429.872415774909</v>
      </c>
      <c r="R13" s="132">
        <f>IF(SER_hh_fec!R13=0,0,11630*1000*SER_hh_fec!R13/SER_hh_num!R13)</f>
        <v>9967.8132150922847</v>
      </c>
      <c r="S13" s="132">
        <f>IF(SER_hh_fec!S13=0,0,11630*1000*SER_hh_fec!S13/SER_hh_num!S13)</f>
        <v>9417.1208968630308</v>
      </c>
      <c r="T13" s="132">
        <f>IF(SER_hh_fec!T13=0,0,11630*1000*SER_hh_fec!T13/SER_hh_num!T13)</f>
        <v>8556.8801814713588</v>
      </c>
      <c r="U13" s="132">
        <f>IF(SER_hh_fec!U13=0,0,11630*1000*SER_hh_fec!U13/SER_hh_num!U13)</f>
        <v>8284.3259732955921</v>
      </c>
      <c r="V13" s="132">
        <f>IF(SER_hh_fec!V13=0,0,11630*1000*SER_hh_fec!V13/SER_hh_num!V13)</f>
        <v>7628.8304406488041</v>
      </c>
      <c r="W13" s="132">
        <f>IF(SER_hh_fec!W13=0,0,11630*1000*SER_hh_fec!W13/SER_hh_num!W13)</f>
        <v>7297.0350583338368</v>
      </c>
      <c r="X13" s="132">
        <f>IF(SER_hh_fec!X13=0,0,11630*1000*SER_hh_fec!X13/SER_hh_num!X13)</f>
        <v>6948.1500154066616</v>
      </c>
      <c r="Y13" s="132">
        <f>IF(SER_hh_fec!Y13=0,0,11630*1000*SER_hh_fec!Y13/SER_hh_num!Y13)</f>
        <v>6708.6857369371628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35252.82091884697</v>
      </c>
      <c r="C14" s="65">
        <f>IF(SER_hh_fec!C14=0,0,11630*1000*SER_hh_fec!C14/SER_hh_num!C14)</f>
        <v>33580.942151923206</v>
      </c>
      <c r="D14" s="65">
        <f>IF(SER_hh_fec!D14=0,0,11630*1000*SER_hh_fec!D14/SER_hh_num!D14)</f>
        <v>47670.657612349401</v>
      </c>
      <c r="E14" s="65">
        <f>IF(SER_hh_fec!E14=0,0,11630*1000*SER_hh_fec!E14/SER_hh_num!E14)</f>
        <v>58093.375077957586</v>
      </c>
      <c r="F14" s="65">
        <f>IF(SER_hh_fec!F14=0,0,11630*1000*SER_hh_fec!F14/SER_hh_num!F14)</f>
        <v>48793.733412165886</v>
      </c>
      <c r="G14" s="65">
        <f>IF(SER_hh_fec!G14=0,0,11630*1000*SER_hh_fec!G14/SER_hh_num!G14)</f>
        <v>40568.985949880131</v>
      </c>
      <c r="H14" s="65">
        <f>IF(SER_hh_fec!H14=0,0,11630*1000*SER_hh_fec!H14/SER_hh_num!H14)</f>
        <v>48852.207460893369</v>
      </c>
      <c r="I14" s="65">
        <f>IF(SER_hh_fec!I14=0,0,11630*1000*SER_hh_fec!I14/SER_hh_num!I14)</f>
        <v>32873.359915147434</v>
      </c>
      <c r="J14" s="65">
        <f>IF(SER_hh_fec!J14=0,0,11630*1000*SER_hh_fec!J14/SER_hh_num!J14)</f>
        <v>41473.056673540435</v>
      </c>
      <c r="K14" s="65">
        <f>IF(SER_hh_fec!K14=0,0,11630*1000*SER_hh_fec!K14/SER_hh_num!K14)</f>
        <v>42948.947605594694</v>
      </c>
      <c r="L14" s="65">
        <f>IF(SER_hh_fec!L14=0,0,11630*1000*SER_hh_fec!L14/SER_hh_num!L14)</f>
        <v>50422.828111661853</v>
      </c>
      <c r="M14" s="65">
        <f>IF(SER_hh_fec!M14=0,0,11630*1000*SER_hh_fec!M14/SER_hh_num!M14)</f>
        <v>25875.14481980346</v>
      </c>
      <c r="N14" s="65">
        <f>IF(SER_hh_fec!N14=0,0,11630*1000*SER_hh_fec!N14/SER_hh_num!N14)</f>
        <v>38733.967837085416</v>
      </c>
      <c r="O14" s="65">
        <f>IF(SER_hh_fec!O14=0,0,11630*1000*SER_hh_fec!O14/SER_hh_num!O14)</f>
        <v>45062.485075647324</v>
      </c>
      <c r="P14" s="65">
        <f>IF(SER_hh_fec!P14=0,0,11630*1000*SER_hh_fec!P14/SER_hh_num!P14)</f>
        <v>16733.50880763193</v>
      </c>
      <c r="Q14" s="65">
        <f>IF(SER_hh_fec!Q14=0,0,11630*1000*SER_hh_fec!Q14/SER_hh_num!Q14)</f>
        <v>41518.459392425946</v>
      </c>
      <c r="R14" s="65">
        <f>IF(SER_hh_fec!R14=0,0,11630*1000*SER_hh_fec!R14/SER_hh_num!R14)</f>
        <v>46343.075930839645</v>
      </c>
      <c r="S14" s="65">
        <f>IF(SER_hh_fec!S14=0,0,11630*1000*SER_hh_fec!S14/SER_hh_num!S14)</f>
        <v>31700.987986815446</v>
      </c>
      <c r="T14" s="65">
        <f>IF(SER_hh_fec!T14=0,0,11630*1000*SER_hh_fec!T14/SER_hh_num!T14)</f>
        <v>25443.429375507811</v>
      </c>
      <c r="U14" s="65">
        <f>IF(SER_hh_fec!U14=0,0,11630*1000*SER_hh_fec!U14/SER_hh_num!U14)</f>
        <v>31609.339367535384</v>
      </c>
      <c r="V14" s="65">
        <f>IF(SER_hh_fec!V14=0,0,11630*1000*SER_hh_fec!V14/SER_hh_num!V14)</f>
        <v>34616.351749382171</v>
      </c>
      <c r="W14" s="65">
        <f>IF(SER_hh_fec!W14=0,0,11630*1000*SER_hh_fec!W14/SER_hh_num!W14)</f>
        <v>49261.737649153125</v>
      </c>
      <c r="X14" s="65">
        <f>IF(SER_hh_fec!X14=0,0,11630*1000*SER_hh_fec!X14/SER_hh_num!X14)</f>
        <v>16577.161267629395</v>
      </c>
      <c r="Y14" s="65">
        <f>IF(SER_hh_fec!Y14=0,0,11630*1000*SER_hh_fec!Y14/SER_hh_num!Y14)</f>
        <v>22999.14103463641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541.97749911050596</v>
      </c>
      <c r="C15" s="134">
        <f>IF(SER_hh_fec!C15=0,0,11630*1000*SER_hh_fec!C15/SER_hh_num!C15)</f>
        <v>566.10044502417782</v>
      </c>
      <c r="D15" s="134">
        <f>IF(SER_hh_fec!D15=0,0,11630*1000*SER_hh_fec!D15/SER_hh_num!D15)</f>
        <v>529.26374866061838</v>
      </c>
      <c r="E15" s="134">
        <f>IF(SER_hh_fec!E15=0,0,11630*1000*SER_hh_fec!E15/SER_hh_num!E15)</f>
        <v>552.31031544879738</v>
      </c>
      <c r="F15" s="134">
        <f>IF(SER_hh_fec!F15=0,0,11630*1000*SER_hh_fec!F15/SER_hh_num!F15)</f>
        <v>526.16942636085378</v>
      </c>
      <c r="G15" s="134">
        <f>IF(SER_hh_fec!G15=0,0,11630*1000*SER_hh_fec!G15/SER_hh_num!G15)</f>
        <v>491.93701589901821</v>
      </c>
      <c r="H15" s="134">
        <f>IF(SER_hh_fec!H15=0,0,11630*1000*SER_hh_fec!H15/SER_hh_num!H15)</f>
        <v>557.61028158925433</v>
      </c>
      <c r="I15" s="134">
        <f>IF(SER_hh_fec!I15=0,0,11630*1000*SER_hh_fec!I15/SER_hh_num!I15)</f>
        <v>401.60824601594049</v>
      </c>
      <c r="J15" s="134">
        <f>IF(SER_hh_fec!J15=0,0,11630*1000*SER_hh_fec!J15/SER_hh_num!J15)</f>
        <v>466.09080392709052</v>
      </c>
      <c r="K15" s="134">
        <f>IF(SER_hh_fec!K15=0,0,11630*1000*SER_hh_fec!K15/SER_hh_num!K15)</f>
        <v>430.51322225076171</v>
      </c>
      <c r="L15" s="134">
        <f>IF(SER_hh_fec!L15=0,0,11630*1000*SER_hh_fec!L15/SER_hh_num!L15)</f>
        <v>454.42402939556808</v>
      </c>
      <c r="M15" s="134">
        <f>IF(SER_hh_fec!M15=0,0,11630*1000*SER_hh_fec!M15/SER_hh_num!M15)</f>
        <v>380.54273014066229</v>
      </c>
      <c r="N15" s="134">
        <f>IF(SER_hh_fec!N15=0,0,11630*1000*SER_hh_fec!N15/SER_hh_num!N15)</f>
        <v>406.19545653220263</v>
      </c>
      <c r="O15" s="134">
        <f>IF(SER_hh_fec!O15=0,0,11630*1000*SER_hh_fec!O15/SER_hh_num!O15)</f>
        <v>471.18196021445885</v>
      </c>
      <c r="P15" s="134">
        <f>IF(SER_hh_fec!P15=0,0,11630*1000*SER_hh_fec!P15/SER_hh_num!P15)</f>
        <v>388.58749138217786</v>
      </c>
      <c r="Q15" s="134">
        <f>IF(SER_hh_fec!Q15=0,0,11630*1000*SER_hh_fec!Q15/SER_hh_num!Q15)</f>
        <v>418.9811759682832</v>
      </c>
      <c r="R15" s="134">
        <f>IF(SER_hh_fec!R15=0,0,11630*1000*SER_hh_fec!R15/SER_hh_num!R15)</f>
        <v>411.70676780614519</v>
      </c>
      <c r="S15" s="134">
        <f>IF(SER_hh_fec!S15=0,0,11630*1000*SER_hh_fec!S15/SER_hh_num!S15)</f>
        <v>408.80416263905136</v>
      </c>
      <c r="T15" s="134">
        <f>IF(SER_hh_fec!T15=0,0,11630*1000*SER_hh_fec!T15/SER_hh_num!T15)</f>
        <v>364.10188437503626</v>
      </c>
      <c r="U15" s="134">
        <f>IF(SER_hh_fec!U15=0,0,11630*1000*SER_hh_fec!U15/SER_hh_num!U15)</f>
        <v>325.07312463721735</v>
      </c>
      <c r="V15" s="134">
        <f>IF(SER_hh_fec!V15=0,0,11630*1000*SER_hh_fec!V15/SER_hh_num!V15)</f>
        <v>350.31049321336775</v>
      </c>
      <c r="W15" s="134">
        <f>IF(SER_hh_fec!W15=0,0,11630*1000*SER_hh_fec!W15/SER_hh_num!W15)</f>
        <v>433.1639736536896</v>
      </c>
      <c r="X15" s="134">
        <f>IF(SER_hh_fec!X15=0,0,11630*1000*SER_hh_fec!X15/SER_hh_num!X15)</f>
        <v>292.99595166667837</v>
      </c>
      <c r="Y15" s="134">
        <f>IF(SER_hh_fec!Y15=0,0,11630*1000*SER_hh_fec!Y15/SER_hh_num!Y15)</f>
        <v>271.16268983902245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13086.186351495009</v>
      </c>
      <c r="C16" s="130">
        <f>IF(SER_hh_fec!C16=0,0,11630*1000*SER_hh_fec!C16/SER_hh_num!C16)</f>
        <v>12738.95940251001</v>
      </c>
      <c r="D16" s="130">
        <f>IF(SER_hh_fec!D16=0,0,11630*1000*SER_hh_fec!D16/SER_hh_num!D16)</f>
        <v>12273.109859231497</v>
      </c>
      <c r="E16" s="130">
        <f>IF(SER_hh_fec!E16=0,0,11630*1000*SER_hh_fec!E16/SER_hh_num!E16)</f>
        <v>14271.812599024908</v>
      </c>
      <c r="F16" s="130">
        <f>IF(SER_hh_fec!F16=0,0,11630*1000*SER_hh_fec!F16/SER_hh_num!F16)</f>
        <v>11101.384796618317</v>
      </c>
      <c r="G16" s="130">
        <f>IF(SER_hh_fec!G16=0,0,11630*1000*SER_hh_fec!G16/SER_hh_num!G16)</f>
        <v>10637.286803664389</v>
      </c>
      <c r="H16" s="130">
        <f>IF(SER_hh_fec!H16=0,0,11630*1000*SER_hh_fec!H16/SER_hh_num!H16)</f>
        <v>11094.688543221835</v>
      </c>
      <c r="I16" s="130">
        <f>IF(SER_hh_fec!I16=0,0,11630*1000*SER_hh_fec!I16/SER_hh_num!I16)</f>
        <v>9472.3696772128242</v>
      </c>
      <c r="J16" s="130">
        <f>IF(SER_hh_fec!J16=0,0,11630*1000*SER_hh_fec!J16/SER_hh_num!J16)</f>
        <v>8931.7498677220028</v>
      </c>
      <c r="K16" s="130">
        <f>IF(SER_hh_fec!K16=0,0,11630*1000*SER_hh_fec!K16/SER_hh_num!K16)</f>
        <v>8697.3857161678279</v>
      </c>
      <c r="L16" s="130">
        <f>IF(SER_hh_fec!L16=0,0,11630*1000*SER_hh_fec!L16/SER_hh_num!L16)</f>
        <v>9205.6916031343062</v>
      </c>
      <c r="M16" s="130">
        <f>IF(SER_hh_fec!M16=0,0,11630*1000*SER_hh_fec!M16/SER_hh_num!M16)</f>
        <v>8222.6466319250976</v>
      </c>
      <c r="N16" s="130">
        <f>IF(SER_hh_fec!N16=0,0,11630*1000*SER_hh_fec!N16/SER_hh_num!N16)</f>
        <v>8059.8627758203675</v>
      </c>
      <c r="O16" s="130">
        <f>IF(SER_hh_fec!O16=0,0,11630*1000*SER_hh_fec!O16/SER_hh_num!O16)</f>
        <v>8142.3311584753474</v>
      </c>
      <c r="P16" s="130">
        <f>IF(SER_hh_fec!P16=0,0,11630*1000*SER_hh_fec!P16/SER_hh_num!P16)</f>
        <v>7440.4462611697036</v>
      </c>
      <c r="Q16" s="130">
        <f>IF(SER_hh_fec!Q16=0,0,11630*1000*SER_hh_fec!Q16/SER_hh_num!Q16)</f>
        <v>8091.5768458002003</v>
      </c>
      <c r="R16" s="130">
        <f>IF(SER_hh_fec!R16=0,0,11630*1000*SER_hh_fec!R16/SER_hh_num!R16)</f>
        <v>7048.5083115409916</v>
      </c>
      <c r="S16" s="130">
        <f>IF(SER_hh_fec!S16=0,0,11630*1000*SER_hh_fec!S16/SER_hh_num!S16)</f>
        <v>6719.2908966261502</v>
      </c>
      <c r="T16" s="130">
        <f>IF(SER_hh_fec!T16=0,0,11630*1000*SER_hh_fec!T16/SER_hh_num!T16)</f>
        <v>7994.6650564157326</v>
      </c>
      <c r="U16" s="130">
        <f>IF(SER_hh_fec!U16=0,0,11630*1000*SER_hh_fec!U16/SER_hh_num!U16)</f>
        <v>7478.6659713521258</v>
      </c>
      <c r="V16" s="130">
        <f>IF(SER_hh_fec!V16=0,0,11630*1000*SER_hh_fec!V16/SER_hh_num!V16)</f>
        <v>6314.2926898091555</v>
      </c>
      <c r="W16" s="130">
        <f>IF(SER_hh_fec!W16=0,0,11630*1000*SER_hh_fec!W16/SER_hh_num!W16)</f>
        <v>6019.4183163924636</v>
      </c>
      <c r="X16" s="130">
        <f>IF(SER_hh_fec!X16=0,0,11630*1000*SER_hh_fec!X16/SER_hh_num!X16)</f>
        <v>6657.6620285450063</v>
      </c>
      <c r="Y16" s="130">
        <f>IF(SER_hh_fec!Y16=0,0,11630*1000*SER_hh_fec!Y16/SER_hh_num!Y16)</f>
        <v>6246.7999005296633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22378.829861916773</v>
      </c>
      <c r="C17" s="132">
        <f>IF(SER_hh_fec!C17=0,0,11630*1000*SER_hh_fec!C17/SER_hh_num!C17)</f>
        <v>22306.668647848495</v>
      </c>
      <c r="D17" s="132">
        <f>IF(SER_hh_fec!D17=0,0,11630*1000*SER_hh_fec!D17/SER_hh_num!D17)</f>
        <v>22067.874218404257</v>
      </c>
      <c r="E17" s="132">
        <f>IF(SER_hh_fec!E17=0,0,11630*1000*SER_hh_fec!E17/SER_hh_num!E17)</f>
        <v>26444.400195055649</v>
      </c>
      <c r="F17" s="132">
        <f>IF(SER_hh_fec!F17=0,0,11630*1000*SER_hh_fec!F17/SER_hh_num!F17)</f>
        <v>20833.364185113995</v>
      </c>
      <c r="G17" s="132">
        <f>IF(SER_hh_fec!G17=0,0,11630*1000*SER_hh_fec!G17/SER_hh_num!G17)</f>
        <v>20621.374757820831</v>
      </c>
      <c r="H17" s="132">
        <f>IF(SER_hh_fec!H17=0,0,11630*1000*SER_hh_fec!H17/SER_hh_num!H17)</f>
        <v>22498.890937912551</v>
      </c>
      <c r="I17" s="132">
        <f>IF(SER_hh_fec!I17=0,0,11630*1000*SER_hh_fec!I17/SER_hh_num!I17)</f>
        <v>19857.864257057045</v>
      </c>
      <c r="J17" s="132">
        <f>IF(SER_hh_fec!J17=0,0,11630*1000*SER_hh_fec!J17/SER_hh_num!J17)</f>
        <v>19621.502452448658</v>
      </c>
      <c r="K17" s="132">
        <f>IF(SER_hh_fec!K17=0,0,11630*1000*SER_hh_fec!K17/SER_hh_num!K17)</f>
        <v>19356.499805380492</v>
      </c>
      <c r="L17" s="132">
        <f>IF(SER_hh_fec!L17=0,0,11630*1000*SER_hh_fec!L17/SER_hh_num!L17)</f>
        <v>20868.679014261423</v>
      </c>
      <c r="M17" s="132">
        <f>IF(SER_hh_fec!M17=0,0,11630*1000*SER_hh_fec!M17/SER_hh_num!M17)</f>
        <v>19087.816128087739</v>
      </c>
      <c r="N17" s="132">
        <f>IF(SER_hh_fec!N17=0,0,11630*1000*SER_hh_fec!N17/SER_hh_num!N17)</f>
        <v>19197.960411993743</v>
      </c>
      <c r="O17" s="132">
        <f>IF(SER_hh_fec!O17=0,0,11630*1000*SER_hh_fec!O17/SER_hh_num!O17)</f>
        <v>19811.635002388222</v>
      </c>
      <c r="P17" s="132">
        <f>IF(SER_hh_fec!P17=0,0,11630*1000*SER_hh_fec!P17/SER_hh_num!P17)</f>
        <v>18312.436838189955</v>
      </c>
      <c r="Q17" s="132">
        <f>IF(SER_hh_fec!Q17=0,0,11630*1000*SER_hh_fec!Q17/SER_hh_num!Q17)</f>
        <v>16469.537434761587</v>
      </c>
      <c r="R17" s="132">
        <f>IF(SER_hh_fec!R17=0,0,11630*1000*SER_hh_fec!R17/SER_hh_num!R17)</f>
        <v>18107.941782553618</v>
      </c>
      <c r="S17" s="132">
        <f>IF(SER_hh_fec!S17=0,0,11630*1000*SER_hh_fec!S17/SER_hh_num!S17)</f>
        <v>15759.90391198922</v>
      </c>
      <c r="T17" s="132">
        <f>IF(SER_hh_fec!T17=0,0,11630*1000*SER_hh_fec!T17/SER_hh_num!T17)</f>
        <v>21211.290615713133</v>
      </c>
      <c r="U17" s="132">
        <f>IF(SER_hh_fec!U17=0,0,11630*1000*SER_hh_fec!U17/SER_hh_num!U17)</f>
        <v>20103.411925183886</v>
      </c>
      <c r="V17" s="132">
        <f>IF(SER_hh_fec!V17=0,0,11630*1000*SER_hh_fec!V17/SER_hh_num!V17)</f>
        <v>14681.711418259425</v>
      </c>
      <c r="W17" s="132">
        <f>IF(SER_hh_fec!W17=0,0,11630*1000*SER_hh_fec!W17/SER_hh_num!W17)</f>
        <v>14096.027946426411</v>
      </c>
      <c r="X17" s="132">
        <f>IF(SER_hh_fec!X17=0,0,11630*1000*SER_hh_fec!X17/SER_hh_num!X17)</f>
        <v>18489.781991262545</v>
      </c>
      <c r="Y17" s="132">
        <f>IF(SER_hh_fec!Y17=0,0,11630*1000*SER_hh_fec!Y17/SER_hh_num!Y17)</f>
        <v>17363.246338965841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13083.542510485575</v>
      </c>
      <c r="C18" s="132">
        <f>IF(SER_hh_fec!C18=0,0,11630*1000*SER_hh_fec!C18/SER_hh_num!C18)</f>
        <v>12736.193362539536</v>
      </c>
      <c r="D18" s="132">
        <f>IF(SER_hh_fec!D18=0,0,11630*1000*SER_hh_fec!D18/SER_hh_num!D18)</f>
        <v>12270.193780744947</v>
      </c>
      <c r="E18" s="132">
        <f>IF(SER_hh_fec!E18=0,0,11630*1000*SER_hh_fec!E18/SER_hh_num!E18)</f>
        <v>14268.293901171868</v>
      </c>
      <c r="F18" s="132">
        <f>IF(SER_hh_fec!F18=0,0,11630*1000*SER_hh_fec!F18/SER_hh_num!F18)</f>
        <v>11097.262037727229</v>
      </c>
      <c r="G18" s="132">
        <f>IF(SER_hh_fec!G18=0,0,11630*1000*SER_hh_fec!G18/SER_hh_num!G18)</f>
        <v>10632.313609849334</v>
      </c>
      <c r="H18" s="132">
        <f>IF(SER_hh_fec!H18=0,0,11630*1000*SER_hh_fec!H18/SER_hh_num!H18)</f>
        <v>11089.090070711321</v>
      </c>
      <c r="I18" s="132">
        <f>IF(SER_hh_fec!I18=0,0,11630*1000*SER_hh_fec!I18/SER_hh_num!I18)</f>
        <v>9464.4758137433146</v>
      </c>
      <c r="J18" s="132">
        <f>IF(SER_hh_fec!J18=0,0,11630*1000*SER_hh_fec!J18/SER_hh_num!J18)</f>
        <v>8922.2886092879889</v>
      </c>
      <c r="K18" s="132">
        <f>IF(SER_hh_fec!K18=0,0,11630*1000*SER_hh_fec!K18/SER_hh_num!K18)</f>
        <v>8686.5271908841987</v>
      </c>
      <c r="L18" s="132">
        <f>IF(SER_hh_fec!L18=0,0,11630*1000*SER_hh_fec!L18/SER_hh_num!L18)</f>
        <v>9192.3803484680539</v>
      </c>
      <c r="M18" s="132">
        <f>IF(SER_hh_fec!M18=0,0,11630*1000*SER_hh_fec!M18/SER_hh_num!M18)</f>
        <v>8208.4009288274938</v>
      </c>
      <c r="N18" s="132">
        <f>IF(SER_hh_fec!N18=0,0,11630*1000*SER_hh_fec!N18/SER_hh_num!N18)</f>
        <v>8044.0561928501602</v>
      </c>
      <c r="O18" s="132">
        <f>IF(SER_hh_fec!O18=0,0,11630*1000*SER_hh_fec!O18/SER_hh_num!O18)</f>
        <v>8123.4689561722507</v>
      </c>
      <c r="P18" s="132">
        <f>IF(SER_hh_fec!P18=0,0,11630*1000*SER_hh_fec!P18/SER_hh_num!P18)</f>
        <v>7415.9976862467984</v>
      </c>
      <c r="Q18" s="132">
        <f>IF(SER_hh_fec!Q18=0,0,11630*1000*SER_hh_fec!Q18/SER_hh_num!Q18)</f>
        <v>8063.5842800866194</v>
      </c>
      <c r="R18" s="132">
        <f>IF(SER_hh_fec!R18=0,0,11630*1000*SER_hh_fec!R18/SER_hh_num!R18)</f>
        <v>7007.2733037782809</v>
      </c>
      <c r="S18" s="132">
        <f>IF(SER_hh_fec!S18=0,0,11630*1000*SER_hh_fec!S18/SER_hh_num!S18)</f>
        <v>6678.087103502583</v>
      </c>
      <c r="T18" s="132">
        <f>IF(SER_hh_fec!T18=0,0,11630*1000*SER_hh_fec!T18/SER_hh_num!T18)</f>
        <v>7921.7990430672489</v>
      </c>
      <c r="U18" s="132">
        <f>IF(SER_hh_fec!U18=0,0,11630*1000*SER_hh_fec!U18/SER_hh_num!U18)</f>
        <v>7400.8232812251299</v>
      </c>
      <c r="V18" s="132">
        <f>IF(SER_hh_fec!V18=0,0,11630*1000*SER_hh_fec!V18/SER_hh_num!V18)</f>
        <v>6260.7578419306546</v>
      </c>
      <c r="W18" s="132">
        <f>IF(SER_hh_fec!W18=0,0,11630*1000*SER_hh_fec!W18/SER_hh_num!W18)</f>
        <v>5965.8121623014758</v>
      </c>
      <c r="X18" s="132">
        <f>IF(SER_hh_fec!X18=0,0,11630*1000*SER_hh_fec!X18/SER_hh_num!X18)</f>
        <v>6579.2112294724866</v>
      </c>
      <c r="Y18" s="132">
        <f>IF(SER_hh_fec!Y18=0,0,11630*1000*SER_hh_fec!Y18/SER_hh_num!Y18)</f>
        <v>6171.9718255697871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9675.6529409425766</v>
      </c>
      <c r="C19" s="130">
        <f>IF(SER_hh_fec!C19=0,0,11630*1000*SER_hh_fec!C19/SER_hh_num!C19)</f>
        <v>9299.3417299008797</v>
      </c>
      <c r="D19" s="130">
        <f>IF(SER_hh_fec!D19=0,0,11630*1000*SER_hh_fec!D19/SER_hh_num!D19)</f>
        <v>9331.8800220703833</v>
      </c>
      <c r="E19" s="130">
        <f>IF(SER_hh_fec!E19=0,0,11630*1000*SER_hh_fec!E19/SER_hh_num!E19)</f>
        <v>9482.1048706402544</v>
      </c>
      <c r="F19" s="130">
        <f>IF(SER_hh_fec!F19=0,0,11630*1000*SER_hh_fec!F19/SER_hh_num!F19)</f>
        <v>9269.973979169461</v>
      </c>
      <c r="G19" s="130">
        <f>IF(SER_hh_fec!G19=0,0,11630*1000*SER_hh_fec!G19/SER_hh_num!G19)</f>
        <v>9227.8043375716879</v>
      </c>
      <c r="H19" s="130">
        <f>IF(SER_hh_fec!H19=0,0,11630*1000*SER_hh_fec!H19/SER_hh_num!H19)</f>
        <v>9235.9763573095279</v>
      </c>
      <c r="I19" s="130">
        <f>IF(SER_hh_fec!I19=0,0,11630*1000*SER_hh_fec!I19/SER_hh_num!I19)</f>
        <v>9111.9593141045825</v>
      </c>
      <c r="J19" s="130">
        <f>IF(SER_hh_fec!J19=0,0,11630*1000*SER_hh_fec!J19/SER_hh_num!J19)</f>
        <v>9032.6202191821121</v>
      </c>
      <c r="K19" s="130">
        <f>IF(SER_hh_fec!K19=0,0,11630*1000*SER_hh_fec!K19/SER_hh_num!K19)</f>
        <v>9171.4882966851656</v>
      </c>
      <c r="L19" s="130">
        <f>IF(SER_hh_fec!L19=0,0,11630*1000*SER_hh_fec!L19/SER_hh_num!L19)</f>
        <v>9003.1182139513458</v>
      </c>
      <c r="M19" s="130">
        <f>IF(SER_hh_fec!M19=0,0,11630*1000*SER_hh_fec!M19/SER_hh_num!M19)</f>
        <v>8841.452500056901</v>
      </c>
      <c r="N19" s="130">
        <f>IF(SER_hh_fec!N19=0,0,11630*1000*SER_hh_fec!N19/SER_hh_num!N19)</f>
        <v>8842.1834744007174</v>
      </c>
      <c r="O19" s="130">
        <f>IF(SER_hh_fec!O19=0,0,11630*1000*SER_hh_fec!O19/SER_hh_num!O19)</f>
        <v>8641.3013027416255</v>
      </c>
      <c r="P19" s="130">
        <f>IF(SER_hh_fec!P19=0,0,11630*1000*SER_hh_fec!P19/SER_hh_num!P19)</f>
        <v>8833.254997659471</v>
      </c>
      <c r="Q19" s="130">
        <f>IF(SER_hh_fec!Q19=0,0,11630*1000*SER_hh_fec!Q19/SER_hh_num!Q19)</f>
        <v>8763.9256595927964</v>
      </c>
      <c r="R19" s="130">
        <f>IF(SER_hh_fec!R19=0,0,11630*1000*SER_hh_fec!R19/SER_hh_num!R19)</f>
        <v>8552.9397257028195</v>
      </c>
      <c r="S19" s="130">
        <f>IF(SER_hh_fec!S19=0,0,11630*1000*SER_hh_fec!S19/SER_hh_num!S19)</f>
        <v>8513.7128421616708</v>
      </c>
      <c r="T19" s="130">
        <f>IF(SER_hh_fec!T19=0,0,11630*1000*SER_hh_fec!T19/SER_hh_num!T19)</f>
        <v>8911.0248118828895</v>
      </c>
      <c r="U19" s="130">
        <f>IF(SER_hh_fec!U19=0,0,11630*1000*SER_hh_fec!U19/SER_hh_num!U19)</f>
        <v>8620.9739726700136</v>
      </c>
      <c r="V19" s="130">
        <f>IF(SER_hh_fec!V19=0,0,11630*1000*SER_hh_fec!V19/SER_hh_num!V19)</f>
        <v>7511.365226144243</v>
      </c>
      <c r="W19" s="130">
        <f>IF(SER_hh_fec!W19=0,0,11630*1000*SER_hh_fec!W19/SER_hh_num!W19)</f>
        <v>7560.7483587365032</v>
      </c>
      <c r="X19" s="130">
        <f>IF(SER_hh_fec!X19=0,0,11630*1000*SER_hh_fec!X19/SER_hh_num!X19)</f>
        <v>6977.5891645950096</v>
      </c>
      <c r="Y19" s="130">
        <f>IF(SER_hh_fec!Y19=0,0,11630*1000*SER_hh_fec!Y19/SER_hh_num!Y19)</f>
        <v>6724.5315039762336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9078.2164236179833</v>
      </c>
      <c r="C21" s="132">
        <f>IF(SER_hh_fec!C21=0,0,11630*1000*SER_hh_fec!C21/SER_hh_num!C21)</f>
        <v>8881.70197937384</v>
      </c>
      <c r="D21" s="132">
        <f>IF(SER_hh_fec!D21=0,0,11630*1000*SER_hh_fec!D21/SER_hh_num!D21)</f>
        <v>9981.1297755708656</v>
      </c>
      <c r="E21" s="132">
        <f>IF(SER_hh_fec!E21=0,0,11630*1000*SER_hh_fec!E21/SER_hh_num!E21)</f>
        <v>9242.3381341919921</v>
      </c>
      <c r="F21" s="132">
        <f>IF(SER_hh_fec!F21=0,0,11630*1000*SER_hh_fec!F21/SER_hh_num!F21)</f>
        <v>10009.373213365234</v>
      </c>
      <c r="G21" s="132">
        <f>IF(SER_hh_fec!G21=0,0,11630*1000*SER_hh_fec!G21/SER_hh_num!G21)</f>
        <v>10044.441323029947</v>
      </c>
      <c r="H21" s="132">
        <f>IF(SER_hh_fec!H21=0,0,11630*1000*SER_hh_fec!H21/SER_hh_num!H21)</f>
        <v>9756.0266888400529</v>
      </c>
      <c r="I21" s="132">
        <f>IF(SER_hh_fec!I21=0,0,11630*1000*SER_hh_fec!I21/SER_hh_num!I21)</f>
        <v>9725.8382859430312</v>
      </c>
      <c r="J21" s="132">
        <f>IF(SER_hh_fec!J21=0,0,11630*1000*SER_hh_fec!J21/SER_hh_num!J21)</f>
        <v>9737.7055879893887</v>
      </c>
      <c r="K21" s="132">
        <f>IF(SER_hh_fec!K21=0,0,11630*1000*SER_hh_fec!K21/SER_hh_num!K21)</f>
        <v>9737.2359326373316</v>
      </c>
      <c r="L21" s="132">
        <f>IF(SER_hh_fec!L21=0,0,11630*1000*SER_hh_fec!L21/SER_hh_num!L21)</f>
        <v>9511.6814219298285</v>
      </c>
      <c r="M21" s="132">
        <f>IF(SER_hh_fec!M21=0,0,11630*1000*SER_hh_fec!M21/SER_hh_num!M21)</f>
        <v>9840.1304991683683</v>
      </c>
      <c r="N21" s="132">
        <f>IF(SER_hh_fec!N21=0,0,11630*1000*SER_hh_fec!N21/SER_hh_num!N21)</f>
        <v>9730.1304944249314</v>
      </c>
      <c r="O21" s="132">
        <f>IF(SER_hh_fec!O21=0,0,11630*1000*SER_hh_fec!O21/SER_hh_num!O21)</f>
        <v>9187.9165305690949</v>
      </c>
      <c r="P21" s="132">
        <f>IF(SER_hh_fec!P21=0,0,11630*1000*SER_hh_fec!P21/SER_hh_num!P21)</f>
        <v>9512.6052183951924</v>
      </c>
      <c r="Q21" s="132">
        <f>IF(SER_hh_fec!Q21=0,0,11630*1000*SER_hh_fec!Q21/SER_hh_num!Q21)</f>
        <v>9584.4819768927828</v>
      </c>
      <c r="R21" s="132">
        <f>IF(SER_hh_fec!R21=0,0,11630*1000*SER_hh_fec!R21/SER_hh_num!R21)</f>
        <v>9670.1524514212742</v>
      </c>
      <c r="S21" s="132">
        <f>IF(SER_hh_fec!S21=0,0,11630*1000*SER_hh_fec!S21/SER_hh_num!S21)</f>
        <v>8100.5553785963266</v>
      </c>
      <c r="T21" s="132">
        <f>IF(SER_hh_fec!T21=0,0,11630*1000*SER_hh_fec!T21/SER_hh_num!T21)</f>
        <v>10015.909833090664</v>
      </c>
      <c r="U21" s="132">
        <f>IF(SER_hh_fec!U21=0,0,11630*1000*SER_hh_fec!U21/SER_hh_num!U21)</f>
        <v>10216.112013445454</v>
      </c>
      <c r="V21" s="132">
        <f>IF(SER_hh_fec!V21=0,0,11630*1000*SER_hh_fec!V21/SER_hh_num!V21)</f>
        <v>8283.5800567101251</v>
      </c>
      <c r="W21" s="132">
        <f>IF(SER_hh_fec!W21=0,0,11630*1000*SER_hh_fec!W21/SER_hh_num!W21)</f>
        <v>6696.1327713580022</v>
      </c>
      <c r="X21" s="132">
        <f>IF(SER_hh_fec!X21=0,0,11630*1000*SER_hh_fec!X21/SER_hh_num!X21)</f>
        <v>7238.5255506695939</v>
      </c>
      <c r="Y21" s="132">
        <f>IF(SER_hh_fec!Y21=0,0,11630*1000*SER_hh_fec!Y21/SER_hh_num!Y21)</f>
        <v>6543.6735927153177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10264.671366225813</v>
      </c>
      <c r="C22" s="132">
        <f>IF(SER_hh_fec!C22=0,0,11630*1000*SER_hh_fec!C22/SER_hh_num!C22)</f>
        <v>10258.883382566846</v>
      </c>
      <c r="D22" s="132">
        <f>IF(SER_hh_fec!D22=0,0,11630*1000*SER_hh_fec!D22/SER_hh_num!D22)</f>
        <v>11510.237710646785</v>
      </c>
      <c r="E22" s="132">
        <f>IF(SER_hh_fec!E22=0,0,11630*1000*SER_hh_fec!E22/SER_hh_num!E22)</f>
        <v>10152.016281451961</v>
      </c>
      <c r="F22" s="132">
        <f>IF(SER_hh_fec!F22=0,0,11630*1000*SER_hh_fec!F22/SER_hh_num!F22)</f>
        <v>10208.106977943246</v>
      </c>
      <c r="G22" s="132">
        <f>IF(SER_hh_fec!G22=0,0,11630*1000*SER_hh_fec!G22/SER_hh_num!G22)</f>
        <v>10116.692250819313</v>
      </c>
      <c r="H22" s="132">
        <f>IF(SER_hh_fec!H22=0,0,11630*1000*SER_hh_fec!H22/SER_hh_num!H22)</f>
        <v>10349.417782505963</v>
      </c>
      <c r="I22" s="132">
        <f>IF(SER_hh_fec!I22=0,0,11630*1000*SER_hh_fec!I22/SER_hh_num!I22)</f>
        <v>10343.092904672569</v>
      </c>
      <c r="J22" s="132">
        <f>IF(SER_hh_fec!J22=0,0,11630*1000*SER_hh_fec!J22/SER_hh_num!J22)</f>
        <v>10308.359108592344</v>
      </c>
      <c r="K22" s="132">
        <f>IF(SER_hh_fec!K22=0,0,11630*1000*SER_hh_fec!K22/SER_hh_num!K22)</f>
        <v>10306.186085144956</v>
      </c>
      <c r="L22" s="132">
        <f>IF(SER_hh_fec!L22=0,0,11630*1000*SER_hh_fec!L22/SER_hh_num!L22)</f>
        <v>10085.69594232318</v>
      </c>
      <c r="M22" s="132">
        <f>IF(SER_hh_fec!M22=0,0,11630*1000*SER_hh_fec!M22/SER_hh_num!M22)</f>
        <v>10126.914197958877</v>
      </c>
      <c r="N22" s="132">
        <f>IF(SER_hh_fec!N22=0,0,11630*1000*SER_hh_fec!N22/SER_hh_num!N22)</f>
        <v>10009.798326010156</v>
      </c>
      <c r="O22" s="132">
        <f>IF(SER_hh_fec!O22=0,0,11630*1000*SER_hh_fec!O22/SER_hh_num!O22)</f>
        <v>9908.0343522472176</v>
      </c>
      <c r="P22" s="132">
        <f>IF(SER_hh_fec!P22=0,0,11630*1000*SER_hh_fec!P22/SER_hh_num!P22)</f>
        <v>9968.7043098145823</v>
      </c>
      <c r="Q22" s="132">
        <f>IF(SER_hh_fec!Q22=0,0,11630*1000*SER_hh_fec!Q22/SER_hh_num!Q22)</f>
        <v>9927.3024800538751</v>
      </c>
      <c r="R22" s="132">
        <f>IF(SER_hh_fec!R22=0,0,11630*1000*SER_hh_fec!R22/SER_hh_num!R22)</f>
        <v>10131.985268109787</v>
      </c>
      <c r="S22" s="132">
        <f>IF(SER_hh_fec!S22=0,0,11630*1000*SER_hh_fec!S22/SER_hh_num!S22)</f>
        <v>10890.084473434474</v>
      </c>
      <c r="T22" s="132">
        <f>IF(SER_hh_fec!T22=0,0,11630*1000*SER_hh_fec!T22/SER_hh_num!T22)</f>
        <v>9022.3203423127252</v>
      </c>
      <c r="U22" s="132">
        <f>IF(SER_hh_fec!U22=0,0,11630*1000*SER_hh_fec!U22/SER_hh_num!U22)</f>
        <v>9752.1095625916387</v>
      </c>
      <c r="V22" s="132">
        <f>IF(SER_hh_fec!V22=0,0,11630*1000*SER_hh_fec!V22/SER_hh_num!V22)</f>
        <v>8770.7034342151383</v>
      </c>
      <c r="W22" s="132">
        <f>IF(SER_hh_fec!W22=0,0,11630*1000*SER_hh_fec!W22/SER_hh_num!W22)</f>
        <v>9431.6226299926766</v>
      </c>
      <c r="X22" s="132">
        <f>IF(SER_hh_fec!X22=0,0,11630*1000*SER_hh_fec!X22/SER_hh_num!X22)</f>
        <v>8203.1808582218528</v>
      </c>
      <c r="Y22" s="132">
        <f>IF(SER_hh_fec!Y22=0,0,11630*1000*SER_hh_fec!Y22/SER_hh_num!Y22)</f>
        <v>7635.5495163235173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10360.72858882018</v>
      </c>
      <c r="C23" s="132">
        <f>IF(SER_hh_fec!C23=0,0,11630*1000*SER_hh_fec!C23/SER_hh_num!C23)</f>
        <v>9758.7149334239402</v>
      </c>
      <c r="D23" s="132">
        <f>IF(SER_hh_fec!D23=0,0,11630*1000*SER_hh_fec!D23/SER_hh_num!D23)</f>
        <v>8859.1678413492282</v>
      </c>
      <c r="E23" s="132">
        <f>IF(SER_hh_fec!E23=0,0,11630*1000*SER_hh_fec!E23/SER_hh_num!E23)</f>
        <v>10208.777627111705</v>
      </c>
      <c r="F23" s="132">
        <f>IF(SER_hh_fec!F23=0,0,11630*1000*SER_hh_fec!F23/SER_hh_num!F23)</f>
        <v>9748.331309061241</v>
      </c>
      <c r="G23" s="132">
        <f>IF(SER_hh_fec!G23=0,0,11630*1000*SER_hh_fec!G23/SER_hh_num!G23)</f>
        <v>9911.1947979947399</v>
      </c>
      <c r="H23" s="132">
        <f>IF(SER_hh_fec!H23=0,0,11630*1000*SER_hh_fec!H23/SER_hh_num!H23)</f>
        <v>9983.1719432633599</v>
      </c>
      <c r="I23" s="132">
        <f>IF(SER_hh_fec!I23=0,0,11630*1000*SER_hh_fec!I23/SER_hh_num!I23)</f>
        <v>9542.7391606920337</v>
      </c>
      <c r="J23" s="132">
        <f>IF(SER_hh_fec!J23=0,0,11630*1000*SER_hh_fec!J23/SER_hh_num!J23)</f>
        <v>9436.7421362543191</v>
      </c>
      <c r="K23" s="132">
        <f>IF(SER_hh_fec!K23=0,0,11630*1000*SER_hh_fec!K23/SER_hh_num!K23)</f>
        <v>9602.1011836950329</v>
      </c>
      <c r="L23" s="132">
        <f>IF(SER_hh_fec!L23=0,0,11630*1000*SER_hh_fec!L23/SER_hh_num!L23)</f>
        <v>9341.9152959397197</v>
      </c>
      <c r="M23" s="132">
        <f>IF(SER_hh_fec!M23=0,0,11630*1000*SER_hh_fec!M23/SER_hh_num!M23)</f>
        <v>9124.695853053252</v>
      </c>
      <c r="N23" s="132">
        <f>IF(SER_hh_fec!N23=0,0,11630*1000*SER_hh_fec!N23/SER_hh_num!N23)</f>
        <v>8738.3063993900487</v>
      </c>
      <c r="O23" s="132">
        <f>IF(SER_hh_fec!O23=0,0,11630*1000*SER_hh_fec!O23/SER_hh_num!O23)</f>
        <v>8750.739168690201</v>
      </c>
      <c r="P23" s="132">
        <f>IF(SER_hh_fec!P23=0,0,11630*1000*SER_hh_fec!P23/SER_hh_num!P23)</f>
        <v>9081.9749501556071</v>
      </c>
      <c r="Q23" s="132">
        <f>IF(SER_hh_fec!Q23=0,0,11630*1000*SER_hh_fec!Q23/SER_hh_num!Q23)</f>
        <v>8732.6678280970245</v>
      </c>
      <c r="R23" s="132">
        <f>IF(SER_hh_fec!R23=0,0,11630*1000*SER_hh_fec!R23/SER_hh_num!R23)</f>
        <v>8054.7621764811938</v>
      </c>
      <c r="S23" s="132">
        <f>IF(SER_hh_fec!S23=0,0,11630*1000*SER_hh_fec!S23/SER_hh_num!S23)</f>
        <v>7743.6274957604855</v>
      </c>
      <c r="T23" s="132">
        <f>IF(SER_hh_fec!T23=0,0,11630*1000*SER_hh_fec!T23/SER_hh_num!T23)</f>
        <v>9254.9997534194554</v>
      </c>
      <c r="U23" s="132">
        <f>IF(SER_hh_fec!U23=0,0,11630*1000*SER_hh_fec!U23/SER_hh_num!U23)</f>
        <v>8437.638996080821</v>
      </c>
      <c r="V23" s="132">
        <f>IF(SER_hh_fec!V23=0,0,11630*1000*SER_hh_fec!V23/SER_hh_num!V23)</f>
        <v>7481.8883485336646</v>
      </c>
      <c r="W23" s="132">
        <f>IF(SER_hh_fec!W23=0,0,11630*1000*SER_hh_fec!W23/SER_hh_num!W23)</f>
        <v>6958.3725198664833</v>
      </c>
      <c r="X23" s="132">
        <f>IF(SER_hh_fec!X23=0,0,11630*1000*SER_hh_fec!X23/SER_hh_num!X23)</f>
        <v>6920.4706719828155</v>
      </c>
      <c r="Y23" s="132">
        <f>IF(SER_hh_fec!Y23=0,0,11630*1000*SER_hh_fec!Y23/SER_hh_num!Y23)</f>
        <v>6664.3403987462352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0</v>
      </c>
      <c r="C25" s="132">
        <f>IF(SER_hh_fec!C25=0,0,11630*1000*SER_hh_fec!C25/SER_hh_num!C25)</f>
        <v>0</v>
      </c>
      <c r="D25" s="132">
        <f>IF(SER_hh_fec!D25=0,0,11630*1000*SER_hh_fec!D25/SER_hh_num!D25)</f>
        <v>0</v>
      </c>
      <c r="E25" s="132">
        <f>IF(SER_hh_fec!E25=0,0,11630*1000*SER_hh_fec!E25/SER_hh_num!E25)</f>
        <v>9773.7345552775187</v>
      </c>
      <c r="F25" s="132">
        <f>IF(SER_hh_fec!F25=0,0,11630*1000*SER_hh_fec!F25/SER_hh_num!F25)</f>
        <v>7639.1485279007693</v>
      </c>
      <c r="G25" s="132">
        <f>IF(SER_hh_fec!G25=0,0,11630*1000*SER_hh_fec!G25/SER_hh_num!G25)</f>
        <v>6957.2900767772317</v>
      </c>
      <c r="H25" s="132">
        <f>IF(SER_hh_fec!H25=0,0,11630*1000*SER_hh_fec!H25/SER_hh_num!H25)</f>
        <v>6953.3460732697149</v>
      </c>
      <c r="I25" s="132">
        <f>IF(SER_hh_fec!I25=0,0,11630*1000*SER_hh_fec!I25/SER_hh_num!I25)</f>
        <v>6869.2522036156743</v>
      </c>
      <c r="J25" s="132">
        <f>IF(SER_hh_fec!J25=0,0,11630*1000*SER_hh_fec!J25/SER_hh_num!J25)</f>
        <v>6912.5347025684932</v>
      </c>
      <c r="K25" s="132">
        <f>IF(SER_hh_fec!K25=0,0,11630*1000*SER_hh_fec!K25/SER_hh_num!K25)</f>
        <v>6961.5856434098569</v>
      </c>
      <c r="L25" s="132">
        <f>IF(SER_hh_fec!L25=0,0,11630*1000*SER_hh_fec!L25/SER_hh_num!L25)</f>
        <v>6962.1813176057867</v>
      </c>
      <c r="M25" s="132">
        <f>IF(SER_hh_fec!M25=0,0,11630*1000*SER_hh_fec!M25/SER_hh_num!M25)</f>
        <v>7257.5627539588368</v>
      </c>
      <c r="N25" s="132">
        <f>IF(SER_hh_fec!N25=0,0,11630*1000*SER_hh_fec!N25/SER_hh_num!N25)</f>
        <v>7759.7014584799599</v>
      </c>
      <c r="O25" s="132">
        <f>IF(SER_hh_fec!O25=0,0,11630*1000*SER_hh_fec!O25/SER_hh_num!O25)</f>
        <v>6071.5685285097707</v>
      </c>
      <c r="P25" s="132">
        <f>IF(SER_hh_fec!P25=0,0,11630*1000*SER_hh_fec!P25/SER_hh_num!P25)</f>
        <v>6869.1315559320656</v>
      </c>
      <c r="Q25" s="132">
        <f>IF(SER_hh_fec!Q25=0,0,11630*1000*SER_hh_fec!Q25/SER_hh_num!Q25)</f>
        <v>7413.3784554234062</v>
      </c>
      <c r="R25" s="132">
        <f>IF(SER_hh_fec!R25=0,0,11630*1000*SER_hh_fec!R25/SER_hh_num!R25)</f>
        <v>6589.7909686289913</v>
      </c>
      <c r="S25" s="132">
        <f>IF(SER_hh_fec!S25=0,0,11630*1000*SER_hh_fec!S25/SER_hh_num!S25)</f>
        <v>7040.8701777723509</v>
      </c>
      <c r="T25" s="132">
        <f>IF(SER_hh_fec!T25=0,0,11630*1000*SER_hh_fec!T25/SER_hh_num!T25)</f>
        <v>7322.1729005272273</v>
      </c>
      <c r="U25" s="132">
        <f>IF(SER_hh_fec!U25=0,0,11630*1000*SER_hh_fec!U25/SER_hh_num!U25)</f>
        <v>7168.2142157574044</v>
      </c>
      <c r="V25" s="132">
        <f>IF(SER_hh_fec!V25=0,0,11630*1000*SER_hh_fec!V25/SER_hh_num!V25)</f>
        <v>6082.6533329131062</v>
      </c>
      <c r="W25" s="132">
        <f>IF(SER_hh_fec!W25=0,0,11630*1000*SER_hh_fec!W25/SER_hh_num!W25)</f>
        <v>6510.1304490227976</v>
      </c>
      <c r="X25" s="132">
        <f>IF(SER_hh_fec!X25=0,0,11630*1000*SER_hh_fec!X25/SER_hh_num!X25)</f>
        <v>6060.6408928808487</v>
      </c>
      <c r="Y25" s="132">
        <f>IF(SER_hh_fec!Y25=0,0,11630*1000*SER_hh_fec!Y25/SER_hh_num!Y25)</f>
        <v>5910.3468018451613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8226.2137015022636</v>
      </c>
      <c r="C26" s="65">
        <f>IF(SER_hh_fec!C26=0,0,11630*1000*SER_hh_fec!C26/SER_hh_num!C26)</f>
        <v>7724.339478257968</v>
      </c>
      <c r="D26" s="65">
        <f>IF(SER_hh_fec!D26=0,0,11630*1000*SER_hh_fec!D26/SER_hh_num!D26)</f>
        <v>7953.0649562854269</v>
      </c>
      <c r="E26" s="65">
        <f>IF(SER_hh_fec!E26=0,0,11630*1000*SER_hh_fec!E26/SER_hh_num!E26)</f>
        <v>7072.9562844249058</v>
      </c>
      <c r="F26" s="65">
        <f>IF(SER_hh_fec!F26=0,0,11630*1000*SER_hh_fec!F26/SER_hh_num!F26)</f>
        <v>7925.5344461491222</v>
      </c>
      <c r="G26" s="65">
        <f>IF(SER_hh_fec!G26=0,0,11630*1000*SER_hh_fec!G26/SER_hh_num!G26)</f>
        <v>8161.9906399930196</v>
      </c>
      <c r="H26" s="65">
        <f>IF(SER_hh_fec!H26=0,0,11630*1000*SER_hh_fec!H26/SER_hh_num!H26)</f>
        <v>7760.6464340671064</v>
      </c>
      <c r="I26" s="65">
        <f>IF(SER_hh_fec!I26=0,0,11630*1000*SER_hh_fec!I26/SER_hh_num!I26)</f>
        <v>7978.1872649969227</v>
      </c>
      <c r="J26" s="65">
        <f>IF(SER_hh_fec!J26=0,0,11630*1000*SER_hh_fec!J26/SER_hh_num!J26)</f>
        <v>7803.3363368258351</v>
      </c>
      <c r="K26" s="65">
        <f>IF(SER_hh_fec!K26=0,0,11630*1000*SER_hh_fec!K26/SER_hh_num!K26)</f>
        <v>8188.7796270117733</v>
      </c>
      <c r="L26" s="65">
        <f>IF(SER_hh_fec!L26=0,0,11630*1000*SER_hh_fec!L26/SER_hh_num!L26)</f>
        <v>8124.6674856978434</v>
      </c>
      <c r="M26" s="65">
        <f>IF(SER_hh_fec!M26=0,0,11630*1000*SER_hh_fec!M26/SER_hh_num!M26)</f>
        <v>7359.4232008290292</v>
      </c>
      <c r="N26" s="65">
        <f>IF(SER_hh_fec!N26=0,0,11630*1000*SER_hh_fec!N26/SER_hh_num!N26)</f>
        <v>7780.4428281904857</v>
      </c>
      <c r="O26" s="65">
        <f>IF(SER_hh_fec!O26=0,0,11630*1000*SER_hh_fec!O26/SER_hh_num!O26)</f>
        <v>7785.3172941764342</v>
      </c>
      <c r="P26" s="65">
        <f>IF(SER_hh_fec!P26=0,0,11630*1000*SER_hh_fec!P26/SER_hh_num!P26)</f>
        <v>7410.3831965665022</v>
      </c>
      <c r="Q26" s="65">
        <f>IF(SER_hh_fec!Q26=0,0,11630*1000*SER_hh_fec!Q26/SER_hh_num!Q26)</f>
        <v>7526.1418560936536</v>
      </c>
      <c r="R26" s="65">
        <f>IF(SER_hh_fec!R26=0,0,11630*1000*SER_hh_fec!R26/SER_hh_num!R26)</f>
        <v>8082.5526833964796</v>
      </c>
      <c r="S26" s="65">
        <f>IF(SER_hh_fec!S26=0,0,11630*1000*SER_hh_fec!S26/SER_hh_num!S26)</f>
        <v>8003.4407812920226</v>
      </c>
      <c r="T26" s="65">
        <f>IF(SER_hh_fec!T26=0,0,11630*1000*SER_hh_fec!T26/SER_hh_num!T26)</f>
        <v>7756.6887479908055</v>
      </c>
      <c r="U26" s="65">
        <f>IF(SER_hh_fec!U26=0,0,11630*1000*SER_hh_fec!U26/SER_hh_num!U26)</f>
        <v>8188.8701051356484</v>
      </c>
      <c r="V26" s="65">
        <f>IF(SER_hh_fec!V26=0,0,11630*1000*SER_hh_fec!V26/SER_hh_num!V26)</f>
        <v>6429.0657106564449</v>
      </c>
      <c r="W26" s="65">
        <f>IF(SER_hh_fec!W26=0,0,11630*1000*SER_hh_fec!W26/SER_hh_num!W26)</f>
        <v>8767.6215414056041</v>
      </c>
      <c r="X26" s="65">
        <f>IF(SER_hh_fec!X26=0,0,11630*1000*SER_hh_fec!X26/SER_hh_num!X26)</f>
        <v>5371.3678712138335</v>
      </c>
      <c r="Y26" s="65">
        <f>IF(SER_hh_fec!Y26=0,0,11630*1000*SER_hh_fec!Y26/SER_hh_num!Y26)</f>
        <v>5157.9718354030656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50.166986130644212</v>
      </c>
      <c r="C27" s="145">
        <f>IF(SER_hh_fec!C27=0,0,11630*1000*SER_hh_fec!C27/SER_hh_num!C19)</f>
        <v>48.558191956698884</v>
      </c>
      <c r="D27" s="145">
        <f>IF(SER_hh_fec!D27=0,0,11630*1000*SER_hh_fec!D27/SER_hh_num!D19)</f>
        <v>53.519680561080165</v>
      </c>
      <c r="E27" s="145">
        <f>IF(SER_hh_fec!E27=0,0,11630*1000*SER_hh_fec!E27/SER_hh_num!E19)</f>
        <v>56.934120236822345</v>
      </c>
      <c r="F27" s="145">
        <f>IF(SER_hh_fec!F27=0,0,11630*1000*SER_hh_fec!F27/SER_hh_num!F19)</f>
        <v>52.619175786102772</v>
      </c>
      <c r="G27" s="145">
        <f>IF(SER_hh_fec!G27=0,0,11630*1000*SER_hh_fec!G27/SER_hh_num!G19)</f>
        <v>58.841548254267209</v>
      </c>
      <c r="H27" s="145">
        <f>IF(SER_hh_fec!H27=0,0,11630*1000*SER_hh_fec!H27/SER_hh_num!H19)</f>
        <v>62.856532632756689</v>
      </c>
      <c r="I27" s="145">
        <f>IF(SER_hh_fec!I27=0,0,11630*1000*SER_hh_fec!I27/SER_hh_num!I19)</f>
        <v>66.201884722555789</v>
      </c>
      <c r="J27" s="145">
        <f>IF(SER_hh_fec!J27=0,0,11630*1000*SER_hh_fec!J27/SER_hh_num!J19)</f>
        <v>70.619138997443699</v>
      </c>
      <c r="K27" s="145">
        <f>IF(SER_hh_fec!K27=0,0,11630*1000*SER_hh_fec!K27/SER_hh_num!K19)</f>
        <v>78.945266502271409</v>
      </c>
      <c r="L27" s="145">
        <f>IF(SER_hh_fec!L27=0,0,11630*1000*SER_hh_fec!L27/SER_hh_num!L19)</f>
        <v>79.916146465880004</v>
      </c>
      <c r="M27" s="145">
        <f>IF(SER_hh_fec!M27=0,0,11630*1000*SER_hh_fec!M27/SER_hh_num!M19)</f>
        <v>87.021923471810794</v>
      </c>
      <c r="N27" s="145">
        <f>IF(SER_hh_fec!N27=0,0,11630*1000*SER_hh_fec!N27/SER_hh_num!N19)</f>
        <v>86.251144524459889</v>
      </c>
      <c r="O27" s="145">
        <f>IF(SER_hh_fec!O27=0,0,11630*1000*SER_hh_fec!O27/SER_hh_num!O19)</f>
        <v>83.675949471326021</v>
      </c>
      <c r="P27" s="145">
        <f>IF(SER_hh_fec!P27=0,0,11630*1000*SER_hh_fec!P27/SER_hh_num!P19)</f>
        <v>86.777862412918964</v>
      </c>
      <c r="Q27" s="145">
        <f>IF(SER_hh_fec!Q27=0,0,11630*1000*SER_hh_fec!Q27/SER_hh_num!Q19)</f>
        <v>89.688981640969686</v>
      </c>
      <c r="R27" s="145">
        <f>IF(SER_hh_fec!R27=0,0,11630*1000*SER_hh_fec!R27/SER_hh_num!R19)</f>
        <v>86.960301624713949</v>
      </c>
      <c r="S27" s="145">
        <f>IF(SER_hh_fec!S27=0,0,11630*1000*SER_hh_fec!S27/SER_hh_num!S19)</f>
        <v>86.642993824878744</v>
      </c>
      <c r="T27" s="145">
        <f>IF(SER_hh_fec!T27=0,0,11630*1000*SER_hh_fec!T27/SER_hh_num!T19)</f>
        <v>96.105827114663541</v>
      </c>
      <c r="U27" s="145">
        <f>IF(SER_hh_fec!U27=0,0,11630*1000*SER_hh_fec!U27/SER_hh_num!U19)</f>
        <v>90.495346021094036</v>
      </c>
      <c r="V27" s="145">
        <f>IF(SER_hh_fec!V27=0,0,11630*1000*SER_hh_fec!V27/SER_hh_num!V19)</f>
        <v>93.598460329168546</v>
      </c>
      <c r="W27" s="145">
        <f>IF(SER_hh_fec!W27=0,0,11630*1000*SER_hh_fec!W27/SER_hh_num!W19)</f>
        <v>88.312742924988825</v>
      </c>
      <c r="X27" s="145">
        <f>IF(SER_hh_fec!X27=0,0,11630*1000*SER_hh_fec!X27/SER_hh_num!X19)</f>
        <v>99.191579017333936</v>
      </c>
      <c r="Y27" s="145">
        <f>IF(SER_hh_fec!Y27=0,0,11630*1000*SER_hh_fec!Y27/SER_hh_num!Y19)</f>
        <v>92.107114786834472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3468.4105829284476</v>
      </c>
      <c r="C28" s="146">
        <f>IF(SER_hh_fec!C27=0,0,11630*1000*SER_hh_fec!C27/SER_hh_num!C27)</f>
        <v>3471.0187955976194</v>
      </c>
      <c r="D28" s="146">
        <f>IF(SER_hh_fec!D27=0,0,11630*1000*SER_hh_fec!D27/SER_hh_num!D27)</f>
        <v>3433.3415134992065</v>
      </c>
      <c r="E28" s="146">
        <f>IF(SER_hh_fec!E27=0,0,11630*1000*SER_hh_fec!E27/SER_hh_num!E27)</f>
        <v>3611.1788094853978</v>
      </c>
      <c r="F28" s="146">
        <f>IF(SER_hh_fec!F27=0,0,11630*1000*SER_hh_fec!F27/SER_hh_num!F27)</f>
        <v>3363.5310138277709</v>
      </c>
      <c r="G28" s="146">
        <f>IF(SER_hh_fec!G27=0,0,11630*1000*SER_hh_fec!G27/SER_hh_num!G27)</f>
        <v>3413.7102611049518</v>
      </c>
      <c r="H28" s="146">
        <f>IF(SER_hh_fec!H27=0,0,11630*1000*SER_hh_fec!H27/SER_hh_num!H27)</f>
        <v>3464.2517922184757</v>
      </c>
      <c r="I28" s="146">
        <f>IF(SER_hh_fec!I27=0,0,11630*1000*SER_hh_fec!I27/SER_hh_num!I27)</f>
        <v>3129.1707337263824</v>
      </c>
      <c r="J28" s="146">
        <f>IF(SER_hh_fec!J27=0,0,11630*1000*SER_hh_fec!J27/SER_hh_num!J27)</f>
        <v>3440.3415987856779</v>
      </c>
      <c r="K28" s="146">
        <f>IF(SER_hh_fec!K27=0,0,11630*1000*SER_hh_fec!K27/SER_hh_num!K27)</f>
        <v>3486.4700623618869</v>
      </c>
      <c r="L28" s="146">
        <f>IF(SER_hh_fec!L27=0,0,11630*1000*SER_hh_fec!L27/SER_hh_num!L27)</f>
        <v>3482.9394453151413</v>
      </c>
      <c r="M28" s="146">
        <f>IF(SER_hh_fec!M27=0,0,11630*1000*SER_hh_fec!M27/SER_hh_num!M27)</f>
        <v>3324.5108574771425</v>
      </c>
      <c r="N28" s="146">
        <f>IF(SER_hh_fec!N27=0,0,11630*1000*SER_hh_fec!N27/SER_hh_num!N27)</f>
        <v>3366.2406435308735</v>
      </c>
      <c r="O28" s="146">
        <f>IF(SER_hh_fec!O27=0,0,11630*1000*SER_hh_fec!O27/SER_hh_num!O27)</f>
        <v>3176.5029765880086</v>
      </c>
      <c r="P28" s="146">
        <f>IF(SER_hh_fec!P27=0,0,11630*1000*SER_hh_fec!P27/SER_hh_num!P27)</f>
        <v>3645.9087870512813</v>
      </c>
      <c r="Q28" s="146">
        <f>IF(SER_hh_fec!Q27=0,0,11630*1000*SER_hh_fec!Q27/SER_hh_num!Q27)</f>
        <v>3662.2214676146255</v>
      </c>
      <c r="R28" s="146">
        <f>IF(SER_hh_fec!R27=0,0,11630*1000*SER_hh_fec!R27/SER_hh_num!R27)</f>
        <v>3572.1581201397648</v>
      </c>
      <c r="S28" s="146">
        <f>IF(SER_hh_fec!S27=0,0,11630*1000*SER_hh_fec!S27/SER_hh_num!S27)</f>
        <v>3421.2894316276188</v>
      </c>
      <c r="T28" s="146">
        <f>IF(SER_hh_fec!T27=0,0,11630*1000*SER_hh_fec!T27/SER_hh_num!T27)</f>
        <v>3965.4828818435531</v>
      </c>
      <c r="U28" s="146">
        <f>IF(SER_hh_fec!U27=0,0,11630*1000*SER_hh_fec!U27/SER_hh_num!U27)</f>
        <v>3861.5536755878338</v>
      </c>
      <c r="V28" s="146">
        <f>IF(SER_hh_fec!V27=0,0,11630*1000*SER_hh_fec!V27/SER_hh_num!V27)</f>
        <v>3634.3827490408557</v>
      </c>
      <c r="W28" s="146">
        <f>IF(SER_hh_fec!W27=0,0,11630*1000*SER_hh_fec!W27/SER_hh_num!W27)</f>
        <v>3391.2020560980263</v>
      </c>
      <c r="X28" s="146">
        <f>IF(SER_hh_fec!X27=0,0,11630*1000*SER_hh_fec!X27/SER_hh_num!X27)</f>
        <v>3339.7334285065554</v>
      </c>
      <c r="Y28" s="146">
        <f>IF(SER_hh_fec!Y27=0,0,11630*1000*SER_hh_fec!Y27/SER_hh_num!Y27)</f>
        <v>3538.6870400966031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10372.657796272581</v>
      </c>
      <c r="C29" s="130">
        <f>IF(SER_hh_fec!C29=0,0,11630*1000*SER_hh_fec!C29/SER_hh_num!C29)</f>
        <v>10122.609361152274</v>
      </c>
      <c r="D29" s="130">
        <f>IF(SER_hh_fec!D29=0,0,11630*1000*SER_hh_fec!D29/SER_hh_num!D29)</f>
        <v>10598.693261619734</v>
      </c>
      <c r="E29" s="130">
        <f>IF(SER_hh_fec!E29=0,0,11630*1000*SER_hh_fec!E29/SER_hh_num!E29)</f>
        <v>11026.210333178304</v>
      </c>
      <c r="F29" s="130">
        <f>IF(SER_hh_fec!F29=0,0,11630*1000*SER_hh_fec!F29/SER_hh_num!F29)</f>
        <v>10968.350637453901</v>
      </c>
      <c r="G29" s="130">
        <f>IF(SER_hh_fec!G29=0,0,11630*1000*SER_hh_fec!G29/SER_hh_num!G29)</f>
        <v>10687.566190936379</v>
      </c>
      <c r="H29" s="130">
        <f>IF(SER_hh_fec!H29=0,0,11630*1000*SER_hh_fec!H29/SER_hh_num!H29)</f>
        <v>10410.580222977156</v>
      </c>
      <c r="I29" s="130">
        <f>IF(SER_hh_fec!I29=0,0,11630*1000*SER_hh_fec!I29/SER_hh_num!I29)</f>
        <v>10387.331462051445</v>
      </c>
      <c r="J29" s="130">
        <f>IF(SER_hh_fec!J29=0,0,11630*1000*SER_hh_fec!J29/SER_hh_num!J29)</f>
        <v>10102.777135517679</v>
      </c>
      <c r="K29" s="130">
        <f>IF(SER_hh_fec!K29=0,0,11630*1000*SER_hh_fec!K29/SER_hh_num!K29)</f>
        <v>10401.633832777923</v>
      </c>
      <c r="L29" s="130">
        <f>IF(SER_hh_fec!L29=0,0,11630*1000*SER_hh_fec!L29/SER_hh_num!L29)</f>
        <v>10459.746429200772</v>
      </c>
      <c r="M29" s="130">
        <f>IF(SER_hh_fec!M29=0,0,11630*1000*SER_hh_fec!M29/SER_hh_num!M29)</f>
        <v>10185.967473530629</v>
      </c>
      <c r="N29" s="130">
        <f>IF(SER_hh_fec!N29=0,0,11630*1000*SER_hh_fec!N29/SER_hh_num!N29)</f>
        <v>10215.83304217884</v>
      </c>
      <c r="O29" s="130">
        <f>IF(SER_hh_fec!O29=0,0,11630*1000*SER_hh_fec!O29/SER_hh_num!O29)</f>
        <v>10380.484484258131</v>
      </c>
      <c r="P29" s="130">
        <f>IF(SER_hh_fec!P29=0,0,11630*1000*SER_hh_fec!P29/SER_hh_num!P29)</f>
        <v>10765.166875101049</v>
      </c>
      <c r="Q29" s="130">
        <f>IF(SER_hh_fec!Q29=0,0,11630*1000*SER_hh_fec!Q29/SER_hh_num!Q29)</f>
        <v>10638.612306624545</v>
      </c>
      <c r="R29" s="130">
        <f>IF(SER_hh_fec!R29=0,0,11630*1000*SER_hh_fec!R29/SER_hh_num!R29)</f>
        <v>10520.539288329956</v>
      </c>
      <c r="S29" s="130">
        <f>IF(SER_hh_fec!S29=0,0,11630*1000*SER_hh_fec!S29/SER_hh_num!S29)</f>
        <v>10787.83572072963</v>
      </c>
      <c r="T29" s="130">
        <f>IF(SER_hh_fec!T29=0,0,11630*1000*SER_hh_fec!T29/SER_hh_num!T29)</f>
        <v>10991.764937167673</v>
      </c>
      <c r="U29" s="130">
        <f>IF(SER_hh_fec!U29=0,0,11630*1000*SER_hh_fec!U29/SER_hh_num!U29)</f>
        <v>11188.189973178887</v>
      </c>
      <c r="V29" s="130">
        <f>IF(SER_hh_fec!V29=0,0,11630*1000*SER_hh_fec!V29/SER_hh_num!V29)</f>
        <v>10085.69013036606</v>
      </c>
      <c r="W29" s="130">
        <f>IF(SER_hh_fec!W29=0,0,11630*1000*SER_hh_fec!W29/SER_hh_num!W29)</f>
        <v>10287.392664459043</v>
      </c>
      <c r="X29" s="130">
        <f>IF(SER_hh_fec!X29=0,0,11630*1000*SER_hh_fec!X29/SER_hh_num!X29)</f>
        <v>9132.3712386031293</v>
      </c>
      <c r="Y29" s="130">
        <f>IF(SER_hh_fec!Y29=0,0,11630*1000*SER_hh_fec!Y29/SER_hh_num!Y29)</f>
        <v>8870.8080893936913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12890.484059148634</v>
      </c>
      <c r="C30" s="132">
        <f>IF(SER_hh_fec!C30=0,0,11630*1000*SER_hh_fec!C30/SER_hh_num!C30)</f>
        <v>10763.572885079377</v>
      </c>
      <c r="D30" s="132">
        <f>IF(SER_hh_fec!D30=0,0,11630*1000*SER_hh_fec!D30/SER_hh_num!D30)</f>
        <v>7886.1441976046108</v>
      </c>
      <c r="E30" s="132">
        <f>IF(SER_hh_fec!E30=0,0,11630*1000*SER_hh_fec!E30/SER_hh_num!E30)</f>
        <v>13603.164788241844</v>
      </c>
      <c r="F30" s="132">
        <f>IF(SER_hh_fec!F30=0,0,11630*1000*SER_hh_fec!F30/SER_hh_num!F30)</f>
        <v>10689.813068248151</v>
      </c>
      <c r="G30" s="132">
        <f>IF(SER_hh_fec!G30=0,0,11630*1000*SER_hh_fec!G30/SER_hh_num!G30)</f>
        <v>17151.048730286526</v>
      </c>
      <c r="H30" s="132">
        <f>IF(SER_hh_fec!H30=0,0,11630*1000*SER_hh_fec!H30/SER_hh_num!H30)</f>
        <v>10978.791109349002</v>
      </c>
      <c r="I30" s="132">
        <f>IF(SER_hh_fec!I30=0,0,11630*1000*SER_hh_fec!I30/SER_hh_num!I30)</f>
        <v>10347.626564553924</v>
      </c>
      <c r="J30" s="132">
        <f>IF(SER_hh_fec!J30=0,0,11630*1000*SER_hh_fec!J30/SER_hh_num!J30)</f>
        <v>12263.128099866817</v>
      </c>
      <c r="K30" s="132">
        <f>IF(SER_hh_fec!K30=0,0,11630*1000*SER_hh_fec!K30/SER_hh_num!K30)</f>
        <v>11074.731767719844</v>
      </c>
      <c r="L30" s="132">
        <f>IF(SER_hh_fec!L30=0,0,11630*1000*SER_hh_fec!L30/SER_hh_num!L30)</f>
        <v>9412.4324366070741</v>
      </c>
      <c r="M30" s="132">
        <f>IF(SER_hh_fec!M30=0,0,11630*1000*SER_hh_fec!M30/SER_hh_num!M30)</f>
        <v>9341.3377411918609</v>
      </c>
      <c r="N30" s="132">
        <f>IF(SER_hh_fec!N30=0,0,11630*1000*SER_hh_fec!N30/SER_hh_num!N30)</f>
        <v>10427.161565767288</v>
      </c>
      <c r="O30" s="132">
        <f>IF(SER_hh_fec!O30=0,0,11630*1000*SER_hh_fec!O30/SER_hh_num!O30)</f>
        <v>13922.303638085765</v>
      </c>
      <c r="P30" s="132">
        <f>IF(SER_hh_fec!P30=0,0,11630*1000*SER_hh_fec!P30/SER_hh_num!P30)</f>
        <v>11815.709045646756</v>
      </c>
      <c r="Q30" s="132">
        <f>IF(SER_hh_fec!Q30=0,0,11630*1000*SER_hh_fec!Q30/SER_hh_num!Q30)</f>
        <v>10243.129236989102</v>
      </c>
      <c r="R30" s="132">
        <f>IF(SER_hh_fec!R30=0,0,11630*1000*SER_hh_fec!R30/SER_hh_num!R30)</f>
        <v>13951.27753501901</v>
      </c>
      <c r="S30" s="132">
        <f>IF(SER_hh_fec!S30=0,0,11630*1000*SER_hh_fec!S30/SER_hh_num!S30)</f>
        <v>9251.5470172770038</v>
      </c>
      <c r="T30" s="132">
        <f>IF(SER_hh_fec!T30=0,0,11630*1000*SER_hh_fec!T30/SER_hh_num!T30)</f>
        <v>12081.529183680526</v>
      </c>
      <c r="U30" s="132">
        <f>IF(SER_hh_fec!U30=0,0,11630*1000*SER_hh_fec!U30/SER_hh_num!U30)</f>
        <v>12724.498369846373</v>
      </c>
      <c r="V30" s="132">
        <f>IF(SER_hh_fec!V30=0,0,11630*1000*SER_hh_fec!V30/SER_hh_num!V30)</f>
        <v>12611.805604882851</v>
      </c>
      <c r="W30" s="132">
        <f>IF(SER_hh_fec!W30=0,0,11630*1000*SER_hh_fec!W30/SER_hh_num!W30)</f>
        <v>10491.984853827757</v>
      </c>
      <c r="X30" s="132">
        <f>IF(SER_hh_fec!X30=0,0,11630*1000*SER_hh_fec!X30/SER_hh_num!X30)</f>
        <v>13647.471515478868</v>
      </c>
      <c r="Y30" s="132">
        <f>IF(SER_hh_fec!Y30=0,0,11630*1000*SER_hh_fec!Y30/SER_hh_num!Y30)</f>
        <v>4648.6632724472465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11273.544659458938</v>
      </c>
      <c r="C31" s="132">
        <f>IF(SER_hh_fec!C31=0,0,11630*1000*SER_hh_fec!C31/SER_hh_num!C31)</f>
        <v>11017.126709999073</v>
      </c>
      <c r="D31" s="132">
        <f>IF(SER_hh_fec!D31=0,0,11630*1000*SER_hh_fec!D31/SER_hh_num!D31)</f>
        <v>11691.505912330449</v>
      </c>
      <c r="E31" s="132">
        <f>IF(SER_hh_fec!E31=0,0,11630*1000*SER_hh_fec!E31/SER_hh_num!E31)</f>
        <v>11906.810188423375</v>
      </c>
      <c r="F31" s="132">
        <f>IF(SER_hh_fec!F31=0,0,11630*1000*SER_hh_fec!F31/SER_hh_num!F31)</f>
        <v>12042.720037834115</v>
      </c>
      <c r="G31" s="132">
        <f>IF(SER_hh_fec!G31=0,0,11630*1000*SER_hh_fec!G31/SER_hh_num!G31)</f>
        <v>11582.819114311673</v>
      </c>
      <c r="H31" s="132">
        <f>IF(SER_hh_fec!H31=0,0,11630*1000*SER_hh_fec!H31/SER_hh_num!H31)</f>
        <v>11556.933482793605</v>
      </c>
      <c r="I31" s="132">
        <f>IF(SER_hh_fec!I31=0,0,11630*1000*SER_hh_fec!I31/SER_hh_num!I31)</f>
        <v>11303.050766332723</v>
      </c>
      <c r="J31" s="132">
        <f>IF(SER_hh_fec!J31=0,0,11630*1000*SER_hh_fec!J31/SER_hh_num!J31)</f>
        <v>11354.137008509175</v>
      </c>
      <c r="K31" s="132">
        <f>IF(SER_hh_fec!K31=0,0,11630*1000*SER_hh_fec!K31/SER_hh_num!K31)</f>
        <v>11635.119807489671</v>
      </c>
      <c r="L31" s="132">
        <f>IF(SER_hh_fec!L31=0,0,11630*1000*SER_hh_fec!L31/SER_hh_num!L31)</f>
        <v>11543.248549142607</v>
      </c>
      <c r="M31" s="132">
        <f>IF(SER_hh_fec!M31=0,0,11630*1000*SER_hh_fec!M31/SER_hh_num!M31)</f>
        <v>11390.496585925544</v>
      </c>
      <c r="N31" s="132">
        <f>IF(SER_hh_fec!N31=0,0,11630*1000*SER_hh_fec!N31/SER_hh_num!N31)</f>
        <v>11112.873685345909</v>
      </c>
      <c r="O31" s="132">
        <f>IF(SER_hh_fec!O31=0,0,11630*1000*SER_hh_fec!O31/SER_hh_num!O31)</f>
        <v>10703.60346144028</v>
      </c>
      <c r="P31" s="132">
        <f>IF(SER_hh_fec!P31=0,0,11630*1000*SER_hh_fec!P31/SER_hh_num!P31)</f>
        <v>12984.238685672413</v>
      </c>
      <c r="Q31" s="132">
        <f>IF(SER_hh_fec!Q31=0,0,11630*1000*SER_hh_fec!Q31/SER_hh_num!Q31)</f>
        <v>11789.163440345561</v>
      </c>
      <c r="R31" s="132">
        <f>IF(SER_hh_fec!R31=0,0,11630*1000*SER_hh_fec!R31/SER_hh_num!R31)</f>
        <v>11049.154984960078</v>
      </c>
      <c r="S31" s="132">
        <f>IF(SER_hh_fec!S31=0,0,11630*1000*SER_hh_fec!S31/SER_hh_num!S31)</f>
        <v>11388.938596003483</v>
      </c>
      <c r="T31" s="132">
        <f>IF(SER_hh_fec!T31=0,0,11630*1000*SER_hh_fec!T31/SER_hh_num!T31)</f>
        <v>12116.763315255228</v>
      </c>
      <c r="U31" s="132">
        <f>IF(SER_hh_fec!U31=0,0,11630*1000*SER_hh_fec!U31/SER_hh_num!U31)</f>
        <v>12660.752695083936</v>
      </c>
      <c r="V31" s="132">
        <f>IF(SER_hh_fec!V31=0,0,11630*1000*SER_hh_fec!V31/SER_hh_num!V31)</f>
        <v>10153.007136530292</v>
      </c>
      <c r="W31" s="132">
        <f>IF(SER_hh_fec!W31=0,0,11630*1000*SER_hh_fec!W31/SER_hh_num!W31)</f>
        <v>9415.5852454920296</v>
      </c>
      <c r="X31" s="132">
        <f>IF(SER_hh_fec!X31=0,0,11630*1000*SER_hh_fec!X31/SER_hh_num!X31)</f>
        <v>9476.8687589525798</v>
      </c>
      <c r="Y31" s="132">
        <f>IF(SER_hh_fec!Y31=0,0,11630*1000*SER_hh_fec!Y31/SER_hh_num!Y31)</f>
        <v>9366.4528443556228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17492.623639122106</v>
      </c>
      <c r="F32" s="132">
        <f>IF(SER_hh_fec!F32=0,0,11630*1000*SER_hh_fec!F32/SER_hh_num!F32)</f>
        <v>13174.622845682434</v>
      </c>
      <c r="G32" s="132">
        <f>IF(SER_hh_fec!G32=0,0,11630*1000*SER_hh_fec!G32/SER_hh_num!G32)</f>
        <v>12611.855315203704</v>
      </c>
      <c r="H32" s="132">
        <f>IF(SER_hh_fec!H32=0,0,11630*1000*SER_hh_fec!H32/SER_hh_num!H32)</f>
        <v>12142.52395643222</v>
      </c>
      <c r="I32" s="132">
        <f>IF(SER_hh_fec!I32=0,0,11630*1000*SER_hh_fec!I32/SER_hh_num!I32)</f>
        <v>11695.873035342423</v>
      </c>
      <c r="J32" s="132">
        <f>IF(SER_hh_fec!J32=0,0,11630*1000*SER_hh_fec!J32/SER_hh_num!J32)</f>
        <v>11088.543682661057</v>
      </c>
      <c r="K32" s="132">
        <f>IF(SER_hh_fec!K32=0,0,11630*1000*SER_hh_fec!K32/SER_hh_num!K32)</f>
        <v>12453.570828752225</v>
      </c>
      <c r="L32" s="132">
        <f>IF(SER_hh_fec!L32=0,0,11630*1000*SER_hh_fec!L32/SER_hh_num!L32)</f>
        <v>12633.899555758191</v>
      </c>
      <c r="M32" s="132">
        <f>IF(SER_hh_fec!M32=0,0,11630*1000*SER_hh_fec!M32/SER_hh_num!M32)</f>
        <v>11994.981649346602</v>
      </c>
      <c r="N32" s="132">
        <f>IF(SER_hh_fec!N32=0,0,11630*1000*SER_hh_fec!N32/SER_hh_num!N32)</f>
        <v>12458.531550749272</v>
      </c>
      <c r="O32" s="132">
        <f>IF(SER_hh_fec!O32=0,0,11630*1000*SER_hh_fec!O32/SER_hh_num!O32)</f>
        <v>12420.665219370898</v>
      </c>
      <c r="P32" s="132">
        <f>IF(SER_hh_fec!P32=0,0,11630*1000*SER_hh_fec!P32/SER_hh_num!P32)</f>
        <v>12403.101758893536</v>
      </c>
      <c r="Q32" s="132">
        <f>IF(SER_hh_fec!Q32=0,0,11630*1000*SER_hh_fec!Q32/SER_hh_num!Q32)</f>
        <v>12630.79943746828</v>
      </c>
      <c r="R32" s="132">
        <f>IF(SER_hh_fec!R32=0,0,11630*1000*SER_hh_fec!R32/SER_hh_num!R32)</f>
        <v>12018.903870655529</v>
      </c>
      <c r="S32" s="132">
        <f>IF(SER_hh_fec!S32=0,0,11630*1000*SER_hh_fec!S32/SER_hh_num!S32)</f>
        <v>12461.615045149971</v>
      </c>
      <c r="T32" s="132">
        <f>IF(SER_hh_fec!T32=0,0,11630*1000*SER_hh_fec!T32/SER_hh_num!T32)</f>
        <v>13036.363939668647</v>
      </c>
      <c r="U32" s="132">
        <f>IF(SER_hh_fec!U32=0,0,11630*1000*SER_hh_fec!U32/SER_hh_num!U32)</f>
        <v>13044.68708135893</v>
      </c>
      <c r="V32" s="132">
        <f>IF(SER_hh_fec!V32=0,0,11630*1000*SER_hh_fec!V32/SER_hh_num!V32)</f>
        <v>10828.565663245145</v>
      </c>
      <c r="W32" s="132">
        <f>IF(SER_hh_fec!W32=0,0,11630*1000*SER_hh_fec!W32/SER_hh_num!W32)</f>
        <v>11914.700062266056</v>
      </c>
      <c r="X32" s="132">
        <f>IF(SER_hh_fec!X32=0,0,11630*1000*SER_hh_fec!X32/SER_hh_num!X32)</f>
        <v>9741.1971596673575</v>
      </c>
      <c r="Y32" s="132">
        <f>IF(SER_hh_fec!Y32=0,0,11630*1000*SER_hh_fec!Y32/SER_hh_num!Y32)</f>
        <v>9876.5598523458411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8580.009003968953</v>
      </c>
      <c r="C33" s="68">
        <f>IF(SER_hh_fec!C33=0,0,11630*1000*SER_hh_fec!C33/SER_hh_num!C33)</f>
        <v>8396.1577093801588</v>
      </c>
      <c r="D33" s="68">
        <f>IF(SER_hh_fec!D33=0,0,11630*1000*SER_hh_fec!D33/SER_hh_num!D33)</f>
        <v>8824.8483485809666</v>
      </c>
      <c r="E33" s="68">
        <f>IF(SER_hh_fec!E33=0,0,11630*1000*SER_hh_fec!E33/SER_hh_num!E33)</f>
        <v>9222.9479629344351</v>
      </c>
      <c r="F33" s="68">
        <f>IF(SER_hh_fec!F33=0,0,11630*1000*SER_hh_fec!F33/SER_hh_num!F33)</f>
        <v>9153.9702036399522</v>
      </c>
      <c r="G33" s="68">
        <f>IF(SER_hh_fec!G33=0,0,11630*1000*SER_hh_fec!G33/SER_hh_num!G33)</f>
        <v>8537.9178856923354</v>
      </c>
      <c r="H33" s="68">
        <f>IF(SER_hh_fec!H33=0,0,11630*1000*SER_hh_fec!H33/SER_hh_num!H33)</f>
        <v>8490.3660728027444</v>
      </c>
      <c r="I33" s="68">
        <f>IF(SER_hh_fec!I33=0,0,11630*1000*SER_hh_fec!I33/SER_hh_num!I33)</f>
        <v>8989.3976049352423</v>
      </c>
      <c r="J33" s="68">
        <f>IF(SER_hh_fec!J33=0,0,11630*1000*SER_hh_fec!J33/SER_hh_num!J33)</f>
        <v>8102.5544866641985</v>
      </c>
      <c r="K33" s="68">
        <f>IF(SER_hh_fec!K33=0,0,11630*1000*SER_hh_fec!K33/SER_hh_num!K33)</f>
        <v>8772.6441363770646</v>
      </c>
      <c r="L33" s="68">
        <f>IF(SER_hh_fec!L33=0,0,11630*1000*SER_hh_fec!L33/SER_hh_num!L33)</f>
        <v>9293.7989963752589</v>
      </c>
      <c r="M33" s="68">
        <f>IF(SER_hh_fec!M33=0,0,11630*1000*SER_hh_fec!M33/SER_hh_num!M33)</f>
        <v>8975.6669366912138</v>
      </c>
      <c r="N33" s="68">
        <f>IF(SER_hh_fec!N33=0,0,11630*1000*SER_hh_fec!N33/SER_hh_num!N33)</f>
        <v>9206.5422498911794</v>
      </c>
      <c r="O33" s="68">
        <f>IF(SER_hh_fec!O33=0,0,11630*1000*SER_hh_fec!O33/SER_hh_num!O33)</f>
        <v>9666.9832558319304</v>
      </c>
      <c r="P33" s="68">
        <f>IF(SER_hh_fec!P33=0,0,11630*1000*SER_hh_fec!P33/SER_hh_num!P33)</f>
        <v>7276.2350386686094</v>
      </c>
      <c r="Q33" s="68">
        <f>IF(SER_hh_fec!Q33=0,0,11630*1000*SER_hh_fec!Q33/SER_hh_num!Q33)</f>
        <v>8824.3954778478419</v>
      </c>
      <c r="R33" s="68">
        <f>IF(SER_hh_fec!R33=0,0,11630*1000*SER_hh_fec!R33/SER_hh_num!R33)</f>
        <v>9290.830136511473</v>
      </c>
      <c r="S33" s="68">
        <f>IF(SER_hh_fec!S33=0,0,11630*1000*SER_hh_fec!S33/SER_hh_num!S33)</f>
        <v>9768.3796986687357</v>
      </c>
      <c r="T33" s="68">
        <f>IF(SER_hh_fec!T33=0,0,11630*1000*SER_hh_fec!T33/SER_hh_num!T33)</f>
        <v>8205.5169626092793</v>
      </c>
      <c r="U33" s="68">
        <f>IF(SER_hh_fec!U33=0,0,11630*1000*SER_hh_fec!U33/SER_hh_num!U33)</f>
        <v>7046.1317457475679</v>
      </c>
      <c r="V33" s="68">
        <f>IF(SER_hh_fec!V33=0,0,11630*1000*SER_hh_fec!V33/SER_hh_num!V33)</f>
        <v>9528.9373559210962</v>
      </c>
      <c r="W33" s="68">
        <f>IF(SER_hh_fec!W33=0,0,11630*1000*SER_hh_fec!W33/SER_hh_num!W33)</f>
        <v>13762.181630060395</v>
      </c>
      <c r="X33" s="68">
        <f>IF(SER_hh_fec!X33=0,0,11630*1000*SER_hh_fec!X33/SER_hh_num!X33)</f>
        <v>6396.5988727433905</v>
      </c>
      <c r="Y33" s="68">
        <f>IF(SER_hh_fec!Y33=0,0,11630*1000*SER_hh_fec!Y33/SER_hh_num!Y33)</f>
        <v>5727.7529305181697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43199.85624417902</v>
      </c>
      <c r="C3" s="125">
        <f>IF(SER_hh_tes!C3=0,0,11630*1000*SER_hh_tes!C3/SER_hh_num!C3)</f>
        <v>44479.875357103352</v>
      </c>
      <c r="D3" s="125">
        <f>IF(SER_hh_tes!D3=0,0,11630*1000*SER_hh_tes!D3/SER_hh_num!D3)</f>
        <v>44960.76444786066</v>
      </c>
      <c r="E3" s="125">
        <f>IF(SER_hh_tes!E3=0,0,11630*1000*SER_hh_tes!E3/SER_hh_num!E3)</f>
        <v>54738.782274705867</v>
      </c>
      <c r="F3" s="125">
        <f>IF(SER_hh_tes!F3=0,0,11630*1000*SER_hh_tes!F3/SER_hh_num!F3)</f>
        <v>52918.773699788835</v>
      </c>
      <c r="G3" s="125">
        <f>IF(SER_hh_tes!G3=0,0,11630*1000*SER_hh_tes!G3/SER_hh_num!G3)</f>
        <v>50507.86704094227</v>
      </c>
      <c r="H3" s="125">
        <f>IF(SER_hh_tes!H3=0,0,11630*1000*SER_hh_tes!H3/SER_hh_num!H3)</f>
        <v>54614.998163733981</v>
      </c>
      <c r="I3" s="125">
        <f>IF(SER_hh_tes!I3=0,0,11630*1000*SER_hh_tes!I3/SER_hh_num!I3)</f>
        <v>45516.204814688826</v>
      </c>
      <c r="J3" s="125">
        <f>IF(SER_hh_tes!J3=0,0,11630*1000*SER_hh_tes!J3/SER_hh_num!J3)</f>
        <v>50620.303670031506</v>
      </c>
      <c r="K3" s="125">
        <f>IF(SER_hh_tes!K3=0,0,11630*1000*SER_hh_tes!K3/SER_hh_num!K3)</f>
        <v>49773.363183054222</v>
      </c>
      <c r="L3" s="125">
        <f>IF(SER_hh_tes!L3=0,0,11630*1000*SER_hh_tes!L3/SER_hh_num!L3)</f>
        <v>54752.577487951552</v>
      </c>
      <c r="M3" s="125">
        <f>IF(SER_hh_tes!M3=0,0,11630*1000*SER_hh_tes!M3/SER_hh_num!M3)</f>
        <v>46260.26637280592</v>
      </c>
      <c r="N3" s="125">
        <f>IF(SER_hh_tes!N3=0,0,11630*1000*SER_hh_tes!N3/SER_hh_num!N3)</f>
        <v>49682.146363410422</v>
      </c>
      <c r="O3" s="125">
        <f>IF(SER_hh_tes!O3=0,0,11630*1000*SER_hh_tes!O3/SER_hh_num!O3)</f>
        <v>52820.48815016327</v>
      </c>
      <c r="P3" s="125">
        <f>IF(SER_hh_tes!P3=0,0,11630*1000*SER_hh_tes!P3/SER_hh_num!P3)</f>
        <v>46511.604121676173</v>
      </c>
      <c r="Q3" s="125">
        <f>IF(SER_hh_tes!Q3=0,0,11630*1000*SER_hh_tes!Q3/SER_hh_num!Q3)</f>
        <v>50613.823168536423</v>
      </c>
      <c r="R3" s="125">
        <f>IF(SER_hh_tes!R3=0,0,11630*1000*SER_hh_tes!R3/SER_hh_num!R3)</f>
        <v>49137.949986733161</v>
      </c>
      <c r="S3" s="125">
        <f>IF(SER_hh_tes!S3=0,0,11630*1000*SER_hh_tes!S3/SER_hh_num!S3)</f>
        <v>49201.302819281605</v>
      </c>
      <c r="T3" s="125">
        <f>IF(SER_hh_tes!T3=0,0,11630*1000*SER_hh_tes!T3/SER_hh_num!T3)</f>
        <v>48643.763564772904</v>
      </c>
      <c r="U3" s="125">
        <f>IF(SER_hh_tes!U3=0,0,11630*1000*SER_hh_tes!U3/SER_hh_num!U3)</f>
        <v>46455.517027529386</v>
      </c>
      <c r="V3" s="125">
        <f>IF(SER_hh_tes!V3=0,0,11630*1000*SER_hh_tes!V3/SER_hh_num!V3)</f>
        <v>45286.720037618739</v>
      </c>
      <c r="W3" s="125">
        <f>IF(SER_hh_tes!W3=0,0,11630*1000*SER_hh_tes!W3/SER_hh_num!W3)</f>
        <v>52462.854692194873</v>
      </c>
      <c r="X3" s="125">
        <f>IF(SER_hh_tes!X3=0,0,11630*1000*SER_hh_tes!X3/SER_hh_num!X3)</f>
        <v>42060.241314186474</v>
      </c>
      <c r="Y3" s="125">
        <f>IF(SER_hh_tes!Y3=0,0,11630*1000*SER_hh_tes!Y3/SER_hh_num!Y3)</f>
        <v>40404.309933990269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27943.704153592036</v>
      </c>
      <c r="C4" s="130">
        <f>IF(SER_hh_tes!C4=0,0,11630*1000*SER_hh_tes!C4/SER_hh_num!C4)</f>
        <v>29490.354247542855</v>
      </c>
      <c r="D4" s="130">
        <f>IF(SER_hh_tes!D4=0,0,11630*1000*SER_hh_tes!D4/SER_hh_num!D4)</f>
        <v>29408.015241904515</v>
      </c>
      <c r="E4" s="130">
        <f>IF(SER_hh_tes!E4=0,0,11630*1000*SER_hh_tes!E4/SER_hh_num!E4)</f>
        <v>37845.585762773764</v>
      </c>
      <c r="F4" s="130">
        <f>IF(SER_hh_tes!F4=0,0,11630*1000*SER_hh_tes!F4/SER_hh_num!F4)</f>
        <v>36651.291162024034</v>
      </c>
      <c r="G4" s="130">
        <f>IF(SER_hh_tes!G4=0,0,11630*1000*SER_hh_tes!G4/SER_hh_num!G4)</f>
        <v>34190.211679922853</v>
      </c>
      <c r="H4" s="130">
        <f>IF(SER_hh_tes!H4=0,0,11630*1000*SER_hh_tes!H4/SER_hh_num!H4)</f>
        <v>37828.241413277021</v>
      </c>
      <c r="I4" s="130">
        <f>IF(SER_hh_tes!I4=0,0,11630*1000*SER_hh_tes!I4/SER_hh_num!I4)</f>
        <v>28736.590129615157</v>
      </c>
      <c r="J4" s="130">
        <f>IF(SER_hh_tes!J4=0,0,11630*1000*SER_hh_tes!J4/SER_hh_num!J4)</f>
        <v>33793.515285395159</v>
      </c>
      <c r="K4" s="130">
        <f>IF(SER_hh_tes!K4=0,0,11630*1000*SER_hh_tes!K4/SER_hh_num!K4)</f>
        <v>32174.63189634529</v>
      </c>
      <c r="L4" s="130">
        <f>IF(SER_hh_tes!L4=0,0,11630*1000*SER_hh_tes!L4/SER_hh_num!L4)</f>
        <v>36396.795070338841</v>
      </c>
      <c r="M4" s="130">
        <f>IF(SER_hh_tes!M4=0,0,11630*1000*SER_hh_tes!M4/SER_hh_num!M4)</f>
        <v>28253.403363719692</v>
      </c>
      <c r="N4" s="130">
        <f>IF(SER_hh_tes!N4=0,0,11630*1000*SER_hh_tes!N4/SER_hh_num!N4)</f>
        <v>31232.945903577776</v>
      </c>
      <c r="O4" s="130">
        <f>IF(SER_hh_tes!O4=0,0,11630*1000*SER_hh_tes!O4/SER_hh_num!O4)</f>
        <v>33936.879193065986</v>
      </c>
      <c r="P4" s="130">
        <f>IF(SER_hh_tes!P4=0,0,11630*1000*SER_hh_tes!P4/SER_hh_num!P4)</f>
        <v>27683.477881879167</v>
      </c>
      <c r="Q4" s="130">
        <f>IF(SER_hh_tes!Q4=0,0,11630*1000*SER_hh_tes!Q4/SER_hh_num!Q4)</f>
        <v>30908.819255879869</v>
      </c>
      <c r="R4" s="130">
        <f>IF(SER_hh_tes!R4=0,0,11630*1000*SER_hh_tes!R4/SER_hh_num!R4)</f>
        <v>30039.262316542154</v>
      </c>
      <c r="S4" s="130">
        <f>IF(SER_hh_tes!S4=0,0,11630*1000*SER_hh_tes!S4/SER_hh_num!S4)</f>
        <v>29919.897535567507</v>
      </c>
      <c r="T4" s="130">
        <f>IF(SER_hh_tes!T4=0,0,11630*1000*SER_hh_tes!T4/SER_hh_num!T4)</f>
        <v>27528.933199813502</v>
      </c>
      <c r="U4" s="130">
        <f>IF(SER_hh_tes!U4=0,0,11630*1000*SER_hh_tes!U4/SER_hh_num!U4)</f>
        <v>25616.547459075889</v>
      </c>
      <c r="V4" s="130">
        <f>IF(SER_hh_tes!V4=0,0,11630*1000*SER_hh_tes!V4/SER_hh_num!V4)</f>
        <v>26667.898332332723</v>
      </c>
      <c r="W4" s="130">
        <f>IF(SER_hh_tes!W4=0,0,11630*1000*SER_hh_tes!W4/SER_hh_num!W4)</f>
        <v>33659.431322802768</v>
      </c>
      <c r="X4" s="130">
        <f>IF(SER_hh_tes!X4=0,0,11630*1000*SER_hh_tes!X4/SER_hh_num!X4)</f>
        <v>23859.800140111685</v>
      </c>
      <c r="Y4" s="130">
        <f>IF(SER_hh_tes!Y4=0,0,11630*1000*SER_hh_tes!Y4/SER_hh_num!Y4)</f>
        <v>22728.457364208032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27572.558328307281</v>
      </c>
      <c r="C5" s="132">
        <f>IF(SER_hh_tes!C5=0,0,11630*1000*SER_hh_tes!C5/SER_hh_num!C5)</f>
        <v>30663.012902799383</v>
      </c>
      <c r="D5" s="132">
        <f>IF(SER_hh_tes!D5=0,0,11630*1000*SER_hh_tes!D5/SER_hh_num!D5)</f>
        <v>32823.586717536637</v>
      </c>
      <c r="E5" s="132">
        <f>IF(SER_hh_tes!E5=0,0,11630*1000*SER_hh_tes!E5/SER_hh_num!E5)</f>
        <v>18788.036316652549</v>
      </c>
      <c r="F5" s="132">
        <f>IF(SER_hh_tes!F5=0,0,11630*1000*SER_hh_tes!F5/SER_hh_num!F5)</f>
        <v>18713.827741142341</v>
      </c>
      <c r="G5" s="132">
        <f>IF(SER_hh_tes!G5=0,0,11630*1000*SER_hh_tes!G5/SER_hh_num!G5)</f>
        <v>21381.751270838893</v>
      </c>
      <c r="H5" s="132">
        <f>IF(SER_hh_tes!H5=0,0,11630*1000*SER_hh_tes!H5/SER_hh_num!H5)</f>
        <v>27861.792953851098</v>
      </c>
      <c r="I5" s="132">
        <f>IF(SER_hh_tes!I5=0,0,11630*1000*SER_hh_tes!I5/SER_hh_num!I5)</f>
        <v>42111.557919072795</v>
      </c>
      <c r="J5" s="132">
        <f>IF(SER_hh_tes!J5=0,0,11630*1000*SER_hh_tes!J5/SER_hh_num!J5)</f>
        <v>33742.242010432841</v>
      </c>
      <c r="K5" s="132">
        <f>IF(SER_hh_tes!K5=0,0,11630*1000*SER_hh_tes!K5/SER_hh_num!K5)</f>
        <v>29301.103985050504</v>
      </c>
      <c r="L5" s="132">
        <f>IF(SER_hh_tes!L5=0,0,11630*1000*SER_hh_tes!L5/SER_hh_num!L5)</f>
        <v>28833.947775556146</v>
      </c>
      <c r="M5" s="132">
        <f>IF(SER_hh_tes!M5=0,0,11630*1000*SER_hh_tes!M5/SER_hh_num!M5)</f>
        <v>31235.844779157072</v>
      </c>
      <c r="N5" s="132">
        <f>IF(SER_hh_tes!N5=0,0,11630*1000*SER_hh_tes!N5/SER_hh_num!N5)</f>
        <v>37947.575109565179</v>
      </c>
      <c r="O5" s="132">
        <f>IF(SER_hh_tes!O5=0,0,11630*1000*SER_hh_tes!O5/SER_hh_num!O5)</f>
        <v>18463.342991275567</v>
      </c>
      <c r="P5" s="132">
        <f>IF(SER_hh_tes!P5=0,0,11630*1000*SER_hh_tes!P5/SER_hh_num!P5)</f>
        <v>25615.122468827845</v>
      </c>
      <c r="Q5" s="132">
        <f>IF(SER_hh_tes!Q5=0,0,11630*1000*SER_hh_tes!Q5/SER_hh_num!Q5)</f>
        <v>58150.612184521749</v>
      </c>
      <c r="R5" s="132">
        <f>IF(SER_hh_tes!R5=0,0,11630*1000*SER_hh_tes!R5/SER_hh_num!R5)</f>
        <v>13988.059189510141</v>
      </c>
      <c r="S5" s="132">
        <f>IF(SER_hh_tes!S5=0,0,11630*1000*SER_hh_tes!S5/SER_hh_num!S5)</f>
        <v>15371.566593143687</v>
      </c>
      <c r="T5" s="132">
        <f>IF(SER_hh_tes!T5=0,0,11630*1000*SER_hh_tes!T5/SER_hh_num!T5)</f>
        <v>38692.408091421858</v>
      </c>
      <c r="U5" s="132">
        <f>IF(SER_hh_tes!U5=0,0,11630*1000*SER_hh_tes!U5/SER_hh_num!U5)</f>
        <v>7192.9231707697581</v>
      </c>
      <c r="V5" s="132">
        <f>IF(SER_hh_tes!V5=0,0,11630*1000*SER_hh_tes!V5/SER_hh_num!V5)</f>
        <v>10545.222899440452</v>
      </c>
      <c r="W5" s="132">
        <f>IF(SER_hh_tes!W5=0,0,11630*1000*SER_hh_tes!W5/SER_hh_num!W5)</f>
        <v>3395.9095737834705</v>
      </c>
      <c r="X5" s="132">
        <f>IF(SER_hh_tes!X5=0,0,11630*1000*SER_hh_tes!X5/SER_hh_num!X5)</f>
        <v>1783.8673049529652</v>
      </c>
      <c r="Y5" s="132">
        <f>IF(SER_hh_tes!Y5=0,0,11630*1000*SER_hh_tes!Y5/SER_hh_num!Y5)</f>
        <v>33492.108345284214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26453.793346249782</v>
      </c>
      <c r="C7" s="132">
        <f>IF(SER_hh_tes!C7=0,0,11630*1000*SER_hh_tes!C7/SER_hh_num!C7)</f>
        <v>33116.688067502204</v>
      </c>
      <c r="D7" s="132">
        <f>IF(SER_hh_tes!D7=0,0,11630*1000*SER_hh_tes!D7/SER_hh_num!D7)</f>
        <v>29976.135871174843</v>
      </c>
      <c r="E7" s="132">
        <f>IF(SER_hh_tes!E7=0,0,11630*1000*SER_hh_tes!E7/SER_hh_num!E7)</f>
        <v>34580.039365218523</v>
      </c>
      <c r="F7" s="132">
        <f>IF(SER_hh_tes!F7=0,0,11630*1000*SER_hh_tes!F7/SER_hh_num!F7)</f>
        <v>33992.558847590124</v>
      </c>
      <c r="G7" s="132">
        <f>IF(SER_hh_tes!G7=0,0,11630*1000*SER_hh_tes!G7/SER_hh_num!G7)</f>
        <v>34690.755580136785</v>
      </c>
      <c r="H7" s="132">
        <f>IF(SER_hh_tes!H7=0,0,11630*1000*SER_hh_tes!H7/SER_hh_num!H7)</f>
        <v>37884.467958151778</v>
      </c>
      <c r="I7" s="132">
        <f>IF(SER_hh_tes!I7=0,0,11630*1000*SER_hh_tes!I7/SER_hh_num!I7)</f>
        <v>25778.971029920871</v>
      </c>
      <c r="J7" s="132">
        <f>IF(SER_hh_tes!J7=0,0,11630*1000*SER_hh_tes!J7/SER_hh_num!J7)</f>
        <v>34893.747082352849</v>
      </c>
      <c r="K7" s="132">
        <f>IF(SER_hh_tes!K7=0,0,11630*1000*SER_hh_tes!K7/SER_hh_num!K7)</f>
        <v>32279.267159065887</v>
      </c>
      <c r="L7" s="132">
        <f>IF(SER_hh_tes!L7=0,0,11630*1000*SER_hh_tes!L7/SER_hh_num!L7)</f>
        <v>33125.278130238483</v>
      </c>
      <c r="M7" s="132">
        <f>IF(SER_hh_tes!M7=0,0,11630*1000*SER_hh_tes!M7/SER_hh_num!M7)</f>
        <v>28911.617860772021</v>
      </c>
      <c r="N7" s="132">
        <f>IF(SER_hh_tes!N7=0,0,11630*1000*SER_hh_tes!N7/SER_hh_num!N7)</f>
        <v>30578.652655707341</v>
      </c>
      <c r="O7" s="132">
        <f>IF(SER_hh_tes!O7=0,0,11630*1000*SER_hh_tes!O7/SER_hh_num!O7)</f>
        <v>32631.671165127704</v>
      </c>
      <c r="P7" s="132">
        <f>IF(SER_hh_tes!P7=0,0,11630*1000*SER_hh_tes!P7/SER_hh_num!P7)</f>
        <v>29156.892491565246</v>
      </c>
      <c r="Q7" s="132">
        <f>IF(SER_hh_tes!Q7=0,0,11630*1000*SER_hh_tes!Q7/SER_hh_num!Q7)</f>
        <v>29281.309785487883</v>
      </c>
      <c r="R7" s="132">
        <f>IF(SER_hh_tes!R7=0,0,11630*1000*SER_hh_tes!R7/SER_hh_num!R7)</f>
        <v>30251.381028654501</v>
      </c>
      <c r="S7" s="132">
        <f>IF(SER_hh_tes!S7=0,0,11630*1000*SER_hh_tes!S7/SER_hh_num!S7)</f>
        <v>32797.021380521634</v>
      </c>
      <c r="T7" s="132">
        <f>IF(SER_hh_tes!T7=0,0,11630*1000*SER_hh_tes!T7/SER_hh_num!T7)</f>
        <v>23336.602871314652</v>
      </c>
      <c r="U7" s="132">
        <f>IF(SER_hh_tes!U7=0,0,11630*1000*SER_hh_tes!U7/SER_hh_num!U7)</f>
        <v>26053.497570725602</v>
      </c>
      <c r="V7" s="132">
        <f>IF(SER_hh_tes!V7=0,0,11630*1000*SER_hh_tes!V7/SER_hh_num!V7)</f>
        <v>26072.39647218449</v>
      </c>
      <c r="W7" s="132">
        <f>IF(SER_hh_tes!W7=0,0,11630*1000*SER_hh_tes!W7/SER_hh_num!W7)</f>
        <v>43294.191846731876</v>
      </c>
      <c r="X7" s="132">
        <f>IF(SER_hh_tes!X7=0,0,11630*1000*SER_hh_tes!X7/SER_hh_num!X7)</f>
        <v>19655.476702328971</v>
      </c>
      <c r="Y7" s="132">
        <f>IF(SER_hh_tes!Y7=0,0,11630*1000*SER_hh_tes!Y7/SER_hh_num!Y7)</f>
        <v>22408.127958420275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25348.92478095261</v>
      </c>
      <c r="C8" s="132">
        <f>IF(SER_hh_tes!C8=0,0,11630*1000*SER_hh_tes!C8/SER_hh_num!C8)</f>
        <v>28559.222870911373</v>
      </c>
      <c r="D8" s="132">
        <f>IF(SER_hh_tes!D8=0,0,11630*1000*SER_hh_tes!D8/SER_hh_num!D8)</f>
        <v>31490.947364653581</v>
      </c>
      <c r="E8" s="132">
        <f>IF(SER_hh_tes!E8=0,0,11630*1000*SER_hh_tes!E8/SER_hh_num!E8)</f>
        <v>34981.575771103802</v>
      </c>
      <c r="F8" s="132">
        <f>IF(SER_hh_tes!F8=0,0,11630*1000*SER_hh_tes!F8/SER_hh_num!F8)</f>
        <v>34364.369804572278</v>
      </c>
      <c r="G8" s="132">
        <f>IF(SER_hh_tes!G8=0,0,11630*1000*SER_hh_tes!G8/SER_hh_num!G8)</f>
        <v>28982.946127797917</v>
      </c>
      <c r="H8" s="132">
        <f>IF(SER_hh_tes!H8=0,0,11630*1000*SER_hh_tes!H8/SER_hh_num!H8)</f>
        <v>31415.83782098928</v>
      </c>
      <c r="I8" s="132">
        <f>IF(SER_hh_tes!I8=0,0,11630*1000*SER_hh_tes!I8/SER_hh_num!I8)</f>
        <v>34699.745999575454</v>
      </c>
      <c r="J8" s="132">
        <f>IF(SER_hh_tes!J8=0,0,11630*1000*SER_hh_tes!J8/SER_hh_num!J8)</f>
        <v>35957.184862068323</v>
      </c>
      <c r="K8" s="132">
        <f>IF(SER_hh_tes!K8=0,0,11630*1000*SER_hh_tes!K8/SER_hh_num!K8)</f>
        <v>31707.775659090941</v>
      </c>
      <c r="L8" s="132">
        <f>IF(SER_hh_tes!L8=0,0,11630*1000*SER_hh_tes!L8/SER_hh_num!L8)</f>
        <v>28188.954010976071</v>
      </c>
      <c r="M8" s="132">
        <f>IF(SER_hh_tes!M8=0,0,11630*1000*SER_hh_tes!M8/SER_hh_num!M8)</f>
        <v>29345.018542694077</v>
      </c>
      <c r="N8" s="132">
        <f>IF(SER_hh_tes!N8=0,0,11630*1000*SER_hh_tes!N8/SER_hh_num!N8)</f>
        <v>30252.392160637333</v>
      </c>
      <c r="O8" s="132">
        <f>IF(SER_hh_tes!O8=0,0,11630*1000*SER_hh_tes!O8/SER_hh_num!O8)</f>
        <v>31452.041290669986</v>
      </c>
      <c r="P8" s="132">
        <f>IF(SER_hh_tes!P8=0,0,11630*1000*SER_hh_tes!P8/SER_hh_num!P8)</f>
        <v>29296.469362423824</v>
      </c>
      <c r="Q8" s="132">
        <f>IF(SER_hh_tes!Q8=0,0,11630*1000*SER_hh_tes!Q8/SER_hh_num!Q8)</f>
        <v>30647.459868861853</v>
      </c>
      <c r="R8" s="132">
        <f>IF(SER_hh_tes!R8=0,0,11630*1000*SER_hh_tes!R8/SER_hh_num!R8)</f>
        <v>29745.776455172509</v>
      </c>
      <c r="S8" s="132">
        <f>IF(SER_hh_tes!S8=0,0,11630*1000*SER_hh_tes!S8/SER_hh_num!S8)</f>
        <v>28593.997349502373</v>
      </c>
      <c r="T8" s="132">
        <f>IF(SER_hh_tes!T8=0,0,11630*1000*SER_hh_tes!T8/SER_hh_num!T8)</f>
        <v>26943.875591665368</v>
      </c>
      <c r="U8" s="132">
        <f>IF(SER_hh_tes!U8=0,0,11630*1000*SER_hh_tes!U8/SER_hh_num!U8)</f>
        <v>27567.546774592531</v>
      </c>
      <c r="V8" s="132">
        <f>IF(SER_hh_tes!V8=0,0,11630*1000*SER_hh_tes!V8/SER_hh_num!V8)</f>
        <v>25678.355465559966</v>
      </c>
      <c r="W8" s="132">
        <f>IF(SER_hh_tes!W8=0,0,11630*1000*SER_hh_tes!W8/SER_hh_num!W8)</f>
        <v>25157.705856896726</v>
      </c>
      <c r="X8" s="132">
        <f>IF(SER_hh_tes!X8=0,0,11630*1000*SER_hh_tes!X8/SER_hh_num!X8)</f>
        <v>24564.073209836399</v>
      </c>
      <c r="Y8" s="132">
        <f>IF(SER_hh_tes!Y8=0,0,11630*1000*SER_hh_tes!Y8/SER_hh_num!Y8)</f>
        <v>24057.996964886275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28302.194971698766</v>
      </c>
      <c r="C9" s="132">
        <f>IF(SER_hh_tes!C9=0,0,11630*1000*SER_hh_tes!C9/SER_hh_num!C9)</f>
        <v>26796.933809130438</v>
      </c>
      <c r="D9" s="132">
        <f>IF(SER_hh_tes!D9=0,0,11630*1000*SER_hh_tes!D9/SER_hh_num!D9)</f>
        <v>26428.072017631916</v>
      </c>
      <c r="E9" s="132">
        <f>IF(SER_hh_tes!E9=0,0,11630*1000*SER_hh_tes!E9/SER_hh_num!E9)</f>
        <v>32202.431099893318</v>
      </c>
      <c r="F9" s="132">
        <f>IF(SER_hh_tes!F9=0,0,11630*1000*SER_hh_tes!F9/SER_hh_num!F9)</f>
        <v>33599.070926958178</v>
      </c>
      <c r="G9" s="132">
        <f>IF(SER_hh_tes!G9=0,0,11630*1000*SER_hh_tes!G9/SER_hh_num!G9)</f>
        <v>33047.756585498944</v>
      </c>
      <c r="H9" s="132">
        <f>IF(SER_hh_tes!H9=0,0,11630*1000*SER_hh_tes!H9/SER_hh_num!H9)</f>
        <v>39437.817271613785</v>
      </c>
      <c r="I9" s="132">
        <f>IF(SER_hh_tes!I9=0,0,11630*1000*SER_hh_tes!I9/SER_hh_num!I9)</f>
        <v>29142.968244309639</v>
      </c>
      <c r="J9" s="132">
        <f>IF(SER_hh_tes!J9=0,0,11630*1000*SER_hh_tes!J9/SER_hh_num!J9)</f>
        <v>32530.819103518588</v>
      </c>
      <c r="K9" s="132">
        <f>IF(SER_hh_tes!K9=0,0,11630*1000*SER_hh_tes!K9/SER_hh_num!K9)</f>
        <v>31135.322409968219</v>
      </c>
      <c r="L9" s="132">
        <f>IF(SER_hh_tes!L9=0,0,11630*1000*SER_hh_tes!L9/SER_hh_num!L9)</f>
        <v>33495.078602117923</v>
      </c>
      <c r="M9" s="132">
        <f>IF(SER_hh_tes!M9=0,0,11630*1000*SER_hh_tes!M9/SER_hh_num!M9)</f>
        <v>28382.861305669405</v>
      </c>
      <c r="N9" s="132">
        <f>IF(SER_hh_tes!N9=0,0,11630*1000*SER_hh_tes!N9/SER_hh_num!N9)</f>
        <v>29133.616732058403</v>
      </c>
      <c r="O9" s="132">
        <f>IF(SER_hh_tes!O9=0,0,11630*1000*SER_hh_tes!O9/SER_hh_num!O9)</f>
        <v>35693.976451875853</v>
      </c>
      <c r="P9" s="132">
        <f>IF(SER_hh_tes!P9=0,0,11630*1000*SER_hh_tes!P9/SER_hh_num!P9)</f>
        <v>27257.072516054704</v>
      </c>
      <c r="Q9" s="132">
        <f>IF(SER_hh_tes!Q9=0,0,11630*1000*SER_hh_tes!Q9/SER_hh_num!Q9)</f>
        <v>30161.318042472722</v>
      </c>
      <c r="R9" s="132">
        <f>IF(SER_hh_tes!R9=0,0,11630*1000*SER_hh_tes!R9/SER_hh_num!R9)</f>
        <v>29691.730577379603</v>
      </c>
      <c r="S9" s="132">
        <f>IF(SER_hh_tes!S9=0,0,11630*1000*SER_hh_tes!S9/SER_hh_num!S9)</f>
        <v>28791.761194410934</v>
      </c>
      <c r="T9" s="132">
        <f>IF(SER_hh_tes!T9=0,0,11630*1000*SER_hh_tes!T9/SER_hh_num!T9)</f>
        <v>28392.003692188795</v>
      </c>
      <c r="U9" s="132">
        <f>IF(SER_hh_tes!U9=0,0,11630*1000*SER_hh_tes!U9/SER_hh_num!U9)</f>
        <v>23505.090161358632</v>
      </c>
      <c r="V9" s="132">
        <f>IF(SER_hh_tes!V9=0,0,11630*1000*SER_hh_tes!V9/SER_hh_num!V9)</f>
        <v>27284.785340222188</v>
      </c>
      <c r="W9" s="132">
        <f>IF(SER_hh_tes!W9=0,0,11630*1000*SER_hh_tes!W9/SER_hh_num!W9)</f>
        <v>31546.46079725416</v>
      </c>
      <c r="X9" s="132">
        <f>IF(SER_hh_tes!X9=0,0,11630*1000*SER_hh_tes!X9/SER_hh_num!X9)</f>
        <v>24284.583648878775</v>
      </c>
      <c r="Y9" s="132">
        <f>IF(SER_hh_tes!Y9=0,0,11630*1000*SER_hh_tes!Y9/SER_hh_num!Y9)</f>
        <v>21790.104462277453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0</v>
      </c>
      <c r="C10" s="132">
        <f>IF(SER_hh_tes!C10=0,0,11630*1000*SER_hh_tes!C10/SER_hh_num!C10)</f>
        <v>0</v>
      </c>
      <c r="D10" s="132">
        <f>IF(SER_hh_tes!D10=0,0,11630*1000*SER_hh_tes!D10/SER_hh_num!D10)</f>
        <v>0</v>
      </c>
      <c r="E10" s="132">
        <f>IF(SER_hh_tes!E10=0,0,11630*1000*SER_hh_tes!E10/SER_hh_num!E10)</f>
        <v>42726.683767619441</v>
      </c>
      <c r="F10" s="132">
        <f>IF(SER_hh_tes!F10=0,0,11630*1000*SER_hh_tes!F10/SER_hh_num!F10)</f>
        <v>41458.968302831498</v>
      </c>
      <c r="G10" s="132">
        <f>IF(SER_hh_tes!G10=0,0,11630*1000*SER_hh_tes!G10/SER_hh_num!G10)</f>
        <v>34202.401947630118</v>
      </c>
      <c r="H10" s="132">
        <f>IF(SER_hh_tes!H10=0,0,11630*1000*SER_hh_tes!H10/SER_hh_num!H10)</f>
        <v>33684.140096383475</v>
      </c>
      <c r="I10" s="132">
        <f>IF(SER_hh_tes!I10=0,0,11630*1000*SER_hh_tes!I10/SER_hh_num!I10)</f>
        <v>28841.294196671824</v>
      </c>
      <c r="J10" s="132">
        <f>IF(SER_hh_tes!J10=0,0,11630*1000*SER_hh_tes!J10/SER_hh_num!J10)</f>
        <v>34607.314170283724</v>
      </c>
      <c r="K10" s="132">
        <f>IF(SER_hh_tes!K10=0,0,11630*1000*SER_hh_tes!K10/SER_hh_num!K10)</f>
        <v>31987.1042156611</v>
      </c>
      <c r="L10" s="132">
        <f>IF(SER_hh_tes!L10=0,0,11630*1000*SER_hh_tes!L10/SER_hh_num!L10)</f>
        <v>38773.130581671605</v>
      </c>
      <c r="M10" s="132">
        <f>IF(SER_hh_tes!M10=0,0,11630*1000*SER_hh_tes!M10/SER_hh_num!M10)</f>
        <v>27834.382557778878</v>
      </c>
      <c r="N10" s="132">
        <f>IF(SER_hh_tes!N10=0,0,11630*1000*SER_hh_tes!N10/SER_hh_num!N10)</f>
        <v>30882.360777967042</v>
      </c>
      <c r="O10" s="132">
        <f>IF(SER_hh_tes!O10=0,0,11630*1000*SER_hh_tes!O10/SER_hh_num!O10)</f>
        <v>33660.378561931771</v>
      </c>
      <c r="P10" s="132">
        <f>IF(SER_hh_tes!P10=0,0,11630*1000*SER_hh_tes!P10/SER_hh_num!P10)</f>
        <v>26839.628663337207</v>
      </c>
      <c r="Q10" s="132">
        <f>IF(SER_hh_tes!Q10=0,0,11630*1000*SER_hh_tes!Q10/SER_hh_num!Q10)</f>
        <v>30625.7674872602</v>
      </c>
      <c r="R10" s="132">
        <f>IF(SER_hh_tes!R10=0,0,11630*1000*SER_hh_tes!R10/SER_hh_num!R10)</f>
        <v>28608.461178629397</v>
      </c>
      <c r="S10" s="132">
        <f>IF(SER_hh_tes!S10=0,0,11630*1000*SER_hh_tes!S10/SER_hh_num!S10)</f>
        <v>27679.074397169552</v>
      </c>
      <c r="T10" s="132">
        <f>IF(SER_hh_tes!T10=0,0,11630*1000*SER_hh_tes!T10/SER_hh_num!T10)</f>
        <v>27977.486789038179</v>
      </c>
      <c r="U10" s="132">
        <f>IF(SER_hh_tes!U10=0,0,11630*1000*SER_hh_tes!U10/SER_hh_num!U10)</f>
        <v>27779.813810205516</v>
      </c>
      <c r="V10" s="132">
        <f>IF(SER_hh_tes!V10=0,0,11630*1000*SER_hh_tes!V10/SER_hh_num!V10)</f>
        <v>26099.399096936173</v>
      </c>
      <c r="W10" s="132">
        <f>IF(SER_hh_tes!W10=0,0,11630*1000*SER_hh_tes!W10/SER_hh_num!W10)</f>
        <v>28762.334312546609</v>
      </c>
      <c r="X10" s="132">
        <f>IF(SER_hh_tes!X10=0,0,11630*1000*SER_hh_tes!X10/SER_hh_num!X10)</f>
        <v>24179.259977070953</v>
      </c>
      <c r="Y10" s="132">
        <f>IF(SER_hh_tes!Y10=0,0,11630*1000*SER_hh_tes!Y10/SER_hh_num!Y10)</f>
        <v>23594.860142367845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52637.44089074761</v>
      </c>
      <c r="F11" s="132">
        <f>IF(SER_hh_tes!F11=0,0,11630*1000*SER_hh_tes!F11/SER_hh_num!F11)</f>
        <v>38626.532180493778</v>
      </c>
      <c r="G11" s="132">
        <f>IF(SER_hh_tes!G11=0,0,11630*1000*SER_hh_tes!G11/SER_hh_num!G11)</f>
        <v>36046.567133952733</v>
      </c>
      <c r="H11" s="132">
        <f>IF(SER_hh_tes!H11=0,0,11630*1000*SER_hh_tes!H11/SER_hh_num!H11)</f>
        <v>34285.014164718261</v>
      </c>
      <c r="I11" s="132">
        <f>IF(SER_hh_tes!I11=0,0,11630*1000*SER_hh_tes!I11/SER_hh_num!I11)</f>
        <v>32065.051991130222</v>
      </c>
      <c r="J11" s="132">
        <f>IF(SER_hh_tes!J11=0,0,11630*1000*SER_hh_tes!J11/SER_hh_num!J11)</f>
        <v>31249.891403244274</v>
      </c>
      <c r="K11" s="132">
        <f>IF(SER_hh_tes!K11=0,0,11630*1000*SER_hh_tes!K11/SER_hh_num!K11)</f>
        <v>32601.000048373076</v>
      </c>
      <c r="L11" s="132">
        <f>IF(SER_hh_tes!L11=0,0,11630*1000*SER_hh_tes!L11/SER_hh_num!L11)</f>
        <v>31411.937695192235</v>
      </c>
      <c r="M11" s="132">
        <f>IF(SER_hh_tes!M11=0,0,11630*1000*SER_hh_tes!M11/SER_hh_num!M11)</f>
        <v>31657.263046276439</v>
      </c>
      <c r="N11" s="132">
        <f>IF(SER_hh_tes!N11=0,0,11630*1000*SER_hh_tes!N11/SER_hh_num!N11)</f>
        <v>30074.724101874202</v>
      </c>
      <c r="O11" s="132">
        <f>IF(SER_hh_tes!O11=0,0,11630*1000*SER_hh_tes!O11/SER_hh_num!O11)</f>
        <v>31115.168939124898</v>
      </c>
      <c r="P11" s="132">
        <f>IF(SER_hh_tes!P11=0,0,11630*1000*SER_hh_tes!P11/SER_hh_num!P11)</f>
        <v>34906.312459783141</v>
      </c>
      <c r="Q11" s="132">
        <f>IF(SER_hh_tes!Q11=0,0,11630*1000*SER_hh_tes!Q11/SER_hh_num!Q11)</f>
        <v>26484.766518675144</v>
      </c>
      <c r="R11" s="132">
        <f>IF(SER_hh_tes!R11=0,0,11630*1000*SER_hh_tes!R11/SER_hh_num!R11)</f>
        <v>27609.554331366817</v>
      </c>
      <c r="S11" s="132">
        <f>IF(SER_hh_tes!S11=0,0,11630*1000*SER_hh_tes!S11/SER_hh_num!S11)</f>
        <v>29800.455034587478</v>
      </c>
      <c r="T11" s="132">
        <f>IF(SER_hh_tes!T11=0,0,11630*1000*SER_hh_tes!T11/SER_hh_num!T11)</f>
        <v>29423.661378673827</v>
      </c>
      <c r="U11" s="132">
        <f>IF(SER_hh_tes!U11=0,0,11630*1000*SER_hh_tes!U11/SER_hh_num!U11)</f>
        <v>25764.185226160494</v>
      </c>
      <c r="V11" s="132">
        <f>IF(SER_hh_tes!V11=0,0,11630*1000*SER_hh_tes!V11/SER_hh_num!V11)</f>
        <v>24554.937167229746</v>
      </c>
      <c r="W11" s="132">
        <f>IF(SER_hh_tes!W11=0,0,11630*1000*SER_hh_tes!W11/SER_hh_num!W11)</f>
        <v>24725.23708667931</v>
      </c>
      <c r="X11" s="132">
        <f>IF(SER_hh_tes!X11=0,0,11630*1000*SER_hh_tes!X11/SER_hh_num!X11)</f>
        <v>23989.78198235797</v>
      </c>
      <c r="Y11" s="132">
        <f>IF(SER_hh_tes!Y11=0,0,11630*1000*SER_hh_tes!Y11/SER_hh_num!Y11)</f>
        <v>22920.818209092031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0</v>
      </c>
      <c r="C12" s="132">
        <f>IF(SER_hh_tes!C12=0,0,11630*1000*SER_hh_tes!C12/SER_hh_num!C12)</f>
        <v>0</v>
      </c>
      <c r="D12" s="132">
        <f>IF(SER_hh_tes!D12=0,0,11630*1000*SER_hh_tes!D12/SER_hh_num!D12)</f>
        <v>0</v>
      </c>
      <c r="E12" s="132">
        <f>IF(SER_hh_tes!E12=0,0,11630*1000*SER_hh_tes!E12/SER_hh_num!E12)</f>
        <v>52057.423132084761</v>
      </c>
      <c r="F12" s="132">
        <f>IF(SER_hh_tes!F12=0,0,11630*1000*SER_hh_tes!F12/SER_hh_num!F12)</f>
        <v>43597.980295395078</v>
      </c>
      <c r="G12" s="132">
        <f>IF(SER_hh_tes!G12=0,0,11630*1000*SER_hh_tes!G12/SER_hh_num!G12)</f>
        <v>34989.637665522037</v>
      </c>
      <c r="H12" s="132">
        <f>IF(SER_hh_tes!H12=0,0,11630*1000*SER_hh_tes!H12/SER_hh_num!H12)</f>
        <v>32639.512549945812</v>
      </c>
      <c r="I12" s="132">
        <f>IF(SER_hh_tes!I12=0,0,11630*1000*SER_hh_tes!I12/SER_hh_num!I12)</f>
        <v>30095.247044198753</v>
      </c>
      <c r="J12" s="132">
        <f>IF(SER_hh_tes!J12=0,0,11630*1000*SER_hh_tes!J12/SER_hh_num!J12)</f>
        <v>32668.212588045488</v>
      </c>
      <c r="K12" s="132">
        <f>IF(SER_hh_tes!K12=0,0,11630*1000*SER_hh_tes!K12/SER_hh_num!K12)</f>
        <v>31488.996775848209</v>
      </c>
      <c r="L12" s="132">
        <f>IF(SER_hh_tes!L12=0,0,11630*1000*SER_hh_tes!L12/SER_hh_num!L12)</f>
        <v>41961.431536549528</v>
      </c>
      <c r="M12" s="132">
        <f>IF(SER_hh_tes!M12=0,0,11630*1000*SER_hh_tes!M12/SER_hh_num!M12)</f>
        <v>26913.078205659516</v>
      </c>
      <c r="N12" s="132">
        <f>IF(SER_hh_tes!N12=0,0,11630*1000*SER_hh_tes!N12/SER_hh_num!N12)</f>
        <v>35124.05556500161</v>
      </c>
      <c r="O12" s="132">
        <f>IF(SER_hh_tes!O12=0,0,11630*1000*SER_hh_tes!O12/SER_hh_num!O12)</f>
        <v>27114.509544079025</v>
      </c>
      <c r="P12" s="132">
        <f>IF(SER_hh_tes!P12=0,0,11630*1000*SER_hh_tes!P12/SER_hh_num!P12)</f>
        <v>27351.222863923547</v>
      </c>
      <c r="Q12" s="132">
        <f>IF(SER_hh_tes!Q12=0,0,11630*1000*SER_hh_tes!Q12/SER_hh_num!Q12)</f>
        <v>31864.033459146103</v>
      </c>
      <c r="R12" s="132">
        <f>IF(SER_hh_tes!R12=0,0,11630*1000*SER_hh_tes!R12/SER_hh_num!R12)</f>
        <v>25717.679149566942</v>
      </c>
      <c r="S12" s="132">
        <f>IF(SER_hh_tes!S12=0,0,11630*1000*SER_hh_tes!S12/SER_hh_num!S12)</f>
        <v>28678.066106914026</v>
      </c>
      <c r="T12" s="132">
        <f>IF(SER_hh_tes!T12=0,0,11630*1000*SER_hh_tes!T12/SER_hh_num!T12)</f>
        <v>29464.065454229152</v>
      </c>
      <c r="U12" s="132">
        <f>IF(SER_hh_tes!U12=0,0,11630*1000*SER_hh_tes!U12/SER_hh_num!U12)</f>
        <v>28017.002186005946</v>
      </c>
      <c r="V12" s="132">
        <f>IF(SER_hh_tes!V12=0,0,11630*1000*SER_hh_tes!V12/SER_hh_num!V12)</f>
        <v>22077.308428706161</v>
      </c>
      <c r="W12" s="132">
        <f>IF(SER_hh_tes!W12=0,0,11630*1000*SER_hh_tes!W12/SER_hh_num!W12)</f>
        <v>33598.269080652513</v>
      </c>
      <c r="X12" s="132">
        <f>IF(SER_hh_tes!X12=0,0,11630*1000*SER_hh_tes!X12/SER_hh_num!X12)</f>
        <v>24772.893198920839</v>
      </c>
      <c r="Y12" s="132">
        <f>IF(SER_hh_tes!Y12=0,0,11630*1000*SER_hh_tes!Y12/SER_hh_num!Y12)</f>
        <v>22762.53665210582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24488.712654430368</v>
      </c>
      <c r="C13" s="132">
        <f>IF(SER_hh_tes!C13=0,0,11630*1000*SER_hh_tes!C13/SER_hh_num!C13)</f>
        <v>19189.613802262065</v>
      </c>
      <c r="D13" s="132">
        <f>IF(SER_hh_tes!D13=0,0,11630*1000*SER_hh_tes!D13/SER_hh_num!D13)</f>
        <v>30632.213240044719</v>
      </c>
      <c r="E13" s="132">
        <f>IF(SER_hh_tes!E13=0,0,11630*1000*SER_hh_tes!E13/SER_hh_num!E13)</f>
        <v>43551.271931235446</v>
      </c>
      <c r="F13" s="132">
        <f>IF(SER_hh_tes!F13=0,0,11630*1000*SER_hh_tes!F13/SER_hh_num!F13)</f>
        <v>36758.408548522311</v>
      </c>
      <c r="G13" s="132">
        <f>IF(SER_hh_tes!G13=0,0,11630*1000*SER_hh_tes!G13/SER_hh_num!G13)</f>
        <v>32881.134654049878</v>
      </c>
      <c r="H13" s="132">
        <f>IF(SER_hh_tes!H13=0,0,11630*1000*SER_hh_tes!H13/SER_hh_num!H13)</f>
        <v>32949.54109556639</v>
      </c>
      <c r="I13" s="132">
        <f>IF(SER_hh_tes!I13=0,0,11630*1000*SER_hh_tes!I13/SER_hh_num!I13)</f>
        <v>31341.166882525376</v>
      </c>
      <c r="J13" s="132">
        <f>IF(SER_hh_tes!J13=0,0,11630*1000*SER_hh_tes!J13/SER_hh_num!J13)</f>
        <v>31375.787060898663</v>
      </c>
      <c r="K13" s="132">
        <f>IF(SER_hh_tes!K13=0,0,11630*1000*SER_hh_tes!K13/SER_hh_num!K13)</f>
        <v>32073.904086716131</v>
      </c>
      <c r="L13" s="132">
        <f>IF(SER_hh_tes!L13=0,0,11630*1000*SER_hh_tes!L13/SER_hh_num!L13)</f>
        <v>33787.870936709238</v>
      </c>
      <c r="M13" s="132">
        <f>IF(SER_hh_tes!M13=0,0,11630*1000*SER_hh_tes!M13/SER_hh_num!M13)</f>
        <v>31361.344321876393</v>
      </c>
      <c r="N13" s="132">
        <f>IF(SER_hh_tes!N13=0,0,11630*1000*SER_hh_tes!N13/SER_hh_num!N13)</f>
        <v>31099.834874540011</v>
      </c>
      <c r="O13" s="132">
        <f>IF(SER_hh_tes!O13=0,0,11630*1000*SER_hh_tes!O13/SER_hh_num!O13)</f>
        <v>30842.509491489218</v>
      </c>
      <c r="P13" s="132">
        <f>IF(SER_hh_tes!P13=0,0,11630*1000*SER_hh_tes!P13/SER_hh_num!P13)</f>
        <v>29749.449155985785</v>
      </c>
      <c r="Q13" s="132">
        <f>IF(SER_hh_tes!Q13=0,0,11630*1000*SER_hh_tes!Q13/SER_hh_num!Q13)</f>
        <v>29526.80284911269</v>
      </c>
      <c r="R13" s="132">
        <f>IF(SER_hh_tes!R13=0,0,11630*1000*SER_hh_tes!R13/SER_hh_num!R13)</f>
        <v>29242.553185227469</v>
      </c>
      <c r="S13" s="132">
        <f>IF(SER_hh_tes!S13=0,0,11630*1000*SER_hh_tes!S13/SER_hh_num!S13)</f>
        <v>28779.28526775711</v>
      </c>
      <c r="T13" s="132">
        <f>IF(SER_hh_tes!T13=0,0,11630*1000*SER_hh_tes!T13/SER_hh_num!T13)</f>
        <v>27251.5105780128</v>
      </c>
      <c r="U13" s="132">
        <f>IF(SER_hh_tes!U13=0,0,11630*1000*SER_hh_tes!U13/SER_hh_num!U13)</f>
        <v>27180.689401884461</v>
      </c>
      <c r="V13" s="132">
        <f>IF(SER_hh_tes!V13=0,0,11630*1000*SER_hh_tes!V13/SER_hh_num!V13)</f>
        <v>25827.267395038001</v>
      </c>
      <c r="W13" s="132">
        <f>IF(SER_hh_tes!W13=0,0,11630*1000*SER_hh_tes!W13/SER_hh_num!W13)</f>
        <v>25250.378028179384</v>
      </c>
      <c r="X13" s="132">
        <f>IF(SER_hh_tes!X13=0,0,11630*1000*SER_hh_tes!X13/SER_hh_num!X13)</f>
        <v>24641.041325038481</v>
      </c>
      <c r="Y13" s="132">
        <f>IF(SER_hh_tes!Y13=0,0,11630*1000*SER_hh_tes!Y13/SER_hh_num!Y13)</f>
        <v>24365.312362641351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27256.338492228773</v>
      </c>
      <c r="C14" s="65">
        <f>IF(SER_hh_tes!C14=0,0,11630*1000*SER_hh_tes!C14/SER_hh_num!C14)</f>
        <v>25963.69601989596</v>
      </c>
      <c r="D14" s="65">
        <f>IF(SER_hh_tes!D14=0,0,11630*1000*SER_hh_tes!D14/SER_hh_num!D14)</f>
        <v>37131.545451661557</v>
      </c>
      <c r="E14" s="65">
        <f>IF(SER_hh_tes!E14=0,0,11630*1000*SER_hh_tes!E14/SER_hh_num!E14)</f>
        <v>45597.932814140739</v>
      </c>
      <c r="F14" s="65">
        <f>IF(SER_hh_tes!F14=0,0,11630*1000*SER_hh_tes!F14/SER_hh_num!F14)</f>
        <v>38589.632427934099</v>
      </c>
      <c r="G14" s="65">
        <f>IF(SER_hh_tes!G14=0,0,11630*1000*SER_hh_tes!G14/SER_hh_num!G14)</f>
        <v>32141.367002823645</v>
      </c>
      <c r="H14" s="65">
        <f>IF(SER_hh_tes!H14=0,0,11630*1000*SER_hh_tes!H14/SER_hh_num!H14)</f>
        <v>38741.498006627444</v>
      </c>
      <c r="I14" s="65">
        <f>IF(SER_hh_tes!I14=0,0,11630*1000*SER_hh_tes!I14/SER_hh_num!I14)</f>
        <v>26095.099410102899</v>
      </c>
      <c r="J14" s="65">
        <f>IF(SER_hh_tes!J14=0,0,11630*1000*SER_hh_tes!J14/SER_hh_num!J14)</f>
        <v>32962.039861812023</v>
      </c>
      <c r="K14" s="65">
        <f>IF(SER_hh_tes!K14=0,0,11630*1000*SER_hh_tes!K14/SER_hh_num!K14)</f>
        <v>34306.191593965072</v>
      </c>
      <c r="L14" s="65">
        <f>IF(SER_hh_tes!L14=0,0,11630*1000*SER_hh_tes!L14/SER_hh_num!L14)</f>
        <v>40540.894792074272</v>
      </c>
      <c r="M14" s="65">
        <f>IF(SER_hh_tes!M14=0,0,11630*1000*SER_hh_tes!M14/SER_hh_num!M14)</f>
        <v>20943.537994706749</v>
      </c>
      <c r="N14" s="65">
        <f>IF(SER_hh_tes!N14=0,0,11630*1000*SER_hh_tes!N14/SER_hh_num!N14)</f>
        <v>31733.026432758994</v>
      </c>
      <c r="O14" s="65">
        <f>IF(SER_hh_tes!O14=0,0,11630*1000*SER_hh_tes!O14/SER_hh_num!O14)</f>
        <v>37526.910586365753</v>
      </c>
      <c r="P14" s="65">
        <f>IF(SER_hh_tes!P14=0,0,11630*1000*SER_hh_tes!P14/SER_hh_num!P14)</f>
        <v>13942.795313841132</v>
      </c>
      <c r="Q14" s="65">
        <f>IF(SER_hh_tes!Q14=0,0,11630*1000*SER_hh_tes!Q14/SER_hh_num!Q14)</f>
        <v>34705.825532650939</v>
      </c>
      <c r="R14" s="65">
        <f>IF(SER_hh_tes!R14=0,0,11630*1000*SER_hh_tes!R14/SER_hh_num!R14)</f>
        <v>38904.788797566609</v>
      </c>
      <c r="S14" s="65">
        <f>IF(SER_hh_tes!S14=0,0,11630*1000*SER_hh_tes!S14/SER_hh_num!S14)</f>
        <v>26696.130175893148</v>
      </c>
      <c r="T14" s="65">
        <f>IF(SER_hh_tes!T14=0,0,11630*1000*SER_hh_tes!T14/SER_hh_num!T14)</f>
        <v>21559.672643168426</v>
      </c>
      <c r="U14" s="65">
        <f>IF(SER_hh_tes!U14=0,0,11630*1000*SER_hh_tes!U14/SER_hh_num!U14)</f>
        <v>27151.669410128321</v>
      </c>
      <c r="V14" s="65">
        <f>IF(SER_hh_tes!V14=0,0,11630*1000*SER_hh_tes!V14/SER_hh_num!V14)</f>
        <v>29906.476762327406</v>
      </c>
      <c r="W14" s="65">
        <f>IF(SER_hh_tes!W14=0,0,11630*1000*SER_hh_tes!W14/SER_hh_num!W14)</f>
        <v>42574.122994868936</v>
      </c>
      <c r="X14" s="65">
        <f>IF(SER_hh_tes!X14=0,0,11630*1000*SER_hh_tes!X14/SER_hh_num!X14)</f>
        <v>14327.559674622666</v>
      </c>
      <c r="Y14" s="65">
        <f>IF(SER_hh_tes!Y14=0,0,11630*1000*SER_hh_tes!Y14/SER_hh_num!Y14)</f>
        <v>19878.045481905276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541.97749911050596</v>
      </c>
      <c r="C15" s="134">
        <f>IF(SER_hh_tes!C15=0,0,11630*1000*SER_hh_tes!C15/SER_hh_num!C15)</f>
        <v>566.10044502417782</v>
      </c>
      <c r="D15" s="134">
        <f>IF(SER_hh_tes!D15=0,0,11630*1000*SER_hh_tes!D15/SER_hh_num!D15)</f>
        <v>529.26374866061838</v>
      </c>
      <c r="E15" s="134">
        <f>IF(SER_hh_tes!E15=0,0,11630*1000*SER_hh_tes!E15/SER_hh_num!E15)</f>
        <v>552.31031544879738</v>
      </c>
      <c r="F15" s="134">
        <f>IF(SER_hh_tes!F15=0,0,11630*1000*SER_hh_tes!F15/SER_hh_num!F15)</f>
        <v>526.16942636085378</v>
      </c>
      <c r="G15" s="134">
        <f>IF(SER_hh_tes!G15=0,0,11630*1000*SER_hh_tes!G15/SER_hh_num!G15)</f>
        <v>491.93701589901821</v>
      </c>
      <c r="H15" s="134">
        <f>IF(SER_hh_tes!H15=0,0,11630*1000*SER_hh_tes!H15/SER_hh_num!H15)</f>
        <v>557.61028158925433</v>
      </c>
      <c r="I15" s="134">
        <f>IF(SER_hh_tes!I15=0,0,11630*1000*SER_hh_tes!I15/SER_hh_num!I15)</f>
        <v>401.60824601594049</v>
      </c>
      <c r="J15" s="134">
        <f>IF(SER_hh_tes!J15=0,0,11630*1000*SER_hh_tes!J15/SER_hh_num!J15)</f>
        <v>466.09080392709052</v>
      </c>
      <c r="K15" s="134">
        <f>IF(SER_hh_tes!K15=0,0,11630*1000*SER_hh_tes!K15/SER_hh_num!K15)</f>
        <v>430.51322225076171</v>
      </c>
      <c r="L15" s="134">
        <f>IF(SER_hh_tes!L15=0,0,11630*1000*SER_hh_tes!L15/SER_hh_num!L15)</f>
        <v>454.42402939556808</v>
      </c>
      <c r="M15" s="134">
        <f>IF(SER_hh_tes!M15=0,0,11630*1000*SER_hh_tes!M15/SER_hh_num!M15)</f>
        <v>380.54273014066229</v>
      </c>
      <c r="N15" s="134">
        <f>IF(SER_hh_tes!N15=0,0,11630*1000*SER_hh_tes!N15/SER_hh_num!N15)</f>
        <v>406.19545653220263</v>
      </c>
      <c r="O15" s="134">
        <f>IF(SER_hh_tes!O15=0,0,11630*1000*SER_hh_tes!O15/SER_hh_num!O15)</f>
        <v>471.18196021445885</v>
      </c>
      <c r="P15" s="134">
        <f>IF(SER_hh_tes!P15=0,0,11630*1000*SER_hh_tes!P15/SER_hh_num!P15)</f>
        <v>388.58749138217786</v>
      </c>
      <c r="Q15" s="134">
        <f>IF(SER_hh_tes!Q15=0,0,11630*1000*SER_hh_tes!Q15/SER_hh_num!Q15)</f>
        <v>418.9811759682832</v>
      </c>
      <c r="R15" s="134">
        <f>IF(SER_hh_tes!R15=0,0,11630*1000*SER_hh_tes!R15/SER_hh_num!R15)</f>
        <v>411.70676780614519</v>
      </c>
      <c r="S15" s="134">
        <f>IF(SER_hh_tes!S15=0,0,11630*1000*SER_hh_tes!S15/SER_hh_num!S15)</f>
        <v>408.80416263905136</v>
      </c>
      <c r="T15" s="134">
        <f>IF(SER_hh_tes!T15=0,0,11630*1000*SER_hh_tes!T15/SER_hh_num!T15)</f>
        <v>364.10188437503626</v>
      </c>
      <c r="U15" s="134">
        <f>IF(SER_hh_tes!U15=0,0,11630*1000*SER_hh_tes!U15/SER_hh_num!U15)</f>
        <v>325.07312463721735</v>
      </c>
      <c r="V15" s="134">
        <f>IF(SER_hh_tes!V15=0,0,11630*1000*SER_hh_tes!V15/SER_hh_num!V15)</f>
        <v>350.31049321336775</v>
      </c>
      <c r="W15" s="134">
        <f>IF(SER_hh_tes!W15=0,0,11630*1000*SER_hh_tes!W15/SER_hh_num!W15)</f>
        <v>433.1639736536896</v>
      </c>
      <c r="X15" s="134">
        <f>IF(SER_hh_tes!X15=0,0,11630*1000*SER_hh_tes!X15/SER_hh_num!X15)</f>
        <v>292.99595166667837</v>
      </c>
      <c r="Y15" s="134">
        <f>IF(SER_hh_tes!Y15=0,0,11630*1000*SER_hh_tes!Y15/SER_hh_num!Y15)</f>
        <v>271.16268983902245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25143.192604998141</v>
      </c>
      <c r="C16" s="130">
        <f>IF(SER_hh_tes!C16=0,0,11630*1000*SER_hh_tes!C16/SER_hh_num!C16)</f>
        <v>25380.92107651781</v>
      </c>
      <c r="D16" s="130">
        <f>IF(SER_hh_tes!D16=0,0,11630*1000*SER_hh_tes!D16/SER_hh_num!D16)</f>
        <v>25502.657977822815</v>
      </c>
      <c r="E16" s="130">
        <f>IF(SER_hh_tes!E16=0,0,11630*1000*SER_hh_tes!E16/SER_hh_num!E16)</f>
        <v>30926.252509872324</v>
      </c>
      <c r="F16" s="130">
        <f>IF(SER_hh_tes!F16=0,0,11630*1000*SER_hh_tes!F16/SER_hh_num!F16)</f>
        <v>25247.851738827674</v>
      </c>
      <c r="G16" s="130">
        <f>IF(SER_hh_tes!G16=0,0,11630*1000*SER_hh_tes!G16/SER_hh_num!G16)</f>
        <v>25478.888711779127</v>
      </c>
      <c r="H16" s="130">
        <f>IF(SER_hh_tes!H16=0,0,11630*1000*SER_hh_tes!H16/SER_hh_num!H16)</f>
        <v>28129.893242148206</v>
      </c>
      <c r="I16" s="130">
        <f>IF(SER_hh_tes!I16=0,0,11630*1000*SER_hh_tes!I16/SER_hh_num!I16)</f>
        <v>25546.156036974382</v>
      </c>
      <c r="J16" s="130">
        <f>IF(SER_hh_tes!J16=0,0,11630*1000*SER_hh_tes!J16/SER_hh_num!J16)</f>
        <v>25598.077137633216</v>
      </c>
      <c r="K16" s="130">
        <f>IF(SER_hh_tes!K16=0,0,11630*1000*SER_hh_tes!K16/SER_hh_num!K16)</f>
        <v>25510.303551823181</v>
      </c>
      <c r="L16" s="130">
        <f>IF(SER_hh_tes!L16=0,0,11630*1000*SER_hh_tes!L16/SER_hh_num!L16)</f>
        <v>27780.992672488021</v>
      </c>
      <c r="M16" s="130">
        <f>IF(SER_hh_tes!M16=0,0,11630*1000*SER_hh_tes!M16/SER_hh_num!M16)</f>
        <v>25734.329839039136</v>
      </c>
      <c r="N16" s="130">
        <f>IF(SER_hh_tes!N16=0,0,11630*1000*SER_hh_tes!N16/SER_hh_num!N16)</f>
        <v>26178.114833018448</v>
      </c>
      <c r="O16" s="130">
        <f>IF(SER_hh_tes!O16=0,0,11630*1000*SER_hh_tes!O16/SER_hh_num!O16)</f>
        <v>27425.650687792426</v>
      </c>
      <c r="P16" s="130">
        <f>IF(SER_hh_tes!P16=0,0,11630*1000*SER_hh_tes!P16/SER_hh_num!P16)</f>
        <v>25980.36513738531</v>
      </c>
      <c r="Q16" s="130">
        <f>IF(SER_hh_tes!Q16=0,0,11630*1000*SER_hh_tes!Q16/SER_hh_num!Q16)</f>
        <v>29343.206825854068</v>
      </c>
      <c r="R16" s="130">
        <f>IF(SER_hh_tes!R16=0,0,11630*1000*SER_hh_tes!R16/SER_hh_num!R16)</f>
        <v>26558.160326094552</v>
      </c>
      <c r="S16" s="130">
        <f>IF(SER_hh_tes!S16=0,0,11630*1000*SER_hh_tes!S16/SER_hh_num!S16)</f>
        <v>26220.418670711282</v>
      </c>
      <c r="T16" s="130">
        <f>IF(SER_hh_tes!T16=0,0,11630*1000*SER_hh_tes!T16/SER_hh_num!T16)</f>
        <v>32118.394566147414</v>
      </c>
      <c r="U16" s="130">
        <f>IF(SER_hh_tes!U16=0,0,11630*1000*SER_hh_tes!U16/SER_hh_num!U16)</f>
        <v>30845.019386648208</v>
      </c>
      <c r="V16" s="130">
        <f>IF(SER_hh_tes!V16=0,0,11630*1000*SER_hh_tes!V16/SER_hh_num!V16)</f>
        <v>26720.964637720706</v>
      </c>
      <c r="W16" s="130">
        <f>IF(SER_hh_tes!W16=0,0,11630*1000*SER_hh_tes!W16/SER_hh_num!W16)</f>
        <v>26016.961191433053</v>
      </c>
      <c r="X16" s="130">
        <f>IF(SER_hh_tes!X16=0,0,11630*1000*SER_hh_tes!X16/SER_hh_num!X16)</f>
        <v>29237.71759884285</v>
      </c>
      <c r="Y16" s="130">
        <f>IF(SER_hh_tes!Y16=0,0,11630*1000*SER_hh_tes!Y16/SER_hh_num!Y16)</f>
        <v>27804.020571803252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25143.192604998148</v>
      </c>
      <c r="C17" s="132">
        <f>IF(SER_hh_tes!C17=0,0,11630*1000*SER_hh_tes!C17/SER_hh_num!C17)</f>
        <v>25380.92107651785</v>
      </c>
      <c r="D17" s="132">
        <f>IF(SER_hh_tes!D17=0,0,11630*1000*SER_hh_tes!D17/SER_hh_num!D17)</f>
        <v>25502.657977781892</v>
      </c>
      <c r="E17" s="132">
        <f>IF(SER_hh_tes!E17=0,0,11630*1000*SER_hh_tes!E17/SER_hh_num!E17)</f>
        <v>30926.252509846356</v>
      </c>
      <c r="F17" s="132">
        <f>IF(SER_hh_tes!F17=0,0,11630*1000*SER_hh_tes!F17/SER_hh_num!F17)</f>
        <v>25247.851738869351</v>
      </c>
      <c r="G17" s="132">
        <f>IF(SER_hh_tes!G17=0,0,11630*1000*SER_hh_tes!G17/SER_hh_num!G17)</f>
        <v>25478.888711858857</v>
      </c>
      <c r="H17" s="132">
        <f>IF(SER_hh_tes!H17=0,0,11630*1000*SER_hh_tes!H17/SER_hh_num!H17)</f>
        <v>28129.893242184211</v>
      </c>
      <c r="I17" s="132">
        <f>IF(SER_hh_tes!I17=0,0,11630*1000*SER_hh_tes!I17/SER_hh_num!I17)</f>
        <v>25546.156036953504</v>
      </c>
      <c r="J17" s="132">
        <f>IF(SER_hh_tes!J17=0,0,11630*1000*SER_hh_tes!J17/SER_hh_num!J17)</f>
        <v>25598.077137592994</v>
      </c>
      <c r="K17" s="132">
        <f>IF(SER_hh_tes!K17=0,0,11630*1000*SER_hh_tes!K17/SER_hh_num!K17)</f>
        <v>25510.30355178149</v>
      </c>
      <c r="L17" s="132">
        <f>IF(SER_hh_tes!L17=0,0,11630*1000*SER_hh_tes!L17/SER_hh_num!L17)</f>
        <v>27780.992672448047</v>
      </c>
      <c r="M17" s="132">
        <f>IF(SER_hh_tes!M17=0,0,11630*1000*SER_hh_tes!M17/SER_hh_num!M17)</f>
        <v>25734.329839022732</v>
      </c>
      <c r="N17" s="132">
        <f>IF(SER_hh_tes!N17=0,0,11630*1000*SER_hh_tes!N17/SER_hh_num!N17)</f>
        <v>26178.114833019608</v>
      </c>
      <c r="O17" s="132">
        <f>IF(SER_hh_tes!O17=0,0,11630*1000*SER_hh_tes!O17/SER_hh_num!O17)</f>
        <v>27425.650687902482</v>
      </c>
      <c r="P17" s="132">
        <f>IF(SER_hh_tes!P17=0,0,11630*1000*SER_hh_tes!P17/SER_hh_num!P17)</f>
        <v>25980.365137609071</v>
      </c>
      <c r="Q17" s="132">
        <f>IF(SER_hh_tes!Q17=0,0,11630*1000*SER_hh_tes!Q17/SER_hh_num!Q17)</f>
        <v>23893.137322227383</v>
      </c>
      <c r="R17" s="132">
        <f>IF(SER_hh_tes!R17=0,0,11630*1000*SER_hh_tes!R17/SER_hh_num!R17)</f>
        <v>26558.160214832311</v>
      </c>
      <c r="S17" s="132">
        <f>IF(SER_hh_tes!S17=0,0,11630*1000*SER_hh_tes!S17/SER_hh_num!S17)</f>
        <v>23489.523951698386</v>
      </c>
      <c r="T17" s="132">
        <f>IF(SER_hh_tes!T17=0,0,11630*1000*SER_hh_tes!T17/SER_hh_num!T17)</f>
        <v>32118.394188655075</v>
      </c>
      <c r="U17" s="132">
        <f>IF(SER_hh_tes!U17=0,0,11630*1000*SER_hh_tes!U17/SER_hh_num!U17)</f>
        <v>30845.019555886556</v>
      </c>
      <c r="V17" s="132">
        <f>IF(SER_hh_tes!V17=0,0,11630*1000*SER_hh_tes!V17/SER_hh_num!V17)</f>
        <v>22743.126133120852</v>
      </c>
      <c r="W17" s="132">
        <f>IF(SER_hh_tes!W17=0,0,11630*1000*SER_hh_tes!W17/SER_hh_num!W17)</f>
        <v>22070.448831096794</v>
      </c>
      <c r="X17" s="132">
        <f>IF(SER_hh_tes!X17=0,0,11630*1000*SER_hh_tes!X17/SER_hh_num!X17)</f>
        <v>29237.7182220701</v>
      </c>
      <c r="Y17" s="132">
        <f>IF(SER_hh_tes!Y17=0,0,11630*1000*SER_hh_tes!Y17/SER_hh_num!Y17)</f>
        <v>27804.021027349474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25143.192604998145</v>
      </c>
      <c r="C18" s="132">
        <f>IF(SER_hh_tes!C18=0,0,11630*1000*SER_hh_tes!C18/SER_hh_num!C18)</f>
        <v>25380.92107651781</v>
      </c>
      <c r="D18" s="132">
        <f>IF(SER_hh_tes!D18=0,0,11630*1000*SER_hh_tes!D18/SER_hh_num!D18)</f>
        <v>25502.657977822822</v>
      </c>
      <c r="E18" s="132">
        <f>IF(SER_hh_tes!E18=0,0,11630*1000*SER_hh_tes!E18/SER_hh_num!E18)</f>
        <v>30926.252509872334</v>
      </c>
      <c r="F18" s="132">
        <f>IF(SER_hh_tes!F18=0,0,11630*1000*SER_hh_tes!F18/SER_hh_num!F18)</f>
        <v>25247.85173882766</v>
      </c>
      <c r="G18" s="132">
        <f>IF(SER_hh_tes!G18=0,0,11630*1000*SER_hh_tes!G18/SER_hh_num!G18)</f>
        <v>25478.888711779084</v>
      </c>
      <c r="H18" s="132">
        <f>IF(SER_hh_tes!H18=0,0,11630*1000*SER_hh_tes!H18/SER_hh_num!H18)</f>
        <v>28129.893242148188</v>
      </c>
      <c r="I18" s="132">
        <f>IF(SER_hh_tes!I18=0,0,11630*1000*SER_hh_tes!I18/SER_hh_num!I18)</f>
        <v>25546.1560369744</v>
      </c>
      <c r="J18" s="132">
        <f>IF(SER_hh_tes!J18=0,0,11630*1000*SER_hh_tes!J18/SER_hh_num!J18)</f>
        <v>25598.077137633249</v>
      </c>
      <c r="K18" s="132">
        <f>IF(SER_hh_tes!K18=0,0,11630*1000*SER_hh_tes!K18/SER_hh_num!K18)</f>
        <v>25510.303551823225</v>
      </c>
      <c r="L18" s="132">
        <f>IF(SER_hh_tes!L18=0,0,11630*1000*SER_hh_tes!L18/SER_hh_num!L18)</f>
        <v>27780.992672488072</v>
      </c>
      <c r="M18" s="132">
        <f>IF(SER_hh_tes!M18=0,0,11630*1000*SER_hh_tes!M18/SER_hh_num!M18)</f>
        <v>25734.329839039154</v>
      </c>
      <c r="N18" s="132">
        <f>IF(SER_hh_tes!N18=0,0,11630*1000*SER_hh_tes!N18/SER_hh_num!N18)</f>
        <v>26178.114833018444</v>
      </c>
      <c r="O18" s="132">
        <f>IF(SER_hh_tes!O18=0,0,11630*1000*SER_hh_tes!O18/SER_hh_num!O18)</f>
        <v>27425.650687792244</v>
      </c>
      <c r="P18" s="132">
        <f>IF(SER_hh_tes!P18=0,0,11630*1000*SER_hh_tes!P18/SER_hh_num!P18)</f>
        <v>25980.365137384808</v>
      </c>
      <c r="Q18" s="132">
        <f>IF(SER_hh_tes!Q18=0,0,11630*1000*SER_hh_tes!Q18/SER_hh_num!Q18)</f>
        <v>29361.416678610458</v>
      </c>
      <c r="R18" s="132">
        <f>IF(SER_hh_tes!R18=0,0,11630*1000*SER_hh_tes!R18/SER_hh_num!R18)</f>
        <v>26558.160326509395</v>
      </c>
      <c r="S18" s="132">
        <f>IF(SER_hh_tes!S18=0,0,11630*1000*SER_hh_tes!S18/SER_hh_num!S18)</f>
        <v>26232.865085667134</v>
      </c>
      <c r="T18" s="132">
        <f>IF(SER_hh_tes!T18=0,0,11630*1000*SER_hh_tes!T18/SER_hh_num!T18)</f>
        <v>32118.394568228603</v>
      </c>
      <c r="U18" s="132">
        <f>IF(SER_hh_tes!U18=0,0,11630*1000*SER_hh_tes!U18/SER_hh_num!U18)</f>
        <v>30845.019385604708</v>
      </c>
      <c r="V18" s="132">
        <f>IF(SER_hh_tes!V18=0,0,11630*1000*SER_hh_tes!V18/SER_hh_num!V18)</f>
        <v>26746.414897369476</v>
      </c>
      <c r="W18" s="132">
        <f>IF(SER_hh_tes!W18=0,0,11630*1000*SER_hh_tes!W18/SER_hh_num!W18)</f>
        <v>26043.155022681683</v>
      </c>
      <c r="X18" s="132">
        <f>IF(SER_hh_tes!X18=0,0,11630*1000*SER_hh_tes!X18/SER_hh_num!X18)</f>
        <v>29237.717594710652</v>
      </c>
      <c r="Y18" s="132">
        <f>IF(SER_hh_tes!Y18=0,0,11630*1000*SER_hh_tes!Y18/SER_hh_num!Y18)</f>
        <v>27804.020568736836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6158.324705230124</v>
      </c>
      <c r="C19" s="130">
        <f>IF(SER_hh_tes!C19=0,0,11630*1000*SER_hh_tes!C19/SER_hh_num!C19)</f>
        <v>5930.2228373277021</v>
      </c>
      <c r="D19" s="130">
        <f>IF(SER_hh_tes!D19=0,0,11630*1000*SER_hh_tes!D19/SER_hh_num!D19)</f>
        <v>5994.3213153794813</v>
      </c>
      <c r="E19" s="130">
        <f>IF(SER_hh_tes!E19=0,0,11630*1000*SER_hh_tes!E19/SER_hh_num!E19)</f>
        <v>6299.4661375181304</v>
      </c>
      <c r="F19" s="130">
        <f>IF(SER_hh_tes!F19=0,0,11630*1000*SER_hh_tes!F19/SER_hh_num!F19)</f>
        <v>6180.677049032437</v>
      </c>
      <c r="G19" s="130">
        <f>IF(SER_hh_tes!G19=0,0,11630*1000*SER_hh_tes!G19/SER_hh_num!G19)</f>
        <v>6184.7784741837713</v>
      </c>
      <c r="H19" s="130">
        <f>IF(SER_hh_tes!H19=0,0,11630*1000*SER_hh_tes!H19/SER_hh_num!H19)</f>
        <v>6224.4826666433692</v>
      </c>
      <c r="I19" s="130">
        <f>IF(SER_hh_tes!I19=0,0,11630*1000*SER_hh_tes!I19/SER_hh_num!I19)</f>
        <v>6194.6700655241229</v>
      </c>
      <c r="J19" s="130">
        <f>IF(SER_hh_tes!J19=0,0,11630*1000*SER_hh_tes!J19/SER_hh_num!J19)</f>
        <v>6193.3388662185225</v>
      </c>
      <c r="K19" s="130">
        <f>IF(SER_hh_tes!K19=0,0,11630*1000*SER_hh_tes!K19/SER_hh_num!K19)</f>
        <v>6349.5739525342487</v>
      </c>
      <c r="L19" s="130">
        <f>IF(SER_hh_tes!L19=0,0,11630*1000*SER_hh_tes!L19/SER_hh_num!L19)</f>
        <v>6300.2436945385471</v>
      </c>
      <c r="M19" s="130">
        <f>IF(SER_hh_tes!M19=0,0,11630*1000*SER_hh_tes!M19/SER_hh_num!M19)</f>
        <v>6242.2414808451367</v>
      </c>
      <c r="N19" s="130">
        <f>IF(SER_hh_tes!N19=0,0,11630*1000*SER_hh_tes!N19/SER_hh_num!N19)</f>
        <v>6335.6969748207584</v>
      </c>
      <c r="O19" s="130">
        <f>IF(SER_hh_tes!O19=0,0,11630*1000*SER_hh_tes!O19/SER_hh_num!O19)</f>
        <v>6225.9630135925927</v>
      </c>
      <c r="P19" s="130">
        <f>IF(SER_hh_tes!P19=0,0,11630*1000*SER_hh_tes!P19/SER_hh_num!P19)</f>
        <v>6407.4702519221046</v>
      </c>
      <c r="Q19" s="130">
        <f>IF(SER_hh_tes!Q19=0,0,11630*1000*SER_hh_tes!Q19/SER_hh_num!Q19)</f>
        <v>6425.3461668202099</v>
      </c>
      <c r="R19" s="130">
        <f>IF(SER_hh_tes!R19=0,0,11630*1000*SER_hh_tes!R19/SER_hh_num!R19)</f>
        <v>6343.8546761163925</v>
      </c>
      <c r="S19" s="130">
        <f>IF(SER_hh_tes!S19=0,0,11630*1000*SER_hh_tes!S19/SER_hh_num!S19)</f>
        <v>6409.6748470515213</v>
      </c>
      <c r="T19" s="130">
        <f>IF(SER_hh_tes!T19=0,0,11630*1000*SER_hh_tes!T19/SER_hh_num!T19)</f>
        <v>6918.0657759936512</v>
      </c>
      <c r="U19" s="130">
        <f>IF(SER_hh_tes!U19=0,0,11630*1000*SER_hh_tes!U19/SER_hh_num!U19)</f>
        <v>6777.910928615991</v>
      </c>
      <c r="V19" s="130">
        <f>IF(SER_hh_tes!V19=0,0,11630*1000*SER_hh_tes!V19/SER_hh_num!V19)</f>
        <v>5990.5147575611554</v>
      </c>
      <c r="W19" s="130">
        <f>IF(SER_hh_tes!W19=0,0,11630*1000*SER_hh_tes!W19/SER_hh_num!W19)</f>
        <v>6106.0322211450784</v>
      </c>
      <c r="X19" s="130">
        <f>IF(SER_hh_tes!X19=0,0,11630*1000*SER_hh_tes!X19/SER_hh_num!X19)</f>
        <v>5751.6169006405516</v>
      </c>
      <c r="Y19" s="130">
        <f>IF(SER_hh_tes!Y19=0,0,11630*1000*SER_hh_tes!Y19/SER_hh_num!Y19)</f>
        <v>5635.4455095097992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5635.7433324465992</v>
      </c>
      <c r="C21" s="132">
        <f>IF(SER_hh_tes!C21=0,0,11630*1000*SER_hh_tes!C21/SER_hh_num!C21)</f>
        <v>5566.4260677065777</v>
      </c>
      <c r="D21" s="132">
        <f>IF(SER_hh_tes!D21=0,0,11630*1000*SER_hh_tes!D21/SER_hh_num!D21)</f>
        <v>6312.9179733697019</v>
      </c>
      <c r="E21" s="132">
        <f>IF(SER_hh_tes!E21=0,0,11630*1000*SER_hh_tes!E21/SER_hh_num!E21)</f>
        <v>5881.2416957340238</v>
      </c>
      <c r="F21" s="132">
        <f>IF(SER_hh_tes!F21=0,0,11630*1000*SER_hh_tes!F21/SER_hh_num!F21)</f>
        <v>6403.4428194941329</v>
      </c>
      <c r="G21" s="132">
        <f>IF(SER_hh_tes!G21=0,0,11630*1000*SER_hh_tes!G21/SER_hh_num!G21)</f>
        <v>6450.2959844364595</v>
      </c>
      <c r="H21" s="132">
        <f>IF(SER_hh_tes!H21=0,0,11630*1000*SER_hh_tes!H21/SER_hh_num!H21)</f>
        <v>6283.3687050466624</v>
      </c>
      <c r="I21" s="132">
        <f>IF(SER_hh_tes!I21=0,0,11630*1000*SER_hh_tes!I21/SER_hh_num!I21)</f>
        <v>6278.0789873783597</v>
      </c>
      <c r="J21" s="132">
        <f>IF(SER_hh_tes!J21=0,0,11630*1000*SER_hh_tes!J21/SER_hh_num!J21)</f>
        <v>6297.2046002269381</v>
      </c>
      <c r="K21" s="132">
        <f>IF(SER_hh_tes!K21=0,0,11630*1000*SER_hh_tes!K21/SER_hh_num!K21)</f>
        <v>6307.3647893011912</v>
      </c>
      <c r="L21" s="132">
        <f>IF(SER_hh_tes!L21=0,0,11630*1000*SER_hh_tes!L21/SER_hh_num!L21)</f>
        <v>6172.6510267606836</v>
      </c>
      <c r="M21" s="132">
        <f>IF(SER_hh_tes!M21=0,0,11630*1000*SER_hh_tes!M21/SER_hh_num!M21)</f>
        <v>6403.3233034535806</v>
      </c>
      <c r="N21" s="132">
        <f>IF(SER_hh_tes!N21=0,0,11630*1000*SER_hh_tes!N21/SER_hh_num!N21)</f>
        <v>6351.4167900952307</v>
      </c>
      <c r="O21" s="132">
        <f>IF(SER_hh_tes!O21=0,0,11630*1000*SER_hh_tes!O21/SER_hh_num!O21)</f>
        <v>6023.2193964775543</v>
      </c>
      <c r="P21" s="132">
        <f>IF(SER_hh_tes!P21=0,0,11630*1000*SER_hh_tes!P21/SER_hh_num!P21)</f>
        <v>6271.2799234317572</v>
      </c>
      <c r="Q21" s="132">
        <f>IF(SER_hh_tes!Q21=0,0,11630*1000*SER_hh_tes!Q21/SER_hh_num!Q21)</f>
        <v>6391.411853486371</v>
      </c>
      <c r="R21" s="132">
        <f>IF(SER_hh_tes!R21=0,0,11630*1000*SER_hh_tes!R21/SER_hh_num!R21)</f>
        <v>6588.4991595559077</v>
      </c>
      <c r="S21" s="132">
        <f>IF(SER_hh_tes!S21=0,0,11630*1000*SER_hh_tes!S21/SER_hh_num!S21)</f>
        <v>5671.3274776044209</v>
      </c>
      <c r="T21" s="132">
        <f>IF(SER_hh_tes!T21=0,0,11630*1000*SER_hh_tes!T21/SER_hh_num!T21)</f>
        <v>7275.4704076534144</v>
      </c>
      <c r="U21" s="132">
        <f>IF(SER_hh_tes!U21=0,0,11630*1000*SER_hh_tes!U21/SER_hh_num!U21)</f>
        <v>7611.7077739242923</v>
      </c>
      <c r="V21" s="132">
        <f>IF(SER_hh_tes!V21=0,0,11630*1000*SER_hh_tes!V21/SER_hh_num!V21)</f>
        <v>6284.0627747757444</v>
      </c>
      <c r="W21" s="132">
        <f>IF(SER_hh_tes!W21=0,0,11630*1000*SER_hh_tes!W21/SER_hh_num!W21)</f>
        <v>5153.9376302737801</v>
      </c>
      <c r="X21" s="132">
        <f>IF(SER_hh_tes!X21=0,0,11630*1000*SER_hh_tes!X21/SER_hh_num!X21)</f>
        <v>5619.6454530666306</v>
      </c>
      <c r="Y21" s="132">
        <f>IF(SER_hh_tes!Y21=0,0,11630*1000*SER_hh_tes!Y21/SER_hh_num!Y21)</f>
        <v>5110.2565031180684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6005.1774088065376</v>
      </c>
      <c r="C22" s="132">
        <f>IF(SER_hh_tes!C22=0,0,11630*1000*SER_hh_tes!C22/SER_hh_num!C22)</f>
        <v>6024.8957996985764</v>
      </c>
      <c r="D22" s="132">
        <f>IF(SER_hh_tes!D22=0,0,11630*1000*SER_hh_tes!D22/SER_hh_num!D22)</f>
        <v>6761.9372607706309</v>
      </c>
      <c r="E22" s="132">
        <f>IF(SER_hh_tes!E22=0,0,11630*1000*SER_hh_tes!E22/SER_hh_num!E22)</f>
        <v>6006.4083167237932</v>
      </c>
      <c r="F22" s="132">
        <f>IF(SER_hh_tes!F22=0,0,11630*1000*SER_hh_tes!F22/SER_hh_num!F22)</f>
        <v>6063.1792044522535</v>
      </c>
      <c r="G22" s="132">
        <f>IF(SER_hh_tes!G22=0,0,11630*1000*SER_hh_tes!G22/SER_hh_num!G22)</f>
        <v>6034.3554179018965</v>
      </c>
      <c r="H22" s="132">
        <f>IF(SER_hh_tes!H22=0,0,11630*1000*SER_hh_tes!H22/SER_hh_num!H22)</f>
        <v>6198.1252081126013</v>
      </c>
      <c r="I22" s="132">
        <f>IF(SER_hh_tes!I22=0,0,11630*1000*SER_hh_tes!I22/SER_hh_num!I22)</f>
        <v>6225.7446854608734</v>
      </c>
      <c r="J22" s="132">
        <f>IF(SER_hh_tes!J22=0,0,11630*1000*SER_hh_tes!J22/SER_hh_num!J22)</f>
        <v>6237.594050631461</v>
      </c>
      <c r="K22" s="132">
        <f>IF(SER_hh_tes!K22=0,0,11630*1000*SER_hh_tes!K22/SER_hh_num!K22)</f>
        <v>6272.1513558217594</v>
      </c>
      <c r="L22" s="132">
        <f>IF(SER_hh_tes!L22=0,0,11630*1000*SER_hh_tes!L22/SER_hh_num!L22)</f>
        <v>6180.098834344155</v>
      </c>
      <c r="M22" s="132">
        <f>IF(SER_hh_tes!M22=0,0,11630*1000*SER_hh_tes!M22/SER_hh_num!M22)</f>
        <v>6262.9115294077983</v>
      </c>
      <c r="N22" s="132">
        <f>IF(SER_hh_tes!N22=0,0,11630*1000*SER_hh_tes!N22/SER_hh_num!N22)</f>
        <v>6266.8492585703189</v>
      </c>
      <c r="O22" s="132">
        <f>IF(SER_hh_tes!O22=0,0,11630*1000*SER_hh_tes!O22/SER_hh_num!O22)</f>
        <v>6295.2494159067892</v>
      </c>
      <c r="P22" s="132">
        <f>IF(SER_hh_tes!P22=0,0,11630*1000*SER_hh_tes!P22/SER_hh_num!P22)</f>
        <v>6371.0319365836558</v>
      </c>
      <c r="Q22" s="132">
        <f>IF(SER_hh_tes!Q22=0,0,11630*1000*SER_hh_tes!Q22/SER_hh_num!Q22)</f>
        <v>6400.6108689509629</v>
      </c>
      <c r="R22" s="132">
        <f>IF(SER_hh_tes!R22=0,0,11630*1000*SER_hh_tes!R22/SER_hh_num!R22)</f>
        <v>6574.8871784352677</v>
      </c>
      <c r="S22" s="132">
        <f>IF(SER_hh_tes!S22=0,0,11630*1000*SER_hh_tes!S22/SER_hh_num!S22)</f>
        <v>7101.094598380233</v>
      </c>
      <c r="T22" s="132">
        <f>IF(SER_hh_tes!T22=0,0,11630*1000*SER_hh_tes!T22/SER_hh_num!T22)</f>
        <v>5911.8597611027089</v>
      </c>
      <c r="U22" s="132">
        <f>IF(SER_hh_tes!U22=0,0,11630*1000*SER_hh_tes!U22/SER_hh_num!U22)</f>
        <v>6423.2475794026559</v>
      </c>
      <c r="V22" s="132">
        <f>IF(SER_hh_tes!V22=0,0,11630*1000*SER_hh_tes!V22/SER_hh_num!V22)</f>
        <v>5806.3152298272662</v>
      </c>
      <c r="W22" s="132">
        <f>IF(SER_hh_tes!W22=0,0,11630*1000*SER_hh_tes!W22/SER_hh_num!W22)</f>
        <v>6354.9229637454837</v>
      </c>
      <c r="X22" s="132">
        <f>IF(SER_hh_tes!X22=0,0,11630*1000*SER_hh_tes!X22/SER_hh_num!X22)</f>
        <v>5631.2667178394031</v>
      </c>
      <c r="Y22" s="132">
        <f>IF(SER_hh_tes!Y22=0,0,11630*1000*SER_hh_tes!Y22/SER_hh_num!Y22)</f>
        <v>5374.9155101807701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6197.5572055191742</v>
      </c>
      <c r="C23" s="132">
        <f>IF(SER_hh_tes!C23=0,0,11630*1000*SER_hh_tes!C23/SER_hh_num!C23)</f>
        <v>5893.4580904748145</v>
      </c>
      <c r="D23" s="132">
        <f>IF(SER_hh_tes!D23=0,0,11630*1000*SER_hh_tes!D23/SER_hh_num!D23)</f>
        <v>5435.4566241705425</v>
      </c>
      <c r="E23" s="132">
        <f>IF(SER_hh_tes!E23=0,0,11630*1000*SER_hh_tes!E23/SER_hh_num!E23)</f>
        <v>6275.2693047259372</v>
      </c>
      <c r="F23" s="132">
        <f>IF(SER_hh_tes!F23=0,0,11630*1000*SER_hh_tes!F23/SER_hh_num!F23)</f>
        <v>5994.6827030720196</v>
      </c>
      <c r="G23" s="132">
        <f>IF(SER_hh_tes!G23=0,0,11630*1000*SER_hh_tes!G23/SER_hh_num!G23)</f>
        <v>6152.9309403922216</v>
      </c>
      <c r="H23" s="132">
        <f>IF(SER_hh_tes!H23=0,0,11630*1000*SER_hh_tes!H23/SER_hh_num!H23)</f>
        <v>6292.044217895701</v>
      </c>
      <c r="I23" s="132">
        <f>IF(SER_hh_tes!I23=0,0,11630*1000*SER_hh_tes!I23/SER_hh_num!I23)</f>
        <v>6103.2659089882663</v>
      </c>
      <c r="J23" s="132">
        <f>IF(SER_hh_tes!J23=0,0,11630*1000*SER_hh_tes!J23/SER_hh_num!J23)</f>
        <v>6115.0684430935007</v>
      </c>
      <c r="K23" s="132">
        <f>IF(SER_hh_tes!K23=0,0,11630*1000*SER_hh_tes!K23/SER_hh_num!K23)</f>
        <v>6293.0874107385234</v>
      </c>
      <c r="L23" s="132">
        <f>IF(SER_hh_tes!L23=0,0,11630*1000*SER_hh_tes!L23/SER_hh_num!L23)</f>
        <v>6228.5928361975748</v>
      </c>
      <c r="M23" s="132">
        <f>IF(SER_hh_tes!M23=0,0,11630*1000*SER_hh_tes!M23/SER_hh_num!M23)</f>
        <v>6194.3034761855251</v>
      </c>
      <c r="N23" s="132">
        <f>IF(SER_hh_tes!N23=0,0,11630*1000*SER_hh_tes!N23/SER_hh_num!N23)</f>
        <v>6074.9260220519427</v>
      </c>
      <c r="O23" s="132">
        <f>IF(SER_hh_tes!O23=0,0,11630*1000*SER_hh_tes!O23/SER_hh_num!O23)</f>
        <v>6240.2593889376194</v>
      </c>
      <c r="P23" s="132">
        <f>IF(SER_hh_tes!P23=0,0,11630*1000*SER_hh_tes!P23/SER_hh_num!P23)</f>
        <v>6562.7738389463811</v>
      </c>
      <c r="Q23" s="132">
        <f>IF(SER_hh_tes!Q23=0,0,11630*1000*SER_hh_tes!Q23/SER_hh_num!Q23)</f>
        <v>6404.7322596534223</v>
      </c>
      <c r="R23" s="132">
        <f>IF(SER_hh_tes!R23=0,0,11630*1000*SER_hh_tes!R23/SER_hh_num!R23)</f>
        <v>6030.5385081700597</v>
      </c>
      <c r="S23" s="132">
        <f>IF(SER_hh_tes!S23=0,0,11630*1000*SER_hh_tes!S23/SER_hh_num!S23)</f>
        <v>5943.6907234634573</v>
      </c>
      <c r="T23" s="132">
        <f>IF(SER_hh_tes!T23=0,0,11630*1000*SER_hh_tes!T23/SER_hh_num!T23)</f>
        <v>7295.8578476703788</v>
      </c>
      <c r="U23" s="132">
        <f>IF(SER_hh_tes!U23=0,0,11630*1000*SER_hh_tes!U23/SER_hh_num!U23)</f>
        <v>6755.3069304556057</v>
      </c>
      <c r="V23" s="132">
        <f>IF(SER_hh_tes!V23=0,0,11630*1000*SER_hh_tes!V23/SER_hh_num!V23)</f>
        <v>6085.6774439222027</v>
      </c>
      <c r="W23" s="132">
        <f>IF(SER_hh_tes!W23=0,0,11630*1000*SER_hh_tes!W23/SER_hh_num!W23)</f>
        <v>5743.9611095725468</v>
      </c>
      <c r="X23" s="132">
        <f>IF(SER_hh_tes!X23=0,0,11630*1000*SER_hh_tes!X23/SER_hh_num!X23)</f>
        <v>5804.4604706801892</v>
      </c>
      <c r="Y23" s="132">
        <f>IF(SER_hh_tes!Y23=0,0,11630*1000*SER_hh_tes!Y23/SER_hh_num!Y23)</f>
        <v>5662.8406324460575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0</v>
      </c>
      <c r="C25" s="132">
        <f>IF(SER_hh_tes!C25=0,0,11630*1000*SER_hh_tes!C25/SER_hh_num!C25)</f>
        <v>0</v>
      </c>
      <c r="D25" s="132">
        <f>IF(SER_hh_tes!D25=0,0,11630*1000*SER_hh_tes!D25/SER_hh_num!D25)</f>
        <v>0</v>
      </c>
      <c r="E25" s="132">
        <f>IF(SER_hh_tes!E25=0,0,11630*1000*SER_hh_tes!E25/SER_hh_num!E25)</f>
        <v>8762.47994861392</v>
      </c>
      <c r="F25" s="132">
        <f>IF(SER_hh_tes!F25=0,0,11630*1000*SER_hh_tes!F25/SER_hh_num!F25)</f>
        <v>6851.6659391922958</v>
      </c>
      <c r="G25" s="132">
        <f>IF(SER_hh_tes!G25=0,0,11630*1000*SER_hh_tes!G25/SER_hh_num!G25)</f>
        <v>6242.3441676343009</v>
      </c>
      <c r="H25" s="132">
        <f>IF(SER_hh_tes!H25=0,0,11630*1000*SER_hh_tes!H25/SER_hh_num!H25)</f>
        <v>6239.1458675853801</v>
      </c>
      <c r="I25" s="132">
        <f>IF(SER_hh_tes!I25=0,0,11630*1000*SER_hh_tes!I25/SER_hh_num!I25)</f>
        <v>6163.8444160670551</v>
      </c>
      <c r="J25" s="132">
        <f>IF(SER_hh_tes!J25=0,0,11630*1000*SER_hh_tes!J25/SER_hh_num!J25)</f>
        <v>6203.0568761804134</v>
      </c>
      <c r="K25" s="132">
        <f>IF(SER_hh_tes!K25=0,0,11630*1000*SER_hh_tes!K25/SER_hh_num!K25)</f>
        <v>6247.9206815006473</v>
      </c>
      <c r="L25" s="132">
        <f>IF(SER_hh_tes!L25=0,0,11630*1000*SER_hh_tes!L25/SER_hh_num!L25)</f>
        <v>6250.6968594104856</v>
      </c>
      <c r="M25" s="132">
        <f>IF(SER_hh_tes!M25=0,0,11630*1000*SER_hh_tes!M25/SER_hh_num!M25)</f>
        <v>6516.7897881158797</v>
      </c>
      <c r="N25" s="132">
        <f>IF(SER_hh_tes!N25=0,0,11630*1000*SER_hh_tes!N25/SER_hh_num!N25)</f>
        <v>6968.011772292336</v>
      </c>
      <c r="O25" s="132">
        <f>IF(SER_hh_tes!O25=0,0,11630*1000*SER_hh_tes!O25/SER_hh_num!O25)</f>
        <v>5452.3869171917859</v>
      </c>
      <c r="P25" s="132">
        <f>IF(SER_hh_tes!P25=0,0,11630*1000*SER_hh_tes!P25/SER_hh_num!P25)</f>
        <v>6168.6144200660074</v>
      </c>
      <c r="Q25" s="132">
        <f>IF(SER_hh_tes!Q25=0,0,11630*1000*SER_hh_tes!Q25/SER_hh_num!Q25)</f>
        <v>6657.396958105508</v>
      </c>
      <c r="R25" s="132">
        <f>IF(SER_hh_tes!R25=0,0,11630*1000*SER_hh_tes!R25/SER_hh_num!R25)</f>
        <v>5918.4635353456752</v>
      </c>
      <c r="S25" s="132">
        <f>IF(SER_hh_tes!S25=0,0,11630*1000*SER_hh_tes!S25/SER_hh_num!S25)</f>
        <v>6363.7811822937783</v>
      </c>
      <c r="T25" s="132">
        <f>IF(SER_hh_tes!T25=0,0,11630*1000*SER_hh_tes!T25/SER_hh_num!T25)</f>
        <v>6706.4989487485582</v>
      </c>
      <c r="U25" s="132">
        <f>IF(SER_hh_tes!U25=0,0,11630*1000*SER_hh_tes!U25/SER_hh_num!U25)</f>
        <v>6694.5806589543417</v>
      </c>
      <c r="V25" s="132">
        <f>IF(SER_hh_tes!V25=0,0,11630*1000*SER_hh_tes!V25/SER_hh_num!V25)</f>
        <v>5721.0468937110118</v>
      </c>
      <c r="W25" s="132">
        <f>IF(SER_hh_tes!W25=0,0,11630*1000*SER_hh_tes!W25/SER_hh_num!W25)</f>
        <v>6144.6103471351798</v>
      </c>
      <c r="X25" s="132">
        <f>IF(SER_hh_tes!X25=0,0,11630*1000*SER_hh_tes!X25/SER_hh_num!X25)</f>
        <v>5728.2505478096837</v>
      </c>
      <c r="Y25" s="132">
        <f>IF(SER_hh_tes!Y25=0,0,11630*1000*SER_hh_tes!Y25/SER_hh_num!Y25)</f>
        <v>5592.3694110878305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6106.6006316110743</v>
      </c>
      <c r="C26" s="65">
        <f>IF(SER_hh_tes!C26=0,0,11630*1000*SER_hh_tes!C26/SER_hh_num!C26)</f>
        <v>5745.3848262973879</v>
      </c>
      <c r="D26" s="65">
        <f>IF(SER_hh_tes!D26=0,0,11630*1000*SER_hh_tes!D26/SER_hh_num!D26)</f>
        <v>5927.0862159570834</v>
      </c>
      <c r="E26" s="65">
        <f>IF(SER_hh_tes!E26=0,0,11630*1000*SER_hh_tes!E26/SER_hh_num!E26)</f>
        <v>5273.0220401895831</v>
      </c>
      <c r="F26" s="65">
        <f>IF(SER_hh_tes!F26=0,0,11630*1000*SER_hh_tes!F26/SER_hh_num!F26)</f>
        <v>5908.8215420791639</v>
      </c>
      <c r="G26" s="65">
        <f>IF(SER_hh_tes!G26=0,0,11630*1000*SER_hh_tes!G26/SER_hh_num!G26)</f>
        <v>6085.1813188818096</v>
      </c>
      <c r="H26" s="65">
        <f>IF(SER_hh_tes!H26=0,0,11630*1000*SER_hh_tes!H26/SER_hh_num!H26)</f>
        <v>5796.6951151560152</v>
      </c>
      <c r="I26" s="65">
        <f>IF(SER_hh_tes!I26=0,0,11630*1000*SER_hh_tes!I26/SER_hh_num!I26)</f>
        <v>5995.3599797180532</v>
      </c>
      <c r="J26" s="65">
        <f>IF(SER_hh_tes!J26=0,0,11630*1000*SER_hh_tes!J26/SER_hh_num!J26)</f>
        <v>5908.1812880807138</v>
      </c>
      <c r="K26" s="65">
        <f>IF(SER_hh_tes!K26=0,0,11630*1000*SER_hh_tes!K26/SER_hh_num!K26)</f>
        <v>6245.1744321188553</v>
      </c>
      <c r="L26" s="65">
        <f>IF(SER_hh_tes!L26=0,0,11630*1000*SER_hh_tes!L26/SER_hh_num!L26)</f>
        <v>6239.2003937488089</v>
      </c>
      <c r="M26" s="65">
        <f>IF(SER_hh_tes!M26=0,0,11630*1000*SER_hh_tes!M26/SER_hh_num!M26)</f>
        <v>5692.2558560545249</v>
      </c>
      <c r="N26" s="65">
        <f>IF(SER_hh_tes!N26=0,0,11630*1000*SER_hh_tes!N26/SER_hh_num!N26)</f>
        <v>6075.138440974617</v>
      </c>
      <c r="O26" s="65">
        <f>IF(SER_hh_tes!O26=0,0,11630*1000*SER_hh_tes!O26/SER_hh_num!O26)</f>
        <v>6141.5251965190728</v>
      </c>
      <c r="P26" s="65">
        <f>IF(SER_hh_tes!P26=0,0,11630*1000*SER_hh_tes!P26/SER_hh_num!P26)</f>
        <v>5865.0421882726105</v>
      </c>
      <c r="Q26" s="65">
        <f>IF(SER_hh_tes!Q26=0,0,11630*1000*SER_hh_tes!Q26/SER_hh_num!Q26)</f>
        <v>5991.53236938791</v>
      </c>
      <c r="R26" s="65">
        <f>IF(SER_hh_tes!R26=0,0,11630*1000*SER_hh_tes!R26/SER_hh_num!R26)</f>
        <v>6480.1578265880908</v>
      </c>
      <c r="S26" s="65">
        <f>IF(SER_hh_tes!S26=0,0,11630*1000*SER_hh_tes!S26/SER_hh_num!S26)</f>
        <v>6446.1001984434197</v>
      </c>
      <c r="T26" s="65">
        <f>IF(SER_hh_tes!T26=0,0,11630*1000*SER_hh_tes!T26/SER_hh_num!T26)</f>
        <v>6259.2212537592268</v>
      </c>
      <c r="U26" s="65">
        <f>IF(SER_hh_tes!U26=0,0,11630*1000*SER_hh_tes!U26/SER_hh_num!U26)</f>
        <v>6614.6192401482131</v>
      </c>
      <c r="V26" s="65">
        <f>IF(SER_hh_tes!V26=0,0,11630*1000*SER_hh_tes!V26/SER_hh_num!V26)</f>
        <v>5200.1619555174329</v>
      </c>
      <c r="W26" s="65">
        <f>IF(SER_hh_tes!W26=0,0,11630*1000*SER_hh_tes!W26/SER_hh_num!W26)</f>
        <v>7102.6505921421776</v>
      </c>
      <c r="X26" s="65">
        <f>IF(SER_hh_tes!X26=0,0,11630*1000*SER_hh_tes!X26/SER_hh_num!X26)</f>
        <v>4365.0364653613278</v>
      </c>
      <c r="Y26" s="65">
        <f>IF(SER_hh_tes!Y26=0,0,11630*1000*SER_hh_tes!Y26/SER_hh_num!Y26)</f>
        <v>4205.2655357921185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50.166986130644212</v>
      </c>
      <c r="C27" s="145">
        <f>IF(SER_hh_tes!C27=0,0,11630*1000*SER_hh_tes!C27/SER_hh_num!C19)</f>
        <v>48.558191956698884</v>
      </c>
      <c r="D27" s="145">
        <f>IF(SER_hh_tes!D27=0,0,11630*1000*SER_hh_tes!D27/SER_hh_num!D19)</f>
        <v>53.519680561080165</v>
      </c>
      <c r="E27" s="145">
        <f>IF(SER_hh_tes!E27=0,0,11630*1000*SER_hh_tes!E27/SER_hh_num!E19)</f>
        <v>56.934120236822345</v>
      </c>
      <c r="F27" s="145">
        <f>IF(SER_hh_tes!F27=0,0,11630*1000*SER_hh_tes!F27/SER_hh_num!F19)</f>
        <v>52.619175786102772</v>
      </c>
      <c r="G27" s="145">
        <f>IF(SER_hh_tes!G27=0,0,11630*1000*SER_hh_tes!G27/SER_hh_num!G19)</f>
        <v>58.841548254267209</v>
      </c>
      <c r="H27" s="145">
        <f>IF(SER_hh_tes!H27=0,0,11630*1000*SER_hh_tes!H27/SER_hh_num!H19)</f>
        <v>62.856532632756689</v>
      </c>
      <c r="I27" s="145">
        <f>IF(SER_hh_tes!I27=0,0,11630*1000*SER_hh_tes!I27/SER_hh_num!I19)</f>
        <v>66.201884722555789</v>
      </c>
      <c r="J27" s="145">
        <f>IF(SER_hh_tes!J27=0,0,11630*1000*SER_hh_tes!J27/SER_hh_num!J19)</f>
        <v>70.619138997443699</v>
      </c>
      <c r="K27" s="145">
        <f>IF(SER_hh_tes!K27=0,0,11630*1000*SER_hh_tes!K27/SER_hh_num!K19)</f>
        <v>78.945266502271409</v>
      </c>
      <c r="L27" s="145">
        <f>IF(SER_hh_tes!L27=0,0,11630*1000*SER_hh_tes!L27/SER_hh_num!L19)</f>
        <v>79.916146465880004</v>
      </c>
      <c r="M27" s="145">
        <f>IF(SER_hh_tes!M27=0,0,11630*1000*SER_hh_tes!M27/SER_hh_num!M19)</f>
        <v>87.021923471810794</v>
      </c>
      <c r="N27" s="145">
        <f>IF(SER_hh_tes!N27=0,0,11630*1000*SER_hh_tes!N27/SER_hh_num!N19)</f>
        <v>86.251144524459889</v>
      </c>
      <c r="O27" s="145">
        <f>IF(SER_hh_tes!O27=0,0,11630*1000*SER_hh_tes!O27/SER_hh_num!O19)</f>
        <v>83.675949471326021</v>
      </c>
      <c r="P27" s="145">
        <f>IF(SER_hh_tes!P27=0,0,11630*1000*SER_hh_tes!P27/SER_hh_num!P19)</f>
        <v>86.777862412918964</v>
      </c>
      <c r="Q27" s="145">
        <f>IF(SER_hh_tes!Q27=0,0,11630*1000*SER_hh_tes!Q27/SER_hh_num!Q19)</f>
        <v>89.688981640969686</v>
      </c>
      <c r="R27" s="145">
        <f>IF(SER_hh_tes!R27=0,0,11630*1000*SER_hh_tes!R27/SER_hh_num!R19)</f>
        <v>86.960301624713949</v>
      </c>
      <c r="S27" s="145">
        <f>IF(SER_hh_tes!S27=0,0,11630*1000*SER_hh_tes!S27/SER_hh_num!S19)</f>
        <v>86.642993824878744</v>
      </c>
      <c r="T27" s="145">
        <f>IF(SER_hh_tes!T27=0,0,11630*1000*SER_hh_tes!T27/SER_hh_num!T19)</f>
        <v>96.105827114663541</v>
      </c>
      <c r="U27" s="145">
        <f>IF(SER_hh_tes!U27=0,0,11630*1000*SER_hh_tes!U27/SER_hh_num!U19)</f>
        <v>90.495346021094036</v>
      </c>
      <c r="V27" s="145">
        <f>IF(SER_hh_tes!V27=0,0,11630*1000*SER_hh_tes!V27/SER_hh_num!V19)</f>
        <v>93.598460329168546</v>
      </c>
      <c r="W27" s="145">
        <f>IF(SER_hh_tes!W27=0,0,11630*1000*SER_hh_tes!W27/SER_hh_num!W19)</f>
        <v>88.312742924988825</v>
      </c>
      <c r="X27" s="145">
        <f>IF(SER_hh_tes!X27=0,0,11630*1000*SER_hh_tes!X27/SER_hh_num!X19)</f>
        <v>99.191579017333936</v>
      </c>
      <c r="Y27" s="145">
        <f>IF(SER_hh_tes!Y27=0,0,11630*1000*SER_hh_tes!Y27/SER_hh_num!Y19)</f>
        <v>92.107114786834472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3468.4105829284476</v>
      </c>
      <c r="C28" s="146">
        <f>IF(SER_hh_tes!C27=0,0,11630*1000*SER_hh_tes!C27/SER_hh_num!C27)</f>
        <v>3471.0187955976194</v>
      </c>
      <c r="D28" s="146">
        <f>IF(SER_hh_tes!D27=0,0,11630*1000*SER_hh_tes!D27/SER_hh_num!D27)</f>
        <v>3433.3415134992065</v>
      </c>
      <c r="E28" s="146">
        <f>IF(SER_hh_tes!E27=0,0,11630*1000*SER_hh_tes!E27/SER_hh_num!E27)</f>
        <v>3611.1788094853978</v>
      </c>
      <c r="F28" s="146">
        <f>IF(SER_hh_tes!F27=0,0,11630*1000*SER_hh_tes!F27/SER_hh_num!F27)</f>
        <v>3363.5310138277709</v>
      </c>
      <c r="G28" s="146">
        <f>IF(SER_hh_tes!G27=0,0,11630*1000*SER_hh_tes!G27/SER_hh_num!G27)</f>
        <v>3413.7102611049518</v>
      </c>
      <c r="H28" s="146">
        <f>IF(SER_hh_tes!H27=0,0,11630*1000*SER_hh_tes!H27/SER_hh_num!H27)</f>
        <v>3464.2517922184757</v>
      </c>
      <c r="I28" s="146">
        <f>IF(SER_hh_tes!I27=0,0,11630*1000*SER_hh_tes!I27/SER_hh_num!I27)</f>
        <v>3129.1707337263824</v>
      </c>
      <c r="J28" s="146">
        <f>IF(SER_hh_tes!J27=0,0,11630*1000*SER_hh_tes!J27/SER_hh_num!J27)</f>
        <v>3440.3415987856779</v>
      </c>
      <c r="K28" s="146">
        <f>IF(SER_hh_tes!K27=0,0,11630*1000*SER_hh_tes!K27/SER_hh_num!K27)</f>
        <v>3486.4700623618869</v>
      </c>
      <c r="L28" s="146">
        <f>IF(SER_hh_tes!L27=0,0,11630*1000*SER_hh_tes!L27/SER_hh_num!L27)</f>
        <v>3482.9394453151413</v>
      </c>
      <c r="M28" s="146">
        <f>IF(SER_hh_tes!M27=0,0,11630*1000*SER_hh_tes!M27/SER_hh_num!M27)</f>
        <v>3324.5108574771425</v>
      </c>
      <c r="N28" s="146">
        <f>IF(SER_hh_tes!N27=0,0,11630*1000*SER_hh_tes!N27/SER_hh_num!N27)</f>
        <v>3366.2406435308735</v>
      </c>
      <c r="O28" s="146">
        <f>IF(SER_hh_tes!O27=0,0,11630*1000*SER_hh_tes!O27/SER_hh_num!O27)</f>
        <v>3176.5029765880086</v>
      </c>
      <c r="P28" s="146">
        <f>IF(SER_hh_tes!P27=0,0,11630*1000*SER_hh_tes!P27/SER_hh_num!P27)</f>
        <v>3645.9087870512813</v>
      </c>
      <c r="Q28" s="146">
        <f>IF(SER_hh_tes!Q27=0,0,11630*1000*SER_hh_tes!Q27/SER_hh_num!Q27)</f>
        <v>3662.2214676146255</v>
      </c>
      <c r="R28" s="146">
        <f>IF(SER_hh_tes!R27=0,0,11630*1000*SER_hh_tes!R27/SER_hh_num!R27)</f>
        <v>3572.1581201397648</v>
      </c>
      <c r="S28" s="146">
        <f>IF(SER_hh_tes!S27=0,0,11630*1000*SER_hh_tes!S27/SER_hh_num!S27)</f>
        <v>3421.2894316276188</v>
      </c>
      <c r="T28" s="146">
        <f>IF(SER_hh_tes!T27=0,0,11630*1000*SER_hh_tes!T27/SER_hh_num!T27)</f>
        <v>3965.4828818435531</v>
      </c>
      <c r="U28" s="146">
        <f>IF(SER_hh_tes!U27=0,0,11630*1000*SER_hh_tes!U27/SER_hh_num!U27)</f>
        <v>3861.5536755878338</v>
      </c>
      <c r="V28" s="146">
        <f>IF(SER_hh_tes!V27=0,0,11630*1000*SER_hh_tes!V27/SER_hh_num!V27)</f>
        <v>3634.3827490408557</v>
      </c>
      <c r="W28" s="146">
        <f>IF(SER_hh_tes!W27=0,0,11630*1000*SER_hh_tes!W27/SER_hh_num!W27)</f>
        <v>3391.2020560980263</v>
      </c>
      <c r="X28" s="146">
        <f>IF(SER_hh_tes!X27=0,0,11630*1000*SER_hh_tes!X27/SER_hh_num!X27)</f>
        <v>3339.7334285065554</v>
      </c>
      <c r="Y28" s="146">
        <f>IF(SER_hh_tes!Y27=0,0,11630*1000*SER_hh_tes!Y27/SER_hh_num!Y27)</f>
        <v>3538.6870400966031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6605.4110103605599</v>
      </c>
      <c r="C29" s="130">
        <f>IF(SER_hh_tes!C29=0,0,11630*1000*SER_hh_tes!C29/SER_hh_num!C29)</f>
        <v>6442.6694066266764</v>
      </c>
      <c r="D29" s="130">
        <f>IF(SER_hh_tes!D29=0,0,11630*1000*SER_hh_tes!D29/SER_hh_num!D29)</f>
        <v>6772.1499570685119</v>
      </c>
      <c r="E29" s="130">
        <f>IF(SER_hh_tes!E29=0,0,11630*1000*SER_hh_tes!E29/SER_hh_num!E29)</f>
        <v>7065.28243890884</v>
      </c>
      <c r="F29" s="130">
        <f>IF(SER_hh_tes!F29=0,0,11630*1000*SER_hh_tes!F29/SER_hh_num!F29)</f>
        <v>7043.2242000522874</v>
      </c>
      <c r="G29" s="130">
        <f>IF(SER_hh_tes!G29=0,0,11630*1000*SER_hh_tes!G29/SER_hh_num!G29)</f>
        <v>6867.907409164528</v>
      </c>
      <c r="H29" s="130">
        <f>IF(SER_hh_tes!H29=0,0,11630*1000*SER_hh_tes!H29/SER_hh_num!H29)</f>
        <v>6715.8020455707874</v>
      </c>
      <c r="I29" s="130">
        <f>IF(SER_hh_tes!I29=0,0,11630*1000*SER_hh_tes!I29/SER_hh_num!I29)</f>
        <v>6773.7833460652719</v>
      </c>
      <c r="J29" s="130">
        <f>IF(SER_hh_tes!J29=0,0,11630*1000*SER_hh_tes!J29/SER_hh_num!J29)</f>
        <v>6578.8610305564416</v>
      </c>
      <c r="K29" s="130">
        <f>IF(SER_hh_tes!K29=0,0,11630*1000*SER_hh_tes!K29/SER_hh_num!K29)</f>
        <v>6869.2850703428785</v>
      </c>
      <c r="L29" s="130">
        <f>IF(SER_hh_tes!L29=0,0,11630*1000*SER_hh_tes!L29/SER_hh_num!L29)</f>
        <v>6997.7261789796303</v>
      </c>
      <c r="M29" s="130">
        <f>IF(SER_hh_tes!M29=0,0,11630*1000*SER_hh_tes!M29/SER_hh_num!M29)</f>
        <v>6846.3116241639937</v>
      </c>
      <c r="N29" s="130">
        <f>IF(SER_hh_tes!N29=0,0,11630*1000*SER_hh_tes!N29/SER_hh_num!N29)</f>
        <v>6876.1031886292367</v>
      </c>
      <c r="O29" s="130">
        <f>IF(SER_hh_tes!O29=0,0,11630*1000*SER_hh_tes!O29/SER_hh_num!O29)</f>
        <v>6974.1932547127508</v>
      </c>
      <c r="P29" s="130">
        <f>IF(SER_hh_tes!P29=0,0,11630*1000*SER_hh_tes!P29/SER_hh_num!P29)</f>
        <v>6938.2577443727023</v>
      </c>
      <c r="Q29" s="130">
        <f>IF(SER_hh_tes!Q29=0,0,11630*1000*SER_hh_tes!Q29/SER_hh_num!Q29)</f>
        <v>6972.329047512213</v>
      </c>
      <c r="R29" s="130">
        <f>IF(SER_hh_tes!R29=0,0,11630*1000*SER_hh_tes!R29/SER_hh_num!R29)</f>
        <v>6927.1829053883393</v>
      </c>
      <c r="S29" s="130">
        <f>IF(SER_hh_tes!S29=0,0,11630*1000*SER_hh_tes!S29/SER_hh_num!S29)</f>
        <v>7101.8122108979478</v>
      </c>
      <c r="T29" s="130">
        <f>IF(SER_hh_tes!T29=0,0,11630*1000*SER_hh_tes!T29/SER_hh_num!T29)</f>
        <v>7074.8900994212354</v>
      </c>
      <c r="U29" s="130">
        <f>IF(SER_hh_tes!U29=0,0,11630*1000*SER_hh_tes!U29/SER_hh_num!U29)</f>
        <v>7127.3724863655325</v>
      </c>
      <c r="V29" s="130">
        <f>IF(SER_hh_tes!V29=0,0,11630*1000*SER_hh_tes!V29/SER_hh_num!V29)</f>
        <v>6597.8813210644803</v>
      </c>
      <c r="W29" s="130">
        <f>IF(SER_hh_tes!W29=0,0,11630*1000*SER_hh_tes!W29/SER_hh_num!W29)</f>
        <v>6825.5217850518065</v>
      </c>
      <c r="X29" s="130">
        <f>IF(SER_hh_tes!X29=0,0,11630*1000*SER_hh_tes!X29/SER_hh_num!X29)</f>
        <v>5792.7459211980422</v>
      </c>
      <c r="Y29" s="130">
        <f>IF(SER_hh_tes!Y29=0,0,11630*1000*SER_hh_tes!Y29/SER_hh_num!Y29)</f>
        <v>5582.3863185893642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7452.0890313434529</v>
      </c>
      <c r="C30" s="132">
        <f>IF(SER_hh_tes!C30=0,0,11630*1000*SER_hh_tes!C30/SER_hh_num!C30)</f>
        <v>6238.6110314526768</v>
      </c>
      <c r="D30" s="132">
        <f>IF(SER_hh_tes!D30=0,0,11630*1000*SER_hh_tes!D30/SER_hh_num!D30)</f>
        <v>4574.3964397052341</v>
      </c>
      <c r="E30" s="132">
        <f>IF(SER_hh_tes!E30=0,0,11630*1000*SER_hh_tes!E30/SER_hh_num!E30)</f>
        <v>7913.9747422436967</v>
      </c>
      <c r="F30" s="132">
        <f>IF(SER_hh_tes!F30=0,0,11630*1000*SER_hh_tes!F30/SER_hh_num!F30)</f>
        <v>6228.8859262627102</v>
      </c>
      <c r="G30" s="132">
        <f>IF(SER_hh_tes!G30=0,0,11630*1000*SER_hh_tes!G30/SER_hh_num!G30)</f>
        <v>10003.249205149194</v>
      </c>
      <c r="H30" s="132">
        <f>IF(SER_hh_tes!H30=0,0,11630*1000*SER_hh_tes!H30/SER_hh_num!H30)</f>
        <v>6410.8301327061909</v>
      </c>
      <c r="I30" s="132">
        <f>IF(SER_hh_tes!I30=0,0,11630*1000*SER_hh_tes!I30/SER_hh_num!I30)</f>
        <v>6046.2130888031734</v>
      </c>
      <c r="J30" s="132">
        <f>IF(SER_hh_tes!J30=0,0,11630*1000*SER_hh_tes!J30/SER_hh_num!J30)</f>
        <v>7171.2810576108077</v>
      </c>
      <c r="K30" s="132">
        <f>IF(SER_hh_tes!K30=0,0,11630*1000*SER_hh_tes!K30/SER_hh_num!K30)</f>
        <v>6483.9444147114245</v>
      </c>
      <c r="L30" s="132">
        <f>IF(SER_hh_tes!L30=0,0,11630*1000*SER_hh_tes!L30/SER_hh_num!L30)</f>
        <v>5515.803346333676</v>
      </c>
      <c r="M30" s="132">
        <f>IF(SER_hh_tes!M30=0,0,11630*1000*SER_hh_tes!M30/SER_hh_num!M30)</f>
        <v>5476.6180340739356</v>
      </c>
      <c r="N30" s="132">
        <f>IF(SER_hh_tes!N30=0,0,11630*1000*SER_hh_tes!N30/SER_hh_num!N30)</f>
        <v>6116.3485987849026</v>
      </c>
      <c r="O30" s="132">
        <f>IF(SER_hh_tes!O30=0,0,11630*1000*SER_hh_tes!O30/SER_hh_num!O30)</f>
        <v>8172.366547347453</v>
      </c>
      <c r="P30" s="132">
        <f>IF(SER_hh_tes!P30=0,0,11630*1000*SER_hh_tes!P30/SER_hh_num!P30)</f>
        <v>6939.8845397398245</v>
      </c>
      <c r="Q30" s="132">
        <f>IF(SER_hh_tes!Q30=0,0,11630*1000*SER_hh_tes!Q30/SER_hh_num!Q30)</f>
        <v>6020.8115299820047</v>
      </c>
      <c r="R30" s="132">
        <f>IF(SER_hh_tes!R30=0,0,11630*1000*SER_hh_tes!R30/SER_hh_num!R30)</f>
        <v>8211.2460978296949</v>
      </c>
      <c r="S30" s="132">
        <f>IF(SER_hh_tes!S30=0,0,11630*1000*SER_hh_tes!S30/SER_hh_num!S30)</f>
        <v>5448.8616170953637</v>
      </c>
      <c r="T30" s="132">
        <f>IF(SER_hh_tes!T30=0,0,11630*1000*SER_hh_tes!T30/SER_hh_num!T30)</f>
        <v>7145.4450743968982</v>
      </c>
      <c r="U30" s="132">
        <f>IF(SER_hh_tes!U30=0,0,11630*1000*SER_hh_tes!U30/SER_hh_num!U30)</f>
        <v>7550.7130241117384</v>
      </c>
      <c r="V30" s="132">
        <f>IF(SER_hh_tes!V30=0,0,11630*1000*SER_hh_tes!V30/SER_hh_num!V30)</f>
        <v>7506.8801575444695</v>
      </c>
      <c r="W30" s="132">
        <f>IF(SER_hh_tes!W30=0,0,11630*1000*SER_hh_tes!W30/SER_hh_num!W30)</f>
        <v>6267.84686064367</v>
      </c>
      <c r="X30" s="132">
        <f>IF(SER_hh_tes!X30=0,0,11630*1000*SER_hh_tes!X30/SER_hh_num!X30)</f>
        <v>8172.388303112104</v>
      </c>
      <c r="Y30" s="132">
        <f>IF(SER_hh_tes!Y30=0,0,11630*1000*SER_hh_tes!Y30/SER_hh_num!Y30)</f>
        <v>2788.8337672502084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6597.9233716334802</v>
      </c>
      <c r="C31" s="132">
        <f>IF(SER_hh_tes!C31=0,0,11630*1000*SER_hh_tes!C31/SER_hh_num!C31)</f>
        <v>6456.6496336088585</v>
      </c>
      <c r="D31" s="132">
        <f>IF(SER_hh_tes!D31=0,0,11630*1000*SER_hh_tes!D31/SER_hh_num!D31)</f>
        <v>6859.7247918241228</v>
      </c>
      <c r="E31" s="132">
        <f>IF(SER_hh_tes!E31=0,0,11630*1000*SER_hh_tes!E31/SER_hh_num!E31)</f>
        <v>6993.7900120868271</v>
      </c>
      <c r="F31" s="132">
        <f>IF(SER_hh_tes!F31=0,0,11630*1000*SER_hh_tes!F31/SER_hh_num!F31)</f>
        <v>7083.5173306006755</v>
      </c>
      <c r="G31" s="132">
        <f>IF(SER_hh_tes!G31=0,0,11630*1000*SER_hh_tes!G31/SER_hh_num!G31)</f>
        <v>6822.4758388788141</v>
      </c>
      <c r="H31" s="132">
        <f>IF(SER_hh_tes!H31=0,0,11630*1000*SER_hh_tes!H31/SER_hh_num!H31)</f>
        <v>6819.1952247570607</v>
      </c>
      <c r="I31" s="132">
        <f>IF(SER_hh_tes!I31=0,0,11630*1000*SER_hh_tes!I31/SER_hh_num!I31)</f>
        <v>6680.8586569439385</v>
      </c>
      <c r="J31" s="132">
        <f>IF(SER_hh_tes!J31=0,0,11630*1000*SER_hh_tes!J31/SER_hh_num!J31)</f>
        <v>6722.889885850982</v>
      </c>
      <c r="K31" s="132">
        <f>IF(SER_hh_tes!K31=0,0,11630*1000*SER_hh_tes!K31/SER_hh_num!K31)</f>
        <v>6901.3886996958281</v>
      </c>
      <c r="L31" s="132">
        <f>IF(SER_hh_tes!L31=0,0,11630*1000*SER_hh_tes!L31/SER_hh_num!L31)</f>
        <v>6856.3984516430701</v>
      </c>
      <c r="M31" s="132">
        <f>IF(SER_hh_tes!M31=0,0,11630*1000*SER_hh_tes!M31/SER_hh_num!M31)</f>
        <v>6767.5837220826052</v>
      </c>
      <c r="N31" s="132">
        <f>IF(SER_hh_tes!N31=0,0,11630*1000*SER_hh_tes!N31/SER_hh_num!N31)</f>
        <v>6607.3318712178725</v>
      </c>
      <c r="O31" s="132">
        <f>IF(SER_hh_tes!O31=0,0,11630*1000*SER_hh_tes!O31/SER_hh_num!O31)</f>
        <v>6370.0327403529627</v>
      </c>
      <c r="P31" s="132">
        <f>IF(SER_hh_tes!P31=0,0,11630*1000*SER_hh_tes!P31/SER_hh_num!P31)</f>
        <v>7734.539411492995</v>
      </c>
      <c r="Q31" s="132">
        <f>IF(SER_hh_tes!Q31=0,0,11630*1000*SER_hh_tes!Q31/SER_hh_num!Q31)</f>
        <v>7028.8444122705832</v>
      </c>
      <c r="R31" s="132">
        <f>IF(SER_hh_tes!R31=0,0,11630*1000*SER_hh_tes!R31/SER_hh_num!R31)</f>
        <v>6598.4003702191576</v>
      </c>
      <c r="S31" s="132">
        <f>IF(SER_hh_tes!S31=0,0,11630*1000*SER_hh_tes!S31/SER_hh_num!S31)</f>
        <v>6820.0075458054671</v>
      </c>
      <c r="T31" s="132">
        <f>IF(SER_hh_tes!T31=0,0,11630*1000*SER_hh_tes!T31/SER_hh_num!T31)</f>
        <v>7286.1108251462547</v>
      </c>
      <c r="U31" s="132">
        <f>IF(SER_hh_tes!U31=0,0,11630*1000*SER_hh_tes!U31/SER_hh_num!U31)</f>
        <v>7643.5331043516535</v>
      </c>
      <c r="V31" s="132">
        <f>IF(SER_hh_tes!V31=0,0,11630*1000*SER_hh_tes!V31/SER_hh_num!V31)</f>
        <v>6154.0984163084086</v>
      </c>
      <c r="W31" s="132">
        <f>IF(SER_hh_tes!W31=0,0,11630*1000*SER_hh_tes!W31/SER_hh_num!W31)</f>
        <v>5735.0942415402587</v>
      </c>
      <c r="X31" s="132">
        <f>IF(SER_hh_tes!X31=0,0,11630*1000*SER_hh_tes!X31/SER_hh_num!X31)</f>
        <v>5796.6864901787048</v>
      </c>
      <c r="Y31" s="132">
        <f>IF(SER_hh_tes!Y31=0,0,11630*1000*SER_hh_tes!Y31/SER_hh_num!Y31)</f>
        <v>5753.3824006694222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9862.0094801733776</v>
      </c>
      <c r="F32" s="132">
        <f>IF(SER_hh_tes!F32=0,0,11630*1000*SER_hh_tes!F32/SER_hh_num!F32)</f>
        <v>7428.5189044807039</v>
      </c>
      <c r="G32" s="132">
        <f>IF(SER_hh_tes!G32=0,0,11630*1000*SER_hh_tes!G32/SER_hh_num!G32)</f>
        <v>7112.1476643536598</v>
      </c>
      <c r="H32" s="132">
        <f>IF(SER_hh_tes!H32=0,0,11630*1000*SER_hh_tes!H32/SER_hh_num!H32)</f>
        <v>6847.8708847057705</v>
      </c>
      <c r="I32" s="132">
        <f>IF(SER_hh_tes!I32=0,0,11630*1000*SER_hh_tes!I32/SER_hh_num!I32)</f>
        <v>6596.578544207392</v>
      </c>
      <c r="J32" s="132">
        <f>IF(SER_hh_tes!J32=0,0,11630*1000*SER_hh_tes!J32/SER_hh_num!J32)</f>
        <v>6255.0910135326067</v>
      </c>
      <c r="K32" s="132">
        <f>IF(SER_hh_tes!K32=0,0,11630*1000*SER_hh_tes!K32/SER_hh_num!K32)</f>
        <v>7027.204826159179</v>
      </c>
      <c r="L32" s="132">
        <f>IF(SER_hh_tes!L32=0,0,11630*1000*SER_hh_tes!L32/SER_hh_num!L32)</f>
        <v>7131.4117818885024</v>
      </c>
      <c r="M32" s="132">
        <f>IF(SER_hh_tes!M32=0,0,11630*1000*SER_hh_tes!M32/SER_hh_num!M32)</f>
        <v>6773.2423011024539</v>
      </c>
      <c r="N32" s="132">
        <f>IF(SER_hh_tes!N32=0,0,11630*1000*SER_hh_tes!N32/SER_hh_num!N32)</f>
        <v>7037.8940350263119</v>
      </c>
      <c r="O32" s="132">
        <f>IF(SER_hh_tes!O32=0,0,11630*1000*SER_hh_tes!O32/SER_hh_num!O32)</f>
        <v>7019.5860446230199</v>
      </c>
      <c r="P32" s="132">
        <f>IF(SER_hh_tes!P32=0,0,11630*1000*SER_hh_tes!P32/SER_hh_num!P32)</f>
        <v>7013.4832419750883</v>
      </c>
      <c r="Q32" s="132">
        <f>IF(SER_hh_tes!Q32=0,0,11630*1000*SER_hh_tes!Q32/SER_hh_num!Q32)</f>
        <v>7148.3938851596431</v>
      </c>
      <c r="R32" s="132">
        <f>IF(SER_hh_tes!R32=0,0,11630*1000*SER_hh_tes!R32/SER_hh_num!R32)</f>
        <v>6805.7414552528217</v>
      </c>
      <c r="S32" s="132">
        <f>IF(SER_hh_tes!S32=0,0,11630*1000*SER_hh_tes!S32/SER_hh_num!S32)</f>
        <v>7060.9478805460258</v>
      </c>
      <c r="T32" s="132">
        <f>IF(SER_hh_tes!T32=0,0,11630*1000*SER_hh_tes!T32/SER_hh_num!T32)</f>
        <v>7390.6983894576178</v>
      </c>
      <c r="U32" s="132">
        <f>IF(SER_hh_tes!U32=0,0,11630*1000*SER_hh_tes!U32/SER_hh_num!U32)</f>
        <v>7399.0725480239844</v>
      </c>
      <c r="V32" s="132">
        <f>IF(SER_hh_tes!V32=0,0,11630*1000*SER_hh_tes!V32/SER_hh_num!V32)</f>
        <v>6144.0214752470038</v>
      </c>
      <c r="W32" s="132">
        <f>IF(SER_hh_tes!W32=0,0,11630*1000*SER_hh_tes!W32/SER_hh_num!W32)</f>
        <v>6774.5821823781407</v>
      </c>
      <c r="X32" s="132">
        <f>IF(SER_hh_tes!X32=0,0,11630*1000*SER_hh_tes!X32/SER_hh_num!X32)</f>
        <v>5555.522633817548</v>
      </c>
      <c r="Y32" s="132">
        <f>IF(SER_hh_tes!Y32=0,0,11630*1000*SER_hh_tes!Y32/SER_hh_num!Y32)</f>
        <v>5659.4741381635367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6563.2733545664105</v>
      </c>
      <c r="C33" s="68">
        <f>IF(SER_hh_tes!C33=0,0,11630*1000*SER_hh_tes!C33/SER_hh_num!C33)</f>
        <v>6432.5285595943778</v>
      </c>
      <c r="D33" s="68">
        <f>IF(SER_hh_tes!D33=0,0,11630*1000*SER_hh_tes!D33/SER_hh_num!D33)</f>
        <v>6776.7177489844034</v>
      </c>
      <c r="E33" s="68">
        <f>IF(SER_hh_tes!E33=0,0,11630*1000*SER_hh_tes!E33/SER_hh_num!E33)</f>
        <v>7098.0700509249118</v>
      </c>
      <c r="F33" s="68">
        <f>IF(SER_hh_tes!F33=0,0,11630*1000*SER_hh_tes!F33/SER_hh_num!F33)</f>
        <v>7061.2360277097832</v>
      </c>
      <c r="G33" s="68">
        <f>IF(SER_hh_tes!G33=0,0,11630*1000*SER_hh_tes!G33/SER_hh_num!G33)</f>
        <v>6603.5657163048618</v>
      </c>
      <c r="H33" s="68">
        <f>IF(SER_hh_tes!H33=0,0,11630*1000*SER_hh_tes!H33/SER_hh_num!H33)</f>
        <v>6583.1847088789573</v>
      </c>
      <c r="I33" s="68">
        <f>IF(SER_hh_tes!I33=0,0,11630*1000*SER_hh_tes!I33/SER_hh_num!I33)</f>
        <v>6990.4739593341365</v>
      </c>
      <c r="J33" s="68">
        <f>IF(SER_hh_tes!J33=0,0,11630*1000*SER_hh_tes!J33/SER_hh_num!J33)</f>
        <v>6318.7859292215899</v>
      </c>
      <c r="K33" s="68">
        <f>IF(SER_hh_tes!K33=0,0,11630*1000*SER_hh_tes!K33/SER_hh_num!K33)</f>
        <v>6862.1289644881781</v>
      </c>
      <c r="L33" s="68">
        <f>IF(SER_hh_tes!L33=0,0,11630*1000*SER_hh_tes!L33/SER_hh_num!L33)</f>
        <v>7285.7517989229982</v>
      </c>
      <c r="M33" s="68">
        <f>IF(SER_hh_tes!M33=0,0,11630*1000*SER_hh_tes!M33/SER_hh_num!M33)</f>
        <v>7043.3638664626678</v>
      </c>
      <c r="N33" s="68">
        <f>IF(SER_hh_tes!N33=0,0,11630*1000*SER_hh_tes!N33/SER_hh_num!N33)</f>
        <v>7231.6501396381082</v>
      </c>
      <c r="O33" s="68">
        <f>IF(SER_hh_tes!O33=0,0,11630*1000*SER_hh_tes!O33/SER_hh_num!O33)</f>
        <v>7602.1988396758279</v>
      </c>
      <c r="P33" s="68">
        <f>IF(SER_hh_tes!P33=0,0,11630*1000*SER_hh_tes!P33/SER_hh_num!P33)</f>
        <v>5725.8726178801462</v>
      </c>
      <c r="Q33" s="68">
        <f>IF(SER_hh_tes!Q33=0,0,11630*1000*SER_hh_tes!Q33/SER_hh_num!Q33)</f>
        <v>6966.8564731807501</v>
      </c>
      <c r="R33" s="68">
        <f>IF(SER_hh_tes!R33=0,0,11630*1000*SER_hh_tes!R33/SER_hh_num!R33)</f>
        <v>7369.8476773021075</v>
      </c>
      <c r="S33" s="68">
        <f>IF(SER_hh_tes!S33=0,0,11630*1000*SER_hh_tes!S33/SER_hh_num!S33)</f>
        <v>7790.7395927039934</v>
      </c>
      <c r="T33" s="68">
        <f>IF(SER_hh_tes!T33=0,0,11630*1000*SER_hh_tes!T33/SER_hh_num!T33)</f>
        <v>6567.6193688848953</v>
      </c>
      <c r="U33" s="68">
        <f>IF(SER_hh_tes!U33=0,0,11630*1000*SER_hh_tes!U33/SER_hh_num!U33)</f>
        <v>5693.2900266174438</v>
      </c>
      <c r="V33" s="68">
        <f>IF(SER_hh_tes!V33=0,0,11630*1000*SER_hh_tes!V33/SER_hh_num!V33)</f>
        <v>7792.2466744374524</v>
      </c>
      <c r="W33" s="68">
        <f>IF(SER_hh_tes!W33=0,0,11630*1000*SER_hh_tes!W33/SER_hh_num!W33)</f>
        <v>11329.589137631754</v>
      </c>
      <c r="X33" s="68">
        <f>IF(SER_hh_tes!X33=0,0,11630*1000*SER_hh_tes!X33/SER_hh_num!X33)</f>
        <v>5298.3671676508739</v>
      </c>
      <c r="Y33" s="68">
        <f>IF(SER_hh_tes!Y33=0,0,11630*1000*SER_hh_tes!Y33/SER_hh_num!Y33)</f>
        <v>4767.6021949559072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13660.687840708508</v>
      </c>
      <c r="C3" s="125">
        <f>IF(SER_hh_emi!C3=0,0,1000000*SER_hh_emi!C3/SER_hh_num!C3)</f>
        <v>14559.759211510493</v>
      </c>
      <c r="D3" s="125">
        <f>IF(SER_hh_emi!D3=0,0,1000000*SER_hh_emi!D3/SER_hh_num!D3)</f>
        <v>13702.512136840984</v>
      </c>
      <c r="E3" s="125">
        <f>IF(SER_hh_emi!E3=0,0,1000000*SER_hh_emi!E3/SER_hh_num!E3)</f>
        <v>13172.052633942301</v>
      </c>
      <c r="F3" s="125">
        <f>IF(SER_hh_emi!F3=0,0,1000000*SER_hh_emi!F3/SER_hh_num!F3)</f>
        <v>12445.234364984281</v>
      </c>
      <c r="G3" s="125">
        <f>IF(SER_hh_emi!G3=0,0,1000000*SER_hh_emi!G3/SER_hh_num!G3)</f>
        <v>12074.067711268866</v>
      </c>
      <c r="H3" s="125">
        <f>IF(SER_hh_emi!H3=0,0,1000000*SER_hh_emi!H3/SER_hh_num!H3)</f>
        <v>13436.764724174223</v>
      </c>
      <c r="I3" s="125">
        <f>IF(SER_hh_emi!I3=0,0,1000000*SER_hh_emi!I3/SER_hh_num!I3)</f>
        <v>10207.531340814543</v>
      </c>
      <c r="J3" s="125">
        <f>IF(SER_hh_emi!J3=0,0,1000000*SER_hh_emi!J3/SER_hh_num!J3)</f>
        <v>11467.314968849059</v>
      </c>
      <c r="K3" s="125">
        <f>IF(SER_hh_emi!K3=0,0,1000000*SER_hh_emi!K3/SER_hh_num!K3)</f>
        <v>10592.10773068504</v>
      </c>
      <c r="L3" s="125">
        <f>IF(SER_hh_emi!L3=0,0,1000000*SER_hh_emi!L3/SER_hh_num!L3)</f>
        <v>10570.285735113703</v>
      </c>
      <c r="M3" s="125">
        <f>IF(SER_hh_emi!M3=0,0,1000000*SER_hh_emi!M3/SER_hh_num!M3)</f>
        <v>9481.9251243399176</v>
      </c>
      <c r="N3" s="125">
        <f>IF(SER_hh_emi!N3=0,0,1000000*SER_hh_emi!N3/SER_hh_num!N3)</f>
        <v>9779.9021149462405</v>
      </c>
      <c r="O3" s="125">
        <f>IF(SER_hh_emi!O3=0,0,1000000*SER_hh_emi!O3/SER_hh_num!O3)</f>
        <v>10986.016817404159</v>
      </c>
      <c r="P3" s="125">
        <f>IF(SER_hh_emi!P3=0,0,1000000*SER_hh_emi!P3/SER_hh_num!P3)</f>
        <v>10004.419056282775</v>
      </c>
      <c r="Q3" s="125">
        <f>IF(SER_hh_emi!Q3=0,0,1000000*SER_hh_emi!Q3/SER_hh_num!Q3)</f>
        <v>10305.848710192373</v>
      </c>
      <c r="R3" s="125">
        <f>IF(SER_hh_emi!R3=0,0,1000000*SER_hh_emi!R3/SER_hh_num!R3)</f>
        <v>9963.7881893396898</v>
      </c>
      <c r="S3" s="125">
        <f>IF(SER_hh_emi!S3=0,0,1000000*SER_hh_emi!S3/SER_hh_num!S3)</f>
        <v>9881.2977366711511</v>
      </c>
      <c r="T3" s="125">
        <f>IF(SER_hh_emi!T3=0,0,1000000*SER_hh_emi!T3/SER_hh_num!T3)</f>
        <v>8964.8425508814598</v>
      </c>
      <c r="U3" s="125">
        <f>IF(SER_hh_emi!U3=0,0,1000000*SER_hh_emi!U3/SER_hh_num!U3)</f>
        <v>8379.7642102548489</v>
      </c>
      <c r="V3" s="125">
        <f>IF(SER_hh_emi!V3=0,0,1000000*SER_hh_emi!V3/SER_hh_num!V3)</f>
        <v>8156.575169171505</v>
      </c>
      <c r="W3" s="125">
        <f>IF(SER_hh_emi!W3=0,0,1000000*SER_hh_emi!W3/SER_hh_num!W3)</f>
        <v>9521.9789420068282</v>
      </c>
      <c r="X3" s="125">
        <f>IF(SER_hh_emi!X3=0,0,1000000*SER_hh_emi!X3/SER_hh_num!X3)</f>
        <v>6846.815399450702</v>
      </c>
      <c r="Y3" s="125">
        <f>IF(SER_hh_emi!Y3=0,0,1000000*SER_hh_emi!Y3/SER_hh_num!Y3)</f>
        <v>6408.7564807105755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10568.825295552502</v>
      </c>
      <c r="C4" s="130">
        <f>IF(SER_hh_emi!C4=0,0,1000000*SER_hh_emi!C4/SER_hh_num!C4)</f>
        <v>11514.390395389168</v>
      </c>
      <c r="D4" s="130">
        <f>IF(SER_hh_emi!D4=0,0,1000000*SER_hh_emi!D4/SER_hh_num!D4)</f>
        <v>10602.607872482027</v>
      </c>
      <c r="E4" s="130">
        <f>IF(SER_hh_emi!E4=0,0,1000000*SER_hh_emi!E4/SER_hh_num!E4)</f>
        <v>10073.215350927161</v>
      </c>
      <c r="F4" s="130">
        <f>IF(SER_hh_emi!F4=0,0,1000000*SER_hh_emi!F4/SER_hh_num!F4)</f>
        <v>9406.2712792043949</v>
      </c>
      <c r="G4" s="130">
        <f>IF(SER_hh_emi!G4=0,0,1000000*SER_hh_emi!G4/SER_hh_num!G4)</f>
        <v>9072.8705115071334</v>
      </c>
      <c r="H4" s="130">
        <f>IF(SER_hh_emi!H4=0,0,1000000*SER_hh_emi!H4/SER_hh_num!H4)</f>
        <v>10477.426625261931</v>
      </c>
      <c r="I4" s="130">
        <f>IF(SER_hh_emi!I4=0,0,1000000*SER_hh_emi!I4/SER_hh_num!I4)</f>
        <v>7373.0531714357912</v>
      </c>
      <c r="J4" s="130">
        <f>IF(SER_hh_emi!J4=0,0,1000000*SER_hh_emi!J4/SER_hh_num!J4)</f>
        <v>8663.2482142750378</v>
      </c>
      <c r="K4" s="130">
        <f>IF(SER_hh_emi!K4=0,0,1000000*SER_hh_emi!K4/SER_hh_num!K4)</f>
        <v>7859.2513819389324</v>
      </c>
      <c r="L4" s="130">
        <f>IF(SER_hh_emi!L4=0,0,1000000*SER_hh_emi!L4/SER_hh_num!L4)</f>
        <v>7954.2151947489292</v>
      </c>
      <c r="M4" s="130">
        <f>IF(SER_hh_emi!M4=0,0,1000000*SER_hh_emi!M4/SER_hh_num!M4)</f>
        <v>6935.698797925158</v>
      </c>
      <c r="N4" s="130">
        <f>IF(SER_hh_emi!N4=0,0,1000000*SER_hh_emi!N4/SER_hh_num!N4)</f>
        <v>7253.883037203821</v>
      </c>
      <c r="O4" s="130">
        <f>IF(SER_hh_emi!O4=0,0,1000000*SER_hh_emi!O4/SER_hh_num!O4)</f>
        <v>8377.9228376771807</v>
      </c>
      <c r="P4" s="130">
        <f>IF(SER_hh_emi!P4=0,0,1000000*SER_hh_emi!P4/SER_hh_num!P4)</f>
        <v>7007.7961672941337</v>
      </c>
      <c r="Q4" s="130">
        <f>IF(SER_hh_emi!Q4=0,0,1000000*SER_hh_emi!Q4/SER_hh_num!Q4)</f>
        <v>7456.0992819212133</v>
      </c>
      <c r="R4" s="130">
        <f>IF(SER_hh_emi!R4=0,0,1000000*SER_hh_emi!R4/SER_hh_num!R4)</f>
        <v>7189.0646600418677</v>
      </c>
      <c r="S4" s="130">
        <f>IF(SER_hh_emi!S4=0,0,1000000*SER_hh_emi!S4/SER_hh_num!S4)</f>
        <v>7045.7286012171044</v>
      </c>
      <c r="T4" s="130">
        <f>IF(SER_hh_emi!T4=0,0,1000000*SER_hh_emi!T4/SER_hh_num!T4)</f>
        <v>5825.9466849773416</v>
      </c>
      <c r="U4" s="130">
        <f>IF(SER_hh_emi!U4=0,0,1000000*SER_hh_emi!U4/SER_hh_num!U4)</f>
        <v>5157.8434377773374</v>
      </c>
      <c r="V4" s="130">
        <f>IF(SER_hh_emi!V4=0,0,1000000*SER_hh_emi!V4/SER_hh_num!V4)</f>
        <v>5369.3122594165316</v>
      </c>
      <c r="W4" s="130">
        <f>IF(SER_hh_emi!W4=0,0,1000000*SER_hh_emi!W4/SER_hh_num!W4)</f>
        <v>6790.4168555642127</v>
      </c>
      <c r="X4" s="130">
        <f>IF(SER_hh_emi!X4=0,0,1000000*SER_hh_emi!X4/SER_hh_num!X4)</f>
        <v>4039.34574680898</v>
      </c>
      <c r="Y4" s="130">
        <f>IF(SER_hh_emi!Y4=0,0,1000000*SER_hh_emi!Y4/SER_hh_num!Y4)</f>
        <v>3624.0255051450317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16507.70187479732</v>
      </c>
      <c r="C5" s="132">
        <f>IF(SER_hh_emi!C5=0,0,1000000*SER_hh_emi!C5/SER_hh_num!C5)</f>
        <v>18136.097632249781</v>
      </c>
      <c r="D5" s="132">
        <f>IF(SER_hh_emi!D5=0,0,1000000*SER_hh_emi!D5/SER_hh_num!D5)</f>
        <v>19598.252568279135</v>
      </c>
      <c r="E5" s="132">
        <f>IF(SER_hh_emi!E5=0,0,1000000*SER_hh_emi!E5/SER_hh_num!E5)</f>
        <v>11049.594605045613</v>
      </c>
      <c r="F5" s="132">
        <f>IF(SER_hh_emi!F5=0,0,1000000*SER_hh_emi!F5/SER_hh_num!F5)</f>
        <v>11147.053671208221</v>
      </c>
      <c r="G5" s="132">
        <f>IF(SER_hh_emi!G5=0,0,1000000*SER_hh_emi!G5/SER_hh_num!G5)</f>
        <v>12696.922107777114</v>
      </c>
      <c r="H5" s="132">
        <f>IF(SER_hh_emi!H5=0,0,1000000*SER_hh_emi!H5/SER_hh_num!H5)</f>
        <v>16378.081409458231</v>
      </c>
      <c r="I5" s="132">
        <f>IF(SER_hh_emi!I5=0,0,1000000*SER_hh_emi!I5/SER_hh_num!I5)</f>
        <v>23317.085734131902</v>
      </c>
      <c r="J5" s="132">
        <f>IF(SER_hh_emi!J5=0,0,1000000*SER_hh_emi!J5/SER_hh_num!J5)</f>
        <v>18970.757574855445</v>
      </c>
      <c r="K5" s="132">
        <f>IF(SER_hh_emi!K5=0,0,1000000*SER_hh_emi!K5/SER_hh_num!K5)</f>
        <v>16390.484736200215</v>
      </c>
      <c r="L5" s="132">
        <f>IF(SER_hh_emi!L5=0,0,1000000*SER_hh_emi!L5/SER_hh_num!L5)</f>
        <v>16093.454083890834</v>
      </c>
      <c r="M5" s="132">
        <f>IF(SER_hh_emi!M5=0,0,1000000*SER_hh_emi!M5/SER_hh_num!M5)</f>
        <v>16935.653429414964</v>
      </c>
      <c r="N5" s="132">
        <f>IF(SER_hh_emi!N5=0,0,1000000*SER_hh_emi!N5/SER_hh_num!N5)</f>
        <v>19242.14258213625</v>
      </c>
      <c r="O5" s="132">
        <f>IF(SER_hh_emi!O5=0,0,1000000*SER_hh_emi!O5/SER_hh_num!O5)</f>
        <v>8928.6879816635756</v>
      </c>
      <c r="P5" s="132">
        <f>IF(SER_hh_emi!P5=0,0,1000000*SER_hh_emi!P5/SER_hh_num!P5)</f>
        <v>12262.009501197916</v>
      </c>
      <c r="Q5" s="132">
        <f>IF(SER_hh_emi!Q5=0,0,1000000*SER_hh_emi!Q5/SER_hh_num!Q5)</f>
        <v>27477.244430770719</v>
      </c>
      <c r="R5" s="132">
        <f>IF(SER_hh_emi!R5=0,0,1000000*SER_hh_emi!R5/SER_hh_num!R5)</f>
        <v>6600.1404422338592</v>
      </c>
      <c r="S5" s="132">
        <f>IF(SER_hh_emi!S5=0,0,1000000*SER_hh_emi!S5/SER_hh_num!S5)</f>
        <v>7272.2677660701484</v>
      </c>
      <c r="T5" s="132">
        <f>IF(SER_hh_emi!T5=0,0,1000000*SER_hh_emi!T5/SER_hh_num!T5)</f>
        <v>18267.99476127751</v>
      </c>
      <c r="U5" s="132">
        <f>IF(SER_hh_emi!U5=0,0,1000000*SER_hh_emi!U5/SER_hh_num!U5)</f>
        <v>3455.5209486094413</v>
      </c>
      <c r="V5" s="132">
        <f>IF(SER_hh_emi!V5=0,0,1000000*SER_hh_emi!V5/SER_hh_num!V5)</f>
        <v>5075.8362203213283</v>
      </c>
      <c r="W5" s="132">
        <f>IF(SER_hh_emi!W5=0,0,1000000*SER_hh_emi!W5/SER_hh_num!W5)</f>
        <v>1547.4228103125149</v>
      </c>
      <c r="X5" s="132">
        <f>IF(SER_hh_emi!X5=0,0,1000000*SER_hh_emi!X5/SER_hh_num!X5)</f>
        <v>787.65590381088964</v>
      </c>
      <c r="Y5" s="132">
        <f>IF(SER_hh_emi!Y5=0,0,1000000*SER_hh_emi!Y5/SER_hh_num!Y5)</f>
        <v>14539.056318111454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13797.940821292834</v>
      </c>
      <c r="C7" s="132">
        <f>IF(SER_hh_emi!C7=0,0,1000000*SER_hh_emi!C7/SER_hh_num!C7)</f>
        <v>17254.438356336665</v>
      </c>
      <c r="D7" s="132">
        <f>IF(SER_hh_emi!D7=0,0,1000000*SER_hh_emi!D7/SER_hh_num!D7)</f>
        <v>15495.054199176568</v>
      </c>
      <c r="E7" s="132">
        <f>IF(SER_hh_emi!E7=0,0,1000000*SER_hh_emi!E7/SER_hh_num!E7)</f>
        <v>17861.020328928393</v>
      </c>
      <c r="F7" s="132">
        <f>IF(SER_hh_emi!F7=0,0,1000000*SER_hh_emi!F7/SER_hh_num!F7)</f>
        <v>17453.875593817807</v>
      </c>
      <c r="G7" s="132">
        <f>IF(SER_hh_emi!G7=0,0,1000000*SER_hh_emi!G7/SER_hh_num!G7)</f>
        <v>17549.011032553008</v>
      </c>
      <c r="H7" s="132">
        <f>IF(SER_hh_emi!H7=0,0,1000000*SER_hh_emi!H7/SER_hh_num!H7)</f>
        <v>18811.809785172827</v>
      </c>
      <c r="I7" s="132">
        <f>IF(SER_hh_emi!I7=0,0,1000000*SER_hh_emi!I7/SER_hh_num!I7)</f>
        <v>12443.251563748312</v>
      </c>
      <c r="J7" s="132">
        <f>IF(SER_hh_emi!J7=0,0,1000000*SER_hh_emi!J7/SER_hh_num!J7)</f>
        <v>16587.459688432416</v>
      </c>
      <c r="K7" s="132">
        <f>IF(SER_hh_emi!K7=0,0,1000000*SER_hh_emi!K7/SER_hh_num!K7)</f>
        <v>14830.915869503729</v>
      </c>
      <c r="L7" s="132">
        <f>IF(SER_hh_emi!L7=0,0,1000000*SER_hh_emi!L7/SER_hh_num!L7)</f>
        <v>14955.253054488749</v>
      </c>
      <c r="M7" s="132">
        <f>IF(SER_hh_emi!M7=0,0,1000000*SER_hh_emi!M7/SER_hh_num!M7)</f>
        <v>12754.99054416834</v>
      </c>
      <c r="N7" s="132">
        <f>IF(SER_hh_emi!N7=0,0,1000000*SER_hh_emi!N7/SER_hh_num!N7)</f>
        <v>13144.43131284956</v>
      </c>
      <c r="O7" s="132">
        <f>IF(SER_hh_emi!O7=0,0,1000000*SER_hh_emi!O7/SER_hh_num!O7)</f>
        <v>13682.740684819702</v>
      </c>
      <c r="P7" s="132">
        <f>IF(SER_hh_emi!P7=0,0,1000000*SER_hh_emi!P7/SER_hh_num!P7)</f>
        <v>12081.114581650945</v>
      </c>
      <c r="Q7" s="132">
        <f>IF(SER_hh_emi!Q7=0,0,1000000*SER_hh_emi!Q7/SER_hh_num!Q7)</f>
        <v>12095.319507898139</v>
      </c>
      <c r="R7" s="132">
        <f>IF(SER_hh_emi!R7=0,0,1000000*SER_hh_emi!R7/SER_hh_num!R7)</f>
        <v>12432.840129016806</v>
      </c>
      <c r="S7" s="132">
        <f>IF(SER_hh_emi!S7=0,0,1000000*SER_hh_emi!S7/SER_hh_num!S7)</f>
        <v>13429.12073161338</v>
      </c>
      <c r="T7" s="132">
        <f>IF(SER_hh_emi!T7=0,0,1000000*SER_hh_emi!T7/SER_hh_num!T7)</f>
        <v>9723.4213542997495</v>
      </c>
      <c r="U7" s="132">
        <f>IF(SER_hh_emi!U7=0,0,1000000*SER_hh_emi!U7/SER_hh_num!U7)</f>
        <v>10842.189066803408</v>
      </c>
      <c r="V7" s="132">
        <f>IF(SER_hh_emi!V7=0,0,1000000*SER_hh_emi!V7/SER_hh_num!V7)</f>
        <v>10766.720933701064</v>
      </c>
      <c r="W7" s="132">
        <f>IF(SER_hh_emi!W7=0,0,1000000*SER_hh_emi!W7/SER_hh_num!W7)</f>
        <v>17875.821143613251</v>
      </c>
      <c r="X7" s="132">
        <f>IF(SER_hh_emi!X7=0,0,1000000*SER_hh_emi!X7/SER_hh_num!X7)</f>
        <v>7989.8237796647127</v>
      </c>
      <c r="Y7" s="132">
        <f>IF(SER_hh_emi!Y7=0,0,1000000*SER_hh_emi!Y7/SER_hh_num!Y7)</f>
        <v>9006.4786839162007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4834.1606580982398</v>
      </c>
      <c r="C8" s="132">
        <f>IF(SER_hh_emi!C8=0,0,1000000*SER_hh_emi!C8/SER_hh_num!C8)</f>
        <v>5017.7870482948529</v>
      </c>
      <c r="D8" s="132">
        <f>IF(SER_hh_emi!D8=0,0,1000000*SER_hh_emi!D8/SER_hh_num!D8)</f>
        <v>5142.0605801702595</v>
      </c>
      <c r="E8" s="132">
        <f>IF(SER_hh_emi!E8=0,0,1000000*SER_hh_emi!E8/SER_hh_num!E8)</f>
        <v>5312.31963963421</v>
      </c>
      <c r="F8" s="132">
        <f>IF(SER_hh_emi!F8=0,0,1000000*SER_hh_emi!F8/SER_hh_num!F8)</f>
        <v>4900.7144747148623</v>
      </c>
      <c r="G8" s="132">
        <f>IF(SER_hh_emi!G8=0,0,1000000*SER_hh_emi!G8/SER_hh_num!G8)</f>
        <v>3833.5932584800521</v>
      </c>
      <c r="H8" s="132">
        <f>IF(SER_hh_emi!H8=0,0,1000000*SER_hh_emi!H8/SER_hh_num!H8)</f>
        <v>3927.2636059299311</v>
      </c>
      <c r="I8" s="132">
        <f>IF(SER_hh_emi!I8=0,0,1000000*SER_hh_emi!I8/SER_hh_num!I8)</f>
        <v>4111.2787657560339</v>
      </c>
      <c r="J8" s="132">
        <f>IF(SER_hh_emi!J8=0,0,1000000*SER_hh_emi!J8/SER_hh_num!J8)</f>
        <v>4175.6888581117919</v>
      </c>
      <c r="K8" s="132">
        <f>IF(SER_hh_emi!K8=0,0,1000000*SER_hh_emi!K8/SER_hh_num!K8)</f>
        <v>3604.5488854054038</v>
      </c>
      <c r="L8" s="132">
        <f>IF(SER_hh_emi!L8=0,0,1000000*SER_hh_emi!L8/SER_hh_num!L8)</f>
        <v>3140.3863242907764</v>
      </c>
      <c r="M8" s="132">
        <f>IF(SER_hh_emi!M8=0,0,1000000*SER_hh_emi!M8/SER_hh_num!M8)</f>
        <v>3128.3840773225156</v>
      </c>
      <c r="N8" s="132">
        <f>IF(SER_hh_emi!N8=0,0,1000000*SER_hh_emi!N8/SER_hh_num!N8)</f>
        <v>3100.1855666266215</v>
      </c>
      <c r="O8" s="132">
        <f>IF(SER_hh_emi!O8=0,0,1000000*SER_hh_emi!O8/SER_hh_num!O8)</f>
        <v>3122.4507091756091</v>
      </c>
      <c r="P8" s="132">
        <f>IF(SER_hh_emi!P8=0,0,1000000*SER_hh_emi!P8/SER_hh_num!P8)</f>
        <v>2795.8531904258275</v>
      </c>
      <c r="Q8" s="132">
        <f>IF(SER_hh_emi!Q8=0,0,1000000*SER_hh_emi!Q8/SER_hh_num!Q8)</f>
        <v>2847.2169992467384</v>
      </c>
      <c r="R8" s="132">
        <f>IF(SER_hh_emi!R8=0,0,1000000*SER_hh_emi!R8/SER_hh_num!R8)</f>
        <v>2680.6070185833978</v>
      </c>
      <c r="S8" s="132">
        <f>IF(SER_hh_emi!S8=0,0,1000000*SER_hh_emi!S8/SER_hh_num!S8)</f>
        <v>2497.1360086772802</v>
      </c>
      <c r="T8" s="132">
        <f>IF(SER_hh_emi!T8=0,0,1000000*SER_hh_emi!T8/SER_hh_num!T8)</f>
        <v>2285.6593816767913</v>
      </c>
      <c r="U8" s="132">
        <f>IF(SER_hh_emi!U8=0,0,1000000*SER_hh_emi!U8/SER_hh_num!U8)</f>
        <v>2273.9974033528051</v>
      </c>
      <c r="V8" s="132">
        <f>IF(SER_hh_emi!V8=0,0,1000000*SER_hh_emi!V8/SER_hh_num!V8)</f>
        <v>2063.6963170497247</v>
      </c>
      <c r="W8" s="132">
        <f>IF(SER_hh_emi!W8=0,0,1000000*SER_hh_emi!W8/SER_hh_num!W8)</f>
        <v>1983.3724159179508</v>
      </c>
      <c r="X8" s="132">
        <f>IF(SER_hh_emi!X8=0,0,1000000*SER_hh_emi!X8/SER_hh_num!X8)</f>
        <v>1883.8137430900938</v>
      </c>
      <c r="Y8" s="132">
        <f>IF(SER_hh_emi!Y8=0,0,1000000*SER_hh_emi!Y8/SER_hh_num!Y8)</f>
        <v>1797.1752800128272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10351.745949018739</v>
      </c>
      <c r="C9" s="132">
        <f>IF(SER_hh_emi!C9=0,0,1000000*SER_hh_emi!C9/SER_hh_num!C9)</f>
        <v>9638.3055811533814</v>
      </c>
      <c r="D9" s="132">
        <f>IF(SER_hh_emi!D9=0,0,1000000*SER_hh_emi!D9/SER_hh_num!D9)</f>
        <v>9435.5726564347478</v>
      </c>
      <c r="E9" s="132">
        <f>IF(SER_hh_emi!E9=0,0,1000000*SER_hh_emi!E9/SER_hh_num!E9)</f>
        <v>11282.671276263101</v>
      </c>
      <c r="F9" s="132">
        <f>IF(SER_hh_emi!F9=0,0,1000000*SER_hh_emi!F9/SER_hh_num!F9)</f>
        <v>11759.175079689889</v>
      </c>
      <c r="G9" s="132">
        <f>IF(SER_hh_emi!G9=0,0,1000000*SER_hh_emi!G9/SER_hh_num!G9)</f>
        <v>11543.909668773264</v>
      </c>
      <c r="H9" s="132">
        <f>IF(SER_hh_emi!H9=0,0,1000000*SER_hh_emi!H9/SER_hh_num!H9)</f>
        <v>13571.939369929049</v>
      </c>
      <c r="I9" s="132">
        <f>IF(SER_hh_emi!I9=0,0,1000000*SER_hh_emi!I9/SER_hh_num!I9)</f>
        <v>9814.0807602820296</v>
      </c>
      <c r="J9" s="132">
        <f>IF(SER_hh_emi!J9=0,0,1000000*SER_hh_emi!J9/SER_hh_num!J9)</f>
        <v>10833.422582133053</v>
      </c>
      <c r="K9" s="132">
        <f>IF(SER_hh_emi!K9=0,0,1000000*SER_hh_emi!K9/SER_hh_num!K9)</f>
        <v>10208.56047208179</v>
      </c>
      <c r="L9" s="132">
        <f>IF(SER_hh_emi!L9=0,0,1000000*SER_hh_emi!L9/SER_hh_num!L9)</f>
        <v>10788.881600347026</v>
      </c>
      <c r="M9" s="132">
        <f>IF(SER_hh_emi!M9=0,0,1000000*SER_hh_emi!M9/SER_hh_num!M9)</f>
        <v>8880.4640148290127</v>
      </c>
      <c r="N9" s="132">
        <f>IF(SER_hh_emi!N9=0,0,1000000*SER_hh_emi!N9/SER_hh_num!N9)</f>
        <v>8828.6148606108618</v>
      </c>
      <c r="O9" s="132">
        <f>IF(SER_hh_emi!O9=0,0,1000000*SER_hh_emi!O9/SER_hh_num!O9)</f>
        <v>10517.317968923599</v>
      </c>
      <c r="P9" s="132">
        <f>IF(SER_hh_emi!P9=0,0,1000000*SER_hh_emi!P9/SER_hh_num!P9)</f>
        <v>7851.6812972101279</v>
      </c>
      <c r="Q9" s="132">
        <f>IF(SER_hh_emi!Q9=0,0,1000000*SER_hh_emi!Q9/SER_hh_num!Q9)</f>
        <v>8527.4706433656411</v>
      </c>
      <c r="R9" s="132">
        <f>IF(SER_hh_emi!R9=0,0,1000000*SER_hh_emi!R9/SER_hh_num!R9)</f>
        <v>8186.9892432338602</v>
      </c>
      <c r="S9" s="132">
        <f>IF(SER_hh_emi!S9=0,0,1000000*SER_hh_emi!S9/SER_hh_num!S9)</f>
        <v>7740.1243858964026</v>
      </c>
      <c r="T9" s="132">
        <f>IF(SER_hh_emi!T9=0,0,1000000*SER_hh_emi!T9/SER_hh_num!T9)</f>
        <v>7491.5243138229516</v>
      </c>
      <c r="U9" s="132">
        <f>IF(SER_hh_emi!U9=0,0,1000000*SER_hh_emi!U9/SER_hh_num!U9)</f>
        <v>6118.0864229995477</v>
      </c>
      <c r="V9" s="132">
        <f>IF(SER_hh_emi!V9=0,0,1000000*SER_hh_emi!V9/SER_hh_num!V9)</f>
        <v>6952.6748300084582</v>
      </c>
      <c r="W9" s="132">
        <f>IF(SER_hh_emi!W9=0,0,1000000*SER_hh_emi!W9/SER_hh_num!W9)</f>
        <v>7905.3227620856514</v>
      </c>
      <c r="X9" s="132">
        <f>IF(SER_hh_emi!X9=0,0,1000000*SER_hh_emi!X9/SER_hh_num!X9)</f>
        <v>5922.6494293155756</v>
      </c>
      <c r="Y9" s="132">
        <f>IF(SER_hh_emi!Y9=0,0,1000000*SER_hh_emi!Y9/SER_hh_num!Y9)</f>
        <v>5201.1035325162366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363.55896741262688</v>
      </c>
      <c r="F10" s="132">
        <f>IF(SER_hh_emi!F10=0,0,1000000*SER_hh_emi!F10/SER_hh_num!F10)</f>
        <v>418.10678599221558</v>
      </c>
      <c r="G10" s="132">
        <f>IF(SER_hh_emi!G10=0,0,1000000*SER_hh_emi!G10/SER_hh_num!G10)</f>
        <v>564.04634528891017</v>
      </c>
      <c r="H10" s="132">
        <f>IF(SER_hh_emi!H10=0,0,1000000*SER_hh_emi!H10/SER_hh_num!H10)</f>
        <v>454.21780939966715</v>
      </c>
      <c r="I10" s="132">
        <f>IF(SER_hh_emi!I10=0,0,1000000*SER_hh_emi!I10/SER_hh_num!I10)</f>
        <v>348.22735843583041</v>
      </c>
      <c r="J10" s="132">
        <f>IF(SER_hh_emi!J10=0,0,1000000*SER_hh_emi!J10/SER_hh_num!J10)</f>
        <v>220.62192551433876</v>
      </c>
      <c r="K10" s="132">
        <f>IF(SER_hh_emi!K10=0,0,1000000*SER_hh_emi!K10/SER_hh_num!K10)</f>
        <v>200.51033268623476</v>
      </c>
      <c r="L10" s="132">
        <f>IF(SER_hh_emi!L10=0,0,1000000*SER_hh_emi!L10/SER_hh_num!L10)</f>
        <v>189.35623337416303</v>
      </c>
      <c r="M10" s="132">
        <f>IF(SER_hh_emi!M10=0,0,1000000*SER_hh_emi!M10/SER_hh_num!M10)</f>
        <v>15.094939196932131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1.2853920695955006</v>
      </c>
      <c r="C16" s="130">
        <f>IF(SER_hh_emi!C16=0,0,1000000*SER_hh_emi!C16/SER_hh_num!C16)</f>
        <v>1.3019499081973831</v>
      </c>
      <c r="D16" s="130">
        <f>IF(SER_hh_emi!D16=0,0,1000000*SER_hh_emi!D16/SER_hh_num!D16)</f>
        <v>1.3263992210173288</v>
      </c>
      <c r="E16" s="130">
        <f>IF(SER_hh_emi!E16=0,0,1000000*SER_hh_emi!E16/SER_hh_num!E16)</f>
        <v>1.5172090785834744</v>
      </c>
      <c r="F16" s="130">
        <f>IF(SER_hh_emi!F16=0,0,1000000*SER_hh_emi!F16/SER_hh_num!F16)</f>
        <v>1.7495513760052899</v>
      </c>
      <c r="G16" s="130">
        <f>IF(SER_hh_emi!G16=0,0,1000000*SER_hh_emi!G16/SER_hh_num!G16)</f>
        <v>2.0321424863527042</v>
      </c>
      <c r="H16" s="130">
        <f>IF(SER_hh_emi!H16=0,0,1000000*SER_hh_emi!H16/SER_hh_num!H16)</f>
        <v>2.1953072622124532</v>
      </c>
      <c r="I16" s="130">
        <f>IF(SER_hh_emi!I16=0,0,1000000*SER_hh_emi!I16/SER_hh_num!I16)</f>
        <v>2.9826853169609393</v>
      </c>
      <c r="J16" s="130">
        <f>IF(SER_hh_emi!J16=0,0,1000000*SER_hh_emi!J16/SER_hh_num!J16)</f>
        <v>3.4325901426704504</v>
      </c>
      <c r="K16" s="130">
        <f>IF(SER_hh_emi!K16=0,0,1000000*SER_hh_emi!K16/SER_hh_num!K16)</f>
        <v>3.8815040349802454</v>
      </c>
      <c r="L16" s="130">
        <f>IF(SER_hh_emi!L16=0,0,1000000*SER_hh_emi!L16/SER_hh_num!L16)</f>
        <v>4.6732383941228361</v>
      </c>
      <c r="M16" s="130">
        <f>IF(SER_hh_emi!M16=0,0,1000000*SER_hh_emi!M16/SER_hh_num!M16)</f>
        <v>4.8775607555457263</v>
      </c>
      <c r="N16" s="130">
        <f>IF(SER_hh_emi!N16=0,0,1000000*SER_hh_emi!N16/SER_hh_num!N16)</f>
        <v>5.2947903343799627</v>
      </c>
      <c r="O16" s="130">
        <f>IF(SER_hh_emi!O16=0,0,1000000*SER_hh_emi!O16/SER_hh_num!O16)</f>
        <v>6.2569913058857933</v>
      </c>
      <c r="P16" s="130">
        <f>IF(SER_hh_emi!P16=0,0,1000000*SER_hh_emi!P16/SER_hh_num!P16)</f>
        <v>7.9923994642213545</v>
      </c>
      <c r="Q16" s="130">
        <f>IF(SER_hh_emi!Q16=0,0,1000000*SER_hh_emi!Q16/SER_hh_num!Q16)</f>
        <v>10.661379391725029</v>
      </c>
      <c r="R16" s="130">
        <f>IF(SER_hh_emi!R16=0,0,1000000*SER_hh_emi!R16/SER_hh_num!R16)</f>
        <v>13.049807778299234</v>
      </c>
      <c r="S16" s="130">
        <f>IF(SER_hh_emi!S16=0,0,1000000*SER_hh_emi!S16/SER_hh_num!S16)</f>
        <v>13.860276561928693</v>
      </c>
      <c r="T16" s="130">
        <f>IF(SER_hh_emi!T16=0,0,1000000*SER_hh_emi!T16/SER_hh_num!T16)</f>
        <v>22.596909498132323</v>
      </c>
      <c r="U16" s="130">
        <f>IF(SER_hh_emi!U16=0,0,1000000*SER_hh_emi!U16/SER_hh_num!U16)</f>
        <v>23.865823298432076</v>
      </c>
      <c r="V16" s="130">
        <f>IF(SER_hh_emi!V16=0,0,1000000*SER_hh_emi!V16/SER_hh_num!V16)</f>
        <v>18.121571687131514</v>
      </c>
      <c r="W16" s="130">
        <f>IF(SER_hh_emi!W16=0,0,1000000*SER_hh_emi!W16/SER_hh_num!W16)</f>
        <v>18.036342662830265</v>
      </c>
      <c r="X16" s="130">
        <f>IF(SER_hh_emi!X16=0,0,1000000*SER_hh_emi!X16/SER_hh_num!X16)</f>
        <v>23.477002741420723</v>
      </c>
      <c r="Y16" s="130">
        <f>IF(SER_hh_emi!Y16=0,0,1000000*SER_hh_emi!Y16/SER_hh_num!Y16)</f>
        <v>22.299198978494498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4519.2160207441584</v>
      </c>
      <c r="C17" s="132">
        <f>IF(SER_hh_emi!C17=0,0,1000000*SER_hh_emi!C17/SER_hh_num!C17)</f>
        <v>4504.7358505710963</v>
      </c>
      <c r="D17" s="132">
        <f>IF(SER_hh_emi!D17=0,0,1000000*SER_hh_emi!D17/SER_hh_num!D17)</f>
        <v>4456.5452405470078</v>
      </c>
      <c r="E17" s="132">
        <f>IF(SER_hh_emi!E17=0,0,1000000*SER_hh_emi!E17/SER_hh_num!E17)</f>
        <v>5250.1521251421163</v>
      </c>
      <c r="F17" s="132">
        <f>IF(SER_hh_emi!F17=0,0,1000000*SER_hh_emi!F17/SER_hh_num!F17)</f>
        <v>4131.6534288976691</v>
      </c>
      <c r="G17" s="132">
        <f>IF(SER_hh_emi!G17=0,0,1000000*SER_hh_emi!G17/SER_hh_num!G17)</f>
        <v>4081.7221915074565</v>
      </c>
      <c r="H17" s="132">
        <f>IF(SER_hh_emi!H17=0,0,1000000*SER_hh_emi!H17/SER_hh_num!H17)</f>
        <v>4474.0808599332477</v>
      </c>
      <c r="I17" s="132">
        <f>IF(SER_hh_emi!I17=0,0,1000000*SER_hh_emi!I17/SER_hh_num!I17)</f>
        <v>3927.1273468426734</v>
      </c>
      <c r="J17" s="132">
        <f>IF(SER_hh_emi!J17=0,0,1000000*SER_hh_emi!J17/SER_hh_num!J17)</f>
        <v>3881.7263293773722</v>
      </c>
      <c r="K17" s="132">
        <f>IF(SER_hh_emi!K17=0,0,1000000*SER_hh_emi!K17/SER_hh_num!K17)</f>
        <v>3814.1037272097506</v>
      </c>
      <c r="L17" s="132">
        <f>IF(SER_hh_emi!L17=0,0,1000000*SER_hh_emi!L17/SER_hh_num!L17)</f>
        <v>4099.2474860066477</v>
      </c>
      <c r="M17" s="132">
        <f>IF(SER_hh_emi!M17=0,0,1000000*SER_hh_emi!M17/SER_hh_num!M17)</f>
        <v>3724.9834743588917</v>
      </c>
      <c r="N17" s="132">
        <f>IF(SER_hh_emi!N17=0,0,1000000*SER_hh_emi!N17/SER_hh_num!N17)</f>
        <v>3736.2650967282566</v>
      </c>
      <c r="O17" s="132">
        <f>IF(SER_hh_emi!O17=0,0,1000000*SER_hh_emi!O17/SER_hh_num!O17)</f>
        <v>3877.211799436182</v>
      </c>
      <c r="P17" s="132">
        <f>IF(SER_hh_emi!P17=0,0,1000000*SER_hh_emi!P17/SER_hh_num!P17)</f>
        <v>3562.1174123452856</v>
      </c>
      <c r="Q17" s="132">
        <f>IF(SER_hh_emi!Q17=0,0,1000000*SER_hh_emi!Q17/SER_hh_num!Q17)</f>
        <v>3201.5306009473693</v>
      </c>
      <c r="R17" s="132">
        <f>IF(SER_hh_emi!R17=0,0,1000000*SER_hh_emi!R17/SER_hh_num!R17)</f>
        <v>3513.0729377391826</v>
      </c>
      <c r="S17" s="132">
        <f>IF(SER_hh_emi!S17=0,0,1000000*SER_hh_emi!S17/SER_hh_num!S17)</f>
        <v>3054.9734164741349</v>
      </c>
      <c r="T17" s="132">
        <f>IF(SER_hh_emi!T17=0,0,1000000*SER_hh_emi!T17/SER_hh_num!T17)</f>
        <v>4121.282674092231</v>
      </c>
      <c r="U17" s="132">
        <f>IF(SER_hh_emi!U17=0,0,1000000*SER_hh_emi!U17/SER_hh_num!U17)</f>
        <v>3894.4920263521694</v>
      </c>
      <c r="V17" s="132">
        <f>IF(SER_hh_emi!V17=0,0,1000000*SER_hh_emi!V17/SER_hh_num!V17)</f>
        <v>2850.4968250545826</v>
      </c>
      <c r="W17" s="132">
        <f>IF(SER_hh_emi!W17=0,0,1000000*SER_hh_emi!W17/SER_hh_num!W17)</f>
        <v>2735.4948380801679</v>
      </c>
      <c r="X17" s="132">
        <f>IF(SER_hh_emi!X17=0,0,1000000*SER_hh_emi!X17/SER_hh_num!X17)</f>
        <v>3564.3295636536168</v>
      </c>
      <c r="Y17" s="132">
        <f>IF(SER_hh_emi!Y17=0,0,1000000*SER_hh_emi!Y17/SER_hh_num!Y17)</f>
        <v>3335.0645106263592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1592.9426840657259</v>
      </c>
      <c r="C19" s="130">
        <f>IF(SER_hh_emi!C19=0,0,1000000*SER_hh_emi!C19/SER_hh_num!C19)</f>
        <v>1568.0991822851131</v>
      </c>
      <c r="D19" s="130">
        <f>IF(SER_hh_emi!D19=0,0,1000000*SER_hh_emi!D19/SER_hh_num!D19)</f>
        <v>1572.8215988534373</v>
      </c>
      <c r="E19" s="130">
        <f>IF(SER_hh_emi!E19=0,0,1000000*SER_hh_emi!E19/SER_hh_num!E19)</f>
        <v>1545.1826532857906</v>
      </c>
      <c r="F19" s="130">
        <f>IF(SER_hh_emi!F19=0,0,1000000*SER_hh_emi!F19/SER_hh_num!F19)</f>
        <v>1499.1702294853835</v>
      </c>
      <c r="G19" s="130">
        <f>IF(SER_hh_emi!G19=0,0,1000000*SER_hh_emi!G19/SER_hh_num!G19)</f>
        <v>1489.6289311338735</v>
      </c>
      <c r="H19" s="130">
        <f>IF(SER_hh_emi!H19=0,0,1000000*SER_hh_emi!H19/SER_hh_num!H19)</f>
        <v>1498.7090964685005</v>
      </c>
      <c r="I19" s="130">
        <f>IF(SER_hh_emi!I19=0,0,1000000*SER_hh_emi!I19/SER_hh_num!I19)</f>
        <v>1447.9612555913457</v>
      </c>
      <c r="J19" s="130">
        <f>IF(SER_hh_emi!J19=0,0,1000000*SER_hh_emi!J19/SER_hh_num!J19)</f>
        <v>1429.0113172354575</v>
      </c>
      <c r="K19" s="130">
        <f>IF(SER_hh_emi!K19=0,0,1000000*SER_hh_emi!K19/SER_hh_num!K19)</f>
        <v>1408.437895548554</v>
      </c>
      <c r="L19" s="130">
        <f>IF(SER_hh_emi!L19=0,0,1000000*SER_hh_emi!L19/SER_hh_num!L19)</f>
        <v>1370.6790337762327</v>
      </c>
      <c r="M19" s="130">
        <f>IF(SER_hh_emi!M19=0,0,1000000*SER_hh_emi!M19/SER_hh_num!M19)</f>
        <v>1368.8765243702721</v>
      </c>
      <c r="N19" s="130">
        <f>IF(SER_hh_emi!N19=0,0,1000000*SER_hh_emi!N19/SER_hh_num!N19)</f>
        <v>1351.8097870506697</v>
      </c>
      <c r="O19" s="130">
        <f>IF(SER_hh_emi!O19=0,0,1000000*SER_hh_emi!O19/SER_hh_num!O19)</f>
        <v>1385.1733861743351</v>
      </c>
      <c r="P19" s="130">
        <f>IF(SER_hh_emi!P19=0,0,1000000*SER_hh_emi!P19/SER_hh_num!P19)</f>
        <v>1432.1463432451458</v>
      </c>
      <c r="Q19" s="130">
        <f>IF(SER_hh_emi!Q19=0,0,1000000*SER_hh_emi!Q19/SER_hh_num!Q19)</f>
        <v>1411.1476348655788</v>
      </c>
      <c r="R19" s="130">
        <f>IF(SER_hh_emi!R19=0,0,1000000*SER_hh_emi!R19/SER_hh_num!R19)</f>
        <v>1363.5487135573646</v>
      </c>
      <c r="S19" s="130">
        <f>IF(SER_hh_emi!S19=0,0,1000000*SER_hh_emi!S19/SER_hh_num!S19)</f>
        <v>1367.0614572966736</v>
      </c>
      <c r="T19" s="130">
        <f>IF(SER_hh_emi!T19=0,0,1000000*SER_hh_emi!T19/SER_hh_num!T19)</f>
        <v>1449.3997481189313</v>
      </c>
      <c r="U19" s="130">
        <f>IF(SER_hh_emi!U19=0,0,1000000*SER_hh_emi!U19/SER_hh_num!U19)</f>
        <v>1398.1787768015868</v>
      </c>
      <c r="V19" s="130">
        <f>IF(SER_hh_emi!V19=0,0,1000000*SER_hh_emi!V19/SER_hh_num!V19)</f>
        <v>1263.9962283851526</v>
      </c>
      <c r="W19" s="130">
        <f>IF(SER_hh_emi!W19=0,0,1000000*SER_hh_emi!W19/SER_hh_num!W19)</f>
        <v>1234.4253567774952</v>
      </c>
      <c r="X19" s="130">
        <f>IF(SER_hh_emi!X19=0,0,1000000*SER_hh_emi!X19/SER_hh_num!X19)</f>
        <v>1219.1556759869136</v>
      </c>
      <c r="Y19" s="130">
        <f>IF(SER_hh_emi!Y19=0,0,1000000*SER_hh_emi!Y19/SER_hh_num!Y19)</f>
        <v>1194.0511672599546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2062.207642789062</v>
      </c>
      <c r="C21" s="132">
        <f>IF(SER_hh_emi!C21=0,0,1000000*SER_hh_emi!C21/SER_hh_num!C21)</f>
        <v>2017.5674216345619</v>
      </c>
      <c r="D21" s="132">
        <f>IF(SER_hh_emi!D21=0,0,1000000*SER_hh_emi!D21/SER_hh_num!D21)</f>
        <v>2267.3134398186789</v>
      </c>
      <c r="E21" s="132">
        <f>IF(SER_hh_emi!E21=0,0,1000000*SER_hh_emi!E21/SER_hh_num!E21)</f>
        <v>2099.4895305630534</v>
      </c>
      <c r="F21" s="132">
        <f>IF(SER_hh_emi!F21=0,0,1000000*SER_hh_emi!F21/SER_hh_num!F21)</f>
        <v>2273.7292191480469</v>
      </c>
      <c r="G21" s="132">
        <f>IF(SER_hh_emi!G21=0,0,1000000*SER_hh_emi!G21/SER_hh_num!G21)</f>
        <v>2281.6952909394836</v>
      </c>
      <c r="H21" s="132">
        <f>IF(SER_hh_emi!H21=0,0,1000000*SER_hh_emi!H21/SER_hh_num!H21)</f>
        <v>2216.1790226369067</v>
      </c>
      <c r="I21" s="132">
        <f>IF(SER_hh_emi!I21=0,0,1000000*SER_hh_emi!I21/SER_hh_num!I21)</f>
        <v>2209.3214250348196</v>
      </c>
      <c r="J21" s="132">
        <f>IF(SER_hh_emi!J21=0,0,1000000*SER_hh_emi!J21/SER_hh_num!J21)</f>
        <v>2212.0172013676702</v>
      </c>
      <c r="K21" s="132">
        <f>IF(SER_hh_emi!K21=0,0,1000000*SER_hh_emi!K21/SER_hh_num!K21)</f>
        <v>2211.9105144578966</v>
      </c>
      <c r="L21" s="132">
        <f>IF(SER_hh_emi!L21=0,0,1000000*SER_hh_emi!L21/SER_hh_num!L21)</f>
        <v>2160.6735518055807</v>
      </c>
      <c r="M21" s="132">
        <f>IF(SER_hh_emi!M21=0,0,1000000*SER_hh_emi!M21/SER_hh_num!M21)</f>
        <v>2235.2840441910867</v>
      </c>
      <c r="N21" s="132">
        <f>IF(SER_hh_emi!N21=0,0,1000000*SER_hh_emi!N21/SER_hh_num!N21)</f>
        <v>2210.2964431135679</v>
      </c>
      <c r="O21" s="132">
        <f>IF(SER_hh_emi!O21=0,0,1000000*SER_hh_emi!O21/SER_hh_num!O21)</f>
        <v>2087.1271190840757</v>
      </c>
      <c r="P21" s="132">
        <f>IF(SER_hh_emi!P21=0,0,1000000*SER_hh_emi!P21/SER_hh_num!P21)</f>
        <v>2160.8834014106524</v>
      </c>
      <c r="Q21" s="132">
        <f>IF(SER_hh_emi!Q21=0,0,1000000*SER_hh_emi!Q21/SER_hh_num!Q21)</f>
        <v>2177.2109258709643</v>
      </c>
      <c r="R21" s="132">
        <f>IF(SER_hh_emi!R21=0,0,1000000*SER_hh_emi!R21/SER_hh_num!R21)</f>
        <v>2196.6718308648569</v>
      </c>
      <c r="S21" s="132">
        <f>IF(SER_hh_emi!S21=0,0,1000000*SER_hh_emi!S21/SER_hh_num!S21)</f>
        <v>1840.1221598019417</v>
      </c>
      <c r="T21" s="132">
        <f>IF(SER_hh_emi!T21=0,0,1000000*SER_hh_emi!T21/SER_hh_num!T21)</f>
        <v>2275.2140776848755</v>
      </c>
      <c r="U21" s="132">
        <f>IF(SER_hh_emi!U21=0,0,1000000*SER_hh_emi!U21/SER_hh_num!U21)</f>
        <v>2320.6920049742703</v>
      </c>
      <c r="V21" s="132">
        <f>IF(SER_hh_emi!V21=0,0,1000000*SER_hh_emi!V21/SER_hh_num!V21)</f>
        <v>1881.6980456822721</v>
      </c>
      <c r="W21" s="132">
        <f>IF(SER_hh_emi!W21=0,0,1000000*SER_hh_emi!W21/SER_hh_num!W21)</f>
        <v>1521.0935203416843</v>
      </c>
      <c r="X21" s="132">
        <f>IF(SER_hh_emi!X21=0,0,1000000*SER_hh_emi!X21/SER_hh_num!X21)</f>
        <v>1644.3034640901049</v>
      </c>
      <c r="Y21" s="132">
        <f>IF(SER_hh_emi!Y21=0,0,1000000*SER_hh_emi!Y21/SER_hh_num!Y21)</f>
        <v>1486.4608933212116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2734.7670752219024</v>
      </c>
      <c r="C22" s="132">
        <f>IF(SER_hh_emi!C22=0,0,1000000*SER_hh_emi!C22/SER_hh_num!C22)</f>
        <v>2733.6691770801708</v>
      </c>
      <c r="D22" s="132">
        <f>IF(SER_hh_emi!D22=0,0,1000000*SER_hh_emi!D22/SER_hh_num!D22)</f>
        <v>3066.7454890013396</v>
      </c>
      <c r="E22" s="132">
        <f>IF(SER_hh_emi!E22=0,0,1000000*SER_hh_emi!E22/SER_hh_num!E22)</f>
        <v>2705.0353331019533</v>
      </c>
      <c r="F22" s="132">
        <f>IF(SER_hh_emi!F22=0,0,1000000*SER_hh_emi!F22/SER_hh_num!F22)</f>
        <v>2710.639564995121</v>
      </c>
      <c r="G22" s="132">
        <f>IF(SER_hh_emi!G22=0,0,1000000*SER_hh_emi!G22/SER_hh_num!G22)</f>
        <v>2673.5892057057004</v>
      </c>
      <c r="H22" s="132">
        <f>IF(SER_hh_emi!H22=0,0,1000000*SER_hh_emi!H22/SER_hh_num!H22)</f>
        <v>2719.9841691397696</v>
      </c>
      <c r="I22" s="132">
        <f>IF(SER_hh_emi!I22=0,0,1000000*SER_hh_emi!I22/SER_hh_num!I22)</f>
        <v>2679.0031011562673</v>
      </c>
      <c r="J22" s="132">
        <f>IF(SER_hh_emi!J22=0,0,1000000*SER_hh_emi!J22/SER_hh_num!J22)</f>
        <v>2680.991419241991</v>
      </c>
      <c r="K22" s="132">
        <f>IF(SER_hh_emi!K22=0,0,1000000*SER_hh_emi!K22/SER_hh_num!K22)</f>
        <v>2641.2116332086157</v>
      </c>
      <c r="L22" s="132">
        <f>IF(SER_hh_emi!L22=0,0,1000000*SER_hh_emi!L22/SER_hh_num!L22)</f>
        <v>2592.1422295591801</v>
      </c>
      <c r="M22" s="132">
        <f>IF(SER_hh_emi!M22=0,0,1000000*SER_hh_emi!M22/SER_hh_num!M22)</f>
        <v>2609.7013134111216</v>
      </c>
      <c r="N22" s="132">
        <f>IF(SER_hh_emi!N22=0,0,1000000*SER_hh_emi!N22/SER_hh_num!N22)</f>
        <v>2585.5206013940033</v>
      </c>
      <c r="O22" s="132">
        <f>IF(SER_hh_emi!O22=0,0,1000000*SER_hh_emi!O22/SER_hh_num!O22)</f>
        <v>2566.8000407196646</v>
      </c>
      <c r="P22" s="132">
        <f>IF(SER_hh_emi!P22=0,0,1000000*SER_hh_emi!P22/SER_hh_num!P22)</f>
        <v>2571.3406904496114</v>
      </c>
      <c r="Q22" s="132">
        <f>IF(SER_hh_emi!Q22=0,0,1000000*SER_hh_emi!Q22/SER_hh_num!Q22)</f>
        <v>2563.5179686743422</v>
      </c>
      <c r="R22" s="132">
        <f>IF(SER_hh_emi!R22=0,0,1000000*SER_hh_emi!R22/SER_hh_num!R22)</f>
        <v>2614.6816234245634</v>
      </c>
      <c r="S22" s="132">
        <f>IF(SER_hh_emi!S22=0,0,1000000*SER_hh_emi!S22/SER_hh_num!S22)</f>
        <v>2809.0767084377562</v>
      </c>
      <c r="T22" s="132">
        <f>IF(SER_hh_emi!T22=0,0,1000000*SER_hh_emi!T22/SER_hh_num!T22)</f>
        <v>2377.6257697778724</v>
      </c>
      <c r="U22" s="132">
        <f>IF(SER_hh_emi!U22=0,0,1000000*SER_hh_emi!U22/SER_hh_num!U22)</f>
        <v>2571.7099000988374</v>
      </c>
      <c r="V22" s="132">
        <f>IF(SER_hh_emi!V22=0,0,1000000*SER_hh_emi!V22/SER_hh_num!V22)</f>
        <v>2304.6764461135094</v>
      </c>
      <c r="W22" s="132">
        <f>IF(SER_hh_emi!W22=0,0,1000000*SER_hh_emi!W22/SER_hh_num!W22)</f>
        <v>2490.6371357880271</v>
      </c>
      <c r="X22" s="132">
        <f>IF(SER_hh_emi!X22=0,0,1000000*SER_hh_emi!X22/SER_hh_num!X22)</f>
        <v>2149.5159255843782</v>
      </c>
      <c r="Y22" s="132">
        <f>IF(SER_hh_emi!Y22=0,0,1000000*SER_hh_emi!Y22/SER_hh_num!Y22)</f>
        <v>1996.6200199955661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2092.2617900079872</v>
      </c>
      <c r="C23" s="132">
        <f>IF(SER_hh_emi!C23=0,0,1000000*SER_hh_emi!C23/SER_hh_num!C23)</f>
        <v>1970.7305339983334</v>
      </c>
      <c r="D23" s="132">
        <f>IF(SER_hh_emi!D23=0,0,1000000*SER_hh_emi!D23/SER_hh_num!D23)</f>
        <v>1789.0840725222756</v>
      </c>
      <c r="E23" s="132">
        <f>IF(SER_hh_emi!E23=0,0,1000000*SER_hh_emi!E23/SER_hh_num!E23)</f>
        <v>2026.8047359268542</v>
      </c>
      <c r="F23" s="132">
        <f>IF(SER_hh_emi!F23=0,0,1000000*SER_hh_emi!F23/SER_hh_num!F23)</f>
        <v>1933.2800080311654</v>
      </c>
      <c r="G23" s="132">
        <f>IF(SER_hh_emi!G23=0,0,1000000*SER_hh_emi!G23/SER_hh_num!G23)</f>
        <v>1961.7869432291648</v>
      </c>
      <c r="H23" s="132">
        <f>IF(SER_hh_emi!H23=0,0,1000000*SER_hh_emi!H23/SER_hh_num!H23)</f>
        <v>1985.2320114815966</v>
      </c>
      <c r="I23" s="132">
        <f>IF(SER_hh_emi!I23=0,0,1000000*SER_hh_emi!I23/SER_hh_num!I23)</f>
        <v>1887.1894498131742</v>
      </c>
      <c r="J23" s="132">
        <f>IF(SER_hh_emi!J23=0,0,1000000*SER_hh_emi!J23/SER_hh_num!J23)</f>
        <v>1866.8728606596555</v>
      </c>
      <c r="K23" s="132">
        <f>IF(SER_hh_emi!K23=0,0,1000000*SER_hh_emi!K23/SER_hh_num!K23)</f>
        <v>1892.047130524923</v>
      </c>
      <c r="L23" s="132">
        <f>IF(SER_hh_emi!L23=0,0,1000000*SER_hh_emi!L23/SER_hh_num!L23)</f>
        <v>1835.0381816308393</v>
      </c>
      <c r="M23" s="132">
        <f>IF(SER_hh_emi!M23=0,0,1000000*SER_hh_emi!M23/SER_hh_num!M23)</f>
        <v>1780.6825586065411</v>
      </c>
      <c r="N23" s="132">
        <f>IF(SER_hh_emi!N23=0,0,1000000*SER_hh_emi!N23/SER_hh_num!N23)</f>
        <v>1700.6300931926751</v>
      </c>
      <c r="O23" s="132">
        <f>IF(SER_hh_emi!O23=0,0,1000000*SER_hh_emi!O23/SER_hh_num!O23)</f>
        <v>1712.552707262377</v>
      </c>
      <c r="P23" s="132">
        <f>IF(SER_hh_emi!P23=0,0,1000000*SER_hh_emi!P23/SER_hh_num!P23)</f>
        <v>1766.6169387662258</v>
      </c>
      <c r="Q23" s="132">
        <f>IF(SER_hh_emi!Q23=0,0,1000000*SER_hh_emi!Q23/SER_hh_num!Q23)</f>
        <v>1697.5524291624372</v>
      </c>
      <c r="R23" s="132">
        <f>IF(SER_hh_emi!R23=0,0,1000000*SER_hh_emi!R23/SER_hh_num!R23)</f>
        <v>1562.682681550501</v>
      </c>
      <c r="S23" s="132">
        <f>IF(SER_hh_emi!S23=0,0,1000000*SER_hh_emi!S23/SER_hh_num!S23)</f>
        <v>1501.0609378544441</v>
      </c>
      <c r="T23" s="132">
        <f>IF(SER_hh_emi!T23=0,0,1000000*SER_hh_emi!T23/SER_hh_num!T23)</f>
        <v>1798.2154326922414</v>
      </c>
      <c r="U23" s="132">
        <f>IF(SER_hh_emi!U23=0,0,1000000*SER_hh_emi!U23/SER_hh_num!U23)</f>
        <v>1634.5642179430351</v>
      </c>
      <c r="V23" s="132">
        <f>IF(SER_hh_emi!V23=0,0,1000000*SER_hh_emi!V23/SER_hh_num!V23)</f>
        <v>1452.6303082339496</v>
      </c>
      <c r="W23" s="132">
        <f>IF(SER_hh_emi!W23=0,0,1000000*SER_hh_emi!W23/SER_hh_num!W23)</f>
        <v>1350.3514736120578</v>
      </c>
      <c r="X23" s="132">
        <f>IF(SER_hh_emi!X23=0,0,1000000*SER_hh_emi!X23/SER_hh_num!X23)</f>
        <v>1334.0794511369911</v>
      </c>
      <c r="Y23" s="132">
        <f>IF(SER_hh_emi!Y23=0,0,1000000*SER_hh_emi!Y23/SER_hh_num!Y23)</f>
        <v>1280.06046315852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1498.7924416216008</v>
      </c>
      <c r="C29" s="130">
        <f>IF(SER_hh_emi!C29=0,0,1000000*SER_hh_emi!C29/SER_hh_num!C29)</f>
        <v>1477.1354101923573</v>
      </c>
      <c r="D29" s="130">
        <f>IF(SER_hh_emi!D29=0,0,1000000*SER_hh_emi!D29/SER_hh_num!D29)</f>
        <v>1526.9377505369023</v>
      </c>
      <c r="E29" s="130">
        <f>IF(SER_hh_emi!E29=0,0,1000000*SER_hh_emi!E29/SER_hh_num!E29)</f>
        <v>1553.4815278237966</v>
      </c>
      <c r="F29" s="130">
        <f>IF(SER_hh_emi!F29=0,0,1000000*SER_hh_emi!F29/SER_hh_num!F29)</f>
        <v>1539.581951149514</v>
      </c>
      <c r="G29" s="130">
        <f>IF(SER_hh_emi!G29=0,0,1000000*SER_hh_emi!G29/SER_hh_num!G29)</f>
        <v>1511.3078615407514</v>
      </c>
      <c r="H29" s="130">
        <f>IF(SER_hh_emi!H29=0,0,1000000*SER_hh_emi!H29/SER_hh_num!H29)</f>
        <v>1460.3288168751224</v>
      </c>
      <c r="I29" s="130">
        <f>IF(SER_hh_emi!I29=0,0,1000000*SER_hh_emi!I29/SER_hh_num!I29)</f>
        <v>1386.0719351082444</v>
      </c>
      <c r="J29" s="130">
        <f>IF(SER_hh_emi!J29=0,0,1000000*SER_hh_emi!J29/SER_hh_num!J29)</f>
        <v>1374.5117347627349</v>
      </c>
      <c r="K29" s="130">
        <f>IF(SER_hh_emi!K29=0,0,1000000*SER_hh_emi!K29/SER_hh_num!K29)</f>
        <v>1323.7520365149664</v>
      </c>
      <c r="L29" s="130">
        <f>IF(SER_hh_emi!L29=0,0,1000000*SER_hh_emi!L29/SER_hh_num!L29)</f>
        <v>1244.5406959623729</v>
      </c>
      <c r="M29" s="130">
        <f>IF(SER_hh_emi!M29=0,0,1000000*SER_hh_emi!M29/SER_hh_num!M29)</f>
        <v>1176.4176093073227</v>
      </c>
      <c r="N29" s="130">
        <f>IF(SER_hh_emi!N29=0,0,1000000*SER_hh_emi!N29/SER_hh_num!N29)</f>
        <v>1173.1499731418239</v>
      </c>
      <c r="O29" s="130">
        <f>IF(SER_hh_emi!O29=0,0,1000000*SER_hh_emi!O29/SER_hh_num!O29)</f>
        <v>1221.623949237219</v>
      </c>
      <c r="P29" s="130">
        <f>IF(SER_hh_emi!P29=0,0,1000000*SER_hh_emi!P29/SER_hh_num!P29)</f>
        <v>1562.7899829660923</v>
      </c>
      <c r="Q29" s="130">
        <f>IF(SER_hh_emi!Q29=0,0,1000000*SER_hh_emi!Q29/SER_hh_num!Q29)</f>
        <v>1436.3101275832237</v>
      </c>
      <c r="R29" s="130">
        <f>IF(SER_hh_emi!R29=0,0,1000000*SER_hh_emi!R29/SER_hh_num!R29)</f>
        <v>1408.3112998747952</v>
      </c>
      <c r="S29" s="130">
        <f>IF(SER_hh_emi!S29=0,0,1000000*SER_hh_emi!S29/SER_hh_num!S29)</f>
        <v>1465.4576634587806</v>
      </c>
      <c r="T29" s="130">
        <f>IF(SER_hh_emi!T29=0,0,1000000*SER_hh_emi!T29/SER_hh_num!T29)</f>
        <v>1684.4855201052221</v>
      </c>
      <c r="U29" s="130">
        <f>IF(SER_hh_emi!U29=0,0,1000000*SER_hh_emi!U29/SER_hh_num!U29)</f>
        <v>1818.3771707597448</v>
      </c>
      <c r="V29" s="130">
        <f>IF(SER_hh_emi!V29=0,0,1000000*SER_hh_emi!V29/SER_hh_num!V29)</f>
        <v>1519.1769790787898</v>
      </c>
      <c r="W29" s="130">
        <f>IF(SER_hh_emi!W29=0,0,1000000*SER_hh_emi!W29/SER_hh_num!W29)</f>
        <v>1493.0660371992858</v>
      </c>
      <c r="X29" s="130">
        <f>IF(SER_hh_emi!X29=0,0,1000000*SER_hh_emi!X29/SER_hh_num!X29)</f>
        <v>1582.9693470955995</v>
      </c>
      <c r="Y29" s="130">
        <f>IF(SER_hh_emi!Y29=0,0,1000000*SER_hh_emi!Y29/SER_hh_num!Y29)</f>
        <v>1585.5003886905681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2928.2023588762045</v>
      </c>
      <c r="C30" s="132">
        <f>IF(SER_hh_emi!C30=0,0,1000000*SER_hh_emi!C30/SER_hh_num!C30)</f>
        <v>2445.0532165746313</v>
      </c>
      <c r="D30" s="132">
        <f>IF(SER_hh_emi!D30=0,0,1000000*SER_hh_emi!D30/SER_hh_num!D30)</f>
        <v>1791.4165159278637</v>
      </c>
      <c r="E30" s="132">
        <f>IF(SER_hh_emi!E30=0,0,1000000*SER_hh_emi!E30/SER_hh_num!E30)</f>
        <v>3090.0949132970181</v>
      </c>
      <c r="F30" s="132">
        <f>IF(SER_hh_emi!F30=0,0,1000000*SER_hh_emi!F30/SER_hh_num!F30)</f>
        <v>2428.2979365832507</v>
      </c>
      <c r="G30" s="132">
        <f>IF(SER_hh_emi!G30=0,0,1000000*SER_hh_emi!G30/SER_hh_num!G30)</f>
        <v>3896.032229571887</v>
      </c>
      <c r="H30" s="132">
        <f>IF(SER_hh_emi!H30=0,0,1000000*SER_hh_emi!H30/SER_hh_num!H30)</f>
        <v>2493.9421883997197</v>
      </c>
      <c r="I30" s="132">
        <f>IF(SER_hh_emi!I30=0,0,1000000*SER_hh_emi!I30/SER_hh_num!I30)</f>
        <v>2350.5668504040696</v>
      </c>
      <c r="J30" s="132">
        <f>IF(SER_hh_emi!J30=0,0,1000000*SER_hh_emi!J30/SER_hh_num!J30)</f>
        <v>2785.6921791657469</v>
      </c>
      <c r="K30" s="132">
        <f>IF(SER_hh_emi!K30=0,0,1000000*SER_hh_emi!K30/SER_hh_num!K30)</f>
        <v>2515.7360683552406</v>
      </c>
      <c r="L30" s="132">
        <f>IF(SER_hh_emi!L30=0,0,1000000*SER_hh_emi!L30/SER_hh_num!L30)</f>
        <v>2138.1281522996633</v>
      </c>
      <c r="M30" s="132">
        <f>IF(SER_hh_emi!M30=0,0,1000000*SER_hh_emi!M30/SER_hh_num!M30)</f>
        <v>2121.9782812891435</v>
      </c>
      <c r="N30" s="132">
        <f>IF(SER_hh_emi!N30=0,0,1000000*SER_hh_emi!N30/SER_hh_num!N30)</f>
        <v>2368.6340212796981</v>
      </c>
      <c r="O30" s="132">
        <f>IF(SER_hh_emi!O30=0,0,1000000*SER_hh_emi!O30/SER_hh_num!O30)</f>
        <v>3162.590494427563</v>
      </c>
      <c r="P30" s="132">
        <f>IF(SER_hh_emi!P30=0,0,1000000*SER_hh_emi!P30/SER_hh_num!P30)</f>
        <v>2684.056466809117</v>
      </c>
      <c r="Q30" s="132">
        <f>IF(SER_hh_emi!Q30=0,0,1000000*SER_hh_emi!Q30/SER_hh_num!Q30)</f>
        <v>2326.8292374744447</v>
      </c>
      <c r="R30" s="132">
        <f>IF(SER_hh_emi!R30=0,0,1000000*SER_hh_emi!R30/SER_hh_num!R30)</f>
        <v>3169.1722048549186</v>
      </c>
      <c r="S30" s="132">
        <f>IF(SER_hh_emi!S30=0,0,1000000*SER_hh_emi!S30/SER_hh_num!S30)</f>
        <v>2101.5814204446442</v>
      </c>
      <c r="T30" s="132">
        <f>IF(SER_hh_emi!T30=0,0,1000000*SER_hh_emi!T30/SER_hh_num!T30)</f>
        <v>2744.4401693648688</v>
      </c>
      <c r="U30" s="132">
        <f>IF(SER_hh_emi!U30=0,0,1000000*SER_hh_emi!U30/SER_hh_num!U30)</f>
        <v>2890.4970496943024</v>
      </c>
      <c r="V30" s="132">
        <f>IF(SER_hh_emi!V30=0,0,1000000*SER_hh_emi!V30/SER_hh_num!V30)</f>
        <v>2864.897761205189</v>
      </c>
      <c r="W30" s="132">
        <f>IF(SER_hh_emi!W30=0,0,1000000*SER_hh_emi!W30/SER_hh_num!W30)</f>
        <v>2383.3592793955136</v>
      </c>
      <c r="X30" s="132">
        <f>IF(SER_hh_emi!X30=0,0,1000000*SER_hh_emi!X30/SER_hh_num!X30)</f>
        <v>3100.1596294561805</v>
      </c>
      <c r="Y30" s="132">
        <f>IF(SER_hh_emi!Y30=0,0,1000000*SER_hh_emi!Y30/SER_hh_num!Y30)</f>
        <v>1055.9903489691167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2276.5972997677486</v>
      </c>
      <c r="C31" s="132">
        <f>IF(SER_hh_emi!C31=0,0,1000000*SER_hh_emi!C31/SER_hh_num!C31)</f>
        <v>2224.8613831274183</v>
      </c>
      <c r="D31" s="132">
        <f>IF(SER_hh_emi!D31=0,0,1000000*SER_hh_emi!D31/SER_hh_num!D31)</f>
        <v>2361.0667938722331</v>
      </c>
      <c r="E31" s="132">
        <f>IF(SER_hh_emi!E31=0,0,1000000*SER_hh_emi!E31/SER_hh_num!E31)</f>
        <v>2363.9244737380304</v>
      </c>
      <c r="F31" s="132">
        <f>IF(SER_hh_emi!F31=0,0,1000000*SER_hh_emi!F31/SER_hh_num!F31)</f>
        <v>2388.3010490031297</v>
      </c>
      <c r="G31" s="132">
        <f>IF(SER_hh_emi!G31=0,0,1000000*SER_hh_emi!G31/SER_hh_num!G31)</f>
        <v>2292.6623648683835</v>
      </c>
      <c r="H31" s="132">
        <f>IF(SER_hh_emi!H31=0,0,1000000*SER_hh_emi!H31/SER_hh_num!H31)</f>
        <v>2298.1868323010726</v>
      </c>
      <c r="I31" s="132">
        <f>IF(SER_hh_emi!I31=0,0,1000000*SER_hh_emi!I31/SER_hh_num!I31)</f>
        <v>2235.3118740572304</v>
      </c>
      <c r="J31" s="132">
        <f>IF(SER_hh_emi!J31=0,0,1000000*SER_hh_emi!J31/SER_hh_num!J31)</f>
        <v>2246.1915278963734</v>
      </c>
      <c r="K31" s="132">
        <f>IF(SER_hh_emi!K31=0,0,1000000*SER_hh_emi!K31/SER_hh_num!K31)</f>
        <v>2292.643518739002</v>
      </c>
      <c r="L31" s="132">
        <f>IF(SER_hh_emi!L31=0,0,1000000*SER_hh_emi!L31/SER_hh_num!L31)</f>
        <v>2267.4474298581945</v>
      </c>
      <c r="M31" s="132">
        <f>IF(SER_hh_emi!M31=0,0,1000000*SER_hh_emi!M31/SER_hh_num!M31)</f>
        <v>2222.8531154425314</v>
      </c>
      <c r="N31" s="132">
        <f>IF(SER_hh_emi!N31=0,0,1000000*SER_hh_emi!N31/SER_hh_num!N31)</f>
        <v>2162.7631885816472</v>
      </c>
      <c r="O31" s="132">
        <f>IF(SER_hh_emi!O31=0,0,1000000*SER_hh_emi!O31/SER_hh_num!O31)</f>
        <v>2094.7356254130223</v>
      </c>
      <c r="P31" s="132">
        <f>IF(SER_hh_emi!P31=0,0,1000000*SER_hh_emi!P31/SER_hh_num!P31)</f>
        <v>2525.6814872297778</v>
      </c>
      <c r="Q31" s="132">
        <f>IF(SER_hh_emi!Q31=0,0,1000000*SER_hh_emi!Q31/SER_hh_num!Q31)</f>
        <v>2291.7078068126475</v>
      </c>
      <c r="R31" s="132">
        <f>IF(SER_hh_emi!R31=0,0,1000000*SER_hh_emi!R31/SER_hh_num!R31)</f>
        <v>2143.6167527304287</v>
      </c>
      <c r="S31" s="132">
        <f>IF(SER_hh_emi!S31=0,0,1000000*SER_hh_emi!S31/SER_hh_num!S31)</f>
        <v>2207.6850751722209</v>
      </c>
      <c r="T31" s="132">
        <f>IF(SER_hh_emi!T31=0,0,1000000*SER_hh_emi!T31/SER_hh_num!T31)</f>
        <v>2354.2465011650502</v>
      </c>
      <c r="U31" s="132">
        <f>IF(SER_hh_emi!U31=0,0,1000000*SER_hh_emi!U31/SER_hh_num!U31)</f>
        <v>2452.6782121423462</v>
      </c>
      <c r="V31" s="132">
        <f>IF(SER_hh_emi!V31=0,0,1000000*SER_hh_emi!V31/SER_hh_num!V31)</f>
        <v>1971.2357628445473</v>
      </c>
      <c r="W31" s="132">
        <f>IF(SER_hh_emi!W31=0,0,1000000*SER_hh_emi!W31/SER_hh_num!W31)</f>
        <v>1827.2016013615312</v>
      </c>
      <c r="X31" s="132">
        <f>IF(SER_hh_emi!X31=0,0,1000000*SER_hh_emi!X31/SER_hh_num!X31)</f>
        <v>1826.8838163890928</v>
      </c>
      <c r="Y31" s="132">
        <f>IF(SER_hh_emi!Y31=0,0,1000000*SER_hh_emi!Y31/SER_hh_num!Y31)</f>
        <v>1799.0716633192847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103.1886724024571</v>
      </c>
      <c r="F32" s="132">
        <f>IF(SER_hh_emi!F32=0,0,1000000*SER_hh_emi!F32/SER_hh_num!F32)</f>
        <v>92.663044980861059</v>
      </c>
      <c r="G32" s="132">
        <f>IF(SER_hh_emi!G32=0,0,1000000*SER_hh_emi!G32/SER_hh_num!G32)</f>
        <v>145.96195860871421</v>
      </c>
      <c r="H32" s="132">
        <f>IF(SER_hh_emi!H32=0,0,1000000*SER_hh_emi!H32/SER_hh_num!H32)</f>
        <v>115.62178239612727</v>
      </c>
      <c r="I32" s="132">
        <f>IF(SER_hh_emi!I32=0,0,1000000*SER_hh_emi!I32/SER_hh_num!I32)</f>
        <v>100.61912675670013</v>
      </c>
      <c r="J32" s="132">
        <f>IF(SER_hh_emi!J32=0,0,1000000*SER_hh_emi!J32/SER_hh_num!J32)</f>
        <v>50.839323956811882</v>
      </c>
      <c r="K32" s="132">
        <f>IF(SER_hh_emi!K32=0,0,1000000*SER_hh_emi!K32/SER_hh_num!K32)</f>
        <v>56.57649263866157</v>
      </c>
      <c r="L32" s="132">
        <f>IF(SER_hh_emi!L32=0,0,1000000*SER_hh_emi!L32/SER_hh_num!L32)</f>
        <v>44.999917982133042</v>
      </c>
      <c r="M32" s="132">
        <f>IF(SER_hh_emi!M32=0,0,1000000*SER_hh_emi!M32/SER_hh_num!M32)</f>
        <v>4.7553895740113736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79.165983792830161</v>
      </c>
      <c r="C3" s="125">
        <f>IF(SER_hh_fech!C3=0,0,SER_hh_fech!C3/SER_summary!C$26)</f>
        <v>81.682026710645445</v>
      </c>
      <c r="D3" s="125">
        <f>IF(SER_hh_fech!D3=0,0,SER_hh_fech!D3/SER_summary!D$26)</f>
        <v>80.598025500238336</v>
      </c>
      <c r="E3" s="125">
        <f>IF(SER_hh_fech!E3=0,0,SER_hh_fech!E3/SER_summary!E$26)</f>
        <v>91.961501370119663</v>
      </c>
      <c r="F3" s="125">
        <f>IF(SER_hh_fech!F3=0,0,SER_hh_fech!F3/SER_summary!F$26)</f>
        <v>88.710816324417991</v>
      </c>
      <c r="G3" s="125">
        <f>IF(SER_hh_fech!G3=0,0,SER_hh_fech!G3/SER_summary!G$26)</f>
        <v>84.370067333395511</v>
      </c>
      <c r="H3" s="125">
        <f>IF(SER_hh_fech!H3=0,0,SER_hh_fech!H3/SER_summary!H$26)</f>
        <v>91.084706856374609</v>
      </c>
      <c r="I3" s="125">
        <f>IF(SER_hh_fech!I3=0,0,SER_hh_fech!I3/SER_summary!I$26)</f>
        <v>73.200516757165488</v>
      </c>
      <c r="J3" s="125">
        <f>IF(SER_hh_fech!J3=0,0,SER_hh_fech!J3/SER_summary!J$26)</f>
        <v>81.250129907993511</v>
      </c>
      <c r="K3" s="125">
        <f>IF(SER_hh_fech!K3=0,0,SER_hh_fech!K3/SER_summary!K$26)</f>
        <v>78.123733132748399</v>
      </c>
      <c r="L3" s="125">
        <f>IF(SER_hh_fech!L3=0,0,SER_hh_fech!L3/SER_summary!L$26)</f>
        <v>83.441788299510165</v>
      </c>
      <c r="M3" s="125">
        <f>IF(SER_hh_fech!M3=0,0,SER_hh_fech!M3/SER_summary!M$26)</f>
        <v>69.889594024610048</v>
      </c>
      <c r="N3" s="125">
        <f>IF(SER_hh_fech!N3=0,0,SER_hh_fech!N3/SER_summary!N$26)</f>
        <v>73.536091542624249</v>
      </c>
      <c r="O3" s="125">
        <f>IF(SER_hh_fech!O3=0,0,SER_hh_fech!O3/SER_summary!O$26)</f>
        <v>77.729975439398189</v>
      </c>
      <c r="P3" s="125">
        <f>IF(SER_hh_fech!P3=0,0,SER_hh_fech!P3/SER_summary!P$26)</f>
        <v>67.886007450784319</v>
      </c>
      <c r="Q3" s="125">
        <f>IF(SER_hh_fech!Q3=0,0,SER_hh_fech!Q3/SER_summary!Q$26)</f>
        <v>72.140120138300759</v>
      </c>
      <c r="R3" s="125">
        <f>IF(SER_hh_fech!R3=0,0,SER_hh_fech!R3/SER_summary!R$26)</f>
        <v>69.699891459050235</v>
      </c>
      <c r="S3" s="125">
        <f>IF(SER_hh_fech!S3=0,0,SER_hh_fech!S3/SER_summary!S$26)</f>
        <v>68.916384747269689</v>
      </c>
      <c r="T3" s="125">
        <f>IF(SER_hh_fech!T3=0,0,SER_hh_fech!T3/SER_summary!T$26)</f>
        <v>64.740525021165141</v>
      </c>
      <c r="U3" s="125">
        <f>IF(SER_hh_fech!U3=0,0,SER_hh_fech!U3/SER_summary!U$26)</f>
        <v>61.120091889273127</v>
      </c>
      <c r="V3" s="125">
        <f>IF(SER_hh_fech!V3=0,0,SER_hh_fech!V3/SER_summary!V$26)</f>
        <v>59.215934701538053</v>
      </c>
      <c r="W3" s="125">
        <f>IF(SER_hh_fech!W3=0,0,SER_hh_fech!W3/SER_summary!W$26)</f>
        <v>69.117441411785819</v>
      </c>
      <c r="X3" s="125">
        <f>IF(SER_hh_fech!X3=0,0,SER_hh_fech!X3/SER_summary!X$26)</f>
        <v>51.878725752252947</v>
      </c>
      <c r="Y3" s="125">
        <f>IF(SER_hh_fech!Y3=0,0,SER_hh_fech!Y3/SER_summary!Y$26)</f>
        <v>49.076645366873692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55.448728618486399</v>
      </c>
      <c r="C4" s="130">
        <f>IF(SER_hh_fech!C4=0,0,SER_hh_fech!C4/SER_summary!C$26)</f>
        <v>58.642842842408186</v>
      </c>
      <c r="D4" s="130">
        <f>IF(SER_hh_fech!D4=0,0,SER_hh_fech!D4/SER_summary!D$26)</f>
        <v>56.963064722427966</v>
      </c>
      <c r="E4" s="130">
        <f>IF(SER_hh_fech!E4=0,0,SER_hh_fech!E4/SER_summary!E$26)</f>
        <v>67.365257557601396</v>
      </c>
      <c r="F4" s="130">
        <f>IF(SER_hh_fech!F4=0,0,SER_hh_fech!F4/SER_summary!F$26)</f>
        <v>64.736843231868605</v>
      </c>
      <c r="G4" s="130">
        <f>IF(SER_hh_fech!G4=0,0,SER_hh_fech!G4/SER_summary!G$26)</f>
        <v>60.727316042238279</v>
      </c>
      <c r="H4" s="130">
        <f>IF(SER_hh_fech!H4=0,0,SER_hh_fech!H4/SER_summary!H$26)</f>
        <v>67.569550723396674</v>
      </c>
      <c r="I4" s="130">
        <f>IF(SER_hh_fech!I4=0,0,SER_hh_fech!I4/SER_summary!I$26)</f>
        <v>49.964463704943171</v>
      </c>
      <c r="J4" s="130">
        <f>IF(SER_hh_fech!J4=0,0,SER_hh_fech!J4/SER_summary!J$26)</f>
        <v>58.416646278795305</v>
      </c>
      <c r="K4" s="130">
        <f>IF(SER_hh_fech!K4=0,0,SER_hh_fech!K4/SER_summary!K$26)</f>
        <v>54.71664524966031</v>
      </c>
      <c r="L4" s="130">
        <f>IF(SER_hh_fech!L4=0,0,SER_hh_fech!L4/SER_summary!L$26)</f>
        <v>59.954172166995804</v>
      </c>
      <c r="M4" s="130">
        <f>IF(SER_hh_fech!M4=0,0,SER_hh_fech!M4/SER_summary!M$26)</f>
        <v>47.001904084562966</v>
      </c>
      <c r="N4" s="130">
        <f>IF(SER_hh_fech!N4=0,0,SER_hh_fech!N4/SER_summary!N$26)</f>
        <v>50.568829002773484</v>
      </c>
      <c r="O4" s="130">
        <f>IF(SER_hh_fech!O4=0,0,SER_hh_fech!O4/SER_summary!O$26)</f>
        <v>54.719829336333788</v>
      </c>
      <c r="P4" s="130">
        <f>IF(SER_hh_fech!P4=0,0,SER_hh_fech!P4/SER_summary!P$26)</f>
        <v>44.365439643531751</v>
      </c>
      <c r="Q4" s="130">
        <f>IF(SER_hh_fech!Q4=0,0,SER_hh_fech!Q4/SER_summary!Q$26)</f>
        <v>48.6492043920667</v>
      </c>
      <c r="R4" s="130">
        <f>IF(SER_hh_fech!R4=0,0,SER_hh_fech!R4/SER_summary!R$26)</f>
        <v>46.788634429453957</v>
      </c>
      <c r="S4" s="130">
        <f>IF(SER_hh_fech!S4=0,0,SER_hh_fech!S4/SER_summary!S$26)</f>
        <v>45.827320280908353</v>
      </c>
      <c r="T4" s="130">
        <f>IF(SER_hh_fech!T4=0,0,SER_hh_fech!T4/SER_summary!T$26)</f>
        <v>40.656622508159153</v>
      </c>
      <c r="U4" s="130">
        <f>IF(SER_hh_fech!U4=0,0,SER_hh_fech!U4/SER_summary!U$26)</f>
        <v>37.241979030711803</v>
      </c>
      <c r="V4" s="130">
        <f>IF(SER_hh_fech!V4=0,0,SER_hh_fech!V4/SER_summary!V$26)</f>
        <v>38.080296937479062</v>
      </c>
      <c r="W4" s="130">
        <f>IF(SER_hh_fech!W4=0,0,SER_hh_fech!W4/SER_summary!W$26)</f>
        <v>47.776678076702268</v>
      </c>
      <c r="X4" s="130">
        <f>IF(SER_hh_fech!X4=0,0,SER_hh_fech!X4/SER_summary!X$26)</f>
        <v>32.294722803558486</v>
      </c>
      <c r="Y4" s="130">
        <f>IF(SER_hh_fech!Y4=0,0,SER_hh_fech!Y4/SER_summary!Y$26)</f>
        <v>30.13633479875514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51.483728026115472</v>
      </c>
      <c r="C5" s="132">
        <f>IF(SER_hh_fech!C5=0,0,SER_hh_fech!C5/SER_summary!C$26)</f>
        <v>56.984173795752113</v>
      </c>
      <c r="D5" s="132">
        <f>IF(SER_hh_fech!D5=0,0,SER_hh_fech!D5/SER_summary!D$26)</f>
        <v>60.973814867892997</v>
      </c>
      <c r="E5" s="132">
        <f>IF(SER_hh_fech!E5=0,0,SER_hh_fech!E5/SER_summary!E$26)</f>
        <v>34.90106848959244</v>
      </c>
      <c r="F5" s="132">
        <f>IF(SER_hh_fech!F5=0,0,SER_hh_fech!F5/SER_summary!F$26)</f>
        <v>34.763217011516389</v>
      </c>
      <c r="G5" s="132">
        <f>IF(SER_hh_fech!G5=0,0,SER_hh_fech!G5/SER_summary!G$26)</f>
        <v>39.719210297116156</v>
      </c>
      <c r="H5" s="132">
        <f>IF(SER_hh_fech!H5=0,0,SER_hh_fech!H5/SER_summary!H$26)</f>
        <v>51.756677905892722</v>
      </c>
      <c r="I5" s="132">
        <f>IF(SER_hh_fech!I5=0,0,SER_hh_fech!I5/SER_summary!I$26)</f>
        <v>74.132816211752626</v>
      </c>
      <c r="J5" s="132">
        <f>IF(SER_hh_fech!J5=0,0,SER_hh_fech!J5/SER_summary!J$26)</f>
        <v>59.400091845434766</v>
      </c>
      <c r="K5" s="132">
        <f>IF(SER_hh_fech!K5=0,0,SER_hh_fech!K5/SER_summary!K$26)</f>
        <v>51.581879690937235</v>
      </c>
      <c r="L5" s="132">
        <f>IF(SER_hh_fech!L5=0,0,SER_hh_fech!L5/SER_summary!L$26)</f>
        <v>50.701663872427467</v>
      </c>
      <c r="M5" s="132">
        <f>IF(SER_hh_fech!M5=0,0,SER_hh_fech!M5/SER_summary!M$26)</f>
        <v>53.27812670335291</v>
      </c>
      <c r="N5" s="132">
        <f>IF(SER_hh_fech!N5=0,0,SER_hh_fech!N5/SER_summary!N$26)</f>
        <v>61.106854231026908</v>
      </c>
      <c r="O5" s="132">
        <f>IF(SER_hh_fech!O5=0,0,SER_hh_fech!O5/SER_summary!O$26)</f>
        <v>28.051162507286925</v>
      </c>
      <c r="P5" s="132">
        <f>IF(SER_hh_fech!P5=0,0,SER_hh_fech!P5/SER_summary!P$26)</f>
        <v>38.91742533504982</v>
      </c>
      <c r="Q5" s="132">
        <f>IF(SER_hh_fech!Q5=0,0,SER_hh_fech!Q5/SER_summary!Q$26)</f>
        <v>87.255988743868073</v>
      </c>
      <c r="R5" s="132">
        <f>IF(SER_hh_fech!R5=0,0,SER_hh_fech!R5/SER_summary!R$26)</f>
        <v>20.985607478781667</v>
      </c>
      <c r="S5" s="132">
        <f>IF(SER_hh_fech!S5=0,0,SER_hh_fech!S5/SER_summary!S$26)</f>
        <v>23.01637109716355</v>
      </c>
      <c r="T5" s="132">
        <f>IF(SER_hh_fech!T5=0,0,SER_hh_fech!T5/SER_summary!T$26)</f>
        <v>57.935462718047397</v>
      </c>
      <c r="U5" s="132">
        <f>IF(SER_hh_fech!U5=0,0,SER_hh_fech!U5/SER_summary!U$26)</f>
        <v>10.770209267132662</v>
      </c>
      <c r="V5" s="132">
        <f>IF(SER_hh_fech!V5=0,0,SER_hh_fech!V5/SER_summary!V$26)</f>
        <v>15.789722022483209</v>
      </c>
      <c r="W5" s="132">
        <f>IF(SER_hh_fech!W5=0,0,SER_hh_fech!W5/SER_summary!W$26)</f>
        <v>4.8589534346851861</v>
      </c>
      <c r="X5" s="132">
        <f>IF(SER_hh_fech!X5=0,0,SER_hh_fech!X5/SER_summary!X$26)</f>
        <v>2.478553379226915</v>
      </c>
      <c r="Y5" s="132">
        <f>IF(SER_hh_fech!Y5=0,0,SER_hh_fech!Y5/SER_summary!Y$26)</f>
        <v>45.549357535583695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57.543526728855433</v>
      </c>
      <c r="C7" s="132">
        <f>IF(SER_hh_fech!C7=0,0,SER_hh_fech!C7/SER_summary!C$26)</f>
        <v>71.946961091893598</v>
      </c>
      <c r="D7" s="132">
        <f>IF(SER_hh_fech!D7=0,0,SER_hh_fech!D7/SER_summary!D$26)</f>
        <v>64.618540987695823</v>
      </c>
      <c r="E7" s="132">
        <f>IF(SER_hh_fech!E7=0,0,SER_hh_fech!E7/SER_summary!E$26)</f>
        <v>74.480591791052191</v>
      </c>
      <c r="F7" s="132">
        <f>IF(SER_hh_fech!F7=0,0,SER_hh_fech!F7/SER_summary!F$26)</f>
        <v>73.033616429406763</v>
      </c>
      <c r="G7" s="132">
        <f>IF(SER_hh_fech!G7=0,0,SER_hh_fech!G7/SER_summary!G$26)</f>
        <v>73.782607184083957</v>
      </c>
      <c r="H7" s="132">
        <f>IF(SER_hh_fech!H7=0,0,SER_hh_fech!H7/SER_summary!H$26)</f>
        <v>79.531213992878591</v>
      </c>
      <c r="I7" s="132">
        <f>IF(SER_hh_fech!I7=0,0,SER_hh_fech!I7/SER_summary!I$26)</f>
        <v>53.378772335339939</v>
      </c>
      <c r="J7" s="132">
        <f>IF(SER_hh_fech!J7=0,0,SER_hh_fech!J7/SER_summary!J$26)</f>
        <v>70.864950240437224</v>
      </c>
      <c r="K7" s="132">
        <f>IF(SER_hh_fech!K7=0,0,SER_hh_fech!K7/SER_summary!K$26)</f>
        <v>64.301372076701995</v>
      </c>
      <c r="L7" s="132">
        <f>IF(SER_hh_fech!L7=0,0,SER_hh_fech!L7/SER_summary!L$26)</f>
        <v>64.654431950383113</v>
      </c>
      <c r="M7" s="132">
        <f>IF(SER_hh_fech!M7=0,0,SER_hh_fech!M7/SER_summary!M$26)</f>
        <v>54.995095148662024</v>
      </c>
      <c r="N7" s="132">
        <f>IF(SER_hh_fech!N7=0,0,SER_hh_fech!N7/SER_summary!N$26)</f>
        <v>56.542709632326321</v>
      </c>
      <c r="O7" s="132">
        <f>IF(SER_hh_fech!O7=0,0,SER_hh_fech!O7/SER_summary!O$26)</f>
        <v>58.684857317983173</v>
      </c>
      <c r="P7" s="132">
        <f>IF(SER_hh_fech!P7=0,0,SER_hh_fech!P7/SER_summary!P$26)</f>
        <v>52.040754651530854</v>
      </c>
      <c r="Q7" s="132">
        <f>IF(SER_hh_fech!Q7=0,0,SER_hh_fech!Q7/SER_summary!Q$26)</f>
        <v>52.0438869185407</v>
      </c>
      <c r="R7" s="132">
        <f>IF(SER_hh_fech!R7=0,0,SER_hh_fech!R7/SER_summary!R$26)</f>
        <v>53.530780403591777</v>
      </c>
      <c r="S7" s="132">
        <f>IF(SER_hh_fech!S7=0,0,SER_hh_fech!S7/SER_summary!S$26)</f>
        <v>57.845918131486293</v>
      </c>
      <c r="T7" s="132">
        <f>IF(SER_hh_fech!T7=0,0,SER_hh_fech!T7/SER_summary!T$26)</f>
        <v>40.996930353749249</v>
      </c>
      <c r="U7" s="132">
        <f>IF(SER_hh_fech!U7=0,0,SER_hh_fech!U7/SER_summary!U$26)</f>
        <v>45.682626123462491</v>
      </c>
      <c r="V7" s="132">
        <f>IF(SER_hh_fech!V7=0,0,SER_hh_fech!V7/SER_summary!V$26)</f>
        <v>45.526620174429759</v>
      </c>
      <c r="W7" s="132">
        <f>IF(SER_hh_fech!W7=0,0,SER_hh_fech!W7/SER_summary!W$26)</f>
        <v>75.214131983077934</v>
      </c>
      <c r="X7" s="132">
        <f>IF(SER_hh_fech!X7=0,0,SER_hh_fech!X7/SER_summary!X$26)</f>
        <v>33.879446845478725</v>
      </c>
      <c r="Y7" s="132">
        <f>IF(SER_hh_fech!Y7=0,0,SER_hh_fech!Y7/SER_summary!Y$26)</f>
        <v>38.269905735163988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26.598236507337624</v>
      </c>
      <c r="C8" s="132">
        <f>IF(SER_hh_fech!C8=0,0,SER_hh_fech!C8/SER_summary!C$26)</f>
        <v>27.608009966170478</v>
      </c>
      <c r="D8" s="132">
        <f>IF(SER_hh_fech!D8=0,0,SER_hh_fech!D8/SER_summary!D$26)</f>
        <v>28.291557693162531</v>
      </c>
      <c r="E8" s="132">
        <f>IF(SER_hh_fech!E8=0,0,SER_hh_fech!E8/SER_summary!E$26)</f>
        <v>29.730589634155539</v>
      </c>
      <c r="F8" s="132">
        <f>IF(SER_hh_fech!F8=0,0,SER_hh_fech!F8/SER_summary!F$26)</f>
        <v>27.456957520766249</v>
      </c>
      <c r="G8" s="132">
        <f>IF(SER_hh_fech!G8=0,0,SER_hh_fech!G8/SER_summary!G$26)</f>
        <v>21.519773474445696</v>
      </c>
      <c r="H8" s="132">
        <f>IF(SER_hh_fech!H8=0,0,SER_hh_fech!H8/SER_summary!H$26)</f>
        <v>21.943445746597181</v>
      </c>
      <c r="I8" s="132">
        <f>IF(SER_hh_fech!I8=0,0,SER_hh_fech!I8/SER_summary!I$26)</f>
        <v>23.098935640560711</v>
      </c>
      <c r="J8" s="132">
        <f>IF(SER_hh_fech!J8=0,0,SER_hh_fech!J8/SER_summary!J$26)</f>
        <v>23.452706409981115</v>
      </c>
      <c r="K8" s="132">
        <f>IF(SER_hh_fech!K8=0,0,SER_hh_fech!K8/SER_summary!K$26)</f>
        <v>20.325570213720738</v>
      </c>
      <c r="L8" s="132">
        <f>IF(SER_hh_fech!L8=0,0,SER_hh_fech!L8/SER_summary!L$26)</f>
        <v>17.76361648113215</v>
      </c>
      <c r="M8" s="132">
        <f>IF(SER_hh_fech!M8=0,0,SER_hh_fech!M8/SER_summary!M$26)</f>
        <v>17.811867252272243</v>
      </c>
      <c r="N8" s="132">
        <f>IF(SER_hh_fech!N8=0,0,SER_hh_fech!N8/SER_summary!N$26)</f>
        <v>17.699564861667117</v>
      </c>
      <c r="O8" s="132">
        <f>IF(SER_hh_fech!O8=0,0,SER_hh_fech!O8/SER_summary!O$26)</f>
        <v>17.727760440901005</v>
      </c>
      <c r="P8" s="132">
        <f>IF(SER_hh_fech!P8=0,0,SER_hh_fech!P8/SER_summary!P$26)</f>
        <v>15.970178230723128</v>
      </c>
      <c r="Q8" s="132">
        <f>IF(SER_hh_fech!Q8=0,0,SER_hh_fech!Q8/SER_summary!Q$26)</f>
        <v>16.274280717863764</v>
      </c>
      <c r="R8" s="132">
        <f>IF(SER_hh_fech!R8=0,0,SER_hh_fech!R8/SER_summary!R$26)</f>
        <v>15.352268732206536</v>
      </c>
      <c r="S8" s="132">
        <f>IF(SER_hh_fech!S8=0,0,SER_hh_fech!S8/SER_summary!S$26)</f>
        <v>14.313499183440772</v>
      </c>
      <c r="T8" s="132">
        <f>IF(SER_hh_fech!T8=0,0,SER_hh_fech!T8/SER_summary!T$26)</f>
        <v>13.070845825648302</v>
      </c>
      <c r="U8" s="132">
        <f>IF(SER_hh_fech!U8=0,0,SER_hh_fech!U8/SER_summary!U$26)</f>
        <v>13.042667041631459</v>
      </c>
      <c r="V8" s="132">
        <f>IF(SER_hh_fech!V8=0,0,SER_hh_fech!V8/SER_summary!V$26)</f>
        <v>11.810258445528932</v>
      </c>
      <c r="W8" s="132">
        <f>IF(SER_hh_fech!W8=0,0,SER_hh_fech!W8/SER_summary!W$26)</f>
        <v>11.355927520664283</v>
      </c>
      <c r="X8" s="132">
        <f>IF(SER_hh_fech!X8=0,0,SER_hh_fech!X8/SER_summary!X$26)</f>
        <v>10.85798879637963</v>
      </c>
      <c r="Y8" s="132">
        <f>IF(SER_hh_fech!Y8=0,0,SER_hh_fech!Y8/SER_summary!Y$26)</f>
        <v>10.396199734246769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56.956772124365585</v>
      </c>
      <c r="C9" s="132">
        <f>IF(SER_hh_fech!C9=0,0,SER_hh_fech!C9/SER_summary!C$26)</f>
        <v>53.030237030864718</v>
      </c>
      <c r="D9" s="132">
        <f>IF(SER_hh_fech!D9=0,0,SER_hh_fech!D9/SER_summary!D$26)</f>
        <v>51.914411356217741</v>
      </c>
      <c r="E9" s="132">
        <f>IF(SER_hh_fech!E9=0,0,SER_hh_fech!E9/SER_summary!E$26)</f>
        <v>63.143879217845708</v>
      </c>
      <c r="F9" s="132">
        <f>IF(SER_hh_fech!F9=0,0,SER_hh_fech!F9/SER_summary!F$26)</f>
        <v>65.882469241606614</v>
      </c>
      <c r="G9" s="132">
        <f>IF(SER_hh_fech!G9=0,0,SER_hh_fech!G9/SER_summary!G$26)</f>
        <v>64.801428928837069</v>
      </c>
      <c r="H9" s="132">
        <f>IF(SER_hh_fech!H9=0,0,SER_hh_fech!H9/SER_summary!H$26)</f>
        <v>75.832728618079415</v>
      </c>
      <c r="I9" s="132">
        <f>IF(SER_hh_fech!I9=0,0,SER_hh_fech!I9/SER_summary!I$26)</f>
        <v>55.139734561719081</v>
      </c>
      <c r="J9" s="132">
        <f>IF(SER_hh_fech!J9=0,0,SER_hh_fech!J9/SER_summary!J$26)</f>
        <v>60.845788052540762</v>
      </c>
      <c r="K9" s="132">
        <f>IF(SER_hh_fech!K9=0,0,SER_hh_fech!K9/SER_summary!K$26)</f>
        <v>57.56471038482686</v>
      </c>
      <c r="L9" s="132">
        <f>IF(SER_hh_fech!L9=0,0,SER_hh_fech!L9/SER_summary!L$26)</f>
        <v>61.02738173533151</v>
      </c>
      <c r="M9" s="132">
        <f>IF(SER_hh_fech!M9=0,0,SER_hh_fech!M9/SER_summary!M$26)</f>
        <v>50.562092844461162</v>
      </c>
      <c r="N9" s="132">
        <f>IF(SER_hh_fech!N9=0,0,SER_hh_fech!N9/SER_summary!N$26)</f>
        <v>50.404286455050126</v>
      </c>
      <c r="O9" s="132">
        <f>IF(SER_hh_fech!O9=0,0,SER_hh_fech!O9/SER_summary!O$26)</f>
        <v>59.712229527263652</v>
      </c>
      <c r="P9" s="132">
        <f>IF(SER_hh_fech!P9=0,0,SER_hh_fech!P9/SER_summary!P$26)</f>
        <v>44.849547235412231</v>
      </c>
      <c r="Q9" s="132">
        <f>IF(SER_hh_fech!Q9=0,0,SER_hh_fech!Q9/SER_summary!Q$26)</f>
        <v>48.741789298177871</v>
      </c>
      <c r="R9" s="132">
        <f>IF(SER_hh_fech!R9=0,0,SER_hh_fech!R9/SER_summary!R$26)</f>
        <v>46.888207819523053</v>
      </c>
      <c r="S9" s="132">
        <f>IF(SER_hh_fech!S9=0,0,SER_hh_fech!S9/SER_summary!S$26)</f>
        <v>44.366131316949037</v>
      </c>
      <c r="T9" s="132">
        <f>IF(SER_hh_fech!T9=0,0,SER_hh_fech!T9/SER_summary!T$26)</f>
        <v>42.841273765489781</v>
      </c>
      <c r="U9" s="132">
        <f>IF(SER_hh_fech!U9=0,0,SER_hh_fech!U9/SER_summary!U$26)</f>
        <v>35.090701523870187</v>
      </c>
      <c r="V9" s="132">
        <f>IF(SER_hh_fech!V9=0,0,SER_hh_fech!V9/SER_summary!V$26)</f>
        <v>39.789229622463544</v>
      </c>
      <c r="W9" s="132">
        <f>IF(SER_hh_fech!W9=0,0,SER_hh_fech!W9/SER_summary!W$26)</f>
        <v>45.262438659132798</v>
      </c>
      <c r="X9" s="132">
        <f>IF(SER_hh_fech!X9=0,0,SER_hh_fech!X9/SER_summary!X$26)</f>
        <v>34.137165303245794</v>
      </c>
      <c r="Y9" s="132">
        <f>IF(SER_hh_fech!Y9=0,0,SER_hh_fech!Y9/SER_summary!Y$26)</f>
        <v>30.087054815348509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0</v>
      </c>
      <c r="C10" s="132">
        <f>IF(SER_hh_fech!C10=0,0,SER_hh_fech!C10/SER_summary!C$26)</f>
        <v>0</v>
      </c>
      <c r="D10" s="132">
        <f>IF(SER_hh_fech!D10=0,0,SER_hh_fech!D10/SER_summary!D$26)</f>
        <v>0</v>
      </c>
      <c r="E10" s="132">
        <f>IF(SER_hh_fech!E10=0,0,SER_hh_fech!E10/SER_summary!E$26)</f>
        <v>68.47866404445368</v>
      </c>
      <c r="F10" s="132">
        <f>IF(SER_hh_fech!F10=0,0,SER_hh_fech!F10/SER_summary!F$26)</f>
        <v>66.05053366331056</v>
      </c>
      <c r="G10" s="132">
        <f>IF(SER_hh_fech!G10=0,0,SER_hh_fech!G10/SER_summary!G$26)</f>
        <v>54.151635472234055</v>
      </c>
      <c r="H10" s="132">
        <f>IF(SER_hh_fech!H10=0,0,SER_hh_fech!H10/SER_summary!H$26)</f>
        <v>53.001841365627939</v>
      </c>
      <c r="I10" s="132">
        <f>IF(SER_hh_fech!I10=0,0,SER_hh_fech!I10/SER_summary!I$26)</f>
        <v>44.975135476824732</v>
      </c>
      <c r="J10" s="132">
        <f>IF(SER_hh_fech!J10=0,0,SER_hh_fech!J10/SER_summary!J$26)</f>
        <v>53.466395433423436</v>
      </c>
      <c r="K10" s="132">
        <f>IF(SER_hh_fech!K10=0,0,SER_hh_fech!K10/SER_summary!K$26)</f>
        <v>49.040187571124882</v>
      </c>
      <c r="L10" s="132">
        <f>IF(SER_hh_fech!L10=0,0,SER_hh_fech!L10/SER_summary!L$26)</f>
        <v>59.06943192542743</v>
      </c>
      <c r="M10" s="132">
        <f>IF(SER_hh_fech!M10=0,0,SER_hh_fech!M10/SER_summary!M$26)</f>
        <v>42.306037029070694</v>
      </c>
      <c r="N10" s="132">
        <f>IF(SER_hh_fech!N10=0,0,SER_hh_fech!N10/SER_summary!N$26)</f>
        <v>46.823393484532218</v>
      </c>
      <c r="O10" s="132">
        <f>IF(SER_hh_fech!O10=0,0,SER_hh_fech!O10/SER_summary!O$26)</f>
        <v>50.874477052101504</v>
      </c>
      <c r="P10" s="132">
        <f>IF(SER_hh_fech!P10=0,0,SER_hh_fech!P10/SER_summary!P$26)</f>
        <v>40.335172516984464</v>
      </c>
      <c r="Q10" s="132">
        <f>IF(SER_hh_fech!Q10=0,0,SER_hh_fech!Q10/SER_summary!Q$26)</f>
        <v>45.572809283441686</v>
      </c>
      <c r="R10" s="132">
        <f>IF(SER_hh_fech!R10=0,0,SER_hh_fech!R10/SER_summary!R$26)</f>
        <v>41.923437600419653</v>
      </c>
      <c r="S10" s="132">
        <f>IF(SER_hh_fech!S10=0,0,SER_hh_fech!S10/SER_summary!S$26)</f>
        <v>39.628787949026048</v>
      </c>
      <c r="T10" s="132">
        <f>IF(SER_hh_fech!T10=0,0,SER_hh_fech!T10/SER_summary!T$26)</f>
        <v>38.942944932212221</v>
      </c>
      <c r="U10" s="132">
        <f>IF(SER_hh_fech!U10=0,0,SER_hh_fech!U10/SER_summary!U$26)</f>
        <v>37.709010345096132</v>
      </c>
      <c r="V10" s="132">
        <f>IF(SER_hh_fech!V10=0,0,SER_hh_fech!V10/SER_summary!V$26)</f>
        <v>34.741174803414204</v>
      </c>
      <c r="W10" s="132">
        <f>IF(SER_hh_fech!W10=0,0,SER_hh_fech!W10/SER_summary!W$26)</f>
        <v>37.741891402773014</v>
      </c>
      <c r="X10" s="132">
        <f>IF(SER_hh_fech!X10=0,0,SER_hh_fech!X10/SER_summary!X$26)</f>
        <v>31.25933851868821</v>
      </c>
      <c r="Y10" s="132">
        <f>IF(SER_hh_fech!Y10=0,0,SER_hh_fech!Y10/SER_summary!Y$26)</f>
        <v>30.09958960223932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67.059272410683405</v>
      </c>
      <c r="F11" s="132">
        <f>IF(SER_hh_fech!F11=0,0,SER_hh_fech!F11/SER_summary!F$26)</f>
        <v>49.146986169438698</v>
      </c>
      <c r="G11" s="132">
        <f>IF(SER_hh_fech!G11=0,0,SER_hh_fech!G11/SER_summary!G$26)</f>
        <v>45.793728676409543</v>
      </c>
      <c r="H11" s="132">
        <f>IF(SER_hh_fech!H11=0,0,SER_hh_fech!H11/SER_summary!H$26)</f>
        <v>43.543675480583765</v>
      </c>
      <c r="I11" s="132">
        <f>IF(SER_hh_fech!I11=0,0,SER_hh_fech!I11/SER_summary!I$26)</f>
        <v>40.663583006531177</v>
      </c>
      <c r="J11" s="132">
        <f>IF(SER_hh_fech!J11=0,0,SER_hh_fech!J11/SER_summary!J$26)</f>
        <v>39.628474780069013</v>
      </c>
      <c r="K11" s="132">
        <f>IF(SER_hh_fech!K11=0,0,SER_hh_fech!K11/SER_summary!K$26)</f>
        <v>41.264811898107133</v>
      </c>
      <c r="L11" s="132">
        <f>IF(SER_hh_fech!L11=0,0,SER_hh_fech!L11/SER_summary!L$26)</f>
        <v>39.688464978103845</v>
      </c>
      <c r="M11" s="132">
        <f>IF(SER_hh_fech!M11=0,0,SER_hh_fech!M11/SER_summary!M$26)</f>
        <v>39.797157288423676</v>
      </c>
      <c r="N11" s="132">
        <f>IF(SER_hh_fech!N11=0,0,SER_hh_fech!N11/SER_summary!N$26)</f>
        <v>37.65045124708454</v>
      </c>
      <c r="O11" s="132">
        <f>IF(SER_hh_fech!O11=0,0,SER_hh_fech!O11/SER_summary!O$26)</f>
        <v>38.86709525222301</v>
      </c>
      <c r="P11" s="132">
        <f>IF(SER_hh_fech!P11=0,0,SER_hh_fech!P11/SER_summary!P$26)</f>
        <v>43.237577339339907</v>
      </c>
      <c r="Q11" s="132">
        <f>IF(SER_hh_fech!Q11=0,0,SER_hh_fech!Q11/SER_summary!Q$26)</f>
        <v>32.746578991152589</v>
      </c>
      <c r="R11" s="132">
        <f>IF(SER_hh_fech!R11=0,0,SER_hh_fech!R11/SER_summary!R$26)</f>
        <v>33.928592607253051</v>
      </c>
      <c r="S11" s="132">
        <f>IF(SER_hh_fech!S11=0,0,SER_hh_fech!S11/SER_summary!S$26)</f>
        <v>36.345753488023242</v>
      </c>
      <c r="T11" s="132">
        <f>IF(SER_hh_fech!T11=0,0,SER_hh_fech!T11/SER_summary!T$26)</f>
        <v>35.569468635030987</v>
      </c>
      <c r="U11" s="132">
        <f>IF(SER_hh_fech!U11=0,0,SER_hh_fech!U11/SER_summary!U$26)</f>
        <v>30.901926934284393</v>
      </c>
      <c r="V11" s="132">
        <f>IF(SER_hh_fech!V11=0,0,SER_hh_fech!V11/SER_summary!V$26)</f>
        <v>29.312880489615839</v>
      </c>
      <c r="W11" s="132">
        <f>IF(SER_hh_fech!W11=0,0,SER_hh_fech!W11/SER_summary!W$26)</f>
        <v>29.457963351461665</v>
      </c>
      <c r="X11" s="132">
        <f>IF(SER_hh_fech!X11=0,0,SER_hh_fech!X11/SER_summary!X$26)</f>
        <v>28.50944419845364</v>
      </c>
      <c r="Y11" s="132">
        <f>IF(SER_hh_fech!Y11=0,0,SER_hh_fech!Y11/SER_summary!Y$26)</f>
        <v>27.172251883606247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0</v>
      </c>
      <c r="C12" s="132">
        <f>IF(SER_hh_fech!C12=0,0,SER_hh_fech!C12/SER_summary!C$26)</f>
        <v>0</v>
      </c>
      <c r="D12" s="132">
        <f>IF(SER_hh_fech!D12=0,0,SER_hh_fech!D12/SER_summary!D$26)</f>
        <v>0</v>
      </c>
      <c r="E12" s="132">
        <f>IF(SER_hh_fech!E12=0,0,SER_hh_fech!E12/SER_summary!E$26)</f>
        <v>65.888865827105533</v>
      </c>
      <c r="F12" s="132">
        <f>IF(SER_hh_fech!F12=0,0,SER_hh_fech!F12/SER_summary!F$26)</f>
        <v>55.157351252976682</v>
      </c>
      <c r="G12" s="132">
        <f>IF(SER_hh_fech!G12=0,0,SER_hh_fech!G12/SER_summary!G$26)</f>
        <v>44.239428791229301</v>
      </c>
      <c r="H12" s="132">
        <f>IF(SER_hh_fech!H12=0,0,SER_hh_fech!H12/SER_summary!H$26)</f>
        <v>41.267909106875919</v>
      </c>
      <c r="I12" s="132">
        <f>IF(SER_hh_fech!I12=0,0,SER_hh_fech!I12/SER_summary!I$26)</f>
        <v>38.041660908208428</v>
      </c>
      <c r="J12" s="132">
        <f>IF(SER_hh_fech!J12=0,0,SER_hh_fech!J12/SER_summary!J$26)</f>
        <v>41.28070006718206</v>
      </c>
      <c r="K12" s="132">
        <f>IF(SER_hh_fech!K12=0,0,SER_hh_fech!K12/SER_summary!K$26)</f>
        <v>39.783777382009909</v>
      </c>
      <c r="L12" s="132">
        <f>IF(SER_hh_fech!L12=0,0,SER_hh_fech!L12/SER_summary!L$26)</f>
        <v>52.950376224357527</v>
      </c>
      <c r="M12" s="132">
        <f>IF(SER_hh_fech!M12=0,0,SER_hh_fech!M12/SER_summary!M$26)</f>
        <v>33.958421159056677</v>
      </c>
      <c r="N12" s="132">
        <f>IF(SER_hh_fech!N12=0,0,SER_hh_fech!N12/SER_summary!N$26)</f>
        <v>44.318879563899486</v>
      </c>
      <c r="O12" s="132">
        <f>IF(SER_hh_fech!O12=0,0,SER_hh_fech!O12/SER_summary!O$26)</f>
        <v>34.212583472724802</v>
      </c>
      <c r="P12" s="132">
        <f>IF(SER_hh_fech!P12=0,0,SER_hh_fech!P12/SER_summary!P$26)</f>
        <v>34.511263933867617</v>
      </c>
      <c r="Q12" s="132">
        <f>IF(SER_hh_fech!Q12=0,0,SER_hh_fech!Q12/SER_summary!Q$26)</f>
        <v>40.205444348034938</v>
      </c>
      <c r="R12" s="132">
        <f>IF(SER_hh_fech!R12=0,0,SER_hh_fech!R12/SER_summary!R$26)</f>
        <v>32.448521896846444</v>
      </c>
      <c r="S12" s="132">
        <f>IF(SER_hh_fech!S12=0,0,SER_hh_fech!S12/SER_summary!S$26)</f>
        <v>35.732774007422279</v>
      </c>
      <c r="T12" s="132">
        <f>IF(SER_hh_fech!T12=0,0,SER_hh_fech!T12/SER_summary!T$26)</f>
        <v>36.138167549054458</v>
      </c>
      <c r="U12" s="132">
        <f>IF(SER_hh_fech!U12=0,0,SER_hh_fech!U12/SER_summary!U$26)</f>
        <v>33.661666571714434</v>
      </c>
      <c r="V12" s="132">
        <f>IF(SER_hh_fech!V12=0,0,SER_hh_fech!V12/SER_summary!V$26)</f>
        <v>26.392848744435405</v>
      </c>
      <c r="W12" s="132">
        <f>IF(SER_hh_fech!W12=0,0,SER_hh_fech!W12/SER_summary!W$26)</f>
        <v>39.944739508309205</v>
      </c>
      <c r="X12" s="132">
        <f>IF(SER_hh_fech!X12=0,0,SER_hh_fech!X12/SER_summary!X$26)</f>
        <v>29.347848996247254</v>
      </c>
      <c r="Y12" s="132">
        <f>IF(SER_hh_fech!Y12=0,0,SER_hh_fech!Y12/SER_summary!Y$26)</f>
        <v>26.900212665808098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15.914420880578701</v>
      </c>
      <c r="C13" s="132">
        <f>IF(SER_hh_fech!C13=0,0,SER_hh_fech!C13/SER_summary!C$26)</f>
        <v>11.070341748234602</v>
      </c>
      <c r="D13" s="132">
        <f>IF(SER_hh_fech!D13=0,0,SER_hh_fech!D13/SER_summary!D$26)</f>
        <v>16.240874190103725</v>
      </c>
      <c r="E13" s="132">
        <f>IF(SER_hh_fech!E13=0,0,SER_hh_fech!E13/SER_summary!E$26)</f>
        <v>22.350307160990834</v>
      </c>
      <c r="F13" s="132">
        <f>IF(SER_hh_fech!F13=0,0,SER_hh_fech!F13/SER_summary!F$26)</f>
        <v>18.52805227479287</v>
      </c>
      <c r="G13" s="132">
        <f>IF(SER_hh_fech!G13=0,0,SER_hh_fech!G13/SER_summary!G$26)</f>
        <v>16.278156068357966</v>
      </c>
      <c r="H13" s="132">
        <f>IF(SER_hh_fech!H13=0,0,SER_hh_fech!H13/SER_summary!H$26)</f>
        <v>16.020191029541706</v>
      </c>
      <c r="I13" s="132">
        <f>IF(SER_hh_fech!I13=0,0,SER_hh_fech!I13/SER_summary!I$26)</f>
        <v>14.837478803386205</v>
      </c>
      <c r="J13" s="132">
        <f>IF(SER_hh_fech!J13=0,0,SER_hh_fech!J13/SER_summary!J$26)</f>
        <v>14.565033418803818</v>
      </c>
      <c r="K13" s="132">
        <f>IF(SER_hh_fech!K13=0,0,SER_hh_fech!K13/SER_summary!K$26)</f>
        <v>14.495303020972168</v>
      </c>
      <c r="L13" s="132">
        <f>IF(SER_hh_fech!L13=0,0,SER_hh_fech!L13/SER_summary!L$26)</f>
        <v>14.932918473185861</v>
      </c>
      <c r="M13" s="132">
        <f>IF(SER_hh_fech!M13=0,0,SER_hh_fech!M13/SER_summary!M$26)</f>
        <v>13.5098527657451</v>
      </c>
      <c r="N13" s="132">
        <f>IF(SER_hh_fech!N13=0,0,SER_hh_fech!N13/SER_summary!N$26)</f>
        <v>13.140424105923566</v>
      </c>
      <c r="O13" s="132">
        <f>IF(SER_hh_fech!O13=0,0,SER_hh_fech!O13/SER_summary!O$26)</f>
        <v>12.765110726290725</v>
      </c>
      <c r="P13" s="132">
        <f>IF(SER_hh_fech!P13=0,0,SER_hh_fech!P13/SER_summary!P$26)</f>
        <v>11.969331228725801</v>
      </c>
      <c r="Q13" s="132">
        <f>IF(SER_hh_fech!Q13=0,0,SER_hh_fech!Q13/SER_summary!Q$26)</f>
        <v>11.588747128638786</v>
      </c>
      <c r="R13" s="132">
        <f>IF(SER_hh_fech!R13=0,0,SER_hh_fech!R13/SER_summary!R$26)</f>
        <v>11.075348016769205</v>
      </c>
      <c r="S13" s="132">
        <f>IF(SER_hh_fech!S13=0,0,SER_hh_fech!S13/SER_summary!S$26)</f>
        <v>10.463467663181147</v>
      </c>
      <c r="T13" s="132">
        <f>IF(SER_hh_fech!T13=0,0,SER_hh_fech!T13/SER_summary!T$26)</f>
        <v>9.5076446460792869</v>
      </c>
      <c r="U13" s="132">
        <f>IF(SER_hh_fech!U13=0,0,SER_hh_fech!U13/SER_summary!U$26)</f>
        <v>9.2048066369951016</v>
      </c>
      <c r="V13" s="132">
        <f>IF(SER_hh_fech!V13=0,0,SER_hh_fech!V13/SER_summary!V$26)</f>
        <v>8.4764782673875594</v>
      </c>
      <c r="W13" s="132">
        <f>IF(SER_hh_fech!W13=0,0,SER_hh_fech!W13/SER_summary!W$26)</f>
        <v>8.1078167314820409</v>
      </c>
      <c r="X13" s="132">
        <f>IF(SER_hh_fech!X13=0,0,SER_hh_fech!X13/SER_summary!X$26)</f>
        <v>7.7201666837851795</v>
      </c>
      <c r="Y13" s="132">
        <f>IF(SER_hh_fech!Y13=0,0,SER_hh_fech!Y13/SER_summary!Y$26)</f>
        <v>7.4540952632635138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39.169801020941073</v>
      </c>
      <c r="C14" s="65">
        <f>IF(SER_hh_fech!C14=0,0,SER_hh_fech!C14/SER_summary!C$26)</f>
        <v>37.312157946581337</v>
      </c>
      <c r="D14" s="65">
        <f>IF(SER_hh_fech!D14=0,0,SER_hh_fech!D14/SER_summary!D$26)</f>
        <v>52.967397347054892</v>
      </c>
      <c r="E14" s="65">
        <f>IF(SER_hh_fech!E14=0,0,SER_hh_fech!E14/SER_summary!E$26)</f>
        <v>64.548194531063999</v>
      </c>
      <c r="F14" s="65">
        <f>IF(SER_hh_fech!F14=0,0,SER_hh_fech!F14/SER_summary!F$26)</f>
        <v>54.215259346850985</v>
      </c>
      <c r="G14" s="65">
        <f>IF(SER_hh_fech!G14=0,0,SER_hh_fech!G14/SER_summary!G$26)</f>
        <v>45.076651055422367</v>
      </c>
      <c r="H14" s="65">
        <f>IF(SER_hh_fech!H14=0,0,SER_hh_fech!H14/SER_summary!H$26)</f>
        <v>54.280230512103735</v>
      </c>
      <c r="I14" s="65">
        <f>IF(SER_hh_fech!I14=0,0,SER_hh_fech!I14/SER_summary!I$26)</f>
        <v>36.525955461274933</v>
      </c>
      <c r="J14" s="65">
        <f>IF(SER_hh_fech!J14=0,0,SER_hh_fech!J14/SER_summary!J$26)</f>
        <v>46.081174081711595</v>
      </c>
      <c r="K14" s="65">
        <f>IF(SER_hh_fech!K14=0,0,SER_hh_fech!K14/SER_summary!K$26)</f>
        <v>47.721052895105224</v>
      </c>
      <c r="L14" s="65">
        <f>IF(SER_hh_fech!L14=0,0,SER_hh_fech!L14/SER_summary!L$26)</f>
        <v>56.025364568513169</v>
      </c>
      <c r="M14" s="65">
        <f>IF(SER_hh_fech!M14=0,0,SER_hh_fech!M14/SER_summary!M$26)</f>
        <v>28.750160910892731</v>
      </c>
      <c r="N14" s="65">
        <f>IF(SER_hh_fech!N14=0,0,SER_hh_fech!N14/SER_summary!N$26)</f>
        <v>43.037742041206016</v>
      </c>
      <c r="O14" s="65">
        <f>IF(SER_hh_fech!O14=0,0,SER_hh_fech!O14/SER_summary!O$26)</f>
        <v>50.069427861830363</v>
      </c>
      <c r="P14" s="65">
        <f>IF(SER_hh_fech!P14=0,0,SER_hh_fech!P14/SER_summary!P$26)</f>
        <v>18.592787564035479</v>
      </c>
      <c r="Q14" s="65">
        <f>IF(SER_hh_fech!Q14=0,0,SER_hh_fech!Q14/SER_summary!Q$26)</f>
        <v>46.131621547139936</v>
      </c>
      <c r="R14" s="65">
        <f>IF(SER_hh_fech!R14=0,0,SER_hh_fech!R14/SER_summary!R$26)</f>
        <v>51.49230658982183</v>
      </c>
      <c r="S14" s="65">
        <f>IF(SER_hh_fech!S14=0,0,SER_hh_fech!S14/SER_summary!S$26)</f>
        <v>35.2233199853505</v>
      </c>
      <c r="T14" s="65">
        <f>IF(SER_hh_fech!T14=0,0,SER_hh_fech!T14/SER_summary!T$26)</f>
        <v>28.270477083897568</v>
      </c>
      <c r="U14" s="65">
        <f>IF(SER_hh_fech!U14=0,0,SER_hh_fech!U14/SER_summary!U$26)</f>
        <v>35.121488186150422</v>
      </c>
      <c r="V14" s="65">
        <f>IF(SER_hh_fech!V14=0,0,SER_hh_fech!V14/SER_summary!V$26)</f>
        <v>38.462613054869074</v>
      </c>
      <c r="W14" s="65">
        <f>IF(SER_hh_fech!W14=0,0,SER_hh_fech!W14/SER_summary!W$26)</f>
        <v>54.735264054614582</v>
      </c>
      <c r="X14" s="65">
        <f>IF(SER_hh_fech!X14=0,0,SER_hh_fech!X14/SER_summary!X$26)</f>
        <v>18.419068075143773</v>
      </c>
      <c r="Y14" s="65">
        <f>IF(SER_hh_fech!Y14=0,0,SER_hh_fech!Y14/SER_summary!Y$26)</f>
        <v>25.55460114959601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0.60219722123389541</v>
      </c>
      <c r="C15" s="134">
        <f>IF(SER_hh_fech!C15=0,0,SER_hh_fech!C15/SER_summary!C$26)</f>
        <v>0.62900049447130868</v>
      </c>
      <c r="D15" s="134">
        <f>IF(SER_hh_fech!D15=0,0,SER_hh_fech!D15/SER_summary!D$26)</f>
        <v>0.58807083184513154</v>
      </c>
      <c r="E15" s="134">
        <f>IF(SER_hh_fech!E15=0,0,SER_hh_fech!E15/SER_summary!E$26)</f>
        <v>0.61367812827644164</v>
      </c>
      <c r="F15" s="134">
        <f>IF(SER_hh_fech!F15=0,0,SER_hh_fech!F15/SER_summary!F$26)</f>
        <v>0.58463269595650424</v>
      </c>
      <c r="G15" s="134">
        <f>IF(SER_hh_fech!G15=0,0,SER_hh_fech!G15/SER_summary!G$26)</f>
        <v>0.5465966843322424</v>
      </c>
      <c r="H15" s="134">
        <f>IF(SER_hh_fech!H15=0,0,SER_hh_fech!H15/SER_summary!H$26)</f>
        <v>0.61956697954361584</v>
      </c>
      <c r="I15" s="134">
        <f>IF(SER_hh_fech!I15=0,0,SER_hh_fech!I15/SER_summary!I$26)</f>
        <v>0.44623138446215616</v>
      </c>
      <c r="J15" s="134">
        <f>IF(SER_hh_fech!J15=0,0,SER_hh_fech!J15/SER_summary!J$26)</f>
        <v>0.51787867103010055</v>
      </c>
      <c r="K15" s="134">
        <f>IF(SER_hh_fech!K15=0,0,SER_hh_fech!K15/SER_summary!K$26)</f>
        <v>0.47834802472306864</v>
      </c>
      <c r="L15" s="134">
        <f>IF(SER_hh_fech!L15=0,0,SER_hh_fech!L15/SER_summary!L$26)</f>
        <v>0.50491558821729787</v>
      </c>
      <c r="M15" s="134">
        <f>IF(SER_hh_fech!M15=0,0,SER_hh_fech!M15/SER_summary!M$26)</f>
        <v>0.42282525571184698</v>
      </c>
      <c r="N15" s="134">
        <f>IF(SER_hh_fech!N15=0,0,SER_hh_fech!N15/SER_summary!N$26)</f>
        <v>0.45132828503578071</v>
      </c>
      <c r="O15" s="134">
        <f>IF(SER_hh_fech!O15=0,0,SER_hh_fech!O15/SER_summary!O$26)</f>
        <v>0.52353551134939869</v>
      </c>
      <c r="P15" s="134">
        <f>IF(SER_hh_fech!P15=0,0,SER_hh_fech!P15/SER_summary!P$26)</f>
        <v>0.43176387931353094</v>
      </c>
      <c r="Q15" s="134">
        <f>IF(SER_hh_fech!Q15=0,0,SER_hh_fech!Q15/SER_summary!Q$26)</f>
        <v>0.46553463996475902</v>
      </c>
      <c r="R15" s="134">
        <f>IF(SER_hh_fech!R15=0,0,SER_hh_fech!R15/SER_summary!R$26)</f>
        <v>0.45745196422905021</v>
      </c>
      <c r="S15" s="134">
        <f>IF(SER_hh_fech!S15=0,0,SER_hh_fech!S15/SER_summary!S$26)</f>
        <v>0.45422684737672381</v>
      </c>
      <c r="T15" s="134">
        <f>IF(SER_hh_fech!T15=0,0,SER_hh_fech!T15/SER_summary!T$26)</f>
        <v>0.40455764930559585</v>
      </c>
      <c r="U15" s="134">
        <f>IF(SER_hh_fech!U15=0,0,SER_hh_fech!U15/SER_summary!U$26)</f>
        <v>0.36119236070801924</v>
      </c>
      <c r="V15" s="134">
        <f>IF(SER_hh_fech!V15=0,0,SER_hh_fech!V15/SER_summary!V$26)</f>
        <v>0.38923388134818632</v>
      </c>
      <c r="W15" s="134">
        <f>IF(SER_hh_fech!W15=0,0,SER_hh_fech!W15/SER_summary!W$26)</f>
        <v>0.48129330405965509</v>
      </c>
      <c r="X15" s="134">
        <f>IF(SER_hh_fech!X15=0,0,SER_hh_fech!X15/SER_summary!X$26)</f>
        <v>0.32555105740742041</v>
      </c>
      <c r="Y15" s="134">
        <f>IF(SER_hh_fech!Y15=0,0,SER_hh_fech!Y15/SER_summary!Y$26)</f>
        <v>0.30129187759891385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14.540207057216675</v>
      </c>
      <c r="C16" s="130">
        <f>IF(SER_hh_fech!C16=0,0,SER_hh_fech!C16/SER_summary!C$26)</f>
        <v>14.154399336122234</v>
      </c>
      <c r="D16" s="130">
        <f>IF(SER_hh_fech!D16=0,0,SER_hh_fech!D16/SER_summary!D$26)</f>
        <v>13.636788732479442</v>
      </c>
      <c r="E16" s="130">
        <f>IF(SER_hh_fech!E16=0,0,SER_hh_fech!E16/SER_summary!E$26)</f>
        <v>15.857569554472121</v>
      </c>
      <c r="F16" s="130">
        <f>IF(SER_hh_fech!F16=0,0,SER_hh_fech!F16/SER_summary!F$26)</f>
        <v>12.334871996242574</v>
      </c>
      <c r="G16" s="130">
        <f>IF(SER_hh_fech!G16=0,0,SER_hh_fech!G16/SER_summary!G$26)</f>
        <v>11.819207559627099</v>
      </c>
      <c r="H16" s="130">
        <f>IF(SER_hh_fech!H16=0,0,SER_hh_fech!H16/SER_summary!H$26)</f>
        <v>12.327431714690926</v>
      </c>
      <c r="I16" s="130">
        <f>IF(SER_hh_fech!I16=0,0,SER_hh_fech!I16/SER_summary!I$26)</f>
        <v>10.52485519690314</v>
      </c>
      <c r="J16" s="130">
        <f>IF(SER_hh_fech!J16=0,0,SER_hh_fech!J16/SER_summary!J$26)</f>
        <v>9.9241665196911146</v>
      </c>
      <c r="K16" s="130">
        <f>IF(SER_hh_fech!K16=0,0,SER_hh_fech!K16/SER_summary!K$26)</f>
        <v>9.6637619068531428</v>
      </c>
      <c r="L16" s="130">
        <f>IF(SER_hh_fech!L16=0,0,SER_hh_fech!L16/SER_summary!L$26)</f>
        <v>10.228546225704784</v>
      </c>
      <c r="M16" s="130">
        <f>IF(SER_hh_fech!M16=0,0,SER_hh_fech!M16/SER_summary!M$26)</f>
        <v>9.1362740354723311</v>
      </c>
      <c r="N16" s="130">
        <f>IF(SER_hh_fech!N16=0,0,SER_hh_fech!N16/SER_summary!N$26)</f>
        <v>8.9554030842448533</v>
      </c>
      <c r="O16" s="130">
        <f>IF(SER_hh_fech!O16=0,0,SER_hh_fech!O16/SER_summary!O$26)</f>
        <v>9.047034620528164</v>
      </c>
      <c r="P16" s="130">
        <f>IF(SER_hh_fech!P16=0,0,SER_hh_fech!P16/SER_summary!P$26)</f>
        <v>8.2671625124107813</v>
      </c>
      <c r="Q16" s="130">
        <f>IF(SER_hh_fech!Q16=0,0,SER_hh_fech!Q16/SER_summary!Q$26)</f>
        <v>8.9906409397779985</v>
      </c>
      <c r="R16" s="130">
        <f>IF(SER_hh_fech!R16=0,0,SER_hh_fech!R16/SER_summary!R$26)</f>
        <v>7.8316759017122131</v>
      </c>
      <c r="S16" s="130">
        <f>IF(SER_hh_fech!S16=0,0,SER_hh_fech!S16/SER_summary!S$26)</f>
        <v>7.4658787740290569</v>
      </c>
      <c r="T16" s="130">
        <f>IF(SER_hh_fech!T16=0,0,SER_hh_fech!T16/SER_summary!T$26)</f>
        <v>8.882961173795259</v>
      </c>
      <c r="U16" s="130">
        <f>IF(SER_hh_fech!U16=0,0,SER_hh_fech!U16/SER_summary!U$26)</f>
        <v>8.3096288570579162</v>
      </c>
      <c r="V16" s="130">
        <f>IF(SER_hh_fech!V16=0,0,SER_hh_fech!V16/SER_summary!V$26)</f>
        <v>7.0158807664546163</v>
      </c>
      <c r="W16" s="130">
        <f>IF(SER_hh_fech!W16=0,0,SER_hh_fech!W16/SER_summary!W$26)</f>
        <v>6.6882425737694042</v>
      </c>
      <c r="X16" s="130">
        <f>IF(SER_hh_fech!X16=0,0,SER_hh_fech!X16/SER_summary!X$26)</f>
        <v>7.3974022539388962</v>
      </c>
      <c r="Y16" s="130">
        <f>IF(SER_hh_fech!Y16=0,0,SER_hh_fech!Y16/SER_summary!Y$26)</f>
        <v>6.9408887783662925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24.865366513240854</v>
      </c>
      <c r="C17" s="132">
        <f>IF(SER_hh_fech!C17=0,0,SER_hh_fech!C17/SER_summary!C$26)</f>
        <v>24.785187386498329</v>
      </c>
      <c r="D17" s="132">
        <f>IF(SER_hh_fech!D17=0,0,SER_hh_fech!D17/SER_summary!D$26)</f>
        <v>24.519860242671395</v>
      </c>
      <c r="E17" s="132">
        <f>IF(SER_hh_fech!E17=0,0,SER_hh_fech!E17/SER_summary!E$26)</f>
        <v>29.382666883395167</v>
      </c>
      <c r="F17" s="132">
        <f>IF(SER_hh_fech!F17=0,0,SER_hh_fech!F17/SER_summary!F$26)</f>
        <v>23.148182427904437</v>
      </c>
      <c r="G17" s="132">
        <f>IF(SER_hh_fech!G17=0,0,SER_hh_fech!G17/SER_summary!G$26)</f>
        <v>22.912638619800923</v>
      </c>
      <c r="H17" s="132">
        <f>IF(SER_hh_fech!H17=0,0,SER_hh_fech!H17/SER_summary!H$26)</f>
        <v>24.998767708791721</v>
      </c>
      <c r="I17" s="132">
        <f>IF(SER_hh_fech!I17=0,0,SER_hh_fech!I17/SER_summary!I$26)</f>
        <v>22.064293618952274</v>
      </c>
      <c r="J17" s="132">
        <f>IF(SER_hh_fech!J17=0,0,SER_hh_fech!J17/SER_summary!J$26)</f>
        <v>21.801669391609622</v>
      </c>
      <c r="K17" s="132">
        <f>IF(SER_hh_fech!K17=0,0,SER_hh_fech!K17/SER_summary!K$26)</f>
        <v>21.507222005978328</v>
      </c>
      <c r="L17" s="132">
        <f>IF(SER_hh_fech!L17=0,0,SER_hh_fech!L17/SER_summary!L$26)</f>
        <v>23.187421126957137</v>
      </c>
      <c r="M17" s="132">
        <f>IF(SER_hh_fech!M17=0,0,SER_hh_fech!M17/SER_summary!M$26)</f>
        <v>21.208684586764154</v>
      </c>
      <c r="N17" s="132">
        <f>IF(SER_hh_fech!N17=0,0,SER_hh_fech!N17/SER_summary!N$26)</f>
        <v>21.331067124437492</v>
      </c>
      <c r="O17" s="132">
        <f>IF(SER_hh_fech!O17=0,0,SER_hh_fech!O17/SER_summary!O$26)</f>
        <v>22.012927780431358</v>
      </c>
      <c r="P17" s="132">
        <f>IF(SER_hh_fech!P17=0,0,SER_hh_fech!P17/SER_summary!P$26)</f>
        <v>20.347152042433283</v>
      </c>
      <c r="Q17" s="132">
        <f>IF(SER_hh_fech!Q17=0,0,SER_hh_fech!Q17/SER_summary!Q$26)</f>
        <v>18.299486038623982</v>
      </c>
      <c r="R17" s="132">
        <f>IF(SER_hh_fech!R17=0,0,SER_hh_fech!R17/SER_summary!R$26)</f>
        <v>20.119935313948464</v>
      </c>
      <c r="S17" s="132">
        <f>IF(SER_hh_fech!S17=0,0,SER_hh_fech!S17/SER_summary!S$26)</f>
        <v>17.511004346654691</v>
      </c>
      <c r="T17" s="132">
        <f>IF(SER_hh_fech!T17=0,0,SER_hh_fech!T17/SER_summary!T$26)</f>
        <v>23.568100684125703</v>
      </c>
      <c r="U17" s="132">
        <f>IF(SER_hh_fech!U17=0,0,SER_hh_fech!U17/SER_summary!U$26)</f>
        <v>22.337124361315425</v>
      </c>
      <c r="V17" s="132">
        <f>IF(SER_hh_fech!V17=0,0,SER_hh_fech!V17/SER_summary!V$26)</f>
        <v>16.313012686954913</v>
      </c>
      <c r="W17" s="132">
        <f>IF(SER_hh_fech!W17=0,0,SER_hh_fech!W17/SER_summary!W$26)</f>
        <v>15.662253273807124</v>
      </c>
      <c r="X17" s="132">
        <f>IF(SER_hh_fech!X17=0,0,SER_hh_fech!X17/SER_summary!X$26)</f>
        <v>20.544202212513941</v>
      </c>
      <c r="Y17" s="132">
        <f>IF(SER_hh_fech!Y17=0,0,SER_hh_fech!Y17/SER_summary!Y$26)</f>
        <v>19.292495932184266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14.537269456095082</v>
      </c>
      <c r="C18" s="132">
        <f>IF(SER_hh_fech!C18=0,0,SER_hh_fech!C18/SER_summary!C$26)</f>
        <v>14.151325958377262</v>
      </c>
      <c r="D18" s="132">
        <f>IF(SER_hh_fech!D18=0,0,SER_hh_fech!D18/SER_summary!D$26)</f>
        <v>13.633548645272162</v>
      </c>
      <c r="E18" s="132">
        <f>IF(SER_hh_fech!E18=0,0,SER_hh_fech!E18/SER_summary!E$26)</f>
        <v>15.853659890190967</v>
      </c>
      <c r="F18" s="132">
        <f>IF(SER_hh_fech!F18=0,0,SER_hh_fech!F18/SER_summary!F$26)</f>
        <v>12.330291153030254</v>
      </c>
      <c r="G18" s="132">
        <f>IF(SER_hh_fech!G18=0,0,SER_hh_fech!G18/SER_summary!G$26)</f>
        <v>11.813681788721482</v>
      </c>
      <c r="H18" s="132">
        <f>IF(SER_hh_fech!H18=0,0,SER_hh_fech!H18/SER_summary!H$26)</f>
        <v>12.321211189679245</v>
      </c>
      <c r="I18" s="132">
        <f>IF(SER_hh_fech!I18=0,0,SER_hh_fech!I18/SER_summary!I$26)</f>
        <v>10.516084237492572</v>
      </c>
      <c r="J18" s="132">
        <f>IF(SER_hh_fech!J18=0,0,SER_hh_fech!J18/SER_summary!J$26)</f>
        <v>9.9136540103199877</v>
      </c>
      <c r="K18" s="132">
        <f>IF(SER_hh_fech!K18=0,0,SER_hh_fech!K18/SER_summary!K$26)</f>
        <v>9.6516968787602213</v>
      </c>
      <c r="L18" s="132">
        <f>IF(SER_hh_fech!L18=0,0,SER_hh_fech!L18/SER_summary!L$26)</f>
        <v>10.213755942742281</v>
      </c>
      <c r="M18" s="132">
        <f>IF(SER_hh_fech!M18=0,0,SER_hh_fech!M18/SER_summary!M$26)</f>
        <v>9.1204454764749929</v>
      </c>
      <c r="N18" s="132">
        <f>IF(SER_hh_fech!N18=0,0,SER_hh_fech!N18/SER_summary!N$26)</f>
        <v>8.9378402142779549</v>
      </c>
      <c r="O18" s="132">
        <f>IF(SER_hh_fech!O18=0,0,SER_hh_fech!O18/SER_summary!O$26)</f>
        <v>9.0260766179691672</v>
      </c>
      <c r="P18" s="132">
        <f>IF(SER_hh_fech!P18=0,0,SER_hh_fech!P18/SER_summary!P$26)</f>
        <v>8.2399974291631093</v>
      </c>
      <c r="Q18" s="132">
        <f>IF(SER_hh_fech!Q18=0,0,SER_hh_fech!Q18/SER_summary!Q$26)</f>
        <v>8.9595380889851324</v>
      </c>
      <c r="R18" s="132">
        <f>IF(SER_hh_fech!R18=0,0,SER_hh_fech!R18/SER_summary!R$26)</f>
        <v>7.7858592264203121</v>
      </c>
      <c r="S18" s="132">
        <f>IF(SER_hh_fech!S18=0,0,SER_hh_fech!S18/SER_summary!S$26)</f>
        <v>7.420096781669538</v>
      </c>
      <c r="T18" s="132">
        <f>IF(SER_hh_fech!T18=0,0,SER_hh_fech!T18/SER_summary!T$26)</f>
        <v>8.8019989367413878</v>
      </c>
      <c r="U18" s="132">
        <f>IF(SER_hh_fech!U18=0,0,SER_hh_fech!U18/SER_summary!U$26)</f>
        <v>8.2231369791390314</v>
      </c>
      <c r="V18" s="132">
        <f>IF(SER_hh_fech!V18=0,0,SER_hh_fech!V18/SER_summary!V$26)</f>
        <v>6.956397602145171</v>
      </c>
      <c r="W18" s="132">
        <f>IF(SER_hh_fech!W18=0,0,SER_hh_fech!W18/SER_summary!W$26)</f>
        <v>6.6286801803349729</v>
      </c>
      <c r="X18" s="132">
        <f>IF(SER_hh_fech!X18=0,0,SER_hh_fech!X18/SER_summary!X$26)</f>
        <v>7.3102346994138738</v>
      </c>
      <c r="Y18" s="132">
        <f>IF(SER_hh_fech!Y18=0,0,SER_hh_fech!Y18/SER_summary!Y$26)</f>
        <v>6.857746472855319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10.750725489936196</v>
      </c>
      <c r="C19" s="130">
        <f>IF(SER_hh_fech!C19=0,0,SER_hh_fech!C19/SER_summary!C$26)</f>
        <v>10.332601922112088</v>
      </c>
      <c r="D19" s="130">
        <f>IF(SER_hh_fech!D19=0,0,SER_hh_fech!D19/SER_summary!D$26)</f>
        <v>10.368755580078204</v>
      </c>
      <c r="E19" s="130">
        <f>IF(SER_hh_fech!E19=0,0,SER_hh_fech!E19/SER_summary!E$26)</f>
        <v>10.535672078489172</v>
      </c>
      <c r="F19" s="130">
        <f>IF(SER_hh_fech!F19=0,0,SER_hh_fech!F19/SER_summary!F$26)</f>
        <v>10.299971087966068</v>
      </c>
      <c r="G19" s="130">
        <f>IF(SER_hh_fech!G19=0,0,SER_hh_fech!G19/SER_summary!G$26)</f>
        <v>10.253115930635209</v>
      </c>
      <c r="H19" s="130">
        <f>IF(SER_hh_fech!H19=0,0,SER_hh_fech!H19/SER_summary!H$26)</f>
        <v>10.26219595256614</v>
      </c>
      <c r="I19" s="130">
        <f>IF(SER_hh_fech!I19=0,0,SER_hh_fech!I19/SER_summary!I$26)</f>
        <v>10.124399237893982</v>
      </c>
      <c r="J19" s="130">
        <f>IF(SER_hh_fech!J19=0,0,SER_hh_fech!J19/SER_summary!J$26)</f>
        <v>10.036244687980124</v>
      </c>
      <c r="K19" s="130">
        <f>IF(SER_hh_fech!K19=0,0,SER_hh_fech!K19/SER_summary!K$26)</f>
        <v>10.190542551872408</v>
      </c>
      <c r="L19" s="130">
        <f>IF(SER_hh_fech!L19=0,0,SER_hh_fech!L19/SER_summary!L$26)</f>
        <v>10.003464682168161</v>
      </c>
      <c r="M19" s="130">
        <f>IF(SER_hh_fech!M19=0,0,SER_hh_fech!M19/SER_summary!M$26)</f>
        <v>9.8238361111743338</v>
      </c>
      <c r="N19" s="130">
        <f>IF(SER_hh_fech!N19=0,0,SER_hh_fech!N19/SER_summary!N$26)</f>
        <v>9.8246483048896867</v>
      </c>
      <c r="O19" s="130">
        <f>IF(SER_hh_fech!O19=0,0,SER_hh_fech!O19/SER_summary!O$26)</f>
        <v>9.6014458919351391</v>
      </c>
      <c r="P19" s="130">
        <f>IF(SER_hh_fech!P19=0,0,SER_hh_fech!P19/SER_summary!P$26)</f>
        <v>9.8147277751771895</v>
      </c>
      <c r="Q19" s="130">
        <f>IF(SER_hh_fech!Q19=0,0,SER_hh_fech!Q19/SER_summary!Q$26)</f>
        <v>9.7376951773253282</v>
      </c>
      <c r="R19" s="130">
        <f>IF(SER_hh_fech!R19=0,0,SER_hh_fech!R19/SER_summary!R$26)</f>
        <v>9.5032663618920221</v>
      </c>
      <c r="S19" s="130">
        <f>IF(SER_hh_fech!S19=0,0,SER_hh_fech!S19/SER_summary!S$26)</f>
        <v>9.4596809357351912</v>
      </c>
      <c r="T19" s="130">
        <f>IF(SER_hh_fech!T19=0,0,SER_hh_fech!T19/SER_summary!T$26)</f>
        <v>9.9011386798698773</v>
      </c>
      <c r="U19" s="130">
        <f>IF(SER_hh_fech!U19=0,0,SER_hh_fech!U19/SER_summary!U$26)</f>
        <v>9.5788599696333474</v>
      </c>
      <c r="V19" s="130">
        <f>IF(SER_hh_fech!V19=0,0,SER_hh_fech!V19/SER_summary!V$26)</f>
        <v>8.3459613623824911</v>
      </c>
      <c r="W19" s="130">
        <f>IF(SER_hh_fech!W19=0,0,SER_hh_fech!W19/SER_summary!W$26)</f>
        <v>8.4008315097072259</v>
      </c>
      <c r="X19" s="130">
        <f>IF(SER_hh_fech!X19=0,0,SER_hh_fech!X19/SER_summary!X$26)</f>
        <v>7.7528768495500104</v>
      </c>
      <c r="Y19" s="130">
        <f>IF(SER_hh_fech!Y19=0,0,SER_hh_fech!Y19/SER_summary!Y$26)</f>
        <v>7.4717016710847037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10.086907137353313</v>
      </c>
      <c r="C21" s="132">
        <f>IF(SER_hh_fech!C21=0,0,SER_hh_fech!C21/SER_summary!C$26)</f>
        <v>9.8685577548598218</v>
      </c>
      <c r="D21" s="132">
        <f>IF(SER_hh_fech!D21=0,0,SER_hh_fech!D21/SER_summary!D$26)</f>
        <v>11.090144195078739</v>
      </c>
      <c r="E21" s="132">
        <f>IF(SER_hh_fech!E21=0,0,SER_hh_fech!E21/SER_summary!E$26)</f>
        <v>10.269264593546659</v>
      </c>
      <c r="F21" s="132">
        <f>IF(SER_hh_fech!F21=0,0,SER_hh_fech!F21/SER_summary!F$26)</f>
        <v>11.121525792628038</v>
      </c>
      <c r="G21" s="132">
        <f>IF(SER_hh_fech!G21=0,0,SER_hh_fech!G21/SER_summary!G$26)</f>
        <v>11.160490358922162</v>
      </c>
      <c r="H21" s="132">
        <f>IF(SER_hh_fech!H21=0,0,SER_hh_fech!H21/SER_summary!H$26)</f>
        <v>10.840029654266724</v>
      </c>
      <c r="I21" s="132">
        <f>IF(SER_hh_fech!I21=0,0,SER_hh_fech!I21/SER_summary!I$26)</f>
        <v>10.806486984381147</v>
      </c>
      <c r="J21" s="132">
        <f>IF(SER_hh_fech!J21=0,0,SER_hh_fech!J21/SER_summary!J$26)</f>
        <v>10.819672875543766</v>
      </c>
      <c r="K21" s="132">
        <f>IF(SER_hh_fech!K21=0,0,SER_hh_fech!K21/SER_summary!K$26)</f>
        <v>10.819151036263703</v>
      </c>
      <c r="L21" s="132">
        <f>IF(SER_hh_fech!L21=0,0,SER_hh_fech!L21/SER_summary!L$26)</f>
        <v>10.568534913255364</v>
      </c>
      <c r="M21" s="132">
        <f>IF(SER_hh_fech!M21=0,0,SER_hh_fech!M21/SER_summary!M$26)</f>
        <v>10.933478332409297</v>
      </c>
      <c r="N21" s="132">
        <f>IF(SER_hh_fech!N21=0,0,SER_hh_fech!N21/SER_summary!N$26)</f>
        <v>10.811256104916591</v>
      </c>
      <c r="O21" s="132">
        <f>IF(SER_hh_fech!O21=0,0,SER_hh_fech!O21/SER_summary!O$26)</f>
        <v>10.208796145076771</v>
      </c>
      <c r="P21" s="132">
        <f>IF(SER_hh_fech!P21=0,0,SER_hh_fech!P21/SER_summary!P$26)</f>
        <v>10.569561353772436</v>
      </c>
      <c r="Q21" s="132">
        <f>IF(SER_hh_fech!Q21=0,0,SER_hh_fech!Q21/SER_summary!Q$26)</f>
        <v>10.649424418769756</v>
      </c>
      <c r="R21" s="132">
        <f>IF(SER_hh_fech!R21=0,0,SER_hh_fech!R21/SER_summary!R$26)</f>
        <v>10.744613834912528</v>
      </c>
      <c r="S21" s="132">
        <f>IF(SER_hh_fech!S21=0,0,SER_hh_fech!S21/SER_summary!S$26)</f>
        <v>9.0006170873292533</v>
      </c>
      <c r="T21" s="132">
        <f>IF(SER_hh_fech!T21=0,0,SER_hh_fech!T21/SER_summary!T$26)</f>
        <v>11.12878870343407</v>
      </c>
      <c r="U21" s="132">
        <f>IF(SER_hh_fech!U21=0,0,SER_hh_fech!U21/SER_summary!U$26)</f>
        <v>11.351235570494948</v>
      </c>
      <c r="V21" s="132">
        <f>IF(SER_hh_fech!V21=0,0,SER_hh_fech!V21/SER_summary!V$26)</f>
        <v>9.203977840789026</v>
      </c>
      <c r="W21" s="132">
        <f>IF(SER_hh_fech!W21=0,0,SER_hh_fech!W21/SER_summary!W$26)</f>
        <v>7.4401475237311132</v>
      </c>
      <c r="X21" s="132">
        <f>IF(SER_hh_fech!X21=0,0,SER_hh_fech!X21/SER_summary!X$26)</f>
        <v>8.0428061674106601</v>
      </c>
      <c r="Y21" s="132">
        <f>IF(SER_hh_fech!Y21=0,0,SER_hh_fech!Y21/SER_summary!Y$26)</f>
        <v>7.2707484363503534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11.405190406917569</v>
      </c>
      <c r="C22" s="132">
        <f>IF(SER_hh_fech!C22=0,0,SER_hh_fech!C22/SER_summary!C$26)</f>
        <v>11.398759313963163</v>
      </c>
      <c r="D22" s="132">
        <f>IF(SER_hh_fech!D22=0,0,SER_hh_fech!D22/SER_summary!D$26)</f>
        <v>12.789153011829761</v>
      </c>
      <c r="E22" s="132">
        <f>IF(SER_hh_fech!E22=0,0,SER_hh_fech!E22/SER_summary!E$26)</f>
        <v>11.28001809050218</v>
      </c>
      <c r="F22" s="132">
        <f>IF(SER_hh_fech!F22=0,0,SER_hh_fech!F22/SER_summary!F$26)</f>
        <v>11.342341086603605</v>
      </c>
      <c r="G22" s="132">
        <f>IF(SER_hh_fech!G22=0,0,SER_hh_fech!G22/SER_summary!G$26)</f>
        <v>11.240769167577014</v>
      </c>
      <c r="H22" s="132">
        <f>IF(SER_hh_fech!H22=0,0,SER_hh_fech!H22/SER_summary!H$26)</f>
        <v>11.49935309167329</v>
      </c>
      <c r="I22" s="132">
        <f>IF(SER_hh_fech!I22=0,0,SER_hh_fech!I22/SER_summary!I$26)</f>
        <v>11.492325449636189</v>
      </c>
      <c r="J22" s="132">
        <f>IF(SER_hh_fech!J22=0,0,SER_hh_fech!J22/SER_summary!J$26)</f>
        <v>11.453732342880382</v>
      </c>
      <c r="K22" s="132">
        <f>IF(SER_hh_fech!K22=0,0,SER_hh_fech!K22/SER_summary!K$26)</f>
        <v>11.451317872383287</v>
      </c>
      <c r="L22" s="132">
        <f>IF(SER_hh_fech!L22=0,0,SER_hh_fech!L22/SER_summary!L$26)</f>
        <v>11.206328824803533</v>
      </c>
      <c r="M22" s="132">
        <f>IF(SER_hh_fech!M22=0,0,SER_hh_fech!M22/SER_summary!M$26)</f>
        <v>11.252126886620974</v>
      </c>
      <c r="N22" s="132">
        <f>IF(SER_hh_fech!N22=0,0,SER_hh_fech!N22/SER_summary!N$26)</f>
        <v>11.121998140011284</v>
      </c>
      <c r="O22" s="132">
        <f>IF(SER_hh_fech!O22=0,0,SER_hh_fech!O22/SER_summary!O$26)</f>
        <v>11.008927058052464</v>
      </c>
      <c r="P22" s="132">
        <f>IF(SER_hh_fech!P22=0,0,SER_hh_fech!P22/SER_summary!P$26)</f>
        <v>11.076338122016203</v>
      </c>
      <c r="Q22" s="132">
        <f>IF(SER_hh_fech!Q22=0,0,SER_hh_fech!Q22/SER_summary!Q$26)</f>
        <v>11.030336088948749</v>
      </c>
      <c r="R22" s="132">
        <f>IF(SER_hh_fech!R22=0,0,SER_hh_fech!R22/SER_summary!R$26)</f>
        <v>11.257761409010875</v>
      </c>
      <c r="S22" s="132">
        <f>IF(SER_hh_fech!S22=0,0,SER_hh_fech!S22/SER_summary!S$26)</f>
        <v>12.10009385937164</v>
      </c>
      <c r="T22" s="132">
        <f>IF(SER_hh_fech!T22=0,0,SER_hh_fech!T22/SER_summary!T$26)</f>
        <v>10.024800380347472</v>
      </c>
      <c r="U22" s="132">
        <f>IF(SER_hh_fech!U22=0,0,SER_hh_fech!U22/SER_summary!U$26)</f>
        <v>10.835677291768485</v>
      </c>
      <c r="V22" s="132">
        <f>IF(SER_hh_fech!V22=0,0,SER_hh_fech!V22/SER_summary!V$26)</f>
        <v>9.7452260380168187</v>
      </c>
      <c r="W22" s="132">
        <f>IF(SER_hh_fech!W22=0,0,SER_hh_fech!W22/SER_summary!W$26)</f>
        <v>10.479580699991862</v>
      </c>
      <c r="X22" s="132">
        <f>IF(SER_hh_fech!X22=0,0,SER_hh_fech!X22/SER_summary!X$26)</f>
        <v>9.1146453980242814</v>
      </c>
      <c r="Y22" s="132">
        <f>IF(SER_hh_fech!Y22=0,0,SER_hh_fech!Y22/SER_summary!Y$26)</f>
        <v>8.4839439070261307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11.511920654244644</v>
      </c>
      <c r="C23" s="132">
        <f>IF(SER_hh_fech!C23=0,0,SER_hh_fech!C23/SER_summary!C$26)</f>
        <v>10.843016592693267</v>
      </c>
      <c r="D23" s="132">
        <f>IF(SER_hh_fech!D23=0,0,SER_hh_fech!D23/SER_summary!D$26)</f>
        <v>9.8435198237213655</v>
      </c>
      <c r="E23" s="132">
        <f>IF(SER_hh_fech!E23=0,0,SER_hh_fech!E23/SER_summary!E$26)</f>
        <v>11.343086252346341</v>
      </c>
      <c r="F23" s="132">
        <f>IF(SER_hh_fech!F23=0,0,SER_hh_fech!F23/SER_summary!F$26)</f>
        <v>10.831479232290267</v>
      </c>
      <c r="G23" s="132">
        <f>IF(SER_hh_fech!G23=0,0,SER_hh_fech!G23/SER_summary!G$26)</f>
        <v>11.0124386644386</v>
      </c>
      <c r="H23" s="132">
        <f>IF(SER_hh_fech!H23=0,0,SER_hh_fech!H23/SER_summary!H$26)</f>
        <v>11.092413270292621</v>
      </c>
      <c r="I23" s="132">
        <f>IF(SER_hh_fech!I23=0,0,SER_hh_fech!I23/SER_summary!I$26)</f>
        <v>10.603043511880038</v>
      </c>
      <c r="J23" s="132">
        <f>IF(SER_hh_fech!J23=0,0,SER_hh_fech!J23/SER_summary!J$26)</f>
        <v>10.485269040282576</v>
      </c>
      <c r="K23" s="132">
        <f>IF(SER_hh_fech!K23=0,0,SER_hh_fech!K23/SER_summary!K$26)</f>
        <v>10.669001315216704</v>
      </c>
      <c r="L23" s="132">
        <f>IF(SER_hh_fech!L23=0,0,SER_hh_fech!L23/SER_summary!L$26)</f>
        <v>10.379905884377466</v>
      </c>
      <c r="M23" s="132">
        <f>IF(SER_hh_fech!M23=0,0,SER_hh_fech!M23/SER_summary!M$26)</f>
        <v>10.138550947836947</v>
      </c>
      <c r="N23" s="132">
        <f>IF(SER_hh_fech!N23=0,0,SER_hh_fech!N23/SER_summary!N$26)</f>
        <v>9.7092293326556103</v>
      </c>
      <c r="O23" s="132">
        <f>IF(SER_hh_fech!O23=0,0,SER_hh_fech!O23/SER_summary!O$26)</f>
        <v>9.7230435207668897</v>
      </c>
      <c r="P23" s="132">
        <f>IF(SER_hh_fech!P23=0,0,SER_hh_fech!P23/SER_summary!P$26)</f>
        <v>10.091083277950675</v>
      </c>
      <c r="Q23" s="132">
        <f>IF(SER_hh_fech!Q23=0,0,SER_hh_fech!Q23/SER_summary!Q$26)</f>
        <v>9.702964253441138</v>
      </c>
      <c r="R23" s="132">
        <f>IF(SER_hh_fech!R23=0,0,SER_hh_fech!R23/SER_summary!R$26)</f>
        <v>8.9497357516457701</v>
      </c>
      <c r="S23" s="132">
        <f>IF(SER_hh_fech!S23=0,0,SER_hh_fech!S23/SER_summary!S$26)</f>
        <v>8.6040305508449855</v>
      </c>
      <c r="T23" s="132">
        <f>IF(SER_hh_fech!T23=0,0,SER_hh_fech!T23/SER_summary!T$26)</f>
        <v>10.28333305935495</v>
      </c>
      <c r="U23" s="132">
        <f>IF(SER_hh_fech!U23=0,0,SER_hh_fech!U23/SER_summary!U$26)</f>
        <v>9.3751544400897995</v>
      </c>
      <c r="V23" s="132">
        <f>IF(SER_hh_fech!V23=0,0,SER_hh_fech!V23/SER_summary!V$26)</f>
        <v>8.3132092761485143</v>
      </c>
      <c r="W23" s="132">
        <f>IF(SER_hh_fech!W23=0,0,SER_hh_fech!W23/SER_summary!W$26)</f>
        <v>7.7315250220738703</v>
      </c>
      <c r="X23" s="132">
        <f>IF(SER_hh_fech!X23=0,0,SER_hh_fech!X23/SER_summary!X$26)</f>
        <v>7.6894118577586843</v>
      </c>
      <c r="Y23" s="132">
        <f>IF(SER_hh_fech!Y23=0,0,SER_hh_fech!Y23/SER_summary!Y$26)</f>
        <v>7.4048226652735947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0</v>
      </c>
      <c r="C25" s="132">
        <f>IF(SER_hh_fech!C25=0,0,SER_hh_fech!C25/SER_summary!C$26)</f>
        <v>0</v>
      </c>
      <c r="D25" s="132">
        <f>IF(SER_hh_fech!D25=0,0,SER_hh_fech!D25/SER_summary!D$26)</f>
        <v>0</v>
      </c>
      <c r="E25" s="132">
        <f>IF(SER_hh_fech!E25=0,0,SER_hh_fech!E25/SER_summary!E$26)</f>
        <v>10.859705061419467</v>
      </c>
      <c r="F25" s="132">
        <f>IF(SER_hh_fech!F25=0,0,SER_hh_fech!F25/SER_summary!F$26)</f>
        <v>8.4879428087786319</v>
      </c>
      <c r="G25" s="132">
        <f>IF(SER_hh_fech!G25=0,0,SER_hh_fech!G25/SER_summary!G$26)</f>
        <v>7.7303223075302574</v>
      </c>
      <c r="H25" s="132">
        <f>IF(SER_hh_fech!H25=0,0,SER_hh_fech!H25/SER_summary!H$26)</f>
        <v>7.7259400814107932</v>
      </c>
      <c r="I25" s="132">
        <f>IF(SER_hh_fech!I25=0,0,SER_hh_fech!I25/SER_summary!I$26)</f>
        <v>7.6325024484618611</v>
      </c>
      <c r="J25" s="132">
        <f>IF(SER_hh_fech!J25=0,0,SER_hh_fech!J25/SER_summary!J$26)</f>
        <v>7.6805941139649923</v>
      </c>
      <c r="K25" s="132">
        <f>IF(SER_hh_fech!K25=0,0,SER_hh_fech!K25/SER_summary!K$26)</f>
        <v>7.7350951593442865</v>
      </c>
      <c r="L25" s="132">
        <f>IF(SER_hh_fech!L25=0,0,SER_hh_fech!L25/SER_summary!L$26)</f>
        <v>7.7357570195619854</v>
      </c>
      <c r="M25" s="132">
        <f>IF(SER_hh_fech!M25=0,0,SER_hh_fech!M25/SER_summary!M$26)</f>
        <v>8.0639586155098186</v>
      </c>
      <c r="N25" s="132">
        <f>IF(SER_hh_fech!N25=0,0,SER_hh_fech!N25/SER_summary!N$26)</f>
        <v>8.6218905094221778</v>
      </c>
      <c r="O25" s="132">
        <f>IF(SER_hh_fech!O25=0,0,SER_hh_fech!O25/SER_summary!O$26)</f>
        <v>6.7461872538997456</v>
      </c>
      <c r="P25" s="132">
        <f>IF(SER_hh_fech!P25=0,0,SER_hh_fech!P25/SER_summary!P$26)</f>
        <v>7.6323683954800732</v>
      </c>
      <c r="Q25" s="132">
        <f>IF(SER_hh_fech!Q25=0,0,SER_hh_fech!Q25/SER_summary!Q$26)</f>
        <v>8.2370871726926733</v>
      </c>
      <c r="R25" s="132">
        <f>IF(SER_hh_fech!R25=0,0,SER_hh_fech!R25/SER_summary!R$26)</f>
        <v>7.3219899651433238</v>
      </c>
      <c r="S25" s="132">
        <f>IF(SER_hh_fech!S25=0,0,SER_hh_fech!S25/SER_summary!S$26)</f>
        <v>7.8231890864137243</v>
      </c>
      <c r="T25" s="132">
        <f>IF(SER_hh_fech!T25=0,0,SER_hh_fech!T25/SER_summary!T$26)</f>
        <v>8.135747667252474</v>
      </c>
      <c r="U25" s="132">
        <f>IF(SER_hh_fech!U25=0,0,SER_hh_fech!U25/SER_summary!U$26)</f>
        <v>7.9646824619526706</v>
      </c>
      <c r="V25" s="132">
        <f>IF(SER_hh_fech!V25=0,0,SER_hh_fech!V25/SER_summary!V$26)</f>
        <v>6.7585037032367836</v>
      </c>
      <c r="W25" s="132">
        <f>IF(SER_hh_fech!W25=0,0,SER_hh_fech!W25/SER_summary!W$26)</f>
        <v>7.2334782766919972</v>
      </c>
      <c r="X25" s="132">
        <f>IF(SER_hh_fech!X25=0,0,SER_hh_fech!X25/SER_summary!X$26)</f>
        <v>6.7340454365342763</v>
      </c>
      <c r="Y25" s="132">
        <f>IF(SER_hh_fech!Y25=0,0,SER_hh_fech!Y25/SER_summary!Y$26)</f>
        <v>6.567052002050179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9.1402374461136251</v>
      </c>
      <c r="C26" s="65">
        <f>IF(SER_hh_fech!C26=0,0,SER_hh_fech!C26/SER_summary!C$26)</f>
        <v>8.5825994202866305</v>
      </c>
      <c r="D26" s="65">
        <f>IF(SER_hh_fech!D26=0,0,SER_hh_fech!D26/SER_summary!D$26)</f>
        <v>8.8367388403171407</v>
      </c>
      <c r="E26" s="65">
        <f>IF(SER_hh_fech!E26=0,0,SER_hh_fech!E26/SER_summary!E$26)</f>
        <v>7.8588403160276741</v>
      </c>
      <c r="F26" s="65">
        <f>IF(SER_hh_fech!F26=0,0,SER_hh_fech!F26/SER_summary!F$26)</f>
        <v>8.8061493846101353</v>
      </c>
      <c r="G26" s="65">
        <f>IF(SER_hh_fech!G26=0,0,SER_hh_fech!G26/SER_summary!G$26)</f>
        <v>9.0688784888811327</v>
      </c>
      <c r="H26" s="65">
        <f>IF(SER_hh_fech!H26=0,0,SER_hh_fech!H26/SER_summary!H$26)</f>
        <v>8.6229404822967837</v>
      </c>
      <c r="I26" s="65">
        <f>IF(SER_hh_fech!I26=0,0,SER_hh_fech!I26/SER_summary!I$26)</f>
        <v>8.8646525166632486</v>
      </c>
      <c r="J26" s="65">
        <f>IF(SER_hh_fech!J26=0,0,SER_hh_fech!J26/SER_summary!J$26)</f>
        <v>8.6703737075842611</v>
      </c>
      <c r="K26" s="65">
        <f>IF(SER_hh_fech!K26=0,0,SER_hh_fech!K26/SER_summary!K$26)</f>
        <v>9.098644030013082</v>
      </c>
      <c r="L26" s="65">
        <f>IF(SER_hh_fech!L26=0,0,SER_hh_fech!L26/SER_summary!L$26)</f>
        <v>9.027408317442049</v>
      </c>
      <c r="M26" s="65">
        <f>IF(SER_hh_fech!M26=0,0,SER_hh_fech!M26/SER_summary!M$26)</f>
        <v>8.1771368898100327</v>
      </c>
      <c r="N26" s="65">
        <f>IF(SER_hh_fech!N26=0,0,SER_hh_fech!N26/SER_summary!N$26)</f>
        <v>8.6449364757672065</v>
      </c>
      <c r="O26" s="65">
        <f>IF(SER_hh_fech!O26=0,0,SER_hh_fech!O26/SER_summary!O$26)</f>
        <v>8.6503525490849267</v>
      </c>
      <c r="P26" s="65">
        <f>IF(SER_hh_fech!P26=0,0,SER_hh_fech!P26/SER_summary!P$26)</f>
        <v>8.2337591072961143</v>
      </c>
      <c r="Q26" s="65">
        <f>IF(SER_hh_fech!Q26=0,0,SER_hh_fech!Q26/SER_summary!Q$26)</f>
        <v>8.3623798401040581</v>
      </c>
      <c r="R26" s="65">
        <f>IF(SER_hh_fech!R26=0,0,SER_hh_fech!R26/SER_summary!R$26)</f>
        <v>8.9806140926627549</v>
      </c>
      <c r="S26" s="65">
        <f>IF(SER_hh_fech!S26=0,0,SER_hh_fech!S26/SER_summary!S$26)</f>
        <v>8.8927119792133595</v>
      </c>
      <c r="T26" s="65">
        <f>IF(SER_hh_fech!T26=0,0,SER_hh_fech!T26/SER_summary!T$26)</f>
        <v>8.6185430533231173</v>
      </c>
      <c r="U26" s="65">
        <f>IF(SER_hh_fech!U26=0,0,SER_hh_fech!U26/SER_summary!U$26)</f>
        <v>9.0987445612618298</v>
      </c>
      <c r="V26" s="65">
        <f>IF(SER_hh_fech!V26=0,0,SER_hh_fech!V26/SER_summary!V$26)</f>
        <v>7.143406345173827</v>
      </c>
      <c r="W26" s="65">
        <f>IF(SER_hh_fech!W26=0,0,SER_hh_fech!W26/SER_summary!W$26)</f>
        <v>9.7418017126728937</v>
      </c>
      <c r="X26" s="65">
        <f>IF(SER_hh_fech!X26=0,0,SER_hh_fech!X26/SER_summary!X$26)</f>
        <v>5.9681865235709264</v>
      </c>
      <c r="Y26" s="65">
        <f>IF(SER_hh_fech!Y26=0,0,SER_hh_fech!Y26/SER_summary!Y$26)</f>
        <v>5.7310798171145176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5.5741095700715781E-2</v>
      </c>
      <c r="C27" s="145">
        <f>IF(SER_hh_fech!C27=0,0,SER_hh_fech!C27/SER_summary!C$26)</f>
        <v>5.3953546618554317E-2</v>
      </c>
      <c r="D27" s="145">
        <f>IF(SER_hh_fech!D27=0,0,SER_hh_fech!D27/SER_summary!D$26)</f>
        <v>5.9466311734533518E-2</v>
      </c>
      <c r="E27" s="145">
        <f>IF(SER_hh_fech!E27=0,0,SER_hh_fech!E27/SER_summary!E$26)</f>
        <v>6.3260133596469287E-2</v>
      </c>
      <c r="F27" s="145">
        <f>IF(SER_hh_fech!F27=0,0,SER_hh_fech!F27/SER_summary!F$26)</f>
        <v>5.8465750873447526E-2</v>
      </c>
      <c r="G27" s="145">
        <f>IF(SER_hh_fech!G27=0,0,SER_hh_fech!G27/SER_summary!G$26)</f>
        <v>6.5379498060296901E-2</v>
      </c>
      <c r="H27" s="145">
        <f>IF(SER_hh_fech!H27=0,0,SER_hh_fech!H27/SER_summary!H$26)</f>
        <v>6.9840591814174097E-2</v>
      </c>
      <c r="I27" s="145">
        <f>IF(SER_hh_fech!I27=0,0,SER_hh_fech!I27/SER_summary!I$26)</f>
        <v>7.3557649691728663E-2</v>
      </c>
      <c r="J27" s="145">
        <f>IF(SER_hh_fech!J27=0,0,SER_hh_fech!J27/SER_summary!J$26)</f>
        <v>7.8465709997159669E-2</v>
      </c>
      <c r="K27" s="145">
        <f>IF(SER_hh_fech!K27=0,0,SER_hh_fech!K27/SER_summary!K$26)</f>
        <v>8.7716962780301583E-2</v>
      </c>
      <c r="L27" s="145">
        <f>IF(SER_hh_fech!L27=0,0,SER_hh_fech!L27/SER_summary!L$26)</f>
        <v>8.8795718295422224E-2</v>
      </c>
      <c r="M27" s="145">
        <f>IF(SER_hh_fech!M27=0,0,SER_hh_fech!M27/SER_summary!M$26)</f>
        <v>9.6691026079789771E-2</v>
      </c>
      <c r="N27" s="145">
        <f>IF(SER_hh_fech!N27=0,0,SER_hh_fech!N27/SER_summary!N$26)</f>
        <v>9.5834605027177652E-2</v>
      </c>
      <c r="O27" s="145">
        <f>IF(SER_hh_fech!O27=0,0,SER_hh_fech!O27/SER_summary!O$26)</f>
        <v>9.2973277190362247E-2</v>
      </c>
      <c r="P27" s="145">
        <f>IF(SER_hh_fech!P27=0,0,SER_hh_fech!P27/SER_summary!P$26)</f>
        <v>9.6419847125465516E-2</v>
      </c>
      <c r="Q27" s="145">
        <f>IF(SER_hh_fech!Q27=0,0,SER_hh_fech!Q27/SER_summary!Q$26)</f>
        <v>9.9654424045521856E-2</v>
      </c>
      <c r="R27" s="145">
        <f>IF(SER_hh_fech!R27=0,0,SER_hh_fech!R27/SER_summary!R$26)</f>
        <v>9.6622557360793282E-2</v>
      </c>
      <c r="S27" s="145">
        <f>IF(SER_hh_fech!S27=0,0,SER_hh_fech!S27/SER_summary!S$26)</f>
        <v>9.6269993138754173E-2</v>
      </c>
      <c r="T27" s="145">
        <f>IF(SER_hh_fech!T27=0,0,SER_hh_fech!T27/SER_summary!T$26)</f>
        <v>0.10678425234962616</v>
      </c>
      <c r="U27" s="145">
        <f>IF(SER_hh_fech!U27=0,0,SER_hh_fech!U27/SER_summary!U$26)</f>
        <v>0.10055038446788225</v>
      </c>
      <c r="V27" s="145">
        <f>IF(SER_hh_fech!V27=0,0,SER_hh_fech!V27/SER_summary!V$26)</f>
        <v>0.1039982892546317</v>
      </c>
      <c r="W27" s="145">
        <f>IF(SER_hh_fech!W27=0,0,SER_hh_fech!W27/SER_summary!W$26)</f>
        <v>9.8125269916654254E-2</v>
      </c>
      <c r="X27" s="145">
        <f>IF(SER_hh_fech!X27=0,0,SER_hh_fech!X27/SER_summary!X$26)</f>
        <v>0.11021286557481548</v>
      </c>
      <c r="Y27" s="145">
        <f>IF(SER_hh_fech!Y27=0,0,SER_hh_fech!Y27/SER_summary!Y$26)</f>
        <v>0.1023412386520383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3.8537895365871635</v>
      </c>
      <c r="C28" s="146">
        <f>IF(SER_hh_fech!C28=0,0,SER_hh_fech!C28/SER_summary!C$26)</f>
        <v>3.8566875506640215</v>
      </c>
      <c r="D28" s="146">
        <f>IF(SER_hh_fech!D28=0,0,SER_hh_fech!D28/SER_summary!D$26)</f>
        <v>3.8148239038880072</v>
      </c>
      <c r="E28" s="146">
        <f>IF(SER_hh_fech!E28=0,0,SER_hh_fech!E28/SER_summary!E$26)</f>
        <v>4.0124208994282204</v>
      </c>
      <c r="F28" s="146">
        <f>IF(SER_hh_fech!F28=0,0,SER_hh_fech!F28/SER_summary!F$26)</f>
        <v>3.7372566820308566</v>
      </c>
      <c r="G28" s="146">
        <f>IF(SER_hh_fech!G28=0,0,SER_hh_fech!G28/SER_summary!G$26)</f>
        <v>3.7930114012277243</v>
      </c>
      <c r="H28" s="146">
        <f>IF(SER_hh_fech!H28=0,0,SER_hh_fech!H28/SER_summary!H$26)</f>
        <v>3.849168658020528</v>
      </c>
      <c r="I28" s="146">
        <f>IF(SER_hh_fech!I28=0,0,SER_hh_fech!I28/SER_summary!I$26)</f>
        <v>3.4768563708070919</v>
      </c>
      <c r="J28" s="146">
        <f>IF(SER_hh_fech!J28=0,0,SER_hh_fech!J28/SER_summary!J$26)</f>
        <v>3.8226017764285309</v>
      </c>
      <c r="K28" s="146">
        <f>IF(SER_hh_fech!K28=0,0,SER_hh_fech!K28/SER_summary!K$26)</f>
        <v>3.8738556248465414</v>
      </c>
      <c r="L28" s="146">
        <f>IF(SER_hh_fech!L28=0,0,SER_hh_fech!L28/SER_summary!L$26)</f>
        <v>3.8699327170168236</v>
      </c>
      <c r="M28" s="146">
        <f>IF(SER_hh_fech!M28=0,0,SER_hh_fech!M28/SER_summary!M$26)</f>
        <v>3.6939009527523807</v>
      </c>
      <c r="N28" s="146">
        <f>IF(SER_hh_fech!N28=0,0,SER_hh_fech!N28/SER_summary!N$26)</f>
        <v>3.7402673817009706</v>
      </c>
      <c r="O28" s="146">
        <f>IF(SER_hh_fech!O28=0,0,SER_hh_fech!O28/SER_summary!O$26)</f>
        <v>3.529447751764454</v>
      </c>
      <c r="P28" s="146">
        <f>IF(SER_hh_fech!P28=0,0,SER_hh_fech!P28/SER_summary!P$26)</f>
        <v>4.0510097633903124</v>
      </c>
      <c r="Q28" s="146">
        <f>IF(SER_hh_fech!Q28=0,0,SER_hh_fech!Q28/SER_summary!Q$26)</f>
        <v>4.06913496401625</v>
      </c>
      <c r="R28" s="146">
        <f>IF(SER_hh_fech!R28=0,0,SER_hh_fech!R28/SER_summary!R$26)</f>
        <v>3.969064577933072</v>
      </c>
      <c r="S28" s="146">
        <f>IF(SER_hh_fech!S28=0,0,SER_hh_fech!S28/SER_summary!S$26)</f>
        <v>3.8014327018084657</v>
      </c>
      <c r="T28" s="146">
        <f>IF(SER_hh_fech!T28=0,0,SER_hh_fech!T28/SER_summary!T$26)</f>
        <v>4.4060920909372809</v>
      </c>
      <c r="U28" s="146">
        <f>IF(SER_hh_fech!U28=0,0,SER_hh_fech!U28/SER_summary!U$26)</f>
        <v>4.290615195097593</v>
      </c>
      <c r="V28" s="146">
        <f>IF(SER_hh_fech!V28=0,0,SER_hh_fech!V28/SER_summary!V$26)</f>
        <v>4.0382030544898395</v>
      </c>
      <c r="W28" s="146">
        <f>IF(SER_hh_fech!W28=0,0,SER_hh_fech!W28/SER_summary!W$26)</f>
        <v>3.7680022845533627</v>
      </c>
      <c r="X28" s="146">
        <f>IF(SER_hh_fech!X28=0,0,SER_hh_fech!X28/SER_summary!X$26)</f>
        <v>3.7108149205628393</v>
      </c>
      <c r="Y28" s="146">
        <f>IF(SER_hh_fech!Y28=0,0,SER_hh_fech!Y28/SER_summary!Y$26)</f>
        <v>3.9318744889962258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11.525175329191754</v>
      </c>
      <c r="C29" s="130">
        <f>IF(SER_hh_fech!C29=0,0,SER_hh_fech!C29/SER_summary!C$26)</f>
        <v>11.247343734613638</v>
      </c>
      <c r="D29" s="130">
        <f>IF(SER_hh_fech!D29=0,0,SER_hh_fech!D29/SER_summary!D$26)</f>
        <v>11.776325846244148</v>
      </c>
      <c r="E29" s="130">
        <f>IF(SER_hh_fech!E29=0,0,SER_hh_fech!E29/SER_summary!E$26)</f>
        <v>12.251344814642561</v>
      </c>
      <c r="F29" s="130">
        <f>IF(SER_hh_fech!F29=0,0,SER_hh_fech!F29/SER_summary!F$26)</f>
        <v>12.187056263837668</v>
      </c>
      <c r="G29" s="130">
        <f>IF(SER_hh_fech!G29=0,0,SER_hh_fech!G29/SER_summary!G$26)</f>
        <v>11.875073545484865</v>
      </c>
      <c r="H29" s="130">
        <f>IF(SER_hh_fech!H29=0,0,SER_hh_fech!H29/SER_summary!H$26)</f>
        <v>11.567311358863506</v>
      </c>
      <c r="I29" s="130">
        <f>IF(SER_hh_fech!I29=0,0,SER_hh_fech!I29/SER_summary!I$26)</f>
        <v>11.541479402279384</v>
      </c>
      <c r="J29" s="130">
        <f>IF(SER_hh_fech!J29=0,0,SER_hh_fech!J29/SER_summary!J$26)</f>
        <v>11.225307928352978</v>
      </c>
      <c r="K29" s="130">
        <f>IF(SER_hh_fech!K29=0,0,SER_hh_fech!K29/SER_summary!K$26)</f>
        <v>11.557370925308804</v>
      </c>
      <c r="L29" s="130">
        <f>IF(SER_hh_fech!L29=0,0,SER_hh_fech!L29/SER_summary!L$26)</f>
        <v>11.621940476889746</v>
      </c>
      <c r="M29" s="130">
        <f>IF(SER_hh_fech!M29=0,0,SER_hh_fech!M29/SER_summary!M$26)</f>
        <v>11.317741637256255</v>
      </c>
      <c r="N29" s="130">
        <f>IF(SER_hh_fech!N29=0,0,SER_hh_fech!N29/SER_summary!N$26)</f>
        <v>11.350925602420933</v>
      </c>
      <c r="O29" s="130">
        <f>IF(SER_hh_fech!O29=0,0,SER_hh_fech!O29/SER_summary!O$26)</f>
        <v>11.533871649175701</v>
      </c>
      <c r="P29" s="130">
        <f>IF(SER_hh_fech!P29=0,0,SER_hh_fech!P29/SER_summary!P$26)</f>
        <v>11.961296527890054</v>
      </c>
      <c r="Q29" s="130">
        <f>IF(SER_hh_fech!Q29=0,0,SER_hh_fech!Q29/SER_summary!Q$26)</f>
        <v>11.820680340693938</v>
      </c>
      <c r="R29" s="130">
        <f>IF(SER_hh_fech!R29=0,0,SER_hh_fech!R29/SER_summary!R$26)</f>
        <v>11.689488098144395</v>
      </c>
      <c r="S29" s="130">
        <f>IF(SER_hh_fech!S29=0,0,SER_hh_fech!S29/SER_summary!S$26)</f>
        <v>11.986484134144035</v>
      </c>
      <c r="T29" s="130">
        <f>IF(SER_hh_fech!T29=0,0,SER_hh_fech!T29/SER_summary!T$26)</f>
        <v>12.213072152408525</v>
      </c>
      <c r="U29" s="130">
        <f>IF(SER_hh_fech!U29=0,0,SER_hh_fech!U29/SER_summary!U$26)</f>
        <v>12.431322192420984</v>
      </c>
      <c r="V29" s="130">
        <f>IF(SER_hh_fech!V29=0,0,SER_hh_fech!V29/SER_summary!V$26)</f>
        <v>11.206322367073398</v>
      </c>
      <c r="W29" s="130">
        <f>IF(SER_hh_fech!W29=0,0,SER_hh_fech!W29/SER_summary!W$26)</f>
        <v>11.43043629384338</v>
      </c>
      <c r="X29" s="130">
        <f>IF(SER_hh_fech!X29=0,0,SER_hh_fech!X29/SER_summary!X$26)</f>
        <v>10.147079154003476</v>
      </c>
      <c r="Y29" s="130">
        <f>IF(SER_hh_fech!Y29=0,0,SER_hh_fech!Y29/SER_summary!Y$26)</f>
        <v>9.8564534326596576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14.322760065720702</v>
      </c>
      <c r="C30" s="132">
        <f>IF(SER_hh_fech!C30=0,0,SER_hh_fech!C30/SER_summary!C$26)</f>
        <v>11.959525427865975</v>
      </c>
      <c r="D30" s="132">
        <f>IF(SER_hh_fech!D30=0,0,SER_hh_fech!D30/SER_summary!D$26)</f>
        <v>8.7623824417829006</v>
      </c>
      <c r="E30" s="132">
        <f>IF(SER_hh_fech!E30=0,0,SER_hh_fech!E30/SER_summary!E$26)</f>
        <v>15.11462754249094</v>
      </c>
      <c r="F30" s="132">
        <f>IF(SER_hh_fech!F30=0,0,SER_hh_fech!F30/SER_summary!F$26)</f>
        <v>11.877570075831279</v>
      </c>
      <c r="G30" s="132">
        <f>IF(SER_hh_fech!G30=0,0,SER_hh_fech!G30/SER_summary!G$26)</f>
        <v>19.056720811429471</v>
      </c>
      <c r="H30" s="132">
        <f>IF(SER_hh_fech!H30=0,0,SER_hh_fech!H30/SER_summary!H$26)</f>
        <v>12.198656788165556</v>
      </c>
      <c r="I30" s="132">
        <f>IF(SER_hh_fech!I30=0,0,SER_hh_fech!I30/SER_summary!I$26)</f>
        <v>11.497362849504361</v>
      </c>
      <c r="J30" s="132">
        <f>IF(SER_hh_fech!J30=0,0,SER_hh_fech!J30/SER_summary!J$26)</f>
        <v>13.625697888740907</v>
      </c>
      <c r="K30" s="132">
        <f>IF(SER_hh_fech!K30=0,0,SER_hh_fech!K30/SER_summary!K$26)</f>
        <v>12.305257519688718</v>
      </c>
      <c r="L30" s="132">
        <f>IF(SER_hh_fech!L30=0,0,SER_hh_fech!L30/SER_summary!L$26)</f>
        <v>10.458258262896749</v>
      </c>
      <c r="M30" s="132">
        <f>IF(SER_hh_fech!M30=0,0,SER_hh_fech!M30/SER_summary!M$26)</f>
        <v>10.379264156879845</v>
      </c>
      <c r="N30" s="132">
        <f>IF(SER_hh_fech!N30=0,0,SER_hh_fech!N30/SER_summary!N$26)</f>
        <v>11.585735073074765</v>
      </c>
      <c r="O30" s="132">
        <f>IF(SER_hh_fech!O30=0,0,SER_hh_fech!O30/SER_summary!O$26)</f>
        <v>15.469226264539738</v>
      </c>
      <c r="P30" s="132">
        <f>IF(SER_hh_fech!P30=0,0,SER_hh_fech!P30/SER_summary!P$26)</f>
        <v>13.128565606274174</v>
      </c>
      <c r="Q30" s="132">
        <f>IF(SER_hh_fech!Q30=0,0,SER_hh_fech!Q30/SER_summary!Q$26)</f>
        <v>11.381254707765667</v>
      </c>
      <c r="R30" s="132">
        <f>IF(SER_hh_fech!R30=0,0,SER_hh_fech!R30/SER_summary!R$26)</f>
        <v>15.501419483354455</v>
      </c>
      <c r="S30" s="132">
        <f>IF(SER_hh_fech!S30=0,0,SER_hh_fech!S30/SER_summary!S$26)</f>
        <v>10.279496685863339</v>
      </c>
      <c r="T30" s="132">
        <f>IF(SER_hh_fech!T30=0,0,SER_hh_fech!T30/SER_summary!T$26)</f>
        <v>13.423921315200586</v>
      </c>
      <c r="U30" s="132">
        <f>IF(SER_hh_fech!U30=0,0,SER_hh_fech!U30/SER_summary!U$26)</f>
        <v>14.138331522051523</v>
      </c>
      <c r="V30" s="132">
        <f>IF(SER_hh_fech!V30=0,0,SER_hh_fech!V30/SER_summary!V$26)</f>
        <v>14.013117338758722</v>
      </c>
      <c r="W30" s="132">
        <f>IF(SER_hh_fech!W30=0,0,SER_hh_fech!W30/SER_summary!W$26)</f>
        <v>11.657760948697508</v>
      </c>
      <c r="X30" s="132">
        <f>IF(SER_hh_fech!X30=0,0,SER_hh_fech!X30/SER_summary!X$26)</f>
        <v>15.163857239420965</v>
      </c>
      <c r="Y30" s="132">
        <f>IF(SER_hh_fech!Y30=0,0,SER_hh_fech!Y30/SER_summary!Y$26)</f>
        <v>5.1651814138302736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12.526160732732151</v>
      </c>
      <c r="C31" s="132">
        <f>IF(SER_hh_fech!C31=0,0,SER_hh_fech!C31/SER_summary!C$26)</f>
        <v>12.24125189999897</v>
      </c>
      <c r="D31" s="132">
        <f>IF(SER_hh_fech!D31=0,0,SER_hh_fech!D31/SER_summary!D$26)</f>
        <v>12.990562124811611</v>
      </c>
      <c r="E31" s="132">
        <f>IF(SER_hh_fech!E31=0,0,SER_hh_fech!E31/SER_summary!E$26)</f>
        <v>13.229789098248196</v>
      </c>
      <c r="F31" s="132">
        <f>IF(SER_hh_fech!F31=0,0,SER_hh_fech!F31/SER_summary!F$26)</f>
        <v>13.380800042037906</v>
      </c>
      <c r="G31" s="132">
        <f>IF(SER_hh_fech!G31=0,0,SER_hh_fech!G31/SER_summary!G$26)</f>
        <v>12.869799015901858</v>
      </c>
      <c r="H31" s="132">
        <f>IF(SER_hh_fech!H31=0,0,SER_hh_fech!H31/SER_summary!H$26)</f>
        <v>12.841037203104005</v>
      </c>
      <c r="I31" s="132">
        <f>IF(SER_hh_fech!I31=0,0,SER_hh_fech!I31/SER_summary!I$26)</f>
        <v>12.558945295925248</v>
      </c>
      <c r="J31" s="132">
        <f>IF(SER_hh_fech!J31=0,0,SER_hh_fech!J31/SER_summary!J$26)</f>
        <v>12.615707787232417</v>
      </c>
      <c r="K31" s="132">
        <f>IF(SER_hh_fech!K31=0,0,SER_hh_fech!K31/SER_summary!K$26)</f>
        <v>12.927910897210747</v>
      </c>
      <c r="L31" s="132">
        <f>IF(SER_hh_fech!L31=0,0,SER_hh_fech!L31/SER_summary!L$26)</f>
        <v>12.825831721269564</v>
      </c>
      <c r="M31" s="132">
        <f>IF(SER_hh_fech!M31=0,0,SER_hh_fech!M31/SER_summary!M$26)</f>
        <v>12.656107317695049</v>
      </c>
      <c r="N31" s="132">
        <f>IF(SER_hh_fech!N31=0,0,SER_hh_fech!N31/SER_summary!N$26)</f>
        <v>12.347637428162122</v>
      </c>
      <c r="O31" s="132">
        <f>IF(SER_hh_fech!O31=0,0,SER_hh_fech!O31/SER_summary!O$26)</f>
        <v>11.892892734933644</v>
      </c>
      <c r="P31" s="132">
        <f>IF(SER_hh_fech!P31=0,0,SER_hh_fech!P31/SER_summary!P$26)</f>
        <v>14.426931872969348</v>
      </c>
      <c r="Q31" s="132">
        <f>IF(SER_hh_fech!Q31=0,0,SER_hh_fech!Q31/SER_summary!Q$26)</f>
        <v>13.099070489272844</v>
      </c>
      <c r="R31" s="132">
        <f>IF(SER_hh_fech!R31=0,0,SER_hh_fech!R31/SER_summary!R$26)</f>
        <v>12.276838872177864</v>
      </c>
      <c r="S31" s="132">
        <f>IF(SER_hh_fech!S31=0,0,SER_hh_fech!S31/SER_summary!S$26)</f>
        <v>12.65437621778165</v>
      </c>
      <c r="T31" s="132">
        <f>IF(SER_hh_fech!T31=0,0,SER_hh_fech!T31/SER_summary!T$26)</f>
        <v>13.463070350283587</v>
      </c>
      <c r="U31" s="132">
        <f>IF(SER_hh_fech!U31=0,0,SER_hh_fech!U31/SER_summary!U$26)</f>
        <v>14.067502994537705</v>
      </c>
      <c r="V31" s="132">
        <f>IF(SER_hh_fech!V31=0,0,SER_hh_fech!V31/SER_summary!V$26)</f>
        <v>11.281119040589212</v>
      </c>
      <c r="W31" s="132">
        <f>IF(SER_hh_fech!W31=0,0,SER_hh_fech!W31/SER_summary!W$26)</f>
        <v>10.461761383880033</v>
      </c>
      <c r="X31" s="132">
        <f>IF(SER_hh_fech!X31=0,0,SER_hh_fech!X31/SER_summary!X$26)</f>
        <v>10.529854176613977</v>
      </c>
      <c r="Y31" s="132">
        <f>IF(SER_hh_fech!Y31=0,0,SER_hh_fech!Y31/SER_summary!Y$26)</f>
        <v>10.407169827061804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19.436248487913453</v>
      </c>
      <c r="F32" s="132">
        <f>IF(SER_hh_fech!F32=0,0,SER_hh_fech!F32/SER_summary!F$26)</f>
        <v>14.638469828536037</v>
      </c>
      <c r="G32" s="132">
        <f>IF(SER_hh_fech!G32=0,0,SER_hh_fech!G32/SER_summary!G$26)</f>
        <v>14.013172572448561</v>
      </c>
      <c r="H32" s="132">
        <f>IF(SER_hh_fech!H32=0,0,SER_hh_fech!H32/SER_summary!H$26)</f>
        <v>13.491693284924688</v>
      </c>
      <c r="I32" s="132">
        <f>IF(SER_hh_fech!I32=0,0,SER_hh_fech!I32/SER_summary!I$26)</f>
        <v>12.995414483713805</v>
      </c>
      <c r="J32" s="132">
        <f>IF(SER_hh_fech!J32=0,0,SER_hh_fech!J32/SER_summary!J$26)</f>
        <v>12.320604091845619</v>
      </c>
      <c r="K32" s="132">
        <f>IF(SER_hh_fech!K32=0,0,SER_hh_fech!K32/SER_summary!K$26)</f>
        <v>13.837300920835807</v>
      </c>
      <c r="L32" s="132">
        <f>IF(SER_hh_fech!L32=0,0,SER_hh_fech!L32/SER_summary!L$26)</f>
        <v>14.037666173064657</v>
      </c>
      <c r="M32" s="132">
        <f>IF(SER_hh_fech!M32=0,0,SER_hh_fech!M32/SER_summary!M$26)</f>
        <v>13.327757388162892</v>
      </c>
      <c r="N32" s="132">
        <f>IF(SER_hh_fech!N32=0,0,SER_hh_fech!N32/SER_summary!N$26)</f>
        <v>13.842812834165859</v>
      </c>
      <c r="O32" s="132">
        <f>IF(SER_hh_fech!O32=0,0,SER_hh_fech!O32/SER_summary!O$26)</f>
        <v>13.80073913263433</v>
      </c>
      <c r="P32" s="132">
        <f>IF(SER_hh_fech!P32=0,0,SER_hh_fech!P32/SER_summary!P$26)</f>
        <v>13.781224176548372</v>
      </c>
      <c r="Q32" s="132">
        <f>IF(SER_hh_fech!Q32=0,0,SER_hh_fech!Q32/SER_summary!Q$26)</f>
        <v>14.034221597186976</v>
      </c>
      <c r="R32" s="132">
        <f>IF(SER_hh_fech!R32=0,0,SER_hh_fech!R32/SER_summary!R$26)</f>
        <v>13.354337634061698</v>
      </c>
      <c r="S32" s="132">
        <f>IF(SER_hh_fech!S32=0,0,SER_hh_fech!S32/SER_summary!S$26)</f>
        <v>13.846238939055524</v>
      </c>
      <c r="T32" s="132">
        <f>IF(SER_hh_fech!T32=0,0,SER_hh_fech!T32/SER_summary!T$26)</f>
        <v>14.484848821854053</v>
      </c>
      <c r="U32" s="132">
        <f>IF(SER_hh_fech!U32=0,0,SER_hh_fech!U32/SER_summary!U$26)</f>
        <v>14.494096757065476</v>
      </c>
      <c r="V32" s="132">
        <f>IF(SER_hh_fech!V32=0,0,SER_hh_fech!V32/SER_summary!V$26)</f>
        <v>12.031739625827937</v>
      </c>
      <c r="W32" s="132">
        <f>IF(SER_hh_fech!W32=0,0,SER_hh_fech!W32/SER_summary!W$26)</f>
        <v>13.238555624740062</v>
      </c>
      <c r="X32" s="132">
        <f>IF(SER_hh_fech!X32=0,0,SER_hh_fech!X32/SER_summary!X$26)</f>
        <v>10.823552399630398</v>
      </c>
      <c r="Y32" s="132">
        <f>IF(SER_hh_fech!Y32=0,0,SER_hh_fech!Y32/SER_summary!Y$26)</f>
        <v>10.973955391495378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9.5333433377432808</v>
      </c>
      <c r="C33" s="68">
        <f>IF(SER_hh_fech!C33=0,0,SER_hh_fech!C33/SER_summary!C$26)</f>
        <v>9.3290641215335093</v>
      </c>
      <c r="D33" s="68">
        <f>IF(SER_hh_fech!D33=0,0,SER_hh_fech!D33/SER_summary!D$26)</f>
        <v>9.8053870539788512</v>
      </c>
      <c r="E33" s="68">
        <f>IF(SER_hh_fech!E33=0,0,SER_hh_fech!E33/SER_summary!E$26)</f>
        <v>10.24771995881604</v>
      </c>
      <c r="F33" s="68">
        <f>IF(SER_hh_fech!F33=0,0,SER_hh_fech!F33/SER_summary!F$26)</f>
        <v>10.171078004044391</v>
      </c>
      <c r="G33" s="68">
        <f>IF(SER_hh_fech!G33=0,0,SER_hh_fech!G33/SER_summary!G$26)</f>
        <v>9.4865754285470398</v>
      </c>
      <c r="H33" s="68">
        <f>IF(SER_hh_fech!H33=0,0,SER_hh_fech!H33/SER_summary!H$26)</f>
        <v>9.4337400808919369</v>
      </c>
      <c r="I33" s="68">
        <f>IF(SER_hh_fech!I33=0,0,SER_hh_fech!I33/SER_summary!I$26)</f>
        <v>9.9882195610391591</v>
      </c>
      <c r="J33" s="68">
        <f>IF(SER_hh_fech!J33=0,0,SER_hh_fech!J33/SER_summary!J$26)</f>
        <v>9.0028383185157761</v>
      </c>
      <c r="K33" s="68">
        <f>IF(SER_hh_fech!K33=0,0,SER_hh_fech!K33/SER_summary!K$26)</f>
        <v>9.7473823737522949</v>
      </c>
      <c r="L33" s="68">
        <f>IF(SER_hh_fech!L33=0,0,SER_hh_fech!L33/SER_summary!L$26)</f>
        <v>10.326443329305842</v>
      </c>
      <c r="M33" s="68">
        <f>IF(SER_hh_fech!M33=0,0,SER_hh_fech!M33/SER_summary!M$26)</f>
        <v>9.9729632629902376</v>
      </c>
      <c r="N33" s="68">
        <f>IF(SER_hh_fech!N33=0,0,SER_hh_fech!N33/SER_summary!N$26)</f>
        <v>10.229491388767977</v>
      </c>
      <c r="O33" s="68">
        <f>IF(SER_hh_fech!O33=0,0,SER_hh_fech!O33/SER_summary!O$26)</f>
        <v>10.741092506479923</v>
      </c>
      <c r="P33" s="68">
        <f>IF(SER_hh_fech!P33=0,0,SER_hh_fech!P33/SER_summary!P$26)</f>
        <v>8.0847055985206779</v>
      </c>
      <c r="Q33" s="68">
        <f>IF(SER_hh_fech!Q33=0,0,SER_hh_fech!Q33/SER_summary!Q$26)</f>
        <v>9.8048838642753786</v>
      </c>
      <c r="R33" s="68">
        <f>IF(SER_hh_fech!R33=0,0,SER_hh_fech!R33/SER_summary!R$26)</f>
        <v>10.323144596123859</v>
      </c>
      <c r="S33" s="68">
        <f>IF(SER_hh_fech!S33=0,0,SER_hh_fech!S33/SER_summary!S$26)</f>
        <v>10.853755220743041</v>
      </c>
      <c r="T33" s="68">
        <f>IF(SER_hh_fech!T33=0,0,SER_hh_fech!T33/SER_summary!T$26)</f>
        <v>9.1172410695658659</v>
      </c>
      <c r="U33" s="68">
        <f>IF(SER_hh_fech!U33=0,0,SER_hh_fech!U33/SER_summary!U$26)</f>
        <v>7.8290352730528525</v>
      </c>
      <c r="V33" s="68">
        <f>IF(SER_hh_fech!V33=0,0,SER_hh_fech!V33/SER_summary!V$26)</f>
        <v>10.587708173245661</v>
      </c>
      <c r="W33" s="68">
        <f>IF(SER_hh_fech!W33=0,0,SER_hh_fech!W33/SER_summary!W$26)</f>
        <v>15.291312922289327</v>
      </c>
      <c r="X33" s="68">
        <f>IF(SER_hh_fech!X33=0,0,SER_hh_fech!X33/SER_summary!X$26)</f>
        <v>7.1073320808259899</v>
      </c>
      <c r="Y33" s="68">
        <f>IF(SER_hh_fech!Y33=0,0,SER_hh_fech!Y33/SER_summary!Y$26)</f>
        <v>6.3641699227979664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47.999840271310013</v>
      </c>
      <c r="C3" s="125">
        <f>IF(SER_hh_tesh!C3=0,0,SER_hh_tesh!C3/SER_summary!C$26)</f>
        <v>49.422083730114835</v>
      </c>
      <c r="D3" s="125">
        <f>IF(SER_hh_tesh!D3=0,0,SER_hh_tesh!D3/SER_summary!D$26)</f>
        <v>49.956404942067401</v>
      </c>
      <c r="E3" s="125">
        <f>IF(SER_hh_tesh!E3=0,0,SER_hh_tesh!E3/SER_summary!E$26)</f>
        <v>60.820869194117641</v>
      </c>
      <c r="F3" s="125">
        <f>IF(SER_hh_tesh!F3=0,0,SER_hh_tesh!F3/SER_summary!F$26)</f>
        <v>58.798637444209817</v>
      </c>
      <c r="G3" s="125">
        <f>IF(SER_hh_tesh!G3=0,0,SER_hh_tesh!G3/SER_summary!G$26)</f>
        <v>56.119852267713632</v>
      </c>
      <c r="H3" s="125">
        <f>IF(SER_hh_tesh!H3=0,0,SER_hh_tesh!H3/SER_summary!H$26)</f>
        <v>60.683331293037746</v>
      </c>
      <c r="I3" s="125">
        <f>IF(SER_hh_tesh!I3=0,0,SER_hh_tesh!I3/SER_summary!I$26)</f>
        <v>50.573560905209817</v>
      </c>
      <c r="J3" s="125">
        <f>IF(SER_hh_tesh!J3=0,0,SER_hh_tesh!J3/SER_summary!J$26)</f>
        <v>56.24478185559056</v>
      </c>
      <c r="K3" s="125">
        <f>IF(SER_hh_tesh!K3=0,0,SER_hh_tesh!K3/SER_summary!K$26)</f>
        <v>55.303736870060256</v>
      </c>
      <c r="L3" s="125">
        <f>IF(SER_hh_tesh!L3=0,0,SER_hh_tesh!L3/SER_summary!L$26)</f>
        <v>60.83619720883506</v>
      </c>
      <c r="M3" s="125">
        <f>IF(SER_hh_tesh!M3=0,0,SER_hh_tesh!M3/SER_summary!M$26)</f>
        <v>51.400295969784352</v>
      </c>
      <c r="N3" s="125">
        <f>IF(SER_hh_tesh!N3=0,0,SER_hh_tesh!N3/SER_summary!N$26)</f>
        <v>55.202384848233805</v>
      </c>
      <c r="O3" s="125">
        <f>IF(SER_hh_tesh!O3=0,0,SER_hh_tesh!O3/SER_summary!O$26)</f>
        <v>58.689431277959187</v>
      </c>
      <c r="P3" s="125">
        <f>IF(SER_hh_tesh!P3=0,0,SER_hh_tesh!P3/SER_summary!P$26)</f>
        <v>51.67956013519575</v>
      </c>
      <c r="Q3" s="125">
        <f>IF(SER_hh_tesh!Q3=0,0,SER_hh_tesh!Q3/SER_summary!Q$26)</f>
        <v>56.237581298373797</v>
      </c>
      <c r="R3" s="125">
        <f>IF(SER_hh_tesh!R3=0,0,SER_hh_tesh!R3/SER_summary!R$26)</f>
        <v>54.59772220748129</v>
      </c>
      <c r="S3" s="125">
        <f>IF(SER_hh_tesh!S3=0,0,SER_hh_tesh!S3/SER_summary!S$26)</f>
        <v>54.668114243646237</v>
      </c>
      <c r="T3" s="125">
        <f>IF(SER_hh_tesh!T3=0,0,SER_hh_tesh!T3/SER_summary!T$26)</f>
        <v>54.048626183081005</v>
      </c>
      <c r="U3" s="125">
        <f>IF(SER_hh_tesh!U3=0,0,SER_hh_tesh!U3/SER_summary!U$26)</f>
        <v>51.61724114169931</v>
      </c>
      <c r="V3" s="125">
        <f>IF(SER_hh_tesh!V3=0,0,SER_hh_tesh!V3/SER_summary!V$26)</f>
        <v>50.318577819576369</v>
      </c>
      <c r="W3" s="125">
        <f>IF(SER_hh_tesh!W3=0,0,SER_hh_tesh!W3/SER_summary!W$26)</f>
        <v>58.292060769105412</v>
      </c>
      <c r="X3" s="125">
        <f>IF(SER_hh_tesh!X3=0,0,SER_hh_tesh!X3/SER_summary!X$26)</f>
        <v>46.733601460207197</v>
      </c>
      <c r="Y3" s="125">
        <f>IF(SER_hh_tesh!Y3=0,0,SER_hh_tesh!Y3/SER_summary!Y$26)</f>
        <v>44.893677704433635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31.048560170657815</v>
      </c>
      <c r="C4" s="130">
        <f>IF(SER_hh_tesh!C4=0,0,SER_hh_tesh!C4/SER_summary!C$26)</f>
        <v>32.767060275047619</v>
      </c>
      <c r="D4" s="130">
        <f>IF(SER_hh_tesh!D4=0,0,SER_hh_tesh!D4/SER_summary!D$26)</f>
        <v>32.67557249100502</v>
      </c>
      <c r="E4" s="130">
        <f>IF(SER_hh_tesh!E4=0,0,SER_hh_tesh!E4/SER_summary!E$26)</f>
        <v>42.050650847526413</v>
      </c>
      <c r="F4" s="130">
        <f>IF(SER_hh_tesh!F4=0,0,SER_hh_tesh!F4/SER_summary!F$26)</f>
        <v>40.723656846693373</v>
      </c>
      <c r="G4" s="130">
        <f>IF(SER_hh_tesh!G4=0,0,SER_hh_tesh!G4/SER_summary!G$26)</f>
        <v>37.989124088803173</v>
      </c>
      <c r="H4" s="130">
        <f>IF(SER_hh_tesh!H4=0,0,SER_hh_tesh!H4/SER_summary!H$26)</f>
        <v>42.031379348085572</v>
      </c>
      <c r="I4" s="130">
        <f>IF(SER_hh_tesh!I4=0,0,SER_hh_tesh!I4/SER_summary!I$26)</f>
        <v>31.92954458846129</v>
      </c>
      <c r="J4" s="130">
        <f>IF(SER_hh_tesh!J4=0,0,SER_hh_tesh!J4/SER_summary!J$26)</f>
        <v>37.548350317105729</v>
      </c>
      <c r="K4" s="130">
        <f>IF(SER_hh_tesh!K4=0,0,SER_hh_tesh!K4/SER_summary!K$26)</f>
        <v>35.749590995939215</v>
      </c>
      <c r="L4" s="130">
        <f>IF(SER_hh_tesh!L4=0,0,SER_hh_tesh!L4/SER_summary!L$26)</f>
        <v>40.440883411487604</v>
      </c>
      <c r="M4" s="130">
        <f>IF(SER_hh_tesh!M4=0,0,SER_hh_tesh!M4/SER_summary!M$26)</f>
        <v>31.392670404132989</v>
      </c>
      <c r="N4" s="130">
        <f>IF(SER_hh_tesh!N4=0,0,SER_hh_tesh!N4/SER_summary!N$26)</f>
        <v>34.703273226197531</v>
      </c>
      <c r="O4" s="130">
        <f>IF(SER_hh_tesh!O4=0,0,SER_hh_tesh!O4/SER_summary!O$26)</f>
        <v>37.707643547851099</v>
      </c>
      <c r="P4" s="130">
        <f>IF(SER_hh_tesh!P4=0,0,SER_hh_tesh!P4/SER_summary!P$26)</f>
        <v>30.75941986875463</v>
      </c>
      <c r="Q4" s="130">
        <f>IF(SER_hh_tesh!Q4=0,0,SER_hh_tesh!Q4/SER_summary!Q$26)</f>
        <v>34.343132506533181</v>
      </c>
      <c r="R4" s="130">
        <f>IF(SER_hh_tesh!R4=0,0,SER_hh_tesh!R4/SER_summary!R$26)</f>
        <v>33.376958129491285</v>
      </c>
      <c r="S4" s="130">
        <f>IF(SER_hh_tesh!S4=0,0,SER_hh_tesh!S4/SER_summary!S$26)</f>
        <v>33.244330595075013</v>
      </c>
      <c r="T4" s="130">
        <f>IF(SER_hh_tesh!T4=0,0,SER_hh_tesh!T4/SER_summary!T$26)</f>
        <v>30.587703555348337</v>
      </c>
      <c r="U4" s="130">
        <f>IF(SER_hh_tesh!U4=0,0,SER_hh_tesh!U4/SER_summary!U$26)</f>
        <v>28.462830510084316</v>
      </c>
      <c r="V4" s="130">
        <f>IF(SER_hh_tesh!V4=0,0,SER_hh_tesh!V4/SER_summary!V$26)</f>
        <v>29.630998147036355</v>
      </c>
      <c r="W4" s="130">
        <f>IF(SER_hh_tesh!W4=0,0,SER_hh_tesh!W4/SER_summary!W$26)</f>
        <v>37.399368136447521</v>
      </c>
      <c r="X4" s="130">
        <f>IF(SER_hh_tesh!X4=0,0,SER_hh_tesh!X4/SER_summary!X$26)</f>
        <v>26.51088904456854</v>
      </c>
      <c r="Y4" s="130">
        <f>IF(SER_hh_tesh!Y4=0,0,SER_hh_tesh!Y4/SER_summary!Y$26)</f>
        <v>25.253841515786704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30.636175920341419</v>
      </c>
      <c r="C5" s="132">
        <f>IF(SER_hh_tesh!C5=0,0,SER_hh_tesh!C5/SER_summary!C$26)</f>
        <v>34.070014336443755</v>
      </c>
      <c r="D5" s="132">
        <f>IF(SER_hh_tesh!D5=0,0,SER_hh_tesh!D5/SER_summary!D$26)</f>
        <v>36.470651908374037</v>
      </c>
      <c r="E5" s="132">
        <f>IF(SER_hh_tesh!E5=0,0,SER_hh_tesh!E5/SER_summary!E$26)</f>
        <v>20.875595907391723</v>
      </c>
      <c r="F5" s="132">
        <f>IF(SER_hh_tesh!F5=0,0,SER_hh_tesh!F5/SER_summary!F$26)</f>
        <v>20.793141934602602</v>
      </c>
      <c r="G5" s="132">
        <f>IF(SER_hh_tesh!G5=0,0,SER_hh_tesh!G5/SER_summary!G$26)</f>
        <v>23.757501412043215</v>
      </c>
      <c r="H5" s="132">
        <f>IF(SER_hh_tesh!H5=0,0,SER_hh_tesh!H5/SER_summary!H$26)</f>
        <v>30.957547726501215</v>
      </c>
      <c r="I5" s="132">
        <f>IF(SER_hh_tesh!I5=0,0,SER_hh_tesh!I5/SER_summary!I$26)</f>
        <v>46.790619910080892</v>
      </c>
      <c r="J5" s="132">
        <f>IF(SER_hh_tesh!J5=0,0,SER_hh_tesh!J5/SER_summary!J$26)</f>
        <v>37.491380011592042</v>
      </c>
      <c r="K5" s="132">
        <f>IF(SER_hh_tesh!K5=0,0,SER_hh_tesh!K5/SER_summary!K$26)</f>
        <v>32.556782205611675</v>
      </c>
      <c r="L5" s="132">
        <f>IF(SER_hh_tesh!L5=0,0,SER_hh_tesh!L5/SER_summary!L$26)</f>
        <v>32.037719750617939</v>
      </c>
      <c r="M5" s="132">
        <f>IF(SER_hh_tesh!M5=0,0,SER_hh_tesh!M5/SER_summary!M$26)</f>
        <v>34.706494199063414</v>
      </c>
      <c r="N5" s="132">
        <f>IF(SER_hh_tesh!N5=0,0,SER_hh_tesh!N5/SER_summary!N$26)</f>
        <v>42.163972343961312</v>
      </c>
      <c r="O5" s="132">
        <f>IF(SER_hh_tesh!O5=0,0,SER_hh_tesh!O5/SER_summary!O$26)</f>
        <v>20.51482554586174</v>
      </c>
      <c r="P5" s="132">
        <f>IF(SER_hh_tesh!P5=0,0,SER_hh_tesh!P5/SER_summary!P$26)</f>
        <v>28.461247187586494</v>
      </c>
      <c r="Q5" s="132">
        <f>IF(SER_hh_tesh!Q5=0,0,SER_hh_tesh!Q5/SER_summary!Q$26)</f>
        <v>64.611791316135267</v>
      </c>
      <c r="R5" s="132">
        <f>IF(SER_hh_tesh!R5=0,0,SER_hh_tesh!R5/SER_summary!R$26)</f>
        <v>15.542287988344601</v>
      </c>
      <c r="S5" s="132">
        <f>IF(SER_hh_tesh!S5=0,0,SER_hh_tesh!S5/SER_summary!S$26)</f>
        <v>17.079518436826319</v>
      </c>
      <c r="T5" s="132">
        <f>IF(SER_hh_tesh!T5=0,0,SER_hh_tesh!T5/SER_summary!T$26)</f>
        <v>42.991564546024286</v>
      </c>
      <c r="U5" s="132">
        <f>IF(SER_hh_tesh!U5=0,0,SER_hh_tesh!U5/SER_summary!U$26)</f>
        <v>7.9921368564108413</v>
      </c>
      <c r="V5" s="132">
        <f>IF(SER_hh_tesh!V5=0,0,SER_hh_tesh!V5/SER_summary!V$26)</f>
        <v>11.716914332711612</v>
      </c>
      <c r="W5" s="132">
        <f>IF(SER_hh_tesh!W5=0,0,SER_hh_tesh!W5/SER_summary!W$26)</f>
        <v>3.7732328597594118</v>
      </c>
      <c r="X5" s="132">
        <f>IF(SER_hh_tesh!X5=0,0,SER_hh_tesh!X5/SER_summary!X$26)</f>
        <v>1.9820747832810726</v>
      </c>
      <c r="Y5" s="132">
        <f>IF(SER_hh_tesh!Y5=0,0,SER_hh_tesh!Y5/SER_summary!Y$26)</f>
        <v>37.213453716982457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29.393103718055311</v>
      </c>
      <c r="C7" s="132">
        <f>IF(SER_hh_tesh!C7=0,0,SER_hh_tesh!C7/SER_summary!C$26)</f>
        <v>36.796320075002448</v>
      </c>
      <c r="D7" s="132">
        <f>IF(SER_hh_tesh!D7=0,0,SER_hh_tesh!D7/SER_summary!D$26)</f>
        <v>33.306817634638712</v>
      </c>
      <c r="E7" s="132">
        <f>IF(SER_hh_tesh!E7=0,0,SER_hh_tesh!E7/SER_summary!E$26)</f>
        <v>38.422265961353922</v>
      </c>
      <c r="F7" s="132">
        <f>IF(SER_hh_tesh!F7=0,0,SER_hh_tesh!F7/SER_summary!F$26)</f>
        <v>37.769509830655693</v>
      </c>
      <c r="G7" s="132">
        <f>IF(SER_hh_tesh!G7=0,0,SER_hh_tesh!G7/SER_summary!G$26)</f>
        <v>38.545283977929763</v>
      </c>
      <c r="H7" s="132">
        <f>IF(SER_hh_tesh!H7=0,0,SER_hh_tesh!H7/SER_summary!H$26)</f>
        <v>42.093853286835305</v>
      </c>
      <c r="I7" s="132">
        <f>IF(SER_hh_tesh!I7=0,0,SER_hh_tesh!I7/SER_summary!I$26)</f>
        <v>28.643301144356528</v>
      </c>
      <c r="J7" s="132">
        <f>IF(SER_hh_tesh!J7=0,0,SER_hh_tesh!J7/SER_summary!J$26)</f>
        <v>38.770830091503164</v>
      </c>
      <c r="K7" s="132">
        <f>IF(SER_hh_tesh!K7=0,0,SER_hh_tesh!K7/SER_summary!K$26)</f>
        <v>35.865852398962097</v>
      </c>
      <c r="L7" s="132">
        <f>IF(SER_hh_tesh!L7=0,0,SER_hh_tesh!L7/SER_summary!L$26)</f>
        <v>36.80586458915387</v>
      </c>
      <c r="M7" s="132">
        <f>IF(SER_hh_tesh!M7=0,0,SER_hh_tesh!M7/SER_summary!M$26)</f>
        <v>32.124019845302243</v>
      </c>
      <c r="N7" s="132">
        <f>IF(SER_hh_tesh!N7=0,0,SER_hh_tesh!N7/SER_summary!N$26)</f>
        <v>33.976280728563715</v>
      </c>
      <c r="O7" s="132">
        <f>IF(SER_hh_tesh!O7=0,0,SER_hh_tesh!O7/SER_summary!O$26)</f>
        <v>36.257412405697451</v>
      </c>
      <c r="P7" s="132">
        <f>IF(SER_hh_tesh!P7=0,0,SER_hh_tesh!P7/SER_summary!P$26)</f>
        <v>32.396547212850273</v>
      </c>
      <c r="Q7" s="132">
        <f>IF(SER_hh_tesh!Q7=0,0,SER_hh_tesh!Q7/SER_summary!Q$26)</f>
        <v>32.53478865054209</v>
      </c>
      <c r="R7" s="132">
        <f>IF(SER_hh_tesh!R7=0,0,SER_hh_tesh!R7/SER_summary!R$26)</f>
        <v>33.612645587393892</v>
      </c>
      <c r="S7" s="132">
        <f>IF(SER_hh_tesh!S7=0,0,SER_hh_tesh!S7/SER_summary!S$26)</f>
        <v>36.441134867246262</v>
      </c>
      <c r="T7" s="132">
        <f>IF(SER_hh_tesh!T7=0,0,SER_hh_tesh!T7/SER_summary!T$26)</f>
        <v>25.929558745905169</v>
      </c>
      <c r="U7" s="132">
        <f>IF(SER_hh_tesh!U7=0,0,SER_hh_tesh!U7/SER_summary!U$26)</f>
        <v>28.948330634139555</v>
      </c>
      <c r="V7" s="132">
        <f>IF(SER_hh_tesh!V7=0,0,SER_hh_tesh!V7/SER_summary!V$26)</f>
        <v>28.969329413538318</v>
      </c>
      <c r="W7" s="132">
        <f>IF(SER_hh_tesh!W7=0,0,SER_hh_tesh!W7/SER_summary!W$26)</f>
        <v>48.104657607479865</v>
      </c>
      <c r="X7" s="132">
        <f>IF(SER_hh_tesh!X7=0,0,SER_hh_tesh!X7/SER_summary!X$26)</f>
        <v>21.839418558143301</v>
      </c>
      <c r="Y7" s="132">
        <f>IF(SER_hh_tesh!Y7=0,0,SER_hh_tesh!Y7/SER_summary!Y$26)</f>
        <v>24.897919953800304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28.16547197883623</v>
      </c>
      <c r="C8" s="132">
        <f>IF(SER_hh_tesh!C8=0,0,SER_hh_tesh!C8/SER_summary!C$26)</f>
        <v>31.732469856568194</v>
      </c>
      <c r="D8" s="132">
        <f>IF(SER_hh_tesh!D8=0,0,SER_hh_tesh!D8/SER_summary!D$26)</f>
        <v>34.989941516281753</v>
      </c>
      <c r="E8" s="132">
        <f>IF(SER_hh_tesh!E8=0,0,SER_hh_tesh!E8/SER_summary!E$26)</f>
        <v>38.868417523448677</v>
      </c>
      <c r="F8" s="132">
        <f>IF(SER_hh_tesh!F8=0,0,SER_hh_tesh!F8/SER_summary!F$26)</f>
        <v>38.182633116191418</v>
      </c>
      <c r="G8" s="132">
        <f>IF(SER_hh_tesh!G8=0,0,SER_hh_tesh!G8/SER_summary!G$26)</f>
        <v>32.203273475331017</v>
      </c>
      <c r="H8" s="132">
        <f>IF(SER_hh_tesh!H8=0,0,SER_hh_tesh!H8/SER_summary!H$26)</f>
        <v>34.906486467765859</v>
      </c>
      <c r="I8" s="132">
        <f>IF(SER_hh_tesh!I8=0,0,SER_hh_tesh!I8/SER_summary!I$26)</f>
        <v>38.555273332861624</v>
      </c>
      <c r="J8" s="132">
        <f>IF(SER_hh_tesh!J8=0,0,SER_hh_tesh!J8/SER_summary!J$26)</f>
        <v>39.952427624520361</v>
      </c>
      <c r="K8" s="132">
        <f>IF(SER_hh_tesh!K8=0,0,SER_hh_tesh!K8/SER_summary!K$26)</f>
        <v>35.230861843434383</v>
      </c>
      <c r="L8" s="132">
        <f>IF(SER_hh_tesh!L8=0,0,SER_hh_tesh!L8/SER_summary!L$26)</f>
        <v>31.321060012195634</v>
      </c>
      <c r="M8" s="132">
        <f>IF(SER_hh_tesh!M8=0,0,SER_hh_tesh!M8/SER_summary!M$26)</f>
        <v>32.605576158548978</v>
      </c>
      <c r="N8" s="132">
        <f>IF(SER_hh_tesh!N8=0,0,SER_hh_tesh!N8/SER_summary!N$26)</f>
        <v>33.613769067374818</v>
      </c>
      <c r="O8" s="132">
        <f>IF(SER_hh_tesh!O8=0,0,SER_hh_tesh!O8/SER_summary!O$26)</f>
        <v>34.946712545188873</v>
      </c>
      <c r="P8" s="132">
        <f>IF(SER_hh_tesh!P8=0,0,SER_hh_tesh!P8/SER_summary!P$26)</f>
        <v>32.551632624915364</v>
      </c>
      <c r="Q8" s="132">
        <f>IF(SER_hh_tesh!Q8=0,0,SER_hh_tesh!Q8/SER_summary!Q$26)</f>
        <v>34.052733187624277</v>
      </c>
      <c r="R8" s="132">
        <f>IF(SER_hh_tesh!R8=0,0,SER_hh_tesh!R8/SER_summary!R$26)</f>
        <v>33.050862727969452</v>
      </c>
      <c r="S8" s="132">
        <f>IF(SER_hh_tesh!S8=0,0,SER_hh_tesh!S8/SER_summary!S$26)</f>
        <v>31.771108166113752</v>
      </c>
      <c r="T8" s="132">
        <f>IF(SER_hh_tesh!T8=0,0,SER_hh_tesh!T8/SER_summary!T$26)</f>
        <v>29.937639546294854</v>
      </c>
      <c r="U8" s="132">
        <f>IF(SER_hh_tesh!U8=0,0,SER_hh_tesh!U8/SER_summary!U$26)</f>
        <v>30.630607527325029</v>
      </c>
      <c r="V8" s="132">
        <f>IF(SER_hh_tesh!V8=0,0,SER_hh_tesh!V8/SER_summary!V$26)</f>
        <v>28.531506072844401</v>
      </c>
      <c r="W8" s="132">
        <f>IF(SER_hh_tesh!W8=0,0,SER_hh_tesh!W8/SER_summary!W$26)</f>
        <v>27.95300650766303</v>
      </c>
      <c r="X8" s="132">
        <f>IF(SER_hh_tesh!X8=0,0,SER_hh_tesh!X8/SER_summary!X$26)</f>
        <v>27.293414677595997</v>
      </c>
      <c r="Y8" s="132">
        <f>IF(SER_hh_tesh!Y8=0,0,SER_hh_tesh!Y8/SER_summary!Y$26)</f>
        <v>26.731107738762528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31.446883301887514</v>
      </c>
      <c r="C9" s="132">
        <f>IF(SER_hh_tesh!C9=0,0,SER_hh_tesh!C9/SER_summary!C$26)</f>
        <v>29.774370899033819</v>
      </c>
      <c r="D9" s="132">
        <f>IF(SER_hh_tesh!D9=0,0,SER_hh_tesh!D9/SER_summary!D$26)</f>
        <v>29.364524464035462</v>
      </c>
      <c r="E9" s="132">
        <f>IF(SER_hh_tesh!E9=0,0,SER_hh_tesh!E9/SER_summary!E$26)</f>
        <v>35.780478999881467</v>
      </c>
      <c r="F9" s="132">
        <f>IF(SER_hh_tesh!F9=0,0,SER_hh_tesh!F9/SER_summary!F$26)</f>
        <v>37.332301029953534</v>
      </c>
      <c r="G9" s="132">
        <f>IF(SER_hh_tesh!G9=0,0,SER_hh_tesh!G9/SER_summary!G$26)</f>
        <v>36.719729539443271</v>
      </c>
      <c r="H9" s="132">
        <f>IF(SER_hh_tesh!H9=0,0,SER_hh_tesh!H9/SER_summary!H$26)</f>
        <v>43.819796968459755</v>
      </c>
      <c r="I9" s="132">
        <f>IF(SER_hh_tesh!I9=0,0,SER_hh_tesh!I9/SER_summary!I$26)</f>
        <v>32.381075827010712</v>
      </c>
      <c r="J9" s="132">
        <f>IF(SER_hh_tesh!J9=0,0,SER_hh_tesh!J9/SER_summary!J$26)</f>
        <v>36.145354559465098</v>
      </c>
      <c r="K9" s="132">
        <f>IF(SER_hh_tesh!K9=0,0,SER_hh_tesh!K9/SER_summary!K$26)</f>
        <v>34.594802677742472</v>
      </c>
      <c r="L9" s="132">
        <f>IF(SER_hh_tesh!L9=0,0,SER_hh_tesh!L9/SER_summary!L$26)</f>
        <v>37.216754002353248</v>
      </c>
      <c r="M9" s="132">
        <f>IF(SER_hh_tesh!M9=0,0,SER_hh_tesh!M9/SER_summary!M$26)</f>
        <v>31.536512561854895</v>
      </c>
      <c r="N9" s="132">
        <f>IF(SER_hh_tesh!N9=0,0,SER_hh_tesh!N9/SER_summary!N$26)</f>
        <v>32.370685257842666</v>
      </c>
      <c r="O9" s="132">
        <f>IF(SER_hh_tesh!O9=0,0,SER_hh_tesh!O9/SER_summary!O$26)</f>
        <v>39.659973835417617</v>
      </c>
      <c r="P9" s="132">
        <f>IF(SER_hh_tesh!P9=0,0,SER_hh_tesh!P9/SER_summary!P$26)</f>
        <v>30.285636128949672</v>
      </c>
      <c r="Q9" s="132">
        <f>IF(SER_hh_tesh!Q9=0,0,SER_hh_tesh!Q9/SER_summary!Q$26)</f>
        <v>33.512575602747461</v>
      </c>
      <c r="R9" s="132">
        <f>IF(SER_hh_tesh!R9=0,0,SER_hh_tesh!R9/SER_summary!R$26)</f>
        <v>32.990811752644007</v>
      </c>
      <c r="S9" s="132">
        <f>IF(SER_hh_tesh!S9=0,0,SER_hh_tesh!S9/SER_summary!S$26)</f>
        <v>31.990845771567709</v>
      </c>
      <c r="T9" s="132">
        <f>IF(SER_hh_tesh!T9=0,0,SER_hh_tesh!T9/SER_summary!T$26)</f>
        <v>31.546670769098661</v>
      </c>
      <c r="U9" s="132">
        <f>IF(SER_hh_tesh!U9=0,0,SER_hh_tesh!U9/SER_summary!U$26)</f>
        <v>26.116766845954032</v>
      </c>
      <c r="V9" s="132">
        <f>IF(SER_hh_tesh!V9=0,0,SER_hh_tesh!V9/SER_summary!V$26)</f>
        <v>30.316428155802427</v>
      </c>
      <c r="W9" s="132">
        <f>IF(SER_hh_tesh!W9=0,0,SER_hh_tesh!W9/SER_summary!W$26)</f>
        <v>35.051623108060177</v>
      </c>
      <c r="X9" s="132">
        <f>IF(SER_hh_tesh!X9=0,0,SER_hh_tesh!X9/SER_summary!X$26)</f>
        <v>26.982870720976418</v>
      </c>
      <c r="Y9" s="132">
        <f>IF(SER_hh_tesh!Y9=0,0,SER_hh_tesh!Y9/SER_summary!Y$26)</f>
        <v>24.211227180308281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0</v>
      </c>
      <c r="C10" s="132">
        <f>IF(SER_hh_tesh!C10=0,0,SER_hh_tesh!C10/SER_summary!C$26)</f>
        <v>0</v>
      </c>
      <c r="D10" s="132">
        <f>IF(SER_hh_tesh!D10=0,0,SER_hh_tesh!D10/SER_summary!D$26)</f>
        <v>0</v>
      </c>
      <c r="E10" s="132">
        <f>IF(SER_hh_tesh!E10=0,0,SER_hh_tesh!E10/SER_summary!E$26)</f>
        <v>47.474093075132721</v>
      </c>
      <c r="F10" s="132">
        <f>IF(SER_hh_tesh!F10=0,0,SER_hh_tesh!F10/SER_summary!F$26)</f>
        <v>46.065520336479445</v>
      </c>
      <c r="G10" s="132">
        <f>IF(SER_hh_tesh!G10=0,0,SER_hh_tesh!G10/SER_summary!G$26)</f>
        <v>38.002668830700131</v>
      </c>
      <c r="H10" s="132">
        <f>IF(SER_hh_tesh!H10=0,0,SER_hh_tesh!H10/SER_summary!H$26)</f>
        <v>37.426822329314966</v>
      </c>
      <c r="I10" s="132">
        <f>IF(SER_hh_tesh!I10=0,0,SER_hh_tesh!I10/SER_summary!I$26)</f>
        <v>32.045882440746475</v>
      </c>
      <c r="J10" s="132">
        <f>IF(SER_hh_tesh!J10=0,0,SER_hh_tesh!J10/SER_summary!J$26)</f>
        <v>38.452571300315249</v>
      </c>
      <c r="K10" s="132">
        <f>IF(SER_hh_tesh!K10=0,0,SER_hh_tesh!K10/SER_summary!K$26)</f>
        <v>35.541226906290113</v>
      </c>
      <c r="L10" s="132">
        <f>IF(SER_hh_tesh!L10=0,0,SER_hh_tesh!L10/SER_summary!L$26)</f>
        <v>43.081256201857336</v>
      </c>
      <c r="M10" s="132">
        <f>IF(SER_hh_tesh!M10=0,0,SER_hh_tesh!M10/SER_summary!M$26)</f>
        <v>30.927091730865421</v>
      </c>
      <c r="N10" s="132">
        <f>IF(SER_hh_tesh!N10=0,0,SER_hh_tesh!N10/SER_summary!N$26)</f>
        <v>34.313734197741155</v>
      </c>
      <c r="O10" s="132">
        <f>IF(SER_hh_tesh!O10=0,0,SER_hh_tesh!O10/SER_summary!O$26)</f>
        <v>37.400420624368635</v>
      </c>
      <c r="P10" s="132">
        <f>IF(SER_hh_tesh!P10=0,0,SER_hh_tesh!P10/SER_summary!P$26)</f>
        <v>29.821809625930232</v>
      </c>
      <c r="Q10" s="132">
        <f>IF(SER_hh_tesh!Q10=0,0,SER_hh_tesh!Q10/SER_summary!Q$26)</f>
        <v>34.028630541400219</v>
      </c>
      <c r="R10" s="132">
        <f>IF(SER_hh_tesh!R10=0,0,SER_hh_tesh!R10/SER_summary!R$26)</f>
        <v>31.787179087365995</v>
      </c>
      <c r="S10" s="132">
        <f>IF(SER_hh_tesh!S10=0,0,SER_hh_tesh!S10/SER_summary!S$26)</f>
        <v>30.754527107966172</v>
      </c>
      <c r="T10" s="132">
        <f>IF(SER_hh_tesh!T10=0,0,SER_hh_tesh!T10/SER_summary!T$26)</f>
        <v>31.086096432264643</v>
      </c>
      <c r="U10" s="132">
        <f>IF(SER_hh_tesh!U10=0,0,SER_hh_tesh!U10/SER_summary!U$26)</f>
        <v>30.866459789117236</v>
      </c>
      <c r="V10" s="132">
        <f>IF(SER_hh_tesh!V10=0,0,SER_hh_tesh!V10/SER_summary!V$26)</f>
        <v>28.999332329929079</v>
      </c>
      <c r="W10" s="132">
        <f>IF(SER_hh_tesh!W10=0,0,SER_hh_tesh!W10/SER_summary!W$26)</f>
        <v>31.9581492361629</v>
      </c>
      <c r="X10" s="132">
        <f>IF(SER_hh_tesh!X10=0,0,SER_hh_tesh!X10/SER_summary!X$26)</f>
        <v>26.865844418967725</v>
      </c>
      <c r="Y10" s="132">
        <f>IF(SER_hh_tesh!Y10=0,0,SER_hh_tesh!Y10/SER_summary!Y$26)</f>
        <v>26.216511269297605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58.486045434164019</v>
      </c>
      <c r="F11" s="132">
        <f>IF(SER_hh_tesh!F11=0,0,SER_hh_tesh!F11/SER_summary!F$26)</f>
        <v>42.918369089437533</v>
      </c>
      <c r="G11" s="132">
        <f>IF(SER_hh_tesh!G11=0,0,SER_hh_tesh!G11/SER_summary!G$26)</f>
        <v>40.051741259947484</v>
      </c>
      <c r="H11" s="132">
        <f>IF(SER_hh_tesh!H11=0,0,SER_hh_tesh!H11/SER_summary!H$26)</f>
        <v>38.094460183020288</v>
      </c>
      <c r="I11" s="132">
        <f>IF(SER_hh_tesh!I11=0,0,SER_hh_tesh!I11/SER_summary!I$26)</f>
        <v>35.62783554570025</v>
      </c>
      <c r="J11" s="132">
        <f>IF(SER_hh_tesh!J11=0,0,SER_hh_tesh!J11/SER_summary!J$26)</f>
        <v>34.722101559160301</v>
      </c>
      <c r="K11" s="132">
        <f>IF(SER_hh_tesh!K11=0,0,SER_hh_tesh!K11/SER_summary!K$26)</f>
        <v>36.223333387081198</v>
      </c>
      <c r="L11" s="132">
        <f>IF(SER_hh_tesh!L11=0,0,SER_hh_tesh!L11/SER_summary!L$26)</f>
        <v>34.902152994658039</v>
      </c>
      <c r="M11" s="132">
        <f>IF(SER_hh_tesh!M11=0,0,SER_hh_tesh!M11/SER_summary!M$26)</f>
        <v>35.17473671808493</v>
      </c>
      <c r="N11" s="132">
        <f>IF(SER_hh_tesh!N11=0,0,SER_hh_tesh!N11/SER_summary!N$26)</f>
        <v>33.416360113193555</v>
      </c>
      <c r="O11" s="132">
        <f>IF(SER_hh_tesh!O11=0,0,SER_hh_tesh!O11/SER_summary!O$26)</f>
        <v>34.572409932360998</v>
      </c>
      <c r="P11" s="132">
        <f>IF(SER_hh_tesh!P11=0,0,SER_hh_tesh!P11/SER_summary!P$26)</f>
        <v>38.78479162198127</v>
      </c>
      <c r="Q11" s="132">
        <f>IF(SER_hh_tesh!Q11=0,0,SER_hh_tesh!Q11/SER_summary!Q$26)</f>
        <v>29.427518354083489</v>
      </c>
      <c r="R11" s="132">
        <f>IF(SER_hh_tesh!R11=0,0,SER_hh_tesh!R11/SER_summary!R$26)</f>
        <v>30.677282590407575</v>
      </c>
      <c r="S11" s="132">
        <f>IF(SER_hh_tesh!S11=0,0,SER_hh_tesh!S11/SER_summary!S$26)</f>
        <v>33.111616705097198</v>
      </c>
      <c r="T11" s="132">
        <f>IF(SER_hh_tesh!T11=0,0,SER_hh_tesh!T11/SER_summary!T$26)</f>
        <v>32.692957087415365</v>
      </c>
      <c r="U11" s="132">
        <f>IF(SER_hh_tesh!U11=0,0,SER_hh_tesh!U11/SER_summary!U$26)</f>
        <v>28.626872473511657</v>
      </c>
      <c r="V11" s="132">
        <f>IF(SER_hh_tesh!V11=0,0,SER_hh_tesh!V11/SER_summary!V$26)</f>
        <v>27.283263519144157</v>
      </c>
      <c r="W11" s="132">
        <f>IF(SER_hh_tesh!W11=0,0,SER_hh_tesh!W11/SER_summary!W$26)</f>
        <v>27.472485651865899</v>
      </c>
      <c r="X11" s="132">
        <f>IF(SER_hh_tesh!X11=0,0,SER_hh_tesh!X11/SER_summary!X$26)</f>
        <v>26.655313313731078</v>
      </c>
      <c r="Y11" s="132">
        <f>IF(SER_hh_tesh!Y11=0,0,SER_hh_tesh!Y11/SER_summary!Y$26)</f>
        <v>25.467575787880033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0</v>
      </c>
      <c r="C12" s="132">
        <f>IF(SER_hh_tesh!C12=0,0,SER_hh_tesh!C12/SER_summary!C$26)</f>
        <v>0</v>
      </c>
      <c r="D12" s="132">
        <f>IF(SER_hh_tesh!D12=0,0,SER_hh_tesh!D12/SER_summary!D$26)</f>
        <v>0</v>
      </c>
      <c r="E12" s="132">
        <f>IF(SER_hh_tesh!E12=0,0,SER_hh_tesh!E12/SER_summary!E$26)</f>
        <v>57.841581257871965</v>
      </c>
      <c r="F12" s="132">
        <f>IF(SER_hh_tesh!F12=0,0,SER_hh_tesh!F12/SER_summary!F$26)</f>
        <v>48.442200328216757</v>
      </c>
      <c r="G12" s="132">
        <f>IF(SER_hh_tesh!G12=0,0,SER_hh_tesh!G12/SER_summary!G$26)</f>
        <v>38.877375183913372</v>
      </c>
      <c r="H12" s="132">
        <f>IF(SER_hh_tesh!H12=0,0,SER_hh_tesh!H12/SER_summary!H$26)</f>
        <v>36.266125055495344</v>
      </c>
      <c r="I12" s="132">
        <f>IF(SER_hh_tesh!I12=0,0,SER_hh_tesh!I12/SER_summary!I$26)</f>
        <v>33.439163382443063</v>
      </c>
      <c r="J12" s="132">
        <f>IF(SER_hh_tesh!J12=0,0,SER_hh_tesh!J12/SER_summary!J$26)</f>
        <v>36.298013986717208</v>
      </c>
      <c r="K12" s="132">
        <f>IF(SER_hh_tesh!K12=0,0,SER_hh_tesh!K12/SER_summary!K$26)</f>
        <v>34.987774195386905</v>
      </c>
      <c r="L12" s="132">
        <f>IF(SER_hh_tesh!L12=0,0,SER_hh_tesh!L12/SER_summary!L$26)</f>
        <v>46.623812818388366</v>
      </c>
      <c r="M12" s="132">
        <f>IF(SER_hh_tesh!M12=0,0,SER_hh_tesh!M12/SER_summary!M$26)</f>
        <v>29.903420228510573</v>
      </c>
      <c r="N12" s="132">
        <f>IF(SER_hh_tesh!N12=0,0,SER_hh_tesh!N12/SER_summary!N$26)</f>
        <v>39.026728405557343</v>
      </c>
      <c r="O12" s="132">
        <f>IF(SER_hh_tesh!O12=0,0,SER_hh_tesh!O12/SER_summary!O$26)</f>
        <v>30.127232826754472</v>
      </c>
      <c r="P12" s="132">
        <f>IF(SER_hh_tesh!P12=0,0,SER_hh_tesh!P12/SER_summary!P$26)</f>
        <v>30.390247626581719</v>
      </c>
      <c r="Q12" s="132">
        <f>IF(SER_hh_tesh!Q12=0,0,SER_hh_tesh!Q12/SER_summary!Q$26)</f>
        <v>35.40448162127344</v>
      </c>
      <c r="R12" s="132">
        <f>IF(SER_hh_tesh!R12=0,0,SER_hh_tesh!R12/SER_summary!R$26)</f>
        <v>28.575199055074382</v>
      </c>
      <c r="S12" s="132">
        <f>IF(SER_hh_tesh!S12=0,0,SER_hh_tesh!S12/SER_summary!S$26)</f>
        <v>31.864517896571144</v>
      </c>
      <c r="T12" s="132">
        <f>IF(SER_hh_tesh!T12=0,0,SER_hh_tesh!T12/SER_summary!T$26)</f>
        <v>32.737850504699061</v>
      </c>
      <c r="U12" s="132">
        <f>IF(SER_hh_tesh!U12=0,0,SER_hh_tesh!U12/SER_summary!U$26)</f>
        <v>31.130002428895491</v>
      </c>
      <c r="V12" s="132">
        <f>IF(SER_hh_tesh!V12=0,0,SER_hh_tesh!V12/SER_summary!V$26)</f>
        <v>24.530342698562396</v>
      </c>
      <c r="W12" s="132">
        <f>IF(SER_hh_tesh!W12=0,0,SER_hh_tesh!W12/SER_summary!W$26)</f>
        <v>37.331410089613904</v>
      </c>
      <c r="X12" s="132">
        <f>IF(SER_hh_tesh!X12=0,0,SER_hh_tesh!X12/SER_summary!X$26)</f>
        <v>27.525436887689821</v>
      </c>
      <c r="Y12" s="132">
        <f>IF(SER_hh_tesh!Y12=0,0,SER_hh_tesh!Y12/SER_summary!Y$26)</f>
        <v>25.291707391228691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27.20968072714485</v>
      </c>
      <c r="C13" s="132">
        <f>IF(SER_hh_tesh!C13=0,0,SER_hh_tesh!C13/SER_summary!C$26)</f>
        <v>21.321793113624516</v>
      </c>
      <c r="D13" s="132">
        <f>IF(SER_hh_tesh!D13=0,0,SER_hh_tesh!D13/SER_summary!D$26)</f>
        <v>34.035792488938576</v>
      </c>
      <c r="E13" s="132">
        <f>IF(SER_hh_tesh!E13=0,0,SER_hh_tesh!E13/SER_summary!E$26)</f>
        <v>48.390302145817166</v>
      </c>
      <c r="F13" s="132">
        <f>IF(SER_hh_tesh!F13=0,0,SER_hh_tesh!F13/SER_summary!F$26)</f>
        <v>40.842676165024791</v>
      </c>
      <c r="G13" s="132">
        <f>IF(SER_hh_tesh!G13=0,0,SER_hh_tesh!G13/SER_summary!G$26)</f>
        <v>36.534594060055419</v>
      </c>
      <c r="H13" s="132">
        <f>IF(SER_hh_tesh!H13=0,0,SER_hh_tesh!H13/SER_summary!H$26)</f>
        <v>36.610601217295986</v>
      </c>
      <c r="I13" s="132">
        <f>IF(SER_hh_tesh!I13=0,0,SER_hh_tesh!I13/SER_summary!I$26)</f>
        <v>34.823518758361537</v>
      </c>
      <c r="J13" s="132">
        <f>IF(SER_hh_tesh!J13=0,0,SER_hh_tesh!J13/SER_summary!J$26)</f>
        <v>34.86198562322074</v>
      </c>
      <c r="K13" s="132">
        <f>IF(SER_hh_tesh!K13=0,0,SER_hh_tesh!K13/SER_summary!K$26)</f>
        <v>35.637671207462375</v>
      </c>
      <c r="L13" s="132">
        <f>IF(SER_hh_tesh!L13=0,0,SER_hh_tesh!L13/SER_summary!L$26)</f>
        <v>37.54207881856582</v>
      </c>
      <c r="M13" s="132">
        <f>IF(SER_hh_tesh!M13=0,0,SER_hh_tesh!M13/SER_summary!M$26)</f>
        <v>34.845938135418216</v>
      </c>
      <c r="N13" s="132">
        <f>IF(SER_hh_tesh!N13=0,0,SER_hh_tesh!N13/SER_summary!N$26)</f>
        <v>34.555372082822231</v>
      </c>
      <c r="O13" s="132">
        <f>IF(SER_hh_tesh!O13=0,0,SER_hh_tesh!O13/SER_summary!O$26)</f>
        <v>34.269454990543572</v>
      </c>
      <c r="P13" s="132">
        <f>IF(SER_hh_tesh!P13=0,0,SER_hh_tesh!P13/SER_summary!P$26)</f>
        <v>33.054943506650872</v>
      </c>
      <c r="Q13" s="132">
        <f>IF(SER_hh_tesh!Q13=0,0,SER_hh_tesh!Q13/SER_summary!Q$26)</f>
        <v>32.807558721236319</v>
      </c>
      <c r="R13" s="132">
        <f>IF(SER_hh_tesh!R13=0,0,SER_hh_tesh!R13/SER_summary!R$26)</f>
        <v>32.491725761363853</v>
      </c>
      <c r="S13" s="132">
        <f>IF(SER_hh_tesh!S13=0,0,SER_hh_tesh!S13/SER_summary!S$26)</f>
        <v>31.976983630841236</v>
      </c>
      <c r="T13" s="132">
        <f>IF(SER_hh_tesh!T13=0,0,SER_hh_tesh!T13/SER_summary!T$26)</f>
        <v>30.279456197792001</v>
      </c>
      <c r="U13" s="132">
        <f>IF(SER_hh_tesh!U13=0,0,SER_hh_tesh!U13/SER_summary!U$26)</f>
        <v>30.200766002093843</v>
      </c>
      <c r="V13" s="132">
        <f>IF(SER_hh_tesh!V13=0,0,SER_hh_tesh!V13/SER_summary!V$26)</f>
        <v>28.696963772264443</v>
      </c>
      <c r="W13" s="132">
        <f>IF(SER_hh_tesh!W13=0,0,SER_hh_tesh!W13/SER_summary!W$26)</f>
        <v>28.055975586865983</v>
      </c>
      <c r="X13" s="132">
        <f>IF(SER_hh_tesh!X13=0,0,SER_hh_tesh!X13/SER_summary!X$26)</f>
        <v>27.378934805598313</v>
      </c>
      <c r="Y13" s="132">
        <f>IF(SER_hh_tesh!Y13=0,0,SER_hh_tesh!Y13/SER_summary!Y$26)</f>
        <v>27.072569291823722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30.284820546920855</v>
      </c>
      <c r="C14" s="65">
        <f>IF(SER_hh_tesh!C14=0,0,SER_hh_tesh!C14/SER_summary!C$26)</f>
        <v>28.848551133217732</v>
      </c>
      <c r="D14" s="65">
        <f>IF(SER_hh_tesh!D14=0,0,SER_hh_tesh!D14/SER_summary!D$26)</f>
        <v>41.2572727240684</v>
      </c>
      <c r="E14" s="65">
        <f>IF(SER_hh_tesh!E14=0,0,SER_hh_tesh!E14/SER_summary!E$26)</f>
        <v>50.664369793489719</v>
      </c>
      <c r="F14" s="65">
        <f>IF(SER_hh_tesh!F14=0,0,SER_hh_tesh!F14/SER_summary!F$26)</f>
        <v>42.877369364371219</v>
      </c>
      <c r="G14" s="65">
        <f>IF(SER_hh_tesh!G14=0,0,SER_hh_tesh!G14/SER_summary!G$26)</f>
        <v>35.712630003137384</v>
      </c>
      <c r="H14" s="65">
        <f>IF(SER_hh_tesh!H14=0,0,SER_hh_tesh!H14/SER_summary!H$26)</f>
        <v>43.046108896252711</v>
      </c>
      <c r="I14" s="65">
        <f>IF(SER_hh_tesh!I14=0,0,SER_hh_tesh!I14/SER_summary!I$26)</f>
        <v>28.994554900114338</v>
      </c>
      <c r="J14" s="65">
        <f>IF(SER_hh_tesh!J14=0,0,SER_hh_tesh!J14/SER_summary!J$26)</f>
        <v>36.624488735346695</v>
      </c>
      <c r="K14" s="65">
        <f>IF(SER_hh_tesh!K14=0,0,SER_hh_tesh!K14/SER_summary!K$26)</f>
        <v>38.117990659961194</v>
      </c>
      <c r="L14" s="65">
        <f>IF(SER_hh_tesh!L14=0,0,SER_hh_tesh!L14/SER_summary!L$26)</f>
        <v>45.045438657860302</v>
      </c>
      <c r="M14" s="65">
        <f>IF(SER_hh_tesh!M14=0,0,SER_hh_tesh!M14/SER_summary!M$26)</f>
        <v>23.270597771896387</v>
      </c>
      <c r="N14" s="65">
        <f>IF(SER_hh_tesh!N14=0,0,SER_hh_tesh!N14/SER_summary!N$26)</f>
        <v>35.258918258621101</v>
      </c>
      <c r="O14" s="65">
        <f>IF(SER_hh_tesh!O14=0,0,SER_hh_tesh!O14/SER_summary!O$26)</f>
        <v>41.696567318184172</v>
      </c>
      <c r="P14" s="65">
        <f>IF(SER_hh_tesh!P14=0,0,SER_hh_tesh!P14/SER_summary!P$26)</f>
        <v>15.491994793156813</v>
      </c>
      <c r="Q14" s="65">
        <f>IF(SER_hh_tesh!Q14=0,0,SER_hh_tesh!Q14/SER_summary!Q$26)</f>
        <v>38.56202836961215</v>
      </c>
      <c r="R14" s="65">
        <f>IF(SER_hh_tesh!R14=0,0,SER_hh_tesh!R14/SER_summary!R$26)</f>
        <v>43.227543108407346</v>
      </c>
      <c r="S14" s="65">
        <f>IF(SER_hh_tesh!S14=0,0,SER_hh_tesh!S14/SER_summary!S$26)</f>
        <v>29.6623668621035</v>
      </c>
      <c r="T14" s="65">
        <f>IF(SER_hh_tesh!T14=0,0,SER_hh_tesh!T14/SER_summary!T$26)</f>
        <v>23.955191825742695</v>
      </c>
      <c r="U14" s="65">
        <f>IF(SER_hh_tesh!U14=0,0,SER_hh_tesh!U14/SER_summary!U$26)</f>
        <v>30.168521566809243</v>
      </c>
      <c r="V14" s="65">
        <f>IF(SER_hh_tesh!V14=0,0,SER_hh_tesh!V14/SER_summary!V$26)</f>
        <v>33.229418624808226</v>
      </c>
      <c r="W14" s="65">
        <f>IF(SER_hh_tesh!W14=0,0,SER_hh_tesh!W14/SER_summary!W$26)</f>
        <v>47.30458110540993</v>
      </c>
      <c r="X14" s="65">
        <f>IF(SER_hh_tesh!X14=0,0,SER_hh_tesh!X14/SER_summary!X$26)</f>
        <v>15.91951074958074</v>
      </c>
      <c r="Y14" s="65">
        <f>IF(SER_hh_tesh!Y14=0,0,SER_hh_tesh!Y14/SER_summary!Y$26)</f>
        <v>22.086717202116972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0.60219722123389541</v>
      </c>
      <c r="C15" s="134">
        <f>IF(SER_hh_tesh!C15=0,0,SER_hh_tesh!C15/SER_summary!C$26)</f>
        <v>0.62900049447130868</v>
      </c>
      <c r="D15" s="134">
        <f>IF(SER_hh_tesh!D15=0,0,SER_hh_tesh!D15/SER_summary!D$26)</f>
        <v>0.58807083184513154</v>
      </c>
      <c r="E15" s="134">
        <f>IF(SER_hh_tesh!E15=0,0,SER_hh_tesh!E15/SER_summary!E$26)</f>
        <v>0.61367812827644164</v>
      </c>
      <c r="F15" s="134">
        <f>IF(SER_hh_tesh!F15=0,0,SER_hh_tesh!F15/SER_summary!F$26)</f>
        <v>0.58463269595650424</v>
      </c>
      <c r="G15" s="134">
        <f>IF(SER_hh_tesh!G15=0,0,SER_hh_tesh!G15/SER_summary!G$26)</f>
        <v>0.5465966843322424</v>
      </c>
      <c r="H15" s="134">
        <f>IF(SER_hh_tesh!H15=0,0,SER_hh_tesh!H15/SER_summary!H$26)</f>
        <v>0.61956697954361584</v>
      </c>
      <c r="I15" s="134">
        <f>IF(SER_hh_tesh!I15=0,0,SER_hh_tesh!I15/SER_summary!I$26)</f>
        <v>0.44623138446215616</v>
      </c>
      <c r="J15" s="134">
        <f>IF(SER_hh_tesh!J15=0,0,SER_hh_tesh!J15/SER_summary!J$26)</f>
        <v>0.51787867103010055</v>
      </c>
      <c r="K15" s="134">
        <f>IF(SER_hh_tesh!K15=0,0,SER_hh_tesh!K15/SER_summary!K$26)</f>
        <v>0.47834802472306864</v>
      </c>
      <c r="L15" s="134">
        <f>IF(SER_hh_tesh!L15=0,0,SER_hh_tesh!L15/SER_summary!L$26)</f>
        <v>0.50491558821729787</v>
      </c>
      <c r="M15" s="134">
        <f>IF(SER_hh_tesh!M15=0,0,SER_hh_tesh!M15/SER_summary!M$26)</f>
        <v>0.42282525571184698</v>
      </c>
      <c r="N15" s="134">
        <f>IF(SER_hh_tesh!N15=0,0,SER_hh_tesh!N15/SER_summary!N$26)</f>
        <v>0.45132828503578071</v>
      </c>
      <c r="O15" s="134">
        <f>IF(SER_hh_tesh!O15=0,0,SER_hh_tesh!O15/SER_summary!O$26)</f>
        <v>0.52353551134939869</v>
      </c>
      <c r="P15" s="134">
        <f>IF(SER_hh_tesh!P15=0,0,SER_hh_tesh!P15/SER_summary!P$26)</f>
        <v>0.43176387931353094</v>
      </c>
      <c r="Q15" s="134">
        <f>IF(SER_hh_tesh!Q15=0,0,SER_hh_tesh!Q15/SER_summary!Q$26)</f>
        <v>0.46553463996475902</v>
      </c>
      <c r="R15" s="134">
        <f>IF(SER_hh_tesh!R15=0,0,SER_hh_tesh!R15/SER_summary!R$26)</f>
        <v>0.45745196422905021</v>
      </c>
      <c r="S15" s="134">
        <f>IF(SER_hh_tesh!S15=0,0,SER_hh_tesh!S15/SER_summary!S$26)</f>
        <v>0.45422684737672381</v>
      </c>
      <c r="T15" s="134">
        <f>IF(SER_hh_tesh!T15=0,0,SER_hh_tesh!T15/SER_summary!T$26)</f>
        <v>0.40455764930559585</v>
      </c>
      <c r="U15" s="134">
        <f>IF(SER_hh_tesh!U15=0,0,SER_hh_tesh!U15/SER_summary!U$26)</f>
        <v>0.36119236070801924</v>
      </c>
      <c r="V15" s="134">
        <f>IF(SER_hh_tesh!V15=0,0,SER_hh_tesh!V15/SER_summary!V$26)</f>
        <v>0.38923388134818632</v>
      </c>
      <c r="W15" s="134">
        <f>IF(SER_hh_tesh!W15=0,0,SER_hh_tesh!W15/SER_summary!W$26)</f>
        <v>0.48129330405965509</v>
      </c>
      <c r="X15" s="134">
        <f>IF(SER_hh_tesh!X15=0,0,SER_hh_tesh!X15/SER_summary!X$26)</f>
        <v>0.32555105740742041</v>
      </c>
      <c r="Y15" s="134">
        <f>IF(SER_hh_tesh!Y15=0,0,SER_hh_tesh!Y15/SER_summary!Y$26)</f>
        <v>0.30129187759891385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27.936880672220152</v>
      </c>
      <c r="C16" s="130">
        <f>IF(SER_hh_tesh!C16=0,0,SER_hh_tesh!C16/SER_summary!C$26)</f>
        <v>28.201023418353124</v>
      </c>
      <c r="D16" s="130">
        <f>IF(SER_hh_tesh!D16=0,0,SER_hh_tesh!D16/SER_summary!D$26)</f>
        <v>28.33628664202535</v>
      </c>
      <c r="E16" s="130">
        <f>IF(SER_hh_tesh!E16=0,0,SER_hh_tesh!E16/SER_summary!E$26)</f>
        <v>34.36250278874703</v>
      </c>
      <c r="F16" s="130">
        <f>IF(SER_hh_tesh!F16=0,0,SER_hh_tesh!F16/SER_summary!F$26)</f>
        <v>28.053168598697415</v>
      </c>
      <c r="G16" s="130">
        <f>IF(SER_hh_tesh!G16=0,0,SER_hh_tesh!G16/SER_summary!G$26)</f>
        <v>28.309876346421252</v>
      </c>
      <c r="H16" s="130">
        <f>IF(SER_hh_tesh!H16=0,0,SER_hh_tesh!H16/SER_summary!H$26)</f>
        <v>31.255436935720226</v>
      </c>
      <c r="I16" s="130">
        <f>IF(SER_hh_tesh!I16=0,0,SER_hh_tesh!I16/SER_summary!I$26)</f>
        <v>28.384617818860427</v>
      </c>
      <c r="J16" s="130">
        <f>IF(SER_hh_tesh!J16=0,0,SER_hh_tesh!J16/SER_summary!J$26)</f>
        <v>28.442307930703574</v>
      </c>
      <c r="K16" s="130">
        <f>IF(SER_hh_tesh!K16=0,0,SER_hh_tesh!K16/SER_summary!K$26)</f>
        <v>28.344781724247984</v>
      </c>
      <c r="L16" s="130">
        <f>IF(SER_hh_tesh!L16=0,0,SER_hh_tesh!L16/SER_summary!L$26)</f>
        <v>30.867769636097801</v>
      </c>
      <c r="M16" s="130">
        <f>IF(SER_hh_tesh!M16=0,0,SER_hh_tesh!M16/SER_summary!M$26)</f>
        <v>28.593699821154594</v>
      </c>
      <c r="N16" s="130">
        <f>IF(SER_hh_tesh!N16=0,0,SER_hh_tesh!N16/SER_summary!N$26)</f>
        <v>29.086794258909386</v>
      </c>
      <c r="O16" s="130">
        <f>IF(SER_hh_tesh!O16=0,0,SER_hh_tesh!O16/SER_summary!O$26)</f>
        <v>30.472945208658249</v>
      </c>
      <c r="P16" s="130">
        <f>IF(SER_hh_tesh!P16=0,0,SER_hh_tesh!P16/SER_summary!P$26)</f>
        <v>28.867072374872567</v>
      </c>
      <c r="Q16" s="130">
        <f>IF(SER_hh_tesh!Q16=0,0,SER_hh_tesh!Q16/SER_summary!Q$26)</f>
        <v>32.603563139837846</v>
      </c>
      <c r="R16" s="130">
        <f>IF(SER_hh_tesh!R16=0,0,SER_hh_tesh!R16/SER_summary!R$26)</f>
        <v>29.509067028993947</v>
      </c>
      <c r="S16" s="130">
        <f>IF(SER_hh_tesh!S16=0,0,SER_hh_tesh!S16/SER_summary!S$26)</f>
        <v>29.13379852301254</v>
      </c>
      <c r="T16" s="130">
        <f>IF(SER_hh_tesh!T16=0,0,SER_hh_tesh!T16/SER_summary!T$26)</f>
        <v>35.687105073497129</v>
      </c>
      <c r="U16" s="130">
        <f>IF(SER_hh_tesh!U16=0,0,SER_hh_tesh!U16/SER_summary!U$26)</f>
        <v>34.272243762942452</v>
      </c>
      <c r="V16" s="130">
        <f>IF(SER_hh_tesh!V16=0,0,SER_hh_tesh!V16/SER_summary!V$26)</f>
        <v>29.68996070857856</v>
      </c>
      <c r="W16" s="130">
        <f>IF(SER_hh_tesh!W16=0,0,SER_hh_tesh!W16/SER_summary!W$26)</f>
        <v>28.907734657147838</v>
      </c>
      <c r="X16" s="130">
        <f>IF(SER_hh_tesh!X16=0,0,SER_hh_tesh!X16/SER_summary!X$26)</f>
        <v>32.486352887603168</v>
      </c>
      <c r="Y16" s="130">
        <f>IF(SER_hh_tesh!Y16=0,0,SER_hh_tesh!Y16/SER_summary!Y$26)</f>
        <v>30.893356190892501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27.936880672220163</v>
      </c>
      <c r="C17" s="132">
        <f>IF(SER_hh_tesh!C17=0,0,SER_hh_tesh!C17/SER_summary!C$26)</f>
        <v>28.201023418353167</v>
      </c>
      <c r="D17" s="132">
        <f>IF(SER_hh_tesh!D17=0,0,SER_hh_tesh!D17/SER_summary!D$26)</f>
        <v>28.336286641979878</v>
      </c>
      <c r="E17" s="132">
        <f>IF(SER_hh_tesh!E17=0,0,SER_hh_tesh!E17/SER_summary!E$26)</f>
        <v>34.362502788718174</v>
      </c>
      <c r="F17" s="132">
        <f>IF(SER_hh_tesh!F17=0,0,SER_hh_tesh!F17/SER_summary!F$26)</f>
        <v>28.053168598743724</v>
      </c>
      <c r="G17" s="132">
        <f>IF(SER_hh_tesh!G17=0,0,SER_hh_tesh!G17/SER_summary!G$26)</f>
        <v>28.309876346509842</v>
      </c>
      <c r="H17" s="132">
        <f>IF(SER_hh_tesh!H17=0,0,SER_hh_tesh!H17/SER_summary!H$26)</f>
        <v>31.25543693576023</v>
      </c>
      <c r="I17" s="132">
        <f>IF(SER_hh_tesh!I17=0,0,SER_hh_tesh!I17/SER_summary!I$26)</f>
        <v>28.384617818837231</v>
      </c>
      <c r="J17" s="132">
        <f>IF(SER_hh_tesh!J17=0,0,SER_hh_tesh!J17/SER_summary!J$26)</f>
        <v>28.442307930658881</v>
      </c>
      <c r="K17" s="132">
        <f>IF(SER_hh_tesh!K17=0,0,SER_hh_tesh!K17/SER_summary!K$26)</f>
        <v>28.34478172420166</v>
      </c>
      <c r="L17" s="132">
        <f>IF(SER_hh_tesh!L17=0,0,SER_hh_tesh!L17/SER_summary!L$26)</f>
        <v>30.867769636053385</v>
      </c>
      <c r="M17" s="132">
        <f>IF(SER_hh_tesh!M17=0,0,SER_hh_tesh!M17/SER_summary!M$26)</f>
        <v>28.593699821136369</v>
      </c>
      <c r="N17" s="132">
        <f>IF(SER_hh_tesh!N17=0,0,SER_hh_tesh!N17/SER_summary!N$26)</f>
        <v>29.086794258910675</v>
      </c>
      <c r="O17" s="132">
        <f>IF(SER_hh_tesh!O17=0,0,SER_hh_tesh!O17/SER_summary!O$26)</f>
        <v>30.472945208780537</v>
      </c>
      <c r="P17" s="132">
        <f>IF(SER_hh_tesh!P17=0,0,SER_hh_tesh!P17/SER_summary!P$26)</f>
        <v>28.86707237512119</v>
      </c>
      <c r="Q17" s="132">
        <f>IF(SER_hh_tesh!Q17=0,0,SER_hh_tesh!Q17/SER_summary!Q$26)</f>
        <v>26.547930358030424</v>
      </c>
      <c r="R17" s="132">
        <f>IF(SER_hh_tesh!R17=0,0,SER_hh_tesh!R17/SER_summary!R$26)</f>
        <v>29.509066905369234</v>
      </c>
      <c r="S17" s="132">
        <f>IF(SER_hh_tesh!S17=0,0,SER_hh_tesh!S17/SER_summary!S$26)</f>
        <v>26.099471057442653</v>
      </c>
      <c r="T17" s="132">
        <f>IF(SER_hh_tesh!T17=0,0,SER_hh_tesh!T17/SER_summary!T$26)</f>
        <v>35.687104654061194</v>
      </c>
      <c r="U17" s="132">
        <f>IF(SER_hh_tesh!U17=0,0,SER_hh_tesh!U17/SER_summary!U$26)</f>
        <v>34.272243950985057</v>
      </c>
      <c r="V17" s="132">
        <f>IF(SER_hh_tesh!V17=0,0,SER_hh_tesh!V17/SER_summary!V$26)</f>
        <v>25.270140147912056</v>
      </c>
      <c r="W17" s="132">
        <f>IF(SER_hh_tesh!W17=0,0,SER_hh_tesh!W17/SER_summary!W$26)</f>
        <v>24.522720923440883</v>
      </c>
      <c r="X17" s="132">
        <f>IF(SER_hh_tesh!X17=0,0,SER_hh_tesh!X17/SER_summary!X$26)</f>
        <v>32.486353580077889</v>
      </c>
      <c r="Y17" s="132">
        <f>IF(SER_hh_tesh!Y17=0,0,SER_hh_tesh!Y17/SER_summary!Y$26)</f>
        <v>30.893356697054973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27.936880672220159</v>
      </c>
      <c r="C18" s="132">
        <f>IF(SER_hh_tesh!C18=0,0,SER_hh_tesh!C18/SER_summary!C$26)</f>
        <v>28.201023418353124</v>
      </c>
      <c r="D18" s="132">
        <f>IF(SER_hh_tesh!D18=0,0,SER_hh_tesh!D18/SER_summary!D$26)</f>
        <v>28.336286642025357</v>
      </c>
      <c r="E18" s="132">
        <f>IF(SER_hh_tesh!E18=0,0,SER_hh_tesh!E18/SER_summary!E$26)</f>
        <v>34.362502788747044</v>
      </c>
      <c r="F18" s="132">
        <f>IF(SER_hh_tesh!F18=0,0,SER_hh_tesh!F18/SER_summary!F$26)</f>
        <v>28.0531685986974</v>
      </c>
      <c r="G18" s="132">
        <f>IF(SER_hh_tesh!G18=0,0,SER_hh_tesh!G18/SER_summary!G$26)</f>
        <v>28.309876346421206</v>
      </c>
      <c r="H18" s="132">
        <f>IF(SER_hh_tesh!H18=0,0,SER_hh_tesh!H18/SER_summary!H$26)</f>
        <v>31.255436935720205</v>
      </c>
      <c r="I18" s="132">
        <f>IF(SER_hh_tesh!I18=0,0,SER_hh_tesh!I18/SER_summary!I$26)</f>
        <v>28.384617818860448</v>
      </c>
      <c r="J18" s="132">
        <f>IF(SER_hh_tesh!J18=0,0,SER_hh_tesh!J18/SER_summary!J$26)</f>
        <v>28.44230793070361</v>
      </c>
      <c r="K18" s="132">
        <f>IF(SER_hh_tesh!K18=0,0,SER_hh_tesh!K18/SER_summary!K$26)</f>
        <v>28.34478172424803</v>
      </c>
      <c r="L18" s="132">
        <f>IF(SER_hh_tesh!L18=0,0,SER_hh_tesh!L18/SER_summary!L$26)</f>
        <v>30.867769636097858</v>
      </c>
      <c r="M18" s="132">
        <f>IF(SER_hh_tesh!M18=0,0,SER_hh_tesh!M18/SER_summary!M$26)</f>
        <v>28.593699821154615</v>
      </c>
      <c r="N18" s="132">
        <f>IF(SER_hh_tesh!N18=0,0,SER_hh_tesh!N18/SER_summary!N$26)</f>
        <v>29.086794258909382</v>
      </c>
      <c r="O18" s="132">
        <f>IF(SER_hh_tesh!O18=0,0,SER_hh_tesh!O18/SER_summary!O$26)</f>
        <v>30.47294520865805</v>
      </c>
      <c r="P18" s="132">
        <f>IF(SER_hh_tesh!P18=0,0,SER_hh_tesh!P18/SER_summary!P$26)</f>
        <v>28.867072374872009</v>
      </c>
      <c r="Q18" s="132">
        <f>IF(SER_hh_tesh!Q18=0,0,SER_hh_tesh!Q18/SER_summary!Q$26)</f>
        <v>32.623796309567169</v>
      </c>
      <c r="R18" s="132">
        <f>IF(SER_hh_tesh!R18=0,0,SER_hh_tesh!R18/SER_summary!R$26)</f>
        <v>29.509067029454883</v>
      </c>
      <c r="S18" s="132">
        <f>IF(SER_hh_tesh!S18=0,0,SER_hh_tesh!S18/SER_summary!S$26)</f>
        <v>29.147627872963486</v>
      </c>
      <c r="T18" s="132">
        <f>IF(SER_hh_tesh!T18=0,0,SER_hh_tesh!T18/SER_summary!T$26)</f>
        <v>35.687105075809562</v>
      </c>
      <c r="U18" s="132">
        <f>IF(SER_hh_tesh!U18=0,0,SER_hh_tesh!U18/SER_summary!U$26)</f>
        <v>34.272243761783002</v>
      </c>
      <c r="V18" s="132">
        <f>IF(SER_hh_tesh!V18=0,0,SER_hh_tesh!V18/SER_summary!V$26)</f>
        <v>29.718238774854971</v>
      </c>
      <c r="W18" s="132">
        <f>IF(SER_hh_tesh!W18=0,0,SER_hh_tesh!W18/SER_summary!W$26)</f>
        <v>28.93683891409076</v>
      </c>
      <c r="X18" s="132">
        <f>IF(SER_hh_tesh!X18=0,0,SER_hh_tesh!X18/SER_summary!X$26)</f>
        <v>32.486352883011833</v>
      </c>
      <c r="Y18" s="132">
        <f>IF(SER_hh_tesh!Y18=0,0,SER_hh_tesh!Y18/SER_summary!Y$26)</f>
        <v>30.893356187485374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6.8425830058112478</v>
      </c>
      <c r="C19" s="130">
        <f>IF(SER_hh_tesh!C19=0,0,SER_hh_tesh!C19/SER_summary!C$26)</f>
        <v>6.5891364859196688</v>
      </c>
      <c r="D19" s="130">
        <f>IF(SER_hh_tesh!D19=0,0,SER_hh_tesh!D19/SER_summary!D$26)</f>
        <v>6.6603570170883124</v>
      </c>
      <c r="E19" s="130">
        <f>IF(SER_hh_tesh!E19=0,0,SER_hh_tesh!E19/SER_summary!E$26)</f>
        <v>6.99940681946459</v>
      </c>
      <c r="F19" s="130">
        <f>IF(SER_hh_tesh!F19=0,0,SER_hh_tesh!F19/SER_summary!F$26)</f>
        <v>6.8674189433693744</v>
      </c>
      <c r="G19" s="130">
        <f>IF(SER_hh_tesh!G19=0,0,SER_hh_tesh!G19/SER_summary!G$26)</f>
        <v>6.8719760824264124</v>
      </c>
      <c r="H19" s="130">
        <f>IF(SER_hh_tesh!H19=0,0,SER_hh_tesh!H19/SER_summary!H$26)</f>
        <v>6.9160918518259651</v>
      </c>
      <c r="I19" s="130">
        <f>IF(SER_hh_tesh!I19=0,0,SER_hh_tesh!I19/SER_summary!I$26)</f>
        <v>6.8829667394712484</v>
      </c>
      <c r="J19" s="130">
        <f>IF(SER_hh_tesh!J19=0,0,SER_hh_tesh!J19/SER_summary!J$26)</f>
        <v>6.8814876291316915</v>
      </c>
      <c r="K19" s="130">
        <f>IF(SER_hh_tesh!K19=0,0,SER_hh_tesh!K19/SER_summary!K$26)</f>
        <v>7.0550821694824997</v>
      </c>
      <c r="L19" s="130">
        <f>IF(SER_hh_tesh!L19=0,0,SER_hh_tesh!L19/SER_summary!L$26)</f>
        <v>7.0002707717094967</v>
      </c>
      <c r="M19" s="130">
        <f>IF(SER_hh_tesh!M19=0,0,SER_hh_tesh!M19/SER_summary!M$26)</f>
        <v>6.9358238676057073</v>
      </c>
      <c r="N19" s="130">
        <f>IF(SER_hh_tesh!N19=0,0,SER_hh_tesh!N19/SER_summary!N$26)</f>
        <v>7.0396633053563979</v>
      </c>
      <c r="O19" s="130">
        <f>IF(SER_hh_tesh!O19=0,0,SER_hh_tesh!O19/SER_summary!O$26)</f>
        <v>6.9177366817695471</v>
      </c>
      <c r="P19" s="130">
        <f>IF(SER_hh_tesh!P19=0,0,SER_hh_tesh!P19/SER_summary!P$26)</f>
        <v>7.1194113910245607</v>
      </c>
      <c r="Q19" s="130">
        <f>IF(SER_hh_tesh!Q19=0,0,SER_hh_tesh!Q19/SER_summary!Q$26)</f>
        <v>7.1392735186891212</v>
      </c>
      <c r="R19" s="130">
        <f>IF(SER_hh_tesh!R19=0,0,SER_hh_tesh!R19/SER_summary!R$26)</f>
        <v>7.0487274179071031</v>
      </c>
      <c r="S19" s="130">
        <f>IF(SER_hh_tesh!S19=0,0,SER_hh_tesh!S19/SER_summary!S$26)</f>
        <v>7.1218609411683582</v>
      </c>
      <c r="T19" s="130">
        <f>IF(SER_hh_tesh!T19=0,0,SER_hh_tesh!T19/SER_summary!T$26)</f>
        <v>7.6867397511040565</v>
      </c>
      <c r="U19" s="130">
        <f>IF(SER_hh_tesh!U19=0,0,SER_hh_tesh!U19/SER_summary!U$26)</f>
        <v>7.5310121429066559</v>
      </c>
      <c r="V19" s="130">
        <f>IF(SER_hh_tesh!V19=0,0,SER_hh_tesh!V19/SER_summary!V$26)</f>
        <v>6.6561275084012825</v>
      </c>
      <c r="W19" s="130">
        <f>IF(SER_hh_tesh!W19=0,0,SER_hh_tesh!W19/SER_summary!W$26)</f>
        <v>6.7844802457167539</v>
      </c>
      <c r="X19" s="130">
        <f>IF(SER_hh_tesh!X19=0,0,SER_hh_tesh!X19/SER_summary!X$26)</f>
        <v>6.3906854451561683</v>
      </c>
      <c r="Y19" s="130">
        <f>IF(SER_hh_tesh!Y19=0,0,SER_hh_tesh!Y19/SER_summary!Y$26)</f>
        <v>6.2616061216775547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6.2619370360517763</v>
      </c>
      <c r="C21" s="132">
        <f>IF(SER_hh_tesh!C21=0,0,SER_hh_tesh!C21/SER_summary!C$26)</f>
        <v>6.1849178530073088</v>
      </c>
      <c r="D21" s="132">
        <f>IF(SER_hh_tesh!D21=0,0,SER_hh_tesh!D21/SER_summary!D$26)</f>
        <v>7.0143533037441133</v>
      </c>
      <c r="E21" s="132">
        <f>IF(SER_hh_tesh!E21=0,0,SER_hh_tesh!E21/SER_summary!E$26)</f>
        <v>6.5347129952600271</v>
      </c>
      <c r="F21" s="132">
        <f>IF(SER_hh_tesh!F21=0,0,SER_hh_tesh!F21/SER_summary!F$26)</f>
        <v>7.1149364661045924</v>
      </c>
      <c r="G21" s="132">
        <f>IF(SER_hh_tesh!G21=0,0,SER_hh_tesh!G21/SER_summary!G$26)</f>
        <v>7.1669955382627331</v>
      </c>
      <c r="H21" s="132">
        <f>IF(SER_hh_tesh!H21=0,0,SER_hh_tesh!H21/SER_summary!H$26)</f>
        <v>6.9815207833851796</v>
      </c>
      <c r="I21" s="132">
        <f>IF(SER_hh_tesh!I21=0,0,SER_hh_tesh!I21/SER_summary!I$26)</f>
        <v>6.975643319309289</v>
      </c>
      <c r="J21" s="132">
        <f>IF(SER_hh_tesh!J21=0,0,SER_hh_tesh!J21/SER_summary!J$26)</f>
        <v>6.9968940002521531</v>
      </c>
      <c r="K21" s="132">
        <f>IF(SER_hh_tesh!K21=0,0,SER_hh_tesh!K21/SER_summary!K$26)</f>
        <v>7.0081830992235465</v>
      </c>
      <c r="L21" s="132">
        <f>IF(SER_hh_tesh!L21=0,0,SER_hh_tesh!L21/SER_summary!L$26)</f>
        <v>6.8585011408452043</v>
      </c>
      <c r="M21" s="132">
        <f>IF(SER_hh_tesh!M21=0,0,SER_hh_tesh!M21/SER_summary!M$26)</f>
        <v>7.1148036705039788</v>
      </c>
      <c r="N21" s="132">
        <f>IF(SER_hh_tesh!N21=0,0,SER_hh_tesh!N21/SER_summary!N$26)</f>
        <v>7.0571297667724782</v>
      </c>
      <c r="O21" s="132">
        <f>IF(SER_hh_tesh!O21=0,0,SER_hh_tesh!O21/SER_summary!O$26)</f>
        <v>6.6924659960861712</v>
      </c>
      <c r="P21" s="132">
        <f>IF(SER_hh_tesh!P21=0,0,SER_hh_tesh!P21/SER_summary!P$26)</f>
        <v>6.9680888038130639</v>
      </c>
      <c r="Q21" s="132">
        <f>IF(SER_hh_tesh!Q21=0,0,SER_hh_tesh!Q21/SER_summary!Q$26)</f>
        <v>7.1015687260959668</v>
      </c>
      <c r="R21" s="132">
        <f>IF(SER_hh_tesh!R21=0,0,SER_hh_tesh!R21/SER_summary!R$26)</f>
        <v>7.3205546217287862</v>
      </c>
      <c r="S21" s="132">
        <f>IF(SER_hh_tesh!S21=0,0,SER_hh_tesh!S21/SER_summary!S$26)</f>
        <v>6.3014749751160242</v>
      </c>
      <c r="T21" s="132">
        <f>IF(SER_hh_tesh!T21=0,0,SER_hh_tesh!T21/SER_summary!T$26)</f>
        <v>8.083856008503794</v>
      </c>
      <c r="U21" s="132">
        <f>IF(SER_hh_tesh!U21=0,0,SER_hh_tesh!U21/SER_summary!U$26)</f>
        <v>8.4574530821381018</v>
      </c>
      <c r="V21" s="132">
        <f>IF(SER_hh_tesh!V21=0,0,SER_hh_tesh!V21/SER_summary!V$26)</f>
        <v>6.9822919719730487</v>
      </c>
      <c r="W21" s="132">
        <f>IF(SER_hh_tesh!W21=0,0,SER_hh_tesh!W21/SER_summary!W$26)</f>
        <v>5.726597366970867</v>
      </c>
      <c r="X21" s="132">
        <f>IF(SER_hh_tesh!X21=0,0,SER_hh_tesh!X21/SER_summary!X$26)</f>
        <v>6.244050503407367</v>
      </c>
      <c r="Y21" s="132">
        <f>IF(SER_hh_tesh!Y21=0,0,SER_hh_tesh!Y21/SER_summary!Y$26)</f>
        <v>5.6780627812422981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6.6724193431183743</v>
      </c>
      <c r="C22" s="132">
        <f>IF(SER_hh_tesh!C22=0,0,SER_hh_tesh!C22/SER_summary!C$26)</f>
        <v>6.6943286663317512</v>
      </c>
      <c r="D22" s="132">
        <f>IF(SER_hh_tesh!D22=0,0,SER_hh_tesh!D22/SER_summary!D$26)</f>
        <v>7.5132636230784788</v>
      </c>
      <c r="E22" s="132">
        <f>IF(SER_hh_tesh!E22=0,0,SER_hh_tesh!E22/SER_summary!E$26)</f>
        <v>6.6737870185819936</v>
      </c>
      <c r="F22" s="132">
        <f>IF(SER_hh_tesh!F22=0,0,SER_hh_tesh!F22/SER_summary!F$26)</f>
        <v>6.7368657827247258</v>
      </c>
      <c r="G22" s="132">
        <f>IF(SER_hh_tesh!G22=0,0,SER_hh_tesh!G22/SER_summary!G$26)</f>
        <v>6.7048393532243296</v>
      </c>
      <c r="H22" s="132">
        <f>IF(SER_hh_tesh!H22=0,0,SER_hh_tesh!H22/SER_summary!H$26)</f>
        <v>6.8868057867917782</v>
      </c>
      <c r="I22" s="132">
        <f>IF(SER_hh_tesh!I22=0,0,SER_hh_tesh!I22/SER_summary!I$26)</f>
        <v>6.9174940949565267</v>
      </c>
      <c r="J22" s="132">
        <f>IF(SER_hh_tesh!J22=0,0,SER_hh_tesh!J22/SER_summary!J$26)</f>
        <v>6.930660056257179</v>
      </c>
      <c r="K22" s="132">
        <f>IF(SER_hh_tesh!K22=0,0,SER_hh_tesh!K22/SER_summary!K$26)</f>
        <v>6.9690570620241781</v>
      </c>
      <c r="L22" s="132">
        <f>IF(SER_hh_tesh!L22=0,0,SER_hh_tesh!L22/SER_summary!L$26)</f>
        <v>6.8667764826046165</v>
      </c>
      <c r="M22" s="132">
        <f>IF(SER_hh_tesh!M22=0,0,SER_hh_tesh!M22/SER_summary!M$26)</f>
        <v>6.9587905882308867</v>
      </c>
      <c r="N22" s="132">
        <f>IF(SER_hh_tesh!N22=0,0,SER_hh_tesh!N22/SER_summary!N$26)</f>
        <v>6.9631658428559096</v>
      </c>
      <c r="O22" s="132">
        <f>IF(SER_hh_tesh!O22=0,0,SER_hh_tesh!O22/SER_summary!O$26)</f>
        <v>6.9947215732297661</v>
      </c>
      <c r="P22" s="132">
        <f>IF(SER_hh_tesh!P22=0,0,SER_hh_tesh!P22/SER_summary!P$26)</f>
        <v>7.0789243739818399</v>
      </c>
      <c r="Q22" s="132">
        <f>IF(SER_hh_tesh!Q22=0,0,SER_hh_tesh!Q22/SER_summary!Q$26)</f>
        <v>7.1117898543899578</v>
      </c>
      <c r="R22" s="132">
        <f>IF(SER_hh_tesh!R22=0,0,SER_hh_tesh!R22/SER_summary!R$26)</f>
        <v>7.3054301982614085</v>
      </c>
      <c r="S22" s="132">
        <f>IF(SER_hh_tesh!S22=0,0,SER_hh_tesh!S22/SER_summary!S$26)</f>
        <v>7.8901051093113708</v>
      </c>
      <c r="T22" s="132">
        <f>IF(SER_hh_tesh!T22=0,0,SER_hh_tesh!T22/SER_summary!T$26)</f>
        <v>6.5687330678918991</v>
      </c>
      <c r="U22" s="132">
        <f>IF(SER_hh_tesh!U22=0,0,SER_hh_tesh!U22/SER_summary!U$26)</f>
        <v>7.136941754891839</v>
      </c>
      <c r="V22" s="132">
        <f>IF(SER_hh_tesh!V22=0,0,SER_hh_tesh!V22/SER_summary!V$26)</f>
        <v>6.4514613664747396</v>
      </c>
      <c r="W22" s="132">
        <f>IF(SER_hh_tesh!W22=0,0,SER_hh_tesh!W22/SER_summary!W$26)</f>
        <v>7.0610255152727595</v>
      </c>
      <c r="X22" s="132">
        <f>IF(SER_hh_tesh!X22=0,0,SER_hh_tesh!X22/SER_summary!X$26)</f>
        <v>6.2569630198215593</v>
      </c>
      <c r="Y22" s="132">
        <f>IF(SER_hh_tesh!Y22=0,0,SER_hh_tesh!Y22/SER_summary!Y$26)</f>
        <v>5.9721283446453004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6.8861746727990818</v>
      </c>
      <c r="C23" s="132">
        <f>IF(SER_hh_tesh!C23=0,0,SER_hh_tesh!C23/SER_summary!C$26)</f>
        <v>6.548286767194238</v>
      </c>
      <c r="D23" s="132">
        <f>IF(SER_hh_tesh!D23=0,0,SER_hh_tesh!D23/SER_summary!D$26)</f>
        <v>6.0393962490783801</v>
      </c>
      <c r="E23" s="132">
        <f>IF(SER_hh_tesh!E23=0,0,SER_hh_tesh!E23/SER_summary!E$26)</f>
        <v>6.9725214496954866</v>
      </c>
      <c r="F23" s="132">
        <f>IF(SER_hh_tesh!F23=0,0,SER_hh_tesh!F23/SER_summary!F$26)</f>
        <v>6.6607585589689107</v>
      </c>
      <c r="G23" s="132">
        <f>IF(SER_hh_tesh!G23=0,0,SER_hh_tesh!G23/SER_summary!G$26)</f>
        <v>6.8365899337691349</v>
      </c>
      <c r="H23" s="132">
        <f>IF(SER_hh_tesh!H23=0,0,SER_hh_tesh!H23/SER_summary!H$26)</f>
        <v>6.9911602421063339</v>
      </c>
      <c r="I23" s="132">
        <f>IF(SER_hh_tesh!I23=0,0,SER_hh_tesh!I23/SER_summary!I$26)</f>
        <v>6.7814065655425191</v>
      </c>
      <c r="J23" s="132">
        <f>IF(SER_hh_tesh!J23=0,0,SER_hh_tesh!J23/SER_summary!J$26)</f>
        <v>6.7945204923261118</v>
      </c>
      <c r="K23" s="132">
        <f>IF(SER_hh_tesh!K23=0,0,SER_hh_tesh!K23/SER_summary!K$26)</f>
        <v>6.9923193452650265</v>
      </c>
      <c r="L23" s="132">
        <f>IF(SER_hh_tesh!L23=0,0,SER_hh_tesh!L23/SER_summary!L$26)</f>
        <v>6.9206587068861944</v>
      </c>
      <c r="M23" s="132">
        <f>IF(SER_hh_tesh!M23=0,0,SER_hh_tesh!M23/SER_summary!M$26)</f>
        <v>6.8825594179839165</v>
      </c>
      <c r="N23" s="132">
        <f>IF(SER_hh_tesh!N23=0,0,SER_hh_tesh!N23/SER_summary!N$26)</f>
        <v>6.7499178022799367</v>
      </c>
      <c r="O23" s="132">
        <f>IF(SER_hh_tesh!O23=0,0,SER_hh_tesh!O23/SER_summary!O$26)</f>
        <v>6.9336215432640218</v>
      </c>
      <c r="P23" s="132">
        <f>IF(SER_hh_tesh!P23=0,0,SER_hh_tesh!P23/SER_summary!P$26)</f>
        <v>7.2919709321626458</v>
      </c>
      <c r="Q23" s="132">
        <f>IF(SER_hh_tesh!Q23=0,0,SER_hh_tesh!Q23/SER_summary!Q$26)</f>
        <v>7.1163691773926905</v>
      </c>
      <c r="R23" s="132">
        <f>IF(SER_hh_tesh!R23=0,0,SER_hh_tesh!R23/SER_summary!R$26)</f>
        <v>6.700598342411177</v>
      </c>
      <c r="S23" s="132">
        <f>IF(SER_hh_tesh!S23=0,0,SER_hh_tesh!S23/SER_summary!S$26)</f>
        <v>6.6041008038482865</v>
      </c>
      <c r="T23" s="132">
        <f>IF(SER_hh_tesh!T23=0,0,SER_hh_tesh!T23/SER_summary!T$26)</f>
        <v>8.1065087196337533</v>
      </c>
      <c r="U23" s="132">
        <f>IF(SER_hh_tesh!U23=0,0,SER_hh_tesh!U23/SER_summary!U$26)</f>
        <v>7.5058965893951166</v>
      </c>
      <c r="V23" s="132">
        <f>IF(SER_hh_tesh!V23=0,0,SER_hh_tesh!V23/SER_summary!V$26)</f>
        <v>6.7618638265802247</v>
      </c>
      <c r="W23" s="132">
        <f>IF(SER_hh_tesh!W23=0,0,SER_hh_tesh!W23/SER_summary!W$26)</f>
        <v>6.3821790106361629</v>
      </c>
      <c r="X23" s="132">
        <f>IF(SER_hh_tesh!X23=0,0,SER_hh_tesh!X23/SER_summary!X$26)</f>
        <v>6.4494005229779878</v>
      </c>
      <c r="Y23" s="132">
        <f>IF(SER_hh_tesh!Y23=0,0,SER_hh_tesh!Y23/SER_summary!Y$26)</f>
        <v>6.2920451471622858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0</v>
      </c>
      <c r="C25" s="132">
        <f>IF(SER_hh_tesh!C25=0,0,SER_hh_tesh!C25/SER_summary!C$26)</f>
        <v>0</v>
      </c>
      <c r="D25" s="132">
        <f>IF(SER_hh_tesh!D25=0,0,SER_hh_tesh!D25/SER_summary!D$26)</f>
        <v>0</v>
      </c>
      <c r="E25" s="132">
        <f>IF(SER_hh_tesh!E25=0,0,SER_hh_tesh!E25/SER_summary!E$26)</f>
        <v>9.7360888317932464</v>
      </c>
      <c r="F25" s="132">
        <f>IF(SER_hh_tesh!F25=0,0,SER_hh_tesh!F25/SER_summary!F$26)</f>
        <v>7.6129621546581063</v>
      </c>
      <c r="G25" s="132">
        <f>IF(SER_hh_tesh!G25=0,0,SER_hh_tesh!G25/SER_summary!G$26)</f>
        <v>6.9359379640381125</v>
      </c>
      <c r="H25" s="132">
        <f>IF(SER_hh_tesh!H25=0,0,SER_hh_tesh!H25/SER_summary!H$26)</f>
        <v>6.9323842973170882</v>
      </c>
      <c r="I25" s="132">
        <f>IF(SER_hh_tesh!I25=0,0,SER_hh_tesh!I25/SER_summary!I$26)</f>
        <v>6.8487160178522846</v>
      </c>
      <c r="J25" s="132">
        <f>IF(SER_hh_tesh!J25=0,0,SER_hh_tesh!J25/SER_summary!J$26)</f>
        <v>6.8922854179782371</v>
      </c>
      <c r="K25" s="132">
        <f>IF(SER_hh_tesh!K25=0,0,SER_hh_tesh!K25/SER_summary!K$26)</f>
        <v>6.9421340905562756</v>
      </c>
      <c r="L25" s="132">
        <f>IF(SER_hh_tesh!L25=0,0,SER_hh_tesh!L25/SER_summary!L$26)</f>
        <v>6.9452187326783177</v>
      </c>
      <c r="M25" s="132">
        <f>IF(SER_hh_tesh!M25=0,0,SER_hh_tesh!M25/SER_summary!M$26)</f>
        <v>7.2408775423509777</v>
      </c>
      <c r="N25" s="132">
        <f>IF(SER_hh_tesh!N25=0,0,SER_hh_tesh!N25/SER_summary!N$26)</f>
        <v>7.7422353025470398</v>
      </c>
      <c r="O25" s="132">
        <f>IF(SER_hh_tesh!O25=0,0,SER_hh_tesh!O25/SER_summary!O$26)</f>
        <v>6.0582076857686511</v>
      </c>
      <c r="P25" s="132">
        <f>IF(SER_hh_tesh!P25=0,0,SER_hh_tesh!P25/SER_summary!P$26)</f>
        <v>6.8540160222955642</v>
      </c>
      <c r="Q25" s="132">
        <f>IF(SER_hh_tesh!Q25=0,0,SER_hh_tesh!Q25/SER_summary!Q$26)</f>
        <v>7.3971077312283411</v>
      </c>
      <c r="R25" s="132">
        <f>IF(SER_hh_tesh!R25=0,0,SER_hh_tesh!R25/SER_summary!R$26)</f>
        <v>6.5760705948285283</v>
      </c>
      <c r="S25" s="132">
        <f>IF(SER_hh_tesh!S25=0,0,SER_hh_tesh!S25/SER_summary!S$26)</f>
        <v>7.0708679803264216</v>
      </c>
      <c r="T25" s="132">
        <f>IF(SER_hh_tesh!T25=0,0,SER_hh_tesh!T25/SER_summary!T$26)</f>
        <v>7.4516654986095094</v>
      </c>
      <c r="U25" s="132">
        <f>IF(SER_hh_tesh!U25=0,0,SER_hh_tesh!U25/SER_summary!U$26)</f>
        <v>7.4384229543937117</v>
      </c>
      <c r="V25" s="132">
        <f>IF(SER_hh_tesh!V25=0,0,SER_hh_tesh!V25/SER_summary!V$26)</f>
        <v>6.3567187707900121</v>
      </c>
      <c r="W25" s="132">
        <f>IF(SER_hh_tesh!W25=0,0,SER_hh_tesh!W25/SER_summary!W$26)</f>
        <v>6.8273448301502002</v>
      </c>
      <c r="X25" s="132">
        <f>IF(SER_hh_tesh!X25=0,0,SER_hh_tesh!X25/SER_summary!X$26)</f>
        <v>6.3647228308996482</v>
      </c>
      <c r="Y25" s="132">
        <f>IF(SER_hh_tesh!Y25=0,0,SER_hh_tesh!Y25/SER_summary!Y$26)</f>
        <v>6.2137437900975891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6.7851118129011931</v>
      </c>
      <c r="C26" s="65">
        <f>IF(SER_hh_tesh!C26=0,0,SER_hh_tesh!C26/SER_summary!C$26)</f>
        <v>6.3837609181082087</v>
      </c>
      <c r="D26" s="65">
        <f>IF(SER_hh_tesh!D26=0,0,SER_hh_tesh!D26/SER_summary!D$26)</f>
        <v>6.5856513510634258</v>
      </c>
      <c r="E26" s="65">
        <f>IF(SER_hh_tesh!E26=0,0,SER_hh_tesh!E26/SER_summary!E$26)</f>
        <v>5.8589133779884266</v>
      </c>
      <c r="F26" s="65">
        <f>IF(SER_hh_tesh!F26=0,0,SER_hh_tesh!F26/SER_summary!F$26)</f>
        <v>6.5653572689768485</v>
      </c>
      <c r="G26" s="65">
        <f>IF(SER_hh_tesh!G26=0,0,SER_hh_tesh!G26/SER_summary!G$26)</f>
        <v>6.7613125765353441</v>
      </c>
      <c r="H26" s="65">
        <f>IF(SER_hh_tesh!H26=0,0,SER_hh_tesh!H26/SER_summary!H$26)</f>
        <v>6.4407723501733489</v>
      </c>
      <c r="I26" s="65">
        <f>IF(SER_hh_tesh!I26=0,0,SER_hh_tesh!I26/SER_summary!I$26)</f>
        <v>6.6615110885756152</v>
      </c>
      <c r="J26" s="65">
        <f>IF(SER_hh_tesh!J26=0,0,SER_hh_tesh!J26/SER_summary!J$26)</f>
        <v>6.5646458756452377</v>
      </c>
      <c r="K26" s="65">
        <f>IF(SER_hh_tesh!K26=0,0,SER_hh_tesh!K26/SER_summary!K$26)</f>
        <v>6.9390827023542849</v>
      </c>
      <c r="L26" s="65">
        <f>IF(SER_hh_tesh!L26=0,0,SER_hh_tesh!L26/SER_summary!L$26)</f>
        <v>6.9324448819431206</v>
      </c>
      <c r="M26" s="65">
        <f>IF(SER_hh_tesh!M26=0,0,SER_hh_tesh!M26/SER_summary!M$26)</f>
        <v>6.3247287289494718</v>
      </c>
      <c r="N26" s="65">
        <f>IF(SER_hh_tesh!N26=0,0,SER_hh_tesh!N26/SER_summary!N$26)</f>
        <v>6.7501538233051299</v>
      </c>
      <c r="O26" s="65">
        <f>IF(SER_hh_tesh!O26=0,0,SER_hh_tesh!O26/SER_summary!O$26)</f>
        <v>6.823916885021192</v>
      </c>
      <c r="P26" s="65">
        <f>IF(SER_hh_tesh!P26=0,0,SER_hh_tesh!P26/SER_summary!P$26)</f>
        <v>6.5167135425251228</v>
      </c>
      <c r="Q26" s="65">
        <f>IF(SER_hh_tesh!Q26=0,0,SER_hh_tesh!Q26/SER_summary!Q$26)</f>
        <v>6.6572581882087878</v>
      </c>
      <c r="R26" s="65">
        <f>IF(SER_hh_tesh!R26=0,0,SER_hh_tesh!R26/SER_summary!R$26)</f>
        <v>7.2001753628756564</v>
      </c>
      <c r="S26" s="65">
        <f>IF(SER_hh_tesh!S26=0,0,SER_hh_tesh!S26/SER_summary!S$26)</f>
        <v>7.1623335538260227</v>
      </c>
      <c r="T26" s="65">
        <f>IF(SER_hh_tesh!T26=0,0,SER_hh_tesh!T26/SER_summary!T$26)</f>
        <v>6.9546902819546963</v>
      </c>
      <c r="U26" s="65">
        <f>IF(SER_hh_tesh!U26=0,0,SER_hh_tesh!U26/SER_summary!U$26)</f>
        <v>7.3495769334980139</v>
      </c>
      <c r="V26" s="65">
        <f>IF(SER_hh_tesh!V26=0,0,SER_hh_tesh!V26/SER_summary!V$26)</f>
        <v>5.7779577283527024</v>
      </c>
      <c r="W26" s="65">
        <f>IF(SER_hh_tesh!W26=0,0,SER_hh_tesh!W26/SER_summary!W$26)</f>
        <v>7.8918339912690865</v>
      </c>
      <c r="X26" s="65">
        <f>IF(SER_hh_tesh!X26=0,0,SER_hh_tesh!X26/SER_summary!X$26)</f>
        <v>4.850040517068142</v>
      </c>
      <c r="Y26" s="65">
        <f>IF(SER_hh_tesh!Y26=0,0,SER_hh_tesh!Y26/SER_summary!Y$26)</f>
        <v>4.672517261991243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5.5741095700715781E-2</v>
      </c>
      <c r="C27" s="145">
        <f>IF(SER_hh_tesh!C27=0,0,SER_hh_tesh!C27/SER_summary!C$26)</f>
        <v>5.3953546618554317E-2</v>
      </c>
      <c r="D27" s="145">
        <f>IF(SER_hh_tesh!D27=0,0,SER_hh_tesh!D27/SER_summary!D$26)</f>
        <v>5.9466311734533518E-2</v>
      </c>
      <c r="E27" s="145">
        <f>IF(SER_hh_tesh!E27=0,0,SER_hh_tesh!E27/SER_summary!E$26)</f>
        <v>6.3260133596469287E-2</v>
      </c>
      <c r="F27" s="145">
        <f>IF(SER_hh_tesh!F27=0,0,SER_hh_tesh!F27/SER_summary!F$26)</f>
        <v>5.8465750873447526E-2</v>
      </c>
      <c r="G27" s="145">
        <f>IF(SER_hh_tesh!G27=0,0,SER_hh_tesh!G27/SER_summary!G$26)</f>
        <v>6.5379498060296901E-2</v>
      </c>
      <c r="H27" s="145">
        <f>IF(SER_hh_tesh!H27=0,0,SER_hh_tesh!H27/SER_summary!H$26)</f>
        <v>6.9840591814174097E-2</v>
      </c>
      <c r="I27" s="145">
        <f>IF(SER_hh_tesh!I27=0,0,SER_hh_tesh!I27/SER_summary!I$26)</f>
        <v>7.3557649691728663E-2</v>
      </c>
      <c r="J27" s="145">
        <f>IF(SER_hh_tesh!J27=0,0,SER_hh_tesh!J27/SER_summary!J$26)</f>
        <v>7.8465709997159669E-2</v>
      </c>
      <c r="K27" s="145">
        <f>IF(SER_hh_tesh!K27=0,0,SER_hh_tesh!K27/SER_summary!K$26)</f>
        <v>8.7716962780301583E-2</v>
      </c>
      <c r="L27" s="145">
        <f>IF(SER_hh_tesh!L27=0,0,SER_hh_tesh!L27/SER_summary!L$26)</f>
        <v>8.8795718295422224E-2</v>
      </c>
      <c r="M27" s="145">
        <f>IF(SER_hh_tesh!M27=0,0,SER_hh_tesh!M27/SER_summary!M$26)</f>
        <v>9.6691026079789771E-2</v>
      </c>
      <c r="N27" s="145">
        <f>IF(SER_hh_tesh!N27=0,0,SER_hh_tesh!N27/SER_summary!N$26)</f>
        <v>9.5834605027177652E-2</v>
      </c>
      <c r="O27" s="145">
        <f>IF(SER_hh_tesh!O27=0,0,SER_hh_tesh!O27/SER_summary!O$26)</f>
        <v>9.2973277190362247E-2</v>
      </c>
      <c r="P27" s="145">
        <f>IF(SER_hh_tesh!P27=0,0,SER_hh_tesh!P27/SER_summary!P$26)</f>
        <v>9.6419847125465516E-2</v>
      </c>
      <c r="Q27" s="145">
        <f>IF(SER_hh_tesh!Q27=0,0,SER_hh_tesh!Q27/SER_summary!Q$26)</f>
        <v>9.9654424045521856E-2</v>
      </c>
      <c r="R27" s="145">
        <f>IF(SER_hh_tesh!R27=0,0,SER_hh_tesh!R27/SER_summary!R$26)</f>
        <v>9.6622557360793282E-2</v>
      </c>
      <c r="S27" s="145">
        <f>IF(SER_hh_tesh!S27=0,0,SER_hh_tesh!S27/SER_summary!S$26)</f>
        <v>9.6269993138754173E-2</v>
      </c>
      <c r="T27" s="145">
        <f>IF(SER_hh_tesh!T27=0,0,SER_hh_tesh!T27/SER_summary!T$26)</f>
        <v>0.10678425234962616</v>
      </c>
      <c r="U27" s="145">
        <f>IF(SER_hh_tesh!U27=0,0,SER_hh_tesh!U27/SER_summary!U$26)</f>
        <v>0.10055038446788225</v>
      </c>
      <c r="V27" s="145">
        <f>IF(SER_hh_tesh!V27=0,0,SER_hh_tesh!V27/SER_summary!V$26)</f>
        <v>0.1039982892546317</v>
      </c>
      <c r="W27" s="145">
        <f>IF(SER_hh_tesh!W27=0,0,SER_hh_tesh!W27/SER_summary!W$26)</f>
        <v>9.8125269916654254E-2</v>
      </c>
      <c r="X27" s="145">
        <f>IF(SER_hh_tesh!X27=0,0,SER_hh_tesh!X27/SER_summary!X$26)</f>
        <v>0.11021286557481548</v>
      </c>
      <c r="Y27" s="145">
        <f>IF(SER_hh_tesh!Y27=0,0,SER_hh_tesh!Y27/SER_summary!Y$26)</f>
        <v>0.1023412386520383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3.8537895365871635</v>
      </c>
      <c r="C28" s="146">
        <f>IF(SER_hh_tesh!C28=0,0,SER_hh_tesh!C28/SER_summary!C$26)</f>
        <v>3.8566875506640215</v>
      </c>
      <c r="D28" s="146">
        <f>IF(SER_hh_tesh!D28=0,0,SER_hh_tesh!D28/SER_summary!D$26)</f>
        <v>3.8148239038880072</v>
      </c>
      <c r="E28" s="146">
        <f>IF(SER_hh_tesh!E28=0,0,SER_hh_tesh!E28/SER_summary!E$26)</f>
        <v>4.0124208994282204</v>
      </c>
      <c r="F28" s="146">
        <f>IF(SER_hh_tesh!F28=0,0,SER_hh_tesh!F28/SER_summary!F$26)</f>
        <v>3.7372566820308566</v>
      </c>
      <c r="G28" s="146">
        <f>IF(SER_hh_tesh!G28=0,0,SER_hh_tesh!G28/SER_summary!G$26)</f>
        <v>3.7930114012277243</v>
      </c>
      <c r="H28" s="146">
        <f>IF(SER_hh_tesh!H28=0,0,SER_hh_tesh!H28/SER_summary!H$26)</f>
        <v>3.849168658020528</v>
      </c>
      <c r="I28" s="146">
        <f>IF(SER_hh_tesh!I28=0,0,SER_hh_tesh!I28/SER_summary!I$26)</f>
        <v>3.4768563708070919</v>
      </c>
      <c r="J28" s="146">
        <f>IF(SER_hh_tesh!J28=0,0,SER_hh_tesh!J28/SER_summary!J$26)</f>
        <v>3.8226017764285309</v>
      </c>
      <c r="K28" s="146">
        <f>IF(SER_hh_tesh!K28=0,0,SER_hh_tesh!K28/SER_summary!K$26)</f>
        <v>3.8738556248465414</v>
      </c>
      <c r="L28" s="146">
        <f>IF(SER_hh_tesh!L28=0,0,SER_hh_tesh!L28/SER_summary!L$26)</f>
        <v>3.8699327170168236</v>
      </c>
      <c r="M28" s="146">
        <f>IF(SER_hh_tesh!M28=0,0,SER_hh_tesh!M28/SER_summary!M$26)</f>
        <v>3.6939009527523807</v>
      </c>
      <c r="N28" s="146">
        <f>IF(SER_hh_tesh!N28=0,0,SER_hh_tesh!N28/SER_summary!N$26)</f>
        <v>3.7402673817009706</v>
      </c>
      <c r="O28" s="146">
        <f>IF(SER_hh_tesh!O28=0,0,SER_hh_tesh!O28/SER_summary!O$26)</f>
        <v>3.529447751764454</v>
      </c>
      <c r="P28" s="146">
        <f>IF(SER_hh_tesh!P28=0,0,SER_hh_tesh!P28/SER_summary!P$26)</f>
        <v>4.0510097633903124</v>
      </c>
      <c r="Q28" s="146">
        <f>IF(SER_hh_tesh!Q28=0,0,SER_hh_tesh!Q28/SER_summary!Q$26)</f>
        <v>4.06913496401625</v>
      </c>
      <c r="R28" s="146">
        <f>IF(SER_hh_tesh!R28=0,0,SER_hh_tesh!R28/SER_summary!R$26)</f>
        <v>3.969064577933072</v>
      </c>
      <c r="S28" s="146">
        <f>IF(SER_hh_tesh!S28=0,0,SER_hh_tesh!S28/SER_summary!S$26)</f>
        <v>3.8014327018084657</v>
      </c>
      <c r="T28" s="146">
        <f>IF(SER_hh_tesh!T28=0,0,SER_hh_tesh!T28/SER_summary!T$26)</f>
        <v>4.4060920909372809</v>
      </c>
      <c r="U28" s="146">
        <f>IF(SER_hh_tesh!U28=0,0,SER_hh_tesh!U28/SER_summary!U$26)</f>
        <v>4.290615195097593</v>
      </c>
      <c r="V28" s="146">
        <f>IF(SER_hh_tesh!V28=0,0,SER_hh_tesh!V28/SER_summary!V$26)</f>
        <v>4.0382030544898395</v>
      </c>
      <c r="W28" s="146">
        <f>IF(SER_hh_tesh!W28=0,0,SER_hh_tesh!W28/SER_summary!W$26)</f>
        <v>3.7680022845533627</v>
      </c>
      <c r="X28" s="146">
        <f>IF(SER_hh_tesh!X28=0,0,SER_hh_tesh!X28/SER_summary!X$26)</f>
        <v>3.7108149205628393</v>
      </c>
      <c r="Y28" s="146">
        <f>IF(SER_hh_tesh!Y28=0,0,SER_hh_tesh!Y28/SER_summary!Y$26)</f>
        <v>3.9318744889962258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7.339345567067288</v>
      </c>
      <c r="C29" s="130">
        <f>IF(SER_hh_tesh!C29=0,0,SER_hh_tesh!C29/SER_summary!C$26)</f>
        <v>7.158521562918529</v>
      </c>
      <c r="D29" s="130">
        <f>IF(SER_hh_tesh!D29=0,0,SER_hh_tesh!D29/SER_summary!D$26)</f>
        <v>7.5246110634094574</v>
      </c>
      <c r="E29" s="130">
        <f>IF(SER_hh_tesh!E29=0,0,SER_hh_tesh!E29/SER_summary!E$26)</f>
        <v>7.8503138210098236</v>
      </c>
      <c r="F29" s="130">
        <f>IF(SER_hh_tesh!F29=0,0,SER_hh_tesh!F29/SER_summary!F$26)</f>
        <v>7.825804666724764</v>
      </c>
      <c r="G29" s="130">
        <f>IF(SER_hh_tesh!G29=0,0,SER_hh_tesh!G29/SER_summary!G$26)</f>
        <v>7.6310082324050308</v>
      </c>
      <c r="H29" s="130">
        <f>IF(SER_hh_tesh!H29=0,0,SER_hh_tesh!H29/SER_summary!H$26)</f>
        <v>7.4620022728564299</v>
      </c>
      <c r="I29" s="130">
        <f>IF(SER_hh_tesh!I29=0,0,SER_hh_tesh!I29/SER_summary!I$26)</f>
        <v>7.5264259400725253</v>
      </c>
      <c r="J29" s="130">
        <f>IF(SER_hh_tesh!J29=0,0,SER_hh_tesh!J29/SER_summary!J$26)</f>
        <v>7.309845589507157</v>
      </c>
      <c r="K29" s="130">
        <f>IF(SER_hh_tesh!K29=0,0,SER_hh_tesh!K29/SER_summary!K$26)</f>
        <v>7.632538967047644</v>
      </c>
      <c r="L29" s="130">
        <f>IF(SER_hh_tesh!L29=0,0,SER_hh_tesh!L29/SER_summary!L$26)</f>
        <v>7.7752513099773672</v>
      </c>
      <c r="M29" s="130">
        <f>IF(SER_hh_tesh!M29=0,0,SER_hh_tesh!M29/SER_summary!M$26)</f>
        <v>7.6070129157377711</v>
      </c>
      <c r="N29" s="130">
        <f>IF(SER_hh_tesh!N29=0,0,SER_hh_tesh!N29/SER_summary!N$26)</f>
        <v>7.6401146540324856</v>
      </c>
      <c r="O29" s="130">
        <f>IF(SER_hh_tesh!O29=0,0,SER_hh_tesh!O29/SER_summary!O$26)</f>
        <v>7.7491036163475009</v>
      </c>
      <c r="P29" s="130">
        <f>IF(SER_hh_tesh!P29=0,0,SER_hh_tesh!P29/SER_summary!P$26)</f>
        <v>7.7091752715252246</v>
      </c>
      <c r="Q29" s="130">
        <f>IF(SER_hh_tesh!Q29=0,0,SER_hh_tesh!Q29/SER_summary!Q$26)</f>
        <v>7.7470322750135692</v>
      </c>
      <c r="R29" s="130">
        <f>IF(SER_hh_tesh!R29=0,0,SER_hh_tesh!R29/SER_summary!R$26)</f>
        <v>7.6968698948759329</v>
      </c>
      <c r="S29" s="130">
        <f>IF(SER_hh_tesh!S29=0,0,SER_hh_tesh!S29/SER_summary!S$26)</f>
        <v>7.8909024565532766</v>
      </c>
      <c r="T29" s="130">
        <f>IF(SER_hh_tesh!T29=0,0,SER_hh_tesh!T29/SER_summary!T$26)</f>
        <v>7.8609889993569286</v>
      </c>
      <c r="U29" s="130">
        <f>IF(SER_hh_tesh!U29=0,0,SER_hh_tesh!U29/SER_summary!U$26)</f>
        <v>7.9193027626283685</v>
      </c>
      <c r="V29" s="130">
        <f>IF(SER_hh_tesh!V29=0,0,SER_hh_tesh!V29/SER_summary!V$26)</f>
        <v>7.3309792456271996</v>
      </c>
      <c r="W29" s="130">
        <f>IF(SER_hh_tesh!W29=0,0,SER_hh_tesh!W29/SER_summary!W$26)</f>
        <v>7.583913094502007</v>
      </c>
      <c r="X29" s="130">
        <f>IF(SER_hh_tesh!X29=0,0,SER_hh_tesh!X29/SER_summary!X$26)</f>
        <v>6.4363843568867134</v>
      </c>
      <c r="Y29" s="130">
        <f>IF(SER_hh_tesh!Y29=0,0,SER_hh_tesh!Y29/SER_summary!Y$26)</f>
        <v>6.2026514650992937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8.2800989237149469</v>
      </c>
      <c r="C30" s="132">
        <f>IF(SER_hh_tesh!C30=0,0,SER_hh_tesh!C30/SER_summary!C$26)</f>
        <v>6.9317900349474186</v>
      </c>
      <c r="D30" s="132">
        <f>IF(SER_hh_tesh!D30=0,0,SER_hh_tesh!D30/SER_summary!D$26)</f>
        <v>5.0826627107835938</v>
      </c>
      <c r="E30" s="132">
        <f>IF(SER_hh_tesh!E30=0,0,SER_hh_tesh!E30/SER_summary!E$26)</f>
        <v>8.7933052691596636</v>
      </c>
      <c r="F30" s="132">
        <f>IF(SER_hh_tesh!F30=0,0,SER_hh_tesh!F30/SER_summary!F$26)</f>
        <v>6.9209843625141225</v>
      </c>
      <c r="G30" s="132">
        <f>IF(SER_hh_tesh!G30=0,0,SER_hh_tesh!G30/SER_summary!G$26)</f>
        <v>11.114721339054659</v>
      </c>
      <c r="H30" s="132">
        <f>IF(SER_hh_tesh!H30=0,0,SER_hh_tesh!H30/SER_summary!H$26)</f>
        <v>7.123144591895767</v>
      </c>
      <c r="I30" s="132">
        <f>IF(SER_hh_tesh!I30=0,0,SER_hh_tesh!I30/SER_summary!I$26)</f>
        <v>6.7180145431146379</v>
      </c>
      <c r="J30" s="132">
        <f>IF(SER_hh_tesh!J30=0,0,SER_hh_tesh!J30/SER_summary!J$26)</f>
        <v>7.9680900640120083</v>
      </c>
      <c r="K30" s="132">
        <f>IF(SER_hh_tesh!K30=0,0,SER_hh_tesh!K30/SER_summary!K$26)</f>
        <v>7.2043826830126951</v>
      </c>
      <c r="L30" s="132">
        <f>IF(SER_hh_tesh!L30=0,0,SER_hh_tesh!L30/SER_summary!L$26)</f>
        <v>6.1286703848151953</v>
      </c>
      <c r="M30" s="132">
        <f>IF(SER_hh_tesh!M30=0,0,SER_hh_tesh!M30/SER_summary!M$26)</f>
        <v>6.0851311489710396</v>
      </c>
      <c r="N30" s="132">
        <f>IF(SER_hh_tesh!N30=0,0,SER_hh_tesh!N30/SER_summary!N$26)</f>
        <v>6.7959428875387804</v>
      </c>
      <c r="O30" s="132">
        <f>IF(SER_hh_tesh!O30=0,0,SER_hh_tesh!O30/SER_summary!O$26)</f>
        <v>9.0804072748305025</v>
      </c>
      <c r="P30" s="132">
        <f>IF(SER_hh_tesh!P30=0,0,SER_hh_tesh!P30/SER_summary!P$26)</f>
        <v>7.710982821933138</v>
      </c>
      <c r="Q30" s="132">
        <f>IF(SER_hh_tesh!Q30=0,0,SER_hh_tesh!Q30/SER_summary!Q$26)</f>
        <v>6.6897905888688936</v>
      </c>
      <c r="R30" s="132">
        <f>IF(SER_hh_tesh!R30=0,0,SER_hh_tesh!R30/SER_summary!R$26)</f>
        <v>9.1236067753663281</v>
      </c>
      <c r="S30" s="132">
        <f>IF(SER_hh_tesh!S30=0,0,SER_hh_tesh!S30/SER_summary!S$26)</f>
        <v>6.054290685661516</v>
      </c>
      <c r="T30" s="132">
        <f>IF(SER_hh_tesh!T30=0,0,SER_hh_tesh!T30/SER_summary!T$26)</f>
        <v>7.9393834159965539</v>
      </c>
      <c r="U30" s="132">
        <f>IF(SER_hh_tesh!U30=0,0,SER_hh_tesh!U30/SER_summary!U$26)</f>
        <v>8.3896811379019312</v>
      </c>
      <c r="V30" s="132">
        <f>IF(SER_hh_tesh!V30=0,0,SER_hh_tesh!V30/SER_summary!V$26)</f>
        <v>8.3409779528271866</v>
      </c>
      <c r="W30" s="132">
        <f>IF(SER_hh_tesh!W30=0,0,SER_hh_tesh!W30/SER_summary!W$26)</f>
        <v>6.9642742896040781</v>
      </c>
      <c r="X30" s="132">
        <f>IF(SER_hh_tesh!X30=0,0,SER_hh_tesh!X30/SER_summary!X$26)</f>
        <v>9.0804314479023382</v>
      </c>
      <c r="Y30" s="132">
        <f>IF(SER_hh_tesh!Y30=0,0,SER_hh_tesh!Y30/SER_summary!Y$26)</f>
        <v>3.0987041858335651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7.3310259684816437</v>
      </c>
      <c r="C31" s="132">
        <f>IF(SER_hh_tesh!C31=0,0,SER_hh_tesh!C31/SER_summary!C$26)</f>
        <v>7.1740551484542872</v>
      </c>
      <c r="D31" s="132">
        <f>IF(SER_hh_tesh!D31=0,0,SER_hh_tesh!D31/SER_summary!D$26)</f>
        <v>7.6219164353601361</v>
      </c>
      <c r="E31" s="132">
        <f>IF(SER_hh_tesh!E31=0,0,SER_hh_tesh!E31/SER_summary!E$26)</f>
        <v>7.770877791207587</v>
      </c>
      <c r="F31" s="132">
        <f>IF(SER_hh_tesh!F31=0,0,SER_hh_tesh!F31/SER_summary!F$26)</f>
        <v>7.8705748117785284</v>
      </c>
      <c r="G31" s="132">
        <f>IF(SER_hh_tesh!G31=0,0,SER_hh_tesh!G31/SER_summary!G$26)</f>
        <v>7.5805287098653489</v>
      </c>
      <c r="H31" s="132">
        <f>IF(SER_hh_tesh!H31=0,0,SER_hh_tesh!H31/SER_summary!H$26)</f>
        <v>7.5768835830633998</v>
      </c>
      <c r="I31" s="132">
        <f>IF(SER_hh_tesh!I31=0,0,SER_hh_tesh!I31/SER_summary!I$26)</f>
        <v>7.4231762854932661</v>
      </c>
      <c r="J31" s="132">
        <f>IF(SER_hh_tesh!J31=0,0,SER_hh_tesh!J31/SER_summary!J$26)</f>
        <v>7.4698776509455351</v>
      </c>
      <c r="K31" s="132">
        <f>IF(SER_hh_tesh!K31=0,0,SER_hh_tesh!K31/SER_summary!K$26)</f>
        <v>7.6682096663286989</v>
      </c>
      <c r="L31" s="132">
        <f>IF(SER_hh_tesh!L31=0,0,SER_hh_tesh!L31/SER_summary!L$26)</f>
        <v>7.6182205018256335</v>
      </c>
      <c r="M31" s="132">
        <f>IF(SER_hh_tesh!M31=0,0,SER_hh_tesh!M31/SER_summary!M$26)</f>
        <v>7.5195374689806727</v>
      </c>
      <c r="N31" s="132">
        <f>IF(SER_hh_tesh!N31=0,0,SER_hh_tesh!N31/SER_summary!N$26)</f>
        <v>7.3414798569087472</v>
      </c>
      <c r="O31" s="132">
        <f>IF(SER_hh_tesh!O31=0,0,SER_hh_tesh!O31/SER_summary!O$26)</f>
        <v>7.0778141559477366</v>
      </c>
      <c r="P31" s="132">
        <f>IF(SER_hh_tesh!P31=0,0,SER_hh_tesh!P31/SER_summary!P$26)</f>
        <v>8.5939326794366604</v>
      </c>
      <c r="Q31" s="132">
        <f>IF(SER_hh_tesh!Q31=0,0,SER_hh_tesh!Q31/SER_summary!Q$26)</f>
        <v>7.8098271247450919</v>
      </c>
      <c r="R31" s="132">
        <f>IF(SER_hh_tesh!R31=0,0,SER_hh_tesh!R31/SER_summary!R$26)</f>
        <v>7.3315559669101749</v>
      </c>
      <c r="S31" s="132">
        <f>IF(SER_hh_tesh!S31=0,0,SER_hh_tesh!S31/SER_summary!S$26)</f>
        <v>7.5777861620060758</v>
      </c>
      <c r="T31" s="132">
        <f>IF(SER_hh_tesh!T31=0,0,SER_hh_tesh!T31/SER_summary!T$26)</f>
        <v>8.0956786946069492</v>
      </c>
      <c r="U31" s="132">
        <f>IF(SER_hh_tesh!U31=0,0,SER_hh_tesh!U31/SER_summary!U$26)</f>
        <v>8.492814560390725</v>
      </c>
      <c r="V31" s="132">
        <f>IF(SER_hh_tesh!V31=0,0,SER_hh_tesh!V31/SER_summary!V$26)</f>
        <v>6.8378871292315644</v>
      </c>
      <c r="W31" s="132">
        <f>IF(SER_hh_tesh!W31=0,0,SER_hh_tesh!W31/SER_summary!W$26)</f>
        <v>6.3723269350447316</v>
      </c>
      <c r="X31" s="132">
        <f>IF(SER_hh_tesh!X31=0,0,SER_hh_tesh!X31/SER_summary!X$26)</f>
        <v>6.4407627668652276</v>
      </c>
      <c r="Y31" s="132">
        <f>IF(SER_hh_tesh!Y31=0,0,SER_hh_tesh!Y31/SER_summary!Y$26)</f>
        <v>6.3926471118549131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10.957788311303755</v>
      </c>
      <c r="F32" s="132">
        <f>IF(SER_hh_tesh!F32=0,0,SER_hh_tesh!F32/SER_summary!F$26)</f>
        <v>8.2539098938674496</v>
      </c>
      <c r="G32" s="132">
        <f>IF(SER_hh_tesh!G32=0,0,SER_hh_tesh!G32/SER_summary!G$26)</f>
        <v>7.9023862937262885</v>
      </c>
      <c r="H32" s="132">
        <f>IF(SER_hh_tesh!H32=0,0,SER_hh_tesh!H32/SER_summary!H$26)</f>
        <v>7.608745427450855</v>
      </c>
      <c r="I32" s="132">
        <f>IF(SER_hh_tesh!I32=0,0,SER_hh_tesh!I32/SER_summary!I$26)</f>
        <v>7.3295317157859925</v>
      </c>
      <c r="J32" s="132">
        <f>IF(SER_hh_tesh!J32=0,0,SER_hh_tesh!J32/SER_summary!J$26)</f>
        <v>6.9501011261473407</v>
      </c>
      <c r="K32" s="132">
        <f>IF(SER_hh_tesh!K32=0,0,SER_hh_tesh!K32/SER_summary!K$26)</f>
        <v>7.808005362399089</v>
      </c>
      <c r="L32" s="132">
        <f>IF(SER_hh_tesh!L32=0,0,SER_hh_tesh!L32/SER_summary!L$26)</f>
        <v>7.9237908687650025</v>
      </c>
      <c r="M32" s="132">
        <f>IF(SER_hh_tesh!M32=0,0,SER_hh_tesh!M32/SER_summary!M$26)</f>
        <v>7.5258247790027264</v>
      </c>
      <c r="N32" s="132">
        <f>IF(SER_hh_tesh!N32=0,0,SER_hh_tesh!N32/SER_summary!N$26)</f>
        <v>7.8198822611403465</v>
      </c>
      <c r="O32" s="132">
        <f>IF(SER_hh_tesh!O32=0,0,SER_hh_tesh!O32/SER_summary!O$26)</f>
        <v>7.7995400495811333</v>
      </c>
      <c r="P32" s="132">
        <f>IF(SER_hh_tesh!P32=0,0,SER_hh_tesh!P32/SER_summary!P$26)</f>
        <v>7.7927591577500976</v>
      </c>
      <c r="Q32" s="132">
        <f>IF(SER_hh_tesh!Q32=0,0,SER_hh_tesh!Q32/SER_summary!Q$26)</f>
        <v>7.9426598723996022</v>
      </c>
      <c r="R32" s="132">
        <f>IF(SER_hh_tesh!R32=0,0,SER_hh_tesh!R32/SER_summary!R$26)</f>
        <v>7.5619349502809126</v>
      </c>
      <c r="S32" s="132">
        <f>IF(SER_hh_tesh!S32=0,0,SER_hh_tesh!S32/SER_summary!S$26)</f>
        <v>7.8454976450511404</v>
      </c>
      <c r="T32" s="132">
        <f>IF(SER_hh_tesh!T32=0,0,SER_hh_tesh!T32/SER_summary!T$26)</f>
        <v>8.2118870993973534</v>
      </c>
      <c r="U32" s="132">
        <f>IF(SER_hh_tesh!U32=0,0,SER_hh_tesh!U32/SER_summary!U$26)</f>
        <v>8.2211917200266491</v>
      </c>
      <c r="V32" s="132">
        <f>IF(SER_hh_tesh!V32=0,0,SER_hh_tesh!V32/SER_summary!V$26)</f>
        <v>6.8266905280522252</v>
      </c>
      <c r="W32" s="132">
        <f>IF(SER_hh_tesh!W32=0,0,SER_hh_tesh!W32/SER_summary!W$26)</f>
        <v>7.5273135359757122</v>
      </c>
      <c r="X32" s="132">
        <f>IF(SER_hh_tesh!X32=0,0,SER_hh_tesh!X32/SER_summary!X$26)</f>
        <v>6.1728029264639419</v>
      </c>
      <c r="Y32" s="132">
        <f>IF(SER_hh_tesh!Y32=0,0,SER_hh_tesh!Y32/SER_summary!Y$26)</f>
        <v>6.2883045979594856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7.2925259495182333</v>
      </c>
      <c r="C33" s="68">
        <f>IF(SER_hh_tesh!C33=0,0,SER_hh_tesh!C33/SER_summary!C$26)</f>
        <v>7.1472539551048646</v>
      </c>
      <c r="D33" s="68">
        <f>IF(SER_hh_tesh!D33=0,0,SER_hh_tesh!D33/SER_summary!D$26)</f>
        <v>7.5296863877604485</v>
      </c>
      <c r="E33" s="68">
        <f>IF(SER_hh_tesh!E33=0,0,SER_hh_tesh!E33/SER_summary!E$26)</f>
        <v>7.8867445010276809</v>
      </c>
      <c r="F33" s="68">
        <f>IF(SER_hh_tesh!F33=0,0,SER_hh_tesh!F33/SER_summary!F$26)</f>
        <v>7.8458178085664256</v>
      </c>
      <c r="G33" s="68">
        <f>IF(SER_hh_tesh!G33=0,0,SER_hh_tesh!G33/SER_summary!G$26)</f>
        <v>7.3372952403387357</v>
      </c>
      <c r="H33" s="68">
        <f>IF(SER_hh_tesh!H33=0,0,SER_hh_tesh!H33/SER_summary!H$26)</f>
        <v>7.3146496765321736</v>
      </c>
      <c r="I33" s="68">
        <f>IF(SER_hh_tesh!I33=0,0,SER_hh_tesh!I33/SER_summary!I$26)</f>
        <v>7.7671932881490413</v>
      </c>
      <c r="J33" s="68">
        <f>IF(SER_hh_tesh!J33=0,0,SER_hh_tesh!J33/SER_summary!J$26)</f>
        <v>7.0208732546906552</v>
      </c>
      <c r="K33" s="68">
        <f>IF(SER_hh_tesh!K33=0,0,SER_hh_tesh!K33/SER_summary!K$26)</f>
        <v>7.6245877383201988</v>
      </c>
      <c r="L33" s="68">
        <f>IF(SER_hh_tesh!L33=0,0,SER_hh_tesh!L33/SER_summary!L$26)</f>
        <v>8.0952797765811084</v>
      </c>
      <c r="M33" s="68">
        <f>IF(SER_hh_tesh!M33=0,0,SER_hh_tesh!M33/SER_summary!M$26)</f>
        <v>7.8259598516251865</v>
      </c>
      <c r="N33" s="68">
        <f>IF(SER_hh_tesh!N33=0,0,SER_hh_tesh!N33/SER_summary!N$26)</f>
        <v>8.0351668218201198</v>
      </c>
      <c r="O33" s="68">
        <f>IF(SER_hh_tesh!O33=0,0,SER_hh_tesh!O33/SER_summary!O$26)</f>
        <v>8.4468875996398083</v>
      </c>
      <c r="P33" s="68">
        <f>IF(SER_hh_tesh!P33=0,0,SER_hh_tesh!P33/SER_summary!P$26)</f>
        <v>6.3620806865334956</v>
      </c>
      <c r="Q33" s="68">
        <f>IF(SER_hh_tesh!Q33=0,0,SER_hh_tesh!Q33/SER_summary!Q$26)</f>
        <v>7.7409516368674991</v>
      </c>
      <c r="R33" s="68">
        <f>IF(SER_hh_tesh!R33=0,0,SER_hh_tesh!R33/SER_summary!R$26)</f>
        <v>8.1887196414467862</v>
      </c>
      <c r="S33" s="68">
        <f>IF(SER_hh_tesh!S33=0,0,SER_hh_tesh!S33/SER_summary!S$26)</f>
        <v>8.6563773252266607</v>
      </c>
      <c r="T33" s="68">
        <f>IF(SER_hh_tesh!T33=0,0,SER_hh_tesh!T33/SER_summary!T$26)</f>
        <v>7.2973548543165503</v>
      </c>
      <c r="U33" s="68">
        <f>IF(SER_hh_tesh!U33=0,0,SER_hh_tesh!U33/SER_summary!U$26)</f>
        <v>6.3258778073527147</v>
      </c>
      <c r="V33" s="68">
        <f>IF(SER_hh_tesh!V33=0,0,SER_hh_tesh!V33/SER_summary!V$26)</f>
        <v>8.6580518604860579</v>
      </c>
      <c r="W33" s="68">
        <f>IF(SER_hh_tesh!W33=0,0,SER_hh_tesh!W33/SER_summary!W$26)</f>
        <v>12.588432375146393</v>
      </c>
      <c r="X33" s="68">
        <f>IF(SER_hh_tesh!X33=0,0,SER_hh_tesh!X33/SER_summary!X$26)</f>
        <v>5.8870746307231929</v>
      </c>
      <c r="Y33" s="68">
        <f>IF(SER_hh_tesh!Y33=0,0,SER_hh_tesh!Y33/SER_summary!Y$26)</f>
        <v>5.2973357721732306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15.178542045231673</v>
      </c>
      <c r="C3" s="125">
        <f>IF(SER_hh_emih!C3=0,0,SER_hh_emih!C3/SER_summary!C$26)</f>
        <v>16.17751023501166</v>
      </c>
      <c r="D3" s="125">
        <f>IF(SER_hh_emih!D3=0,0,SER_hh_emih!D3/SER_summary!D$26)</f>
        <v>15.22501348537887</v>
      </c>
      <c r="E3" s="125">
        <f>IF(SER_hh_emih!E3=0,0,SER_hh_emih!E3/SER_summary!E$26)</f>
        <v>14.635614037713671</v>
      </c>
      <c r="F3" s="125">
        <f>IF(SER_hh_emih!F3=0,0,SER_hh_emih!F3/SER_summary!F$26)</f>
        <v>13.828038183315867</v>
      </c>
      <c r="G3" s="125">
        <f>IF(SER_hh_emih!G3=0,0,SER_hh_emih!G3/SER_summary!G$26)</f>
        <v>13.41563079029874</v>
      </c>
      <c r="H3" s="125">
        <f>IF(SER_hh_emih!H3=0,0,SER_hh_emih!H3/SER_summary!H$26)</f>
        <v>14.929738582415801</v>
      </c>
      <c r="I3" s="125">
        <f>IF(SER_hh_emih!I3=0,0,SER_hh_emih!I3/SER_summary!I$26)</f>
        <v>11.341701489793937</v>
      </c>
      <c r="J3" s="125">
        <f>IF(SER_hh_emih!J3=0,0,SER_hh_emih!J3/SER_summary!J$26)</f>
        <v>12.741461076498954</v>
      </c>
      <c r="K3" s="125">
        <f>IF(SER_hh_emih!K3=0,0,SER_hh_emih!K3/SER_summary!K$26)</f>
        <v>11.769008589650046</v>
      </c>
      <c r="L3" s="125">
        <f>IF(SER_hh_emih!L3=0,0,SER_hh_emih!L3/SER_summary!L$26)</f>
        <v>11.744761927904115</v>
      </c>
      <c r="M3" s="125">
        <f>IF(SER_hh_emih!M3=0,0,SER_hh_emih!M3/SER_summary!M$26)</f>
        <v>10.535472360377685</v>
      </c>
      <c r="N3" s="125">
        <f>IF(SER_hh_emih!N3=0,0,SER_hh_emih!N3/SER_summary!N$26)</f>
        <v>10.866557905495823</v>
      </c>
      <c r="O3" s="125">
        <f>IF(SER_hh_emih!O3=0,0,SER_hh_emih!O3/SER_summary!O$26)</f>
        <v>12.206685352671288</v>
      </c>
      <c r="P3" s="125">
        <f>IF(SER_hh_emih!P3=0,0,SER_hh_emih!P3/SER_summary!P$26)</f>
        <v>11.116021173647528</v>
      </c>
      <c r="Q3" s="125">
        <f>IF(SER_hh_emih!Q3=0,0,SER_hh_emih!Q3/SER_summary!Q$26)</f>
        <v>11.450943011324858</v>
      </c>
      <c r="R3" s="125">
        <f>IF(SER_hh_emih!R3=0,0,SER_hh_emih!R3/SER_summary!R$26)</f>
        <v>11.070875765932989</v>
      </c>
      <c r="S3" s="125">
        <f>IF(SER_hh_emih!S3=0,0,SER_hh_emih!S3/SER_summary!S$26)</f>
        <v>10.979219707412392</v>
      </c>
      <c r="T3" s="125">
        <f>IF(SER_hh_emih!T3=0,0,SER_hh_emih!T3/SER_summary!T$26)</f>
        <v>9.9609361676460662</v>
      </c>
      <c r="U3" s="125">
        <f>IF(SER_hh_emih!U3=0,0,SER_hh_emih!U3/SER_summary!U$26)</f>
        <v>9.3108491225053864</v>
      </c>
      <c r="V3" s="125">
        <f>IF(SER_hh_emih!V3=0,0,SER_hh_emih!V3/SER_summary!V$26)</f>
        <v>9.062861299079449</v>
      </c>
      <c r="W3" s="125">
        <f>IF(SER_hh_emih!W3=0,0,SER_hh_emih!W3/SER_summary!W$26)</f>
        <v>10.579976602229809</v>
      </c>
      <c r="X3" s="125">
        <f>IF(SER_hh_emih!X3=0,0,SER_hh_emih!X3/SER_summary!X$26)</f>
        <v>7.6075726660563356</v>
      </c>
      <c r="Y3" s="125">
        <f>IF(SER_hh_emih!Y3=0,0,SER_hh_emih!Y3/SER_summary!Y$26)</f>
        <v>7.1208405341228618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11.743139217280557</v>
      </c>
      <c r="C4" s="130">
        <f>IF(SER_hh_emih!C4=0,0,SER_hh_emih!C4/SER_summary!C$26)</f>
        <v>12.793767105987964</v>
      </c>
      <c r="D4" s="130">
        <f>IF(SER_hh_emih!D4=0,0,SER_hh_emih!D4/SER_summary!D$26)</f>
        <v>11.78067541386892</v>
      </c>
      <c r="E4" s="130">
        <f>IF(SER_hh_emih!E4=0,0,SER_hh_emih!E4/SER_summary!E$26)</f>
        <v>11.192461501030181</v>
      </c>
      <c r="F4" s="130">
        <f>IF(SER_hh_emih!F4=0,0,SER_hh_emih!F4/SER_summary!F$26)</f>
        <v>10.451412532449327</v>
      </c>
      <c r="G4" s="130">
        <f>IF(SER_hh_emih!G4=0,0,SER_hh_emih!G4/SER_summary!G$26)</f>
        <v>10.080967235007925</v>
      </c>
      <c r="H4" s="130">
        <f>IF(SER_hh_emih!H4=0,0,SER_hh_emih!H4/SER_summary!H$26)</f>
        <v>11.641585139179922</v>
      </c>
      <c r="I4" s="130">
        <f>IF(SER_hh_emih!I4=0,0,SER_hh_emih!I4/SER_summary!I$26)</f>
        <v>8.1922813015953242</v>
      </c>
      <c r="J4" s="130">
        <f>IF(SER_hh_emih!J4=0,0,SER_hh_emih!J4/SER_summary!J$26)</f>
        <v>9.6258313491944865</v>
      </c>
      <c r="K4" s="130">
        <f>IF(SER_hh_emih!K4=0,0,SER_hh_emih!K4/SER_summary!K$26)</f>
        <v>8.7325015354877031</v>
      </c>
      <c r="L4" s="130">
        <f>IF(SER_hh_emih!L4=0,0,SER_hh_emih!L4/SER_summary!L$26)</f>
        <v>8.8380168830543653</v>
      </c>
      <c r="M4" s="130">
        <f>IF(SER_hh_emih!M4=0,0,SER_hh_emih!M4/SER_summary!M$26)</f>
        <v>7.7063319976946199</v>
      </c>
      <c r="N4" s="130">
        <f>IF(SER_hh_emih!N4=0,0,SER_hh_emih!N4/SER_summary!N$26)</f>
        <v>8.0598700413375788</v>
      </c>
      <c r="O4" s="130">
        <f>IF(SER_hh_emih!O4=0,0,SER_hh_emih!O4/SER_summary!O$26)</f>
        <v>9.3088031529746456</v>
      </c>
      <c r="P4" s="130">
        <f>IF(SER_hh_emih!P4=0,0,SER_hh_emih!P4/SER_summary!P$26)</f>
        <v>7.7864401858823706</v>
      </c>
      <c r="Q4" s="130">
        <f>IF(SER_hh_emih!Q4=0,0,SER_hh_emih!Q4/SER_summary!Q$26)</f>
        <v>8.2845547576902359</v>
      </c>
      <c r="R4" s="130">
        <f>IF(SER_hh_emih!R4=0,0,SER_hh_emih!R4/SER_summary!R$26)</f>
        <v>7.9878496222687421</v>
      </c>
      <c r="S4" s="130">
        <f>IF(SER_hh_emih!S4=0,0,SER_hh_emih!S4/SER_summary!S$26)</f>
        <v>7.8285873346856727</v>
      </c>
      <c r="T4" s="130">
        <f>IF(SER_hh_emih!T4=0,0,SER_hh_emih!T4/SER_summary!T$26)</f>
        <v>6.4732740944192688</v>
      </c>
      <c r="U4" s="130">
        <f>IF(SER_hh_emih!U4=0,0,SER_hh_emih!U4/SER_summary!U$26)</f>
        <v>5.7309371530859297</v>
      </c>
      <c r="V4" s="130">
        <f>IF(SER_hh_emih!V4=0,0,SER_hh_emih!V4/SER_summary!V$26)</f>
        <v>5.9659025104628123</v>
      </c>
      <c r="W4" s="130">
        <f>IF(SER_hh_emih!W4=0,0,SER_hh_emih!W4/SER_summary!W$26)</f>
        <v>7.5449076172935694</v>
      </c>
      <c r="X4" s="130">
        <f>IF(SER_hh_emih!X4=0,0,SER_hh_emih!X4/SER_summary!X$26)</f>
        <v>4.4881619408988671</v>
      </c>
      <c r="Y4" s="130">
        <f>IF(SER_hh_emih!Y4=0,0,SER_hh_emih!Y4/SER_summary!Y$26)</f>
        <v>4.0266950057167019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18.341890971997021</v>
      </c>
      <c r="C5" s="132">
        <f>IF(SER_hh_emih!C5=0,0,SER_hh_emih!C5/SER_summary!C$26)</f>
        <v>20.151219591388646</v>
      </c>
      <c r="D5" s="132">
        <f>IF(SER_hh_emih!D5=0,0,SER_hh_emih!D5/SER_summary!D$26)</f>
        <v>21.775836186976818</v>
      </c>
      <c r="E5" s="132">
        <f>IF(SER_hh_emih!E5=0,0,SER_hh_emih!E5/SER_summary!E$26)</f>
        <v>12.277327338939571</v>
      </c>
      <c r="F5" s="132">
        <f>IF(SER_hh_emih!F5=0,0,SER_hh_emih!F5/SER_summary!F$26)</f>
        <v>12.385615190231357</v>
      </c>
      <c r="G5" s="132">
        <f>IF(SER_hh_emih!G5=0,0,SER_hh_emih!G5/SER_summary!G$26)</f>
        <v>14.107691230863461</v>
      </c>
      <c r="H5" s="132">
        <f>IF(SER_hh_emih!H5=0,0,SER_hh_emih!H5/SER_summary!H$26)</f>
        <v>18.197868232731366</v>
      </c>
      <c r="I5" s="132">
        <f>IF(SER_hh_emih!I5=0,0,SER_hh_emih!I5/SER_summary!I$26)</f>
        <v>25.90787303792434</v>
      </c>
      <c r="J5" s="132">
        <f>IF(SER_hh_emih!J5=0,0,SER_hh_emih!J5/SER_summary!J$26)</f>
        <v>21.07861952761716</v>
      </c>
      <c r="K5" s="132">
        <f>IF(SER_hh_emih!K5=0,0,SER_hh_emih!K5/SER_summary!K$26)</f>
        <v>18.21164970688913</v>
      </c>
      <c r="L5" s="132">
        <f>IF(SER_hh_emih!L5=0,0,SER_hh_emih!L5/SER_summary!L$26)</f>
        <v>17.881615648767593</v>
      </c>
      <c r="M5" s="132">
        <f>IF(SER_hh_emih!M5=0,0,SER_hh_emih!M5/SER_summary!M$26)</f>
        <v>18.817392699349959</v>
      </c>
      <c r="N5" s="132">
        <f>IF(SER_hh_emih!N5=0,0,SER_hh_emih!N5/SER_summary!N$26)</f>
        <v>21.380158424595834</v>
      </c>
      <c r="O5" s="132">
        <f>IF(SER_hh_emih!O5=0,0,SER_hh_emih!O5/SER_summary!O$26)</f>
        <v>9.9207644240706401</v>
      </c>
      <c r="P5" s="132">
        <f>IF(SER_hh_emih!P5=0,0,SER_hh_emih!P5/SER_summary!P$26)</f>
        <v>13.624455001331018</v>
      </c>
      <c r="Q5" s="132">
        <f>IF(SER_hh_emih!Q5=0,0,SER_hh_emih!Q5/SER_summary!Q$26)</f>
        <v>30.53027158974524</v>
      </c>
      <c r="R5" s="132">
        <f>IF(SER_hh_emih!R5=0,0,SER_hh_emih!R5/SER_summary!R$26)</f>
        <v>7.3334893802598433</v>
      </c>
      <c r="S5" s="132">
        <f>IF(SER_hh_emih!S5=0,0,SER_hh_emih!S5/SER_summary!S$26)</f>
        <v>8.0802975178557208</v>
      </c>
      <c r="T5" s="132">
        <f>IF(SER_hh_emih!T5=0,0,SER_hh_emih!T5/SER_summary!T$26)</f>
        <v>20.297771956975012</v>
      </c>
      <c r="U5" s="132">
        <f>IF(SER_hh_emih!U5=0,0,SER_hh_emih!U5/SER_summary!U$26)</f>
        <v>3.8394677206771566</v>
      </c>
      <c r="V5" s="132">
        <f>IF(SER_hh_emih!V5=0,0,SER_hh_emih!V5/SER_summary!V$26)</f>
        <v>5.6398180225792531</v>
      </c>
      <c r="W5" s="132">
        <f>IF(SER_hh_emih!W5=0,0,SER_hh_emih!W5/SER_summary!W$26)</f>
        <v>1.7193586781250165</v>
      </c>
      <c r="X5" s="132">
        <f>IF(SER_hh_emih!X5=0,0,SER_hh_emih!X5/SER_summary!X$26)</f>
        <v>0.87517322645654405</v>
      </c>
      <c r="Y5" s="132">
        <f>IF(SER_hh_emih!Y5=0,0,SER_hh_emih!Y5/SER_summary!Y$26)</f>
        <v>16.154507020123837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15.331045356992036</v>
      </c>
      <c r="C7" s="132">
        <f>IF(SER_hh_emih!C7=0,0,SER_hh_emih!C7/SER_summary!C$26)</f>
        <v>19.171598173707405</v>
      </c>
      <c r="D7" s="132">
        <f>IF(SER_hh_emih!D7=0,0,SER_hh_emih!D7/SER_summary!D$26)</f>
        <v>17.216726887973962</v>
      </c>
      <c r="E7" s="132">
        <f>IF(SER_hh_emih!E7=0,0,SER_hh_emih!E7/SER_summary!E$26)</f>
        <v>19.845578143253771</v>
      </c>
      <c r="F7" s="132">
        <f>IF(SER_hh_emih!F7=0,0,SER_hh_emih!F7/SER_summary!F$26)</f>
        <v>19.393195104242007</v>
      </c>
      <c r="G7" s="132">
        <f>IF(SER_hh_emih!G7=0,0,SER_hh_emih!G7/SER_summary!G$26)</f>
        <v>19.498901147281121</v>
      </c>
      <c r="H7" s="132">
        <f>IF(SER_hh_emih!H7=0,0,SER_hh_emih!H7/SER_summary!H$26)</f>
        <v>20.902010872414248</v>
      </c>
      <c r="I7" s="132">
        <f>IF(SER_hh_emih!I7=0,0,SER_hh_emih!I7/SER_summary!I$26)</f>
        <v>13.825835070831459</v>
      </c>
      <c r="J7" s="132">
        <f>IF(SER_hh_emih!J7=0,0,SER_hh_emih!J7/SER_summary!J$26)</f>
        <v>18.430510764924907</v>
      </c>
      <c r="K7" s="132">
        <f>IF(SER_hh_emih!K7=0,0,SER_hh_emih!K7/SER_summary!K$26)</f>
        <v>16.478795410559702</v>
      </c>
      <c r="L7" s="132">
        <f>IF(SER_hh_emih!L7=0,0,SER_hh_emih!L7/SER_summary!L$26)</f>
        <v>16.616947838320833</v>
      </c>
      <c r="M7" s="132">
        <f>IF(SER_hh_emih!M7=0,0,SER_hh_emih!M7/SER_summary!M$26)</f>
        <v>14.1722117157426</v>
      </c>
      <c r="N7" s="132">
        <f>IF(SER_hh_emih!N7=0,0,SER_hh_emih!N7/SER_summary!N$26)</f>
        <v>14.604923680943955</v>
      </c>
      <c r="O7" s="132">
        <f>IF(SER_hh_emih!O7=0,0,SER_hh_emih!O7/SER_summary!O$26)</f>
        <v>15.203045205355226</v>
      </c>
      <c r="P7" s="132">
        <f>IF(SER_hh_emih!P7=0,0,SER_hh_emih!P7/SER_summary!P$26)</f>
        <v>13.423460646278828</v>
      </c>
      <c r="Q7" s="132">
        <f>IF(SER_hh_emih!Q7=0,0,SER_hh_emih!Q7/SER_summary!Q$26)</f>
        <v>13.439243897664596</v>
      </c>
      <c r="R7" s="132">
        <f>IF(SER_hh_emih!R7=0,0,SER_hh_emih!R7/SER_summary!R$26)</f>
        <v>13.814266810018673</v>
      </c>
      <c r="S7" s="132">
        <f>IF(SER_hh_emih!S7=0,0,SER_hh_emih!S7/SER_summary!S$26)</f>
        <v>14.921245257348202</v>
      </c>
      <c r="T7" s="132">
        <f>IF(SER_hh_emih!T7=0,0,SER_hh_emih!T7/SER_summary!T$26)</f>
        <v>10.8038015047775</v>
      </c>
      <c r="U7" s="132">
        <f>IF(SER_hh_emih!U7=0,0,SER_hh_emih!U7/SER_summary!U$26)</f>
        <v>12.046876740892674</v>
      </c>
      <c r="V7" s="132">
        <f>IF(SER_hh_emih!V7=0,0,SER_hh_emih!V7/SER_summary!V$26)</f>
        <v>11.963023259667848</v>
      </c>
      <c r="W7" s="132">
        <f>IF(SER_hh_emih!W7=0,0,SER_hh_emih!W7/SER_summary!W$26)</f>
        <v>19.862023492903614</v>
      </c>
      <c r="X7" s="132">
        <f>IF(SER_hh_emih!X7=0,0,SER_hh_emih!X7/SER_summary!X$26)</f>
        <v>8.8775819774052369</v>
      </c>
      <c r="Y7" s="132">
        <f>IF(SER_hh_emih!Y7=0,0,SER_hh_emih!Y7/SER_summary!Y$26)</f>
        <v>10.007198537684667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5.3712896201091542</v>
      </c>
      <c r="C8" s="132">
        <f>IF(SER_hh_emih!C8=0,0,SER_hh_emih!C8/SER_summary!C$26)</f>
        <v>5.5753189425498366</v>
      </c>
      <c r="D8" s="132">
        <f>IF(SER_hh_emih!D8=0,0,SER_hh_emih!D8/SER_summary!D$26)</f>
        <v>5.7134006446336221</v>
      </c>
      <c r="E8" s="132">
        <f>IF(SER_hh_emih!E8=0,0,SER_hh_emih!E8/SER_summary!E$26)</f>
        <v>5.9025773773713448</v>
      </c>
      <c r="F8" s="132">
        <f>IF(SER_hh_emih!F8=0,0,SER_hh_emih!F8/SER_summary!F$26)</f>
        <v>5.4452383052387354</v>
      </c>
      <c r="G8" s="132">
        <f>IF(SER_hh_emih!G8=0,0,SER_hh_emih!G8/SER_summary!G$26)</f>
        <v>4.2595480649778352</v>
      </c>
      <c r="H8" s="132">
        <f>IF(SER_hh_emih!H8=0,0,SER_hh_emih!H8/SER_summary!H$26)</f>
        <v>4.3636262288110341</v>
      </c>
      <c r="I8" s="132">
        <f>IF(SER_hh_emih!I8=0,0,SER_hh_emih!I8/SER_summary!I$26)</f>
        <v>4.5680875175067053</v>
      </c>
      <c r="J8" s="132">
        <f>IF(SER_hh_emih!J8=0,0,SER_hh_emih!J8/SER_summary!J$26)</f>
        <v>4.6396542867908801</v>
      </c>
      <c r="K8" s="132">
        <f>IF(SER_hh_emih!K8=0,0,SER_hh_emih!K8/SER_summary!K$26)</f>
        <v>4.005054317117116</v>
      </c>
      <c r="L8" s="132">
        <f>IF(SER_hh_emih!L8=0,0,SER_hh_emih!L8/SER_summary!L$26)</f>
        <v>3.4893181381008627</v>
      </c>
      <c r="M8" s="132">
        <f>IF(SER_hh_emih!M8=0,0,SER_hh_emih!M8/SER_summary!M$26)</f>
        <v>3.4759823081361283</v>
      </c>
      <c r="N8" s="132">
        <f>IF(SER_hh_emih!N8=0,0,SER_hh_emih!N8/SER_summary!N$26)</f>
        <v>3.4446506295851349</v>
      </c>
      <c r="O8" s="132">
        <f>IF(SER_hh_emih!O8=0,0,SER_hh_emih!O8/SER_summary!O$26)</f>
        <v>3.469389676861788</v>
      </c>
      <c r="P8" s="132">
        <f>IF(SER_hh_emih!P8=0,0,SER_hh_emih!P8/SER_summary!P$26)</f>
        <v>3.1065035449175862</v>
      </c>
      <c r="Q8" s="132">
        <f>IF(SER_hh_emih!Q8=0,0,SER_hh_emih!Q8/SER_summary!Q$26)</f>
        <v>3.1635744436074869</v>
      </c>
      <c r="R8" s="132">
        <f>IF(SER_hh_emih!R8=0,0,SER_hh_emih!R8/SER_summary!R$26)</f>
        <v>2.9784522428704419</v>
      </c>
      <c r="S8" s="132">
        <f>IF(SER_hh_emih!S8=0,0,SER_hh_emih!S8/SER_summary!S$26)</f>
        <v>2.7745955651969783</v>
      </c>
      <c r="T8" s="132">
        <f>IF(SER_hh_emih!T8=0,0,SER_hh_emih!T8/SER_summary!T$26)</f>
        <v>2.5396215351964346</v>
      </c>
      <c r="U8" s="132">
        <f>IF(SER_hh_emih!U8=0,0,SER_hh_emih!U8/SER_summary!U$26)</f>
        <v>2.5266637815031165</v>
      </c>
      <c r="V8" s="132">
        <f>IF(SER_hh_emih!V8=0,0,SER_hh_emih!V8/SER_summary!V$26)</f>
        <v>2.2929959078330273</v>
      </c>
      <c r="W8" s="132">
        <f>IF(SER_hh_emih!W8=0,0,SER_hh_emih!W8/SER_summary!W$26)</f>
        <v>2.2037471287977231</v>
      </c>
      <c r="X8" s="132">
        <f>IF(SER_hh_emih!X8=0,0,SER_hh_emih!X8/SER_summary!X$26)</f>
        <v>2.0931263812112153</v>
      </c>
      <c r="Y8" s="132">
        <f>IF(SER_hh_emih!Y8=0,0,SER_hh_emih!Y8/SER_summary!Y$26)</f>
        <v>1.9968614222364747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11.501939943354154</v>
      </c>
      <c r="C9" s="132">
        <f>IF(SER_hh_emih!C9=0,0,SER_hh_emih!C9/SER_summary!C$26)</f>
        <v>10.709228423503758</v>
      </c>
      <c r="D9" s="132">
        <f>IF(SER_hh_emih!D9=0,0,SER_hh_emih!D9/SER_summary!D$26)</f>
        <v>10.483969618260831</v>
      </c>
      <c r="E9" s="132">
        <f>IF(SER_hh_emih!E9=0,0,SER_hh_emih!E9/SER_summary!E$26)</f>
        <v>12.536301418070114</v>
      </c>
      <c r="F9" s="132">
        <f>IF(SER_hh_emih!F9=0,0,SER_hh_emih!F9/SER_summary!F$26)</f>
        <v>13.06575008854432</v>
      </c>
      <c r="G9" s="132">
        <f>IF(SER_hh_emih!G9=0,0,SER_hh_emih!G9/SER_summary!G$26)</f>
        <v>12.82656629863696</v>
      </c>
      <c r="H9" s="132">
        <f>IF(SER_hh_emih!H9=0,0,SER_hh_emih!H9/SER_summary!H$26)</f>
        <v>15.079932633254497</v>
      </c>
      <c r="I9" s="132">
        <f>IF(SER_hh_emih!I9=0,0,SER_hh_emih!I9/SER_summary!I$26)</f>
        <v>10.904534178091145</v>
      </c>
      <c r="J9" s="132">
        <f>IF(SER_hh_emih!J9=0,0,SER_hh_emih!J9/SER_summary!J$26)</f>
        <v>12.037136202370059</v>
      </c>
      <c r="K9" s="132">
        <f>IF(SER_hh_emih!K9=0,0,SER_hh_emih!K9/SER_summary!K$26)</f>
        <v>11.342844968979769</v>
      </c>
      <c r="L9" s="132">
        <f>IF(SER_hh_emih!L9=0,0,SER_hh_emih!L9/SER_summary!L$26)</f>
        <v>11.987646222607806</v>
      </c>
      <c r="M9" s="132">
        <f>IF(SER_hh_emih!M9=0,0,SER_hh_emih!M9/SER_summary!M$26)</f>
        <v>9.8671822386989039</v>
      </c>
      <c r="N9" s="132">
        <f>IF(SER_hh_emih!N9=0,0,SER_hh_emih!N9/SER_summary!N$26)</f>
        <v>9.8095720673454014</v>
      </c>
      <c r="O9" s="132">
        <f>IF(SER_hh_emih!O9=0,0,SER_hh_emih!O9/SER_summary!O$26)</f>
        <v>11.685908854359553</v>
      </c>
      <c r="P9" s="132">
        <f>IF(SER_hh_emih!P9=0,0,SER_hh_emih!P9/SER_summary!P$26)</f>
        <v>8.7240903302334747</v>
      </c>
      <c r="Q9" s="132">
        <f>IF(SER_hh_emih!Q9=0,0,SER_hh_emih!Q9/SER_summary!Q$26)</f>
        <v>9.4749673815173772</v>
      </c>
      <c r="R9" s="132">
        <f>IF(SER_hh_emih!R9=0,0,SER_hh_emih!R9/SER_summary!R$26)</f>
        <v>9.0966547147042895</v>
      </c>
      <c r="S9" s="132">
        <f>IF(SER_hh_emih!S9=0,0,SER_hh_emih!S9/SER_summary!S$26)</f>
        <v>8.6001382065515593</v>
      </c>
      <c r="T9" s="132">
        <f>IF(SER_hh_emih!T9=0,0,SER_hh_emih!T9/SER_summary!T$26)</f>
        <v>8.3239159042477233</v>
      </c>
      <c r="U9" s="132">
        <f>IF(SER_hh_emih!U9=0,0,SER_hh_emih!U9/SER_summary!U$26)</f>
        <v>6.7978738033328296</v>
      </c>
      <c r="V9" s="132">
        <f>IF(SER_hh_emih!V9=0,0,SER_hh_emih!V9/SER_summary!V$26)</f>
        <v>7.7251942555649524</v>
      </c>
      <c r="W9" s="132">
        <f>IF(SER_hh_emih!W9=0,0,SER_hh_emih!W9/SER_summary!W$26)</f>
        <v>8.7836919578729464</v>
      </c>
      <c r="X9" s="132">
        <f>IF(SER_hh_emih!X9=0,0,SER_hh_emih!X9/SER_summary!X$26)</f>
        <v>6.5807215881284176</v>
      </c>
      <c r="Y9" s="132">
        <f>IF(SER_hh_emih!Y9=0,0,SER_hh_emih!Y9/SER_summary!Y$26)</f>
        <v>5.7790039250180403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0.40395440823625217</v>
      </c>
      <c r="F10" s="132">
        <f>IF(SER_hh_emih!F10=0,0,SER_hh_emih!F10/SER_summary!F$26)</f>
        <v>0.46456309554690622</v>
      </c>
      <c r="G10" s="132">
        <f>IF(SER_hh_emih!G10=0,0,SER_hh_emih!G10/SER_summary!G$26)</f>
        <v>0.62671816143212244</v>
      </c>
      <c r="H10" s="132">
        <f>IF(SER_hh_emih!H10=0,0,SER_hh_emih!H10/SER_summary!H$26)</f>
        <v>0.50468645488851904</v>
      </c>
      <c r="I10" s="132">
        <f>IF(SER_hh_emih!I10=0,0,SER_hh_emih!I10/SER_summary!I$26)</f>
        <v>0.38691928715092272</v>
      </c>
      <c r="J10" s="132">
        <f>IF(SER_hh_emih!J10=0,0,SER_hh_emih!J10/SER_summary!J$26)</f>
        <v>0.24513547279370973</v>
      </c>
      <c r="K10" s="132">
        <f>IF(SER_hh_emih!K10=0,0,SER_hh_emih!K10/SER_summary!K$26)</f>
        <v>0.22278925854026088</v>
      </c>
      <c r="L10" s="132">
        <f>IF(SER_hh_emih!L10=0,0,SER_hh_emih!L10/SER_summary!L$26)</f>
        <v>0.21039581486018114</v>
      </c>
      <c r="M10" s="132">
        <f>IF(SER_hh_emih!M10=0,0,SER_hh_emih!M10/SER_summary!M$26)</f>
        <v>1.6772154663257925E-2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1.428213410661667E-3</v>
      </c>
      <c r="C16" s="130">
        <f>IF(SER_hh_emih!C16=0,0,SER_hh_emih!C16/SER_summary!C$26)</f>
        <v>1.4466110091082035E-3</v>
      </c>
      <c r="D16" s="130">
        <f>IF(SER_hh_emih!D16=0,0,SER_hh_emih!D16/SER_summary!D$26)</f>
        <v>1.4737769122414764E-3</v>
      </c>
      <c r="E16" s="130">
        <f>IF(SER_hh_emih!E16=0,0,SER_hh_emih!E16/SER_summary!E$26)</f>
        <v>1.6857878650927496E-3</v>
      </c>
      <c r="F16" s="130">
        <f>IF(SER_hh_emih!F16=0,0,SER_hh_emih!F16/SER_summary!F$26)</f>
        <v>1.943945973339211E-3</v>
      </c>
      <c r="G16" s="130">
        <f>IF(SER_hh_emih!G16=0,0,SER_hh_emih!G16/SER_summary!G$26)</f>
        <v>2.2579360959474491E-3</v>
      </c>
      <c r="H16" s="130">
        <f>IF(SER_hh_emih!H16=0,0,SER_hh_emih!H16/SER_summary!H$26)</f>
        <v>2.43923029134717E-3</v>
      </c>
      <c r="I16" s="130">
        <f>IF(SER_hh_emih!I16=0,0,SER_hh_emih!I16/SER_summary!I$26)</f>
        <v>3.3140947966232661E-3</v>
      </c>
      <c r="J16" s="130">
        <f>IF(SER_hh_emih!J16=0,0,SER_hh_emih!J16/SER_summary!J$26)</f>
        <v>3.8139890474116114E-3</v>
      </c>
      <c r="K16" s="130">
        <f>IF(SER_hh_emih!K16=0,0,SER_hh_emih!K16/SER_summary!K$26)</f>
        <v>4.3127822610891618E-3</v>
      </c>
      <c r="L16" s="130">
        <f>IF(SER_hh_emih!L16=0,0,SER_hh_emih!L16/SER_summary!L$26)</f>
        <v>5.192487104580929E-3</v>
      </c>
      <c r="M16" s="130">
        <f>IF(SER_hh_emih!M16=0,0,SER_hh_emih!M16/SER_summary!M$26)</f>
        <v>5.4195119506063628E-3</v>
      </c>
      <c r="N16" s="130">
        <f>IF(SER_hh_emih!N16=0,0,SER_hh_emih!N16/SER_summary!N$26)</f>
        <v>5.8831003715332916E-3</v>
      </c>
      <c r="O16" s="130">
        <f>IF(SER_hh_emih!O16=0,0,SER_hh_emih!O16/SER_summary!O$26)</f>
        <v>6.9522125620953262E-3</v>
      </c>
      <c r="P16" s="130">
        <f>IF(SER_hh_emih!P16=0,0,SER_hh_emih!P16/SER_summary!P$26)</f>
        <v>8.8804438491348388E-3</v>
      </c>
      <c r="Q16" s="130">
        <f>IF(SER_hh_emih!Q16=0,0,SER_hh_emih!Q16/SER_summary!Q$26)</f>
        <v>1.1845977101916698E-2</v>
      </c>
      <c r="R16" s="130">
        <f>IF(SER_hh_emih!R16=0,0,SER_hh_emih!R16/SER_summary!R$26)</f>
        <v>1.4499786420332483E-2</v>
      </c>
      <c r="S16" s="130">
        <f>IF(SER_hh_emih!S16=0,0,SER_hh_emih!S16/SER_summary!S$26)</f>
        <v>1.5400307291031883E-2</v>
      </c>
      <c r="T16" s="130">
        <f>IF(SER_hh_emih!T16=0,0,SER_hh_emih!T16/SER_summary!T$26)</f>
        <v>2.5107677220147024E-2</v>
      </c>
      <c r="U16" s="130">
        <f>IF(SER_hh_emih!U16=0,0,SER_hh_emih!U16/SER_summary!U$26)</f>
        <v>2.6517581442702304E-2</v>
      </c>
      <c r="V16" s="130">
        <f>IF(SER_hh_emih!V16=0,0,SER_hh_emih!V16/SER_summary!V$26)</f>
        <v>2.0135079652368347E-2</v>
      </c>
      <c r="W16" s="130">
        <f>IF(SER_hh_emih!W16=0,0,SER_hh_emih!W16/SER_summary!W$26)</f>
        <v>2.0040380736478073E-2</v>
      </c>
      <c r="X16" s="130">
        <f>IF(SER_hh_emih!X16=0,0,SER_hh_emih!X16/SER_summary!X$26)</f>
        <v>2.608555860157858E-2</v>
      </c>
      <c r="Y16" s="130">
        <f>IF(SER_hh_emih!Y16=0,0,SER_hh_emih!Y16/SER_summary!Y$26)</f>
        <v>2.4776887753882777E-2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5.0213511341601755</v>
      </c>
      <c r="C17" s="132">
        <f>IF(SER_hh_emih!C17=0,0,SER_hh_emih!C17/SER_summary!C$26)</f>
        <v>5.0052620561901069</v>
      </c>
      <c r="D17" s="132">
        <f>IF(SER_hh_emih!D17=0,0,SER_hh_emih!D17/SER_summary!D$26)</f>
        <v>4.9517169339411193</v>
      </c>
      <c r="E17" s="132">
        <f>IF(SER_hh_emih!E17=0,0,SER_hh_emih!E17/SER_summary!E$26)</f>
        <v>5.8335023612690193</v>
      </c>
      <c r="F17" s="132">
        <f>IF(SER_hh_emih!F17=0,0,SER_hh_emih!F17/SER_summary!F$26)</f>
        <v>4.5907260321085213</v>
      </c>
      <c r="G17" s="132">
        <f>IF(SER_hh_emih!G17=0,0,SER_hh_emih!G17/SER_summary!G$26)</f>
        <v>4.5352468794527292</v>
      </c>
      <c r="H17" s="132">
        <f>IF(SER_hh_emih!H17=0,0,SER_hh_emih!H17/SER_summary!H$26)</f>
        <v>4.9712009554813861</v>
      </c>
      <c r="I17" s="132">
        <f>IF(SER_hh_emih!I17=0,0,SER_hh_emih!I17/SER_summary!I$26)</f>
        <v>4.3634748298251935</v>
      </c>
      <c r="J17" s="132">
        <f>IF(SER_hh_emih!J17=0,0,SER_hh_emih!J17/SER_summary!J$26)</f>
        <v>4.3130292548637472</v>
      </c>
      <c r="K17" s="132">
        <f>IF(SER_hh_emih!K17=0,0,SER_hh_emih!K17/SER_summary!K$26)</f>
        <v>4.2378930302330566</v>
      </c>
      <c r="L17" s="132">
        <f>IF(SER_hh_emih!L17=0,0,SER_hh_emih!L17/SER_summary!L$26)</f>
        <v>4.5547194288962753</v>
      </c>
      <c r="M17" s="132">
        <f>IF(SER_hh_emih!M17=0,0,SER_hh_emih!M17/SER_summary!M$26)</f>
        <v>4.1388705270654356</v>
      </c>
      <c r="N17" s="132">
        <f>IF(SER_hh_emih!N17=0,0,SER_hh_emih!N17/SER_summary!N$26)</f>
        <v>4.1514056630313965</v>
      </c>
      <c r="O17" s="132">
        <f>IF(SER_hh_emih!O17=0,0,SER_hh_emih!O17/SER_summary!O$26)</f>
        <v>4.3080131104846471</v>
      </c>
      <c r="P17" s="132">
        <f>IF(SER_hh_emih!P17=0,0,SER_hh_emih!P17/SER_summary!P$26)</f>
        <v>3.9579082359392062</v>
      </c>
      <c r="Q17" s="132">
        <f>IF(SER_hh_emih!Q17=0,0,SER_hh_emih!Q17/SER_summary!Q$26)</f>
        <v>3.5572562232748544</v>
      </c>
      <c r="R17" s="132">
        <f>IF(SER_hh_emih!R17=0,0,SER_hh_emih!R17/SER_summary!R$26)</f>
        <v>3.9034143752657586</v>
      </c>
      <c r="S17" s="132">
        <f>IF(SER_hh_emih!S17=0,0,SER_hh_emih!S17/SER_summary!S$26)</f>
        <v>3.3944149071934837</v>
      </c>
      <c r="T17" s="132">
        <f>IF(SER_hh_emih!T17=0,0,SER_hh_emih!T17/SER_summary!T$26)</f>
        <v>4.57920297121359</v>
      </c>
      <c r="U17" s="132">
        <f>IF(SER_hh_emih!U17=0,0,SER_hh_emih!U17/SER_summary!U$26)</f>
        <v>4.327213362613521</v>
      </c>
      <c r="V17" s="132">
        <f>IF(SER_hh_emih!V17=0,0,SER_hh_emih!V17/SER_summary!V$26)</f>
        <v>3.1672186945050913</v>
      </c>
      <c r="W17" s="132">
        <f>IF(SER_hh_emih!W17=0,0,SER_hh_emih!W17/SER_summary!W$26)</f>
        <v>3.0394387089779644</v>
      </c>
      <c r="X17" s="132">
        <f>IF(SER_hh_emih!X17=0,0,SER_hh_emih!X17/SER_summary!X$26)</f>
        <v>3.9603661818373519</v>
      </c>
      <c r="Y17" s="132">
        <f>IF(SER_hh_emih!Y17=0,0,SER_hh_emih!Y17/SER_summary!Y$26)</f>
        <v>3.7056272340292877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1.7699363156285841</v>
      </c>
      <c r="C19" s="130">
        <f>IF(SER_hh_emih!C19=0,0,SER_hh_emih!C19/SER_summary!C$26)</f>
        <v>1.7423324247612368</v>
      </c>
      <c r="D19" s="130">
        <f>IF(SER_hh_emih!D19=0,0,SER_hh_emih!D19/SER_summary!D$26)</f>
        <v>1.7475795542815971</v>
      </c>
      <c r="E19" s="130">
        <f>IF(SER_hh_emih!E19=0,0,SER_hh_emih!E19/SER_summary!E$26)</f>
        <v>1.7168696147619897</v>
      </c>
      <c r="F19" s="130">
        <f>IF(SER_hh_emih!F19=0,0,SER_hh_emih!F19/SER_summary!F$26)</f>
        <v>1.6657446994282039</v>
      </c>
      <c r="G19" s="130">
        <f>IF(SER_hh_emih!G19=0,0,SER_hh_emih!G19/SER_summary!G$26)</f>
        <v>1.655143256815415</v>
      </c>
      <c r="H19" s="130">
        <f>IF(SER_hh_emih!H19=0,0,SER_hh_emih!H19/SER_summary!H$26)</f>
        <v>1.6652323294094449</v>
      </c>
      <c r="I19" s="130">
        <f>IF(SER_hh_emih!I19=0,0,SER_hh_emih!I19/SER_summary!I$26)</f>
        <v>1.6088458395459397</v>
      </c>
      <c r="J19" s="130">
        <f>IF(SER_hh_emih!J19=0,0,SER_hh_emih!J19/SER_summary!J$26)</f>
        <v>1.5877903524838417</v>
      </c>
      <c r="K19" s="130">
        <f>IF(SER_hh_emih!K19=0,0,SER_hh_emih!K19/SER_summary!K$26)</f>
        <v>1.5649309950539492</v>
      </c>
      <c r="L19" s="130">
        <f>IF(SER_hh_emih!L19=0,0,SER_hh_emih!L19/SER_summary!L$26)</f>
        <v>1.5229767041958142</v>
      </c>
      <c r="M19" s="130">
        <f>IF(SER_hh_emih!M19=0,0,SER_hh_emih!M19/SER_summary!M$26)</f>
        <v>1.5209739159669691</v>
      </c>
      <c r="N19" s="130">
        <f>IF(SER_hh_emih!N19=0,0,SER_hh_emih!N19/SER_summary!N$26)</f>
        <v>1.5020108745007441</v>
      </c>
      <c r="O19" s="130">
        <f>IF(SER_hh_emih!O19=0,0,SER_hh_emih!O19/SER_summary!O$26)</f>
        <v>1.5390815401937057</v>
      </c>
      <c r="P19" s="130">
        <f>IF(SER_hh_emih!P19=0,0,SER_hh_emih!P19/SER_summary!P$26)</f>
        <v>1.5912737147168285</v>
      </c>
      <c r="Q19" s="130">
        <f>IF(SER_hh_emih!Q19=0,0,SER_hh_emih!Q19/SER_summary!Q$26)</f>
        <v>1.5679418165173096</v>
      </c>
      <c r="R19" s="130">
        <f>IF(SER_hh_emih!R19=0,0,SER_hh_emih!R19/SER_summary!R$26)</f>
        <v>1.5150541261748496</v>
      </c>
      <c r="S19" s="130">
        <f>IF(SER_hh_emih!S19=0,0,SER_hh_emih!S19/SER_summary!S$26)</f>
        <v>1.518957174774082</v>
      </c>
      <c r="T19" s="130">
        <f>IF(SER_hh_emih!T19=0,0,SER_hh_emih!T19/SER_summary!T$26)</f>
        <v>1.6104441645765903</v>
      </c>
      <c r="U19" s="130">
        <f>IF(SER_hh_emih!U19=0,0,SER_hh_emih!U19/SER_summary!U$26)</f>
        <v>1.553531974223985</v>
      </c>
      <c r="V19" s="130">
        <f>IF(SER_hh_emih!V19=0,0,SER_hh_emih!V19/SER_summary!V$26)</f>
        <v>1.4044402537612803</v>
      </c>
      <c r="W19" s="130">
        <f>IF(SER_hh_emih!W19=0,0,SER_hh_emih!W19/SER_summary!W$26)</f>
        <v>1.3715837297527724</v>
      </c>
      <c r="X19" s="130">
        <f>IF(SER_hh_emih!X19=0,0,SER_hh_emih!X19/SER_summary!X$26)</f>
        <v>1.3546174177632373</v>
      </c>
      <c r="Y19" s="130">
        <f>IF(SER_hh_emih!Y19=0,0,SER_hh_emih!Y19/SER_summary!Y$26)</f>
        <v>1.3267235191777274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2.2913418253211799</v>
      </c>
      <c r="C21" s="132">
        <f>IF(SER_hh_emih!C21=0,0,SER_hh_emih!C21/SER_summary!C$26)</f>
        <v>2.2417415795939575</v>
      </c>
      <c r="D21" s="132">
        <f>IF(SER_hh_emih!D21=0,0,SER_hh_emih!D21/SER_summary!D$26)</f>
        <v>2.5192371553540878</v>
      </c>
      <c r="E21" s="132">
        <f>IF(SER_hh_emih!E21=0,0,SER_hh_emih!E21/SER_summary!E$26)</f>
        <v>2.3327661450700599</v>
      </c>
      <c r="F21" s="132">
        <f>IF(SER_hh_emih!F21=0,0,SER_hh_emih!F21/SER_summary!F$26)</f>
        <v>2.5263657990533854</v>
      </c>
      <c r="G21" s="132">
        <f>IF(SER_hh_emih!G21=0,0,SER_hh_emih!G21/SER_summary!G$26)</f>
        <v>2.5352169899327595</v>
      </c>
      <c r="H21" s="132">
        <f>IF(SER_hh_emih!H21=0,0,SER_hh_emih!H21/SER_summary!H$26)</f>
        <v>2.4624211362632291</v>
      </c>
      <c r="I21" s="132">
        <f>IF(SER_hh_emih!I21=0,0,SER_hh_emih!I21/SER_summary!I$26)</f>
        <v>2.454801583372022</v>
      </c>
      <c r="J21" s="132">
        <f>IF(SER_hh_emih!J21=0,0,SER_hh_emih!J21/SER_summary!J$26)</f>
        <v>2.4577968904085226</v>
      </c>
      <c r="K21" s="132">
        <f>IF(SER_hh_emih!K21=0,0,SER_hh_emih!K21/SER_summary!K$26)</f>
        <v>2.4576783493976633</v>
      </c>
      <c r="L21" s="132">
        <f>IF(SER_hh_emih!L21=0,0,SER_hh_emih!L21/SER_summary!L$26)</f>
        <v>2.4007483908950897</v>
      </c>
      <c r="M21" s="132">
        <f>IF(SER_hh_emih!M21=0,0,SER_hh_emih!M21/SER_summary!M$26)</f>
        <v>2.4836489379900963</v>
      </c>
      <c r="N21" s="132">
        <f>IF(SER_hh_emih!N21=0,0,SER_hh_emih!N21/SER_summary!N$26)</f>
        <v>2.4558849367928532</v>
      </c>
      <c r="O21" s="132">
        <f>IF(SER_hh_emih!O21=0,0,SER_hh_emih!O21/SER_summary!O$26)</f>
        <v>2.3190301323156395</v>
      </c>
      <c r="P21" s="132">
        <f>IF(SER_hh_emih!P21=0,0,SER_hh_emih!P21/SER_summary!P$26)</f>
        <v>2.4009815571229471</v>
      </c>
      <c r="Q21" s="132">
        <f>IF(SER_hh_emih!Q21=0,0,SER_hh_emih!Q21/SER_summary!Q$26)</f>
        <v>2.4191232509677376</v>
      </c>
      <c r="R21" s="132">
        <f>IF(SER_hh_emih!R21=0,0,SER_hh_emih!R21/SER_summary!R$26)</f>
        <v>2.4407464787387299</v>
      </c>
      <c r="S21" s="132">
        <f>IF(SER_hh_emih!S21=0,0,SER_hh_emih!S21/SER_summary!S$26)</f>
        <v>2.0445801775577133</v>
      </c>
      <c r="T21" s="132">
        <f>IF(SER_hh_emih!T21=0,0,SER_hh_emih!T21/SER_summary!T$26)</f>
        <v>2.5280156418720838</v>
      </c>
      <c r="U21" s="132">
        <f>IF(SER_hh_emih!U21=0,0,SER_hh_emih!U21/SER_summary!U$26)</f>
        <v>2.5785466721936334</v>
      </c>
      <c r="V21" s="132">
        <f>IF(SER_hh_emih!V21=0,0,SER_hh_emih!V21/SER_summary!V$26)</f>
        <v>2.0907756063136356</v>
      </c>
      <c r="W21" s="132">
        <f>IF(SER_hh_emih!W21=0,0,SER_hh_emih!W21/SER_summary!W$26)</f>
        <v>1.6901039114907603</v>
      </c>
      <c r="X21" s="132">
        <f>IF(SER_hh_emih!X21=0,0,SER_hh_emih!X21/SER_summary!X$26)</f>
        <v>1.8270038489890055</v>
      </c>
      <c r="Y21" s="132">
        <f>IF(SER_hh_emih!Y21=0,0,SER_hh_emih!Y21/SER_summary!Y$26)</f>
        <v>1.6516232148013463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3.038630083579891</v>
      </c>
      <c r="C22" s="132">
        <f>IF(SER_hh_emih!C22=0,0,SER_hh_emih!C22/SER_summary!C$26)</f>
        <v>3.0374101967557454</v>
      </c>
      <c r="D22" s="132">
        <f>IF(SER_hh_emih!D22=0,0,SER_hh_emih!D22/SER_summary!D$26)</f>
        <v>3.4074949877792662</v>
      </c>
      <c r="E22" s="132">
        <f>IF(SER_hh_emih!E22=0,0,SER_hh_emih!E22/SER_summary!E$26)</f>
        <v>3.005594814557726</v>
      </c>
      <c r="F22" s="132">
        <f>IF(SER_hh_emih!F22=0,0,SER_hh_emih!F22/SER_summary!F$26)</f>
        <v>3.0118217388834676</v>
      </c>
      <c r="G22" s="132">
        <f>IF(SER_hh_emih!G22=0,0,SER_hh_emih!G22/SER_summary!G$26)</f>
        <v>2.9706546730063339</v>
      </c>
      <c r="H22" s="132">
        <f>IF(SER_hh_emih!H22=0,0,SER_hh_emih!H22/SER_summary!H$26)</f>
        <v>3.0222046323775213</v>
      </c>
      <c r="I22" s="132">
        <f>IF(SER_hh_emih!I22=0,0,SER_hh_emih!I22/SER_summary!I$26)</f>
        <v>2.976670112395853</v>
      </c>
      <c r="J22" s="132">
        <f>IF(SER_hh_emih!J22=0,0,SER_hh_emih!J22/SER_summary!J$26)</f>
        <v>2.9788793547133232</v>
      </c>
      <c r="K22" s="132">
        <f>IF(SER_hh_emih!K22=0,0,SER_hh_emih!K22/SER_summary!K$26)</f>
        <v>2.9346795924540179</v>
      </c>
      <c r="L22" s="132">
        <f>IF(SER_hh_emih!L22=0,0,SER_hh_emih!L22/SER_summary!L$26)</f>
        <v>2.8801580328435334</v>
      </c>
      <c r="M22" s="132">
        <f>IF(SER_hh_emih!M22=0,0,SER_hh_emih!M22/SER_summary!M$26)</f>
        <v>2.8996681260123576</v>
      </c>
      <c r="N22" s="132">
        <f>IF(SER_hh_emih!N22=0,0,SER_hh_emih!N22/SER_summary!N$26)</f>
        <v>2.8728006682155591</v>
      </c>
      <c r="O22" s="132">
        <f>IF(SER_hh_emih!O22=0,0,SER_hh_emih!O22/SER_summary!O$26)</f>
        <v>2.8520000452440719</v>
      </c>
      <c r="P22" s="132">
        <f>IF(SER_hh_emih!P22=0,0,SER_hh_emih!P22/SER_summary!P$26)</f>
        <v>2.8570452116106795</v>
      </c>
      <c r="Q22" s="132">
        <f>IF(SER_hh_emih!Q22=0,0,SER_hh_emih!Q22/SER_summary!Q$26)</f>
        <v>2.8483532985270466</v>
      </c>
      <c r="R22" s="132">
        <f>IF(SER_hh_emih!R22=0,0,SER_hh_emih!R22/SER_summary!R$26)</f>
        <v>2.9052018038050704</v>
      </c>
      <c r="S22" s="132">
        <f>IF(SER_hh_emih!S22=0,0,SER_hh_emih!S22/SER_summary!S$26)</f>
        <v>3.1211963427086182</v>
      </c>
      <c r="T22" s="132">
        <f>IF(SER_hh_emih!T22=0,0,SER_hh_emih!T22/SER_summary!T$26)</f>
        <v>2.6418064108643025</v>
      </c>
      <c r="U22" s="132">
        <f>IF(SER_hh_emih!U22=0,0,SER_hh_emih!U22/SER_summary!U$26)</f>
        <v>2.8574554445542635</v>
      </c>
      <c r="V22" s="132">
        <f>IF(SER_hh_emih!V22=0,0,SER_hh_emih!V22/SER_summary!V$26)</f>
        <v>2.5607516067927878</v>
      </c>
      <c r="W22" s="132">
        <f>IF(SER_hh_emih!W22=0,0,SER_hh_emih!W22/SER_summary!W$26)</f>
        <v>2.7673745953200299</v>
      </c>
      <c r="X22" s="132">
        <f>IF(SER_hh_emih!X22=0,0,SER_hh_emih!X22/SER_summary!X$26)</f>
        <v>2.388351028427087</v>
      </c>
      <c r="Y22" s="132">
        <f>IF(SER_hh_emih!Y22=0,0,SER_hh_emih!Y22/SER_summary!Y$26)</f>
        <v>2.2184666888839621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2.3247353222310965</v>
      </c>
      <c r="C23" s="132">
        <f>IF(SER_hh_emih!C23=0,0,SER_hh_emih!C23/SER_summary!C$26)</f>
        <v>2.1897005933314815</v>
      </c>
      <c r="D23" s="132">
        <f>IF(SER_hh_emih!D23=0,0,SER_hh_emih!D23/SER_summary!D$26)</f>
        <v>1.9878711916914173</v>
      </c>
      <c r="E23" s="132">
        <f>IF(SER_hh_emih!E23=0,0,SER_hh_emih!E23/SER_summary!E$26)</f>
        <v>2.2520052621409494</v>
      </c>
      <c r="F23" s="132">
        <f>IF(SER_hh_emih!F23=0,0,SER_hh_emih!F23/SER_summary!F$26)</f>
        <v>2.1480888978124062</v>
      </c>
      <c r="G23" s="132">
        <f>IF(SER_hh_emih!G23=0,0,SER_hh_emih!G23/SER_summary!G$26)</f>
        <v>2.1797632702546275</v>
      </c>
      <c r="H23" s="132">
        <f>IF(SER_hh_emih!H23=0,0,SER_hh_emih!H23/SER_summary!H$26)</f>
        <v>2.2058133460906628</v>
      </c>
      <c r="I23" s="132">
        <f>IF(SER_hh_emih!I23=0,0,SER_hh_emih!I23/SER_summary!I$26)</f>
        <v>2.0968771664590826</v>
      </c>
      <c r="J23" s="132">
        <f>IF(SER_hh_emih!J23=0,0,SER_hh_emih!J23/SER_summary!J$26)</f>
        <v>2.0743031785107284</v>
      </c>
      <c r="K23" s="132">
        <f>IF(SER_hh_emih!K23=0,0,SER_hh_emih!K23/SER_summary!K$26)</f>
        <v>2.1022745894721369</v>
      </c>
      <c r="L23" s="132">
        <f>IF(SER_hh_emih!L23=0,0,SER_hh_emih!L23/SER_summary!L$26)</f>
        <v>2.0389313129231548</v>
      </c>
      <c r="M23" s="132">
        <f>IF(SER_hh_emih!M23=0,0,SER_hh_emih!M23/SER_summary!M$26)</f>
        <v>1.9785361762294902</v>
      </c>
      <c r="N23" s="132">
        <f>IF(SER_hh_emih!N23=0,0,SER_hh_emih!N23/SER_summary!N$26)</f>
        <v>1.8895889924363056</v>
      </c>
      <c r="O23" s="132">
        <f>IF(SER_hh_emih!O23=0,0,SER_hh_emih!O23/SER_summary!O$26)</f>
        <v>1.902836341402641</v>
      </c>
      <c r="P23" s="132">
        <f>IF(SER_hh_emih!P23=0,0,SER_hh_emih!P23/SER_summary!P$26)</f>
        <v>1.9629077097402508</v>
      </c>
      <c r="Q23" s="132">
        <f>IF(SER_hh_emih!Q23=0,0,SER_hh_emih!Q23/SER_summary!Q$26)</f>
        <v>1.886169365736041</v>
      </c>
      <c r="R23" s="132">
        <f>IF(SER_hh_emih!R23=0,0,SER_hh_emih!R23/SER_summary!R$26)</f>
        <v>1.7363140906116679</v>
      </c>
      <c r="S23" s="132">
        <f>IF(SER_hh_emih!S23=0,0,SER_hh_emih!S23/SER_summary!S$26)</f>
        <v>1.6678454865049381</v>
      </c>
      <c r="T23" s="132">
        <f>IF(SER_hh_emih!T23=0,0,SER_hh_emih!T23/SER_summary!T$26)</f>
        <v>1.9980171474358237</v>
      </c>
      <c r="U23" s="132">
        <f>IF(SER_hh_emih!U23=0,0,SER_hh_emih!U23/SER_summary!U$26)</f>
        <v>1.8161824643811499</v>
      </c>
      <c r="V23" s="132">
        <f>IF(SER_hh_emih!V23=0,0,SER_hh_emih!V23/SER_summary!V$26)</f>
        <v>1.6140336758154994</v>
      </c>
      <c r="W23" s="132">
        <f>IF(SER_hh_emih!W23=0,0,SER_hh_emih!W23/SER_summary!W$26)</f>
        <v>1.5003905262356199</v>
      </c>
      <c r="X23" s="132">
        <f>IF(SER_hh_emih!X23=0,0,SER_hh_emih!X23/SER_summary!X$26)</f>
        <v>1.4823105012633235</v>
      </c>
      <c r="Y23" s="132">
        <f>IF(SER_hh_emih!Y23=0,0,SER_hh_emih!Y23/SER_summary!Y$26)</f>
        <v>1.4222894035094666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1.6653249351351118</v>
      </c>
      <c r="C29" s="130">
        <f>IF(SER_hh_emih!C29=0,0,SER_hh_emih!C29/SER_summary!C$26)</f>
        <v>1.6412615668803969</v>
      </c>
      <c r="D29" s="130">
        <f>IF(SER_hh_emih!D29=0,0,SER_hh_emih!D29/SER_summary!D$26)</f>
        <v>1.6965975005965581</v>
      </c>
      <c r="E29" s="130">
        <f>IF(SER_hh_emih!E29=0,0,SER_hh_emih!E29/SER_summary!E$26)</f>
        <v>1.7260905864708853</v>
      </c>
      <c r="F29" s="130">
        <f>IF(SER_hh_emih!F29=0,0,SER_hh_emih!F29/SER_summary!F$26)</f>
        <v>1.7106466123883488</v>
      </c>
      <c r="G29" s="130">
        <f>IF(SER_hh_emih!G29=0,0,SER_hh_emih!G29/SER_summary!G$26)</f>
        <v>1.6792309572675017</v>
      </c>
      <c r="H29" s="130">
        <f>IF(SER_hh_emih!H29=0,0,SER_hh_emih!H29/SER_summary!H$26)</f>
        <v>1.6225875743056912</v>
      </c>
      <c r="I29" s="130">
        <f>IF(SER_hh_emih!I29=0,0,SER_hh_emih!I29/SER_summary!I$26)</f>
        <v>1.5400799278980495</v>
      </c>
      <c r="J29" s="130">
        <f>IF(SER_hh_emih!J29=0,0,SER_hh_emih!J29/SER_summary!J$26)</f>
        <v>1.5272352608474833</v>
      </c>
      <c r="K29" s="130">
        <f>IF(SER_hh_emih!K29=0,0,SER_hh_emih!K29/SER_summary!K$26)</f>
        <v>1.4708355961277406</v>
      </c>
      <c r="L29" s="130">
        <f>IF(SER_hh_emih!L29=0,0,SER_hh_emih!L29/SER_summary!L$26)</f>
        <v>1.3828229955137477</v>
      </c>
      <c r="M29" s="130">
        <f>IF(SER_hh_emih!M29=0,0,SER_hh_emih!M29/SER_summary!M$26)</f>
        <v>1.3071306770081363</v>
      </c>
      <c r="N29" s="130">
        <f>IF(SER_hh_emih!N29=0,0,SER_hh_emih!N29/SER_summary!N$26)</f>
        <v>1.3034999701575822</v>
      </c>
      <c r="O29" s="130">
        <f>IF(SER_hh_emih!O29=0,0,SER_hh_emih!O29/SER_summary!O$26)</f>
        <v>1.3573599435969099</v>
      </c>
      <c r="P29" s="130">
        <f>IF(SER_hh_emih!P29=0,0,SER_hh_emih!P29/SER_summary!P$26)</f>
        <v>1.7364333144067692</v>
      </c>
      <c r="Q29" s="130">
        <f>IF(SER_hh_emih!Q29=0,0,SER_hh_emih!Q29/SER_summary!Q$26)</f>
        <v>1.5959001417591372</v>
      </c>
      <c r="R29" s="130">
        <f>IF(SER_hh_emih!R29=0,0,SER_hh_emih!R29/SER_summary!R$26)</f>
        <v>1.5647903331942168</v>
      </c>
      <c r="S29" s="130">
        <f>IF(SER_hh_emih!S29=0,0,SER_hh_emih!S29/SER_summary!S$26)</f>
        <v>1.6282862927319788</v>
      </c>
      <c r="T29" s="130">
        <f>IF(SER_hh_emih!T29=0,0,SER_hh_emih!T29/SER_summary!T$26)</f>
        <v>1.8716505778946912</v>
      </c>
      <c r="U29" s="130">
        <f>IF(SER_hh_emih!U29=0,0,SER_hh_emih!U29/SER_summary!U$26)</f>
        <v>2.0204190786219383</v>
      </c>
      <c r="V29" s="130">
        <f>IF(SER_hh_emih!V29=0,0,SER_hh_emih!V29/SER_summary!V$26)</f>
        <v>1.6879744211986552</v>
      </c>
      <c r="W29" s="130">
        <f>IF(SER_hh_emih!W29=0,0,SER_hh_emih!W29/SER_summary!W$26)</f>
        <v>1.6589622635547621</v>
      </c>
      <c r="X29" s="130">
        <f>IF(SER_hh_emih!X29=0,0,SER_hh_emih!X29/SER_summary!X$26)</f>
        <v>1.7588548301062217</v>
      </c>
      <c r="Y29" s="130">
        <f>IF(SER_hh_emih!Y29=0,0,SER_hh_emih!Y29/SER_summary!Y$26)</f>
        <v>1.7616670985450757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3.2535581765291157</v>
      </c>
      <c r="C30" s="132">
        <f>IF(SER_hh_emih!C30=0,0,SER_hh_emih!C30/SER_summary!C$26)</f>
        <v>2.7167257961940345</v>
      </c>
      <c r="D30" s="132">
        <f>IF(SER_hh_emih!D30=0,0,SER_hh_emih!D30/SER_summary!D$26)</f>
        <v>1.9904627954754042</v>
      </c>
      <c r="E30" s="132">
        <f>IF(SER_hh_emih!E30=0,0,SER_hh_emih!E30/SER_summary!E$26)</f>
        <v>3.4334387925522427</v>
      </c>
      <c r="F30" s="132">
        <f>IF(SER_hh_emih!F30=0,0,SER_hh_emih!F30/SER_summary!F$26)</f>
        <v>2.6981088184258342</v>
      </c>
      <c r="G30" s="132">
        <f>IF(SER_hh_emih!G30=0,0,SER_hh_emih!G30/SER_summary!G$26)</f>
        <v>4.3289246995243191</v>
      </c>
      <c r="H30" s="132">
        <f>IF(SER_hh_emih!H30=0,0,SER_hh_emih!H30/SER_summary!H$26)</f>
        <v>2.771046875999688</v>
      </c>
      <c r="I30" s="132">
        <f>IF(SER_hh_emih!I30=0,0,SER_hh_emih!I30/SER_summary!I$26)</f>
        <v>2.6117409448934108</v>
      </c>
      <c r="J30" s="132">
        <f>IF(SER_hh_emih!J30=0,0,SER_hh_emih!J30/SER_summary!J$26)</f>
        <v>3.0952135324063854</v>
      </c>
      <c r="K30" s="132">
        <f>IF(SER_hh_emih!K30=0,0,SER_hh_emih!K30/SER_summary!K$26)</f>
        <v>2.7952622981724899</v>
      </c>
      <c r="L30" s="132">
        <f>IF(SER_hh_emih!L30=0,0,SER_hh_emih!L30/SER_summary!L$26)</f>
        <v>2.375697946999626</v>
      </c>
      <c r="M30" s="132">
        <f>IF(SER_hh_emih!M30=0,0,SER_hh_emih!M30/SER_summary!M$26)</f>
        <v>2.357753645876826</v>
      </c>
      <c r="N30" s="132">
        <f>IF(SER_hh_emih!N30=0,0,SER_hh_emih!N30/SER_summary!N$26)</f>
        <v>2.6318155791996647</v>
      </c>
      <c r="O30" s="132">
        <f>IF(SER_hh_emih!O30=0,0,SER_hh_emih!O30/SER_summary!O$26)</f>
        <v>3.5139894382528478</v>
      </c>
      <c r="P30" s="132">
        <f>IF(SER_hh_emih!P30=0,0,SER_hh_emih!P30/SER_summary!P$26)</f>
        <v>2.9822849631212409</v>
      </c>
      <c r="Q30" s="132">
        <f>IF(SER_hh_emih!Q30=0,0,SER_hh_emih!Q30/SER_summary!Q$26)</f>
        <v>2.5853658194160491</v>
      </c>
      <c r="R30" s="132">
        <f>IF(SER_hh_emih!R30=0,0,SER_hh_emih!R30/SER_summary!R$26)</f>
        <v>3.5213024498387986</v>
      </c>
      <c r="S30" s="132">
        <f>IF(SER_hh_emih!S30=0,0,SER_hh_emih!S30/SER_summary!S$26)</f>
        <v>2.335090467160716</v>
      </c>
      <c r="T30" s="132">
        <f>IF(SER_hh_emih!T30=0,0,SER_hh_emih!T30/SER_summary!T$26)</f>
        <v>3.0493779659609652</v>
      </c>
      <c r="U30" s="132">
        <f>IF(SER_hh_emih!U30=0,0,SER_hh_emih!U30/SER_summary!U$26)</f>
        <v>3.2116633885492245</v>
      </c>
      <c r="V30" s="132">
        <f>IF(SER_hh_emih!V30=0,0,SER_hh_emih!V30/SER_summary!V$26)</f>
        <v>3.183219734672432</v>
      </c>
      <c r="W30" s="132">
        <f>IF(SER_hh_emih!W30=0,0,SER_hh_emih!W30/SER_summary!W$26)</f>
        <v>2.6481769771061261</v>
      </c>
      <c r="X30" s="132">
        <f>IF(SER_hh_emih!X30=0,0,SER_hh_emih!X30/SER_summary!X$26)</f>
        <v>3.4446218105068671</v>
      </c>
      <c r="Y30" s="132">
        <f>IF(SER_hh_emih!Y30=0,0,SER_hh_emih!Y30/SER_summary!Y$26)</f>
        <v>1.1733226099656853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2.529552555297498</v>
      </c>
      <c r="C31" s="132">
        <f>IF(SER_hh_emih!C31=0,0,SER_hh_emih!C31/SER_summary!C$26)</f>
        <v>2.4720682034749091</v>
      </c>
      <c r="D31" s="132">
        <f>IF(SER_hh_emih!D31=0,0,SER_hh_emih!D31/SER_summary!D$26)</f>
        <v>2.6234075487469255</v>
      </c>
      <c r="E31" s="132">
        <f>IF(SER_hh_emih!E31=0,0,SER_hh_emih!E31/SER_summary!E$26)</f>
        <v>2.6265827485978117</v>
      </c>
      <c r="F31" s="132">
        <f>IF(SER_hh_emih!F31=0,0,SER_hh_emih!F31/SER_summary!F$26)</f>
        <v>2.6536678322256999</v>
      </c>
      <c r="G31" s="132">
        <f>IF(SER_hh_emih!G31=0,0,SER_hh_emih!G31/SER_summary!G$26)</f>
        <v>2.5474026276315374</v>
      </c>
      <c r="H31" s="132">
        <f>IF(SER_hh_emih!H31=0,0,SER_hh_emih!H31/SER_summary!H$26)</f>
        <v>2.5535409247789693</v>
      </c>
      <c r="I31" s="132">
        <f>IF(SER_hh_emih!I31=0,0,SER_hh_emih!I31/SER_summary!I$26)</f>
        <v>2.4836798600635897</v>
      </c>
      <c r="J31" s="132">
        <f>IF(SER_hh_emih!J31=0,0,SER_hh_emih!J31/SER_summary!J$26)</f>
        <v>2.4957683643293036</v>
      </c>
      <c r="K31" s="132">
        <f>IF(SER_hh_emih!K31=0,0,SER_hh_emih!K31/SER_summary!K$26)</f>
        <v>2.5473816874877802</v>
      </c>
      <c r="L31" s="132">
        <f>IF(SER_hh_emih!L31=0,0,SER_hh_emih!L31/SER_summary!L$26)</f>
        <v>2.5193860331757718</v>
      </c>
      <c r="M31" s="132">
        <f>IF(SER_hh_emih!M31=0,0,SER_hh_emih!M31/SER_summary!M$26)</f>
        <v>2.4698367949361462</v>
      </c>
      <c r="N31" s="132">
        <f>IF(SER_hh_emih!N31=0,0,SER_hh_emih!N31/SER_summary!N$26)</f>
        <v>2.4030702095351635</v>
      </c>
      <c r="O31" s="132">
        <f>IF(SER_hh_emih!O31=0,0,SER_hh_emih!O31/SER_summary!O$26)</f>
        <v>2.3274840282366913</v>
      </c>
      <c r="P31" s="132">
        <f>IF(SER_hh_emih!P31=0,0,SER_hh_emih!P31/SER_summary!P$26)</f>
        <v>2.8063127635886418</v>
      </c>
      <c r="Q31" s="132">
        <f>IF(SER_hh_emih!Q31=0,0,SER_hh_emih!Q31/SER_summary!Q$26)</f>
        <v>2.5463420075696082</v>
      </c>
      <c r="R31" s="132">
        <f>IF(SER_hh_emih!R31=0,0,SER_hh_emih!R31/SER_summary!R$26)</f>
        <v>2.3817963919226988</v>
      </c>
      <c r="S31" s="132">
        <f>IF(SER_hh_emih!S31=0,0,SER_hh_emih!S31/SER_summary!S$26)</f>
        <v>2.4529834168580233</v>
      </c>
      <c r="T31" s="132">
        <f>IF(SER_hh_emih!T31=0,0,SER_hh_emih!T31/SER_summary!T$26)</f>
        <v>2.6158294457389446</v>
      </c>
      <c r="U31" s="132">
        <f>IF(SER_hh_emih!U31=0,0,SER_hh_emih!U31/SER_summary!U$26)</f>
        <v>2.7251980134914953</v>
      </c>
      <c r="V31" s="132">
        <f>IF(SER_hh_emih!V31=0,0,SER_hh_emih!V31/SER_summary!V$26)</f>
        <v>2.1902619587161634</v>
      </c>
      <c r="W31" s="132">
        <f>IF(SER_hh_emih!W31=0,0,SER_hh_emih!W31/SER_summary!W$26)</f>
        <v>2.0302240015128126</v>
      </c>
      <c r="X31" s="132">
        <f>IF(SER_hh_emih!X31=0,0,SER_hh_emih!X31/SER_summary!X$26)</f>
        <v>2.0298709070989918</v>
      </c>
      <c r="Y31" s="132">
        <f>IF(SER_hh_emih!Y31=0,0,SER_hh_emih!Y31/SER_summary!Y$26)</f>
        <v>1.9989685147992051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0.11465408044717457</v>
      </c>
      <c r="F32" s="132">
        <f>IF(SER_hh_emih!F32=0,0,SER_hh_emih!F32/SER_summary!F$26)</f>
        <v>0.1029589388676234</v>
      </c>
      <c r="G32" s="132">
        <f>IF(SER_hh_emih!G32=0,0,SER_hh_emih!G32/SER_summary!G$26)</f>
        <v>0.16217995400968246</v>
      </c>
      <c r="H32" s="132">
        <f>IF(SER_hh_emih!H32=0,0,SER_hh_emih!H32/SER_summary!H$26)</f>
        <v>0.12846864710680805</v>
      </c>
      <c r="I32" s="132">
        <f>IF(SER_hh_emih!I32=0,0,SER_hh_emih!I32/SER_summary!I$26)</f>
        <v>0.11179902972966682</v>
      </c>
      <c r="J32" s="132">
        <f>IF(SER_hh_emih!J32=0,0,SER_hh_emih!J32/SER_summary!J$26)</f>
        <v>5.6488137729790978E-2</v>
      </c>
      <c r="K32" s="132">
        <f>IF(SER_hh_emih!K32=0,0,SER_hh_emih!K32/SER_summary!K$26)</f>
        <v>6.2862769598512863E-2</v>
      </c>
      <c r="L32" s="132">
        <f>IF(SER_hh_emih!L32=0,0,SER_hh_emih!L32/SER_summary!L$26)</f>
        <v>4.9999908869036713E-2</v>
      </c>
      <c r="M32" s="132">
        <f>IF(SER_hh_emih!M32=0,0,SER_hh_emih!M32/SER_summary!M$26)</f>
        <v>5.2837661933459708E-3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64093.431181147265</v>
      </c>
      <c r="D3" s="124">
        <f t="shared" si="0"/>
        <v>37866.48638934271</v>
      </c>
      <c r="E3" s="124">
        <f t="shared" si="0"/>
        <v>27584.434474766353</v>
      </c>
      <c r="F3" s="124">
        <f t="shared" si="0"/>
        <v>56414.693841241591</v>
      </c>
      <c r="G3" s="124">
        <f t="shared" si="0"/>
        <v>45903.181678112269</v>
      </c>
      <c r="H3" s="124">
        <f t="shared" si="0"/>
        <v>99440.032380908655</v>
      </c>
      <c r="I3" s="124">
        <f t="shared" si="0"/>
        <v>96455.286799383292</v>
      </c>
      <c r="J3" s="124">
        <f t="shared" si="0"/>
        <v>56689.90077583403</v>
      </c>
      <c r="K3" s="124">
        <f t="shared" si="0"/>
        <v>14569.335761257216</v>
      </c>
      <c r="L3" s="124">
        <f t="shared" si="0"/>
        <v>46935.388374995644</v>
      </c>
      <c r="M3" s="124">
        <f t="shared" si="0"/>
        <v>14626.645994122644</v>
      </c>
      <c r="N3" s="124">
        <f t="shared" si="0"/>
        <v>37570.743537030343</v>
      </c>
      <c r="O3" s="124">
        <f t="shared" si="0"/>
        <v>31524.830575164251</v>
      </c>
      <c r="P3" s="124">
        <f t="shared" si="0"/>
        <v>39661.131592148136</v>
      </c>
      <c r="Q3" s="124">
        <f t="shared" si="0"/>
        <v>49096.902497866424</v>
      </c>
      <c r="R3" s="124">
        <f t="shared" si="0"/>
        <v>66748.195453252003</v>
      </c>
      <c r="S3" s="124">
        <f t="shared" si="0"/>
        <v>52715.133386385372</v>
      </c>
      <c r="T3" s="124">
        <f t="shared" si="0"/>
        <v>47168.915020499131</v>
      </c>
      <c r="U3" s="124">
        <f t="shared" si="0"/>
        <v>41178.549315499236</v>
      </c>
      <c r="V3" s="124">
        <f t="shared" si="0"/>
        <v>36786.957434801094</v>
      </c>
      <c r="W3" s="124">
        <f t="shared" si="0"/>
        <v>33138.146996099764</v>
      </c>
      <c r="X3" s="124">
        <f t="shared" si="0"/>
        <v>31019.12202288433</v>
      </c>
      <c r="Y3" s="124">
        <f t="shared" si="0"/>
        <v>29223.085735693126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64093.431181147265</v>
      </c>
      <c r="D4" s="139">
        <f t="shared" si="1"/>
        <v>37866.48638934271</v>
      </c>
      <c r="E4" s="139">
        <f t="shared" si="1"/>
        <v>27584.434474766353</v>
      </c>
      <c r="F4" s="139">
        <f t="shared" si="1"/>
        <v>56414.693841241591</v>
      </c>
      <c r="G4" s="139">
        <f t="shared" si="1"/>
        <v>45903.181678112269</v>
      </c>
      <c r="H4" s="139">
        <f t="shared" si="1"/>
        <v>99440.032380908655</v>
      </c>
      <c r="I4" s="139">
        <f t="shared" si="1"/>
        <v>96455.286799383292</v>
      </c>
      <c r="J4" s="139">
        <f t="shared" si="1"/>
        <v>56689.90077583403</v>
      </c>
      <c r="K4" s="139">
        <f t="shared" si="1"/>
        <v>14569.335761257216</v>
      </c>
      <c r="L4" s="139">
        <f t="shared" si="1"/>
        <v>46935.388374995644</v>
      </c>
      <c r="M4" s="139">
        <f t="shared" si="1"/>
        <v>14626.645994122644</v>
      </c>
      <c r="N4" s="139">
        <f t="shared" si="1"/>
        <v>37570.743537030343</v>
      </c>
      <c r="O4" s="139">
        <f t="shared" si="1"/>
        <v>31524.830575164251</v>
      </c>
      <c r="P4" s="139">
        <f t="shared" si="1"/>
        <v>39661.131592148136</v>
      </c>
      <c r="Q4" s="139">
        <f t="shared" si="1"/>
        <v>49096.902497866424</v>
      </c>
      <c r="R4" s="139">
        <f t="shared" ref="R4:W4" si="2">SUM(R5:R14)</f>
        <v>66748.195453252003</v>
      </c>
      <c r="S4" s="139">
        <f t="shared" si="2"/>
        <v>52715.133386385372</v>
      </c>
      <c r="T4" s="139">
        <f t="shared" si="2"/>
        <v>47168.915020499131</v>
      </c>
      <c r="U4" s="139">
        <f t="shared" si="2"/>
        <v>41178.549315499236</v>
      </c>
      <c r="V4" s="139">
        <f t="shared" si="2"/>
        <v>36786.957434801094</v>
      </c>
      <c r="W4" s="139">
        <f t="shared" si="2"/>
        <v>33138.146996099764</v>
      </c>
      <c r="X4" s="139">
        <f t="shared" ref="X4:Y4" si="3">SUM(X5:X14)</f>
        <v>31019.12202288433</v>
      </c>
      <c r="Y4" s="139">
        <f t="shared" si="3"/>
        <v>29223.085735693126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579.22970816214968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3156.936907511023</v>
      </c>
      <c r="J5" s="140">
        <v>0</v>
      </c>
      <c r="K5" s="140">
        <v>0</v>
      </c>
      <c r="L5" s="140">
        <v>0</v>
      </c>
      <c r="M5" s="140">
        <v>134.88594268422443</v>
      </c>
      <c r="N5" s="140">
        <v>453.05352531145877</v>
      </c>
      <c r="O5" s="140">
        <v>318.32592508127289</v>
      </c>
      <c r="P5" s="140">
        <v>0</v>
      </c>
      <c r="Q5" s="140">
        <v>2123.3694423220068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137.3800615420995</v>
      </c>
      <c r="X5" s="140">
        <v>243.65105502041661</v>
      </c>
      <c r="Y5" s="140">
        <v>693.0740328245339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2687.0969366193267</v>
      </c>
      <c r="D7" s="140">
        <v>11733.134517609049</v>
      </c>
      <c r="E7" s="140">
        <v>0</v>
      </c>
      <c r="F7" s="140">
        <v>3312.2693692589946</v>
      </c>
      <c r="G7" s="140">
        <v>15052.983823532557</v>
      </c>
      <c r="H7" s="140">
        <v>23221.396971183221</v>
      </c>
      <c r="I7" s="140">
        <v>22166.08813648011</v>
      </c>
      <c r="J7" s="140">
        <v>23548.712042582643</v>
      </c>
      <c r="K7" s="140">
        <v>6527.445186038809</v>
      </c>
      <c r="L7" s="140">
        <v>16629.421871584556</v>
      </c>
      <c r="M7" s="140">
        <v>6111.9579556535418</v>
      </c>
      <c r="N7" s="140">
        <v>13092.506478992549</v>
      </c>
      <c r="O7" s="140">
        <v>8856.6232729818021</v>
      </c>
      <c r="P7" s="140">
        <v>9111.2986194623099</v>
      </c>
      <c r="Q7" s="140">
        <v>3771.2516800979488</v>
      </c>
      <c r="R7" s="140">
        <v>3411.2723241232034</v>
      </c>
      <c r="S7" s="140">
        <v>0</v>
      </c>
      <c r="T7" s="140">
        <v>0</v>
      </c>
      <c r="U7" s="140">
        <v>0</v>
      </c>
      <c r="V7" s="140">
        <v>0</v>
      </c>
      <c r="W7" s="140">
        <v>572.64922961647687</v>
      </c>
      <c r="X7" s="140">
        <v>0</v>
      </c>
      <c r="Y7" s="140">
        <v>0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12.269659852109863</v>
      </c>
      <c r="D8" s="140">
        <v>10.738628516859396</v>
      </c>
      <c r="E8" s="140">
        <v>3.0676717843625378</v>
      </c>
      <c r="F8" s="140">
        <v>24.546408708405576</v>
      </c>
      <c r="G8" s="140">
        <v>41.478152561105468</v>
      </c>
      <c r="H8" s="140">
        <v>75.070950834119259</v>
      </c>
      <c r="I8" s="140">
        <v>98.775908382955279</v>
      </c>
      <c r="J8" s="140">
        <v>28.258516725330363</v>
      </c>
      <c r="K8" s="140">
        <v>6.5749187648104197</v>
      </c>
      <c r="L8" s="140">
        <v>16.314276446718754</v>
      </c>
      <c r="M8" s="140">
        <v>16.583155047124698</v>
      </c>
      <c r="N8" s="140">
        <v>44.757262237833132</v>
      </c>
      <c r="O8" s="140">
        <v>42.386084207901497</v>
      </c>
      <c r="P8" s="140">
        <v>119.89894625994829</v>
      </c>
      <c r="Q8" s="140">
        <v>132.55626077076138</v>
      </c>
      <c r="R8" s="140">
        <v>167.45831527272472</v>
      </c>
      <c r="S8" s="140">
        <v>114.72079717135432</v>
      </c>
      <c r="T8" s="140">
        <v>107.19233645700734</v>
      </c>
      <c r="U8" s="140">
        <v>102.69959374637668</v>
      </c>
      <c r="V8" s="140">
        <v>130.31960368963874</v>
      </c>
      <c r="W8" s="140">
        <v>100.8016041307217</v>
      </c>
      <c r="X8" s="140">
        <v>109.58738327055552</v>
      </c>
      <c r="Y8" s="140">
        <v>176.43312133861863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60645.313919867564</v>
      </c>
      <c r="D9" s="140">
        <v>18978.849793686</v>
      </c>
      <c r="E9" s="140">
        <v>0</v>
      </c>
      <c r="F9" s="140">
        <v>0</v>
      </c>
      <c r="G9" s="140">
        <v>0</v>
      </c>
      <c r="H9" s="140">
        <v>66140.480784352199</v>
      </c>
      <c r="I9" s="140">
        <v>51336.698883756668</v>
      </c>
      <c r="J9" s="140">
        <v>18659.466038513379</v>
      </c>
      <c r="K9" s="140">
        <v>4348.4472132750925</v>
      </c>
      <c r="L9" s="140">
        <v>14912.214938091163</v>
      </c>
      <c r="M9" s="140">
        <v>7767.2812857496156</v>
      </c>
      <c r="N9" s="140">
        <v>21683.114673482985</v>
      </c>
      <c r="O9" s="140">
        <v>18581.596148243207</v>
      </c>
      <c r="P9" s="140">
        <v>26336.817237833038</v>
      </c>
      <c r="Q9" s="140">
        <v>31252.97201861985</v>
      </c>
      <c r="R9" s="140">
        <v>45819.120066465366</v>
      </c>
      <c r="S9" s="140">
        <v>25807.32214512767</v>
      </c>
      <c r="T9" s="140">
        <v>21061.967669046295</v>
      </c>
      <c r="U9" s="140">
        <v>8368.5566936801351</v>
      </c>
      <c r="V9" s="140">
        <v>23901.412996705865</v>
      </c>
      <c r="W9" s="140">
        <v>12946.226967485951</v>
      </c>
      <c r="X9" s="140">
        <v>11163.101322130202</v>
      </c>
      <c r="Y9" s="140">
        <v>11124.500871269165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0</v>
      </c>
      <c r="D10" s="140">
        <v>0</v>
      </c>
      <c r="E10" s="140">
        <v>4299.9998310963638</v>
      </c>
      <c r="F10" s="140">
        <v>12131.478243279171</v>
      </c>
      <c r="G10" s="140">
        <v>8734.8784806300155</v>
      </c>
      <c r="H10" s="140">
        <v>9579.3008284652824</v>
      </c>
      <c r="I10" s="140">
        <v>13438.942999337489</v>
      </c>
      <c r="J10" s="140">
        <v>10070.721129282931</v>
      </c>
      <c r="K10" s="140">
        <v>2456.5431017293295</v>
      </c>
      <c r="L10" s="140">
        <v>4855.7584652595251</v>
      </c>
      <c r="M10" s="140">
        <v>336.8374841098198</v>
      </c>
      <c r="N10" s="140">
        <v>628.12358902241942</v>
      </c>
      <c r="O10" s="140">
        <v>550.22882057349955</v>
      </c>
      <c r="P10" s="140">
        <v>2683.4705643980087</v>
      </c>
      <c r="Q10" s="140">
        <v>6445.3150322103493</v>
      </c>
      <c r="R10" s="140">
        <v>11741.46085999169</v>
      </c>
      <c r="S10" s="140">
        <v>11245.338231517964</v>
      </c>
      <c r="T10" s="140">
        <v>11435.869931090532</v>
      </c>
      <c r="U10" s="140">
        <v>10063.393203836193</v>
      </c>
      <c r="V10" s="140">
        <v>8965.2299407439205</v>
      </c>
      <c r="W10" s="140">
        <v>8246.1509759365272</v>
      </c>
      <c r="X10" s="140">
        <v>9021.3776227398394</v>
      </c>
      <c r="Y10" s="140">
        <v>10684.555871584513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318.57280625026976</v>
      </c>
      <c r="F11" s="140">
        <v>524.9099633455977</v>
      </c>
      <c r="G11" s="140">
        <v>382.48342865347473</v>
      </c>
      <c r="H11" s="140">
        <v>63.109992376311403</v>
      </c>
      <c r="I11" s="140">
        <v>271.69883285257214</v>
      </c>
      <c r="J11" s="140">
        <v>0</v>
      </c>
      <c r="K11" s="140">
        <v>50.587951166776975</v>
      </c>
      <c r="L11" s="140">
        <v>111.12236435723327</v>
      </c>
      <c r="M11" s="140">
        <v>88.485061508080733</v>
      </c>
      <c r="N11" s="140">
        <v>166.05104387756006</v>
      </c>
      <c r="O11" s="140">
        <v>51.188525608554592</v>
      </c>
      <c r="P11" s="140">
        <v>660.8676521222061</v>
      </c>
      <c r="Q11" s="140">
        <v>45.650798704999445</v>
      </c>
      <c r="R11" s="140">
        <v>596.94756063604427</v>
      </c>
      <c r="S11" s="140">
        <v>459.74205898710312</v>
      </c>
      <c r="T11" s="140">
        <v>464.34188113837951</v>
      </c>
      <c r="U11" s="140">
        <v>361.28765666150315</v>
      </c>
      <c r="V11" s="140">
        <v>336.17327197061661</v>
      </c>
      <c r="W11" s="140">
        <v>85.747378283002902</v>
      </c>
      <c r="X11" s="140">
        <v>204.41215517672359</v>
      </c>
      <c r="Y11" s="140">
        <v>191.85097832430989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0</v>
      </c>
      <c r="D12" s="140">
        <v>0</v>
      </c>
      <c r="E12" s="140">
        <v>20555.784746354599</v>
      </c>
      <c r="F12" s="140">
        <v>26996.128090244132</v>
      </c>
      <c r="G12" s="140">
        <v>21432.13176092182</v>
      </c>
      <c r="H12" s="140">
        <v>0</v>
      </c>
      <c r="I12" s="140">
        <v>5315.6627803884394</v>
      </c>
      <c r="J12" s="140">
        <v>3989.0319411385299</v>
      </c>
      <c r="K12" s="140">
        <v>532.88351012531882</v>
      </c>
      <c r="L12" s="140">
        <v>8797.5759000814032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13839.47800722309</v>
      </c>
      <c r="T12" s="140">
        <v>12657.083250969172</v>
      </c>
      <c r="U12" s="140">
        <v>19578.436116959543</v>
      </c>
      <c r="V12" s="140">
        <v>1851.5030654869292</v>
      </c>
      <c r="W12" s="140">
        <v>9790.9462908798723</v>
      </c>
      <c r="X12" s="140">
        <v>8865.6021567683274</v>
      </c>
      <c r="Y12" s="140">
        <v>4435.1527640743552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169.52095664611366</v>
      </c>
      <c r="D13" s="140">
        <v>297.12383975934091</v>
      </c>
      <c r="E13" s="140">
        <v>76.282326145772444</v>
      </c>
      <c r="F13" s="140">
        <v>266.88086700324891</v>
      </c>
      <c r="G13" s="140">
        <v>259.22603181329498</v>
      </c>
      <c r="H13" s="140">
        <v>360.67285369752773</v>
      </c>
      <c r="I13" s="140">
        <v>670.48235067403846</v>
      </c>
      <c r="J13" s="140">
        <v>393.71110759121473</v>
      </c>
      <c r="K13" s="140">
        <v>196.94164990612023</v>
      </c>
      <c r="L13" s="140">
        <v>487.86201503182355</v>
      </c>
      <c r="M13" s="140">
        <v>170.61510937023522</v>
      </c>
      <c r="N13" s="140">
        <v>271.4601544556437</v>
      </c>
      <c r="O13" s="140">
        <v>206.61142378947656</v>
      </c>
      <c r="P13" s="140">
        <v>748.77857207262025</v>
      </c>
      <c r="Q13" s="140">
        <v>841.64582081042727</v>
      </c>
      <c r="R13" s="140">
        <v>1476.0584952513909</v>
      </c>
      <c r="S13" s="140">
        <v>1123.8513650192547</v>
      </c>
      <c r="T13" s="140">
        <v>1085.2622866622994</v>
      </c>
      <c r="U13" s="140">
        <v>1022.3640205769735</v>
      </c>
      <c r="V13" s="140">
        <v>1320.6434954355632</v>
      </c>
      <c r="W13" s="140">
        <v>1258.2444882251139</v>
      </c>
      <c r="X13" s="140">
        <v>1411.3903277782679</v>
      </c>
      <c r="Y13" s="140">
        <v>1917.5180962776326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0</v>
      </c>
      <c r="D14" s="141">
        <v>6846.6396097714642</v>
      </c>
      <c r="E14" s="141">
        <v>2330.7270931349876</v>
      </c>
      <c r="F14" s="141">
        <v>13158.480899402037</v>
      </c>
      <c r="G14" s="141">
        <v>0</v>
      </c>
      <c r="H14" s="141">
        <v>0</v>
      </c>
      <c r="I14" s="141">
        <v>0</v>
      </c>
      <c r="J14" s="141">
        <v>0</v>
      </c>
      <c r="K14" s="141">
        <v>449.91223025095786</v>
      </c>
      <c r="L14" s="141">
        <v>1125.1185441432256</v>
      </c>
      <c r="M14" s="141">
        <v>0</v>
      </c>
      <c r="N14" s="141">
        <v>1231.6768096498893</v>
      </c>
      <c r="O14" s="141">
        <v>2917.87037467854</v>
      </c>
      <c r="P14" s="141">
        <v>0</v>
      </c>
      <c r="Q14" s="141">
        <v>4484.1414443300782</v>
      </c>
      <c r="R14" s="141">
        <v>3535.8778315115856</v>
      </c>
      <c r="S14" s="141">
        <v>124.68078133893077</v>
      </c>
      <c r="T14" s="141">
        <v>357.19766513544954</v>
      </c>
      <c r="U14" s="141">
        <v>1681.8120300385158</v>
      </c>
      <c r="V14" s="141">
        <v>281.67506076856182</v>
      </c>
      <c r="W14" s="141">
        <v>0</v>
      </c>
      <c r="X14" s="141">
        <v>0</v>
      </c>
      <c r="Y14" s="141">
        <v>0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63923.910224501153</v>
      </c>
      <c r="D15" s="143">
        <f t="shared" si="4"/>
        <v>30722.722939811909</v>
      </c>
      <c r="E15" s="143">
        <f t="shared" si="4"/>
        <v>25177.425055485593</v>
      </c>
      <c r="F15" s="143">
        <f t="shared" si="4"/>
        <v>42989.332074836304</v>
      </c>
      <c r="G15" s="143">
        <f t="shared" si="4"/>
        <v>45643.955646298971</v>
      </c>
      <c r="H15" s="143">
        <f t="shared" si="4"/>
        <v>99079.359527211127</v>
      </c>
      <c r="I15" s="143">
        <f t="shared" si="4"/>
        <v>95784.804448709256</v>
      </c>
      <c r="J15" s="143">
        <f t="shared" si="4"/>
        <v>56296.189668242812</v>
      </c>
      <c r="K15" s="143">
        <f t="shared" si="4"/>
        <v>13922.481881100137</v>
      </c>
      <c r="L15" s="143">
        <f t="shared" si="4"/>
        <v>45322.407815820596</v>
      </c>
      <c r="M15" s="143">
        <f t="shared" si="4"/>
        <v>14456.030884752408</v>
      </c>
      <c r="N15" s="143">
        <f t="shared" si="4"/>
        <v>36067.606572924808</v>
      </c>
      <c r="O15" s="143">
        <f t="shared" si="4"/>
        <v>28400.348776696235</v>
      </c>
      <c r="P15" s="143">
        <f t="shared" si="4"/>
        <v>38912.353020075519</v>
      </c>
      <c r="Q15" s="143">
        <f t="shared" si="4"/>
        <v>43771.115232725911</v>
      </c>
      <c r="R15" s="143">
        <f t="shared" ref="R15:W15" si="5">SUM(R5:R12)</f>
        <v>61736.259126489029</v>
      </c>
      <c r="S15" s="143">
        <f t="shared" si="5"/>
        <v>51466.601240027187</v>
      </c>
      <c r="T15" s="143">
        <f t="shared" si="5"/>
        <v>45726.455068701383</v>
      </c>
      <c r="U15" s="143">
        <f t="shared" si="5"/>
        <v>38474.373264883747</v>
      </c>
      <c r="V15" s="143">
        <f t="shared" si="5"/>
        <v>35184.638878596968</v>
      </c>
      <c r="W15" s="143">
        <f t="shared" si="5"/>
        <v>31879.902507874649</v>
      </c>
      <c r="X15" s="143">
        <f t="shared" ref="X15:Y15" si="6">SUM(X5:X12)</f>
        <v>29607.731695106064</v>
      </c>
      <c r="Y15" s="143">
        <f t="shared" si="6"/>
        <v>27305.567639415494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58695.211191452181</v>
      </c>
      <c r="D16" s="139">
        <f t="shared" si="7"/>
        <v>37866.486389342717</v>
      </c>
      <c r="E16" s="139">
        <f t="shared" si="7"/>
        <v>27584.434474766353</v>
      </c>
      <c r="F16" s="139">
        <f t="shared" si="7"/>
        <v>56414.693841241577</v>
      </c>
      <c r="G16" s="139">
        <f t="shared" si="7"/>
        <v>45903.181678112269</v>
      </c>
      <c r="H16" s="139">
        <f t="shared" si="7"/>
        <v>89309.488907268504</v>
      </c>
      <c r="I16" s="139">
        <f t="shared" si="7"/>
        <v>96455.286799383292</v>
      </c>
      <c r="J16" s="139">
        <f t="shared" si="7"/>
        <v>56689.900775834016</v>
      </c>
      <c r="K16" s="139">
        <f t="shared" si="7"/>
        <v>14569.335761257218</v>
      </c>
      <c r="L16" s="139">
        <f t="shared" si="7"/>
        <v>46935.388374995651</v>
      </c>
      <c r="M16" s="139">
        <f t="shared" si="7"/>
        <v>14626.645994122642</v>
      </c>
      <c r="N16" s="139">
        <f t="shared" si="7"/>
        <v>37570.743537030343</v>
      </c>
      <c r="O16" s="139">
        <f t="shared" si="7"/>
        <v>31524.830575164251</v>
      </c>
      <c r="P16" s="139">
        <f t="shared" si="7"/>
        <v>39661.131592148136</v>
      </c>
      <c r="Q16" s="139">
        <f t="shared" si="7"/>
        <v>49096.902497866431</v>
      </c>
      <c r="R16" s="139">
        <f t="shared" ref="R16:W16" si="8">SUM(R17:R18)</f>
        <v>66748.195453252003</v>
      </c>
      <c r="S16" s="139">
        <f t="shared" si="8"/>
        <v>52715.133386385372</v>
      </c>
      <c r="T16" s="139">
        <f t="shared" si="8"/>
        <v>47168.915020499124</v>
      </c>
      <c r="U16" s="139">
        <f t="shared" si="8"/>
        <v>41178.549315499244</v>
      </c>
      <c r="V16" s="139">
        <f t="shared" si="8"/>
        <v>36786.957434801094</v>
      </c>
      <c r="W16" s="139">
        <f t="shared" si="8"/>
        <v>33138.146996099764</v>
      </c>
      <c r="X16" s="139">
        <f t="shared" ref="X16:Y16" si="9">SUM(X17:X18)</f>
        <v>31019.12202288433</v>
      </c>
      <c r="Y16" s="139">
        <f t="shared" si="9"/>
        <v>29223.085735693123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18.264580631236747</v>
      </c>
      <c r="D17" s="140">
        <v>12.704796187621378</v>
      </c>
      <c r="E17" s="140">
        <v>6.4080711630248128</v>
      </c>
      <c r="F17" s="140">
        <v>61.274436363071651</v>
      </c>
      <c r="G17" s="140">
        <v>35.94161738738714</v>
      </c>
      <c r="H17" s="140">
        <v>31.322631005731655</v>
      </c>
      <c r="I17" s="140">
        <v>165.69509416337235</v>
      </c>
      <c r="J17" s="140">
        <v>68.542625249991957</v>
      </c>
      <c r="K17" s="140">
        <v>25.877569059844486</v>
      </c>
      <c r="L17" s="140">
        <v>77.575459590349269</v>
      </c>
      <c r="M17" s="140">
        <v>28.530516227904254</v>
      </c>
      <c r="N17" s="140">
        <v>61.800690623210876</v>
      </c>
      <c r="O17" s="140">
        <v>77.351373882399514</v>
      </c>
      <c r="P17" s="140">
        <v>237.21526501906368</v>
      </c>
      <c r="Q17" s="140">
        <v>450.44878851438909</v>
      </c>
      <c r="R17" s="140">
        <v>292.26292388195515</v>
      </c>
      <c r="S17" s="140">
        <v>439.34503888165204</v>
      </c>
      <c r="T17" s="140">
        <v>460.4171234328046</v>
      </c>
      <c r="U17" s="140">
        <v>330.84634491922077</v>
      </c>
      <c r="V17" s="140">
        <v>187.49509913559183</v>
      </c>
      <c r="W17" s="140">
        <v>190.36076821035442</v>
      </c>
      <c r="X17" s="140">
        <v>147.2024134188301</v>
      </c>
      <c r="Y17" s="140">
        <v>195.44496735974795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58676.946610820945</v>
      </c>
      <c r="D18" s="140">
        <v>37853.781593155094</v>
      </c>
      <c r="E18" s="140">
        <v>27578.02640360333</v>
      </c>
      <c r="F18" s="140">
        <v>56353.419404878507</v>
      </c>
      <c r="G18" s="140">
        <v>45867.240060724878</v>
      </c>
      <c r="H18" s="140">
        <v>89278.166276262767</v>
      </c>
      <c r="I18" s="140">
        <v>96289.591705219922</v>
      </c>
      <c r="J18" s="140">
        <v>56621.358150584027</v>
      </c>
      <c r="K18" s="140">
        <v>14543.458192197373</v>
      </c>
      <c r="L18" s="140">
        <v>46857.812915405302</v>
      </c>
      <c r="M18" s="140">
        <v>14598.115477894738</v>
      </c>
      <c r="N18" s="140">
        <v>37508.942846407132</v>
      </c>
      <c r="O18" s="140">
        <v>31447.479201281851</v>
      </c>
      <c r="P18" s="140">
        <v>39423.916327129074</v>
      </c>
      <c r="Q18" s="140">
        <v>48646.453709352041</v>
      </c>
      <c r="R18" s="140">
        <v>66455.932529370053</v>
      </c>
      <c r="S18" s="140">
        <v>52275.788347503723</v>
      </c>
      <c r="T18" s="140">
        <v>46708.497897066321</v>
      </c>
      <c r="U18" s="140">
        <v>40847.702970580023</v>
      </c>
      <c r="V18" s="140">
        <v>36599.462335665499</v>
      </c>
      <c r="W18" s="140">
        <v>32947.78622788941</v>
      </c>
      <c r="X18" s="140">
        <v>30871.919609465502</v>
      </c>
      <c r="Y18" s="140">
        <v>29027.640768333375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64093.431181147273</v>
      </c>
      <c r="D19" s="139">
        <f t="shared" si="10"/>
        <v>37866.486389342717</v>
      </c>
      <c r="E19" s="139">
        <f t="shared" si="10"/>
        <v>27584.434474766349</v>
      </c>
      <c r="F19" s="139">
        <f t="shared" si="10"/>
        <v>56414.693841241577</v>
      </c>
      <c r="G19" s="139">
        <f t="shared" si="10"/>
        <v>45903.181678112276</v>
      </c>
      <c r="H19" s="139">
        <f t="shared" si="10"/>
        <v>99440.03238090864</v>
      </c>
      <c r="I19" s="139">
        <f t="shared" si="10"/>
        <v>96455.286799383292</v>
      </c>
      <c r="J19" s="139">
        <f t="shared" si="10"/>
        <v>56689.900775834016</v>
      </c>
      <c r="K19" s="139">
        <f t="shared" si="10"/>
        <v>14569.335761257218</v>
      </c>
      <c r="L19" s="139">
        <f t="shared" si="10"/>
        <v>46935.388374995659</v>
      </c>
      <c r="M19" s="139">
        <f t="shared" si="10"/>
        <v>14626.645994122642</v>
      </c>
      <c r="N19" s="139">
        <f t="shared" si="10"/>
        <v>37570.743537030343</v>
      </c>
      <c r="O19" s="139">
        <f t="shared" si="10"/>
        <v>31524.830575164255</v>
      </c>
      <c r="P19" s="139">
        <f t="shared" si="10"/>
        <v>39661.131592148136</v>
      </c>
      <c r="Q19" s="139">
        <f t="shared" si="10"/>
        <v>49096.902497866431</v>
      </c>
      <c r="R19" s="139">
        <f t="shared" ref="R19:W19" si="11">SUM(R20:R26)</f>
        <v>66748.195453252003</v>
      </c>
      <c r="S19" s="139">
        <f t="shared" si="11"/>
        <v>52715.133386385365</v>
      </c>
      <c r="T19" s="139">
        <f t="shared" si="11"/>
        <v>47168.915020499124</v>
      </c>
      <c r="U19" s="139">
        <f t="shared" si="11"/>
        <v>41178.549315499244</v>
      </c>
      <c r="V19" s="139">
        <f t="shared" si="11"/>
        <v>36786.957434801086</v>
      </c>
      <c r="W19" s="139">
        <f t="shared" si="11"/>
        <v>33138.146996099764</v>
      </c>
      <c r="X19" s="139">
        <f t="shared" ref="X19:Y19" si="12">SUM(X20:X26)</f>
        <v>31019.122022884334</v>
      </c>
      <c r="Y19" s="139">
        <f t="shared" si="12"/>
        <v>29223.085735693119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1669.5241113802751</v>
      </c>
      <c r="D21" s="140">
        <v>1414.4701900228204</v>
      </c>
      <c r="E21" s="140">
        <v>522.98481417261894</v>
      </c>
      <c r="F21" s="140">
        <v>3217.1192848736141</v>
      </c>
      <c r="G21" s="140">
        <v>1766.4218648738554</v>
      </c>
      <c r="H21" s="140">
        <v>2464.4297109297368</v>
      </c>
      <c r="I21" s="140">
        <v>1152.1790109088802</v>
      </c>
      <c r="J21" s="140">
        <v>377.52996990012366</v>
      </c>
      <c r="K21" s="140">
        <v>62.999520408982114</v>
      </c>
      <c r="L21" s="140">
        <v>149.17705897050163</v>
      </c>
      <c r="M21" s="140">
        <v>80.607414687280269</v>
      </c>
      <c r="N21" s="140">
        <v>119.19726910249345</v>
      </c>
      <c r="O21" s="140">
        <v>116.01300453768717</v>
      </c>
      <c r="P21" s="140">
        <v>383.91284426048384</v>
      </c>
      <c r="Q21" s="140">
        <v>706.44519061044718</v>
      </c>
      <c r="R21" s="140">
        <v>1361.0045260597281</v>
      </c>
      <c r="S21" s="140">
        <v>931.76324159821331</v>
      </c>
      <c r="T21" s="140">
        <v>869.57776808056519</v>
      </c>
      <c r="U21" s="140">
        <v>410.29326276742717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20678.447221339939</v>
      </c>
      <c r="D22" s="140">
        <v>0</v>
      </c>
      <c r="E22" s="140">
        <v>8307.9544775103859</v>
      </c>
      <c r="F22" s="140">
        <v>21623.464268470598</v>
      </c>
      <c r="G22" s="140">
        <v>15511.450473893245</v>
      </c>
      <c r="H22" s="140">
        <v>24650.351932630434</v>
      </c>
      <c r="I22" s="140">
        <v>24020.210830601554</v>
      </c>
      <c r="J22" s="140">
        <v>13769.419306359858</v>
      </c>
      <c r="K22" s="140">
        <v>3973.4097083540732</v>
      </c>
      <c r="L22" s="140">
        <v>11107.571962859976</v>
      </c>
      <c r="M22" s="140">
        <v>4476.0195523887878</v>
      </c>
      <c r="N22" s="140">
        <v>9824.4748956470139</v>
      </c>
      <c r="O22" s="140">
        <v>7737.5633508321716</v>
      </c>
      <c r="P22" s="140">
        <v>6339.2132267610568</v>
      </c>
      <c r="Q22" s="140">
        <v>8699.1227581582916</v>
      </c>
      <c r="R22" s="140">
        <v>4117.322553909401</v>
      </c>
      <c r="S22" s="140">
        <v>0</v>
      </c>
      <c r="T22" s="140">
        <v>0</v>
      </c>
      <c r="U22" s="140">
        <v>0</v>
      </c>
      <c r="V22" s="140">
        <v>0</v>
      </c>
      <c r="W22" s="140">
        <v>3264.4191459565077</v>
      </c>
      <c r="X22" s="140">
        <v>2052.8033162067604</v>
      </c>
      <c r="Y22" s="140">
        <v>2639.8197306543725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27552.912505900869</v>
      </c>
      <c r="D23" s="140">
        <v>28685.825247372883</v>
      </c>
      <c r="E23" s="140">
        <v>0</v>
      </c>
      <c r="F23" s="140">
        <v>58.125290945666876</v>
      </c>
      <c r="G23" s="140">
        <v>16632.997903297248</v>
      </c>
      <c r="H23" s="140">
        <v>56348.358947926834</v>
      </c>
      <c r="I23" s="140">
        <v>41439.092908059654</v>
      </c>
      <c r="J23" s="140">
        <v>20359.067044929307</v>
      </c>
      <c r="K23" s="140">
        <v>3896.9266735853489</v>
      </c>
      <c r="L23" s="140">
        <v>20188.585027365738</v>
      </c>
      <c r="M23" s="140">
        <v>6248.5735054339384</v>
      </c>
      <c r="N23" s="140">
        <v>18561.14919970548</v>
      </c>
      <c r="O23" s="140">
        <v>16902.809405204214</v>
      </c>
      <c r="P23" s="140">
        <v>27367.339410466469</v>
      </c>
      <c r="Q23" s="140">
        <v>30094.616318924083</v>
      </c>
      <c r="R23" s="140">
        <v>49593.27532500025</v>
      </c>
      <c r="S23" s="140">
        <v>42803.891051855942</v>
      </c>
      <c r="T23" s="140">
        <v>39289.159773776148</v>
      </c>
      <c r="U23" s="140">
        <v>29904.609320766653</v>
      </c>
      <c r="V23" s="140">
        <v>32644.10255279396</v>
      </c>
      <c r="W23" s="140">
        <v>26861.033862608416</v>
      </c>
      <c r="X23" s="140">
        <v>27451.484167271188</v>
      </c>
      <c r="Y23" s="140">
        <v>25653.592988298224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0</v>
      </c>
      <c r="D25" s="140">
        <v>0</v>
      </c>
      <c r="E25" s="140">
        <v>18753.495183083345</v>
      </c>
      <c r="F25" s="140">
        <v>31515.984996951698</v>
      </c>
      <c r="G25" s="140">
        <v>11992.311436047923</v>
      </c>
      <c r="H25" s="140">
        <v>2350.139760005512</v>
      </c>
      <c r="I25" s="140">
        <v>518.56808190690697</v>
      </c>
      <c r="J25" s="140">
        <v>647.51139736061464</v>
      </c>
      <c r="K25" s="140">
        <v>360.49711193068026</v>
      </c>
      <c r="L25" s="140">
        <v>2057.1969560706457</v>
      </c>
      <c r="M25" s="140">
        <v>167.02842494710421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5834.5578833459449</v>
      </c>
      <c r="T25" s="140">
        <v>7010.177478642413</v>
      </c>
      <c r="U25" s="140">
        <v>10863.64673196516</v>
      </c>
      <c r="V25" s="140">
        <v>4142.8548820071292</v>
      </c>
      <c r="W25" s="140">
        <v>3012.6939875348412</v>
      </c>
      <c r="X25" s="140">
        <v>1514.8345394063824</v>
      </c>
      <c r="Y25" s="140">
        <v>929.67301674052283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14192.547342526192</v>
      </c>
      <c r="D26" s="141">
        <v>7766.1909519470137</v>
      </c>
      <c r="E26" s="141">
        <v>0</v>
      </c>
      <c r="F26" s="141">
        <v>0</v>
      </c>
      <c r="G26" s="141">
        <v>0</v>
      </c>
      <c r="H26" s="141">
        <v>13626.752029416142</v>
      </c>
      <c r="I26" s="141">
        <v>29325.235967906297</v>
      </c>
      <c r="J26" s="141">
        <v>21536.373057284116</v>
      </c>
      <c r="K26" s="141">
        <v>6275.5027469781335</v>
      </c>
      <c r="L26" s="141">
        <v>13432.85736972879</v>
      </c>
      <c r="M26" s="141">
        <v>3654.417096665532</v>
      </c>
      <c r="N26" s="141">
        <v>9065.9221725753596</v>
      </c>
      <c r="O26" s="141">
        <v>6768.4448145901815</v>
      </c>
      <c r="P26" s="141">
        <v>5570.6661106601241</v>
      </c>
      <c r="Q26" s="141">
        <v>9596.7182301736084</v>
      </c>
      <c r="R26" s="141">
        <v>11676.593048282622</v>
      </c>
      <c r="S26" s="141">
        <v>3144.9212095852622</v>
      </c>
      <c r="T26" s="141">
        <v>0</v>
      </c>
      <c r="U26" s="141">
        <v>0</v>
      </c>
      <c r="V26" s="141">
        <v>0</v>
      </c>
      <c r="W26" s="141">
        <v>0</v>
      </c>
      <c r="X26" s="141">
        <v>0</v>
      </c>
      <c r="Y26" s="141">
        <v>0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2655.0798121792659</v>
      </c>
      <c r="D27" s="150">
        <v>7700.2816877387268</v>
      </c>
      <c r="E27" s="150">
        <v>2850.0756308175078</v>
      </c>
      <c r="F27" s="150">
        <v>1789.3865289112557</v>
      </c>
      <c r="G27" s="150">
        <v>3626.989111140103</v>
      </c>
      <c r="H27" s="150">
        <v>8115.336199235966</v>
      </c>
      <c r="I27" s="150">
        <v>15538.766965276967</v>
      </c>
      <c r="J27" s="150">
        <v>2532.0989559421823</v>
      </c>
      <c r="K27" s="150">
        <v>6951.7571893276245</v>
      </c>
      <c r="L27" s="150">
        <v>5873.6654740072308</v>
      </c>
      <c r="M27" s="150">
        <v>7295.1234520384223</v>
      </c>
      <c r="N27" s="150">
        <v>3668.531241104743</v>
      </c>
      <c r="O27" s="150">
        <v>7001.9498315936826</v>
      </c>
      <c r="P27" s="150">
        <v>3.9419681924807604</v>
      </c>
      <c r="Q27" s="150">
        <v>4804.9321038360004</v>
      </c>
      <c r="R27" s="150">
        <v>5009.3946624217815</v>
      </c>
      <c r="S27" s="150">
        <v>6506.8177607439457</v>
      </c>
      <c r="T27" s="150">
        <v>3601.3741394385452</v>
      </c>
      <c r="U27" s="150">
        <v>2286.3261004672709</v>
      </c>
      <c r="V27" s="150">
        <v>8686.4412110916401</v>
      </c>
      <c r="W27" s="150">
        <v>2258.072957023307</v>
      </c>
      <c r="X27" s="150">
        <v>11251.782571897058</v>
      </c>
      <c r="Y27" s="150">
        <v>226.01251421456547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64093.431181147265</v>
      </c>
      <c r="D29" s="139">
        <f t="shared" si="13"/>
        <v>37866.486389342725</v>
      </c>
      <c r="E29" s="139">
        <f t="shared" si="13"/>
        <v>27584.434474766356</v>
      </c>
      <c r="F29" s="139">
        <f t="shared" si="13"/>
        <v>56414.693841241577</v>
      </c>
      <c r="G29" s="139">
        <f t="shared" si="13"/>
        <v>45903.181678112269</v>
      </c>
      <c r="H29" s="139">
        <f t="shared" si="13"/>
        <v>99440.032380908669</v>
      </c>
      <c r="I29" s="139">
        <f t="shared" si="13"/>
        <v>96455.286799383292</v>
      </c>
      <c r="J29" s="139">
        <f t="shared" si="13"/>
        <v>56689.90077583403</v>
      </c>
      <c r="K29" s="139">
        <f t="shared" si="13"/>
        <v>14569.335761257216</v>
      </c>
      <c r="L29" s="139">
        <f t="shared" si="13"/>
        <v>46935.388374995644</v>
      </c>
      <c r="M29" s="139">
        <f t="shared" si="13"/>
        <v>14626.645994122642</v>
      </c>
      <c r="N29" s="139">
        <f t="shared" si="13"/>
        <v>37570.743537030343</v>
      </c>
      <c r="O29" s="139">
        <f t="shared" si="13"/>
        <v>31524.830575164247</v>
      </c>
      <c r="P29" s="139">
        <f t="shared" si="13"/>
        <v>39661.131592148136</v>
      </c>
      <c r="Q29" s="139">
        <f t="shared" si="13"/>
        <v>49096.902497866424</v>
      </c>
      <c r="R29" s="139">
        <f t="shared" ref="R29:W29" si="14">SUM(R30:R33)</f>
        <v>66748.195453252003</v>
      </c>
      <c r="S29" s="139">
        <f t="shared" si="14"/>
        <v>52715.133386385365</v>
      </c>
      <c r="T29" s="139">
        <f t="shared" si="14"/>
        <v>47168.915020499131</v>
      </c>
      <c r="U29" s="139">
        <f t="shared" si="14"/>
        <v>41178.549315499236</v>
      </c>
      <c r="V29" s="139">
        <f t="shared" si="14"/>
        <v>36786.957434801094</v>
      </c>
      <c r="W29" s="139">
        <f t="shared" si="14"/>
        <v>33138.146996099764</v>
      </c>
      <c r="X29" s="139">
        <f t="shared" ref="X29:Y29" si="15">SUM(X30:X33)</f>
        <v>31019.122022884327</v>
      </c>
      <c r="Y29" s="139">
        <f t="shared" si="15"/>
        <v>29223.085735693119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3508.1130380412819</v>
      </c>
      <c r="D30" s="140">
        <v>553.6956494958755</v>
      </c>
      <c r="E30" s="140">
        <v>2795.1533933804026</v>
      </c>
      <c r="F30" s="140">
        <v>3614.0923790538232</v>
      </c>
      <c r="G30" s="140">
        <v>1478.5995595193922</v>
      </c>
      <c r="H30" s="140">
        <v>4488.7183876063418</v>
      </c>
      <c r="I30" s="140">
        <v>705.90309130697699</v>
      </c>
      <c r="J30" s="140">
        <v>772.02957686249715</v>
      </c>
      <c r="K30" s="140">
        <v>534.55951032339897</v>
      </c>
      <c r="L30" s="140">
        <v>1843.0660579239782</v>
      </c>
      <c r="M30" s="140">
        <v>863.0451838972499</v>
      </c>
      <c r="N30" s="140">
        <v>1488.8045345986482</v>
      </c>
      <c r="O30" s="140">
        <v>1433.0289470529965</v>
      </c>
      <c r="P30" s="140">
        <v>1255.5113776379844</v>
      </c>
      <c r="Q30" s="140">
        <v>1140.243217001273</v>
      </c>
      <c r="R30" s="140">
        <v>2197.3141563902864</v>
      </c>
      <c r="S30" s="140">
        <v>351.97481522236882</v>
      </c>
      <c r="T30" s="140">
        <v>2496.5242339241095</v>
      </c>
      <c r="U30" s="140">
        <v>1532.844544864741</v>
      </c>
      <c r="V30" s="140">
        <v>1049.7015318024346</v>
      </c>
      <c r="W30" s="140">
        <v>983.09966302094324</v>
      </c>
      <c r="X30" s="140">
        <v>346.14959090627468</v>
      </c>
      <c r="Y30" s="140">
        <v>0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43424.537787929665</v>
      </c>
      <c r="D31" s="140">
        <v>21253.51590629973</v>
      </c>
      <c r="E31" s="140">
        <v>13567.754186376789</v>
      </c>
      <c r="F31" s="140">
        <v>31810.424868023547</v>
      </c>
      <c r="G31" s="140">
        <v>23404.937901641202</v>
      </c>
      <c r="H31" s="140">
        <v>60171.773323001449</v>
      </c>
      <c r="I31" s="140">
        <v>51623.723325424406</v>
      </c>
      <c r="J31" s="140">
        <v>29185.136265813493</v>
      </c>
      <c r="K31" s="140">
        <v>5375.9367583779413</v>
      </c>
      <c r="L31" s="140">
        <v>18323.4006102616</v>
      </c>
      <c r="M31" s="140">
        <v>3445.4151351206883</v>
      </c>
      <c r="N31" s="140">
        <v>24902.476347091717</v>
      </c>
      <c r="O31" s="140">
        <v>24955.150644497426</v>
      </c>
      <c r="P31" s="140">
        <v>38289.451264886993</v>
      </c>
      <c r="Q31" s="140">
        <v>32600.871782275524</v>
      </c>
      <c r="R31" s="140">
        <v>44245.956664650475</v>
      </c>
      <c r="S31" s="140">
        <v>39825.855197940567</v>
      </c>
      <c r="T31" s="140">
        <v>42223.38238772584</v>
      </c>
      <c r="U31" s="140">
        <v>30271.187988270951</v>
      </c>
      <c r="V31" s="140">
        <v>26459.924023206855</v>
      </c>
      <c r="W31" s="140">
        <v>32122.909815050847</v>
      </c>
      <c r="X31" s="140">
        <v>30631.004333463487</v>
      </c>
      <c r="Y31" s="140">
        <v>29165.399776457311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314.71571392878536</v>
      </c>
      <c r="F32" s="140">
        <v>193.43199618835447</v>
      </c>
      <c r="G32" s="140">
        <v>114.31156958932203</v>
      </c>
      <c r="H32" s="140">
        <v>64.889429252674987</v>
      </c>
      <c r="I32" s="140">
        <v>73.358759032593781</v>
      </c>
      <c r="J32" s="140">
        <v>69.178221458097468</v>
      </c>
      <c r="K32" s="140">
        <v>30.924337513456518</v>
      </c>
      <c r="L32" s="140">
        <v>118.59386645859145</v>
      </c>
      <c r="M32" s="140">
        <v>68.364276258992263</v>
      </c>
      <c r="N32" s="140">
        <v>133.60984394738063</v>
      </c>
      <c r="O32" s="140">
        <v>90.08915752853126</v>
      </c>
      <c r="P32" s="140">
        <v>116.16894962315421</v>
      </c>
      <c r="Q32" s="140">
        <v>165.71065236754285</v>
      </c>
      <c r="R32" s="140">
        <v>72.2414551011897</v>
      </c>
      <c r="S32" s="140">
        <v>45.668654041734619</v>
      </c>
      <c r="T32" s="140">
        <v>22.188059847920901</v>
      </c>
      <c r="U32" s="140">
        <v>9.729229787460886</v>
      </c>
      <c r="V32" s="140">
        <v>0</v>
      </c>
      <c r="W32" s="140">
        <v>32.137518027974934</v>
      </c>
      <c r="X32" s="140">
        <v>41.968098514563643</v>
      </c>
      <c r="Y32" s="140">
        <v>57.68595923580903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17160.780355176321</v>
      </c>
      <c r="D33" s="152">
        <v>16059.274833547117</v>
      </c>
      <c r="E33" s="152">
        <v>10906.811181080377</v>
      </c>
      <c r="F33" s="152">
        <v>20796.744597975852</v>
      </c>
      <c r="G33" s="152">
        <v>20905.332647362353</v>
      </c>
      <c r="H33" s="152">
        <v>34714.65124104821</v>
      </c>
      <c r="I33" s="152">
        <v>44052.301623619322</v>
      </c>
      <c r="J33" s="152">
        <v>26663.556711699941</v>
      </c>
      <c r="K33" s="152">
        <v>8627.9151550424194</v>
      </c>
      <c r="L33" s="152">
        <v>26650.327840351478</v>
      </c>
      <c r="M33" s="152">
        <v>10249.821398845712</v>
      </c>
      <c r="N33" s="152">
        <v>11045.852811392597</v>
      </c>
      <c r="O33" s="152">
        <v>5046.5618260852953</v>
      </c>
      <c r="P33" s="152">
        <v>0</v>
      </c>
      <c r="Q33" s="152">
        <v>15190.076846222086</v>
      </c>
      <c r="R33" s="152">
        <v>20232.683177110062</v>
      </c>
      <c r="S33" s="152">
        <v>12491.634719180693</v>
      </c>
      <c r="T33" s="152">
        <v>2426.8203390012618</v>
      </c>
      <c r="U33" s="152">
        <v>9364.7875525760883</v>
      </c>
      <c r="V33" s="152">
        <v>9277.3318797918073</v>
      </c>
      <c r="W33" s="152">
        <v>0</v>
      </c>
      <c r="X33" s="152">
        <v>0</v>
      </c>
      <c r="Y33" s="152">
        <v>0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403.7624489449779</v>
      </c>
      <c r="D3" s="125">
        <f t="shared" si="0"/>
        <v>240.09584055707478</v>
      </c>
      <c r="E3" s="125">
        <f t="shared" si="0"/>
        <v>212.44091177841153</v>
      </c>
      <c r="F3" s="125">
        <f t="shared" si="0"/>
        <v>375.04736860448759</v>
      </c>
      <c r="G3" s="125">
        <f t="shared" si="0"/>
        <v>285.55362960525582</v>
      </c>
      <c r="H3" s="125">
        <f t="shared" si="0"/>
        <v>719.98398885532845</v>
      </c>
      <c r="I3" s="125">
        <f t="shared" si="0"/>
        <v>552.1118285259023</v>
      </c>
      <c r="J3" s="125">
        <f t="shared" si="0"/>
        <v>350.80278227344996</v>
      </c>
      <c r="K3" s="125">
        <f t="shared" si="0"/>
        <v>84.013300647048595</v>
      </c>
      <c r="L3" s="125">
        <f t="shared" si="0"/>
        <v>277.81451573603312</v>
      </c>
      <c r="M3" s="125">
        <f t="shared" si="0"/>
        <v>74.597529752968967</v>
      </c>
      <c r="N3" s="125">
        <f t="shared" si="0"/>
        <v>191.03308136889228</v>
      </c>
      <c r="O3" s="125">
        <f t="shared" si="0"/>
        <v>165.02184059816216</v>
      </c>
      <c r="P3" s="125">
        <f t="shared" si="0"/>
        <v>179.11764502108292</v>
      </c>
      <c r="Q3" s="125">
        <f t="shared" si="0"/>
        <v>216.34116598053402</v>
      </c>
      <c r="R3" s="125">
        <f t="shared" ref="R3:W3" si="1">SUM(R4,R16,R19,R29)</f>
        <v>265.12645368971357</v>
      </c>
      <c r="S3" s="125">
        <f t="shared" si="1"/>
        <v>192.14843190337274</v>
      </c>
      <c r="T3" s="125">
        <f t="shared" si="1"/>
        <v>177.26230357027521</v>
      </c>
      <c r="U3" s="125">
        <f t="shared" si="1"/>
        <v>138.5207049893267</v>
      </c>
      <c r="V3" s="125">
        <f t="shared" si="1"/>
        <v>109.92514009008843</v>
      </c>
      <c r="W3" s="125">
        <f t="shared" si="1"/>
        <v>94.151182914763709</v>
      </c>
      <c r="X3" s="125">
        <f t="shared" ref="X3:Y3" si="2">SUM(X4,X16,X19,X29)</f>
        <v>72.806010867607483</v>
      </c>
      <c r="Y3" s="125">
        <f t="shared" si="2"/>
        <v>66.649684982207617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246.12633040058464</v>
      </c>
      <c r="D4" s="130">
        <f t="shared" si="3"/>
        <v>148.39120552951405</v>
      </c>
      <c r="E4" s="130">
        <f t="shared" si="3"/>
        <v>136.51083682466887</v>
      </c>
      <c r="F4" s="130">
        <f t="shared" si="3"/>
        <v>238.08946778712456</v>
      </c>
      <c r="G4" s="130">
        <f t="shared" si="3"/>
        <v>177.23549436067415</v>
      </c>
      <c r="H4" s="130">
        <f t="shared" si="3"/>
        <v>485.20473418839356</v>
      </c>
      <c r="I4" s="130">
        <f t="shared" si="3"/>
        <v>331.05762170274659</v>
      </c>
      <c r="J4" s="130">
        <f t="shared" si="3"/>
        <v>224.99866342402689</v>
      </c>
      <c r="K4" s="130">
        <f t="shared" si="3"/>
        <v>52.446432345932983</v>
      </c>
      <c r="L4" s="130">
        <f t="shared" si="3"/>
        <v>173.34088100397548</v>
      </c>
      <c r="M4" s="130">
        <f t="shared" si="3"/>
        <v>44.76611264714014</v>
      </c>
      <c r="N4" s="130">
        <f t="shared" si="3"/>
        <v>111.50021464585147</v>
      </c>
      <c r="O4" s="130">
        <f t="shared" si="3"/>
        <v>98.878579139804401</v>
      </c>
      <c r="P4" s="130">
        <f t="shared" si="3"/>
        <v>90.461873621724394</v>
      </c>
      <c r="Q4" s="130">
        <f t="shared" si="3"/>
        <v>116.10338056503825</v>
      </c>
      <c r="R4" s="130">
        <f t="shared" ref="R4:W4" si="4">SUM(R5:R15)</f>
        <v>137.64463784994666</v>
      </c>
      <c r="S4" s="130">
        <f t="shared" si="4"/>
        <v>92.990843293671531</v>
      </c>
      <c r="T4" s="130">
        <f t="shared" si="4"/>
        <v>76.853313385941874</v>
      </c>
      <c r="U4" s="130">
        <f t="shared" si="4"/>
        <v>57.014911867962709</v>
      </c>
      <c r="V4" s="130">
        <f t="shared" si="4"/>
        <v>46.777197049191912</v>
      </c>
      <c r="W4" s="130">
        <f t="shared" si="4"/>
        <v>40.835565722578643</v>
      </c>
      <c r="X4" s="130">
        <f t="shared" ref="X4:Y4" si="5">SUM(X5:X15)</f>
        <v>23.191313512308145</v>
      </c>
      <c r="Y4" s="130">
        <f t="shared" si="5"/>
        <v>20.654068341394829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2.2301995472038469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14.520588285168724</v>
      </c>
      <c r="J5" s="132">
        <v>0</v>
      </c>
      <c r="K5" s="132">
        <v>0</v>
      </c>
      <c r="L5" s="132">
        <v>0</v>
      </c>
      <c r="M5" s="132">
        <v>0.40067772252533662</v>
      </c>
      <c r="N5" s="132">
        <v>1.5779400780926252</v>
      </c>
      <c r="O5" s="132">
        <v>0.51860924422952415</v>
      </c>
      <c r="P5" s="132">
        <v>0</v>
      </c>
      <c r="Q5" s="132">
        <v>10.008128947331105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2.1031314139971807E-2</v>
      </c>
      <c r="X5" s="132">
        <v>1.5647782579029754E-2</v>
      </c>
      <c r="Y5" s="132">
        <v>0.83685817598255807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13.333926645408578</v>
      </c>
      <c r="D7" s="132">
        <v>51.707032702545185</v>
      </c>
      <c r="E7" s="132">
        <v>0</v>
      </c>
      <c r="F7" s="132">
        <v>15.846537001790342</v>
      </c>
      <c r="G7" s="132">
        <v>71.777968788300996</v>
      </c>
      <c r="H7" s="132">
        <v>117.97172899658338</v>
      </c>
      <c r="I7" s="132">
        <v>74.608320647003865</v>
      </c>
      <c r="J7" s="132">
        <v>104.19389787189019</v>
      </c>
      <c r="K7" s="132">
        <v>25.804266178518258</v>
      </c>
      <c r="L7" s="132">
        <v>65.038087113735955</v>
      </c>
      <c r="M7" s="132">
        <v>19.830853567105414</v>
      </c>
      <c r="N7" s="132">
        <v>42.173543043119295</v>
      </c>
      <c r="O7" s="132">
        <v>28.133564227757333</v>
      </c>
      <c r="P7" s="132">
        <v>23.686345358876434</v>
      </c>
      <c r="Q7" s="132">
        <v>9.0592029895062698</v>
      </c>
      <c r="R7" s="132">
        <v>7.9170755458881636</v>
      </c>
      <c r="S7" s="132">
        <v>0</v>
      </c>
      <c r="T7" s="132">
        <v>0</v>
      </c>
      <c r="U7" s="132">
        <v>0</v>
      </c>
      <c r="V7" s="132">
        <v>0</v>
      </c>
      <c r="W7" s="132">
        <v>1.1481274510140667</v>
      </c>
      <c r="X7" s="132">
        <v>0</v>
      </c>
      <c r="Y7" s="132">
        <v>0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1.882994527501709E-2</v>
      </c>
      <c r="D8" s="132">
        <v>1.7512321107207962E-2</v>
      </c>
      <c r="E8" s="132">
        <v>5.3462526395445797E-3</v>
      </c>
      <c r="F8" s="132">
        <v>4.0471476733496374E-2</v>
      </c>
      <c r="G8" s="132">
        <v>5.55148045674465E-2</v>
      </c>
      <c r="H8" s="132">
        <v>0.10485178369043645</v>
      </c>
      <c r="I8" s="132">
        <v>0.14637914286910314</v>
      </c>
      <c r="J8" s="132">
        <v>4.1430421819099533E-2</v>
      </c>
      <c r="K8" s="132">
        <v>8.0818449416357012E-3</v>
      </c>
      <c r="L8" s="132">
        <v>1.6920686671637708E-2</v>
      </c>
      <c r="M8" s="132">
        <v>1.6806963641485029E-2</v>
      </c>
      <c r="N8" s="132">
        <v>4.3576466126367397E-2</v>
      </c>
      <c r="O8" s="132">
        <v>3.9531991929352188E-2</v>
      </c>
      <c r="P8" s="132">
        <v>9.6053265352605902E-2</v>
      </c>
      <c r="Q8" s="132">
        <v>0.10307810269104871</v>
      </c>
      <c r="R8" s="132">
        <v>0.11569345520199875</v>
      </c>
      <c r="S8" s="132">
        <v>6.993702921826063E-2</v>
      </c>
      <c r="T8" s="132">
        <v>5.6520763084383301E-2</v>
      </c>
      <c r="U8" s="132">
        <v>5.0580126405998467E-2</v>
      </c>
      <c r="V8" s="132">
        <v>5.3914612313382265E-2</v>
      </c>
      <c r="W8" s="132">
        <v>3.4009814168392057E-2</v>
      </c>
      <c r="X8" s="132">
        <v>2.8582631796444696E-2</v>
      </c>
      <c r="Y8" s="132">
        <v>4.5004056597235879E-2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227.54291034505528</v>
      </c>
      <c r="D9" s="132">
        <v>68.875394572806783</v>
      </c>
      <c r="E9" s="132">
        <v>0</v>
      </c>
      <c r="F9" s="132">
        <v>0</v>
      </c>
      <c r="G9" s="132">
        <v>0</v>
      </c>
      <c r="H9" s="132">
        <v>326.1012732034518</v>
      </c>
      <c r="I9" s="132">
        <v>182.10514261974697</v>
      </c>
      <c r="J9" s="132">
        <v>71.595524989023247</v>
      </c>
      <c r="K9" s="132">
        <v>15.402403476254346</v>
      </c>
      <c r="L9" s="132">
        <v>54.651155399024788</v>
      </c>
      <c r="M9" s="132">
        <v>22.854358598493945</v>
      </c>
      <c r="N9" s="132">
        <v>61.17416321666034</v>
      </c>
      <c r="O9" s="132">
        <v>58.950364775494997</v>
      </c>
      <c r="P9" s="132">
        <v>58.050920571378278</v>
      </c>
      <c r="Q9" s="132">
        <v>69.829598592875541</v>
      </c>
      <c r="R9" s="132">
        <v>94.120760186051811</v>
      </c>
      <c r="S9" s="132">
        <v>47.740400627820577</v>
      </c>
      <c r="T9" s="132">
        <v>35.413343785616647</v>
      </c>
      <c r="U9" s="132">
        <v>10.620921263946201</v>
      </c>
      <c r="V9" s="132">
        <v>31.774830949246663</v>
      </c>
      <c r="W9" s="132">
        <v>16.590660963082485</v>
      </c>
      <c r="X9" s="132">
        <v>8.7616221173654747</v>
      </c>
      <c r="Y9" s="132">
        <v>7.8536731863934612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22.053981110999203</v>
      </c>
      <c r="F10" s="132">
        <v>58.658441402663797</v>
      </c>
      <c r="G10" s="132">
        <v>33.747688417539408</v>
      </c>
      <c r="H10" s="132">
        <v>35.265104863388601</v>
      </c>
      <c r="I10" s="132">
        <v>40.939937171525003</v>
      </c>
      <c r="J10" s="132">
        <v>35.452002501501717</v>
      </c>
      <c r="K10" s="132">
        <v>7.6621245294568441</v>
      </c>
      <c r="L10" s="132">
        <v>17.585622262980952</v>
      </c>
      <c r="M10" s="132">
        <v>0.83661512819295658</v>
      </c>
      <c r="N10" s="132">
        <v>1.651678716748477</v>
      </c>
      <c r="O10" s="132">
        <v>1.502373763559961</v>
      </c>
      <c r="P10" s="132">
        <v>5.5575928689577152</v>
      </c>
      <c r="Q10" s="132">
        <v>14.434739088580827</v>
      </c>
      <c r="R10" s="132">
        <v>23.131744798364064</v>
      </c>
      <c r="S10" s="132">
        <v>19.961184784624624</v>
      </c>
      <c r="T10" s="132">
        <v>18.919542894084678</v>
      </c>
      <c r="U10" s="132">
        <v>15.095678423038416</v>
      </c>
      <c r="V10" s="132">
        <v>11.386363403772997</v>
      </c>
      <c r="W10" s="132">
        <v>9.6240117176969129</v>
      </c>
      <c r="X10" s="132">
        <v>7.0420486483466638</v>
      </c>
      <c r="Y10" s="132">
        <v>8.1487465880293346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1.6000399226561579</v>
      </c>
      <c r="F11" s="132">
        <v>1.9005016701465021</v>
      </c>
      <c r="G11" s="132">
        <v>1.2663944588096019</v>
      </c>
      <c r="H11" s="132">
        <v>0.19414755686717772</v>
      </c>
      <c r="I11" s="132">
        <v>0.7631505264182058</v>
      </c>
      <c r="J11" s="132">
        <v>0</v>
      </c>
      <c r="K11" s="132">
        <v>0.13625617845348639</v>
      </c>
      <c r="L11" s="132">
        <v>0.27923243973613299</v>
      </c>
      <c r="M11" s="132">
        <v>0.21610964221695622</v>
      </c>
      <c r="N11" s="132">
        <v>0.37074512791843378</v>
      </c>
      <c r="O11" s="132">
        <v>0.11321403624830792</v>
      </c>
      <c r="P11" s="132">
        <v>1.5768470800128329</v>
      </c>
      <c r="Q11" s="132">
        <v>7.8443523063786949E-2</v>
      </c>
      <c r="R11" s="132">
        <v>1.0186063310277194</v>
      </c>
      <c r="S11" s="132">
        <v>0.79814567752048859</v>
      </c>
      <c r="T11" s="132">
        <v>0.74329386381212925</v>
      </c>
      <c r="U11" s="132">
        <v>0.46771108096582503</v>
      </c>
      <c r="V11" s="132">
        <v>0.37679423372809401</v>
      </c>
      <c r="W11" s="132">
        <v>8.0895271428260793E-2</v>
      </c>
      <c r="X11" s="132">
        <v>0.14896201766966741</v>
      </c>
      <c r="Y11" s="132">
        <v>0.13387374794194129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101.4400311366324</v>
      </c>
      <c r="F12" s="132">
        <v>109.91516933260552</v>
      </c>
      <c r="G12" s="132">
        <v>68.836840173829842</v>
      </c>
      <c r="H12" s="132">
        <v>0</v>
      </c>
      <c r="I12" s="132">
        <v>14.068709077647258</v>
      </c>
      <c r="J12" s="132">
        <v>11.18082183133096</v>
      </c>
      <c r="K12" s="132">
        <v>1.4001341049631326</v>
      </c>
      <c r="L12" s="132">
        <v>29.914399840876545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22.850547058856179</v>
      </c>
      <c r="T12" s="132">
        <v>20.179313158063003</v>
      </c>
      <c r="U12" s="132">
        <v>27.7339257451364</v>
      </c>
      <c r="V12" s="132">
        <v>1.8743436175023667</v>
      </c>
      <c r="W12" s="132">
        <v>12.668209131590245</v>
      </c>
      <c r="X12" s="132">
        <v>6.7301376413079943</v>
      </c>
      <c r="Y12" s="132">
        <v>3.0941183546031579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0.12701603364300743</v>
      </c>
      <c r="D13" s="132">
        <v>0.34199039408314008</v>
      </c>
      <c r="E13" s="132">
        <v>0.11983372466553283</v>
      </c>
      <c r="F13" s="132">
        <v>0.3399329923995924</v>
      </c>
      <c r="G13" s="132">
        <v>0.28331860004877446</v>
      </c>
      <c r="H13" s="132">
        <v>0.37871465384801722</v>
      </c>
      <c r="I13" s="132">
        <v>0.64195885165300903</v>
      </c>
      <c r="J13" s="132">
        <v>0.36005236138142138</v>
      </c>
      <c r="K13" s="132">
        <v>0.17468744699156355</v>
      </c>
      <c r="L13" s="132">
        <v>0.43269101781032077</v>
      </c>
      <c r="M13" s="132">
        <v>0.13182035998740471</v>
      </c>
      <c r="N13" s="132">
        <v>0.19370736419156745</v>
      </c>
      <c r="O13" s="132">
        <v>0.13478228443988796</v>
      </c>
      <c r="P13" s="132">
        <v>0.43411855927607662</v>
      </c>
      <c r="Q13" s="132">
        <v>0.44925539760833949</v>
      </c>
      <c r="R13" s="132">
        <v>0.71367533326654453</v>
      </c>
      <c r="S13" s="132">
        <v>0.49107787381153334</v>
      </c>
      <c r="T13" s="132">
        <v>0.41250040838351393</v>
      </c>
      <c r="U13" s="132">
        <v>0.35407496166369201</v>
      </c>
      <c r="V13" s="132">
        <v>0.39213515620221917</v>
      </c>
      <c r="W13" s="132">
        <v>0.30439353671005054</v>
      </c>
      <c r="X13" s="132">
        <v>0.26390448117652393</v>
      </c>
      <c r="Y13" s="132">
        <v>0.3538276767897105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26.070137434205122</v>
      </c>
      <c r="E14" s="65">
        <v>10.721689680880303</v>
      </c>
      <c r="F14" s="65">
        <v>50.379740987722698</v>
      </c>
      <c r="G14" s="65">
        <v>0</v>
      </c>
      <c r="H14" s="65">
        <v>0</v>
      </c>
      <c r="I14" s="65">
        <v>0</v>
      </c>
      <c r="J14" s="65">
        <v>0</v>
      </c>
      <c r="K14" s="65">
        <v>1.3589826499148301</v>
      </c>
      <c r="L14" s="65">
        <v>3.896801518319382</v>
      </c>
      <c r="M14" s="65">
        <v>0</v>
      </c>
      <c r="N14" s="65">
        <v>3.121570648577801</v>
      </c>
      <c r="O14" s="65">
        <v>8.440078615186108</v>
      </c>
      <c r="P14" s="65">
        <v>0</v>
      </c>
      <c r="Q14" s="65">
        <v>10.947355697016627</v>
      </c>
      <c r="R14" s="65">
        <v>9.102873562050906</v>
      </c>
      <c r="S14" s="65">
        <v>0.20373516526361499</v>
      </c>
      <c r="T14" s="65">
        <v>0.43232480729734513</v>
      </c>
      <c r="U14" s="65">
        <v>2.3330073822008215</v>
      </c>
      <c r="V14" s="65">
        <v>0.38541094685481553</v>
      </c>
      <c r="W14" s="65">
        <v>0</v>
      </c>
      <c r="X14" s="65">
        <v>0</v>
      </c>
      <c r="Y14" s="65">
        <v>0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2.8734478839989115</v>
      </c>
      <c r="D15" s="134">
        <v>1.3791381047666238</v>
      </c>
      <c r="E15" s="134">
        <v>0.56991499619571873</v>
      </c>
      <c r="F15" s="134">
        <v>1.0086729230626457</v>
      </c>
      <c r="G15" s="134">
        <v>1.267769117578089</v>
      </c>
      <c r="H15" s="134">
        <v>5.1889131305641447</v>
      </c>
      <c r="I15" s="134">
        <v>3.2634353807144589</v>
      </c>
      <c r="J15" s="134">
        <v>2.1749334470802744</v>
      </c>
      <c r="K15" s="134">
        <v>0.49949593643889173</v>
      </c>
      <c r="L15" s="134">
        <v>1.5259707248197596</v>
      </c>
      <c r="M15" s="134">
        <v>0.47887066497663966</v>
      </c>
      <c r="N15" s="134">
        <v>1.1932899844165468</v>
      </c>
      <c r="O15" s="134">
        <v>1.0460602009589353</v>
      </c>
      <c r="P15" s="134">
        <v>1.0599959178704468</v>
      </c>
      <c r="Q15" s="134">
        <v>1.1935782263647032</v>
      </c>
      <c r="R15" s="134">
        <v>1.5242086380954434</v>
      </c>
      <c r="S15" s="134">
        <v>0.87581507655625612</v>
      </c>
      <c r="T15" s="134">
        <v>0.69647370560017252</v>
      </c>
      <c r="U15" s="134">
        <v>0.35901288460535363</v>
      </c>
      <c r="V15" s="134">
        <v>0.53340412957136474</v>
      </c>
      <c r="W15" s="134">
        <v>0.36422652274826189</v>
      </c>
      <c r="X15" s="134">
        <v>0.20040819206634544</v>
      </c>
      <c r="Y15" s="134">
        <v>0.18796655505743157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52.374854698782258</v>
      </c>
      <c r="D16" s="130">
        <f t="shared" si="6"/>
        <v>32.286181973324759</v>
      </c>
      <c r="E16" s="130">
        <f t="shared" si="6"/>
        <v>27.118320074033587</v>
      </c>
      <c r="F16" s="130">
        <f t="shared" si="6"/>
        <v>43.240886748832281</v>
      </c>
      <c r="G16" s="130">
        <f t="shared" si="6"/>
        <v>33.841605206168246</v>
      </c>
      <c r="H16" s="130">
        <f t="shared" si="6"/>
        <v>69.662744004736609</v>
      </c>
      <c r="I16" s="130">
        <f t="shared" si="6"/>
        <v>65.74999898370946</v>
      </c>
      <c r="J16" s="130">
        <f t="shared" si="6"/>
        <v>36.914425919359786</v>
      </c>
      <c r="K16" s="130">
        <f t="shared" si="6"/>
        <v>8.9431810679347379</v>
      </c>
      <c r="L16" s="130">
        <f t="shared" si="6"/>
        <v>29.822880425021729</v>
      </c>
      <c r="M16" s="130">
        <f t="shared" si="6"/>
        <v>8.0924195355285686</v>
      </c>
      <c r="N16" s="130">
        <f t="shared" si="6"/>
        <v>19.834511893163274</v>
      </c>
      <c r="O16" s="130">
        <f t="shared" si="6"/>
        <v>16.273042486726645</v>
      </c>
      <c r="P16" s="130">
        <f t="shared" si="6"/>
        <v>18.230740331038014</v>
      </c>
      <c r="Q16" s="130">
        <f t="shared" si="6"/>
        <v>24.153038073696447</v>
      </c>
      <c r="R16" s="130">
        <f t="shared" ref="R16:W16" si="7">SUM(R17:R18)</f>
        <v>28.137591947953904</v>
      </c>
      <c r="S16" s="130">
        <f t="shared" si="7"/>
        <v>21.187057214248515</v>
      </c>
      <c r="T16" s="130">
        <f t="shared" si="7"/>
        <v>22.418589596223651</v>
      </c>
      <c r="U16" s="130">
        <f t="shared" si="7"/>
        <v>17.901219705548421</v>
      </c>
      <c r="V16" s="130">
        <f t="shared" si="7"/>
        <v>13.059518010706457</v>
      </c>
      <c r="W16" s="130">
        <f t="shared" si="7"/>
        <v>10.38262855549147</v>
      </c>
      <c r="X16" s="130">
        <f t="shared" ref="X16:Y16" si="8">SUM(X17:X18)</f>
        <v>9.6905407947467026</v>
      </c>
      <c r="Y16" s="130">
        <f t="shared" si="8"/>
        <v>8.816985906525332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3.2833850470168367E-2</v>
      </c>
      <c r="D17" s="132">
        <v>2.2407652938671471E-2</v>
      </c>
      <c r="E17" s="132">
        <v>1.336732218531087E-2</v>
      </c>
      <c r="F17" s="132">
        <v>0.10277800906596989</v>
      </c>
      <c r="G17" s="132">
        <v>5.9454801906276417E-2</v>
      </c>
      <c r="H17" s="132">
        <v>5.5957928044390877E-2</v>
      </c>
      <c r="I17" s="132">
        <v>0.26720596328094903</v>
      </c>
      <c r="J17" s="132">
        <v>0.10767302997781587</v>
      </c>
      <c r="K17" s="132">
        <v>3.8977726629274775E-2</v>
      </c>
      <c r="L17" s="132">
        <v>0.12368257588071961</v>
      </c>
      <c r="M17" s="132">
        <v>4.0388193607024406E-2</v>
      </c>
      <c r="N17" s="132">
        <v>8.5661066972525887E-2</v>
      </c>
      <c r="O17" s="132">
        <v>0.10783631187012899</v>
      </c>
      <c r="P17" s="132">
        <v>0.30489271259831291</v>
      </c>
      <c r="Q17" s="132">
        <v>0.52161336900145339</v>
      </c>
      <c r="R17" s="132">
        <v>0.36198516176108075</v>
      </c>
      <c r="S17" s="132">
        <v>0.46186923195009699</v>
      </c>
      <c r="T17" s="132">
        <v>0.6287089037193867</v>
      </c>
      <c r="U17" s="132">
        <v>0.40721549355573239</v>
      </c>
      <c r="V17" s="132">
        <v>0.15842426927953854</v>
      </c>
      <c r="W17" s="132">
        <v>0.13930666785520787</v>
      </c>
      <c r="X17" s="132">
        <v>0.12562688957419577</v>
      </c>
      <c r="Y17" s="132">
        <v>0.16065969841351174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52.342020848312089</v>
      </c>
      <c r="D18" s="132">
        <v>32.263774320386084</v>
      </c>
      <c r="E18" s="132">
        <v>27.104952751848277</v>
      </c>
      <c r="F18" s="132">
        <v>43.138108739766309</v>
      </c>
      <c r="G18" s="132">
        <v>33.782150404261969</v>
      </c>
      <c r="H18" s="132">
        <v>69.606786076692217</v>
      </c>
      <c r="I18" s="132">
        <v>65.482793020428517</v>
      </c>
      <c r="J18" s="132">
        <v>36.806752889381968</v>
      </c>
      <c r="K18" s="132">
        <v>8.9042033413054629</v>
      </c>
      <c r="L18" s="132">
        <v>29.699197849141012</v>
      </c>
      <c r="M18" s="132">
        <v>8.0520313419215448</v>
      </c>
      <c r="N18" s="132">
        <v>19.748850826190747</v>
      </c>
      <c r="O18" s="132">
        <v>16.165206174856515</v>
      </c>
      <c r="P18" s="132">
        <v>17.9258476184397</v>
      </c>
      <c r="Q18" s="132">
        <v>23.631424704694993</v>
      </c>
      <c r="R18" s="132">
        <v>27.775606786192824</v>
      </c>
      <c r="S18" s="132">
        <v>20.725187982298419</v>
      </c>
      <c r="T18" s="132">
        <v>21.789880692504266</v>
      </c>
      <c r="U18" s="132">
        <v>17.494004211992689</v>
      </c>
      <c r="V18" s="132">
        <v>12.901093741426918</v>
      </c>
      <c r="W18" s="132">
        <v>10.243321887636263</v>
      </c>
      <c r="X18" s="132">
        <v>9.5649139051725065</v>
      </c>
      <c r="Y18" s="132">
        <v>8.6563262081118211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49.090754924001828</v>
      </c>
      <c r="D19" s="130">
        <f t="shared" si="9"/>
        <v>25.859995416383818</v>
      </c>
      <c r="E19" s="130">
        <f t="shared" si="9"/>
        <v>22.784234406368871</v>
      </c>
      <c r="F19" s="130">
        <f t="shared" si="9"/>
        <v>41.356568177056047</v>
      </c>
      <c r="G19" s="130">
        <f t="shared" si="9"/>
        <v>33.873275789668625</v>
      </c>
      <c r="H19" s="130">
        <f t="shared" si="9"/>
        <v>76.35098954562217</v>
      </c>
      <c r="I19" s="130">
        <f t="shared" si="9"/>
        <v>70.970466355987853</v>
      </c>
      <c r="J19" s="130">
        <f t="shared" si="9"/>
        <v>41.222106317434665</v>
      </c>
      <c r="K19" s="130">
        <f t="shared" si="9"/>
        <v>10.258141648941255</v>
      </c>
      <c r="L19" s="130">
        <f t="shared" si="9"/>
        <v>33.738555619463781</v>
      </c>
      <c r="M19" s="130">
        <f t="shared" si="9"/>
        <v>9.7651047810177509</v>
      </c>
      <c r="N19" s="130">
        <f t="shared" si="9"/>
        <v>25.858181337559135</v>
      </c>
      <c r="O19" s="130">
        <f t="shared" si="9"/>
        <v>21.02373330254126</v>
      </c>
      <c r="P19" s="130">
        <f t="shared" si="9"/>
        <v>26.383673710965546</v>
      </c>
      <c r="Q19" s="130">
        <f t="shared" si="9"/>
        <v>30.755412478375998</v>
      </c>
      <c r="R19" s="130">
        <f t="shared" ref="R19:W19" si="10">SUM(R20:R27)</f>
        <v>39.331752314378903</v>
      </c>
      <c r="S19" s="130">
        <f t="shared" si="10"/>
        <v>29.142764747648744</v>
      </c>
      <c r="T19" s="130">
        <f t="shared" si="10"/>
        <v>30.657614216499468</v>
      </c>
      <c r="U19" s="130">
        <f t="shared" si="10"/>
        <v>24.434899743037629</v>
      </c>
      <c r="V19" s="130">
        <f t="shared" si="10"/>
        <v>19.306370837696836</v>
      </c>
      <c r="W19" s="130">
        <f t="shared" si="10"/>
        <v>16.646040793448904</v>
      </c>
      <c r="X19" s="130">
        <f t="shared" ref="X19:Y19" si="11">SUM(X20:X27)</f>
        <v>15.040336189376371</v>
      </c>
      <c r="Y19" s="130">
        <f t="shared" si="11"/>
        <v>14.024942929939064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1.2274332640555434</v>
      </c>
      <c r="D21" s="132">
        <v>1.1528833122636726</v>
      </c>
      <c r="E21" s="132">
        <v>0.38808563508918592</v>
      </c>
      <c r="F21" s="132">
        <v>2.6519620721095265</v>
      </c>
      <c r="G21" s="132">
        <v>1.4672447715801336</v>
      </c>
      <c r="H21" s="132">
        <v>2.0116421583099515</v>
      </c>
      <c r="I21" s="132">
        <v>0.93147053091493426</v>
      </c>
      <c r="J21" s="132">
        <v>0.30348225559960956</v>
      </c>
      <c r="K21" s="132">
        <v>4.9997622514868237E-2</v>
      </c>
      <c r="L21" s="132">
        <v>0.11491539425623336</v>
      </c>
      <c r="M21" s="132">
        <v>6.2658960881747758E-2</v>
      </c>
      <c r="N21" s="132">
        <v>8.998122482975722E-2</v>
      </c>
      <c r="O21" s="132">
        <v>7.9796556971271179E-2</v>
      </c>
      <c r="P21" s="132">
        <v>0.26290382987814503</v>
      </c>
      <c r="Q21" s="132">
        <v>0.47350058825856411</v>
      </c>
      <c r="R21" s="132">
        <v>0.91376472178587764</v>
      </c>
      <c r="S21" s="132">
        <v>0.51204173642990047</v>
      </c>
      <c r="T21" s="132">
        <v>0.56643453523202825</v>
      </c>
      <c r="U21" s="132">
        <v>0.2650792417348975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17.383373236801518</v>
      </c>
      <c r="D22" s="132">
        <v>0</v>
      </c>
      <c r="E22" s="132">
        <v>6.3387631029378326</v>
      </c>
      <c r="F22" s="132">
        <v>17.782639619752441</v>
      </c>
      <c r="G22" s="132">
        <v>12.722936807203267</v>
      </c>
      <c r="H22" s="132">
        <v>20.941296955441647</v>
      </c>
      <c r="I22" s="132">
        <v>20.306836151299009</v>
      </c>
      <c r="J22" s="132">
        <v>11.550131839863509</v>
      </c>
      <c r="K22" s="132">
        <v>3.2635376847299744</v>
      </c>
      <c r="L22" s="132">
        <v>9.0047006394435574</v>
      </c>
      <c r="M22" s="132">
        <v>2.9347871185608563</v>
      </c>
      <c r="N22" s="132">
        <v>7.6506220001897738</v>
      </c>
      <c r="O22" s="132">
        <v>5.7820324387439923</v>
      </c>
      <c r="P22" s="132">
        <v>4.5542815341213503</v>
      </c>
      <c r="Q22" s="132">
        <v>5.9864174836607749</v>
      </c>
      <c r="R22" s="132">
        <v>2.8107777376817156</v>
      </c>
      <c r="S22" s="132">
        <v>0</v>
      </c>
      <c r="T22" s="132">
        <v>0</v>
      </c>
      <c r="U22" s="132">
        <v>0</v>
      </c>
      <c r="V22" s="132">
        <v>0</v>
      </c>
      <c r="W22" s="132">
        <v>1.4989287065677954</v>
      </c>
      <c r="X22" s="132">
        <v>0.42367756544839397</v>
      </c>
      <c r="Y22" s="132">
        <v>1.2260199098755404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21.012623929531618</v>
      </c>
      <c r="D23" s="132">
        <v>19.781164747122638</v>
      </c>
      <c r="E23" s="132">
        <v>0</v>
      </c>
      <c r="F23" s="132">
        <v>1.9903382411613133E-2</v>
      </c>
      <c r="G23" s="132">
        <v>11.657399336703952</v>
      </c>
      <c r="H23" s="132">
        <v>43.776865804452036</v>
      </c>
      <c r="I23" s="132">
        <v>30.618996034734693</v>
      </c>
      <c r="J23" s="132">
        <v>14.917101598059762</v>
      </c>
      <c r="K23" s="132">
        <v>2.6765632725943287</v>
      </c>
      <c r="L23" s="132">
        <v>14.534658296659133</v>
      </c>
      <c r="M23" s="132">
        <v>3.6161176327237294</v>
      </c>
      <c r="N23" s="132">
        <v>12.460270879911858</v>
      </c>
      <c r="O23" s="132">
        <v>11.126529278130052</v>
      </c>
      <c r="P23" s="132">
        <v>18.270297321396718</v>
      </c>
      <c r="Q23" s="132">
        <v>18.287862229381652</v>
      </c>
      <c r="R23" s="132">
        <v>28.416614728278912</v>
      </c>
      <c r="S23" s="132">
        <v>22.841801694629975</v>
      </c>
      <c r="T23" s="132">
        <v>24.877919847034597</v>
      </c>
      <c r="U23" s="132">
        <v>17.683846844260412</v>
      </c>
      <c r="V23" s="132">
        <v>14.947624158937765</v>
      </c>
      <c r="W23" s="132">
        <v>13.121078637988127</v>
      </c>
      <c r="X23" s="132">
        <v>11.155763219738677</v>
      </c>
      <c r="Y23" s="132">
        <v>12.324377293031505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14.909644774378888</v>
      </c>
      <c r="F25" s="132">
        <v>20.373485976375164</v>
      </c>
      <c r="G25" s="132">
        <v>7.0013306350969184</v>
      </c>
      <c r="H25" s="132">
        <v>1.3864534901668568</v>
      </c>
      <c r="I25" s="132">
        <v>0.30032547856742148</v>
      </c>
      <c r="J25" s="132">
        <v>0.37530582675978719</v>
      </c>
      <c r="K25" s="132">
        <v>0.20826084025813799</v>
      </c>
      <c r="L25" s="132">
        <v>1.1849285225691988</v>
      </c>
      <c r="M25" s="132">
        <v>9.8672995926690335E-2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3.1415519451120644</v>
      </c>
      <c r="T25" s="132">
        <v>3.9582734196859661</v>
      </c>
      <c r="U25" s="132">
        <v>5.7924416658848568</v>
      </c>
      <c r="V25" s="132">
        <v>1.8014656821959114</v>
      </c>
      <c r="W25" s="132">
        <v>1.4756623594746408</v>
      </c>
      <c r="X25" s="132">
        <v>0.48379861950816028</v>
      </c>
      <c r="Y25" s="132">
        <v>0.41115857411527418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8.6741036340908622</v>
      </c>
      <c r="D26" s="65">
        <v>2.6794273393737509</v>
      </c>
      <c r="E26" s="65">
        <v>0</v>
      </c>
      <c r="F26" s="65">
        <v>0</v>
      </c>
      <c r="G26" s="65">
        <v>0</v>
      </c>
      <c r="H26" s="65">
        <v>5.8596851713286089</v>
      </c>
      <c r="I26" s="65">
        <v>14.66161130464306</v>
      </c>
      <c r="J26" s="65">
        <v>13.337553088222201</v>
      </c>
      <c r="K26" s="65">
        <v>1.9929740511632996</v>
      </c>
      <c r="L26" s="65">
        <v>7.1552837980639747</v>
      </c>
      <c r="M26" s="65">
        <v>1.0197443221458247</v>
      </c>
      <c r="N26" s="65">
        <v>4.6179483364596727</v>
      </c>
      <c r="O26" s="65">
        <v>2.1541015107787831</v>
      </c>
      <c r="P26" s="65">
        <v>3.2949507321436573</v>
      </c>
      <c r="Q26" s="65">
        <v>4.5579008652102111</v>
      </c>
      <c r="R26" s="65">
        <v>5.7037795090840806</v>
      </c>
      <c r="S26" s="65">
        <v>0.90607616048285067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0.79322085952228572</v>
      </c>
      <c r="D27" s="147">
        <v>2.2465200176237579</v>
      </c>
      <c r="E27" s="147">
        <v>1.1477408939629634</v>
      </c>
      <c r="F27" s="147">
        <v>0.52857712640729559</v>
      </c>
      <c r="G27" s="147">
        <v>1.0243642390843546</v>
      </c>
      <c r="H27" s="147">
        <v>2.3750459659230749</v>
      </c>
      <c r="I27" s="147">
        <v>4.1512268558287362</v>
      </c>
      <c r="J27" s="147">
        <v>0.73853170892979969</v>
      </c>
      <c r="K27" s="147">
        <v>2.0668081776806444</v>
      </c>
      <c r="L27" s="147">
        <v>1.7440689684716904</v>
      </c>
      <c r="M27" s="147">
        <v>2.0331237507789028</v>
      </c>
      <c r="N27" s="147">
        <v>1.039358896168072</v>
      </c>
      <c r="O27" s="147">
        <v>1.8812735179171636</v>
      </c>
      <c r="P27" s="147">
        <v>1.2402934256735946E-3</v>
      </c>
      <c r="Q27" s="147">
        <v>1.4497313118647948</v>
      </c>
      <c r="R27" s="147">
        <v>1.4868156175483151</v>
      </c>
      <c r="S27" s="147">
        <v>1.7412932109939554</v>
      </c>
      <c r="T27" s="147">
        <v>1.254986414546877</v>
      </c>
      <c r="U27" s="147">
        <v>0.69353199115745956</v>
      </c>
      <c r="V27" s="147">
        <v>2.5572809965631578</v>
      </c>
      <c r="W27" s="147">
        <v>0.55037108941834212</v>
      </c>
      <c r="X27" s="147">
        <v>2.9770967846811396</v>
      </c>
      <c r="Y27" s="147">
        <v>6.3387152916742101E-2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56.170508921609184</v>
      </c>
      <c r="D29" s="130">
        <f t="shared" si="12"/>
        <v>33.558457637852143</v>
      </c>
      <c r="E29" s="130">
        <f t="shared" si="12"/>
        <v>26.027520473340193</v>
      </c>
      <c r="F29" s="130">
        <f t="shared" si="12"/>
        <v>52.360445891474654</v>
      </c>
      <c r="G29" s="130">
        <f t="shared" si="12"/>
        <v>40.603254248744804</v>
      </c>
      <c r="H29" s="130">
        <f t="shared" si="12"/>
        <v>88.765521116576082</v>
      </c>
      <c r="I29" s="130">
        <f t="shared" si="12"/>
        <v>84.333741483458326</v>
      </c>
      <c r="J29" s="130">
        <f t="shared" si="12"/>
        <v>47.667586612628611</v>
      </c>
      <c r="K29" s="130">
        <f t="shared" si="12"/>
        <v>12.365545584239612</v>
      </c>
      <c r="L29" s="130">
        <f t="shared" si="12"/>
        <v>40.912198687572143</v>
      </c>
      <c r="M29" s="130">
        <f t="shared" si="12"/>
        <v>11.973892789282495</v>
      </c>
      <c r="N29" s="130">
        <f t="shared" si="12"/>
        <v>33.840173492318392</v>
      </c>
      <c r="O29" s="130">
        <f t="shared" si="12"/>
        <v>28.846485669089869</v>
      </c>
      <c r="P29" s="130">
        <f t="shared" si="12"/>
        <v>44.041357357354975</v>
      </c>
      <c r="Q29" s="130">
        <f t="shared" si="12"/>
        <v>45.32933486342332</v>
      </c>
      <c r="R29" s="130">
        <f t="shared" ref="R29:W29" si="13">SUM(R30:R33)</f>
        <v>60.012471577434106</v>
      </c>
      <c r="S29" s="130">
        <f t="shared" si="13"/>
        <v>48.827766647803934</v>
      </c>
      <c r="T29" s="130">
        <f t="shared" si="13"/>
        <v>47.332786371610204</v>
      </c>
      <c r="U29" s="130">
        <f t="shared" si="13"/>
        <v>39.169673672777918</v>
      </c>
      <c r="V29" s="130">
        <f t="shared" si="13"/>
        <v>30.782054192493231</v>
      </c>
      <c r="W29" s="130">
        <f t="shared" si="13"/>
        <v>26.286947843244686</v>
      </c>
      <c r="X29" s="130">
        <f t="shared" ref="X29:Y29" si="14">SUM(X30:X33)</f>
        <v>24.883820371176263</v>
      </c>
      <c r="Y29" s="130">
        <f t="shared" si="14"/>
        <v>23.153687804348401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3.2204764280548326</v>
      </c>
      <c r="D30" s="132">
        <v>0.37245662645040672</v>
      </c>
      <c r="E30" s="132">
        <v>3.2507488822984913</v>
      </c>
      <c r="F30" s="132">
        <v>3.3060182836834642</v>
      </c>
      <c r="G30" s="132">
        <v>2.1707007688082665</v>
      </c>
      <c r="H30" s="132">
        <v>4.2204404037418355</v>
      </c>
      <c r="I30" s="132">
        <v>0.62555094254222099</v>
      </c>
      <c r="J30" s="132">
        <v>0.81091994489083119</v>
      </c>
      <c r="K30" s="132">
        <v>0.50733627790868352</v>
      </c>
      <c r="L30" s="132">
        <v>1.4870434060412898</v>
      </c>
      <c r="M30" s="132">
        <v>0.69103878405037444</v>
      </c>
      <c r="N30" s="132">
        <v>1.3309593951881031</v>
      </c>
      <c r="O30" s="132">
        <v>1.7114533543641377</v>
      </c>
      <c r="P30" s="132">
        <v>1.2727191371195494</v>
      </c>
      <c r="Q30" s="132">
        <v>1.0008951684751117</v>
      </c>
      <c r="R30" s="132">
        <v>2.6174673140613391</v>
      </c>
      <c r="S30" s="132">
        <v>0.27629573890901676</v>
      </c>
      <c r="T30" s="132">
        <v>2.550520709302428</v>
      </c>
      <c r="U30" s="132">
        <v>1.643496006790323</v>
      </c>
      <c r="V30" s="132">
        <v>1.1135376415131257</v>
      </c>
      <c r="W30" s="132">
        <v>0.86873718846769199</v>
      </c>
      <c r="X30" s="132">
        <v>0.39856519587684019</v>
      </c>
      <c r="Y30" s="132">
        <v>0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40.746572471701413</v>
      </c>
      <c r="D31" s="132">
        <v>21.170269582993054</v>
      </c>
      <c r="E31" s="132">
        <v>13.767338352931045</v>
      </c>
      <c r="F31" s="132">
        <v>32.665452105710742</v>
      </c>
      <c r="G31" s="132">
        <v>23.129211190762071</v>
      </c>
      <c r="H31" s="132">
        <v>59.385252277044849</v>
      </c>
      <c r="I31" s="132">
        <v>49.874194125992872</v>
      </c>
      <c r="J31" s="132">
        <v>28.350051729878714</v>
      </c>
      <c r="K31" s="132">
        <v>5.3563486280263497</v>
      </c>
      <c r="L31" s="132">
        <v>18.122687218376015</v>
      </c>
      <c r="M31" s="132">
        <v>3.3614309004137062</v>
      </c>
      <c r="N31" s="132">
        <v>23.711879672537659</v>
      </c>
      <c r="O31" s="132">
        <v>22.903853785792069</v>
      </c>
      <c r="P31" s="132">
        <v>42.644942458431096</v>
      </c>
      <c r="Q31" s="132">
        <v>32.918479379300521</v>
      </c>
      <c r="R31" s="132">
        <v>41.682321655916262</v>
      </c>
      <c r="S31" s="132">
        <v>38.44389415130447</v>
      </c>
      <c r="T31" s="132">
        <v>43.135559986659736</v>
      </c>
      <c r="U31" s="132">
        <v>32.167204382997511</v>
      </c>
      <c r="V31" s="132">
        <v>22.502900662584953</v>
      </c>
      <c r="W31" s="132">
        <v>25.386032530461954</v>
      </c>
      <c r="X31" s="132">
        <v>24.450818354916375</v>
      </c>
      <c r="Y31" s="132">
        <v>23.105471231774327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0.47336229897453669</v>
      </c>
      <c r="F32" s="132">
        <v>0.21904011584417465</v>
      </c>
      <c r="G32" s="132">
        <v>0.12387037405703613</v>
      </c>
      <c r="H32" s="132">
        <v>6.7668957774621202E-2</v>
      </c>
      <c r="I32" s="132">
        <v>7.3657037281778581E-2</v>
      </c>
      <c r="J32" s="132">
        <v>6.5830960625409607E-2</v>
      </c>
      <c r="K32" s="132">
        <v>3.3044096216430112E-2</v>
      </c>
      <c r="L32" s="132">
        <v>0.12853824135337202</v>
      </c>
      <c r="M32" s="132">
        <v>7.0348733944857564E-2</v>
      </c>
      <c r="N32" s="132">
        <v>0.14283015399397303</v>
      </c>
      <c r="O32" s="132">
        <v>9.604349079840839E-2</v>
      </c>
      <c r="P32" s="132">
        <v>0.12369576180432704</v>
      </c>
      <c r="Q32" s="132">
        <v>0.1795841683835816</v>
      </c>
      <c r="R32" s="132">
        <v>7.4257764111381686E-2</v>
      </c>
      <c r="S32" s="132">
        <v>4.8447716389334636E-2</v>
      </c>
      <c r="T32" s="132">
        <v>2.4496299146002182E-2</v>
      </c>
      <c r="U32" s="132">
        <v>1.0697626843421931E-2</v>
      </c>
      <c r="V32" s="132">
        <v>0</v>
      </c>
      <c r="W32" s="132">
        <v>3.2178124315041551E-2</v>
      </c>
      <c r="X32" s="132">
        <v>3.4436820383047274E-2</v>
      </c>
      <c r="Y32" s="132">
        <v>4.8216572574075196E-2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12.203460021852939</v>
      </c>
      <c r="D33" s="68">
        <v>12.015731428408685</v>
      </c>
      <c r="E33" s="68">
        <v>8.5360709391361205</v>
      </c>
      <c r="F33" s="68">
        <v>16.169935386236279</v>
      </c>
      <c r="G33" s="68">
        <v>15.179471915117436</v>
      </c>
      <c r="H33" s="68">
        <v>25.092159478014775</v>
      </c>
      <c r="I33" s="68">
        <v>33.760339377641458</v>
      </c>
      <c r="J33" s="68">
        <v>18.440783977233654</v>
      </c>
      <c r="K33" s="68">
        <v>6.4688165820881505</v>
      </c>
      <c r="L33" s="68">
        <v>21.173929821801469</v>
      </c>
      <c r="M33" s="68">
        <v>7.8510743708735573</v>
      </c>
      <c r="N33" s="68">
        <v>8.6545042705986575</v>
      </c>
      <c r="O33" s="68">
        <v>4.1351350381352532</v>
      </c>
      <c r="P33" s="68">
        <v>0</v>
      </c>
      <c r="Q33" s="68">
        <v>11.230376147264105</v>
      </c>
      <c r="R33" s="68">
        <v>15.638424843345129</v>
      </c>
      <c r="S33" s="68">
        <v>10.059129041201119</v>
      </c>
      <c r="T33" s="68">
        <v>1.622209376502044</v>
      </c>
      <c r="U33" s="68">
        <v>5.348275656146658</v>
      </c>
      <c r="V33" s="68">
        <v>7.1656158883951528</v>
      </c>
      <c r="W33" s="68">
        <v>0</v>
      </c>
      <c r="X33" s="68">
        <v>0</v>
      </c>
      <c r="Y33" s="68">
        <v>0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346.0075455700171</v>
      </c>
      <c r="D3" s="125">
        <f t="shared" si="0"/>
        <v>217.59225160365452</v>
      </c>
      <c r="E3" s="125">
        <f t="shared" si="0"/>
        <v>222.7728371330312</v>
      </c>
      <c r="F3" s="125">
        <f t="shared" si="0"/>
        <v>377.03509665025854</v>
      </c>
      <c r="G3" s="125">
        <f t="shared" si="0"/>
        <v>278.12715436151865</v>
      </c>
      <c r="H3" s="125">
        <f t="shared" si="0"/>
        <v>626.59520010219808</v>
      </c>
      <c r="I3" s="125">
        <f t="shared" si="0"/>
        <v>530.173462610873</v>
      </c>
      <c r="J3" s="125">
        <f t="shared" si="0"/>
        <v>328.5857067636166</v>
      </c>
      <c r="K3" s="125">
        <f t="shared" si="0"/>
        <v>81.275495305464744</v>
      </c>
      <c r="L3" s="125">
        <f t="shared" si="0"/>
        <v>278.80777945906061</v>
      </c>
      <c r="M3" s="125">
        <f t="shared" si="0"/>
        <v>75.166413387418146</v>
      </c>
      <c r="N3" s="125">
        <f t="shared" si="0"/>
        <v>193.10009479783648</v>
      </c>
      <c r="O3" s="125">
        <f t="shared" si="0"/>
        <v>171.17815083531463</v>
      </c>
      <c r="P3" s="125">
        <f t="shared" si="0"/>
        <v>192.42815207483341</v>
      </c>
      <c r="Q3" s="125">
        <f t="shared" si="0"/>
        <v>252.08151295945544</v>
      </c>
      <c r="R3" s="125">
        <f t="shared" ref="R3:W3" si="1">SUM(R4,R16,R19,R29)</f>
        <v>312.58922363692363</v>
      </c>
      <c r="S3" s="125">
        <f t="shared" si="1"/>
        <v>233.16478343729847</v>
      </c>
      <c r="T3" s="125">
        <f t="shared" si="1"/>
        <v>224.74820969834116</v>
      </c>
      <c r="U3" s="125">
        <f t="shared" si="1"/>
        <v>180.37318475053445</v>
      </c>
      <c r="V3" s="125">
        <f t="shared" si="1"/>
        <v>140.24181918637683</v>
      </c>
      <c r="W3" s="125">
        <f t="shared" si="1"/>
        <v>116.5264438540348</v>
      </c>
      <c r="X3" s="125">
        <f t="shared" ref="X3:Y3" si="2">SUM(X4,X16,X19,X29)</f>
        <v>95.635529200443429</v>
      </c>
      <c r="Y3" s="125">
        <f t="shared" si="2"/>
        <v>87.186107561360501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150.65197782149986</v>
      </c>
      <c r="D4" s="130">
        <f t="shared" si="3"/>
        <v>95.414512976205529</v>
      </c>
      <c r="E4" s="130">
        <f t="shared" si="3"/>
        <v>115.423973275788</v>
      </c>
      <c r="F4" s="130">
        <f t="shared" si="3"/>
        <v>192.52296330603002</v>
      </c>
      <c r="G4" s="130">
        <f t="shared" si="3"/>
        <v>130.22432279207902</v>
      </c>
      <c r="H4" s="130">
        <f t="shared" si="3"/>
        <v>309.20565905152</v>
      </c>
      <c r="I4" s="130">
        <f t="shared" si="3"/>
        <v>220.47423707412392</v>
      </c>
      <c r="J4" s="130">
        <f t="shared" si="3"/>
        <v>149.12261621117423</v>
      </c>
      <c r="K4" s="130">
        <f t="shared" si="3"/>
        <v>35.203001538808323</v>
      </c>
      <c r="L4" s="130">
        <f t="shared" si="3"/>
        <v>123.12950790418213</v>
      </c>
      <c r="M4" s="130">
        <f t="shared" si="3"/>
        <v>30.062662893040084</v>
      </c>
      <c r="N4" s="130">
        <f t="shared" si="3"/>
        <v>77.855466635274141</v>
      </c>
      <c r="O4" s="130">
        <f t="shared" si="3"/>
        <v>73.144377691126749</v>
      </c>
      <c r="P4" s="130">
        <f t="shared" si="3"/>
        <v>70.935815928293323</v>
      </c>
      <c r="Q4" s="130">
        <f t="shared" si="3"/>
        <v>95.701520251583389</v>
      </c>
      <c r="R4" s="130">
        <f t="shared" ref="R4:W4" si="4">SUM(R5:R15)</f>
        <v>117.16000280864114</v>
      </c>
      <c r="S4" s="130">
        <f t="shared" si="4"/>
        <v>82.637340581954959</v>
      </c>
      <c r="T4" s="130">
        <f t="shared" si="4"/>
        <v>69.235795494152271</v>
      </c>
      <c r="U4" s="130">
        <f t="shared" si="4"/>
        <v>53.034729372717642</v>
      </c>
      <c r="V4" s="130">
        <f t="shared" si="4"/>
        <v>42.726004129460136</v>
      </c>
      <c r="W4" s="130">
        <f t="shared" si="4"/>
        <v>37.959632607141209</v>
      </c>
      <c r="X4" s="130">
        <f t="shared" ref="X4:Y4" si="5">SUM(X5:X15)</f>
        <v>21.999239284980536</v>
      </c>
      <c r="Y4" s="130">
        <f t="shared" si="5"/>
        <v>19.83097362171457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1.5120040357852813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10.392102396095366</v>
      </c>
      <c r="J5" s="132">
        <v>0</v>
      </c>
      <c r="K5" s="132">
        <v>0</v>
      </c>
      <c r="L5" s="132">
        <v>0</v>
      </c>
      <c r="M5" s="132">
        <v>0.2964365492102134</v>
      </c>
      <c r="N5" s="132">
        <v>1.1753910503319531</v>
      </c>
      <c r="O5" s="132">
        <v>0.38861521230355683</v>
      </c>
      <c r="P5" s="132">
        <v>0</v>
      </c>
      <c r="Q5" s="132">
        <v>7.5987165112899113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1.7136270030912816E-2</v>
      </c>
      <c r="X5" s="132">
        <v>1.2824717445981583E-2</v>
      </c>
      <c r="Y5" s="132">
        <v>0.68949098746233761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7.5752317694620945</v>
      </c>
      <c r="D7" s="132">
        <v>29.604723190348071</v>
      </c>
      <c r="E7" s="132">
        <v>0</v>
      </c>
      <c r="F7" s="132">
        <v>9.2203703389575882</v>
      </c>
      <c r="G7" s="132">
        <v>42.112283675430454</v>
      </c>
      <c r="H7" s="132">
        <v>69.806956514386698</v>
      </c>
      <c r="I7" s="132">
        <v>44.539704594387729</v>
      </c>
      <c r="J7" s="132">
        <v>62.79705337977861</v>
      </c>
      <c r="K7" s="132">
        <v>15.716297061423143</v>
      </c>
      <c r="L7" s="132">
        <v>40.070967223393794</v>
      </c>
      <c r="M7" s="132">
        <v>12.471322014056662</v>
      </c>
      <c r="N7" s="132">
        <v>27.365070650869139</v>
      </c>
      <c r="O7" s="132">
        <v>19.041643541513825</v>
      </c>
      <c r="P7" s="132">
        <v>16.794920433647327</v>
      </c>
      <c r="Q7" s="132">
        <v>6.6565833430593635</v>
      </c>
      <c r="R7" s="132">
        <v>5.8949761727310532</v>
      </c>
      <c r="S7" s="132">
        <v>0</v>
      </c>
      <c r="T7" s="132">
        <v>0</v>
      </c>
      <c r="U7" s="132">
        <v>0</v>
      </c>
      <c r="V7" s="132">
        <v>0</v>
      </c>
      <c r="W7" s="132">
        <v>0.86598454290008242</v>
      </c>
      <c r="X7" s="132">
        <v>0</v>
      </c>
      <c r="Y7" s="132">
        <v>0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2.9842141596728471E-2</v>
      </c>
      <c r="D8" s="132">
        <v>2.8488107871730704E-2</v>
      </c>
      <c r="E8" s="132">
        <v>8.9249227613973098E-3</v>
      </c>
      <c r="F8" s="132">
        <v>6.929678131444364E-2</v>
      </c>
      <c r="G8" s="132">
        <v>9.7470991171101071E-2</v>
      </c>
      <c r="H8" s="132">
        <v>0.18872402039744379</v>
      </c>
      <c r="I8" s="132">
        <v>0.27003872923127509</v>
      </c>
      <c r="J8" s="132">
        <v>7.8338745121223879E-2</v>
      </c>
      <c r="K8" s="132">
        <v>1.5666529288979957E-2</v>
      </c>
      <c r="L8" s="132">
        <v>3.3634937744247057E-2</v>
      </c>
      <c r="M8" s="132">
        <v>3.4448731579904954E-2</v>
      </c>
      <c r="N8" s="132">
        <v>9.2722353515665268E-2</v>
      </c>
      <c r="O8" s="132">
        <v>8.7906620922629478E-2</v>
      </c>
      <c r="P8" s="132">
        <v>0.2235566868744884</v>
      </c>
      <c r="Q8" s="132">
        <v>0.24830448149545215</v>
      </c>
      <c r="R8" s="132">
        <v>0.29111449537994205</v>
      </c>
      <c r="S8" s="132">
        <v>0.1808804361020582</v>
      </c>
      <c r="T8" s="132">
        <v>0.14869348268981425</v>
      </c>
      <c r="U8" s="132">
        <v>0.13461071949816605</v>
      </c>
      <c r="V8" s="132">
        <v>0.14499849405250043</v>
      </c>
      <c r="W8" s="132">
        <v>9.2398290038003539E-2</v>
      </c>
      <c r="X8" s="132">
        <v>7.8285233017559325E-2</v>
      </c>
      <c r="Y8" s="132">
        <v>0.12410826588749685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138.38426514127761</v>
      </c>
      <c r="D9" s="132">
        <v>42.232526189960446</v>
      </c>
      <c r="E9" s="132">
        <v>0</v>
      </c>
      <c r="F9" s="132">
        <v>0</v>
      </c>
      <c r="G9" s="132">
        <v>0</v>
      </c>
      <c r="H9" s="132">
        <v>207.14014687161983</v>
      </c>
      <c r="I9" s="132">
        <v>116.79201974971325</v>
      </c>
      <c r="J9" s="132">
        <v>46.401275757865193</v>
      </c>
      <c r="K9" s="132">
        <v>10.099861584340267</v>
      </c>
      <c r="L9" s="132">
        <v>36.30457757791649</v>
      </c>
      <c r="M9" s="132">
        <v>15.544092094337447</v>
      </c>
      <c r="N9" s="132">
        <v>43.141611328372278</v>
      </c>
      <c r="O9" s="132">
        <v>43.67490345794878</v>
      </c>
      <c r="P9" s="132">
        <v>45.44562055965693</v>
      </c>
      <c r="Q9" s="132">
        <v>57.137577890030563</v>
      </c>
      <c r="R9" s="132">
        <v>78.701952408362303</v>
      </c>
      <c r="S9" s="132">
        <v>40.57384069055491</v>
      </c>
      <c r="T9" s="132">
        <v>30.49076687456094</v>
      </c>
      <c r="U9" s="132">
        <v>9.2470926945582956</v>
      </c>
      <c r="V9" s="132">
        <v>27.942823260331352</v>
      </c>
      <c r="W9" s="132">
        <v>14.697849652316</v>
      </c>
      <c r="X9" s="132">
        <v>7.785074866061918</v>
      </c>
      <c r="Y9" s="132">
        <v>6.9924315953659137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15.289327946893479</v>
      </c>
      <c r="F10" s="132">
        <v>41.389128455178373</v>
      </c>
      <c r="G10" s="132">
        <v>24.231300393567423</v>
      </c>
      <c r="H10" s="132">
        <v>25.761464605999073</v>
      </c>
      <c r="I10" s="132">
        <v>30.420896384029366</v>
      </c>
      <c r="J10" s="132">
        <v>26.788657518157667</v>
      </c>
      <c r="K10" s="132">
        <v>5.8857755925458122</v>
      </c>
      <c r="L10" s="132">
        <v>13.727573492036242</v>
      </c>
      <c r="M10" s="132">
        <v>0.66263970348129242</v>
      </c>
      <c r="N10" s="132">
        <v>1.3245830144024644</v>
      </c>
      <c r="O10" s="132">
        <v>1.2170123365336474</v>
      </c>
      <c r="P10" s="132">
        <v>4.5407971298297927</v>
      </c>
      <c r="Q10" s="132">
        <v>11.914106710539707</v>
      </c>
      <c r="R10" s="132">
        <v>19.381160057581493</v>
      </c>
      <c r="S10" s="132">
        <v>17.00510773900702</v>
      </c>
      <c r="T10" s="132">
        <v>16.385829841216193</v>
      </c>
      <c r="U10" s="132">
        <v>13.271665915875502</v>
      </c>
      <c r="V10" s="132">
        <v>10.135575126693254</v>
      </c>
      <c r="W10" s="132">
        <v>8.6517093950821149</v>
      </c>
      <c r="X10" s="132">
        <v>6.3576169319097238</v>
      </c>
      <c r="Y10" s="132">
        <v>7.3862158564273335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1.3954820004583863</v>
      </c>
      <c r="F11" s="132">
        <v>1.6666549445926728</v>
      </c>
      <c r="G11" s="132">
        <v>1.1166518156091811</v>
      </c>
      <c r="H11" s="132">
        <v>0.17212321821796869</v>
      </c>
      <c r="I11" s="132">
        <v>0.68024304425236248</v>
      </c>
      <c r="J11" s="132">
        <v>0</v>
      </c>
      <c r="K11" s="132">
        <v>0.12276294889227654</v>
      </c>
      <c r="L11" s="132">
        <v>0.25292301781594478</v>
      </c>
      <c r="M11" s="132">
        <v>0.19679781484427961</v>
      </c>
      <c r="N11" s="132">
        <v>0.33944232899708116</v>
      </c>
      <c r="O11" s="132">
        <v>0.10421854924534786</v>
      </c>
      <c r="P11" s="132">
        <v>1.4593157749676666</v>
      </c>
      <c r="Q11" s="132">
        <v>7.2955481907961209E-2</v>
      </c>
      <c r="R11" s="132">
        <v>0.95140764104718778</v>
      </c>
      <c r="S11" s="132">
        <v>0.74842402266931429</v>
      </c>
      <c r="T11" s="132">
        <v>0.69953391129466269</v>
      </c>
      <c r="U11" s="132">
        <v>0.44168931086161295</v>
      </c>
      <c r="V11" s="132">
        <v>0.35700415999151891</v>
      </c>
      <c r="W11" s="132">
        <v>7.6882013350196482E-2</v>
      </c>
      <c r="X11" s="132">
        <v>0.14177319860543158</v>
      </c>
      <c r="Y11" s="132">
        <v>0.12758649147867515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89.05073308116981</v>
      </c>
      <c r="F12" s="132">
        <v>96.711022147579001</v>
      </c>
      <c r="G12" s="132">
        <v>60.708714090626401</v>
      </c>
      <c r="H12" s="132">
        <v>0</v>
      </c>
      <c r="I12" s="132">
        <v>12.467216042588715</v>
      </c>
      <c r="J12" s="132">
        <v>9.9331570227355321</v>
      </c>
      <c r="K12" s="132">
        <v>1.2472179018716876</v>
      </c>
      <c r="L12" s="132">
        <v>26.722495798776603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21.294023859700179</v>
      </c>
      <c r="T12" s="132">
        <v>18.903247272955738</v>
      </c>
      <c r="U12" s="132">
        <v>26.109718995520396</v>
      </c>
      <c r="V12" s="132">
        <v>1.7728778968078174</v>
      </c>
      <c r="W12" s="132">
        <v>12.034124534857758</v>
      </c>
      <c r="X12" s="132">
        <v>6.4093909985465887</v>
      </c>
      <c r="Y12" s="132">
        <v>2.9537789335473423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0.27718684937923843</v>
      </c>
      <c r="D13" s="132">
        <v>0.76757847329166407</v>
      </c>
      <c r="E13" s="132">
        <v>0.2765327724264014</v>
      </c>
      <c r="F13" s="132">
        <v>0.8060719359403874</v>
      </c>
      <c r="G13" s="132">
        <v>0.69013270809637473</v>
      </c>
      <c r="H13" s="132">
        <v>0.94733069033489048</v>
      </c>
      <c r="I13" s="132">
        <v>1.648580753111387</v>
      </c>
      <c r="J13" s="132">
        <v>0.94920034043574086</v>
      </c>
      <c r="K13" s="132">
        <v>0.47281376305402834</v>
      </c>
      <c r="L13" s="132">
        <v>1.2025381370340149</v>
      </c>
      <c r="M13" s="132">
        <v>0.37805532055364149</v>
      </c>
      <c r="N13" s="132">
        <v>0.57679940446805567</v>
      </c>
      <c r="O13" s="132">
        <v>0.4191777587232754</v>
      </c>
      <c r="P13" s="132">
        <v>1.4116094254466665</v>
      </c>
      <c r="Q13" s="132">
        <v>1.5103115839331331</v>
      </c>
      <c r="R13" s="132">
        <v>2.5122088772272217</v>
      </c>
      <c r="S13" s="132">
        <v>1.7789858442252107</v>
      </c>
      <c r="T13" s="132">
        <v>1.5206908074023251</v>
      </c>
      <c r="U13" s="132">
        <v>1.3205259041718374</v>
      </c>
      <c r="V13" s="132">
        <v>1.4779796238109315</v>
      </c>
      <c r="W13" s="132">
        <v>1.1593213858178852</v>
      </c>
      <c r="X13" s="132">
        <v>1.01386514732699</v>
      </c>
      <c r="Y13" s="132">
        <v>1.36939493648804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21.402058909966993</v>
      </c>
      <c r="E14" s="65">
        <v>8.8330575558828066</v>
      </c>
      <c r="F14" s="65">
        <v>41.651745779404905</v>
      </c>
      <c r="G14" s="65">
        <v>0</v>
      </c>
      <c r="H14" s="65">
        <v>0</v>
      </c>
      <c r="I14" s="65">
        <v>0</v>
      </c>
      <c r="J14" s="65">
        <v>0</v>
      </c>
      <c r="K14" s="65">
        <v>1.1431102209532402</v>
      </c>
      <c r="L14" s="65">
        <v>3.2888269946450408</v>
      </c>
      <c r="M14" s="65">
        <v>0</v>
      </c>
      <c r="N14" s="65">
        <v>2.6465565199009475</v>
      </c>
      <c r="O14" s="65">
        <v>7.1648400129767493</v>
      </c>
      <c r="P14" s="65">
        <v>0</v>
      </c>
      <c r="Q14" s="65">
        <v>9.3693860229625798</v>
      </c>
      <c r="R14" s="65">
        <v>7.9029745182164932</v>
      </c>
      <c r="S14" s="65">
        <v>0.18026291314002857</v>
      </c>
      <c r="T14" s="65">
        <v>0.39055959843241356</v>
      </c>
      <c r="U14" s="65">
        <v>2.1504129476264797</v>
      </c>
      <c r="V14" s="65">
        <v>0.36134143820138986</v>
      </c>
      <c r="W14" s="65">
        <v>0</v>
      </c>
      <c r="X14" s="65">
        <v>0</v>
      </c>
      <c r="Y14" s="65">
        <v>0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2.8734478839989115</v>
      </c>
      <c r="D15" s="134">
        <v>1.3791381047666238</v>
      </c>
      <c r="E15" s="134">
        <v>0.56991499619571873</v>
      </c>
      <c r="F15" s="134">
        <v>1.0086729230626457</v>
      </c>
      <c r="G15" s="134">
        <v>1.267769117578089</v>
      </c>
      <c r="H15" s="134">
        <v>5.1889131305641447</v>
      </c>
      <c r="I15" s="134">
        <v>3.2634353807144589</v>
      </c>
      <c r="J15" s="134">
        <v>2.1749334470802744</v>
      </c>
      <c r="K15" s="134">
        <v>0.49949593643889173</v>
      </c>
      <c r="L15" s="134">
        <v>1.5259707248197596</v>
      </c>
      <c r="M15" s="134">
        <v>0.47887066497663966</v>
      </c>
      <c r="N15" s="134">
        <v>1.1932899844165468</v>
      </c>
      <c r="O15" s="134">
        <v>1.0460602009589353</v>
      </c>
      <c r="P15" s="134">
        <v>1.0599959178704468</v>
      </c>
      <c r="Q15" s="134">
        <v>1.1935782263647032</v>
      </c>
      <c r="R15" s="134">
        <v>1.5242086380954434</v>
      </c>
      <c r="S15" s="134">
        <v>0.87581507655625612</v>
      </c>
      <c r="T15" s="134">
        <v>0.69647370560017252</v>
      </c>
      <c r="U15" s="134">
        <v>0.35901288460535363</v>
      </c>
      <c r="V15" s="134">
        <v>0.53340412957136474</v>
      </c>
      <c r="W15" s="134">
        <v>0.36422652274826189</v>
      </c>
      <c r="X15" s="134">
        <v>0.20040819206634544</v>
      </c>
      <c r="Y15" s="134">
        <v>0.18796655505743157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127.244376844296</v>
      </c>
      <c r="D16" s="130">
        <f t="shared" si="6"/>
        <v>81.878922753912192</v>
      </c>
      <c r="E16" s="130">
        <f t="shared" si="6"/>
        <v>71.71548509173914</v>
      </c>
      <c r="F16" s="130">
        <f t="shared" si="6"/>
        <v>118.9489849082149</v>
      </c>
      <c r="G16" s="130">
        <f t="shared" si="6"/>
        <v>96.863579196387747</v>
      </c>
      <c r="H16" s="130">
        <f t="shared" si="6"/>
        <v>207.29914803539467</v>
      </c>
      <c r="I16" s="130">
        <f t="shared" si="6"/>
        <v>202.74046681890241</v>
      </c>
      <c r="J16" s="130">
        <f t="shared" si="6"/>
        <v>118.16208421733269</v>
      </c>
      <c r="K16" s="130">
        <f t="shared" si="6"/>
        <v>29.657128184373484</v>
      </c>
      <c r="L16" s="130">
        <f t="shared" si="6"/>
        <v>102.50564486429073</v>
      </c>
      <c r="M16" s="130">
        <f t="shared" si="6"/>
        <v>28.91793366329097</v>
      </c>
      <c r="N16" s="130">
        <f t="shared" si="6"/>
        <v>74.083596047970346</v>
      </c>
      <c r="O16" s="130">
        <f t="shared" si="6"/>
        <v>63.648165642871035</v>
      </c>
      <c r="P16" s="130">
        <f t="shared" si="6"/>
        <v>74.202870104422004</v>
      </c>
      <c r="Q16" s="130">
        <f t="shared" si="6"/>
        <v>101.39283657089611</v>
      </c>
      <c r="R16" s="130">
        <f t="shared" ref="R16:W16" si="7">SUM(R17:R18)</f>
        <v>122.42591948371665</v>
      </c>
      <c r="S16" s="130">
        <f t="shared" si="7"/>
        <v>93.043781903953843</v>
      </c>
      <c r="T16" s="130">
        <f t="shared" si="7"/>
        <v>99.004831115769804</v>
      </c>
      <c r="U16" s="130">
        <f t="shared" si="7"/>
        <v>79.87799043166865</v>
      </c>
      <c r="V16" s="130">
        <f t="shared" si="7"/>
        <v>59.070315011220487</v>
      </c>
      <c r="W16" s="130">
        <f t="shared" si="7"/>
        <v>47.239705013322542</v>
      </c>
      <c r="X16" s="130">
        <f t="shared" ref="X16:Y16" si="8">SUM(X17:X18)</f>
        <v>44.322533276765377</v>
      </c>
      <c r="Y16" s="130">
        <f t="shared" si="8"/>
        <v>40.362541769724473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3.9599655459369894E-2</v>
      </c>
      <c r="D17" s="132">
        <v>2.7479889173699024E-2</v>
      </c>
      <c r="E17" s="132">
        <v>1.6659993761683378E-2</v>
      </c>
      <c r="F17" s="132">
        <v>0.13009685348258401</v>
      </c>
      <c r="G17" s="132">
        <v>7.6398501932880003E-2</v>
      </c>
      <c r="H17" s="132">
        <v>7.2961775088785999E-2</v>
      </c>
      <c r="I17" s="132">
        <v>0.35338233378357159</v>
      </c>
      <c r="J17" s="132">
        <v>0.14439537402828545</v>
      </c>
      <c r="K17" s="132">
        <v>5.2994937867914121E-2</v>
      </c>
      <c r="L17" s="132">
        <v>0.17046420182921027</v>
      </c>
      <c r="M17" s="132">
        <v>5.6537542158867013E-2</v>
      </c>
      <c r="N17" s="132">
        <v>0.12202220632880253</v>
      </c>
      <c r="O17" s="132">
        <v>0.15653612399241673</v>
      </c>
      <c r="P17" s="132">
        <v>0.45076833765361973</v>
      </c>
      <c r="Q17" s="132">
        <v>0.78173797167444403</v>
      </c>
      <c r="R17" s="132">
        <v>0.55141229874906839</v>
      </c>
      <c r="S17" s="132">
        <v>0.71765150819698464</v>
      </c>
      <c r="T17" s="132">
        <v>0.99732573099798183</v>
      </c>
      <c r="U17" s="132">
        <v>0.65807800147353912</v>
      </c>
      <c r="V17" s="132">
        <v>0.26029056346881541</v>
      </c>
      <c r="W17" s="132">
        <v>0.2317873323179189</v>
      </c>
      <c r="X17" s="132">
        <v>0.21002887865480796</v>
      </c>
      <c r="Y17" s="132">
        <v>0.26880685007295846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127.20477718883663</v>
      </c>
      <c r="D18" s="132">
        <v>81.851442864738488</v>
      </c>
      <c r="E18" s="132">
        <v>71.698825097977462</v>
      </c>
      <c r="F18" s="132">
        <v>118.81888805473231</v>
      </c>
      <c r="G18" s="132">
        <v>96.787180694454861</v>
      </c>
      <c r="H18" s="132">
        <v>207.22618626030587</v>
      </c>
      <c r="I18" s="132">
        <v>202.38708448511883</v>
      </c>
      <c r="J18" s="132">
        <v>118.0176888433044</v>
      </c>
      <c r="K18" s="132">
        <v>29.604133246505569</v>
      </c>
      <c r="L18" s="132">
        <v>102.33518066246153</v>
      </c>
      <c r="M18" s="132">
        <v>28.861396121132103</v>
      </c>
      <c r="N18" s="132">
        <v>73.961573841641538</v>
      </c>
      <c r="O18" s="132">
        <v>63.491629518878618</v>
      </c>
      <c r="P18" s="132">
        <v>73.752101766768391</v>
      </c>
      <c r="Q18" s="132">
        <v>100.61109859922166</v>
      </c>
      <c r="R18" s="132">
        <v>121.87450718496758</v>
      </c>
      <c r="S18" s="132">
        <v>92.326130395756863</v>
      </c>
      <c r="T18" s="132">
        <v>98.007505384771818</v>
      </c>
      <c r="U18" s="132">
        <v>79.219912430195109</v>
      </c>
      <c r="V18" s="132">
        <v>58.810024447751672</v>
      </c>
      <c r="W18" s="132">
        <v>47.007917681004621</v>
      </c>
      <c r="X18" s="132">
        <v>44.112504398110566</v>
      </c>
      <c r="Y18" s="132">
        <v>40.093734919651517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32.629678570912951</v>
      </c>
      <c r="D19" s="130">
        <f t="shared" si="9"/>
        <v>18.187443028831353</v>
      </c>
      <c r="E19" s="130">
        <f t="shared" si="9"/>
        <v>18.648698093028969</v>
      </c>
      <c r="F19" s="130">
        <f t="shared" si="9"/>
        <v>31.50217677159058</v>
      </c>
      <c r="G19" s="130">
        <f t="shared" si="9"/>
        <v>24.097449971191473</v>
      </c>
      <c r="H19" s="130">
        <f t="shared" si="9"/>
        <v>52.64612852144738</v>
      </c>
      <c r="I19" s="130">
        <f t="shared" si="9"/>
        <v>50.416263141153991</v>
      </c>
      <c r="J19" s="130">
        <f t="shared" si="9"/>
        <v>29.430075849868466</v>
      </c>
      <c r="K19" s="130">
        <f t="shared" si="9"/>
        <v>7.8177162711716051</v>
      </c>
      <c r="L19" s="130">
        <f t="shared" si="9"/>
        <v>24.727919794276868</v>
      </c>
      <c r="M19" s="130">
        <f t="shared" si="9"/>
        <v>7.5271776489048472</v>
      </c>
      <c r="N19" s="130">
        <f t="shared" si="9"/>
        <v>19.28097638637939</v>
      </c>
      <c r="O19" s="130">
        <f t="shared" si="9"/>
        <v>16.356912787151511</v>
      </c>
      <c r="P19" s="130">
        <f t="shared" si="9"/>
        <v>21.005792539687665</v>
      </c>
      <c r="Q19" s="130">
        <f t="shared" si="9"/>
        <v>25.492461795771497</v>
      </c>
      <c r="R19" s="130">
        <f t="shared" ref="R19:W19" si="10">SUM(R20:R27)</f>
        <v>33.484928695100599</v>
      </c>
      <c r="S19" s="130">
        <f t="shared" si="10"/>
        <v>25.568610891265831</v>
      </c>
      <c r="T19" s="130">
        <f t="shared" si="10"/>
        <v>27.136522228460684</v>
      </c>
      <c r="U19" s="130">
        <f t="shared" si="10"/>
        <v>21.979696621405552</v>
      </c>
      <c r="V19" s="130">
        <f t="shared" si="10"/>
        <v>17.550554335012613</v>
      </c>
      <c r="W19" s="130">
        <f t="shared" si="10"/>
        <v>14.937806878850596</v>
      </c>
      <c r="X19" s="130">
        <f t="shared" ref="X19:Y19" si="11">SUM(X20:X27)</f>
        <v>13.783201815873893</v>
      </c>
      <c r="Y19" s="130">
        <f t="shared" si="11"/>
        <v>12.536343676646538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0.79123107735523535</v>
      </c>
      <c r="D21" s="132">
        <v>0.74538980962055235</v>
      </c>
      <c r="E21" s="132">
        <v>0.25176382519134893</v>
      </c>
      <c r="F21" s="132">
        <v>1.7263151798720708</v>
      </c>
      <c r="G21" s="132">
        <v>0.95873993933238277</v>
      </c>
      <c r="H21" s="132">
        <v>1.3198789536010496</v>
      </c>
      <c r="I21" s="132">
        <v>0.61391686459358419</v>
      </c>
      <c r="J21" s="132">
        <v>0.20106621235996633</v>
      </c>
      <c r="K21" s="132">
        <v>3.3330445580010644E-2</v>
      </c>
      <c r="L21" s="132">
        <v>7.7161359004513028E-2</v>
      </c>
      <c r="M21" s="132">
        <v>4.2689031742211073E-2</v>
      </c>
      <c r="N21" s="132">
        <v>6.2761398432855761E-2</v>
      </c>
      <c r="O21" s="132">
        <v>5.7547816223461536E-2</v>
      </c>
      <c r="P21" s="132">
        <v>0.19715292879438054</v>
      </c>
      <c r="Q21" s="132">
        <v>0.36732593827641163</v>
      </c>
      <c r="R21" s="132">
        <v>0.72419961094699326</v>
      </c>
      <c r="S21" s="132">
        <v>0.41381533079494287</v>
      </c>
      <c r="T21" s="132">
        <v>0.46570700678701177</v>
      </c>
      <c r="U21" s="132">
        <v>0.22110281299331633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10.566203647382657</v>
      </c>
      <c r="D22" s="132">
        <v>0</v>
      </c>
      <c r="E22" s="132">
        <v>3.8821981237420653</v>
      </c>
      <c r="F22" s="132">
        <v>10.935513432074391</v>
      </c>
      <c r="G22" s="132">
        <v>7.8593627792574692</v>
      </c>
      <c r="H22" s="132">
        <v>12.999452826571362</v>
      </c>
      <c r="I22" s="132">
        <v>12.673242812693683</v>
      </c>
      <c r="J22" s="132">
        <v>7.2530398275430858</v>
      </c>
      <c r="K22" s="132">
        <v>2.0644531931312944</v>
      </c>
      <c r="L22" s="132">
        <v>5.7450062979010923</v>
      </c>
      <c r="M22" s="132">
        <v>1.9048196096100791</v>
      </c>
      <c r="N22" s="132">
        <v>5.1049522530802909</v>
      </c>
      <c r="O22" s="132">
        <v>4.0120560304315562</v>
      </c>
      <c r="P22" s="132">
        <v>3.307170386302003</v>
      </c>
      <c r="Q22" s="132">
        <v>4.5211493447346998</v>
      </c>
      <c r="R22" s="132">
        <v>2.1758026405267969</v>
      </c>
      <c r="S22" s="132">
        <v>0</v>
      </c>
      <c r="T22" s="132">
        <v>0</v>
      </c>
      <c r="U22" s="132">
        <v>0</v>
      </c>
      <c r="V22" s="132">
        <v>0</v>
      </c>
      <c r="W22" s="132">
        <v>1.2558640521435689</v>
      </c>
      <c r="X22" s="132">
        <v>0.35622525824836304</v>
      </c>
      <c r="Y22" s="132">
        <v>1.0326621392130761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13.837497954148921</v>
      </c>
      <c r="D23" s="132">
        <v>13.139223443621061</v>
      </c>
      <c r="E23" s="132">
        <v>0</v>
      </c>
      <c r="F23" s="132">
        <v>1.3458343121182085E-2</v>
      </c>
      <c r="G23" s="132">
        <v>7.9552398981789203</v>
      </c>
      <c r="H23" s="132">
        <v>30.156412049342006</v>
      </c>
      <c r="I23" s="132">
        <v>21.297604727508201</v>
      </c>
      <c r="J23" s="132">
        <v>10.482450549210638</v>
      </c>
      <c r="K23" s="132">
        <v>1.9015895404859895</v>
      </c>
      <c r="L23" s="132">
        <v>10.44813781780071</v>
      </c>
      <c r="M23" s="132">
        <v>2.6461934677228607</v>
      </c>
      <c r="N23" s="132">
        <v>9.3510713663906557</v>
      </c>
      <c r="O23" s="132">
        <v>8.6318030418927822</v>
      </c>
      <c r="P23" s="132">
        <v>14.711611869767333</v>
      </c>
      <c r="Q23" s="132">
        <v>15.19704361677889</v>
      </c>
      <c r="R23" s="132">
        <v>24.06158527812169</v>
      </c>
      <c r="S23" s="132">
        <v>19.647578498016582</v>
      </c>
      <c r="T23" s="132">
        <v>21.679795044397132</v>
      </c>
      <c r="U23" s="132">
        <v>15.576095291880911</v>
      </c>
      <c r="V23" s="132">
        <v>13.27977758018112</v>
      </c>
      <c r="W23" s="132">
        <v>11.723131327981511</v>
      </c>
      <c r="X23" s="132">
        <v>9.9869497302462769</v>
      </c>
      <c r="Y23" s="132">
        <v>11.045915358373374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13.366995250132591</v>
      </c>
      <c r="F25" s="132">
        <v>18.29831269011564</v>
      </c>
      <c r="G25" s="132">
        <v>6.2997431153383427</v>
      </c>
      <c r="H25" s="132">
        <v>1.249854369931134</v>
      </c>
      <c r="I25" s="132">
        <v>0.2712547008594004</v>
      </c>
      <c r="J25" s="132">
        <v>0.33965376938832054</v>
      </c>
      <c r="K25" s="132">
        <v>0.18887445262557542</v>
      </c>
      <c r="L25" s="132">
        <v>1.0770205321880073</v>
      </c>
      <c r="M25" s="132">
        <v>8.9963111178699123E-2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2.9528471946895123</v>
      </c>
      <c r="T25" s="132">
        <v>3.7360337627296647</v>
      </c>
      <c r="U25" s="132">
        <v>5.4889665253738658</v>
      </c>
      <c r="V25" s="132">
        <v>1.7134957582683359</v>
      </c>
      <c r="W25" s="132">
        <v>1.4084404093071752</v>
      </c>
      <c r="X25" s="132">
        <v>0.462930042698114</v>
      </c>
      <c r="Y25" s="132">
        <v>0.3943790261433438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6.6415250325038526</v>
      </c>
      <c r="D26" s="65">
        <v>2.0563097579659817</v>
      </c>
      <c r="E26" s="65">
        <v>0</v>
      </c>
      <c r="F26" s="65">
        <v>0</v>
      </c>
      <c r="G26" s="65">
        <v>0</v>
      </c>
      <c r="H26" s="65">
        <v>4.5454843560787559</v>
      </c>
      <c r="I26" s="65">
        <v>11.409017179670386</v>
      </c>
      <c r="J26" s="65">
        <v>10.415333782436656</v>
      </c>
      <c r="K26" s="65">
        <v>1.5626604616680908</v>
      </c>
      <c r="L26" s="65">
        <v>5.6365248189108534</v>
      </c>
      <c r="M26" s="65">
        <v>0.8103886778720939</v>
      </c>
      <c r="N26" s="65">
        <v>3.7228324723075148</v>
      </c>
      <c r="O26" s="65">
        <v>1.7742323806865463</v>
      </c>
      <c r="P26" s="65">
        <v>2.7886170613982721</v>
      </c>
      <c r="Q26" s="65">
        <v>3.9572115841166973</v>
      </c>
      <c r="R26" s="65">
        <v>5.036525547956801</v>
      </c>
      <c r="S26" s="65">
        <v>0.81307665677084062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0.79322085952228572</v>
      </c>
      <c r="D27" s="147">
        <v>2.2465200176237579</v>
      </c>
      <c r="E27" s="147">
        <v>1.1477408939629634</v>
      </c>
      <c r="F27" s="147">
        <v>0.52857712640729559</v>
      </c>
      <c r="G27" s="147">
        <v>1.0243642390843546</v>
      </c>
      <c r="H27" s="147">
        <v>2.3750459659230749</v>
      </c>
      <c r="I27" s="147">
        <v>4.1512268558287362</v>
      </c>
      <c r="J27" s="147">
        <v>0.73853170892979969</v>
      </c>
      <c r="K27" s="147">
        <v>2.0668081776806444</v>
      </c>
      <c r="L27" s="147">
        <v>1.7440689684716904</v>
      </c>
      <c r="M27" s="147">
        <v>2.0331237507789028</v>
      </c>
      <c r="N27" s="147">
        <v>1.039358896168072</v>
      </c>
      <c r="O27" s="147">
        <v>1.8812735179171636</v>
      </c>
      <c r="P27" s="147">
        <v>1.2402934256735946E-3</v>
      </c>
      <c r="Q27" s="147">
        <v>1.4497313118647948</v>
      </c>
      <c r="R27" s="147">
        <v>1.4868156175483151</v>
      </c>
      <c r="S27" s="147">
        <v>1.7412932109939554</v>
      </c>
      <c r="T27" s="147">
        <v>1.254986414546877</v>
      </c>
      <c r="U27" s="147">
        <v>0.69353199115745956</v>
      </c>
      <c r="V27" s="147">
        <v>2.5572809965631578</v>
      </c>
      <c r="W27" s="147">
        <v>0.55037108941834212</v>
      </c>
      <c r="X27" s="147">
        <v>2.9770967846811396</v>
      </c>
      <c r="Y27" s="147">
        <v>6.3387152916742101E-2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35.481512333308274</v>
      </c>
      <c r="D29" s="130">
        <f t="shared" si="12"/>
        <v>22.111372844705429</v>
      </c>
      <c r="E29" s="130">
        <f t="shared" si="12"/>
        <v>16.98468067247509</v>
      </c>
      <c r="F29" s="130">
        <f t="shared" si="12"/>
        <v>34.060971664423022</v>
      </c>
      <c r="G29" s="130">
        <f t="shared" si="12"/>
        <v>26.941802401860411</v>
      </c>
      <c r="H29" s="130">
        <f t="shared" si="12"/>
        <v>57.444264493836087</v>
      </c>
      <c r="I29" s="130">
        <f t="shared" si="12"/>
        <v>56.542495576692616</v>
      </c>
      <c r="J29" s="130">
        <f t="shared" si="12"/>
        <v>31.870930485241239</v>
      </c>
      <c r="K29" s="130">
        <f t="shared" si="12"/>
        <v>8.5976493111113221</v>
      </c>
      <c r="L29" s="130">
        <f t="shared" si="12"/>
        <v>28.444706896310876</v>
      </c>
      <c r="M29" s="130">
        <f t="shared" si="12"/>
        <v>8.6586391821822435</v>
      </c>
      <c r="N29" s="130">
        <f t="shared" si="12"/>
        <v>21.880055728212604</v>
      </c>
      <c r="O29" s="130">
        <f t="shared" si="12"/>
        <v>18.028694714165304</v>
      </c>
      <c r="P29" s="130">
        <f t="shared" si="12"/>
        <v>26.283673502430432</v>
      </c>
      <c r="Q29" s="130">
        <f t="shared" si="12"/>
        <v>29.494694341204436</v>
      </c>
      <c r="R29" s="130">
        <f t="shared" ref="R29:W29" si="13">SUM(R30:R33)</f>
        <v>39.518372649465228</v>
      </c>
      <c r="S29" s="130">
        <f t="shared" si="13"/>
        <v>31.915050060123825</v>
      </c>
      <c r="T29" s="130">
        <f t="shared" si="13"/>
        <v>29.371060859958416</v>
      </c>
      <c r="U29" s="130">
        <f t="shared" si="13"/>
        <v>25.480768324742591</v>
      </c>
      <c r="V29" s="130">
        <f t="shared" si="13"/>
        <v>20.894945710683601</v>
      </c>
      <c r="W29" s="130">
        <f t="shared" si="13"/>
        <v>16.389299354720446</v>
      </c>
      <c r="X29" s="130">
        <f t="shared" ref="X29:Y29" si="14">SUM(X30:X33)</f>
        <v>15.530554822823619</v>
      </c>
      <c r="Y29" s="130">
        <f t="shared" si="14"/>
        <v>14.456248493274929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1.8818360016085385</v>
      </c>
      <c r="D30" s="132">
        <v>0.21778361201497939</v>
      </c>
      <c r="E30" s="132">
        <v>1.9020441406628767</v>
      </c>
      <c r="F30" s="132">
        <v>1.9356637279537128</v>
      </c>
      <c r="G30" s="132">
        <v>1.2717798683143862</v>
      </c>
      <c r="H30" s="132">
        <v>2.47432597562331</v>
      </c>
      <c r="I30" s="132">
        <v>0.36698542649070204</v>
      </c>
      <c r="J30" s="132">
        <v>0.47604824423639819</v>
      </c>
      <c r="K30" s="132">
        <v>0.29802701214894894</v>
      </c>
      <c r="L30" s="132">
        <v>0.87411779276105739</v>
      </c>
      <c r="M30" s="132">
        <v>0.40641176426073361</v>
      </c>
      <c r="N30" s="132">
        <v>0.78297915125168183</v>
      </c>
      <c r="O30" s="132">
        <v>1.0069851958965153</v>
      </c>
      <c r="P30" s="132">
        <v>0.74919208934972359</v>
      </c>
      <c r="Q30" s="132">
        <v>0.59030004367197231</v>
      </c>
      <c r="R30" s="132">
        <v>1.5513918566092597</v>
      </c>
      <c r="S30" s="132">
        <v>0.16490645407131541</v>
      </c>
      <c r="T30" s="132">
        <v>1.5338587094071829</v>
      </c>
      <c r="U30" s="132">
        <v>0.99519082277290016</v>
      </c>
      <c r="V30" s="132">
        <v>0.67755662944382833</v>
      </c>
      <c r="W30" s="132">
        <v>0.52982959041837219</v>
      </c>
      <c r="X30" s="132">
        <v>0.24323893962592263</v>
      </c>
      <c r="Y30" s="132">
        <v>0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24.108084780573524</v>
      </c>
      <c r="D31" s="132">
        <v>12.535964744271075</v>
      </c>
      <c r="E31" s="132">
        <v>8.1590734062881527</v>
      </c>
      <c r="F31" s="132">
        <v>19.374866366845701</v>
      </c>
      <c r="G31" s="132">
        <v>13.729976211900787</v>
      </c>
      <c r="H31" s="132">
        <v>35.281433302611838</v>
      </c>
      <c r="I31" s="132">
        <v>29.655270755145356</v>
      </c>
      <c r="J31" s="132">
        <v>16.870890577697349</v>
      </c>
      <c r="K31" s="132">
        <v>3.1901486839680939</v>
      </c>
      <c r="L31" s="132">
        <v>10.802453617629695</v>
      </c>
      <c r="M31" s="132">
        <v>2.0049127587497697</v>
      </c>
      <c r="N31" s="132">
        <v>14.14780100089323</v>
      </c>
      <c r="O31" s="132">
        <v>13.668540554246686</v>
      </c>
      <c r="P31" s="132">
        <v>25.464425610723026</v>
      </c>
      <c r="Q31" s="132">
        <v>19.703048620979981</v>
      </c>
      <c r="R31" s="132">
        <v>25.103399556038777</v>
      </c>
      <c r="S31" s="132">
        <v>23.354482628384392</v>
      </c>
      <c r="T31" s="132">
        <v>26.452643464273354</v>
      </c>
      <c r="U31" s="132">
        <v>19.894998065038784</v>
      </c>
      <c r="V31" s="132">
        <v>14.001459718560472</v>
      </c>
      <c r="W31" s="132">
        <v>15.840749363870586</v>
      </c>
      <c r="X31" s="132">
        <v>15.267268185760384</v>
      </c>
      <c r="Y31" s="132">
        <v>14.428176937433982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0.26687268738823844</v>
      </c>
      <c r="F32" s="132">
        <v>0.12355229926196309</v>
      </c>
      <c r="G32" s="132">
        <v>6.9905482602175217E-2</v>
      </c>
      <c r="H32" s="132">
        <v>3.820760389549166E-2</v>
      </c>
      <c r="I32" s="132">
        <v>4.1609356480145174E-2</v>
      </c>
      <c r="J32" s="132">
        <v>3.720688489894361E-2</v>
      </c>
      <c r="K32" s="132">
        <v>1.8685438849556056E-2</v>
      </c>
      <c r="L32" s="132">
        <v>7.272069617562428E-2</v>
      </c>
      <c r="M32" s="132">
        <v>3.9814944784321613E-2</v>
      </c>
      <c r="N32" s="132">
        <v>8.0853991722963467E-2</v>
      </c>
      <c r="O32" s="132">
        <v>5.437563138083603E-2</v>
      </c>
      <c r="P32" s="132">
        <v>7.0055802357681843E-2</v>
      </c>
      <c r="Q32" s="132">
        <v>0.10185425744539624</v>
      </c>
      <c r="R32" s="132">
        <v>4.2274863780735382E-2</v>
      </c>
      <c r="S32" s="132">
        <v>2.7726911948699563E-2</v>
      </c>
      <c r="T32" s="132">
        <v>1.4100194168806398E-2</v>
      </c>
      <c r="U32" s="132">
        <v>6.1897916624092048E-3</v>
      </c>
      <c r="V32" s="132">
        <v>0</v>
      </c>
      <c r="W32" s="132">
        <v>1.8720400431485401E-2</v>
      </c>
      <c r="X32" s="132">
        <v>2.004769743731238E-2</v>
      </c>
      <c r="Y32" s="132">
        <v>2.8071555840947299E-2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9.4915915511262092</v>
      </c>
      <c r="D33" s="68">
        <v>9.3576244884193738</v>
      </c>
      <c r="E33" s="68">
        <v>6.6566904381358212</v>
      </c>
      <c r="F33" s="68">
        <v>12.626889270361644</v>
      </c>
      <c r="G33" s="68">
        <v>11.870140839043062</v>
      </c>
      <c r="H33" s="68">
        <v>19.650297611705447</v>
      </c>
      <c r="I33" s="68">
        <v>26.478630038576412</v>
      </c>
      <c r="J33" s="68">
        <v>14.48678477840855</v>
      </c>
      <c r="K33" s="68">
        <v>5.0907881761447227</v>
      </c>
      <c r="L33" s="68">
        <v>16.6954147897445</v>
      </c>
      <c r="M33" s="68">
        <v>6.207499714387418</v>
      </c>
      <c r="N33" s="68">
        <v>6.8684215843447305</v>
      </c>
      <c r="O33" s="68">
        <v>3.2987933326412686</v>
      </c>
      <c r="P33" s="68">
        <v>0</v>
      </c>
      <c r="Q33" s="68">
        <v>9.0994914191070873</v>
      </c>
      <c r="R33" s="68">
        <v>12.821306373036451</v>
      </c>
      <c r="S33" s="68">
        <v>8.3679340657194174</v>
      </c>
      <c r="T33" s="68">
        <v>1.3704584921090708</v>
      </c>
      <c r="U33" s="68">
        <v>4.5843896452684971</v>
      </c>
      <c r="V33" s="68">
        <v>6.2159293626793026</v>
      </c>
      <c r="W33" s="68">
        <v>0</v>
      </c>
      <c r="X33" s="68">
        <v>0</v>
      </c>
      <c r="Y33" s="68">
        <v>0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0.8569582101409553</v>
      </c>
      <c r="D3" s="126">
        <f>IF(SER_hh_tes_in!D3=0,"",SER_hh_tes_in!D3/SER_hh_fec_in!D3)</f>
        <v>0.90627247477004591</v>
      </c>
      <c r="E3" s="126">
        <f>IF(SER_hh_tes_in!E3=0,"",SER_hh_tes_in!E3/SER_hh_fec_in!E3)</f>
        <v>1.0486343485731058</v>
      </c>
      <c r="F3" s="126">
        <f>IF(SER_hh_tes_in!F3=0,"",SER_hh_tes_in!F3/SER_hh_fec_in!F3)</f>
        <v>1.0052999386535282</v>
      </c>
      <c r="G3" s="126">
        <f>IF(SER_hh_tes_in!G3=0,"",SER_hh_tes_in!G3/SER_hh_fec_in!G3)</f>
        <v>0.97399271284345645</v>
      </c>
      <c r="H3" s="126">
        <f>IF(SER_hh_tes_in!H3=0,"",SER_hh_tes_in!H3/SER_hh_fec_in!H3)</f>
        <v>0.87029046451212733</v>
      </c>
      <c r="I3" s="126">
        <f>IF(SER_hh_tes_in!I3=0,"",SER_hh_tes_in!I3/SER_hh_fec_in!I3)</f>
        <v>0.96026463339210988</v>
      </c>
      <c r="J3" s="126">
        <f>IF(SER_hh_tes_in!J3=0,"",SER_hh_tes_in!J3/SER_hh_fec_in!J3)</f>
        <v>0.93666790392638566</v>
      </c>
      <c r="K3" s="126">
        <f>IF(SER_hh_tes_in!K3=0,"",SER_hh_tes_in!K3/SER_hh_fec_in!K3)</f>
        <v>0.96741223924666708</v>
      </c>
      <c r="L3" s="126">
        <f>IF(SER_hh_tes_in!L3=0,"",SER_hh_tes_in!L3/SER_hh_fec_in!L3)</f>
        <v>1.0035752765488009</v>
      </c>
      <c r="M3" s="126">
        <f>IF(SER_hh_tes_in!M3=0,"",SER_hh_tes_in!M3/SER_hh_fec_in!M3)</f>
        <v>1.0076260385073479</v>
      </c>
      <c r="N3" s="126">
        <f>IF(SER_hh_tes_in!N3=0,"",SER_hh_tes_in!N3/SER_hh_fec_in!N3)</f>
        <v>1.0108201857716608</v>
      </c>
      <c r="O3" s="126">
        <f>IF(SER_hh_tes_in!O3=0,"",SER_hh_tes_in!O3/SER_hh_fec_in!O3)</f>
        <v>1.0373060330368236</v>
      </c>
      <c r="P3" s="126">
        <f>IF(SER_hh_tes_in!P3=0,"",SER_hh_tes_in!P3/SER_hh_fec_in!P3)</f>
        <v>1.074311534478827</v>
      </c>
      <c r="Q3" s="126">
        <f>IF(SER_hh_tes_in!Q3=0,"",SER_hh_tes_in!Q3/SER_hh_fec_in!Q3)</f>
        <v>1.1652036348095549</v>
      </c>
      <c r="R3" s="126">
        <f>IF(SER_hh_tes_in!R3=0,"",SER_hh_tes_in!R3/SER_hh_fec_in!R3)</f>
        <v>1.179019367123423</v>
      </c>
      <c r="S3" s="126">
        <f>IF(SER_hh_tes_in!S3=0,"",SER_hh_tes_in!S3/SER_hh_fec_in!S3)</f>
        <v>1.2134618072478049</v>
      </c>
      <c r="T3" s="126">
        <f>IF(SER_hh_tes_in!T3=0,"",SER_hh_tes_in!T3/SER_hh_fec_in!T3)</f>
        <v>1.2678849657916145</v>
      </c>
      <c r="U3" s="126">
        <f>IF(SER_hh_tes_in!U3=0,"",SER_hh_tes_in!U3/SER_hh_fec_in!U3)</f>
        <v>1.3021388013036215</v>
      </c>
      <c r="V3" s="126">
        <f>IF(SER_hh_tes_in!V3=0,"",SER_hh_tes_in!V3/SER_hh_fec_in!V3)</f>
        <v>1.2757938636370403</v>
      </c>
      <c r="W3" s="126">
        <f>IF(SER_hh_tes_in!W3=0,"",SER_hh_tes_in!W3/SER_hh_fec_in!W3)</f>
        <v>1.2376524675162892</v>
      </c>
      <c r="X3" s="126">
        <f>IF(SER_hh_tes_in!X3=0,"",SER_hh_tes_in!X3/SER_hh_fec_in!X3)</f>
        <v>1.3135663945982399</v>
      </c>
      <c r="Y3" s="126">
        <f>IF(SER_hh_tes_in!Y3=0,"",SER_hh_tes_in!Y3/SER_hh_fec_in!Y3)</f>
        <v>1.308124825865796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0.612092081234483</v>
      </c>
      <c r="D4" s="135">
        <f>IF(SER_hh_tes_in!D4=0,"",SER_hh_tes_in!D4/SER_hh_fec_in!D4)</f>
        <v>0.64299304420185599</v>
      </c>
      <c r="E4" s="135">
        <f>IF(SER_hh_tes_in!E4=0,"",SER_hh_tes_in!E4/SER_hh_fec_in!E4)</f>
        <v>0.84552974665326885</v>
      </c>
      <c r="F4" s="135">
        <f>IF(SER_hh_tes_in!F4=0,"",SER_hh_tes_in!F4/SER_hh_fec_in!F4)</f>
        <v>0.80861604293292177</v>
      </c>
      <c r="G4" s="135">
        <f>IF(SER_hh_tes_in!G4=0,"",SER_hh_tes_in!G4/SER_hh_fec_in!G4)</f>
        <v>0.73475306547272401</v>
      </c>
      <c r="H4" s="135">
        <f>IF(SER_hh_tes_in!H4=0,"",SER_hh_tes_in!H4/SER_hh_fec_in!H4)</f>
        <v>0.63726842972530173</v>
      </c>
      <c r="I4" s="135">
        <f>IF(SER_hh_tes_in!I4=0,"",SER_hh_tes_in!I4/SER_hh_fec_in!I4)</f>
        <v>0.66596937397226152</v>
      </c>
      <c r="J4" s="135">
        <f>IF(SER_hh_tes_in!J4=0,"",SER_hh_tes_in!J4/SER_hh_fec_in!J4)</f>
        <v>0.66277112024501883</v>
      </c>
      <c r="K4" s="135">
        <f>IF(SER_hh_tes_in!K4=0,"",SER_hh_tes_in!K4/SER_hh_fec_in!K4)</f>
        <v>0.67121823094870969</v>
      </c>
      <c r="L4" s="135">
        <f>IF(SER_hh_tes_in!L4=0,"",SER_hh_tes_in!L4/SER_hh_fec_in!L4)</f>
        <v>0.71033161474100404</v>
      </c>
      <c r="M4" s="135">
        <f>IF(SER_hh_tes_in!M4=0,"",SER_hh_tes_in!M4/SER_hh_fec_in!M4)</f>
        <v>0.67154955200159916</v>
      </c>
      <c r="N4" s="135">
        <f>IF(SER_hh_tes_in!N4=0,"",SER_hh_tes_in!N4/SER_hh_fec_in!N4)</f>
        <v>0.69825396195477962</v>
      </c>
      <c r="O4" s="135">
        <f>IF(SER_hh_tes_in!O4=0,"",SER_hh_tes_in!O4/SER_hh_fec_in!O4)</f>
        <v>0.73973936850071365</v>
      </c>
      <c r="P4" s="135">
        <f>IF(SER_hh_tes_in!P4=0,"",SER_hh_tes_in!P4/SER_hh_fec_in!P4)</f>
        <v>0.78415152249575015</v>
      </c>
      <c r="Q4" s="135">
        <f>IF(SER_hh_tes_in!Q4=0,"",SER_hh_tes_in!Q4/SER_hh_fec_in!Q4)</f>
        <v>0.82427849891910565</v>
      </c>
      <c r="R4" s="135">
        <f>IF(SER_hh_tes_in!R4=0,"",SER_hh_tes_in!R4/SER_hh_fec_in!R4)</f>
        <v>0.85117738430437917</v>
      </c>
      <c r="S4" s="135">
        <f>IF(SER_hh_tes_in!S4=0,"",SER_hh_tes_in!S4/SER_hh_fec_in!S4)</f>
        <v>0.88866105150784047</v>
      </c>
      <c r="T4" s="135">
        <f>IF(SER_hh_tes_in!T4=0,"",SER_hh_tes_in!T4/SER_hh_fec_in!T4)</f>
        <v>0.9008823750573256</v>
      </c>
      <c r="U4" s="135">
        <f>IF(SER_hh_tes_in!U4=0,"",SER_hh_tes_in!U4/SER_hh_fec_in!U4)</f>
        <v>0.93019049990882163</v>
      </c>
      <c r="V4" s="135">
        <f>IF(SER_hh_tes_in!V4=0,"",SER_hh_tes_in!V4/SER_hh_fec_in!V4)</f>
        <v>0.91339385052354771</v>
      </c>
      <c r="W4" s="135">
        <f>IF(SER_hh_tes_in!W4=0,"",SER_hh_tes_in!W4/SER_hh_fec_in!W4)</f>
        <v>0.92957283523447587</v>
      </c>
      <c r="X4" s="135">
        <f>IF(SER_hh_tes_in!X4=0,"",SER_hh_tes_in!X4/SER_hh_fec_in!X4)</f>
        <v>0.94859824448085062</v>
      </c>
      <c r="Y4" s="135">
        <f>IF(SER_hh_tes_in!Y4=0,"",SER_hh_tes_in!Y4/SER_hh_fec_in!Y4)</f>
        <v>0.96014854284031703</v>
      </c>
      <c r="DA4" s="162" t="s">
        <v>663</v>
      </c>
    </row>
    <row r="5" spans="1:105" ht="12" customHeight="1" x14ac:dyDescent="0.25">
      <c r="A5" s="131" t="s">
        <v>29</v>
      </c>
      <c r="B5" s="136"/>
      <c r="C5" s="136">
        <f>IF(SER_hh_tes_in!C5=0,"",SER_hh_tes_in!C5/SER_hh_fec_in!C5)</f>
        <v>0.67796804894924478</v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>
        <f>IF(SER_hh_tes_in!I5=0,"",SER_hh_tes_in!I5/SER_hh_fec_in!I5)</f>
        <v>0.7156805352514416</v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>
        <f>IF(SER_hh_tes_in!M5=0,"",SER_hh_tes_in!M5/SER_hh_fec_in!M5)</f>
        <v>0.73983786106667915</v>
      </c>
      <c r="N5" s="136">
        <f>IF(SER_hh_tes_in!N5=0,"",SER_hh_tes_in!N5/SER_hh_fec_in!N5)</f>
        <v>0.74488953455871199</v>
      </c>
      <c r="O5" s="136">
        <f>IF(SER_hh_tes_in!O5=0,"",SER_hh_tes_in!O5/SER_hh_fec_in!O5)</f>
        <v>0.7493410821878157</v>
      </c>
      <c r="P5" s="136" t="str">
        <f>IF(SER_hh_tes_in!P5=0,"",SER_hh_tes_in!P5/SER_hh_fec_in!P5)</f>
        <v/>
      </c>
      <c r="Q5" s="136">
        <f>IF(SER_hh_tes_in!Q5=0,"",SER_hh_tes_in!Q5/SER_hh_fec_in!Q5)</f>
        <v>0.75925445717965911</v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>
        <f>IF(SER_hh_tes_in!W5=0,"",SER_hh_tes_in!W5/SER_hh_fec_in!W5)</f>
        <v>0.81479787315543317</v>
      </c>
      <c r="X5" s="136">
        <f>IF(SER_hh_tes_in!X5=0,"",SER_hh_tes_in!X5/SER_hh_fec_in!X5)</f>
        <v>0.81958688914610311</v>
      </c>
      <c r="Y5" s="136">
        <f>IF(SER_hh_tes_in!Y5=0,"",SER_hh_tes_in!Y5/SER_hh_fec_in!Y5)</f>
        <v>0.82390422565066523</v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0.5681171024043814</v>
      </c>
      <c r="D7" s="136">
        <f>IF(SER_hh_tes_in!D7=0,"",SER_hh_tes_in!D7/SER_hh_fec_in!D7)</f>
        <v>0.57254732370072425</v>
      </c>
      <c r="E7" s="136" t="str">
        <f>IF(SER_hh_tes_in!E7=0,"",SER_hh_tes_in!E7/SER_hh_fec_in!E7)</f>
        <v/>
      </c>
      <c r="F7" s="136">
        <f>IF(SER_hh_tes_in!F7=0,"",SER_hh_tes_in!F7/SER_hh_fec_in!F7)</f>
        <v>0.58185396203068662</v>
      </c>
      <c r="G7" s="136">
        <f>IF(SER_hh_tes_in!G7=0,"",SER_hh_tes_in!G7/SER_hh_fec_in!G7)</f>
        <v>0.58670208124215251</v>
      </c>
      <c r="H7" s="136">
        <f>IF(SER_hh_tes_in!H7=0,"",SER_hh_tes_in!H7/SER_hh_fec_in!H7)</f>
        <v>0.59172614581590477</v>
      </c>
      <c r="I7" s="136">
        <f>IF(SER_hh_tes_in!I7=0,"",SER_hh_tes_in!I7/SER_hh_fec_in!I7)</f>
        <v>0.59698039318053409</v>
      </c>
      <c r="J7" s="136">
        <f>IF(SER_hh_tes_in!J7=0,"",SER_hh_tes_in!J7/SER_hh_fec_in!J7)</f>
        <v>0.60269415639857959</v>
      </c>
      <c r="K7" s="136">
        <f>IF(SER_hh_tes_in!K7=0,"",SER_hh_tes_in!K7/SER_hh_fec_in!K7)</f>
        <v>0.60905808956918805</v>
      </c>
      <c r="L7" s="136">
        <f>IF(SER_hh_tes_in!L7=0,"",SER_hh_tes_in!L7/SER_hh_fec_in!L7)</f>
        <v>0.61611540255357322</v>
      </c>
      <c r="M7" s="136">
        <f>IF(SER_hh_tes_in!M7=0,"",SER_hh_tes_in!M7/SER_hh_fec_in!M7)</f>
        <v>0.62888478157811456</v>
      </c>
      <c r="N7" s="136">
        <f>IF(SER_hh_tes_in!N7=0,"",SER_hh_tes_in!N7/SER_hh_fec_in!N7)</f>
        <v>0.64886819262233675</v>
      </c>
      <c r="O7" s="136">
        <f>IF(SER_hh_tes_in!O7=0,"",SER_hh_tes_in!O7/SER_hh_fec_in!O7)</f>
        <v>0.67683011606211008</v>
      </c>
      <c r="P7" s="136">
        <f>IF(SER_hh_tes_in!P7=0,"",SER_hh_tes_in!P7/SER_hh_fec_in!P7)</f>
        <v>0.70905495040219224</v>
      </c>
      <c r="Q7" s="136">
        <f>IF(SER_hh_tes_in!Q7=0,"",SER_hh_tes_in!Q7/SER_hh_fec_in!Q7)</f>
        <v>0.73478686268207238</v>
      </c>
      <c r="R7" s="136">
        <f>IF(SER_hh_tes_in!R7=0,"",SER_hh_tes_in!R7/SER_hh_fec_in!R7)</f>
        <v>0.74459011267016217</v>
      </c>
      <c r="S7" s="136" t="str">
        <f>IF(SER_hh_tes_in!S7=0,"",SER_hh_tes_in!S7/SER_hh_fec_in!S7)</f>
        <v/>
      </c>
      <c r="T7" s="136" t="str">
        <f>IF(SER_hh_tes_in!T7=0,"",SER_hh_tes_in!T7/SER_hh_fec_in!T7)</f>
        <v/>
      </c>
      <c r="U7" s="136" t="str">
        <f>IF(SER_hh_tes_in!U7=0,"",SER_hh_tes_in!U7/SER_hh_fec_in!U7)</f>
        <v/>
      </c>
      <c r="V7" s="136" t="str">
        <f>IF(SER_hh_tes_in!V7=0,"",SER_hh_tes_in!V7/SER_hh_fec_in!V7)</f>
        <v/>
      </c>
      <c r="W7" s="136">
        <f>IF(SER_hh_tes_in!W7=0,"",SER_hh_tes_in!W7/SER_hh_fec_in!W7)</f>
        <v>0.75425819854338849</v>
      </c>
      <c r="X7" s="136" t="str">
        <f>IF(SER_hh_tes_in!X7=0,"",SER_hh_tes_in!X7/SER_hh_fec_in!X7)</f>
        <v/>
      </c>
      <c r="Y7" s="136" t="str">
        <f>IF(SER_hh_tes_in!Y7=0,"",SER_hh_tes_in!Y7/SER_hh_fec_in!Y7)</f>
        <v/>
      </c>
      <c r="DA7" s="163" t="s">
        <v>666</v>
      </c>
    </row>
    <row r="8" spans="1:105" ht="12" customHeight="1" x14ac:dyDescent="0.25">
      <c r="A8" s="131" t="s">
        <v>73</v>
      </c>
      <c r="B8" s="136"/>
      <c r="C8" s="136">
        <f>IF(SER_hh_tes_in!C8=0,"",SER_hh_tes_in!C8/SER_hh_fec_in!C8)</f>
        <v>1.5848235967165543</v>
      </c>
      <c r="D8" s="136">
        <f>IF(SER_hh_tes_in!D8=0,"",SER_hh_tes_in!D8/SER_hh_fec_in!D8)</f>
        <v>1.6267465458936323</v>
      </c>
      <c r="E8" s="136">
        <f>IF(SER_hh_tes_in!E8=0,"",SER_hh_tes_in!E8/SER_hh_fec_in!E8)</f>
        <v>1.6693791638992914</v>
      </c>
      <c r="F8" s="136">
        <f>IF(SER_hh_tes_in!F8=0,"",SER_hh_tes_in!F8/SER_hh_fec_in!F8)</f>
        <v>1.7122375289333065</v>
      </c>
      <c r="G8" s="136">
        <f>IF(SER_hh_tes_in!G8=0,"",SER_hh_tes_in!G8/SER_hh_fec_in!G8)</f>
        <v>1.7557657264681679</v>
      </c>
      <c r="H8" s="136">
        <f>IF(SER_hh_tes_in!H8=0,"",SER_hh_tes_in!H8/SER_hh_fec_in!H8)</f>
        <v>1.7999123501287404</v>
      </c>
      <c r="I8" s="136">
        <f>IF(SER_hh_tes_in!I8=0,"",SER_hh_tes_in!I8/SER_hh_fec_in!I8)</f>
        <v>1.8447896601823408</v>
      </c>
      <c r="J8" s="136">
        <f>IF(SER_hh_tes_in!J8=0,"",SER_hh_tes_in!J8/SER_hh_fec_in!J8)</f>
        <v>1.8908507729725674</v>
      </c>
      <c r="K8" s="136">
        <f>IF(SER_hh_tes_in!K8=0,"",SER_hh_tes_in!K8/SER_hh_fec_in!K8)</f>
        <v>1.9384842696337572</v>
      </c>
      <c r="L8" s="136">
        <f>IF(SER_hh_tes_in!L8=0,"",SER_hh_tes_in!L8/SER_hh_fec_in!L8)</f>
        <v>1.9877998096038039</v>
      </c>
      <c r="M8" s="136">
        <f>IF(SER_hh_tes_in!M8=0,"",SER_hh_tes_in!M8/SER_hh_fec_in!M8)</f>
        <v>2.0496701435632505</v>
      </c>
      <c r="N8" s="136">
        <f>IF(SER_hh_tes_in!N8=0,"",SER_hh_tes_in!N8/SER_hh_fec_in!N8)</f>
        <v>2.127808006431263</v>
      </c>
      <c r="O8" s="136">
        <f>IF(SER_hh_tes_in!O8=0,"",SER_hh_tes_in!O8/SER_hh_fec_in!O8)</f>
        <v>2.2236830635736196</v>
      </c>
      <c r="P8" s="136">
        <f>IF(SER_hh_tes_in!P8=0,"",SER_hh_tes_in!P8/SER_hh_fec_in!P8)</f>
        <v>2.3274241229990977</v>
      </c>
      <c r="Q8" s="136">
        <f>IF(SER_hh_tes_in!Q8=0,"",SER_hh_tes_in!Q8/SER_hh_fec_in!Q8)</f>
        <v>2.4088965067555019</v>
      </c>
      <c r="R8" s="136">
        <f>IF(SER_hh_tes_in!R8=0,"",SER_hh_tes_in!R8/SER_hh_fec_in!R8)</f>
        <v>2.5162572495709563</v>
      </c>
      <c r="S8" s="136">
        <f>IF(SER_hh_tes_in!S8=0,"",SER_hh_tes_in!S8/SER_hh_fec_in!S8)</f>
        <v>2.586332850049486</v>
      </c>
      <c r="T8" s="136">
        <f>IF(SER_hh_tes_in!T8=0,"",SER_hh_tes_in!T8/SER_hh_fec_in!T8)</f>
        <v>2.6307762771677492</v>
      </c>
      <c r="U8" s="136">
        <f>IF(SER_hh_tes_in!U8=0,"",SER_hh_tes_in!U8/SER_hh_fec_in!U8)</f>
        <v>2.6613361623035034</v>
      </c>
      <c r="V8" s="136">
        <f>IF(SER_hh_tes_in!V8=0,"",SER_hh_tes_in!V8/SER_hh_fec_in!V8)</f>
        <v>2.6894099360241532</v>
      </c>
      <c r="W8" s="136">
        <f>IF(SER_hh_tes_in!W8=0,"",SER_hh_tes_in!W8/SER_hh_fec_in!W8)</f>
        <v>2.7168125524154259</v>
      </c>
      <c r="X8" s="136">
        <f>IF(SER_hh_tes_in!X8=0,"",SER_hh_tes_in!X8/SER_hh_fec_in!X8)</f>
        <v>2.7389091940545862</v>
      </c>
      <c r="Y8" s="136">
        <f>IF(SER_hh_tes_in!Y8=0,"",SER_hh_tes_in!Y8/SER_hh_fec_in!Y8)</f>
        <v>2.757712865713521</v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0.60816777341656614</v>
      </c>
      <c r="D9" s="136">
        <f>IF(SER_hh_tes_in!D9=0,"",SER_hh_tes_in!D9/SER_hh_fec_in!D9)</f>
        <v>0.61317291105051019</v>
      </c>
      <c r="E9" s="136" t="str">
        <f>IF(SER_hh_tes_in!E9=0,"",SER_hh_tes_in!E9/SER_hh_fec_in!E9)</f>
        <v/>
      </c>
      <c r="F9" s="136" t="str">
        <f>IF(SER_hh_tes_in!F9=0,"",SER_hh_tes_in!F9/SER_hh_fec_in!F9)</f>
        <v/>
      </c>
      <c r="G9" s="136" t="str">
        <f>IF(SER_hh_tes_in!G9=0,"",SER_hh_tes_in!G9/SER_hh_fec_in!G9)</f>
        <v/>
      </c>
      <c r="H9" s="136">
        <f>IF(SER_hh_tes_in!H9=0,"",SER_hh_tes_in!H9/SER_hh_fec_in!H9)</f>
        <v>0.6352018955239922</v>
      </c>
      <c r="I9" s="136">
        <f>IF(SER_hh_tes_in!I9=0,"",SER_hh_tes_in!I9/SER_hh_fec_in!I9)</f>
        <v>0.64134388556827415</v>
      </c>
      <c r="J9" s="136">
        <f>IF(SER_hh_tes_in!J9=0,"",SER_hh_tes_in!J9/SER_hh_fec_in!J9)</f>
        <v>0.64810301712263807</v>
      </c>
      <c r="K9" s="136">
        <f>IF(SER_hh_tes_in!K9=0,"",SER_hh_tes_in!K9/SER_hh_fec_in!K9)</f>
        <v>0.65573282766621932</v>
      </c>
      <c r="L9" s="136">
        <f>IF(SER_hh_tes_in!L9=0,"",SER_hh_tes_in!L9/SER_hh_fec_in!L9)</f>
        <v>0.66429661574116183</v>
      </c>
      <c r="M9" s="136">
        <f>IF(SER_hh_tes_in!M9=0,"",SER_hh_tes_in!M9/SER_hh_fec_in!M9)</f>
        <v>0.68013687749529628</v>
      </c>
      <c r="N9" s="136">
        <f>IF(SER_hh_tes_in!N9=0,"",SER_hh_tes_in!N9/SER_hh_fec_in!N9)</f>
        <v>0.70522601470783952</v>
      </c>
      <c r="O9" s="136">
        <f>IF(SER_hh_tes_in!O9=0,"",SER_hh_tes_in!O9/SER_hh_fec_in!O9)</f>
        <v>0.74087588133303539</v>
      </c>
      <c r="P9" s="136">
        <f>IF(SER_hh_tes_in!P9=0,"",SER_hh_tes_in!P9/SER_hh_fec_in!P9)</f>
        <v>0.78285787912317228</v>
      </c>
      <c r="Q9" s="136">
        <f>IF(SER_hh_tes_in!Q9=0,"",SER_hh_tes_in!Q9/SER_hh_fec_in!Q9)</f>
        <v>0.81824296632660443</v>
      </c>
      <c r="R9" s="136">
        <f>IF(SER_hh_tes_in!R9=0,"",SER_hh_tes_in!R9/SER_hh_fec_in!R9)</f>
        <v>0.83618058601300493</v>
      </c>
      <c r="S9" s="136">
        <f>IF(SER_hh_tes_in!S9=0,"",SER_hh_tes_in!S9/SER_hh_fec_in!S9)</f>
        <v>0.84988479688020513</v>
      </c>
      <c r="T9" s="136">
        <f>IF(SER_hh_tes_in!T9=0,"",SER_hh_tes_in!T9/SER_hh_fec_in!T9)</f>
        <v>0.86099655144524812</v>
      </c>
      <c r="U9" s="136">
        <f>IF(SER_hh_tes_in!U9=0,"",SER_hh_tes_in!U9/SER_hh_fec_in!U9)</f>
        <v>0.87064883212612576</v>
      </c>
      <c r="V9" s="136">
        <f>IF(SER_hh_tes_in!V9=0,"",SER_hh_tes_in!V9/SER_hh_fec_in!V9)</f>
        <v>0.87940116203808905</v>
      </c>
      <c r="W9" s="136">
        <f>IF(SER_hh_tes_in!W9=0,"",SER_hh_tes_in!W9/SER_hh_fec_in!W9)</f>
        <v>0.88591103663812032</v>
      </c>
      <c r="X9" s="136">
        <f>IF(SER_hh_tes_in!X9=0,"",SER_hh_tes_in!X9/SER_hh_fec_in!X9)</f>
        <v>0.8885426421931566</v>
      </c>
      <c r="Y9" s="136">
        <f>IF(SER_hh_tes_in!Y9=0,"",SER_hh_tes_in!Y9/SER_hh_fec_in!Y9)</f>
        <v>0.89033900818286482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 t="str">
        <f>IF(SER_hh_tes_in!C10=0,"",SER_hh_tes_in!C10/SER_hh_fec_in!C10)</f>
        <v/>
      </c>
      <c r="D10" s="136" t="str">
        <f>IF(SER_hh_tes_in!D10=0,"",SER_hh_tes_in!D10/SER_hh_fec_in!D10)</f>
        <v/>
      </c>
      <c r="E10" s="136">
        <f>IF(SER_hh_tes_in!E10=0,"",SER_hh_tes_in!E10/SER_hh_fec_in!E10)</f>
        <v>0.69326838859348072</v>
      </c>
      <c r="F10" s="136">
        <f>IF(SER_hh_tes_in!F10=0,"",SER_hh_tes_in!F10/SER_hh_fec_in!F10)</f>
        <v>0.70559543461205587</v>
      </c>
      <c r="G10" s="136">
        <f>IF(SER_hh_tes_in!G10=0,"",SER_hh_tes_in!G10/SER_hh_fec_in!G10)</f>
        <v>0.71801363381599459</v>
      </c>
      <c r="H10" s="136">
        <f>IF(SER_hh_tes_in!H10=0,"",SER_hh_tes_in!H10/SER_hh_fec_in!H10)</f>
        <v>0.73050866304793038</v>
      </c>
      <c r="I10" s="136">
        <f>IF(SER_hh_tes_in!I10=0,"",SER_hh_tes_in!I10/SER_hh_fec_in!I10)</f>
        <v>0.74306162846747215</v>
      </c>
      <c r="J10" s="136">
        <f>IF(SER_hh_tes_in!J10=0,"",SER_hh_tes_in!J10/SER_hh_fec_in!J10)</f>
        <v>0.75563171691141906</v>
      </c>
      <c r="K10" s="136">
        <f>IF(SER_hh_tes_in!K10=0,"",SER_hh_tes_in!K10/SER_hh_fec_in!K10)</f>
        <v>0.76816496128692457</v>
      </c>
      <c r="L10" s="136">
        <f>IF(SER_hh_tes_in!L10=0,"",SER_hh_tes_in!L10/SER_hh_fec_in!L10)</f>
        <v>0.78061346290451206</v>
      </c>
      <c r="M10" s="136">
        <f>IF(SER_hh_tes_in!M10=0,"",SER_hh_tes_in!M10/SER_hh_fec_in!M10)</f>
        <v>0.79204843559613647</v>
      </c>
      <c r="N10" s="136">
        <f>IF(SER_hh_tes_in!N10=0,"",SER_hh_tes_in!N10/SER_hh_fec_in!N10)</f>
        <v>0.801961665407944</v>
      </c>
      <c r="O10" s="136">
        <f>IF(SER_hh_tes_in!O10=0,"",SER_hh_tes_in!O10/SER_hh_fec_in!O10)</f>
        <v>0.81005963100012257</v>
      </c>
      <c r="P10" s="136">
        <f>IF(SER_hh_tes_in!P10=0,"",SER_hh_tes_in!P10/SER_hh_fec_in!P10)</f>
        <v>0.81704385997626794</v>
      </c>
      <c r="Q10" s="136">
        <f>IF(SER_hh_tes_in!Q10=0,"",SER_hh_tes_in!Q10/SER_hh_fec_in!Q10)</f>
        <v>0.82537735094670572</v>
      </c>
      <c r="R10" s="136">
        <f>IF(SER_hh_tes_in!R10=0,"",SER_hh_tes_in!R10/SER_hh_fec_in!R10)</f>
        <v>0.8378598426761209</v>
      </c>
      <c r="S10" s="136">
        <f>IF(SER_hh_tes_in!S10=0,"",SER_hh_tes_in!S10/SER_hh_fec_in!S10)</f>
        <v>0.85190873800764755</v>
      </c>
      <c r="T10" s="136">
        <f>IF(SER_hh_tes_in!T10=0,"",SER_hh_tes_in!T10/SER_hh_fec_in!T10)</f>
        <v>0.86607958410767594</v>
      </c>
      <c r="U10" s="136">
        <f>IF(SER_hh_tes_in!U10=0,"",SER_hh_tes_in!U10/SER_hh_fec_in!U10)</f>
        <v>0.87916988849078959</v>
      </c>
      <c r="V10" s="136">
        <f>IF(SER_hh_tes_in!V10=0,"",SER_hh_tes_in!V10/SER_hh_fec_in!V10)</f>
        <v>0.89015032871115984</v>
      </c>
      <c r="W10" s="136">
        <f>IF(SER_hh_tes_in!W10=0,"",SER_hh_tes_in!W10/SER_hh_fec_in!W10)</f>
        <v>0.8989712033676247</v>
      </c>
      <c r="X10" s="136">
        <f>IF(SER_hh_tes_in!X10=0,"",SER_hh_tes_in!X10/SER_hh_fec_in!X10)</f>
        <v>0.90280786875881192</v>
      </c>
      <c r="Y10" s="136">
        <f>IF(SER_hh_tes_in!Y10=0,"",SER_hh_tes_in!Y10/SER_hh_fec_in!Y10)</f>
        <v>0.90642355565183808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>
        <f>IF(SER_hh_tes_in!E11=0,"",SER_hh_tes_in!E11/SER_hh_fec_in!E11)</f>
        <v>0.8721544885841388</v>
      </c>
      <c r="F11" s="136">
        <f>IF(SER_hh_tes_in!F11=0,"",SER_hh_tes_in!F11/SER_hh_fec_in!F11)</f>
        <v>0.87695526437721949</v>
      </c>
      <c r="G11" s="136">
        <f>IF(SER_hh_tes_in!G11=0,"",SER_hh_tes_in!G11/SER_hh_fec_in!G11)</f>
        <v>0.88175671319568361</v>
      </c>
      <c r="H11" s="136">
        <f>IF(SER_hh_tes_in!H11=0,"",SER_hh_tes_in!H11/SER_hh_fec_in!H11)</f>
        <v>0.8865587648662685</v>
      </c>
      <c r="I11" s="136">
        <f>IF(SER_hh_tes_in!I11=0,"",SER_hh_tes_in!I11/SER_hh_fec_in!I11)</f>
        <v>0.89136156066750838</v>
      </c>
      <c r="J11" s="136" t="str">
        <f>IF(SER_hh_tes_in!J11=0,"",SER_hh_tes_in!J11/SER_hh_fec_in!J11)</f>
        <v/>
      </c>
      <c r="K11" s="136">
        <f>IF(SER_hh_tes_in!K11=0,"",SER_hh_tes_in!K11/SER_hh_fec_in!K11)</f>
        <v>0.90097161307209261</v>
      </c>
      <c r="L11" s="136">
        <f>IF(SER_hh_tes_in!L11=0,"",SER_hh_tes_in!L11/SER_hh_fec_in!L11)</f>
        <v>0.90577949343905073</v>
      </c>
      <c r="M11" s="136">
        <f>IF(SER_hh_tes_in!M11=0,"",SER_hh_tes_in!M11/SER_hh_fec_in!M11)</f>
        <v>0.9106387518179816</v>
      </c>
      <c r="N11" s="136">
        <f>IF(SER_hh_tes_in!N11=0,"",SER_hh_tes_in!N11/SER_hh_fec_in!N11)</f>
        <v>0.91556787516776372</v>
      </c>
      <c r="O11" s="136">
        <f>IF(SER_hh_tes_in!O11=0,"",SER_hh_tes_in!O11/SER_hh_fec_in!O11)</f>
        <v>0.92054441921644226</v>
      </c>
      <c r="P11" s="136">
        <f>IF(SER_hh_tes_in!P11=0,"",SER_hh_tes_in!P11/SER_hh_fec_in!P11)</f>
        <v>0.92546436079000771</v>
      </c>
      <c r="Q11" s="136">
        <f>IF(SER_hh_tes_in!Q11=0,"",SER_hh_tes_in!Q11/SER_hh_fec_in!Q11)</f>
        <v>0.93003831366213496</v>
      </c>
      <c r="R11" s="136">
        <f>IF(SER_hh_tes_in!R11=0,"",SER_hh_tes_in!R11/SER_hh_fec_in!R11)</f>
        <v>0.93402879215100532</v>
      </c>
      <c r="S11" s="136">
        <f>IF(SER_hh_tes_in!S11=0,"",SER_hh_tes_in!S11/SER_hh_fec_in!S11)</f>
        <v>0.93770353426502406</v>
      </c>
      <c r="T11" s="136">
        <f>IF(SER_hh_tes_in!T11=0,"",SER_hh_tes_in!T11/SER_hh_fec_in!T11)</f>
        <v>0.94112698268079997</v>
      </c>
      <c r="U11" s="136">
        <f>IF(SER_hh_tes_in!U11=0,"",SER_hh_tes_in!U11/SER_hh_fec_in!U11)</f>
        <v>0.94436358007495347</v>
      </c>
      <c r="V11" s="136">
        <f>IF(SER_hh_tes_in!V11=0,"",SER_hh_tes_in!V11/SER_hh_fec_in!V11)</f>
        <v>0.9474777691240992</v>
      </c>
      <c r="W11" s="136">
        <f>IF(SER_hh_tes_in!W11=0,"",SER_hh_tes_in!W11/SER_hh_fec_in!W11)</f>
        <v>0.95038946025883198</v>
      </c>
      <c r="X11" s="136">
        <f>IF(SER_hh_tes_in!X11=0,"",SER_hh_tes_in!X11/SER_hh_fec_in!X11)</f>
        <v>0.95174059014038415</v>
      </c>
      <c r="Y11" s="136">
        <f>IF(SER_hh_tes_in!Y11=0,"",SER_hh_tes_in!Y11/SER_hh_fec_in!Y11)</f>
        <v>0.95303592705873286</v>
      </c>
      <c r="DA11" s="163" t="s">
        <v>670</v>
      </c>
    </row>
    <row r="12" spans="1:105" ht="12" customHeight="1" x14ac:dyDescent="0.25">
      <c r="A12" s="131" t="s">
        <v>162</v>
      </c>
      <c r="B12" s="136"/>
      <c r="C12" s="136" t="str">
        <f>IF(SER_hh_tes_in!C12=0,"",SER_hh_tes_in!C12/SER_hh_fec_in!C12)</f>
        <v/>
      </c>
      <c r="D12" s="136" t="str">
        <f>IF(SER_hh_tes_in!D12=0,"",SER_hh_tes_in!D12/SER_hh_fec_in!D12)</f>
        <v/>
      </c>
      <c r="E12" s="136">
        <f>IF(SER_hh_tes_in!E12=0,"",SER_hh_tes_in!E12/SER_hh_fec_in!E12)</f>
        <v>0.87786579009646504</v>
      </c>
      <c r="F12" s="136">
        <f>IF(SER_hh_tes_in!F12=0,"",SER_hh_tes_in!F12/SER_hh_fec_in!F12)</f>
        <v>0.87986965525140126</v>
      </c>
      <c r="G12" s="136">
        <f>IF(SER_hh_tes_in!G12=0,"",SER_hh_tes_in!G12/SER_hh_fec_in!G12)</f>
        <v>0.88192185953512781</v>
      </c>
      <c r="H12" s="136" t="str">
        <f>IF(SER_hh_tes_in!H12=0,"",SER_hh_tes_in!H12/SER_hh_fec_in!H12)</f>
        <v/>
      </c>
      <c r="I12" s="136">
        <f>IF(SER_hh_tes_in!I12=0,"",SER_hh_tes_in!I12/SER_hh_fec_in!I12)</f>
        <v>0.88616631233045839</v>
      </c>
      <c r="J12" s="136">
        <f>IF(SER_hh_tes_in!J12=0,"",SER_hh_tes_in!J12/SER_hh_fec_in!J12)</f>
        <v>0.88841027722137433</v>
      </c>
      <c r="K12" s="136">
        <f>IF(SER_hh_tes_in!K12=0,"",SER_hh_tes_in!K12/SER_hh_fec_in!K12)</f>
        <v>0.89078460231102541</v>
      </c>
      <c r="L12" s="136">
        <f>IF(SER_hh_tes_in!L12=0,"",SER_hh_tes_in!L12/SER_hh_fec_in!L12)</f>
        <v>0.8932987437796307</v>
      </c>
      <c r="M12" s="136" t="str">
        <f>IF(SER_hh_tes_in!M12=0,"",SER_hh_tes_in!M12/SER_hh_fec_in!M12)</f>
        <v/>
      </c>
      <c r="N12" s="136" t="str">
        <f>IF(SER_hh_tes_in!N12=0,"",SER_hh_tes_in!N12/SER_hh_fec_in!N12)</f>
        <v/>
      </c>
      <c r="O12" s="136" t="str">
        <f>IF(SER_hh_tes_in!O12=0,"",SER_hh_tes_in!O12/SER_hh_fec_in!O12)</f>
        <v/>
      </c>
      <c r="P12" s="136" t="str">
        <f>IF(SER_hh_tes_in!P12=0,"",SER_hh_tes_in!P12/SER_hh_fec_in!P12)</f>
        <v/>
      </c>
      <c r="Q12" s="136" t="str">
        <f>IF(SER_hh_tes_in!Q12=0,"",SER_hh_tes_in!Q12/SER_hh_fec_in!Q12)</f>
        <v/>
      </c>
      <c r="R12" s="136" t="str">
        <f>IF(SER_hh_tes_in!R12=0,"",SER_hh_tes_in!R12/SER_hh_fec_in!R12)</f>
        <v/>
      </c>
      <c r="S12" s="136">
        <f>IF(SER_hh_tes_in!S12=0,"",SER_hh_tes_in!S12/SER_hh_fec_in!S12)</f>
        <v>0.93188245361711197</v>
      </c>
      <c r="T12" s="136">
        <f>IF(SER_hh_tes_in!T12=0,"",SER_hh_tes_in!T12/SER_hh_fec_in!T12)</f>
        <v>0.93676366112602849</v>
      </c>
      <c r="U12" s="136">
        <f>IF(SER_hh_tes_in!U12=0,"",SER_hh_tes_in!U12/SER_hh_fec_in!U12)</f>
        <v>0.94143610376180387</v>
      </c>
      <c r="V12" s="136">
        <f>IF(SER_hh_tes_in!V12=0,"",SER_hh_tes_in!V12/SER_hh_fec_in!V12)</f>
        <v>0.94586599823688888</v>
      </c>
      <c r="W12" s="136">
        <f>IF(SER_hh_tes_in!W12=0,"",SER_hh_tes_in!W12/SER_hh_fec_in!W12)</f>
        <v>0.94994678488916851</v>
      </c>
      <c r="X12" s="136">
        <f>IF(SER_hh_tes_in!X12=0,"",SER_hh_tes_in!X12/SER_hh_fec_in!X12)</f>
        <v>0.95234174100797897</v>
      </c>
      <c r="Y12" s="136">
        <f>IF(SER_hh_tes_in!Y12=0,"",SER_hh_tes_in!Y12/SER_hh_fec_in!Y12)</f>
        <v>0.95464316326263643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2.1822981038622467</v>
      </c>
      <c r="D13" s="136">
        <f>IF(SER_hh_tes_in!D13=0,"",SER_hh_tes_in!D13/SER_hh_fec_in!D13)</f>
        <v>2.244444541635461</v>
      </c>
      <c r="E13" s="136">
        <f>IF(SER_hh_tes_in!E13=0,"",SER_hh_tes_in!E13/SER_hh_fec_in!E13)</f>
        <v>2.3076372965809946</v>
      </c>
      <c r="F13" s="136">
        <f>IF(SER_hh_tes_in!F13=0,"",SER_hh_tes_in!F13/SER_hh_fec_in!F13)</f>
        <v>2.3712671437106261</v>
      </c>
      <c r="G13" s="136">
        <f>IF(SER_hh_tes_in!G13=0,"",SER_hh_tes_in!G13/SER_hh_fec_in!G13)</f>
        <v>2.435889164980928</v>
      </c>
      <c r="H13" s="136">
        <f>IF(SER_hh_tes_in!H13=0,"",SER_hh_tes_in!H13/SER_hh_fec_in!H13)</f>
        <v>2.5014365847989231</v>
      </c>
      <c r="I13" s="136">
        <f>IF(SER_hh_tes_in!I13=0,"",SER_hh_tes_in!I13/SER_hh_fec_in!I13)</f>
        <v>2.5680473894337332</v>
      </c>
      <c r="J13" s="136">
        <f>IF(SER_hh_tes_in!J13=0,"",SER_hh_tes_in!J13/SER_hh_fec_in!J13)</f>
        <v>2.6362841693189334</v>
      </c>
      <c r="K13" s="136">
        <f>IF(SER_hh_tes_in!K13=0,"",SER_hh_tes_in!K13/SER_hh_fec_in!K13)</f>
        <v>2.7066270141143152</v>
      </c>
      <c r="L13" s="136">
        <f>IF(SER_hh_tes_in!L13=0,"",SER_hh_tes_in!L13/SER_hh_fec_in!L13)</f>
        <v>2.7792075350202277</v>
      </c>
      <c r="M13" s="136">
        <f>IF(SER_hh_tes_in!M13=0,"",SER_hh_tes_in!M13/SER_hh_fec_in!M13)</f>
        <v>2.8679584897944768</v>
      </c>
      <c r="N13" s="136">
        <f>IF(SER_hh_tes_in!N13=0,"",SER_hh_tes_in!N13/SER_hh_fec_in!N13)</f>
        <v>2.9776844410397749</v>
      </c>
      <c r="O13" s="136">
        <f>IF(SER_hh_tes_in!O13=0,"",SER_hh_tes_in!O13/SER_hh_fec_in!O13)</f>
        <v>3.110036014489916</v>
      </c>
      <c r="P13" s="136">
        <f>IF(SER_hh_tes_in!P13=0,"",SER_hh_tes_in!P13/SER_hh_fec_in!P13)</f>
        <v>3.2516679954909669</v>
      </c>
      <c r="Q13" s="136">
        <f>IF(SER_hh_tes_in!Q13=0,"",SER_hh_tes_in!Q13/SER_hh_fec_in!Q13)</f>
        <v>3.3618106581989733</v>
      </c>
      <c r="R13" s="136">
        <f>IF(SER_hh_tes_in!R13=0,"",SER_hh_tes_in!R13/SER_hh_fec_in!R13)</f>
        <v>3.5201004716369511</v>
      </c>
      <c r="S13" s="136">
        <f>IF(SER_hh_tes_in!S13=0,"",SER_hh_tes_in!S13/SER_hh_fec_in!S13)</f>
        <v>3.6226145365041487</v>
      </c>
      <c r="T13" s="136">
        <f>IF(SER_hh_tes_in!T13=0,"",SER_hh_tes_in!T13/SER_hh_fec_in!T13)</f>
        <v>3.6865195197297682</v>
      </c>
      <c r="U13" s="136">
        <f>IF(SER_hh_tes_in!U13=0,"",SER_hh_tes_in!U13/SER_hh_fec_in!U13)</f>
        <v>3.7295094179127557</v>
      </c>
      <c r="V13" s="136">
        <f>IF(SER_hh_tes_in!V13=0,"",SER_hh_tes_in!V13/SER_hh_fec_in!V13)</f>
        <v>3.7690566643526244</v>
      </c>
      <c r="W13" s="136">
        <f>IF(SER_hh_tes_in!W13=0,"",SER_hh_tes_in!W13/SER_hh_fec_in!W13)</f>
        <v>3.8086268136573298</v>
      </c>
      <c r="X13" s="136">
        <f>IF(SER_hh_tes_in!X13=0,"",SER_hh_tes_in!X13/SER_hh_fec_in!X13)</f>
        <v>3.8417882970650368</v>
      </c>
      <c r="Y13" s="136">
        <f>IF(SER_hh_tes_in!Y13=0,"",SER_hh_tes_in!Y13/SER_hh_fec_in!Y13)</f>
        <v>3.8702312631747828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 t="str">
        <f>IF(SER_hh_tes_in!C14=0,"",SER_hh_tes_in!C14/SER_hh_fec_in!C14)</f>
        <v/>
      </c>
      <c r="D14" s="137">
        <f>IF(SER_hh_tes_in!D14=0,"",SER_hh_tes_in!D14/SER_hh_fec_in!D14)</f>
        <v>0.82094154524427576</v>
      </c>
      <c r="E14" s="137">
        <f>IF(SER_hh_tes_in!E14=0,"",SER_hh_tes_in!E14/SER_hh_fec_in!E14)</f>
        <v>0.82384939489850728</v>
      </c>
      <c r="F14" s="137">
        <f>IF(SER_hh_tes_in!F14=0,"",SER_hh_tes_in!F14/SER_hh_fec_in!F14)</f>
        <v>0.82675585389681217</v>
      </c>
      <c r="G14" s="137" t="str">
        <f>IF(SER_hh_tes_in!G14=0,"",SER_hh_tes_in!G14/SER_hh_fec_in!G14)</f>
        <v/>
      </c>
      <c r="H14" s="137" t="str">
        <f>IF(SER_hh_tes_in!H14=0,"",SER_hh_tes_in!H14/SER_hh_fec_in!H14)</f>
        <v/>
      </c>
      <c r="I14" s="137" t="str">
        <f>IF(SER_hh_tes_in!I14=0,"",SER_hh_tes_in!I14/SER_hh_fec_in!I14)</f>
        <v/>
      </c>
      <c r="J14" s="137" t="str">
        <f>IF(SER_hh_tes_in!J14=0,"",SER_hh_tes_in!J14/SER_hh_fec_in!J14)</f>
        <v/>
      </c>
      <c r="K14" s="137">
        <f>IF(SER_hh_tes_in!K14=0,"",SER_hh_tes_in!K14/SER_hh_fec_in!K14)</f>
        <v>0.84115144591793056</v>
      </c>
      <c r="L14" s="137">
        <f>IF(SER_hh_tes_in!L14=0,"",SER_hh_tes_in!L14/SER_hh_fec_in!L14)</f>
        <v>0.84398114176044836</v>
      </c>
      <c r="M14" s="137" t="str">
        <f>IF(SER_hh_tes_in!M14=0,"",SER_hh_tes_in!M14/SER_hh_fec_in!M14)</f>
        <v/>
      </c>
      <c r="N14" s="137">
        <f>IF(SER_hh_tes_in!N14=0,"",SER_hh_tes_in!N14/SER_hh_fec_in!N14)</f>
        <v>0.84782848695310753</v>
      </c>
      <c r="O14" s="137">
        <f>IF(SER_hh_tes_in!O14=0,"",SER_hh_tes_in!O14/SER_hh_fec_in!O14)</f>
        <v>0.84890678625731741</v>
      </c>
      <c r="P14" s="137" t="str">
        <f>IF(SER_hh_tes_in!P14=0,"",SER_hh_tes_in!P14/SER_hh_fec_in!P14)</f>
        <v/>
      </c>
      <c r="Q14" s="137">
        <f>IF(SER_hh_tes_in!Q14=0,"",SER_hh_tes_in!Q14/SER_hh_fec_in!Q14)</f>
        <v>0.8558583718546684</v>
      </c>
      <c r="R14" s="137">
        <f>IF(SER_hh_tes_in!R14=0,"",SER_hh_tes_in!R14/SER_hh_fec_in!R14)</f>
        <v>0.86818458636658558</v>
      </c>
      <c r="S14" s="137">
        <f>IF(SER_hh_tes_in!S14=0,"",SER_hh_tes_in!S14/SER_hh_fec_in!S14)</f>
        <v>0.88479037434104502</v>
      </c>
      <c r="T14" s="137">
        <f>IF(SER_hh_tes_in!T14=0,"",SER_hh_tes_in!T14/SER_hh_fec_in!T14)</f>
        <v>0.90339391087450083</v>
      </c>
      <c r="U14" s="137">
        <f>IF(SER_hh_tes_in!U14=0,"",SER_hh_tes_in!U14/SER_hh_fec_in!U14)</f>
        <v>0.92173430912932086</v>
      </c>
      <c r="V14" s="137">
        <f>IF(SER_hh_tes_in!V14=0,"",SER_hh_tes_in!V14/SER_hh_fec_in!V14)</f>
        <v>0.93754845613533477</v>
      </c>
      <c r="W14" s="137" t="str">
        <f>IF(SER_hh_tes_in!W14=0,"",SER_hh_tes_in!W14/SER_hh_fec_in!W14)</f>
        <v/>
      </c>
      <c r="X14" s="137" t="str">
        <f>IF(SER_hh_tes_in!X14=0,"",SER_hh_tes_in!X14/SER_hh_fec_in!X14)</f>
        <v/>
      </c>
      <c r="Y14" s="137" t="str">
        <f>IF(SER_hh_tes_in!Y14=0,"",SER_hh_tes_in!Y14/SER_hh_fec_in!Y14)</f>
        <v/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2.4294936487385521</v>
      </c>
      <c r="D16" s="135">
        <f>IF(SER_hh_tes_in!D16=0,"",SER_hh_tes_in!D16/SER_hh_fec_in!D16)</f>
        <v>2.5360360918971949</v>
      </c>
      <c r="E16" s="135">
        <f>IF(SER_hh_tes_in!E16=0,"",SER_hh_tes_in!E16/SER_hh_fec_in!E16)</f>
        <v>2.6445401077926047</v>
      </c>
      <c r="F16" s="135">
        <f>IF(SER_hh_tes_in!F16=0,"",SER_hh_tes_in!F16/SER_hh_fec_in!F16)</f>
        <v>2.7508451803761198</v>
      </c>
      <c r="G16" s="135">
        <f>IF(SER_hh_tes_in!G16=0,"",SER_hh_tes_in!G16/SER_hh_fec_in!G16)</f>
        <v>2.8622631404828458</v>
      </c>
      <c r="H16" s="135">
        <f>IF(SER_hh_tes_in!H16=0,"",SER_hh_tes_in!H16/SER_hh_fec_in!H16)</f>
        <v>2.9757534101915319</v>
      </c>
      <c r="I16" s="135">
        <f>IF(SER_hh_tes_in!I16=0,"",SER_hh_tes_in!I16/SER_hh_fec_in!I16)</f>
        <v>3.0835052464279791</v>
      </c>
      <c r="J16" s="135">
        <f>IF(SER_hh_tes_in!J16=0,"",SER_hh_tes_in!J16/SER_hh_fec_in!J16)</f>
        <v>3.2009730958693452</v>
      </c>
      <c r="K16" s="135">
        <f>IF(SER_hh_tes_in!K16=0,"",SER_hh_tes_in!K16/SER_hh_fec_in!K16)</f>
        <v>3.3161721717462944</v>
      </c>
      <c r="L16" s="135">
        <f>IF(SER_hh_tes_in!L16=0,"",SER_hh_tes_in!L16/SER_hh_fec_in!L16)</f>
        <v>3.4371477001358777</v>
      </c>
      <c r="M16" s="135">
        <f>IF(SER_hh_tes_in!M16=0,"",SER_hh_tes_in!M16/SER_hh_fec_in!M16)</f>
        <v>3.5734595242289489</v>
      </c>
      <c r="N16" s="135">
        <f>IF(SER_hh_tes_in!N16=0,"",SER_hh_tes_in!N16/SER_hh_fec_in!N16)</f>
        <v>3.7350854130928273</v>
      </c>
      <c r="O16" s="135">
        <f>IF(SER_hh_tes_in!O16=0,"",SER_hh_tes_in!O16/SER_hh_fec_in!O16)</f>
        <v>3.911264024215916</v>
      </c>
      <c r="P16" s="135">
        <f>IF(SER_hh_tes_in!P16=0,"",SER_hh_tes_in!P16/SER_hh_fec_in!P16)</f>
        <v>4.0702060781421414</v>
      </c>
      <c r="Q16" s="135">
        <f>IF(SER_hh_tes_in!Q16=0,"",SER_hh_tes_in!Q16/SER_hh_fec_in!Q16)</f>
        <v>4.1979330410329068</v>
      </c>
      <c r="R16" s="135">
        <f>IF(SER_hh_tes_in!R16=0,"",SER_hh_tes_in!R16/SER_hh_fec_in!R16)</f>
        <v>4.3509735911362935</v>
      </c>
      <c r="S16" s="135">
        <f>IF(SER_hh_tes_in!S16=0,"",SER_hh_tes_in!S16/SER_hh_fec_in!S16)</f>
        <v>4.3915387098393701</v>
      </c>
      <c r="T16" s="135">
        <f>IF(SER_hh_tes_in!T16=0,"",SER_hh_tes_in!T16/SER_hh_fec_in!T16)</f>
        <v>4.4161935652029998</v>
      </c>
      <c r="U16" s="135">
        <f>IF(SER_hh_tes_in!U16=0,"",SER_hh_tes_in!U16/SER_hh_fec_in!U16)</f>
        <v>4.4621535149870679</v>
      </c>
      <c r="V16" s="135">
        <f>IF(SER_hh_tes_in!V16=0,"",SER_hh_tes_in!V16/SER_hh_fec_in!V16)</f>
        <v>4.523161954583121</v>
      </c>
      <c r="W16" s="135">
        <f>IF(SER_hh_tes_in!W16=0,"",SER_hh_tes_in!W16/SER_hh_fec_in!W16)</f>
        <v>4.5498791332891342</v>
      </c>
      <c r="X16" s="135">
        <f>IF(SER_hh_tes_in!X16=0,"",SER_hh_tes_in!X16/SER_hh_fec_in!X16)</f>
        <v>4.5737935803121408</v>
      </c>
      <c r="Y16" s="135">
        <f>IF(SER_hh_tes_in!Y16=0,"",SER_hh_tes_in!Y16/SER_hh_fec_in!Y16)</f>
        <v>4.5778162965932268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1.2060618810257631</v>
      </c>
      <c r="D17" s="136">
        <f>IF(SER_hh_tes_in!D17=0,"",SER_hh_tes_in!D17/SER_hh_fec_in!D17)</f>
        <v>1.2263617813480951</v>
      </c>
      <c r="E17" s="136">
        <f>IF(SER_hh_tes_in!E17=0,"",SER_hh_tes_in!E17/SER_hh_fec_in!E17)</f>
        <v>1.2463224519261435</v>
      </c>
      <c r="F17" s="136">
        <f>IF(SER_hh_tes_in!F17=0,"",SER_hh_tes_in!F17/SER_hh_fec_in!F17)</f>
        <v>1.2658043745435761</v>
      </c>
      <c r="G17" s="136">
        <f>IF(SER_hh_tes_in!G17=0,"",SER_hh_tes_in!G17/SER_hh_fec_in!G17)</f>
        <v>1.2849845510092417</v>
      </c>
      <c r="H17" s="136">
        <f>IF(SER_hh_tes_in!H17=0,"",SER_hh_tes_in!H17/SER_hh_fec_in!H17)</f>
        <v>1.3038684175530255</v>
      </c>
      <c r="I17" s="136">
        <f>IF(SER_hh_tes_in!I17=0,"",SER_hh_tes_in!I17/SER_hh_fec_in!I17)</f>
        <v>1.3225091590190818</v>
      </c>
      <c r="J17" s="136">
        <f>IF(SER_hh_tes_in!J17=0,"",SER_hh_tes_in!J17/SER_hh_fec_in!J17)</f>
        <v>1.3410542459707464</v>
      </c>
      <c r="K17" s="136">
        <f>IF(SER_hh_tes_in!K17=0,"",SER_hh_tes_in!K17/SER_hh_fec_in!K17)</f>
        <v>1.3596210567116944</v>
      </c>
      <c r="L17" s="136">
        <f>IF(SER_hh_tes_in!L17=0,"",SER_hh_tes_in!L17/SER_hh_fec_in!L17)</f>
        <v>1.3782394214817064</v>
      </c>
      <c r="M17" s="136">
        <f>IF(SER_hh_tes_in!M17=0,"",SER_hh_tes_in!M17/SER_hh_fec_in!M17)</f>
        <v>1.3998532023733261</v>
      </c>
      <c r="N17" s="136">
        <f>IF(SER_hh_tes_in!N17=0,"",SER_hh_tes_in!N17/SER_hh_fec_in!N17)</f>
        <v>1.4244768439311966</v>
      </c>
      <c r="O17" s="136">
        <f>IF(SER_hh_tes_in!O17=0,"",SER_hh_tes_in!O17/SER_hh_fec_in!O17)</f>
        <v>1.4516086583240961</v>
      </c>
      <c r="P17" s="136">
        <f>IF(SER_hh_tes_in!P17=0,"",SER_hh_tes_in!P17/SER_hh_fec_in!P17)</f>
        <v>1.478449038063739</v>
      </c>
      <c r="Q17" s="136">
        <f>IF(SER_hh_tes_in!Q17=0,"",SER_hh_tes_in!Q17/SER_hh_fec_in!Q17)</f>
        <v>1.4986923613000147</v>
      </c>
      <c r="R17" s="136">
        <f>IF(SER_hh_tes_in!R17=0,"",SER_hh_tes_in!R17/SER_hh_fec_in!R17)</f>
        <v>1.5233008338419525</v>
      </c>
      <c r="S17" s="136">
        <f>IF(SER_hh_tes_in!S17=0,"",SER_hh_tes_in!S17/SER_hh_fec_in!S17)</f>
        <v>1.5537980418546777</v>
      </c>
      <c r="T17" s="136">
        <f>IF(SER_hh_tes_in!T17=0,"",SER_hh_tes_in!T17/SER_hh_fec_in!T17)</f>
        <v>1.5863076299665717</v>
      </c>
      <c r="U17" s="136">
        <f>IF(SER_hh_tes_in!U17=0,"",SER_hh_tes_in!U17/SER_hh_fec_in!U17)</f>
        <v>1.6160436228182786</v>
      </c>
      <c r="V17" s="136">
        <f>IF(SER_hh_tes_in!V17=0,"",SER_hh_tes_in!V17/SER_hh_fec_in!V17)</f>
        <v>1.6429967747525758</v>
      </c>
      <c r="W17" s="136">
        <f>IF(SER_hh_tes_in!W17=0,"",SER_hh_tes_in!W17/SER_hh_fec_in!W17)</f>
        <v>1.6638638759117639</v>
      </c>
      <c r="X17" s="136">
        <f>IF(SER_hh_tes_in!X17=0,"",SER_hh_tes_in!X17/SER_hh_fec_in!X17)</f>
        <v>1.6718465239940852</v>
      </c>
      <c r="Y17" s="136">
        <f>IF(SER_hh_tes_in!Y17=0,"",SER_hh_tes_in!Y17/SER_hh_fec_in!Y17)</f>
        <v>1.6731442466740705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2.4302611004928116</v>
      </c>
      <c r="D18" s="136">
        <f>IF(SER_hh_tes_in!D18=0,"",SER_hh_tes_in!D18/SER_hh_fec_in!D18)</f>
        <v>2.5369456794464402</v>
      </c>
      <c r="E18" s="136">
        <f>IF(SER_hh_tes_in!E18=0,"",SER_hh_tes_in!E18/SER_hh_fec_in!E18)</f>
        <v>2.645229665382403</v>
      </c>
      <c r="F18" s="136">
        <f>IF(SER_hh_tes_in!F18=0,"",SER_hh_tes_in!F18/SER_hh_fec_in!F18)</f>
        <v>2.7543833405288036</v>
      </c>
      <c r="G18" s="136">
        <f>IF(SER_hh_tes_in!G18=0,"",SER_hh_tes_in!G18/SER_hh_fec_in!G18)</f>
        <v>2.8650390675616717</v>
      </c>
      <c r="H18" s="136">
        <f>IF(SER_hh_tes_in!H18=0,"",SER_hh_tes_in!H18/SER_hh_fec_in!H18)</f>
        <v>2.9770974633419458</v>
      </c>
      <c r="I18" s="136">
        <f>IF(SER_hh_tes_in!I18=0,"",SER_hh_tes_in!I18/SER_hh_fec_in!I18)</f>
        <v>3.0906910831060701</v>
      </c>
      <c r="J18" s="136">
        <f>IF(SER_hh_tes_in!J18=0,"",SER_hh_tes_in!J18/SER_hh_fec_in!J18)</f>
        <v>3.2064140294578989</v>
      </c>
      <c r="K18" s="136">
        <f>IF(SER_hh_tes_in!K18=0,"",SER_hh_tes_in!K18/SER_hh_fec_in!K18)</f>
        <v>3.3247368811958475</v>
      </c>
      <c r="L18" s="136">
        <f>IF(SER_hh_tes_in!L18=0,"",SER_hh_tes_in!L18/SER_hh_fec_in!L18)</f>
        <v>3.4457220421332475</v>
      </c>
      <c r="M18" s="136">
        <f>IF(SER_hh_tes_in!M18=0,"",SER_hh_tes_in!M18/SER_hh_fec_in!M18)</f>
        <v>3.5843621187699686</v>
      </c>
      <c r="N18" s="136">
        <f>IF(SER_hh_tes_in!N18=0,"",SER_hh_tes_in!N18/SER_hh_fec_in!N18)</f>
        <v>3.7451077276635445</v>
      </c>
      <c r="O18" s="136">
        <f>IF(SER_hh_tes_in!O18=0,"",SER_hh_tes_in!O18/SER_hh_fec_in!O18)</f>
        <v>3.9276721145464872</v>
      </c>
      <c r="P18" s="136">
        <f>IF(SER_hh_tes_in!P18=0,"",SER_hh_tes_in!P18/SER_hh_fec_in!P18)</f>
        <v>4.1142881127083859</v>
      </c>
      <c r="Q18" s="136">
        <f>IF(SER_hh_tes_in!Q18=0,"",SER_hh_tes_in!Q18/SER_hh_fec_in!Q18)</f>
        <v>4.2575130300642714</v>
      </c>
      <c r="R18" s="136">
        <f>IF(SER_hh_tes_in!R18=0,"",SER_hh_tes_in!R18/SER_hh_fec_in!R18)</f>
        <v>4.3878251921952991</v>
      </c>
      <c r="S18" s="136">
        <f>IF(SER_hh_tes_in!S18=0,"",SER_hh_tes_in!S18/SER_hh_fec_in!S18)</f>
        <v>4.4547789132052023</v>
      </c>
      <c r="T18" s="136">
        <f>IF(SER_hh_tes_in!T18=0,"",SER_hh_tes_in!T18/SER_hh_fec_in!T18)</f>
        <v>4.4978449752818737</v>
      </c>
      <c r="U18" s="136">
        <f>IF(SER_hh_tes_in!U18=0,"",SER_hh_tes_in!U18/SER_hh_fec_in!U18)</f>
        <v>4.5284036444833697</v>
      </c>
      <c r="V18" s="136">
        <f>IF(SER_hh_tes_in!V18=0,"",SER_hh_tes_in!V18/SER_hh_fec_in!V18)</f>
        <v>4.5585301236053981</v>
      </c>
      <c r="W18" s="136">
        <f>IF(SER_hh_tes_in!W18=0,"",SER_hh_tes_in!W18/SER_hh_fec_in!W18)</f>
        <v>4.5891282336585943</v>
      </c>
      <c r="X18" s="136">
        <f>IF(SER_hh_tes_in!X18=0,"",SER_hh_tes_in!X18/SER_hh_fec_in!X18)</f>
        <v>4.6119081505015371</v>
      </c>
      <c r="Y18" s="136">
        <f>IF(SER_hh_tes_in!Y18=0,"",SER_hh_tes_in!Y18/SER_hh_fec_in!Y18)</f>
        <v>4.6317264340246078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0.66468072494357588</v>
      </c>
      <c r="D19" s="135">
        <f>IF(SER_hh_tes_in!D19=0,"",SER_hh_tes_in!D19/SER_hh_fec_in!D19)</f>
        <v>0.70330418609852285</v>
      </c>
      <c r="E19" s="135">
        <f>IF(SER_hh_tes_in!E19=0,"",SER_hh_tes_in!E19/SER_hh_fec_in!E19)</f>
        <v>0.81849131993726787</v>
      </c>
      <c r="F19" s="135">
        <f>IF(SER_hh_tes_in!F19=0,"",SER_hh_tes_in!F19/SER_hh_fec_in!F19)</f>
        <v>0.76172124913080863</v>
      </c>
      <c r="G19" s="135">
        <f>IF(SER_hh_tes_in!G19=0,"",SER_hh_tes_in!G19/SER_hh_fec_in!G19)</f>
        <v>0.71140004647974475</v>
      </c>
      <c r="H19" s="135">
        <f>IF(SER_hh_tes_in!H19=0,"",SER_hh_tes_in!H19/SER_hh_fec_in!H19)</f>
        <v>0.68952778260967562</v>
      </c>
      <c r="I19" s="135">
        <f>IF(SER_hh_tes_in!I19=0,"",SER_hh_tes_in!I19/SER_hh_fec_in!I19)</f>
        <v>0.71038370930615025</v>
      </c>
      <c r="J19" s="135">
        <f>IF(SER_hh_tes_in!J19=0,"",SER_hh_tes_in!J19/SER_hh_fec_in!J19)</f>
        <v>0.71393915738413338</v>
      </c>
      <c r="K19" s="135">
        <f>IF(SER_hh_tes_in!K19=0,"",SER_hh_tes_in!K19/SER_hh_fec_in!K19)</f>
        <v>0.7620986859718859</v>
      </c>
      <c r="L19" s="135">
        <f>IF(SER_hh_tes_in!L19=0,"",SER_hh_tes_in!L19/SER_hh_fec_in!L19)</f>
        <v>0.73292763546793105</v>
      </c>
      <c r="M19" s="135">
        <f>IF(SER_hh_tes_in!M19=0,"",SER_hh_tes_in!M19/SER_hh_fec_in!M19)</f>
        <v>0.77082405337184101</v>
      </c>
      <c r="N19" s="135">
        <f>IF(SER_hh_tes_in!N19=0,"",SER_hh_tes_in!N19/SER_hh_fec_in!N19)</f>
        <v>0.74564317322555385</v>
      </c>
      <c r="O19" s="135">
        <f>IF(SER_hh_tes_in!O19=0,"",SER_hh_tes_in!O19/SER_hh_fec_in!O19)</f>
        <v>0.77802132246294986</v>
      </c>
      <c r="P19" s="135">
        <f>IF(SER_hh_tes_in!P19=0,"",SER_hh_tes_in!P19/SER_hh_fec_in!P19)</f>
        <v>0.79616632504658613</v>
      </c>
      <c r="Q19" s="135">
        <f>IF(SER_hh_tes_in!Q19=0,"",SER_hh_tes_in!Q19/SER_hh_fec_in!Q19)</f>
        <v>0.82887725253872435</v>
      </c>
      <c r="R19" s="135">
        <f>IF(SER_hh_tes_in!R19=0,"",SER_hh_tes_in!R19/SER_hh_fec_in!R19)</f>
        <v>0.85134596667484808</v>
      </c>
      <c r="S19" s="135">
        <f>IF(SER_hh_tes_in!S19=0,"",SER_hh_tes_in!S19/SER_hh_fec_in!S19)</f>
        <v>0.87735707688230646</v>
      </c>
      <c r="T19" s="135">
        <f>IF(SER_hh_tes_in!T19=0,"",SER_hh_tes_in!T19/SER_hh_fec_in!T19)</f>
        <v>0.88514787996308653</v>
      </c>
      <c r="U19" s="135">
        <f>IF(SER_hh_tes_in!U19=0,"",SER_hh_tes_in!U19/SER_hh_fec_in!U19)</f>
        <v>0.89952063861724452</v>
      </c>
      <c r="V19" s="135">
        <f>IF(SER_hh_tes_in!V19=0,"",SER_hh_tes_in!V19/SER_hh_fec_in!V19)</f>
        <v>0.90905507216012416</v>
      </c>
      <c r="W19" s="135">
        <f>IF(SER_hh_tes_in!W19=0,"",SER_hh_tes_in!W19/SER_hh_fec_in!W19)</f>
        <v>0.89737896621816593</v>
      </c>
      <c r="X19" s="135">
        <f>IF(SER_hh_tes_in!X19=0,"",SER_hh_tes_in!X19/SER_hh_fec_in!X19)</f>
        <v>0.9164158062909229</v>
      </c>
      <c r="Y19" s="135">
        <f>IF(SER_hh_tes_in!Y19=0,"",SER_hh_tes_in!Y19/SER_hh_fec_in!Y19)</f>
        <v>0.89386058390905743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>
        <f>IF(SER_hh_tes_in!C21=0,"",SER_hh_tes_in!C21/SER_hh_fec_in!C21)</f>
        <v>0.64462248215511198</v>
      </c>
      <c r="D21" s="136">
        <f>IF(SER_hh_tes_in!D21=0,"",SER_hh_tes_in!D21/SER_hh_fec_in!D21)</f>
        <v>0.6465440185416409</v>
      </c>
      <c r="E21" s="136">
        <f>IF(SER_hh_tes_in!E21=0,"",SER_hh_tes_in!E21/SER_hh_fec_in!E21)</f>
        <v>0.64873265699074667</v>
      </c>
      <c r="F21" s="136">
        <f>IF(SER_hh_tes_in!F21=0,"",SER_hh_tes_in!F21/SER_hh_fec_in!F21)</f>
        <v>0.65095771844838579</v>
      </c>
      <c r="G21" s="136">
        <f>IF(SER_hh_tes_in!G21=0,"",SER_hh_tes_in!G21/SER_hh_fec_in!G21)</f>
        <v>0.65342876519497017</v>
      </c>
      <c r="H21" s="136">
        <f>IF(SER_hh_tes_in!H21=0,"",SER_hh_tes_in!H21/SER_hh_fec_in!H21)</f>
        <v>0.65612014947525477</v>
      </c>
      <c r="I21" s="136">
        <f>IF(SER_hh_tes_in!I21=0,"",SER_hh_tes_in!I21/SER_hh_fec_in!I21)</f>
        <v>0.65908350744125643</v>
      </c>
      <c r="J21" s="136">
        <f>IF(SER_hh_tes_in!J21=0,"",SER_hh_tes_in!J21/SER_hh_fec_in!J21)</f>
        <v>0.662530374181867</v>
      </c>
      <c r="K21" s="136">
        <f>IF(SER_hh_tes_in!K21=0,"",SER_hh_tes_in!K21/SER_hh_fec_in!K21)</f>
        <v>0.6666406101629907</v>
      </c>
      <c r="L21" s="136">
        <f>IF(SER_hh_tes_in!L21=0,"",SER_hh_tes_in!L21/SER_hh_fec_in!L21)</f>
        <v>0.67146233543316203</v>
      </c>
      <c r="M21" s="136">
        <f>IF(SER_hh_tes_in!M21=0,"",SER_hh_tes_in!M21/SER_hh_fec_in!M21)</f>
        <v>0.6812917281340708</v>
      </c>
      <c r="N21" s="136">
        <f>IF(SER_hh_tes_in!N21=0,"",SER_hh_tes_in!N21/SER_hh_fec_in!N21)</f>
        <v>0.69749437787270785</v>
      </c>
      <c r="O21" s="136">
        <f>IF(SER_hh_tes_in!O21=0,"",SER_hh_tes_in!O21/SER_hh_fec_in!O21)</f>
        <v>0.72118169514732611</v>
      </c>
      <c r="P21" s="136">
        <f>IF(SER_hh_tes_in!P21=0,"",SER_hh_tes_in!P21/SER_hh_fec_in!P21)</f>
        <v>0.74990512266694709</v>
      </c>
      <c r="Q21" s="136">
        <f>IF(SER_hh_tes_in!Q21=0,"",SER_hh_tes_in!Q21/SER_hh_fec_in!Q21)</f>
        <v>0.77576659329476105</v>
      </c>
      <c r="R21" s="136">
        <f>IF(SER_hh_tes_in!R21=0,"",SER_hh_tes_in!R21/SER_hh_fec_in!R21)</f>
        <v>0.79254494475514981</v>
      </c>
      <c r="S21" s="136">
        <f>IF(SER_hh_tes_in!S21=0,"",SER_hh_tes_in!S21/SER_hh_fec_in!S21)</f>
        <v>0.80816718902677775</v>
      </c>
      <c r="T21" s="136">
        <f>IF(SER_hh_tes_in!T21=0,"",SER_hh_tes_in!T21/SER_hh_fec_in!T21)</f>
        <v>0.82217269220042255</v>
      </c>
      <c r="U21" s="136">
        <f>IF(SER_hh_tes_in!U21=0,"",SER_hh_tes_in!U21/SER_hh_fec_in!U21)</f>
        <v>0.83410082036690958</v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0.60783390562042627</v>
      </c>
      <c r="D22" s="136" t="str">
        <f>IF(SER_hh_tes_in!D22=0,"",SER_hh_tes_in!D22/SER_hh_fec_in!D22)</f>
        <v/>
      </c>
      <c r="E22" s="136">
        <f>IF(SER_hh_tes_in!E22=0,"",SER_hh_tes_in!E22/SER_hh_fec_in!E22)</f>
        <v>0.61245357504254716</v>
      </c>
      <c r="F22" s="136">
        <f>IF(SER_hh_tes_in!F22=0,"",SER_hh_tes_in!F22/SER_hh_fec_in!F22)</f>
        <v>0.61495445366432211</v>
      </c>
      <c r="G22" s="136">
        <f>IF(SER_hh_tes_in!G22=0,"",SER_hh_tes_in!G22/SER_hh_fec_in!G22)</f>
        <v>0.61773180975070019</v>
      </c>
      <c r="H22" s="136">
        <f>IF(SER_hh_tes_in!H22=0,"",SER_hh_tes_in!H22/SER_hh_fec_in!H22)</f>
        <v>0.62075681626745771</v>
      </c>
      <c r="I22" s="136">
        <f>IF(SER_hh_tes_in!I22=0,"",SER_hh_tes_in!I22/SER_hh_fec_in!I22)</f>
        <v>0.62408751015026964</v>
      </c>
      <c r="J22" s="136">
        <f>IF(SER_hh_tes_in!J22=0,"",SER_hh_tes_in!J22/SER_hh_fec_in!J22)</f>
        <v>0.62796164823940204</v>
      </c>
      <c r="K22" s="136">
        <f>IF(SER_hh_tes_in!K22=0,"",SER_hh_tes_in!K22/SER_hh_fec_in!K22)</f>
        <v>0.63258138638656702</v>
      </c>
      <c r="L22" s="136">
        <f>IF(SER_hh_tes_in!L22=0,"",SER_hh_tes_in!L22/SER_hh_fec_in!L22)</f>
        <v>0.63800080957006733</v>
      </c>
      <c r="M22" s="136">
        <f>IF(SER_hh_tes_in!M22=0,"",SER_hh_tes_in!M22/SER_hh_fec_in!M22)</f>
        <v>0.64904864736633894</v>
      </c>
      <c r="N22" s="136">
        <f>IF(SER_hh_tes_in!N22=0,"",SER_hh_tes_in!N22/SER_hh_fec_in!N22)</f>
        <v>0.66725976697759504</v>
      </c>
      <c r="O22" s="136">
        <f>IF(SER_hh_tes_in!O22=0,"",SER_hh_tes_in!O22/SER_hh_fec_in!O22)</f>
        <v>0.69388334862110856</v>
      </c>
      <c r="P22" s="136">
        <f>IF(SER_hh_tes_in!P22=0,"",SER_hh_tes_in!P22/SER_hh_fec_in!P22)</f>
        <v>0.72616731344432572</v>
      </c>
      <c r="Q22" s="136">
        <f>IF(SER_hh_tes_in!Q22=0,"",SER_hh_tes_in!Q22/SER_hh_fec_in!Q22)</f>
        <v>0.75523455506981385</v>
      </c>
      <c r="R22" s="136">
        <f>IF(SER_hh_tes_in!R22=0,"",SER_hh_tes_in!R22/SER_hh_fec_in!R22)</f>
        <v>0.77409274001200967</v>
      </c>
      <c r="S22" s="136" t="str">
        <f>IF(SER_hh_tes_in!S22=0,"",SER_hh_tes_in!S22/SER_hh_fec_in!S22)</f>
        <v/>
      </c>
      <c r="T22" s="136" t="str">
        <f>IF(SER_hh_tes_in!T22=0,"",SER_hh_tes_in!T22/SER_hh_fec_in!T22)</f>
        <v/>
      </c>
      <c r="U22" s="136" t="str">
        <f>IF(SER_hh_tes_in!U22=0,"",SER_hh_tes_in!U22/SER_hh_fec_in!U22)</f>
        <v/>
      </c>
      <c r="V22" s="136" t="str">
        <f>IF(SER_hh_tes_in!V22=0,"",SER_hh_tes_in!V22/SER_hh_fec_in!V22)</f>
        <v/>
      </c>
      <c r="W22" s="136">
        <f>IF(SER_hh_tes_in!W22=0,"",SER_hh_tes_in!W22/SER_hh_fec_in!W22)</f>
        <v>0.83784108386262801</v>
      </c>
      <c r="X22" s="136">
        <f>IF(SER_hh_tes_in!X22=0,"",SER_hh_tes_in!X22/SER_hh_fec_in!X22)</f>
        <v>0.84079329966729865</v>
      </c>
      <c r="Y22" s="136">
        <f>IF(SER_hh_tes_in!Y22=0,"",SER_hh_tes_in!Y22/SER_hh_fec_in!Y22)</f>
        <v>0.84228822949368498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0.65853260404577019</v>
      </c>
      <c r="D23" s="136">
        <f>IF(SER_hh_tes_in!D23=0,"",SER_hh_tes_in!D23/SER_hh_fec_in!D23)</f>
        <v>0.66422900833138698</v>
      </c>
      <c r="E23" s="136" t="str">
        <f>IF(SER_hh_tes_in!E23=0,"",SER_hh_tes_in!E23/SER_hh_fec_in!E23)</f>
        <v/>
      </c>
      <c r="F23" s="136">
        <f>IF(SER_hh_tes_in!F23=0,"",SER_hh_tes_in!F23/SER_hh_fec_in!F23)</f>
        <v>0.67618371806640631</v>
      </c>
      <c r="G23" s="136">
        <f>IF(SER_hh_tes_in!G23=0,"",SER_hh_tes_in!G23/SER_hh_fec_in!G23)</f>
        <v>0.68241978063935904</v>
      </c>
      <c r="H23" s="136">
        <f>IF(SER_hh_tes_in!H23=0,"",SER_hh_tes_in!H23/SER_hh_fec_in!H23)</f>
        <v>0.68886640226937279</v>
      </c>
      <c r="I23" s="136">
        <f>IF(SER_hh_tes_in!I23=0,"",SER_hh_tes_in!I23/SER_hh_fec_in!I23)</f>
        <v>0.69556835577978615</v>
      </c>
      <c r="J23" s="136">
        <f>IF(SER_hh_tes_in!J23=0,"",SER_hh_tes_in!J23/SER_hh_fec_in!J23)</f>
        <v>0.70271362572029872</v>
      </c>
      <c r="K23" s="136">
        <f>IF(SER_hh_tes_in!K23=0,"",SER_hh_tes_in!K23/SER_hh_fec_in!K23)</f>
        <v>0.7104594014109834</v>
      </c>
      <c r="L23" s="136">
        <f>IF(SER_hh_tes_in!L23=0,"",SER_hh_tes_in!L23/SER_hh_fec_in!L23)</f>
        <v>0.71884303053772303</v>
      </c>
      <c r="M23" s="136">
        <f>IF(SER_hh_tes_in!M23=0,"",SER_hh_tes_in!M23/SER_hh_fec_in!M23)</f>
        <v>0.73177748527215269</v>
      </c>
      <c r="N23" s="136">
        <f>IF(SER_hh_tes_in!N23=0,"",SER_hh_tes_in!N23/SER_hh_fec_in!N23)</f>
        <v>0.75047095336155356</v>
      </c>
      <c r="O23" s="136">
        <f>IF(SER_hh_tes_in!O23=0,"",SER_hh_tes_in!O23/SER_hh_fec_in!O23)</f>
        <v>0.77578576626398466</v>
      </c>
      <c r="P23" s="136">
        <f>IF(SER_hh_tes_in!P23=0,"",SER_hh_tes_in!P23/SER_hh_fec_in!P23)</f>
        <v>0.80522016751956549</v>
      </c>
      <c r="Q23" s="136">
        <f>IF(SER_hh_tes_in!Q23=0,"",SER_hh_tes_in!Q23/SER_hh_fec_in!Q23)</f>
        <v>0.83099070991266599</v>
      </c>
      <c r="R23" s="136">
        <f>IF(SER_hh_tes_in!R23=0,"",SER_hh_tes_in!R23/SER_hh_fec_in!R23)</f>
        <v>0.84674355155249026</v>
      </c>
      <c r="S23" s="136">
        <f>IF(SER_hh_tes_in!S23=0,"",SER_hh_tes_in!S23/SER_hh_fec_in!S23)</f>
        <v>0.86015887716228867</v>
      </c>
      <c r="T23" s="136">
        <f>IF(SER_hh_tes_in!T23=0,"",SER_hh_tes_in!T23/SER_hh_fec_in!T23)</f>
        <v>0.87144725835995984</v>
      </c>
      <c r="U23" s="136">
        <f>IF(SER_hh_tes_in!U23=0,"",SER_hh_tes_in!U23/SER_hh_fec_in!U23)</f>
        <v>0.88080921696833137</v>
      </c>
      <c r="V23" s="136">
        <f>IF(SER_hh_tes_in!V23=0,"",SER_hh_tes_in!V23/SER_hh_fec_in!V23)</f>
        <v>0.88842062383811171</v>
      </c>
      <c r="W23" s="136">
        <f>IF(SER_hh_tes_in!W23=0,"",SER_hh_tes_in!W23/SER_hh_fec_in!W23)</f>
        <v>0.89345789713055435</v>
      </c>
      <c r="X23" s="136">
        <f>IF(SER_hh_tes_in!X23=0,"",SER_hh_tes_in!X23/SER_hh_fec_in!X23)</f>
        <v>0.89522783278293894</v>
      </c>
      <c r="Y23" s="136">
        <f>IF(SER_hh_tes_in!Y23=0,"",SER_hh_tes_in!Y23/SER_hh_fec_in!Y23)</f>
        <v>0.89626559587874655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 t="str">
        <f>IF(SER_hh_tes_in!C25=0,"",SER_hh_tes_in!C25/SER_hh_fec_in!C25)</f>
        <v/>
      </c>
      <c r="D25" s="136" t="str">
        <f>IF(SER_hh_tes_in!D25=0,"",SER_hh_tes_in!D25/SER_hh_fec_in!D25)</f>
        <v/>
      </c>
      <c r="E25" s="136">
        <f>IF(SER_hh_tes_in!E25=0,"",SER_hh_tes_in!E25/SER_hh_fec_in!E25)</f>
        <v>0.89653344881179031</v>
      </c>
      <c r="F25" s="136">
        <f>IF(SER_hh_tes_in!F25=0,"",SER_hh_tes_in!F25/SER_hh_fec_in!F25)</f>
        <v>0.89814343560714804</v>
      </c>
      <c r="G25" s="136">
        <f>IF(SER_hh_tes_in!G25=0,"",SER_hh_tes_in!G25/SER_hh_fec_in!G25)</f>
        <v>0.89979226002531676</v>
      </c>
      <c r="H25" s="136">
        <f>IF(SER_hh_tes_in!H25=0,"",SER_hh_tes_in!H25/SER_hh_fec_in!H25)</f>
        <v>0.90147587264590934</v>
      </c>
      <c r="I25" s="136">
        <f>IF(SER_hh_tes_in!I25=0,"",SER_hh_tes_in!I25/SER_hh_fec_in!I25)</f>
        <v>0.90320242609221435</v>
      </c>
      <c r="J25" s="136">
        <f>IF(SER_hh_tes_in!J25=0,"",SER_hh_tes_in!J25/SER_hh_fec_in!J25)</f>
        <v>0.90500531878423085</v>
      </c>
      <c r="K25" s="136">
        <f>IF(SER_hh_tes_in!K25=0,"",SER_hh_tes_in!K25/SER_hh_fec_in!K25)</f>
        <v>0.90691294816378698</v>
      </c>
      <c r="L25" s="136">
        <f>IF(SER_hh_tes_in!L25=0,"",SER_hh_tes_in!L25/SER_hh_fec_in!L25)</f>
        <v>0.9089329117108077</v>
      </c>
      <c r="M25" s="136">
        <f>IF(SER_hh_tes_in!M25=0,"",SER_hh_tes_in!M25/SER_hh_fec_in!M25)</f>
        <v>0.91172980341589838</v>
      </c>
      <c r="N25" s="136" t="str">
        <f>IF(SER_hh_tes_in!N25=0,"",SER_hh_tes_in!N25/SER_hh_fec_in!N25)</f>
        <v/>
      </c>
      <c r="O25" s="136" t="str">
        <f>IF(SER_hh_tes_in!O25=0,"",SER_hh_tes_in!O25/SER_hh_fec_in!O25)</f>
        <v/>
      </c>
      <c r="P25" s="136" t="str">
        <f>IF(SER_hh_tes_in!P25=0,"",SER_hh_tes_in!P25/SER_hh_fec_in!P25)</f>
        <v/>
      </c>
      <c r="Q25" s="136" t="str">
        <f>IF(SER_hh_tes_in!Q25=0,"",SER_hh_tes_in!Q25/SER_hh_fec_in!Q25)</f>
        <v/>
      </c>
      <c r="R25" s="136" t="str">
        <f>IF(SER_hh_tes_in!R25=0,"",SER_hh_tes_in!R25/SER_hh_fec_in!R25)</f>
        <v/>
      </c>
      <c r="S25" s="136">
        <f>IF(SER_hh_tes_in!S25=0,"",SER_hh_tes_in!S25/SER_hh_fec_in!S25)</f>
        <v>0.93993263402307969</v>
      </c>
      <c r="T25" s="136">
        <f>IF(SER_hh_tes_in!T25=0,"",SER_hh_tes_in!T25/SER_hh_fec_in!T25)</f>
        <v>0.9438543947340724</v>
      </c>
      <c r="U25" s="136">
        <f>IF(SER_hh_tes_in!U25=0,"",SER_hh_tes_in!U25/SER_hh_fec_in!U25)</f>
        <v>0.94760842525211142</v>
      </c>
      <c r="V25" s="136">
        <f>IF(SER_hh_tes_in!V25=0,"",SER_hh_tes_in!V25/SER_hh_fec_in!V25)</f>
        <v>0.95116758270946145</v>
      </c>
      <c r="W25" s="136">
        <f>IF(SER_hh_tes_in!W25=0,"",SER_hh_tes_in!W25/SER_hh_fec_in!W25)</f>
        <v>0.95444625273806016</v>
      </c>
      <c r="X25" s="136">
        <f>IF(SER_hh_tes_in!X25=0,"",SER_hh_tes_in!X25/SER_hh_fec_in!X25)</f>
        <v>0.95686515841805897</v>
      </c>
      <c r="Y25" s="136">
        <f>IF(SER_hh_tes_in!Y25=0,"",SER_hh_tes_in!Y25/SER_hh_fec_in!Y25)</f>
        <v>0.95918959489526301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0.76567277872971307</v>
      </c>
      <c r="D26" s="137">
        <f>IF(SER_hh_tes_in!D26=0,"",SER_hh_tes_in!D26/SER_hh_fec_in!D26)</f>
        <v>0.76744374730706177</v>
      </c>
      <c r="E26" s="137" t="str">
        <f>IF(SER_hh_tes_in!E26=0,"",SER_hh_tes_in!E26/SER_hh_fec_in!E26)</f>
        <v/>
      </c>
      <c r="F26" s="137" t="str">
        <f>IF(SER_hh_tes_in!F26=0,"",SER_hh_tes_in!F26/SER_hh_fec_in!F26)</f>
        <v/>
      </c>
      <c r="G26" s="137" t="str">
        <f>IF(SER_hh_tes_in!G26=0,"",SER_hh_tes_in!G26/SER_hh_fec_in!G26)</f>
        <v/>
      </c>
      <c r="H26" s="137">
        <f>IF(SER_hh_tes_in!H26=0,"",SER_hh_tes_in!H26/SER_hh_fec_in!H26)</f>
        <v>0.77572159991116474</v>
      </c>
      <c r="I26" s="137">
        <f>IF(SER_hh_tes_in!I26=0,"",SER_hh_tes_in!I26/SER_hh_fec_in!I26)</f>
        <v>0.77815575263936798</v>
      </c>
      <c r="J26" s="137">
        <f>IF(SER_hh_tes_in!J26=0,"",SER_hh_tes_in!J26/SER_hh_fec_in!J26)</f>
        <v>0.78090289227294429</v>
      </c>
      <c r="K26" s="137">
        <f>IF(SER_hh_tes_in!K26=0,"",SER_hh_tes_in!K26/SER_hh_fec_in!K26)</f>
        <v>0.78408470032811783</v>
      </c>
      <c r="L26" s="137">
        <f>IF(SER_hh_tes_in!L26=0,"",SER_hh_tes_in!L26/SER_hh_fec_in!L26)</f>
        <v>0.78774301313330775</v>
      </c>
      <c r="M26" s="137">
        <f>IF(SER_hh_tes_in!M26=0,"",SER_hh_tes_in!M26/SER_hh_fec_in!M26)</f>
        <v>0.7946979063995292</v>
      </c>
      <c r="N26" s="137">
        <f>IF(SER_hh_tes_in!N26=0,"",SER_hh_tes_in!N26/SER_hh_fec_in!N26)</f>
        <v>0.80616589902380886</v>
      </c>
      <c r="O26" s="137">
        <f>IF(SER_hh_tes_in!O26=0,"",SER_hh_tes_in!O26/SER_hh_fec_in!O26)</f>
        <v>0.82365309703770606</v>
      </c>
      <c r="P26" s="137">
        <f>IF(SER_hh_tes_in!P26=0,"",SER_hh_tes_in!P26/SER_hh_fec_in!P26)</f>
        <v>0.84633042740036046</v>
      </c>
      <c r="Q26" s="137">
        <f>IF(SER_hh_tes_in!Q26=0,"",SER_hh_tes_in!Q26/SER_hh_fec_in!Q26)</f>
        <v>0.86820922638346809</v>
      </c>
      <c r="R26" s="137">
        <f>IF(SER_hh_tes_in!R26=0,"",SER_hh_tes_in!R26/SER_hh_fec_in!R26)</f>
        <v>0.8830154706954253</v>
      </c>
      <c r="S26" s="137">
        <f>IF(SER_hh_tes_in!S26=0,"",SER_hh_tes_in!S26/SER_hh_fec_in!S26)</f>
        <v>0.89736016930138596</v>
      </c>
      <c r="T26" s="137" t="str">
        <f>IF(SER_hh_tes_in!T26=0,"",SER_hh_tes_in!T26/SER_hh_fec_in!T26)</f>
        <v/>
      </c>
      <c r="U26" s="137" t="str">
        <f>IF(SER_hh_tes_in!U26=0,"",SER_hh_tes_in!U26/SER_hh_fec_in!U26)</f>
        <v/>
      </c>
      <c r="V26" s="137" t="str">
        <f>IF(SER_hh_tes_in!V26=0,"",SER_hh_tes_in!V26/SER_hh_fec_in!V26)</f>
        <v/>
      </c>
      <c r="W26" s="137" t="str">
        <f>IF(SER_hh_tes_in!W26=0,"",SER_hh_tes_in!W26/SER_hh_fec_in!W26)</f>
        <v/>
      </c>
      <c r="X26" s="137" t="str">
        <f>IF(SER_hh_tes_in!X26=0,"",SER_hh_tes_in!X26/SER_hh_fec_in!X26)</f>
        <v/>
      </c>
      <c r="Y26" s="137" t="str">
        <f>IF(SER_hh_tes_in!Y26=0,"",SER_hh_tes_in!Y26/SER_hh_fec_in!Y26)</f>
        <v/>
      </c>
      <c r="DA26" s="164" t="s">
        <v>685</v>
      </c>
    </row>
    <row r="27" spans="1:105" ht="12" customHeight="1" x14ac:dyDescent="0.25">
      <c r="A27" s="144" t="s">
        <v>26</v>
      </c>
      <c r="B27" s="148"/>
      <c r="C27" s="148">
        <f>IF(SER_hh_tes_in!C27=0,"",SER_hh_tes_in!C27/SER_hh_fec_in!C27)</f>
        <v>1</v>
      </c>
      <c r="D27" s="148">
        <f>IF(SER_hh_tes_in!D27=0,"",SER_hh_tes_in!D27/SER_hh_fec_in!D27)</f>
        <v>1</v>
      </c>
      <c r="E27" s="148">
        <f>IF(SER_hh_tes_in!E27=0,"",SER_hh_tes_in!E27/SER_hh_fec_in!E27)</f>
        <v>1</v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0.63167510878040645</v>
      </c>
      <c r="D29" s="135">
        <f>IF(SER_hh_tes_in!D29=0,"",SER_hh_tes_in!D29/SER_hh_fec_in!D29)</f>
        <v>0.65889121256171745</v>
      </c>
      <c r="E29" s="135">
        <f>IF(SER_hh_tes_in!E29=0,"",SER_hh_tes_in!E29/SER_hh_fec_in!E29)</f>
        <v>0.65256622081509374</v>
      </c>
      <c r="F29" s="135">
        <f>IF(SER_hh_tes_in!F29=0,"",SER_hh_tes_in!F29/SER_hh_fec_in!F29)</f>
        <v>0.65050957997989167</v>
      </c>
      <c r="G29" s="135">
        <f>IF(SER_hh_tes_in!G29=0,"",SER_hh_tes_in!G29/SER_hh_fec_in!G29)</f>
        <v>0.66353800699837451</v>
      </c>
      <c r="H29" s="135">
        <f>IF(SER_hh_tes_in!H29=0,"",SER_hh_tes_in!H29/SER_hh_fec_in!H29)</f>
        <v>0.64714614155640826</v>
      </c>
      <c r="I29" s="135">
        <f>IF(SER_hh_tes_in!I29=0,"",SER_hh_tes_in!I29/SER_hh_fec_in!I29)</f>
        <v>0.6704611295798274</v>
      </c>
      <c r="J29" s="135">
        <f>IF(SER_hh_tes_in!J29=0,"",SER_hh_tes_in!J29/SER_hh_fec_in!J29)</f>
        <v>0.66860801542651727</v>
      </c>
      <c r="K29" s="135">
        <f>IF(SER_hh_tes_in!K29=0,"",SER_hh_tes_in!K29/SER_hh_fec_in!K29)</f>
        <v>0.69529073768240146</v>
      </c>
      <c r="L29" s="135">
        <f>IF(SER_hh_tes_in!L29=0,"",SER_hh_tes_in!L29/SER_hh_fec_in!L29)</f>
        <v>0.69526223984025326</v>
      </c>
      <c r="M29" s="135">
        <f>IF(SER_hh_tes_in!M29=0,"",SER_hh_tes_in!M29/SER_hh_fec_in!M29)</f>
        <v>0.72312649984074984</v>
      </c>
      <c r="N29" s="135">
        <f>IF(SER_hh_tes_in!N29=0,"",SER_hh_tes_in!N29/SER_hh_fec_in!N29)</f>
        <v>0.64657043596952313</v>
      </c>
      <c r="O29" s="135">
        <f>IF(SER_hh_tes_in!O29=0,"",SER_hh_tes_in!O29/SER_hh_fec_in!O29)</f>
        <v>0.62498756073720796</v>
      </c>
      <c r="P29" s="135">
        <f>IF(SER_hh_tes_in!P29=0,"",SER_hh_tes_in!P29/SER_hh_fec_in!P29)</f>
        <v>0.59679526425951579</v>
      </c>
      <c r="Q29" s="135">
        <f>IF(SER_hh_tes_in!Q29=0,"",SER_hh_tes_in!Q29/SER_hh_fec_in!Q29)</f>
        <v>0.65067564812216094</v>
      </c>
      <c r="R29" s="135">
        <f>IF(SER_hh_tes_in!R29=0,"",SER_hh_tes_in!R29/SER_hh_fec_in!R29)</f>
        <v>0.65850266804083657</v>
      </c>
      <c r="S29" s="135">
        <f>IF(SER_hh_tes_in!S29=0,"",SER_hh_tes_in!S29/SER_hh_fec_in!S29)</f>
        <v>0.65362502222000007</v>
      </c>
      <c r="T29" s="135">
        <f>IF(SER_hh_tes_in!T29=0,"",SER_hh_tes_in!T29/SER_hh_fec_in!T29)</f>
        <v>0.62052254074725088</v>
      </c>
      <c r="U29" s="135">
        <f>IF(SER_hh_tes_in!U29=0,"",SER_hh_tes_in!U29/SER_hh_fec_in!U29)</f>
        <v>0.65052286464288767</v>
      </c>
      <c r="V29" s="135">
        <f>IF(SER_hh_tes_in!V29=0,"",SER_hh_tes_in!V29/SER_hh_fec_in!V29)</f>
        <v>0.67880283687432452</v>
      </c>
      <c r="W29" s="135">
        <f>IF(SER_hh_tes_in!W29=0,"",SER_hh_tes_in!W29/SER_hh_fec_in!W29)</f>
        <v>0.62347669468717826</v>
      </c>
      <c r="X29" s="135">
        <f>IF(SER_hh_tes_in!X29=0,"",SER_hh_tes_in!X29/SER_hh_fec_in!X29)</f>
        <v>0.62412260622220073</v>
      </c>
      <c r="Y29" s="135">
        <f>IF(SER_hh_tes_in!Y29=0,"",SER_hh_tes_in!Y29/SER_hh_fec_in!Y29)</f>
        <v>0.62436051722870511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0.5843346609262926</v>
      </c>
      <c r="D30" s="136">
        <f>IF(SER_hh_tes_in!D30=0,"",SER_hh_tes_in!D30/SER_hh_fec_in!D30)</f>
        <v>0.58472207647506491</v>
      </c>
      <c r="E30" s="136">
        <f>IF(SER_hh_tes_in!E30=0,"",SER_hh_tes_in!E30/SER_hh_fec_in!E30)</f>
        <v>0.58510952692168816</v>
      </c>
      <c r="F30" s="136">
        <f>IF(SER_hh_tes_in!F30=0,"",SER_hh_tes_in!F30/SER_hh_fec_in!F30)</f>
        <v>0.58549698212710899</v>
      </c>
      <c r="G30" s="136">
        <f>IF(SER_hh_tes_in!G30=0,"",SER_hh_tes_in!G30/SER_hh_fec_in!G30)</f>
        <v>0.58588446947139761</v>
      </c>
      <c r="H30" s="136">
        <f>IF(SER_hh_tes_in!H30=0,"",SER_hh_tes_in!H30/SER_hh_fec_in!H30)</f>
        <v>0.58627198560358218</v>
      </c>
      <c r="I30" s="136">
        <f>IF(SER_hh_tes_in!I30=0,"",SER_hh_tes_in!I30/SER_hh_fec_in!I30)</f>
        <v>0.58665953727011244</v>
      </c>
      <c r="J30" s="136">
        <f>IF(SER_hh_tes_in!J30=0,"",SER_hh_tes_in!J30/SER_hh_fec_in!J30)</f>
        <v>0.5870471521088132</v>
      </c>
      <c r="K30" s="136">
        <f>IF(SER_hh_tes_in!K30=0,"",SER_hh_tes_in!K30/SER_hh_fec_in!K30)</f>
        <v>0.58743485361910475</v>
      </c>
      <c r="L30" s="136">
        <f>IF(SER_hh_tes_in!L30=0,"",SER_hh_tes_in!L30/SER_hh_fec_in!L30)</f>
        <v>0.5878226480880453</v>
      </c>
      <c r="M30" s="136">
        <f>IF(SER_hh_tes_in!M30=0,"",SER_hh_tes_in!M30/SER_hh_fec_in!M30)</f>
        <v>0.58811715585431967</v>
      </c>
      <c r="N30" s="136">
        <f>IF(SER_hh_tes_in!N30=0,"",SER_hh_tes_in!N30/SER_hh_fec_in!N30)</f>
        <v>0.58828177184250174</v>
      </c>
      <c r="O30" s="136">
        <f>IF(SER_hh_tes_in!O30=0,"",SER_hh_tes_in!O30/SER_hh_fec_in!O30)</f>
        <v>0.5883801584943833</v>
      </c>
      <c r="P30" s="136">
        <f>IF(SER_hh_tes_in!P30=0,"",SER_hh_tes_in!P30/SER_hh_fec_in!P30)</f>
        <v>0.58865469018193151</v>
      </c>
      <c r="Q30" s="136">
        <f>IF(SER_hh_tes_in!Q30=0,"",SER_hh_tes_in!Q30/SER_hh_fec_in!Q30)</f>
        <v>0.58977209828208965</v>
      </c>
      <c r="R30" s="136">
        <f>IF(SER_hh_tes_in!R30=0,"",SER_hh_tes_in!R30/SER_hh_fec_in!R30)</f>
        <v>0.59270725111828604</v>
      </c>
      <c r="S30" s="136">
        <f>IF(SER_hh_tes_in!S30=0,"",SER_hh_tes_in!S30/SER_hh_fec_in!S30)</f>
        <v>0.59684761959220278</v>
      </c>
      <c r="T30" s="136">
        <f>IF(SER_hh_tes_in!T30=0,"",SER_hh_tes_in!T30/SER_hh_fec_in!T30)</f>
        <v>0.60139041561701179</v>
      </c>
      <c r="U30" s="136">
        <f>IF(SER_hh_tes_in!U30=0,"",SER_hh_tes_in!U30/SER_hh_fec_in!U30)</f>
        <v>0.6055328511058965</v>
      </c>
      <c r="V30" s="136">
        <f>IF(SER_hh_tes_in!V30=0,"",SER_hh_tes_in!V30/SER_hh_fec_in!V30)</f>
        <v>0.60847213797203437</v>
      </c>
      <c r="W30" s="136">
        <f>IF(SER_hh_tes_in!W30=0,"",SER_hh_tes_in!W30/SER_hh_fec_in!W30)</f>
        <v>0.60988478155620751</v>
      </c>
      <c r="X30" s="136">
        <f>IF(SER_hh_tes_in!X30=0,"",SER_hh_tes_in!X30/SER_hh_fec_in!X30)</f>
        <v>0.61028645286199401</v>
      </c>
      <c r="Y30" s="136" t="str">
        <f>IF(SER_hh_tes_in!Y30=0,"",SER_hh_tes_in!Y30/SER_hh_fec_in!Y30)</f>
        <v/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0.59165920758897317</v>
      </c>
      <c r="D31" s="136">
        <f>IF(SER_hh_tes_in!D31=0,"",SER_hh_tes_in!D31/SER_hh_fec_in!D31)</f>
        <v>0.59214950925054488</v>
      </c>
      <c r="E31" s="136">
        <f>IF(SER_hh_tes_in!E31=0,"",SER_hh_tes_in!E31/SER_hh_fec_in!E31)</f>
        <v>0.59263985507780437</v>
      </c>
      <c r="F31" s="136">
        <f>IF(SER_hh_tes_in!F31=0,"",SER_hh_tes_in!F31/SER_hh_fec_in!F31)</f>
        <v>0.59313020692765761</v>
      </c>
      <c r="G31" s="136">
        <f>IF(SER_hh_tes_in!G31=0,"",SER_hh_tes_in!G31/SER_hh_fec_in!G31)</f>
        <v>0.59362059945151147</v>
      </c>
      <c r="H31" s="136">
        <f>IF(SER_hh_tes_in!H31=0,"",SER_hh_tes_in!H31/SER_hh_fec_in!H31)</f>
        <v>0.59411102840847485</v>
      </c>
      <c r="I31" s="136">
        <f>IF(SER_hh_tes_in!I31=0,"",SER_hh_tes_in!I31/SER_hh_fec_in!I31)</f>
        <v>0.59460150233665543</v>
      </c>
      <c r="J31" s="136">
        <f>IF(SER_hh_tes_in!J31=0,"",SER_hh_tes_in!J31/SER_hh_fec_in!J31)</f>
        <v>0.5950920562136669</v>
      </c>
      <c r="K31" s="136">
        <f>IF(SER_hh_tes_in!K31=0,"",SER_hh_tes_in!K31/SER_hh_fec_in!K31)</f>
        <v>0.59558271977968058</v>
      </c>
      <c r="L31" s="136">
        <f>IF(SER_hh_tes_in!L31=0,"",SER_hh_tes_in!L31/SER_hh_fec_in!L31)</f>
        <v>0.59607350099141143</v>
      </c>
      <c r="M31" s="136">
        <f>IF(SER_hh_tes_in!M31=0,"",SER_hh_tes_in!M31/SER_hh_fec_in!M31)</f>
        <v>0.59644622131099478</v>
      </c>
      <c r="N31" s="136">
        <f>IF(SER_hh_tes_in!N31=0,"",SER_hh_tes_in!N31/SER_hh_fec_in!N31)</f>
        <v>0.59665455443748561</v>
      </c>
      <c r="O31" s="136">
        <f>IF(SER_hh_tes_in!O31=0,"",SER_hh_tes_in!O31/SER_hh_fec_in!O31)</f>
        <v>0.5967790696745402</v>
      </c>
      <c r="P31" s="136">
        <f>IF(SER_hh_tes_in!P31=0,"",SER_hh_tes_in!P31/SER_hh_fec_in!P31)</f>
        <v>0.59712650885963603</v>
      </c>
      <c r="Q31" s="136">
        <f>IF(SER_hh_tes_in!Q31=0,"",SER_hh_tes_in!Q31/SER_hh_fec_in!Q31)</f>
        <v>0.59854066750633261</v>
      </c>
      <c r="R31" s="136">
        <f>IF(SER_hh_tes_in!R31=0,"",SER_hh_tes_in!R31/SER_hh_fec_in!R31)</f>
        <v>0.6022553101351944</v>
      </c>
      <c r="S31" s="136">
        <f>IF(SER_hh_tes_in!S31=0,"",SER_hh_tes_in!S31/SER_hh_fec_in!S31)</f>
        <v>0.60749523803357819</v>
      </c>
      <c r="T31" s="136">
        <f>IF(SER_hh_tes_in!T31=0,"",SER_hh_tes_in!T31/SER_hh_fec_in!T31)</f>
        <v>0.61324446633947016</v>
      </c>
      <c r="U31" s="136">
        <f>IF(SER_hh_tes_in!U31=0,"",SER_hh_tes_in!U31/SER_hh_fec_in!U31)</f>
        <v>0.61848701019087016</v>
      </c>
      <c r="V31" s="136">
        <f>IF(SER_hh_tes_in!V31=0,"",SER_hh_tes_in!V31/SER_hh_fec_in!V31)</f>
        <v>0.62220688472577101</v>
      </c>
      <c r="W31" s="136">
        <f>IF(SER_hh_tes_in!W31=0,"",SER_hh_tes_in!W31/SER_hh_fec_in!W31)</f>
        <v>0.62399468467010311</v>
      </c>
      <c r="X31" s="136">
        <f>IF(SER_hh_tes_in!X31=0,"",SER_hh_tes_in!X31/SER_hh_fec_in!X31)</f>
        <v>0.62440724740366671</v>
      </c>
      <c r="Y31" s="136">
        <f>IF(SER_hh_tes_in!Y31=0,"",SER_hh_tes_in!Y31/SER_hh_fec_in!Y31)</f>
        <v>0.62444850367702309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>
        <f>IF(SER_hh_tes_in!E32=0,"",SER_hh_tes_in!E32/SER_hh_fec_in!E32)</f>
        <v>0.56378103614583419</v>
      </c>
      <c r="F32" s="136">
        <f>IF(SER_hh_tes_in!F32=0,"",SER_hh_tes_in!F32/SER_hh_fec_in!F32)</f>
        <v>0.56406242658243622</v>
      </c>
      <c r="G32" s="136">
        <f>IF(SER_hh_tes_in!G32=0,"",SER_hh_tes_in!G32/SER_hh_fec_in!G32)</f>
        <v>0.56434384035998175</v>
      </c>
      <c r="H32" s="136">
        <f>IF(SER_hh_tes_in!H32=0,"",SER_hh_tes_in!H32/SER_hh_fec_in!H32)</f>
        <v>0.56462527504481785</v>
      </c>
      <c r="I32" s="136">
        <f>IF(SER_hh_tes_in!I32=0,"",SER_hh_tes_in!I32/SER_hh_fec_in!I32)</f>
        <v>0.56490673553657278</v>
      </c>
      <c r="J32" s="136">
        <f>IF(SER_hh_tes_in!J32=0,"",SER_hh_tes_in!J32/SER_hh_fec_in!J32)</f>
        <v>0.56518824190729489</v>
      </c>
      <c r="K32" s="136">
        <f>IF(SER_hh_tes_in!K32=0,"",SER_hh_tes_in!K32/SER_hh_fec_in!K32)</f>
        <v>0.56546981122350459</v>
      </c>
      <c r="L32" s="136">
        <f>IF(SER_hh_tes_in!L32=0,"",SER_hh_tes_in!L32/SER_hh_fec_in!L32)</f>
        <v>0.56575144805119548</v>
      </c>
      <c r="M32" s="136">
        <f>IF(SER_hh_tes_in!M32=0,"",SER_hh_tes_in!M32/SER_hh_fec_in!M32)</f>
        <v>0.56596533514775571</v>
      </c>
      <c r="N32" s="136">
        <f>IF(SER_hh_tes_in!N32=0,"",SER_hh_tes_in!N32/SER_hh_fec_in!N32)</f>
        <v>0.5660848879738325</v>
      </c>
      <c r="O32" s="136">
        <f>IF(SER_hh_tes_in!O32=0,"",SER_hh_tes_in!O32/SER_hh_fec_in!O32)</f>
        <v>0.56615634155747629</v>
      </c>
      <c r="P32" s="136">
        <f>IF(SER_hh_tes_in!P32=0,"",SER_hh_tes_in!P32/SER_hh_fec_in!P32)</f>
        <v>0.56635572097047548</v>
      </c>
      <c r="Q32" s="136">
        <f>IF(SER_hh_tes_in!Q32=0,"",SER_hh_tes_in!Q32/SER_hh_fec_in!Q32)</f>
        <v>0.5671672417573097</v>
      </c>
      <c r="R32" s="136">
        <f>IF(SER_hh_tes_in!R32=0,"",SER_hh_tes_in!R32/SER_hh_fec_in!R32)</f>
        <v>0.56929890478961787</v>
      </c>
      <c r="S32" s="136">
        <f>IF(SER_hh_tes_in!S32=0,"",SER_hh_tes_in!S32/SER_hh_fec_in!S32)</f>
        <v>0.57230585908076803</v>
      </c>
      <c r="T32" s="136">
        <f>IF(SER_hh_tes_in!T32=0,"",SER_hh_tes_in!T32/SER_hh_fec_in!T32)</f>
        <v>0.57560507751668122</v>
      </c>
      <c r="U32" s="136">
        <f>IF(SER_hh_tes_in!U32=0,"",SER_hh_tes_in!U32/SER_hh_fec_in!U32)</f>
        <v>0.57861353298328633</v>
      </c>
      <c r="V32" s="136" t="str">
        <f>IF(SER_hh_tes_in!V32=0,"",SER_hh_tes_in!V32/SER_hh_fec_in!V32)</f>
        <v/>
      </c>
      <c r="W32" s="136">
        <f>IF(SER_hh_tes_in!W32=0,"",SER_hh_tes_in!W32/SER_hh_fec_in!W32)</f>
        <v>0.58177413475696638</v>
      </c>
      <c r="X32" s="136">
        <f>IF(SER_hh_tes_in!X32=0,"",SER_hh_tes_in!X32/SER_hh_fec_in!X32)</f>
        <v>0.58215878278883026</v>
      </c>
      <c r="Y32" s="136">
        <f>IF(SER_hh_tes_in!Y32=0,"",SER_hh_tes_in!Y32/SER_hh_fec_in!Y32)</f>
        <v>0.58219724759201674</v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0.7777787229301738</v>
      </c>
      <c r="D33" s="149">
        <f>IF(SER_hh_tes_in!D33=0,"",SER_hh_tes_in!D33/SER_hh_fec_in!D33)</f>
        <v>0.77878109578042221</v>
      </c>
      <c r="E33" s="149">
        <f>IF(SER_hh_tes_in!E33=0,"",SER_hh_tes_in!E33/SER_hh_fec_in!E33)</f>
        <v>0.77983073074243936</v>
      </c>
      <c r="F33" s="149">
        <f>IF(SER_hh_tes_in!F33=0,"",SER_hh_tes_in!F33/SER_hh_fec_in!F33)</f>
        <v>0.78088681053787956</v>
      </c>
      <c r="G33" s="149">
        <f>IF(SER_hh_tes_in!G33=0,"",SER_hh_tes_in!G33/SER_hh_fec_in!G33)</f>
        <v>0.7819864159583465</v>
      </c>
      <c r="H33" s="149">
        <f>IF(SER_hh_tes_in!H33=0,"",SER_hh_tes_in!H33/SER_hh_fec_in!H33)</f>
        <v>0.78312500878701286</v>
      </c>
      <c r="I33" s="149">
        <f>IF(SER_hh_tes_in!I33=0,"",SER_hh_tes_in!I33/SER_hh_fec_in!I33)</f>
        <v>0.78431172573201324</v>
      </c>
      <c r="J33" s="149">
        <f>IF(SER_hh_tes_in!J33=0,"",SER_hh_tes_in!J33/SER_hh_fec_in!J33)</f>
        <v>0.78558399666160761</v>
      </c>
      <c r="K33" s="149">
        <f>IF(SER_hh_tes_in!K33=0,"",SER_hh_tes_in!K33/SER_hh_fec_in!K33)</f>
        <v>0.78697364680904325</v>
      </c>
      <c r="L33" s="149">
        <f>IF(SER_hh_tes_in!L33=0,"",SER_hh_tes_in!L33/SER_hh_fec_in!L33)</f>
        <v>0.78848919072898216</v>
      </c>
      <c r="M33" s="149">
        <f>IF(SER_hh_tes_in!M33=0,"",SER_hh_tes_in!M33/SER_hh_fec_in!M33)</f>
        <v>0.79065608363314166</v>
      </c>
      <c r="N33" s="149">
        <f>IF(SER_hh_tes_in!N33=0,"",SER_hh_tes_in!N33/SER_hh_fec_in!N33)</f>
        <v>0.79362391762614748</v>
      </c>
      <c r="O33" s="149">
        <f>IF(SER_hh_tes_in!O33=0,"",SER_hh_tes_in!O33/SER_hh_fec_in!O33)</f>
        <v>0.79774742595319581</v>
      </c>
      <c r="P33" s="149" t="str">
        <f>IF(SER_hh_tes_in!P33=0,"",SER_hh_tes_in!P33/SER_hh_fec_in!P33)</f>
        <v/>
      </c>
      <c r="Q33" s="149">
        <f>IF(SER_hh_tes_in!Q33=0,"",SER_hh_tes_in!Q33/SER_hh_fec_in!Q33)</f>
        <v>0.81025704747421712</v>
      </c>
      <c r="R33" s="149">
        <f>IF(SER_hh_tes_in!R33=0,"",SER_hh_tes_in!R33/SER_hh_fec_in!R33)</f>
        <v>0.81985919307547828</v>
      </c>
      <c r="S33" s="149">
        <f>IF(SER_hh_tes_in!S33=0,"",SER_hh_tes_in!S33/SER_hh_fec_in!S33)</f>
        <v>0.83187461175269273</v>
      </c>
      <c r="T33" s="149">
        <f>IF(SER_hh_tes_in!T33=0,"",SER_hh_tes_in!T33/SER_hh_fec_in!T33)</f>
        <v>0.84480986977413397</v>
      </c>
      <c r="U33" s="149">
        <f>IF(SER_hh_tes_in!U33=0,"",SER_hh_tes_in!U33/SER_hh_fec_in!U33)</f>
        <v>0.85717153340811014</v>
      </c>
      <c r="V33" s="149">
        <f>IF(SER_hh_tes_in!V33=0,"",SER_hh_tes_in!V33/SER_hh_fec_in!V33)</f>
        <v>0.86746616892291351</v>
      </c>
      <c r="W33" s="149" t="str">
        <f>IF(SER_hh_tes_in!W33=0,"",SER_hh_tes_in!W33/SER_hh_fec_in!W33)</f>
        <v/>
      </c>
      <c r="X33" s="149" t="str">
        <f>IF(SER_hh_tes_in!X33=0,"",SER_hh_tes_in!X33/SER_hh_fec_in!X33)</f>
        <v/>
      </c>
      <c r="Y33" s="149" t="str">
        <f>IF(SER_hh_tes_in!Y33=0,"",SER_hh_tes_in!Y33/SER_hh_fec_in!Y33)</f>
        <v/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795.7012437127363</v>
      </c>
      <c r="D3" s="125">
        <f t="shared" si="0"/>
        <v>422.29006485842217</v>
      </c>
      <c r="E3" s="125">
        <f t="shared" si="0"/>
        <v>62.63323986426294</v>
      </c>
      <c r="F3" s="125">
        <f t="shared" si="0"/>
        <v>200.12772459228773</v>
      </c>
      <c r="G3" s="125">
        <f t="shared" si="0"/>
        <v>354.22863449695552</v>
      </c>
      <c r="H3" s="125">
        <f t="shared" si="0"/>
        <v>1438.1069817248501</v>
      </c>
      <c r="I3" s="125">
        <f t="shared" si="0"/>
        <v>958.07030844640633</v>
      </c>
      <c r="J3" s="125">
        <f t="shared" si="0"/>
        <v>619.54675056566737</v>
      </c>
      <c r="K3" s="125">
        <f t="shared" si="0"/>
        <v>142.32775707735325</v>
      </c>
      <c r="L3" s="125">
        <f t="shared" si="0"/>
        <v>426.0597335993952</v>
      </c>
      <c r="M3" s="125">
        <f t="shared" si="0"/>
        <v>139.70692681348038</v>
      </c>
      <c r="N3" s="125">
        <f t="shared" si="0"/>
        <v>380.47408014145816</v>
      </c>
      <c r="O3" s="125">
        <f t="shared" si="0"/>
        <v>321.01240161493524</v>
      </c>
      <c r="P3" s="125">
        <f t="shared" si="0"/>
        <v>358.81376106937336</v>
      </c>
      <c r="Q3" s="125">
        <f t="shared" si="0"/>
        <v>364.85232625061735</v>
      </c>
      <c r="R3" s="125">
        <f t="shared" ref="R3:W3" si="1">SUM(R4,R16,R19,R29)</f>
        <v>413.13366154075015</v>
      </c>
      <c r="S3" s="125">
        <f t="shared" si="1"/>
        <v>249.0715055502497</v>
      </c>
      <c r="T3" s="125">
        <f t="shared" si="1"/>
        <v>243.49347862510643</v>
      </c>
      <c r="U3" s="125">
        <f t="shared" si="1"/>
        <v>142.31684098960397</v>
      </c>
      <c r="V3" s="125">
        <f t="shared" si="1"/>
        <v>159.73201268471072</v>
      </c>
      <c r="W3" s="125">
        <f t="shared" si="1"/>
        <v>135.25439959042652</v>
      </c>
      <c r="X3" s="125">
        <f t="shared" ref="X3:Y3" si="2">SUM(X4,X16,X19,X29)</f>
        <v>102.22534739405674</v>
      </c>
      <c r="Y3" s="125">
        <f t="shared" si="2"/>
        <v>104.32836166513908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584.95234703972642</v>
      </c>
      <c r="D4" s="130">
        <f t="shared" si="3"/>
        <v>322.02726998212341</v>
      </c>
      <c r="E4" s="130">
        <f t="shared" si="3"/>
        <v>1.5253612488394623</v>
      </c>
      <c r="F4" s="130">
        <f t="shared" si="3"/>
        <v>53.82892046288346</v>
      </c>
      <c r="G4" s="130">
        <f t="shared" si="3"/>
        <v>225.28111226487374</v>
      </c>
      <c r="H4" s="130">
        <f t="shared" si="3"/>
        <v>1118.9130398729374</v>
      </c>
      <c r="I4" s="130">
        <f t="shared" si="3"/>
        <v>707.0321192691747</v>
      </c>
      <c r="J4" s="130">
        <f t="shared" si="3"/>
        <v>481.86787809299312</v>
      </c>
      <c r="K4" s="130">
        <f t="shared" si="3"/>
        <v>112.62890455259173</v>
      </c>
      <c r="L4" s="130">
        <f t="shared" si="3"/>
        <v>320.01890430005591</v>
      </c>
      <c r="M4" s="130">
        <f t="shared" si="3"/>
        <v>112.99188464431627</v>
      </c>
      <c r="N4" s="130">
        <f t="shared" si="3"/>
        <v>271.67142116665275</v>
      </c>
      <c r="O4" s="130">
        <f t="shared" si="3"/>
        <v>221.15970440362909</v>
      </c>
      <c r="P4" s="130">
        <f t="shared" si="3"/>
        <v>202.59901796490504</v>
      </c>
      <c r="Q4" s="130">
        <f t="shared" si="3"/>
        <v>226.03383250964072</v>
      </c>
      <c r="R4" s="130">
        <f t="shared" ref="R4:W4" si="4">SUM(R5:R15)</f>
        <v>236.38739649930304</v>
      </c>
      <c r="S4" s="130">
        <f t="shared" si="4"/>
        <v>107.78427276411922</v>
      </c>
      <c r="T4" s="130">
        <f t="shared" si="4"/>
        <v>80.15018955064582</v>
      </c>
      <c r="U4" s="130">
        <f t="shared" si="4"/>
        <v>24.042868850751887</v>
      </c>
      <c r="V4" s="130">
        <f t="shared" si="4"/>
        <v>71.86925044648784</v>
      </c>
      <c r="W4" s="130">
        <f t="shared" si="4"/>
        <v>41.133429327316506</v>
      </c>
      <c r="X4" s="130">
        <f t="shared" ref="X4:Y4" si="5">SUM(X5:X15)</f>
        <v>19.771451081312279</v>
      </c>
      <c r="Y4" s="130">
        <f t="shared" si="5"/>
        <v>21.096199714828234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9.1721366791094301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59.018095088696377</v>
      </c>
      <c r="J5" s="132">
        <v>0</v>
      </c>
      <c r="K5" s="132">
        <v>0</v>
      </c>
      <c r="L5" s="132">
        <v>0</v>
      </c>
      <c r="M5" s="132">
        <v>1.6458316632861261</v>
      </c>
      <c r="N5" s="132">
        <v>6.4208306238487927</v>
      </c>
      <c r="O5" s="132">
        <v>2.13311486161613</v>
      </c>
      <c r="P5" s="132">
        <v>0</v>
      </c>
      <c r="Q5" s="132">
        <v>40.725650565221251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8.6550558177400719E-2</v>
      </c>
      <c r="X5" s="132">
        <v>6.4258156874152983E-2</v>
      </c>
      <c r="Y5" s="132">
        <v>3.4517793944542809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41.32221940418907</v>
      </c>
      <c r="D7" s="132">
        <v>160.22223027930048</v>
      </c>
      <c r="E7" s="132">
        <v>0</v>
      </c>
      <c r="F7" s="132">
        <v>48.937372080917235</v>
      </c>
      <c r="G7" s="132">
        <v>220.61092681658678</v>
      </c>
      <c r="H7" s="132">
        <v>360.58538216292135</v>
      </c>
      <c r="I7" s="132">
        <v>224.74486101656166</v>
      </c>
      <c r="J7" s="132">
        <v>315.15767245693024</v>
      </c>
      <c r="K7" s="132">
        <v>76.90887339803821</v>
      </c>
      <c r="L7" s="132">
        <v>194.40186648188268</v>
      </c>
      <c r="M7" s="132">
        <v>59.433977590224295</v>
      </c>
      <c r="N7" s="132">
        <v>126.6900413316381</v>
      </c>
      <c r="O7" s="132">
        <v>84.763524156159491</v>
      </c>
      <c r="P7" s="132">
        <v>71.05566039426256</v>
      </c>
      <c r="Q7" s="132">
        <v>27.206634160634842</v>
      </c>
      <c r="R7" s="132">
        <v>23.761221824188549</v>
      </c>
      <c r="S7" s="132">
        <v>0</v>
      </c>
      <c r="T7" s="132">
        <v>0</v>
      </c>
      <c r="U7" s="132">
        <v>0</v>
      </c>
      <c r="V7" s="132">
        <v>0</v>
      </c>
      <c r="W7" s="132">
        <v>3.5260937823297231</v>
      </c>
      <c r="X7" s="132">
        <v>0</v>
      </c>
      <c r="Y7" s="132">
        <v>0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4.4224546308467283E-2</v>
      </c>
      <c r="D8" s="132">
        <v>4.1130240249605259E-2</v>
      </c>
      <c r="E8" s="132">
        <v>1.2344325331778374E-2</v>
      </c>
      <c r="F8" s="132">
        <v>9.3345469668922973E-2</v>
      </c>
      <c r="G8" s="132">
        <v>0.12779514578731141</v>
      </c>
      <c r="H8" s="132">
        <v>0.2424924692895811</v>
      </c>
      <c r="I8" s="132">
        <v>0.33666762976836595</v>
      </c>
      <c r="J8" s="132">
        <v>9.5321687937658994E-2</v>
      </c>
      <c r="K8" s="132">
        <v>1.8520636192573769E-2</v>
      </c>
      <c r="L8" s="132">
        <v>3.8655106851768033E-2</v>
      </c>
      <c r="M8" s="132">
        <v>3.8144952888553435E-2</v>
      </c>
      <c r="N8" s="132">
        <v>9.8631199231437788E-2</v>
      </c>
      <c r="O8" s="132">
        <v>8.9976194367145892E-2</v>
      </c>
      <c r="P8" s="132">
        <v>0.21729710415512848</v>
      </c>
      <c r="Q8" s="132">
        <v>0.23303566155510591</v>
      </c>
      <c r="R8" s="132">
        <v>0.2610397130201304</v>
      </c>
      <c r="S8" s="132">
        <v>0.15766698590683112</v>
      </c>
      <c r="T8" s="132">
        <v>0.12771827387557275</v>
      </c>
      <c r="U8" s="132">
        <v>0.11395691207361948</v>
      </c>
      <c r="V8" s="132">
        <v>0.12173909799811314</v>
      </c>
      <c r="W8" s="132">
        <v>7.6757906484365201E-2</v>
      </c>
      <c r="X8" s="132">
        <v>6.4080809853083343E-2</v>
      </c>
      <c r="Y8" s="132">
        <v>0.10053208484093816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534.41376641011948</v>
      </c>
      <c r="D9" s="132">
        <v>161.76390946257334</v>
      </c>
      <c r="E9" s="132">
        <v>0</v>
      </c>
      <c r="F9" s="132">
        <v>0</v>
      </c>
      <c r="G9" s="132">
        <v>0</v>
      </c>
      <c r="H9" s="132">
        <v>754.17985459406134</v>
      </c>
      <c r="I9" s="132">
        <v>418.83635559503728</v>
      </c>
      <c r="J9" s="132">
        <v>164.72451862873331</v>
      </c>
      <c r="K9" s="132">
        <v>35.296682049087352</v>
      </c>
      <c r="L9" s="132">
        <v>124.84991256666386</v>
      </c>
      <c r="M9" s="132">
        <v>51.870073062205364</v>
      </c>
      <c r="N9" s="132">
        <v>138.46191801193442</v>
      </c>
      <c r="O9" s="132">
        <v>134.17308919148633</v>
      </c>
      <c r="P9" s="132">
        <v>131.32606046648735</v>
      </c>
      <c r="Q9" s="132">
        <v>157.86851212222953</v>
      </c>
      <c r="R9" s="132">
        <v>212.36513496209434</v>
      </c>
      <c r="S9" s="132">
        <v>107.62660577821239</v>
      </c>
      <c r="T9" s="132">
        <v>80.022471276770247</v>
      </c>
      <c r="U9" s="132">
        <v>23.928911938678269</v>
      </c>
      <c r="V9" s="132">
        <v>71.747511348489724</v>
      </c>
      <c r="W9" s="132">
        <v>37.444027080325014</v>
      </c>
      <c r="X9" s="132">
        <v>19.64311211458504</v>
      </c>
      <c r="Y9" s="132">
        <v>17.543888235533014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1.513016923507684</v>
      </c>
      <c r="F10" s="132">
        <v>4.7982029122973016</v>
      </c>
      <c r="G10" s="132">
        <v>4.542390302499653</v>
      </c>
      <c r="H10" s="132">
        <v>3.9053106466650456</v>
      </c>
      <c r="I10" s="132">
        <v>4.0961399391109694</v>
      </c>
      <c r="J10" s="132">
        <v>1.8903653193919121</v>
      </c>
      <c r="K10" s="132">
        <v>0.40482846927359606</v>
      </c>
      <c r="L10" s="132">
        <v>0.72847014465757076</v>
      </c>
      <c r="M10" s="132">
        <v>3.8573757119388812E-3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7.711451729654234E-2</v>
      </c>
      <c r="D16" s="130">
        <f t="shared" si="6"/>
        <v>5.2627641028007009E-2</v>
      </c>
      <c r="E16" s="130">
        <f t="shared" si="6"/>
        <v>3.0864716839163895E-2</v>
      </c>
      <c r="F16" s="130">
        <f t="shared" si="6"/>
        <v>0.23705242067333279</v>
      </c>
      <c r="G16" s="130">
        <f t="shared" si="6"/>
        <v>0.13686502432224629</v>
      </c>
      <c r="H16" s="130">
        <f t="shared" si="6"/>
        <v>0.12941483368442408</v>
      </c>
      <c r="I16" s="130">
        <f t="shared" si="6"/>
        <v>0.61456568575630233</v>
      </c>
      <c r="J16" s="130">
        <f t="shared" si="6"/>
        <v>0.2477303998415008</v>
      </c>
      <c r="K16" s="130">
        <f t="shared" si="6"/>
        <v>8.932271031276276E-2</v>
      </c>
      <c r="L16" s="130">
        <f t="shared" si="6"/>
        <v>0.28255136917019619</v>
      </c>
      <c r="M16" s="130">
        <f t="shared" si="6"/>
        <v>9.1664727505627902E-2</v>
      </c>
      <c r="N16" s="130">
        <f t="shared" si="6"/>
        <v>0.19388570285722354</v>
      </c>
      <c r="O16" s="130">
        <f t="shared" si="6"/>
        <v>0.24543921222089266</v>
      </c>
      <c r="P16" s="130">
        <f t="shared" si="6"/>
        <v>0.68974545823514621</v>
      </c>
      <c r="Q16" s="130">
        <f t="shared" si="6"/>
        <v>1.1792467395870785</v>
      </c>
      <c r="R16" s="130">
        <f t="shared" ref="R16:W16" si="7">SUM(R17:R18)</f>
        <v>0.81674890406441525</v>
      </c>
      <c r="S16" s="130">
        <f t="shared" si="7"/>
        <v>1.0412442521316172</v>
      </c>
      <c r="T16" s="130">
        <f t="shared" si="7"/>
        <v>1.4206746613339687</v>
      </c>
      <c r="U16" s="130">
        <f t="shared" si="7"/>
        <v>0.91745559949100541</v>
      </c>
      <c r="V16" s="130">
        <f t="shared" si="7"/>
        <v>0.35772171616476744</v>
      </c>
      <c r="W16" s="130">
        <f t="shared" si="7"/>
        <v>0.31440595737851151</v>
      </c>
      <c r="X16" s="130">
        <f t="shared" ref="X16:Y16" si="8">SUM(X17:X18)</f>
        <v>0.28164911057069575</v>
      </c>
      <c r="Y16" s="130">
        <f t="shared" si="8"/>
        <v>0.35888885697514455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7.711451729654234E-2</v>
      </c>
      <c r="D17" s="132">
        <v>5.2627641028007009E-2</v>
      </c>
      <c r="E17" s="132">
        <v>3.0864716839163895E-2</v>
      </c>
      <c r="F17" s="132">
        <v>0.23705242067333279</v>
      </c>
      <c r="G17" s="132">
        <v>0.13686502432224629</v>
      </c>
      <c r="H17" s="132">
        <v>0.12941483368442408</v>
      </c>
      <c r="I17" s="132">
        <v>0.61456568575630233</v>
      </c>
      <c r="J17" s="132">
        <v>0.2477303998415008</v>
      </c>
      <c r="K17" s="132">
        <v>8.932271031276276E-2</v>
      </c>
      <c r="L17" s="132">
        <v>0.28255136917019619</v>
      </c>
      <c r="M17" s="132">
        <v>9.1664727505627902E-2</v>
      </c>
      <c r="N17" s="132">
        <v>0.19388570285722354</v>
      </c>
      <c r="O17" s="132">
        <v>0.24543921222089266</v>
      </c>
      <c r="P17" s="132">
        <v>0.68974545823514621</v>
      </c>
      <c r="Q17" s="132">
        <v>1.1792467395870785</v>
      </c>
      <c r="R17" s="132">
        <v>0.81674890406441525</v>
      </c>
      <c r="S17" s="132">
        <v>1.0412442521316172</v>
      </c>
      <c r="T17" s="132">
        <v>1.4206746613339687</v>
      </c>
      <c r="U17" s="132">
        <v>0.91745559949100541</v>
      </c>
      <c r="V17" s="132">
        <v>0.35772171616476744</v>
      </c>
      <c r="W17" s="132">
        <v>0.31440595737851151</v>
      </c>
      <c r="X17" s="132">
        <v>0.28164911057069575</v>
      </c>
      <c r="Y17" s="132">
        <v>0.35888885697514455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106.46513773989579</v>
      </c>
      <c r="D19" s="130">
        <f t="shared" si="9"/>
        <v>49.504719201733558</v>
      </c>
      <c r="E19" s="130">
        <f t="shared" si="9"/>
        <v>20.668138951718451</v>
      </c>
      <c r="F19" s="130">
        <f t="shared" si="9"/>
        <v>61.968503310567741</v>
      </c>
      <c r="G19" s="130">
        <f t="shared" si="9"/>
        <v>69.815801934403183</v>
      </c>
      <c r="H19" s="130">
        <f t="shared" si="9"/>
        <v>170.56591137821169</v>
      </c>
      <c r="I19" s="130">
        <f t="shared" si="9"/>
        <v>134.05448143390001</v>
      </c>
      <c r="J19" s="130">
        <f t="shared" si="9"/>
        <v>70.058463286688209</v>
      </c>
      <c r="K19" s="130">
        <f t="shared" si="9"/>
        <v>15.992672726118879</v>
      </c>
      <c r="L19" s="130">
        <f t="shared" si="9"/>
        <v>60.423314023046487</v>
      </c>
      <c r="M19" s="130">
        <f t="shared" si="9"/>
        <v>17.168340687129152</v>
      </c>
      <c r="N19" s="130">
        <f t="shared" si="9"/>
        <v>51.42295919068755</v>
      </c>
      <c r="O19" s="130">
        <f t="shared" si="9"/>
        <v>42.955848176072202</v>
      </c>
      <c r="P19" s="130">
        <f t="shared" si="9"/>
        <v>55.688848614360737</v>
      </c>
      <c r="Q19" s="130">
        <f t="shared" si="9"/>
        <v>60.573971126238881</v>
      </c>
      <c r="R19" s="130">
        <f t="shared" ref="R19:W19" si="10">SUM(R20:R27)</f>
        <v>74.966477939925113</v>
      </c>
      <c r="S19" s="130">
        <f t="shared" si="10"/>
        <v>52.847615224877273</v>
      </c>
      <c r="T19" s="130">
        <f t="shared" si="10"/>
        <v>57.712336508610605</v>
      </c>
      <c r="U19" s="130">
        <f t="shared" si="10"/>
        <v>40.541972639642893</v>
      </c>
      <c r="V19" s="130">
        <f t="shared" si="10"/>
        <v>33.751708567367622</v>
      </c>
      <c r="W19" s="130">
        <f t="shared" si="10"/>
        <v>34.216872537985907</v>
      </c>
      <c r="X19" s="130">
        <f t="shared" ref="X19:Y19" si="11">SUM(X20:X27)</f>
        <v>26.301795633043305</v>
      </c>
      <c r="Y19" s="130">
        <f t="shared" si="11"/>
        <v>31.259232720244981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3.2427200992570304</v>
      </c>
      <c r="D21" s="132">
        <v>3.0457687584766791</v>
      </c>
      <c r="E21" s="132">
        <v>1.0252721072415758</v>
      </c>
      <c r="F21" s="132">
        <v>7.0061411610136526</v>
      </c>
      <c r="G21" s="132">
        <v>3.8762711184902252</v>
      </c>
      <c r="H21" s="132">
        <v>5.3144986780880394</v>
      </c>
      <c r="I21" s="132">
        <v>2.4608247966846624</v>
      </c>
      <c r="J21" s="132">
        <v>0.80176090938674516</v>
      </c>
      <c r="K21" s="132">
        <v>0.13208725899145299</v>
      </c>
      <c r="L21" s="132">
        <v>0.30359162455603067</v>
      </c>
      <c r="M21" s="132">
        <v>0.16553687911183168</v>
      </c>
      <c r="N21" s="132">
        <v>0.23771877042597062</v>
      </c>
      <c r="O21" s="132">
        <v>0.21081219380293778</v>
      </c>
      <c r="P21" s="132">
        <v>0.69455795136323906</v>
      </c>
      <c r="Q21" s="132">
        <v>1.2509273779031236</v>
      </c>
      <c r="R21" s="132">
        <v>2.4140483365562346</v>
      </c>
      <c r="S21" s="132">
        <v>1.3527481118554505</v>
      </c>
      <c r="T21" s="132">
        <v>1.4964468587410671</v>
      </c>
      <c r="U21" s="132">
        <v>0.70030510842556715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53.871570016726302</v>
      </c>
      <c r="D22" s="132">
        <v>0</v>
      </c>
      <c r="E22" s="132">
        <v>19.642866844476874</v>
      </c>
      <c r="F22" s="132">
        <v>54.916455977376422</v>
      </c>
      <c r="G22" s="132">
        <v>39.104183752319528</v>
      </c>
      <c r="H22" s="132">
        <v>64.007924863793747</v>
      </c>
      <c r="I22" s="132">
        <v>61.170885886882139</v>
      </c>
      <c r="J22" s="132">
        <v>34.935948664649274</v>
      </c>
      <c r="K22" s="132">
        <v>9.7268802332218485</v>
      </c>
      <c r="L22" s="132">
        <v>26.915468906045369</v>
      </c>
      <c r="M22" s="132">
        <v>8.79569158465047</v>
      </c>
      <c r="N22" s="132">
        <v>22.982598745042331</v>
      </c>
      <c r="O22" s="132">
        <v>17.420666728377878</v>
      </c>
      <c r="P22" s="132">
        <v>13.662195544536219</v>
      </c>
      <c r="Q22" s="132">
        <v>17.978432605986171</v>
      </c>
      <c r="R22" s="132">
        <v>8.4358817768554779</v>
      </c>
      <c r="S22" s="132">
        <v>0</v>
      </c>
      <c r="T22" s="132">
        <v>0</v>
      </c>
      <c r="U22" s="132">
        <v>0</v>
      </c>
      <c r="V22" s="132">
        <v>0</v>
      </c>
      <c r="W22" s="132">
        <v>4.6034638294868904</v>
      </c>
      <c r="X22" s="132">
        <v>1.2911406751252821</v>
      </c>
      <c r="Y22" s="132">
        <v>3.7284846651713588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49.350847623912465</v>
      </c>
      <c r="D23" s="132">
        <v>46.458950443256882</v>
      </c>
      <c r="E23" s="132">
        <v>0</v>
      </c>
      <c r="F23" s="132">
        <v>4.5906172177664038E-2</v>
      </c>
      <c r="G23" s="132">
        <v>26.835347063593431</v>
      </c>
      <c r="H23" s="132">
        <v>101.24348783632992</v>
      </c>
      <c r="I23" s="132">
        <v>70.422770750333214</v>
      </c>
      <c r="J23" s="132">
        <v>34.320753712652198</v>
      </c>
      <c r="K23" s="132">
        <v>6.1337052339055784</v>
      </c>
      <c r="L23" s="132">
        <v>33.204253492445091</v>
      </c>
      <c r="M23" s="132">
        <v>8.2071122233668508</v>
      </c>
      <c r="N23" s="132">
        <v>28.202641675219251</v>
      </c>
      <c r="O23" s="132">
        <v>25.324369253891387</v>
      </c>
      <c r="P23" s="132">
        <v>41.332095118461275</v>
      </c>
      <c r="Q23" s="132">
        <v>41.344611142349585</v>
      </c>
      <c r="R23" s="132">
        <v>64.116547826513397</v>
      </c>
      <c r="S23" s="132">
        <v>51.494867113021826</v>
      </c>
      <c r="T23" s="132">
        <v>56.215889649869538</v>
      </c>
      <c r="U23" s="132">
        <v>39.841667531217325</v>
      </c>
      <c r="V23" s="132">
        <v>33.751708567367622</v>
      </c>
      <c r="W23" s="132">
        <v>29.613408708499016</v>
      </c>
      <c r="X23" s="132">
        <v>25.010654957918025</v>
      </c>
      <c r="Y23" s="132">
        <v>27.530748055073623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104.20664441581752</v>
      </c>
      <c r="D29" s="130">
        <f t="shared" si="12"/>
        <v>50.705448033537181</v>
      </c>
      <c r="E29" s="130">
        <f t="shared" si="12"/>
        <v>40.408874946865865</v>
      </c>
      <c r="F29" s="130">
        <f t="shared" si="12"/>
        <v>84.093248398163212</v>
      </c>
      <c r="G29" s="130">
        <f t="shared" si="12"/>
        <v>58.99485527335635</v>
      </c>
      <c r="H29" s="130">
        <f t="shared" si="12"/>
        <v>148.49861564001671</v>
      </c>
      <c r="I29" s="130">
        <f t="shared" si="12"/>
        <v>116.36914205757533</v>
      </c>
      <c r="J29" s="130">
        <f t="shared" si="12"/>
        <v>67.372678786144562</v>
      </c>
      <c r="K29" s="130">
        <f t="shared" si="12"/>
        <v>13.616857088329873</v>
      </c>
      <c r="L29" s="130">
        <f t="shared" si="12"/>
        <v>45.334963907122564</v>
      </c>
      <c r="M29" s="130">
        <f t="shared" si="12"/>
        <v>9.4550367545293099</v>
      </c>
      <c r="N29" s="130">
        <f t="shared" si="12"/>
        <v>57.185814081260624</v>
      </c>
      <c r="O29" s="130">
        <f t="shared" si="12"/>
        <v>56.651409823013068</v>
      </c>
      <c r="P29" s="130">
        <f t="shared" si="12"/>
        <v>99.836149031872424</v>
      </c>
      <c r="Q29" s="130">
        <f t="shared" si="12"/>
        <v>77.065275875150675</v>
      </c>
      <c r="R29" s="130">
        <f t="shared" ref="R29:W29" si="13">SUM(R30:R33)</f>
        <v>100.96303819745761</v>
      </c>
      <c r="S29" s="130">
        <f t="shared" si="13"/>
        <v>87.398373309121595</v>
      </c>
      <c r="T29" s="130">
        <f t="shared" si="13"/>
        <v>104.21027790451602</v>
      </c>
      <c r="U29" s="130">
        <f t="shared" si="13"/>
        <v>76.814543899718203</v>
      </c>
      <c r="V29" s="130">
        <f t="shared" si="13"/>
        <v>53.753331954690516</v>
      </c>
      <c r="W29" s="130">
        <f t="shared" si="13"/>
        <v>59.589691767745585</v>
      </c>
      <c r="X29" s="130">
        <f t="shared" ref="X29:Y29" si="14">SUM(X30:X33)</f>
        <v>55.870451569130452</v>
      </c>
      <c r="Y29" s="130">
        <f t="shared" si="14"/>
        <v>51.614040373090724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8.5080826373663641</v>
      </c>
      <c r="D30" s="132">
        <v>0.98398228568583734</v>
      </c>
      <c r="E30" s="132">
        <v>8.5880585502770224</v>
      </c>
      <c r="F30" s="132">
        <v>8.734073167929461</v>
      </c>
      <c r="G30" s="132">
        <v>5.7347109766521109</v>
      </c>
      <c r="H30" s="132">
        <v>11.149858265785767</v>
      </c>
      <c r="I30" s="132">
        <v>1.6526247690147717</v>
      </c>
      <c r="J30" s="132">
        <v>2.1423457235446963</v>
      </c>
      <c r="K30" s="132">
        <v>1.3403168983876363</v>
      </c>
      <c r="L30" s="132">
        <v>3.9285765527530279</v>
      </c>
      <c r="M30" s="132">
        <v>1.8256351852501902</v>
      </c>
      <c r="N30" s="132">
        <v>3.5162227621331108</v>
      </c>
      <c r="O30" s="132">
        <v>4.521438642456669</v>
      </c>
      <c r="P30" s="132">
        <v>3.3623595249573341</v>
      </c>
      <c r="Q30" s="132">
        <v>2.6442357194554784</v>
      </c>
      <c r="R30" s="132">
        <v>6.9150104669730821</v>
      </c>
      <c r="S30" s="132">
        <v>0.72993764478815537</v>
      </c>
      <c r="T30" s="132">
        <v>6.7381461867013739</v>
      </c>
      <c r="U30" s="132">
        <v>4.3419041102559568</v>
      </c>
      <c r="V30" s="132">
        <v>2.9418225798143953</v>
      </c>
      <c r="W30" s="132">
        <v>2.2950914110868927</v>
      </c>
      <c r="X30" s="132">
        <v>1.0529577528833047</v>
      </c>
      <c r="Y30" s="132">
        <v>0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95.69856177845115</v>
      </c>
      <c r="D31" s="132">
        <v>49.72146574785134</v>
      </c>
      <c r="E31" s="132">
        <v>31.788341299884344</v>
      </c>
      <c r="F31" s="132">
        <v>75.34125796382466</v>
      </c>
      <c r="G31" s="132">
        <v>53.243471522589395</v>
      </c>
      <c r="H31" s="132">
        <v>137.34126361227362</v>
      </c>
      <c r="I31" s="132">
        <v>114.70914772345979</v>
      </c>
      <c r="J31" s="132">
        <v>65.226822835923585</v>
      </c>
      <c r="K31" s="132">
        <v>12.274794304602159</v>
      </c>
      <c r="L31" s="132">
        <v>41.401062761934163</v>
      </c>
      <c r="M31" s="132">
        <v>7.629077212847422</v>
      </c>
      <c r="N31" s="132">
        <v>53.669591319127512</v>
      </c>
      <c r="O31" s="132">
        <v>52.129971180556396</v>
      </c>
      <c r="P31" s="132">
        <v>96.473789506915097</v>
      </c>
      <c r="Q31" s="132">
        <v>74.421040155695195</v>
      </c>
      <c r="R31" s="132">
        <v>94.04802773048452</v>
      </c>
      <c r="S31" s="132">
        <v>86.668435664333444</v>
      </c>
      <c r="T31" s="132">
        <v>97.472131717814648</v>
      </c>
      <c r="U31" s="132">
        <v>72.472639789462249</v>
      </c>
      <c r="V31" s="132">
        <v>50.811509374876124</v>
      </c>
      <c r="W31" s="132">
        <v>57.294600356658691</v>
      </c>
      <c r="X31" s="132">
        <v>54.817493816247151</v>
      </c>
      <c r="Y31" s="132">
        <v>51.614040373090724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3.247509670450284E-2</v>
      </c>
      <c r="F32" s="132">
        <v>1.7917266409088889E-2</v>
      </c>
      <c r="G32" s="132">
        <v>1.6672774114841447E-2</v>
      </c>
      <c r="H32" s="132">
        <v>7.493761957314147E-3</v>
      </c>
      <c r="I32" s="132">
        <v>7.369565100757587E-3</v>
      </c>
      <c r="J32" s="132">
        <v>3.5102266762859855E-3</v>
      </c>
      <c r="K32" s="132">
        <v>1.7458853400774885E-3</v>
      </c>
      <c r="L32" s="132">
        <v>5.324592435368751E-3</v>
      </c>
      <c r="M32" s="132">
        <v>3.2435643169717723E-4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73264.251806998349</v>
      </c>
      <c r="D3" s="125">
        <f>IF(SER_hh_fec_in!D3=0,0,11630*1000*SER_hh_fec_in!D3/SER_hh_num_in!D3)</f>
        <v>73741.054212641699</v>
      </c>
      <c r="E3" s="125">
        <f>IF(SER_hh_fec_in!E3=0,0,11630*1000*SER_hh_fec_in!E3/SER_hh_num_in!E3)</f>
        <v>89568.187676388945</v>
      </c>
      <c r="F3" s="125">
        <f>IF(SER_hh_fec_in!F3=0,0,11630*1000*SER_hh_fec_in!F3/SER_hh_num_in!F3)</f>
        <v>77316.752070743751</v>
      </c>
      <c r="G3" s="125">
        <f>IF(SER_hh_fec_in!G3=0,0,11630*1000*SER_hh_fec_in!G3/SER_hh_num_in!G3)</f>
        <v>72347.680289287047</v>
      </c>
      <c r="H3" s="125">
        <f>IF(SER_hh_fec_in!H3=0,0,11630*1000*SER_hh_fec_in!H3/SER_hh_num_in!H3)</f>
        <v>84205.662346456244</v>
      </c>
      <c r="I3" s="125">
        <f>IF(SER_hh_fec_in!I3=0,0,11630*1000*SER_hh_fec_in!I3/SER_hh_num_in!I3)</f>
        <v>66570.333040545142</v>
      </c>
      <c r="J3" s="125">
        <f>IF(SER_hh_fec_in!J3=0,0,11630*1000*SER_hh_fec_in!J3/SER_hh_num_in!J3)</f>
        <v>71967.604494015803</v>
      </c>
      <c r="K3" s="125">
        <f>IF(SER_hh_fec_in!K3=0,0,11630*1000*SER_hh_fec_in!K3/SER_hh_num_in!K3)</f>
        <v>67063.777136869379</v>
      </c>
      <c r="L3" s="125">
        <f>IF(SER_hh_fec_in!L3=0,0,11630*1000*SER_hh_fec_in!L3/SER_hh_num_in!L3)</f>
        <v>68838.949242216957</v>
      </c>
      <c r="M3" s="125">
        <f>IF(SER_hh_fec_in!M3=0,0,11630*1000*SER_hh_fec_in!M3/SER_hh_num_in!M3)</f>
        <v>59314.300173508011</v>
      </c>
      <c r="N3" s="125">
        <f>IF(SER_hh_fec_in!N3=0,0,11630*1000*SER_hh_fec_in!N3/SER_hh_num_in!N3)</f>
        <v>59134.170025952735</v>
      </c>
      <c r="O3" s="125">
        <f>IF(SER_hh_fec_in!O3=0,0,11630*1000*SER_hh_fec_in!O3/SER_hh_num_in!O3)</f>
        <v>60879.121985467689</v>
      </c>
      <c r="P3" s="125">
        <f>IF(SER_hh_fec_in!P3=0,0,11630*1000*SER_hh_fec_in!P3/SER_hh_num_in!P3)</f>
        <v>52523.418469673743</v>
      </c>
      <c r="Q3" s="125">
        <f>IF(SER_hh_fec_in!Q3=0,0,11630*1000*SER_hh_fec_in!Q3/SER_hh_num_in!Q3)</f>
        <v>51246.568161055555</v>
      </c>
      <c r="R3" s="125">
        <f>IF(SER_hh_fec_in!R3=0,0,11630*1000*SER_hh_fec_in!R3/SER_hh_num_in!R3)</f>
        <v>46194.816735845452</v>
      </c>
      <c r="S3" s="125">
        <f>IF(SER_hh_fec_in!S3=0,0,11630*1000*SER_hh_fec_in!S3/SER_hh_num_in!S3)</f>
        <v>42391.740653612243</v>
      </c>
      <c r="T3" s="125">
        <f>IF(SER_hh_fec_in!T3=0,0,11630*1000*SER_hh_fec_in!T3/SER_hh_num_in!T3)</f>
        <v>43705.914999875815</v>
      </c>
      <c r="U3" s="125">
        <f>IF(SER_hh_fec_in!U3=0,0,11630*1000*SER_hh_fec_in!U3/SER_hh_num_in!U3)</f>
        <v>39122.208669442014</v>
      </c>
      <c r="V3" s="125">
        <f>IF(SER_hh_fec_in!V3=0,0,11630*1000*SER_hh_fec_in!V3/SER_hh_num_in!V3)</f>
        <v>34752.245589038917</v>
      </c>
      <c r="W3" s="125">
        <f>IF(SER_hh_fec_in!W3=0,0,11630*1000*SER_hh_fec_in!W3/SER_hh_num_in!W3)</f>
        <v>33042.833005345077</v>
      </c>
      <c r="X3" s="125">
        <f>IF(SER_hh_fec_in!X3=0,0,11630*1000*SER_hh_fec_in!X3/SER_hh_num_in!X3)</f>
        <v>27297.159015835387</v>
      </c>
      <c r="Y3" s="125">
        <f>IF(SER_hh_fec_in!Y3=0,0,11630*1000*SER_hh_fec_in!Y3/SER_hh_num_in!Y3)</f>
        <v>26524.777135233271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44660.570823063892</v>
      </c>
      <c r="D4" s="130">
        <f>IF(SER_hh_fec_in!D4=0,0,11630*1000*SER_hh_fec_in!D4/SER_hh_num_in!D4)</f>
        <v>45575.649733215316</v>
      </c>
      <c r="E4" s="130">
        <f>IF(SER_hh_fec_in!E4=0,0,11630*1000*SER_hh_fec_in!E4/SER_hh_num_in!E4)</f>
        <v>57554.960342696919</v>
      </c>
      <c r="F4" s="130">
        <f>IF(SER_hh_fec_in!F4=0,0,11630*1000*SER_hh_fec_in!F4/SER_hh_num_in!F4)</f>
        <v>49082.611671287908</v>
      </c>
      <c r="G4" s="130">
        <f>IF(SER_hh_fec_in!G4=0,0,11630*1000*SER_hh_fec_in!G4/SER_hh_num_in!G4)</f>
        <v>44904.268594468536</v>
      </c>
      <c r="H4" s="130">
        <f>IF(SER_hh_fec_in!H4=0,0,11630*1000*SER_hh_fec_in!H4/SER_hh_num_in!H4)</f>
        <v>56747.075835570577</v>
      </c>
      <c r="I4" s="130">
        <f>IF(SER_hh_fec_in!I4=0,0,11630*1000*SER_hh_fec_in!I4/SER_hh_num_in!I4)</f>
        <v>39916.942535363029</v>
      </c>
      <c r="J4" s="130">
        <f>IF(SER_hh_fec_in!J4=0,0,11630*1000*SER_hh_fec_in!J4/SER_hh_num_in!J4)</f>
        <v>46158.74114806889</v>
      </c>
      <c r="K4" s="130">
        <f>IF(SER_hh_fec_in!K4=0,0,11630*1000*SER_hh_fec_in!K4/SER_hh_num_in!K4)</f>
        <v>41865.464436970782</v>
      </c>
      <c r="L4" s="130">
        <f>IF(SER_hh_fec_in!L4=0,0,11630*1000*SER_hh_fec_in!L4/SER_hh_num_in!L4)</f>
        <v>42951.694145354391</v>
      </c>
      <c r="M4" s="130">
        <f>IF(SER_hh_fec_in!M4=0,0,11630*1000*SER_hh_fec_in!M4/SER_hh_num_in!M4)</f>
        <v>35594.61890958748</v>
      </c>
      <c r="N4" s="130">
        <f>IF(SER_hh_fec_in!N4=0,0,11630*1000*SER_hh_fec_in!N4/SER_hh_num_in!N4)</f>
        <v>34514.821221282378</v>
      </c>
      <c r="O4" s="130">
        <f>IF(SER_hh_fec_in!O4=0,0,11630*1000*SER_hh_fec_in!O4/SER_hh_num_in!O4)</f>
        <v>36477.844746987474</v>
      </c>
      <c r="P4" s="130">
        <f>IF(SER_hh_fec_in!P4=0,0,11630*1000*SER_hh_fec_in!P4/SER_hh_num_in!P4)</f>
        <v>26526.514700577463</v>
      </c>
      <c r="Q4" s="130">
        <f>IF(SER_hh_fec_in!Q4=0,0,11630*1000*SER_hh_fec_in!Q4/SER_hh_num_in!Q4)</f>
        <v>27502.39317093524</v>
      </c>
      <c r="R4" s="130">
        <f>IF(SER_hh_fec_in!R4=0,0,11630*1000*SER_hh_fec_in!R4/SER_hh_num_in!R4)</f>
        <v>23982.777771363522</v>
      </c>
      <c r="S4" s="130">
        <f>IF(SER_hh_fec_in!S4=0,0,11630*1000*SER_hh_fec_in!S4/SER_hh_num_in!S4)</f>
        <v>20515.61739545389</v>
      </c>
      <c r="T4" s="130">
        <f>IF(SER_hh_fec_in!T4=0,0,11630*1000*SER_hh_fec_in!T4/SER_hh_num_in!T4)</f>
        <v>18949.005595953731</v>
      </c>
      <c r="U4" s="130">
        <f>IF(SER_hh_fec_in!U4=0,0,11630*1000*SER_hh_fec_in!U4/SER_hh_num_in!U4)</f>
        <v>16102.641692013849</v>
      </c>
      <c r="V4" s="130">
        <f>IF(SER_hh_fec_in!V4=0,0,11630*1000*SER_hh_fec_in!V4/SER_hh_num_in!V4)</f>
        <v>14788.36086529545</v>
      </c>
      <c r="W4" s="130">
        <f>IF(SER_hh_fec_in!W4=0,0,11630*1000*SER_hh_fec_in!W4/SER_hh_num_in!W4)</f>
        <v>14331.447965677913</v>
      </c>
      <c r="X4" s="130">
        <f>IF(SER_hh_fec_in!X4=0,0,11630*1000*SER_hh_fec_in!X4/SER_hh_num_in!X4)</f>
        <v>8695.119608774281</v>
      </c>
      <c r="Y4" s="130">
        <f>IF(SER_hh_fec_in!Y4=0,0,11630*1000*SER_hh_fec_in!Y4/SER_hh_num_in!Y4)</f>
        <v>8219.7621764847663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44778.81636333451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53493.131698237019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34546.831346826926</v>
      </c>
      <c r="N5" s="132">
        <f>IF(SER_hh_fec_in!N5=0,0,11630*1000*SER_hh_fec_in!N5/SER_hh_num_in!N5)</f>
        <v>40506.125839328241</v>
      </c>
      <c r="O5" s="132">
        <f>IF(SER_hh_fec_in!O5=0,0,11630*1000*SER_hh_fec_in!O5/SER_hh_num_in!O5)</f>
        <v>18947.327362197917</v>
      </c>
      <c r="P5" s="132">
        <f>IF(SER_hh_fec_in!P5=0,0,11630*1000*SER_hh_fec_in!P5/SER_hh_num_in!P5)</f>
        <v>0</v>
      </c>
      <c r="Q5" s="132">
        <f>IF(SER_hh_fec_in!Q5=0,0,11630*1000*SER_hh_fec_in!Q5/SER_hh_num_in!Q5)</f>
        <v>54815.96246867795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1780.4198127609466</v>
      </c>
      <c r="X5" s="132">
        <f>IF(SER_hh_fec_in!X5=0,0,11630*1000*SER_hh_fec_in!X5/SER_hh_num_in!X5)</f>
        <v>746.9030305609258</v>
      </c>
      <c r="Y5" s="132">
        <f>IF(SER_hh_fec_in!Y5=0,0,11630*1000*SER_hh_fec_in!Y5/SER_hh_num_in!Y5)</f>
        <v>14042.743091979579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57710.447573656173</v>
      </c>
      <c r="D7" s="132">
        <f>IF(SER_hh_fec_in!D7=0,0,11630*1000*SER_hh_fec_in!D7/SER_hh_num_in!D7)</f>
        <v>51252.526716376793</v>
      </c>
      <c r="E7" s="132">
        <f>IF(SER_hh_fec_in!E7=0,0,11630*1000*SER_hh_fec_in!E7/SER_hh_num_in!E7)</f>
        <v>0</v>
      </c>
      <c r="F7" s="132">
        <f>IF(SER_hh_fec_in!F7=0,0,11630*1000*SER_hh_fec_in!F7/SER_hh_num_in!F7)</f>
        <v>55640.168351419838</v>
      </c>
      <c r="G7" s="132">
        <f>IF(SER_hh_fec_in!G7=0,0,11630*1000*SER_hh_fec_in!G7/SER_hh_num_in!G7)</f>
        <v>55455.967188572926</v>
      </c>
      <c r="H7" s="132">
        <f>IF(SER_hh_fec_in!H7=0,0,11630*1000*SER_hh_fec_in!H7/SER_hh_num_in!H7)</f>
        <v>59083.922036769494</v>
      </c>
      <c r="I7" s="132">
        <f>IF(SER_hh_fec_in!I7=0,0,11630*1000*SER_hh_fec_in!I7/SER_hh_num_in!I7)</f>
        <v>39145.146576252919</v>
      </c>
      <c r="J7" s="132">
        <f>IF(SER_hh_fec_in!J7=0,0,11630*1000*SER_hh_fec_in!J7/SER_hh_num_in!J7)</f>
        <v>51458.229650048612</v>
      </c>
      <c r="K7" s="132">
        <f>IF(SER_hh_fec_in!K7=0,0,11630*1000*SER_hh_fec_in!K7/SER_hh_num_in!K7)</f>
        <v>45975.662315486363</v>
      </c>
      <c r="L7" s="132">
        <f>IF(SER_hh_fec_in!L7=0,0,11630*1000*SER_hh_fec_in!L7/SER_hh_num_in!L7)</f>
        <v>45485.222455341755</v>
      </c>
      <c r="M7" s="132">
        <f>IF(SER_hh_fec_in!M7=0,0,11630*1000*SER_hh_fec_in!M7/SER_hh_num_in!M7)</f>
        <v>37734.688075218408</v>
      </c>
      <c r="N7" s="132">
        <f>IF(SER_hh_fec_in!N7=0,0,11630*1000*SER_hh_fec_in!N7/SER_hh_num_in!N7)</f>
        <v>37462.521510183666</v>
      </c>
      <c r="O7" s="132">
        <f>IF(SER_hh_fec_in!O7=0,0,11630*1000*SER_hh_fec_in!O7/SER_hh_num_in!O7)</f>
        <v>36943.352097515606</v>
      </c>
      <c r="P7" s="132">
        <f>IF(SER_hh_fec_in!P7=0,0,11630*1000*SER_hh_fec_in!P7/SER_hh_num_in!P7)</f>
        <v>30234.131052988087</v>
      </c>
      <c r="Q7" s="132">
        <f>IF(SER_hh_fec_in!Q7=0,0,11630*1000*SER_hh_fec_in!Q7/SER_hh_num_in!Q7)</f>
        <v>27937.284409833261</v>
      </c>
      <c r="R7" s="132">
        <f>IF(SER_hh_fec_in!R7=0,0,11630*1000*SER_hh_fec_in!R7/SER_hh_num_in!R7)</f>
        <v>26991.567910763461</v>
      </c>
      <c r="S7" s="132">
        <f>IF(SER_hh_fec_in!S7=0,0,11630*1000*SER_hh_fec_in!S7/SER_hh_num_in!S7)</f>
        <v>0</v>
      </c>
      <c r="T7" s="132">
        <f>IF(SER_hh_fec_in!T7=0,0,11630*1000*SER_hh_fec_in!T7/SER_hh_num_in!T7)</f>
        <v>0</v>
      </c>
      <c r="U7" s="132">
        <f>IF(SER_hh_fec_in!U7=0,0,11630*1000*SER_hh_fec_in!U7/SER_hh_num_in!U7)</f>
        <v>0</v>
      </c>
      <c r="V7" s="132">
        <f>IF(SER_hh_fec_in!V7=0,0,11630*1000*SER_hh_fec_in!V7/SER_hh_num_in!V7)</f>
        <v>0</v>
      </c>
      <c r="W7" s="132">
        <f>IF(SER_hh_fec_in!W7=0,0,11630*1000*SER_hh_fec_in!W7/SER_hh_num_in!W7)</f>
        <v>23317.454324065671</v>
      </c>
      <c r="X7" s="132">
        <f>IF(SER_hh_fec_in!X7=0,0,11630*1000*SER_hh_fec_in!X7/SER_hh_num_in!X7)</f>
        <v>0</v>
      </c>
      <c r="Y7" s="132">
        <f>IF(SER_hh_fec_in!Y7=0,0,11630*1000*SER_hh_fec_in!Y7/SER_hh_num_in!Y7)</f>
        <v>0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17848.275028650558</v>
      </c>
      <c r="D8" s="132">
        <f>IF(SER_hh_fec_in!D8=0,0,11630*1000*SER_hh_fec_in!D8/SER_hh_num_in!D8)</f>
        <v>18965.950275407526</v>
      </c>
      <c r="E8" s="132">
        <f>IF(SER_hh_fec_in!E8=0,0,11630*1000*SER_hh_fec_in!E8/SER_hh_num_in!E8)</f>
        <v>20268.438923241531</v>
      </c>
      <c r="F8" s="132">
        <f>IF(SER_hh_fec_in!F8=0,0,11630*1000*SER_hh_fec_in!F8/SER_hh_num_in!F8)</f>
        <v>19175.239848808673</v>
      </c>
      <c r="G8" s="132">
        <f>IF(SER_hh_fec_in!G8=0,0,11630*1000*SER_hh_fec_in!G8/SER_hh_num_in!G8)</f>
        <v>15565.716823290342</v>
      </c>
      <c r="H8" s="132">
        <f>IF(SER_hh_fec_in!H8=0,0,11630*1000*SER_hh_fec_in!H8/SER_hh_num_in!H8)</f>
        <v>16243.649917453218</v>
      </c>
      <c r="I8" s="132">
        <f>IF(SER_hh_fec_in!I8=0,0,11630*1000*SER_hh_fec_in!I8/SER_hh_num_in!I8)</f>
        <v>17234.864851533301</v>
      </c>
      <c r="J8" s="132">
        <f>IF(SER_hh_fec_in!J8=0,0,11630*1000*SER_hh_fec_in!J8/SER_hh_num_in!J8)</f>
        <v>17050.994234393758</v>
      </c>
      <c r="K8" s="132">
        <f>IF(SER_hh_fec_in!K8=0,0,11630*1000*SER_hh_fec_in!K8/SER_hh_num_in!K8)</f>
        <v>14295.516041091854</v>
      </c>
      <c r="L8" s="132">
        <f>IF(SER_hh_fec_in!L8=0,0,11630*1000*SER_hh_fec_in!L8/SER_hh_num_in!L8)</f>
        <v>12062.293208886129</v>
      </c>
      <c r="M8" s="132">
        <f>IF(SER_hh_fec_in!M8=0,0,11630*1000*SER_hh_fec_in!M8/SER_hh_num_in!M8)</f>
        <v>11786.960116757877</v>
      </c>
      <c r="N8" s="132">
        <f>IF(SER_hh_fec_in!N8=0,0,11630*1000*SER_hh_fec_in!N8/SER_hh_num_in!N8)</f>
        <v>11323.174736574072</v>
      </c>
      <c r="O8" s="132">
        <f>IF(SER_hh_fec_in!O8=0,0,11630*1000*SER_hh_fec_in!O8/SER_hh_num_in!O8)</f>
        <v>10846.887008558797</v>
      </c>
      <c r="P8" s="132">
        <f>IF(SER_hh_fec_in!P8=0,0,11630*1000*SER_hh_fec_in!P8/SER_hh_num_in!P8)</f>
        <v>9317.0082882035204</v>
      </c>
      <c r="Q8" s="132">
        <f>IF(SER_hh_fec_in!Q8=0,0,11630*1000*SER_hh_fec_in!Q8/SER_hh_num_in!Q8)</f>
        <v>9043.6945590224568</v>
      </c>
      <c r="R8" s="132">
        <f>IF(SER_hh_fec_in!R8=0,0,11630*1000*SER_hh_fec_in!R8/SER_hh_num_in!R8)</f>
        <v>8034.924284338601</v>
      </c>
      <c r="S8" s="132">
        <f>IF(SER_hh_fec_in!S8=0,0,11630*1000*SER_hh_fec_in!S8/SER_hh_num_in!S8)</f>
        <v>7089.975574293414</v>
      </c>
      <c r="T8" s="132">
        <f>IF(SER_hh_fec_in!T8=0,0,11630*1000*SER_hh_fec_in!T8/SER_hh_num_in!T8)</f>
        <v>6132.3084876969915</v>
      </c>
      <c r="U8" s="132">
        <f>IF(SER_hh_fec_in!U8=0,0,11630*1000*SER_hh_fec_in!U8/SER_hh_num_in!U8)</f>
        <v>5727.8402829370098</v>
      </c>
      <c r="V8" s="132">
        <f>IF(SER_hh_fec_in!V8=0,0,11630*1000*SER_hh_fec_in!V8/SER_hh_num_in!V8)</f>
        <v>4811.4552488812433</v>
      </c>
      <c r="W8" s="132">
        <f>IF(SER_hh_fec_in!W8=0,0,11630*1000*SER_hh_fec_in!W8/SER_hh_num_in!W8)</f>
        <v>3923.8873447436649</v>
      </c>
      <c r="X8" s="132">
        <f>IF(SER_hh_fec_in!X8=0,0,11630*1000*SER_hh_fec_in!X8/SER_hh_num_in!X8)</f>
        <v>3033.3419584621747</v>
      </c>
      <c r="Y8" s="132">
        <f>IF(SER_hh_fec_in!Y8=0,0,11630*1000*SER_hh_fec_in!Y8/SER_hh_num_in!Y8)</f>
        <v>2966.547178073924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43636.084575465451</v>
      </c>
      <c r="D9" s="132">
        <f>IF(SER_hh_fec_in!D9=0,0,11630*1000*SER_hh_fec_in!D9/SER_hh_num_in!D9)</f>
        <v>42205.973891433154</v>
      </c>
      <c r="E9" s="132">
        <f>IF(SER_hh_fec_in!E9=0,0,11630*1000*SER_hh_fec_in!E9/SER_hh_num_in!E9)</f>
        <v>0</v>
      </c>
      <c r="F9" s="132">
        <f>IF(SER_hh_fec_in!F9=0,0,11630*1000*SER_hh_fec_in!F9/SER_hh_num_in!F9)</f>
        <v>0</v>
      </c>
      <c r="G9" s="132">
        <f>IF(SER_hh_fec_in!G9=0,0,11630*1000*SER_hh_fec_in!G9/SER_hh_num_in!G9)</f>
        <v>0</v>
      </c>
      <c r="H9" s="132">
        <f>IF(SER_hh_fec_in!H9=0,0,11630*1000*SER_hh_fec_in!H9/SER_hh_num_in!H9)</f>
        <v>57340.947062686064</v>
      </c>
      <c r="I9" s="132">
        <f>IF(SER_hh_fec_in!I9=0,0,11630*1000*SER_hh_fec_in!I9/SER_hh_num_in!I9)</f>
        <v>41254.752539956789</v>
      </c>
      <c r="J9" s="132">
        <f>IF(SER_hh_fec_in!J9=0,0,11630*1000*SER_hh_fec_in!J9/SER_hh_num_in!J9)</f>
        <v>44623.782583259759</v>
      </c>
      <c r="K9" s="132">
        <f>IF(SER_hh_fec_in!K9=0,0,11630*1000*SER_hh_fec_in!K9/SER_hh_num_in!K9)</f>
        <v>41194.004122203398</v>
      </c>
      <c r="L9" s="132">
        <f>IF(SER_hh_fec_in!L9=0,0,11630*1000*SER_hh_fec_in!L9/SER_hh_num_in!L9)</f>
        <v>42622.302584113451</v>
      </c>
      <c r="M9" s="132">
        <f>IF(SER_hh_fec_in!M9=0,0,11630*1000*SER_hh_fec_in!M9/SER_hh_num_in!M9)</f>
        <v>34219.977456994173</v>
      </c>
      <c r="N9" s="132">
        <f>IF(SER_hh_fec_in!N9=0,0,11630*1000*SER_hh_fec_in!N9/SER_hh_num_in!N9)</f>
        <v>32811.500050766357</v>
      </c>
      <c r="O9" s="132">
        <f>IF(SER_hh_fec_in!O9=0,0,11630*1000*SER_hh_fec_in!O9/SER_hh_num_in!O9)</f>
        <v>36896.332094905956</v>
      </c>
      <c r="P9" s="132">
        <f>IF(SER_hh_fec_in!P9=0,0,11630*1000*SER_hh_fec_in!P9/SER_hh_num_in!P9)</f>
        <v>25634.540428647422</v>
      </c>
      <c r="Q9" s="132">
        <f>IF(SER_hh_fec_in!Q9=0,0,11630*1000*SER_hh_fec_in!Q9/SER_hh_num_in!Q9)</f>
        <v>25985.312089720617</v>
      </c>
      <c r="R9" s="132">
        <f>IF(SER_hh_fec_in!R9=0,0,11630*1000*SER_hh_fec_in!R9/SER_hh_num_in!R9)</f>
        <v>23890.123585435878</v>
      </c>
      <c r="S9" s="132">
        <f>IF(SER_hh_fec_in!S9=0,0,11630*1000*SER_hh_fec_in!S9/SER_hh_num_in!S9)</f>
        <v>21514.08256072694</v>
      </c>
      <c r="T9" s="132">
        <f>IF(SER_hh_fec_in!T9=0,0,11630*1000*SER_hh_fec_in!T9/SER_hh_num_in!T9)</f>
        <v>19554.544698689628</v>
      </c>
      <c r="U9" s="132">
        <f>IF(SER_hh_fec_in!U9=0,0,11630*1000*SER_hh_fec_in!U9/SER_hh_num_in!U9)</f>
        <v>14760.169384163532</v>
      </c>
      <c r="V9" s="132">
        <f>IF(SER_hh_fec_in!V9=0,0,11630*1000*SER_hh_fec_in!V9/SER_hh_num_in!V9)</f>
        <v>15461.064330827199</v>
      </c>
      <c r="W9" s="132">
        <f>IF(SER_hh_fec_in!W9=0,0,11630*1000*SER_hh_fec_in!W9/SER_hh_num_in!W9)</f>
        <v>14903.908875167701</v>
      </c>
      <c r="X9" s="132">
        <f>IF(SER_hh_fec_in!X9=0,0,11630*1000*SER_hh_fec_in!X9/SER_hh_num_in!X9)</f>
        <v>9128.0785047569407</v>
      </c>
      <c r="Y9" s="132">
        <f>IF(SER_hh_fec_in!Y9=0,0,11630*1000*SER_hh_fec_in!Y9/SER_hh_num_in!Y9)</f>
        <v>8210.5453731997786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0</v>
      </c>
      <c r="D10" s="132">
        <f>IF(SER_hh_fec_in!D10=0,0,11630*1000*SER_hh_fec_in!D10/SER_hh_num_in!D10)</f>
        <v>0</v>
      </c>
      <c r="E10" s="132">
        <f>IF(SER_hh_fec_in!E10=0,0,11630*1000*SER_hh_fec_in!E10/SER_hh_num_in!E10)</f>
        <v>59648.327999009358</v>
      </c>
      <c r="F10" s="132">
        <f>IF(SER_hh_fec_in!F10=0,0,11630*1000*SER_hh_fec_in!F10/SER_hh_num_in!F10)</f>
        <v>56233.680663847947</v>
      </c>
      <c r="G10" s="132">
        <f>IF(SER_hh_fec_in!G10=0,0,11630*1000*SER_hh_fec_in!G10/SER_hh_num_in!G10)</f>
        <v>44933.151292984527</v>
      </c>
      <c r="H10" s="132">
        <f>IF(SER_hh_fec_in!H10=0,0,11630*1000*SER_hh_fec_in!H10/SER_hh_num_in!H10)</f>
        <v>42814.520277146119</v>
      </c>
      <c r="I10" s="132">
        <f>IF(SER_hh_fec_in!I10=0,0,11630*1000*SER_hh_fec_in!I10/SER_hh_num_in!I10)</f>
        <v>35429.234972445978</v>
      </c>
      <c r="J10" s="132">
        <f>IF(SER_hh_fec_in!J10=0,0,11630*1000*SER_hh_fec_in!J10/SER_hh_num_in!J10)</f>
        <v>40941.138553979858</v>
      </c>
      <c r="K10" s="132">
        <f>IF(SER_hh_fec_in!K10=0,0,11630*1000*SER_hh_fec_in!K10/SER_hh_num_in!K10)</f>
        <v>36274.758710666254</v>
      </c>
      <c r="L10" s="132">
        <f>IF(SER_hh_fec_in!L10=0,0,11630*1000*SER_hh_fec_in!L10/SER_hh_num_in!L10)</f>
        <v>42119.225736146138</v>
      </c>
      <c r="M10" s="132">
        <f>IF(SER_hh_fec_in!M10=0,0,11630*1000*SER_hh_fec_in!M10/SER_hh_num_in!M10)</f>
        <v>28885.840798264151</v>
      </c>
      <c r="N10" s="132">
        <f>IF(SER_hh_fec_in!N10=0,0,11630*1000*SER_hh_fec_in!N10/SER_hh_num_in!N10)</f>
        <v>30581.598608135006</v>
      </c>
      <c r="O10" s="132">
        <f>IF(SER_hh_fec_in!O10=0,0,11630*1000*SER_hh_fec_in!O10/SER_hh_num_in!O10)</f>
        <v>31755.16479124226</v>
      </c>
      <c r="P10" s="132">
        <f>IF(SER_hh_fec_in!P10=0,0,11630*1000*SER_hh_fec_in!P10/SER_hh_num_in!P10)</f>
        <v>24086.273173068308</v>
      </c>
      <c r="Q10" s="132">
        <f>IF(SER_hh_fec_in!Q10=0,0,11630*1000*SER_hh_fec_in!Q10/SER_hh_num_in!Q10)</f>
        <v>26046.207945032565</v>
      </c>
      <c r="R10" s="132">
        <f>IF(SER_hh_fec_in!R10=0,0,11630*1000*SER_hh_fec_in!R10/SER_hh_num_in!R10)</f>
        <v>22912.156776134281</v>
      </c>
      <c r="S10" s="132">
        <f>IF(SER_hh_fec_in!S10=0,0,11630*1000*SER_hh_fec_in!S10/SER_hh_num_in!S10)</f>
        <v>20643.983690461886</v>
      </c>
      <c r="T10" s="132">
        <f>IF(SER_hh_fec_in!T10=0,0,11630*1000*SER_hh_fec_in!T10/SER_hh_num_in!T10)</f>
        <v>19240.712353679435</v>
      </c>
      <c r="U10" s="132">
        <f>IF(SER_hh_fec_in!U10=0,0,11630*1000*SER_hh_fec_in!U10/SER_hh_num_in!U10)</f>
        <v>17445.680249581404</v>
      </c>
      <c r="V10" s="132">
        <f>IF(SER_hh_fec_in!V10=0,0,11630*1000*SER_hh_fec_in!V10/SER_hh_num_in!V10)</f>
        <v>14770.776350538497</v>
      </c>
      <c r="W10" s="132">
        <f>IF(SER_hh_fec_in!W10=0,0,11630*1000*SER_hh_fec_in!W10/SER_hh_num_in!W10)</f>
        <v>13573.27274305736</v>
      </c>
      <c r="X10" s="132">
        <f>IF(SER_hh_fec_in!X10=0,0,11630*1000*SER_hh_fec_in!X10/SER_hh_num_in!X10)</f>
        <v>9078.3280786109626</v>
      </c>
      <c r="Y10" s="132">
        <f>IF(SER_hh_fec_in!Y10=0,0,11630*1000*SER_hh_fec_in!Y10/SER_hh_num_in!Y10)</f>
        <v>8869.8046000041031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58411.967171712604</v>
      </c>
      <c r="F11" s="132">
        <f>IF(SER_hh_fec_in!F11=0,0,11630*1000*SER_hh_fec_in!F11/SER_hh_num_in!F11)</f>
        <v>42107.858427620355</v>
      </c>
      <c r="G11" s="132">
        <f>IF(SER_hh_fec_in!G11=0,0,11630*1000*SER_hh_fec_in!G11/SER_hh_num_in!G11)</f>
        <v>38506.681473249417</v>
      </c>
      <c r="H11" s="132">
        <f>IF(SER_hh_fec_in!H11=0,0,11630*1000*SER_hh_fec_in!H11/SER_hh_num_in!H11)</f>
        <v>35777.790510600702</v>
      </c>
      <c r="I11" s="132">
        <f>IF(SER_hh_fec_in!I11=0,0,11630*1000*SER_hh_fec_in!I11/SER_hh_num_in!I11)</f>
        <v>32666.46576674726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31324.837611821538</v>
      </c>
      <c r="L11" s="132">
        <f>IF(SER_hh_fec_in!L11=0,0,11630*1000*SER_hh_fec_in!L11/SER_hh_num_in!L11)</f>
        <v>29224.299653050351</v>
      </c>
      <c r="M11" s="132">
        <f>IF(SER_hh_fec_in!M11=0,0,11630*1000*SER_hh_fec_in!M11/SER_hh_num_in!M11)</f>
        <v>28404.287640729879</v>
      </c>
      <c r="N11" s="132">
        <f>IF(SER_hh_fec_in!N11=0,0,11630*1000*SER_hh_fec_in!N11/SER_hh_num_in!N11)</f>
        <v>25966.50847236301</v>
      </c>
      <c r="O11" s="132">
        <f>IF(SER_hh_fec_in!O11=0,0,11630*1000*SER_hh_fec_in!O11/SER_hh_num_in!O11)</f>
        <v>25722.1560088806</v>
      </c>
      <c r="P11" s="132">
        <f>IF(SER_hh_fec_in!P11=0,0,11630*1000*SER_hh_fec_in!P11/SER_hh_num_in!P11)</f>
        <v>27749.476739645434</v>
      </c>
      <c r="Q11" s="132">
        <f>IF(SER_hh_fec_in!Q11=0,0,11630*1000*SER_hh_fec_in!Q11/SER_hh_num_in!Q11)</f>
        <v>19984.276269232763</v>
      </c>
      <c r="R11" s="132">
        <f>IF(SER_hh_fec_in!R11=0,0,11630*1000*SER_hh_fec_in!R11/SER_hh_num_in!R11)</f>
        <v>19844.945202942305</v>
      </c>
      <c r="S11" s="132">
        <f>IF(SER_hh_fec_in!S11=0,0,11630*1000*SER_hh_fec_in!S11/SER_hh_num_in!S11)</f>
        <v>20190.526509613246</v>
      </c>
      <c r="T11" s="132">
        <f>IF(SER_hh_fec_in!T11=0,0,11630*1000*SER_hh_fec_in!T11/SER_hh_num_in!T11)</f>
        <v>18616.687374703761</v>
      </c>
      <c r="U11" s="132">
        <f>IF(SER_hh_fec_in!U11=0,0,11630*1000*SER_hh_fec_in!U11/SER_hh_num_in!U11)</f>
        <v>15055.814311223179</v>
      </c>
      <c r="V11" s="132">
        <f>IF(SER_hh_fec_in!V11=0,0,11630*1000*SER_hh_fec_in!V11/SER_hh_num_in!V11)</f>
        <v>13035.29252212756</v>
      </c>
      <c r="W11" s="132">
        <f>IF(SER_hh_fec_in!W11=0,0,11630*1000*SER_hh_fec_in!W11/SER_hh_num_in!W11)</f>
        <v>10971.904045924206</v>
      </c>
      <c r="X11" s="132">
        <f>IF(SER_hh_fec_in!X11=0,0,11630*1000*SER_hh_fec_in!X11/SER_hh_num_in!X11)</f>
        <v>8475.172447550729</v>
      </c>
      <c r="Y11" s="132">
        <f>IF(SER_hh_fec_in!Y11=0,0,11630*1000*SER_hh_fec_in!Y11/SER_hh_num_in!Y11)</f>
        <v>8115.4221998955118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0</v>
      </c>
      <c r="D12" s="132">
        <f>IF(SER_hh_fec_in!D12=0,0,11630*1000*SER_hh_fec_in!D12/SER_hh_num_in!D12)</f>
        <v>0</v>
      </c>
      <c r="E12" s="132">
        <f>IF(SER_hh_fec_in!E12=0,0,11630*1000*SER_hh_fec_in!E12/SER_hh_num_in!E12)</f>
        <v>57392.484727602212</v>
      </c>
      <c r="F12" s="132">
        <f>IF(SER_hh_fec_in!F12=0,0,11630*1000*SER_hh_fec_in!F12/SER_hh_num_in!F12)</f>
        <v>47351.731887809474</v>
      </c>
      <c r="G12" s="132">
        <f>IF(SER_hh_fec_in!G12=0,0,11630*1000*SER_hh_fec_in!G12/SER_hh_num_in!G12)</f>
        <v>37353.841426141342</v>
      </c>
      <c r="H12" s="132">
        <f>IF(SER_hh_fec_in!H12=0,0,11630*1000*SER_hh_fec_in!H12/SER_hh_num_in!H12)</f>
        <v>0</v>
      </c>
      <c r="I12" s="132">
        <f>IF(SER_hh_fec_in!I12=0,0,11630*1000*SER_hh_fec_in!I12/SER_hh_num_in!I12)</f>
        <v>30780.561772408222</v>
      </c>
      <c r="J12" s="132">
        <f>IF(SER_hh_fec_in!J12=0,0,11630*1000*SER_hh_fec_in!J12/SER_hh_num_in!J12)</f>
        <v>32597.622635547432</v>
      </c>
      <c r="K12" s="132">
        <f>IF(SER_hh_fec_in!K12=0,0,11630*1000*SER_hh_fec_in!K12/SER_hh_num_in!K12)</f>
        <v>30557.447042960306</v>
      </c>
      <c r="L12" s="132">
        <f>IF(SER_hh_fec_in!L12=0,0,11630*1000*SER_hh_fec_in!L12/SER_hh_num_in!L12)</f>
        <v>39545.492315238233</v>
      </c>
      <c r="M12" s="132">
        <f>IF(SER_hh_fec_in!M12=0,0,11630*1000*SER_hh_fec_in!M12/SER_hh_num_in!M12)</f>
        <v>0</v>
      </c>
      <c r="N12" s="132">
        <f>IF(SER_hh_fec_in!N12=0,0,11630*1000*SER_hh_fec_in!N12/SER_hh_num_in!N12)</f>
        <v>0</v>
      </c>
      <c r="O12" s="132">
        <f>IF(SER_hh_fec_in!O12=0,0,11630*1000*SER_hh_fec_in!O12/SER_hh_num_in!O12)</f>
        <v>0</v>
      </c>
      <c r="P12" s="132">
        <f>IF(SER_hh_fec_in!P12=0,0,11630*1000*SER_hh_fec_in!P12/SER_hh_num_in!P12)</f>
        <v>0</v>
      </c>
      <c r="Q12" s="132">
        <f>IF(SER_hh_fec_in!Q12=0,0,11630*1000*SER_hh_fec_in!Q12/SER_hh_num_in!Q12)</f>
        <v>0</v>
      </c>
      <c r="R12" s="132">
        <f>IF(SER_hh_fec_in!R12=0,0,11630*1000*SER_hh_fec_in!R12/SER_hh_num_in!R12)</f>
        <v>0</v>
      </c>
      <c r="S12" s="132">
        <f>IF(SER_hh_fec_in!S12=0,0,11630*1000*SER_hh_fec_in!S12/SER_hh_num_in!S12)</f>
        <v>19202.448398400313</v>
      </c>
      <c r="T12" s="132">
        <f>IF(SER_hh_fec_in!T12=0,0,11630*1000*SER_hh_fec_in!T12/SER_hh_num_in!T12)</f>
        <v>18541.824160815446</v>
      </c>
      <c r="U12" s="132">
        <f>IF(SER_hh_fec_in!U12=0,0,11630*1000*SER_hh_fec_in!U12/SER_hh_num_in!U12)</f>
        <v>16474.531187735462</v>
      </c>
      <c r="V12" s="132">
        <f>IF(SER_hh_fec_in!V12=0,0,11630*1000*SER_hh_fec_in!V12/SER_hh_num_in!V12)</f>
        <v>11773.470256620763</v>
      </c>
      <c r="W12" s="132">
        <f>IF(SER_hh_fec_in!W12=0,0,11630*1000*SER_hh_fec_in!W12/SER_hh_num_in!W12)</f>
        <v>15047.705076028406</v>
      </c>
      <c r="X12" s="132">
        <f>IF(SER_hh_fec_in!X12=0,0,11630*1000*SER_hh_fec_in!X12/SER_hh_num_in!X12)</f>
        <v>8828.672817069355</v>
      </c>
      <c r="Y12" s="132">
        <f>IF(SER_hh_fec_in!Y12=0,0,11630*1000*SER_hh_fec_in!Y12/SER_hh_num_in!Y12)</f>
        <v>8113.49650806108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8713.9460541856351</v>
      </c>
      <c r="D13" s="132">
        <f>IF(SER_hh_fec_in!D13=0,0,11630*1000*SER_hh_fec_in!D13/SER_hh_num_in!D13)</f>
        <v>13386.163447565907</v>
      </c>
      <c r="E13" s="132">
        <f>IF(SER_hh_fec_in!E13=0,0,11630*1000*SER_hh_fec_in!E13/SER_hh_num_in!E13)</f>
        <v>18269.844251955648</v>
      </c>
      <c r="F13" s="132">
        <f>IF(SER_hh_fec_in!F13=0,0,11630*1000*SER_hh_fec_in!F13/SER_hh_num_in!F13)</f>
        <v>14813.428725706035</v>
      </c>
      <c r="G13" s="132">
        <f>IF(SER_hh_fec_in!G13=0,0,11630*1000*SER_hh_fec_in!G13/SER_hh_num_in!G13)</f>
        <v>12710.89672406217</v>
      </c>
      <c r="H13" s="132">
        <f>IF(SER_hh_fec_in!H13=0,0,11630*1000*SER_hh_fec_in!H13/SER_hh_num_in!H13)</f>
        <v>12211.763039827112</v>
      </c>
      <c r="I13" s="132">
        <f>IF(SER_hh_fec_in!I13=0,0,11630*1000*SER_hh_fec_in!I13/SER_hh_num_in!I13)</f>
        <v>11135.23933511287</v>
      </c>
      <c r="J13" s="132">
        <f>IF(SER_hh_fec_in!J13=0,0,11630*1000*SER_hh_fec_in!J13/SER_hh_num_in!J13)</f>
        <v>10635.739968031749</v>
      </c>
      <c r="K13" s="132">
        <f>IF(SER_hh_fec_in!K13=0,0,11630*1000*SER_hh_fec_in!K13/SER_hh_num_in!K13)</f>
        <v>10315.822018756982</v>
      </c>
      <c r="L13" s="132">
        <f>IF(SER_hh_fec_in!L13=0,0,11630*1000*SER_hh_fec_in!L13/SER_hh_num_in!L13)</f>
        <v>10314.7947208101</v>
      </c>
      <c r="M13" s="132">
        <f>IF(SER_hh_fec_in!M13=0,0,11630*1000*SER_hh_fec_in!M13/SER_hh_num_in!M13)</f>
        <v>8985.5511174379608</v>
      </c>
      <c r="N13" s="132">
        <f>IF(SER_hh_fec_in!N13=0,0,11630*1000*SER_hh_fec_in!N13/SER_hh_num_in!N13)</f>
        <v>8298.8851533864326</v>
      </c>
      <c r="O13" s="132">
        <f>IF(SER_hh_fec_in!O13=0,0,11630*1000*SER_hh_fec_in!O13/SER_hh_num_in!O13)</f>
        <v>7586.7923432592706</v>
      </c>
      <c r="P13" s="132">
        <f>IF(SER_hh_fec_in!P13=0,0,11630*1000*SER_hh_fec_in!P13/SER_hh_num_in!P13)</f>
        <v>6742.7127760957255</v>
      </c>
      <c r="Q13" s="132">
        <f>IF(SER_hh_fec_in!Q13=0,0,11630*1000*SER_hh_fec_in!Q13/SER_hh_num_in!Q13)</f>
        <v>6207.8847717130575</v>
      </c>
      <c r="R13" s="132">
        <f>IF(SER_hh_fec_in!R13=0,0,11630*1000*SER_hh_fec_in!R13/SER_hh_num_in!R13)</f>
        <v>5623.1132794478535</v>
      </c>
      <c r="S13" s="132">
        <f>IF(SER_hh_fec_in!S13=0,0,11630*1000*SER_hh_fec_in!S13/SER_hh_num_in!S13)</f>
        <v>5081.8425373628334</v>
      </c>
      <c r="T13" s="132">
        <f>IF(SER_hh_fec_in!T13=0,0,11630*1000*SER_hh_fec_in!T13/SER_hh_num_in!T13)</f>
        <v>4420.4795545365396</v>
      </c>
      <c r="U13" s="132">
        <f>IF(SER_hh_fec_in!U13=0,0,11630*1000*SER_hh_fec_in!U13/SER_hh_num_in!U13)</f>
        <v>4027.813695776184</v>
      </c>
      <c r="V13" s="132">
        <f>IF(SER_hh_fec_in!V13=0,0,11630*1000*SER_hh_fec_in!V13/SER_hh_num_in!V13)</f>
        <v>3453.264929100108</v>
      </c>
      <c r="W13" s="132">
        <f>IF(SER_hh_fec_in!W13=0,0,11630*1000*SER_hh_fec_in!W13/SER_hh_num_in!W13)</f>
        <v>2813.5206353508979</v>
      </c>
      <c r="X13" s="132">
        <f>IF(SER_hh_fec_in!X13=0,0,11630*1000*SER_hh_fec_in!X13/SER_hh_num_in!X13)</f>
        <v>2174.5997940302959</v>
      </c>
      <c r="Y13" s="132">
        <f>IF(SER_hh_fec_in!Y13=0,0,11630*1000*SER_hh_fec_in!Y13/SER_hh_num_in!Y13)</f>
        <v>2146.0114973895561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44283.869991796753</v>
      </c>
      <c r="E14" s="65">
        <f>IF(SER_hh_fec_in!E14=0,0,11630*1000*SER_hh_fec_in!E14/SER_hh_num_in!E14)</f>
        <v>53499.721763184622</v>
      </c>
      <c r="F14" s="65">
        <f>IF(SER_hh_fec_in!F14=0,0,11630*1000*SER_hh_fec_in!F14/SER_hh_num_in!F14)</f>
        <v>44527.661830161633</v>
      </c>
      <c r="G14" s="65">
        <f>IF(SER_hh_fec_in!G14=0,0,11630*1000*SER_hh_fec_in!G14/SER_hh_num_in!G14)</f>
        <v>0</v>
      </c>
      <c r="H14" s="65">
        <f>IF(SER_hh_fec_in!H14=0,0,11630*1000*SER_hh_fec_in!H14/SER_hh_num_in!H14)</f>
        <v>0</v>
      </c>
      <c r="I14" s="65">
        <f>IF(SER_hh_fec_in!I14=0,0,11630*1000*SER_hh_fec_in!I14/SER_hh_num_in!I14)</f>
        <v>0</v>
      </c>
      <c r="J14" s="65">
        <f>IF(SER_hh_fec_in!J14=0,0,11630*1000*SER_hh_fec_in!J14/SER_hh_num_in!J14)</f>
        <v>0</v>
      </c>
      <c r="K14" s="65">
        <f>IF(SER_hh_fec_in!K14=0,0,11630*1000*SER_hh_fec_in!K14/SER_hh_num_in!K14)</f>
        <v>35129.003294028204</v>
      </c>
      <c r="L14" s="65">
        <f>IF(SER_hh_fec_in!L14=0,0,11630*1000*SER_hh_fec_in!L14/SER_hh_num_in!L14)</f>
        <v>40280.023730801899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29475.156435947993</v>
      </c>
      <c r="O14" s="65">
        <f>IF(SER_hh_fec_in!O14=0,0,11630*1000*SER_hh_fec_in!O14/SER_hh_num_in!O14)</f>
        <v>33640.327255945514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28392.892672306058</v>
      </c>
      <c r="R14" s="65">
        <f>IF(SER_hh_fec_in!R14=0,0,11630*1000*SER_hh_fec_in!R14/SER_hh_num_in!R14)</f>
        <v>29940.632728646684</v>
      </c>
      <c r="S14" s="65">
        <f>IF(SER_hh_fec_in!S14=0,0,11630*1000*SER_hh_fec_in!S14/SER_hh_num_in!S14)</f>
        <v>19004.051358763823</v>
      </c>
      <c r="T14" s="65">
        <f>IF(SER_hh_fec_in!T14=0,0,11630*1000*SER_hh_fec_in!T14/SER_hh_num_in!T14)</f>
        <v>14076.064878423902</v>
      </c>
      <c r="U14" s="65">
        <f>IF(SER_hh_fec_in!U14=0,0,11630*1000*SER_hh_fec_in!U14/SER_hh_num_in!U14)</f>
        <v>16133.120331155065</v>
      </c>
      <c r="V14" s="65">
        <f>IF(SER_hh_fec_in!V14=0,0,11630*1000*SER_hh_fec_in!V14/SER_hh_num_in!V14)</f>
        <v>15913.120954660619</v>
      </c>
      <c r="W14" s="65">
        <f>IF(SER_hh_fec_in!W14=0,0,11630*1000*SER_hh_fec_in!W14/SER_hh_num_in!W14)</f>
        <v>0</v>
      </c>
      <c r="X14" s="65">
        <f>IF(SER_hh_fec_in!X14=0,0,11630*1000*SER_hh_fec_in!X14/SER_hh_num_in!X14)</f>
        <v>0</v>
      </c>
      <c r="Y14" s="65">
        <f>IF(SER_hh_fec_in!Y14=0,0,11630*1000*SER_hh_fec_in!Y14/SER_hh_num_in!Y14)</f>
        <v>0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522.78089330803493</v>
      </c>
      <c r="D15" s="134">
        <f>IF(SER_hh_fec_in!D15=0,0,11630*1000*SER_hh_fec_in!D15/SER_hh_num_in!D15)</f>
        <v>522.06883451893771</v>
      </c>
      <c r="E15" s="134">
        <f>IF(SER_hh_fec_in!E15=0,0,11630*1000*SER_hh_fec_in!E15/SER_hh_num_in!E15)</f>
        <v>263.25612691326802</v>
      </c>
      <c r="F15" s="134">
        <f>IF(SER_hh_fec_in!F15=0,0,11630*1000*SER_hh_fec_in!F15/SER_hh_num_in!F15)</f>
        <v>272.87853821030177</v>
      </c>
      <c r="G15" s="134">
        <f>IF(SER_hh_fec_in!G15=0,0,11630*1000*SER_hh_fec_in!G15/SER_hh_num_in!G15)</f>
        <v>323.02535195870342</v>
      </c>
      <c r="H15" s="134">
        <f>IF(SER_hh_fec_in!H15=0,0,11630*1000*SER_hh_fec_in!H15/SER_hh_num_in!H15)</f>
        <v>609.07801580900718</v>
      </c>
      <c r="I15" s="134">
        <f>IF(SER_hh_fec_in!I15=0,0,11630*1000*SER_hh_fec_in!I15/SER_hh_num_in!I15)</f>
        <v>396.23981795601611</v>
      </c>
      <c r="J15" s="134">
        <f>IF(SER_hh_fec_in!J15=0,0,11630*1000*SER_hh_fec_in!J15/SER_hh_num_in!J15)</f>
        <v>449.310621884103</v>
      </c>
      <c r="K15" s="134">
        <f>IF(SER_hh_fec_in!K15=0,0,11630*1000*SER_hh_fec_in!K15/SER_hh_num_in!K15)</f>
        <v>417.24871976096836</v>
      </c>
      <c r="L15" s="134">
        <f>IF(SER_hh_fec_in!L15=0,0,11630*1000*SER_hh_fec_in!L15/SER_hh_num_in!L15)</f>
        <v>391.57318388231971</v>
      </c>
      <c r="M15" s="134">
        <f>IF(SER_hh_fec_in!M15=0,0,11630*1000*SER_hh_fec_in!M15/SER_hh_num_in!M15)</f>
        <v>385.25552954874621</v>
      </c>
      <c r="N15" s="134">
        <f>IF(SER_hh_fec_in!N15=0,0,11630*1000*SER_hh_fec_in!N15/SER_hh_num_in!N15)</f>
        <v>384.77636409570721</v>
      </c>
      <c r="O15" s="134">
        <f>IF(SER_hh_fec_in!O15=0,0,11630*1000*SER_hh_fec_in!O15/SER_hh_num_in!O15)</f>
        <v>428.36375823436737</v>
      </c>
      <c r="P15" s="134">
        <f>IF(SER_hh_fec_in!P15=0,0,11630*1000*SER_hh_fec_in!P15/SER_hh_num_in!P15)</f>
        <v>316.80820017420189</v>
      </c>
      <c r="Q15" s="134">
        <f>IF(SER_hh_fec_in!Q15=0,0,11630*1000*SER_hh_fec_in!Q15/SER_hh_num_in!Q15)</f>
        <v>317.13413512121338</v>
      </c>
      <c r="R15" s="134">
        <f>IF(SER_hh_fec_in!R15=0,0,11630*1000*SER_hh_fec_in!R15/SER_hh_num_in!R15)</f>
        <v>287.13347248220487</v>
      </c>
      <c r="S15" s="134">
        <f>IF(SER_hh_fec_in!S15=0,0,11630*1000*SER_hh_fec_in!S15/SER_hh_num_in!S15)</f>
        <v>197.9095004320491</v>
      </c>
      <c r="T15" s="134">
        <f>IF(SER_hh_fec_in!T15=0,0,11630*1000*SER_hh_fec_in!T15/SER_hh_num_in!T15)</f>
        <v>177.14010814877813</v>
      </c>
      <c r="U15" s="134">
        <f>IF(SER_hh_fec_in!U15=0,0,11630*1000*SER_hh_fec_in!U15/SER_hh_num_in!U15)</f>
        <v>108.52210169128739</v>
      </c>
      <c r="V15" s="134">
        <f>IF(SER_hh_fec_in!V15=0,0,11630*1000*SER_hh_fec_in!V15/SER_hh_num_in!V15)</f>
        <v>176.312454088838</v>
      </c>
      <c r="W15" s="134">
        <f>IF(SER_hh_fec_in!W15=0,0,11630*1000*SER_hh_fec_in!W15/SER_hh_num_in!W15)</f>
        <v>132.87225262109769</v>
      </c>
      <c r="X15" s="134">
        <f>IF(SER_hh_fec_in!X15=0,0,11630*1000*SER_hh_fec_in!X15/SER_hh_num_in!X15)</f>
        <v>78.720899585727224</v>
      </c>
      <c r="Y15" s="134">
        <f>IF(SER_hh_fec_in!Y15=0,0,11630*1000*SER_hh_fec_in!Y15/SER_hh_num_in!Y15)</f>
        <v>80.058802079703767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10377.670474001876</v>
      </c>
      <c r="D16" s="130">
        <f>IF(SER_hh_fec_in!D16=0,0,11630*1000*SER_hh_fec_in!D16/SER_hh_num_in!D16)</f>
        <v>9916.1113732338727</v>
      </c>
      <c r="E16" s="130">
        <f>IF(SER_hh_fec_in!E16=0,0,11630*1000*SER_hh_fec_in!E16/SER_hh_num_in!E16)</f>
        <v>11433.479368573571</v>
      </c>
      <c r="F16" s="130">
        <f>IF(SER_hh_fec_in!F16=0,0,11630*1000*SER_hh_fec_in!F16/SER_hh_num_in!F16)</f>
        <v>8914.1937790910069</v>
      </c>
      <c r="G16" s="130">
        <f>IF(SER_hh_fec_in!G16=0,0,11630*1000*SER_hh_fec_in!G16/SER_hh_num_in!G16)</f>
        <v>8574.0868968000977</v>
      </c>
      <c r="H16" s="130">
        <f>IF(SER_hh_fec_in!H16=0,0,11630*1000*SER_hh_fec_in!H16/SER_hh_num_in!H16)</f>
        <v>9071.5748425826005</v>
      </c>
      <c r="I16" s="130">
        <f>IF(SER_hh_fec_in!I16=0,0,11630*1000*SER_hh_fec_in!I16/SER_hh_num_in!I16)</f>
        <v>7927.7405475034066</v>
      </c>
      <c r="J16" s="130">
        <f>IF(SER_hh_fec_in!J16=0,0,11630*1000*SER_hh_fec_in!J16/SER_hh_num_in!J16)</f>
        <v>7573.0380114753034</v>
      </c>
      <c r="K16" s="130">
        <f>IF(SER_hh_fec_in!K16=0,0,11630*1000*SER_hh_fec_in!K16/SER_hh_num_in!K16)</f>
        <v>7138.9113082740723</v>
      </c>
      <c r="L16" s="130">
        <f>IF(SER_hh_fec_in!L16=0,0,11630*1000*SER_hh_fec_in!L16/SER_hh_num_in!L16)</f>
        <v>7389.7353649635133</v>
      </c>
      <c r="M16" s="130">
        <f>IF(SER_hh_fec_in!M16=0,0,11630*1000*SER_hh_fec_in!M16/SER_hh_num_in!M16)</f>
        <v>6434.4785014975405</v>
      </c>
      <c r="N16" s="130">
        <f>IF(SER_hh_fec_in!N16=0,0,11630*1000*SER_hh_fec_in!N16/SER_hh_num_in!N16)</f>
        <v>6139.7606648410201</v>
      </c>
      <c r="O16" s="130">
        <f>IF(SER_hh_fec_in!O16=0,0,11630*1000*SER_hh_fec_in!O16/SER_hh_num_in!O16)</f>
        <v>6003.3783106111059</v>
      </c>
      <c r="P16" s="130">
        <f>IF(SER_hh_fec_in!P16=0,0,11630*1000*SER_hh_fec_in!P16/SER_hh_num_in!P16)</f>
        <v>5345.8764674265412</v>
      </c>
      <c r="Q16" s="130">
        <f>IF(SER_hh_fec_in!Q16=0,0,11630*1000*SER_hh_fec_in!Q16/SER_hh_num_in!Q16)</f>
        <v>5721.3351251496279</v>
      </c>
      <c r="R16" s="130">
        <f>IF(SER_hh_fec_in!R16=0,0,11630*1000*SER_hh_fec_in!R16/SER_hh_num_in!R16)</f>
        <v>4902.6073608820025</v>
      </c>
      <c r="S16" s="130">
        <f>IF(SER_hh_fec_in!S16=0,0,11630*1000*SER_hh_fec_in!S16/SER_hh_num_in!S16)</f>
        <v>4674.2834471390879</v>
      </c>
      <c r="T16" s="130">
        <f>IF(SER_hh_fec_in!T16=0,0,11630*1000*SER_hh_fec_in!T16/SER_hh_num_in!T16)</f>
        <v>5527.5428084527975</v>
      </c>
      <c r="U16" s="130">
        <f>IF(SER_hh_fec_in!U16=0,0,11630*1000*SER_hh_fec_in!U16/SER_hh_num_in!U16)</f>
        <v>5055.8164052944621</v>
      </c>
      <c r="V16" s="130">
        <f>IF(SER_hh_fec_in!V16=0,0,11630*1000*SER_hh_fec_in!V16/SER_hh_num_in!V16)</f>
        <v>4128.6968277738824</v>
      </c>
      <c r="W16" s="130">
        <f>IF(SER_hh_fec_in!W16=0,0,11630*1000*SER_hh_fec_in!W16/SER_hh_num_in!W16)</f>
        <v>3643.8359125686061</v>
      </c>
      <c r="X16" s="130">
        <f>IF(SER_hh_fec_in!X16=0,0,11630*1000*SER_hh_fec_in!X16/SER_hh_num_in!X16)</f>
        <v>3633.2746413570021</v>
      </c>
      <c r="Y16" s="130">
        <f>IF(SER_hh_fec_in!Y16=0,0,11630*1000*SER_hh_fec_in!Y16/SER_hh_num_in!Y16)</f>
        <v>3508.9226038729098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20907.005130738744</v>
      </c>
      <c r="D17" s="132">
        <f>IF(SER_hh_fec_in!D17=0,0,11630*1000*SER_hh_fec_in!D17/SER_hh_num_in!D17)</f>
        <v>20512.017652881335</v>
      </c>
      <c r="E17" s="132">
        <f>IF(SER_hh_fec_in!E17=0,0,11630*1000*SER_hh_fec_in!E17/SER_hh_num_in!E17)</f>
        <v>24260.335608036919</v>
      </c>
      <c r="F17" s="132">
        <f>IF(SER_hh_fec_in!F17=0,0,11630*1000*SER_hh_fec_in!F17/SER_hh_num_in!F17)</f>
        <v>19507.45394628563</v>
      </c>
      <c r="G17" s="132">
        <f>IF(SER_hh_fec_in!G17=0,0,11630*1000*SER_hh_fec_in!G17/SER_hh_num_in!G17)</f>
        <v>19238.403734514352</v>
      </c>
      <c r="H17" s="132">
        <f>IF(SER_hh_fec_in!H17=0,0,11630*1000*SER_hh_fec_in!H17/SER_hh_num_in!H17)</f>
        <v>20777.012730417799</v>
      </c>
      <c r="I17" s="132">
        <f>IF(SER_hh_fec_in!I17=0,0,11630*1000*SER_hh_fec_in!I17/SER_hh_num_in!I17)</f>
        <v>18754.962955592368</v>
      </c>
      <c r="J17" s="132">
        <f>IF(SER_hh_fec_in!J17=0,0,11630*1000*SER_hh_fec_in!J17/SER_hh_num_in!J17)</f>
        <v>18269.468583597118</v>
      </c>
      <c r="K17" s="132">
        <f>IF(SER_hh_fec_in!K17=0,0,11630*1000*SER_hh_fec_in!K17/SER_hh_num_in!K17)</f>
        <v>17517.524913184014</v>
      </c>
      <c r="L17" s="132">
        <f>IF(SER_hh_fec_in!L17=0,0,11630*1000*SER_hh_fec_in!L17/SER_hh_num_in!L17)</f>
        <v>18542.311770869819</v>
      </c>
      <c r="M17" s="132">
        <f>IF(SER_hh_fec_in!M17=0,0,11630*1000*SER_hh_fec_in!M17/SER_hh_num_in!M17)</f>
        <v>16463.588947973174</v>
      </c>
      <c r="N17" s="132">
        <f>IF(SER_hh_fec_in!N17=0,0,11630*1000*SER_hh_fec_in!N17/SER_hh_num_in!N17)</f>
        <v>16120.17922201524</v>
      </c>
      <c r="O17" s="132">
        <f>IF(SER_hh_fec_in!O17=0,0,11630*1000*SER_hh_fec_in!O17/SER_hh_num_in!O17)</f>
        <v>16213.49749981578</v>
      </c>
      <c r="P17" s="132">
        <f>IF(SER_hh_fec_in!P17=0,0,11630*1000*SER_hh_fec_in!P17/SER_hh_num_in!P17)</f>
        <v>14948.035689159442</v>
      </c>
      <c r="Q17" s="132">
        <f>IF(SER_hh_fec_in!Q17=0,0,11630*1000*SER_hh_fec_in!Q17/SER_hh_num_in!Q17)</f>
        <v>13467.376616760774</v>
      </c>
      <c r="R17" s="132">
        <f>IF(SER_hh_fec_in!R17=0,0,11630*1000*SER_hh_fec_in!R17/SER_hh_num_in!R17)</f>
        <v>14404.452591399313</v>
      </c>
      <c r="S17" s="132">
        <f>IF(SER_hh_fec_in!S17=0,0,11630*1000*SER_hh_fec_in!S17/SER_hh_num_in!S17)</f>
        <v>12226.242912069341</v>
      </c>
      <c r="T17" s="132">
        <f>IF(SER_hh_fec_in!T17=0,0,11630*1000*SER_hh_fec_in!T17/SER_hh_num_in!T17)</f>
        <v>15881.000462667625</v>
      </c>
      <c r="U17" s="132">
        <f>IF(SER_hh_fec_in!U17=0,0,11630*1000*SER_hh_fec_in!U17/SER_hh_num_in!U17)</f>
        <v>14314.548922127236</v>
      </c>
      <c r="V17" s="132">
        <f>IF(SER_hh_fec_in!V17=0,0,11630*1000*SER_hh_fec_in!V17/SER_hh_num_in!V17)</f>
        <v>9826.7861944946162</v>
      </c>
      <c r="W17" s="132">
        <f>IF(SER_hh_fec_in!W17=0,0,11630*1000*SER_hh_fec_in!W17/SER_hh_num_in!W17)</f>
        <v>8510.8741805757345</v>
      </c>
      <c r="X17" s="132">
        <f>IF(SER_hh_fec_in!X17=0,0,11630*1000*SER_hh_fec_in!X17/SER_hh_num_in!X17)</f>
        <v>9925.3856768696205</v>
      </c>
      <c r="Y17" s="132">
        <f>IF(SER_hh_fec_in!Y17=0,0,11630*1000*SER_hh_fec_in!Y17/SER_hh_num_in!Y17)</f>
        <v>9560.0941676329639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10374.392970775491</v>
      </c>
      <c r="D18" s="132">
        <f>IF(SER_hh_fec_in!D18=0,0,11630*1000*SER_hh_fec_in!D18/SER_hh_num_in!D18)</f>
        <v>9912.5550883915021</v>
      </c>
      <c r="E18" s="132">
        <f>IF(SER_hh_fec_in!E18=0,0,11630*1000*SER_hh_fec_in!E18/SER_hh_num_in!E18)</f>
        <v>11430.498901212439</v>
      </c>
      <c r="F18" s="132">
        <f>IF(SER_hh_fec_in!F18=0,0,11630*1000*SER_hh_fec_in!F18/SER_hh_num_in!F18)</f>
        <v>8902.6754710123314</v>
      </c>
      <c r="G18" s="132">
        <f>IF(SER_hh_fec_in!G18=0,0,11630*1000*SER_hh_fec_in!G18/SER_hh_num_in!G18)</f>
        <v>8565.7303269482472</v>
      </c>
      <c r="H18" s="132">
        <f>IF(SER_hh_fec_in!H18=0,0,11630*1000*SER_hh_fec_in!H18/SER_hh_num_in!H18)</f>
        <v>9067.4680701542038</v>
      </c>
      <c r="I18" s="132">
        <f>IF(SER_hh_fec_in!I18=0,0,11630*1000*SER_hh_fec_in!I18/SER_hh_num_in!I18)</f>
        <v>7909.1090671464417</v>
      </c>
      <c r="J18" s="132">
        <f>IF(SER_hh_fec_in!J18=0,0,11630*1000*SER_hh_fec_in!J18/SER_hh_num_in!J18)</f>
        <v>7560.0895154277923</v>
      </c>
      <c r="K18" s="132">
        <f>IF(SER_hh_fec_in!K18=0,0,11630*1000*SER_hh_fec_in!K18/SER_hh_num_in!K18)</f>
        <v>7120.4443599900269</v>
      </c>
      <c r="L18" s="132">
        <f>IF(SER_hh_fec_in!L18=0,0,11630*1000*SER_hh_fec_in!L18/SER_hh_num_in!L18)</f>
        <v>7371.271715329106</v>
      </c>
      <c r="M18" s="132">
        <f>IF(SER_hh_fec_in!M18=0,0,11630*1000*SER_hh_fec_in!M18/SER_hh_num_in!M18)</f>
        <v>6414.8776359763779</v>
      </c>
      <c r="N18" s="132">
        <f>IF(SER_hh_fec_in!N18=0,0,11630*1000*SER_hh_fec_in!N18/SER_hh_num_in!N18)</f>
        <v>6123.3166727491134</v>
      </c>
      <c r="O18" s="132">
        <f>IF(SER_hh_fec_in!O18=0,0,11630*1000*SER_hh_fec_in!O18/SER_hh_num_in!O18)</f>
        <v>5978.2644774248874</v>
      </c>
      <c r="P18" s="132">
        <f>IF(SER_hh_fec_in!P18=0,0,11630*1000*SER_hh_fec_in!P18/SER_hh_num_in!P18)</f>
        <v>5288.0998953163989</v>
      </c>
      <c r="Q18" s="132">
        <f>IF(SER_hh_fec_in!Q18=0,0,11630*1000*SER_hh_fec_in!Q18/SER_hh_num_in!Q18)</f>
        <v>5649.6095472375082</v>
      </c>
      <c r="R18" s="132">
        <f>IF(SER_hh_fec_in!R18=0,0,11630*1000*SER_hh_fec_in!R18/SER_hh_num_in!R18)</f>
        <v>4860.8197135847886</v>
      </c>
      <c r="S18" s="132">
        <f>IF(SER_hh_fec_in!S18=0,0,11630*1000*SER_hh_fec_in!S18/SER_hh_num_in!S18)</f>
        <v>4610.8139896782732</v>
      </c>
      <c r="T18" s="132">
        <f>IF(SER_hh_fec_in!T18=0,0,11630*1000*SER_hh_fec_in!T18/SER_hh_num_in!T18)</f>
        <v>5425.4862361938904</v>
      </c>
      <c r="U18" s="132">
        <f>IF(SER_hh_fec_in!U18=0,0,11630*1000*SER_hh_fec_in!U18/SER_hh_num_in!U18)</f>
        <v>4980.8252163410689</v>
      </c>
      <c r="V18" s="132">
        <f>IF(SER_hh_fec_in!V18=0,0,11630*1000*SER_hh_fec_in!V18/SER_hh_num_in!V18)</f>
        <v>4099.5061303560224</v>
      </c>
      <c r="W18" s="132">
        <f>IF(SER_hh_fec_in!W18=0,0,11630*1000*SER_hh_fec_in!W18/SER_hh_num_in!W18)</f>
        <v>3615.7158702325669</v>
      </c>
      <c r="X18" s="132">
        <f>IF(SER_hh_fec_in!X18=0,0,11630*1000*SER_hh_fec_in!X18/SER_hh_num_in!X18)</f>
        <v>3603.2728163443862</v>
      </c>
      <c r="Y18" s="132">
        <f>IF(SER_hh_fec_in!Y18=0,0,11630*1000*SER_hh_fec_in!Y18/SER_hh_num_in!Y18)</f>
        <v>3468.1796775632561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8907.7065971477568</v>
      </c>
      <c r="D19" s="130">
        <f>IF(SER_hh_fec_in!D19=0,0,11630*1000*SER_hh_fec_in!D19/SER_hh_num_in!D19)</f>
        <v>7942.4254893949828</v>
      </c>
      <c r="E19" s="130">
        <f>IF(SER_hh_fec_in!E19=0,0,11630*1000*SER_hh_fec_in!E19/SER_hh_num_in!E19)</f>
        <v>9606.1656217193286</v>
      </c>
      <c r="F19" s="130">
        <f>IF(SER_hh_fec_in!F19=0,0,11630*1000*SER_hh_fec_in!F19/SER_hh_num_in!F19)</f>
        <v>8525.7378025075268</v>
      </c>
      <c r="G19" s="130">
        <f>IF(SER_hh_fec_in!G19=0,0,11630*1000*SER_hh_fec_in!G19/SER_hh_num_in!G19)</f>
        <v>8582.110935061588</v>
      </c>
      <c r="H19" s="130">
        <f>IF(SER_hh_fec_in!H19=0,0,11630*1000*SER_hh_fec_in!H19/SER_hh_num_in!H19)</f>
        <v>8929.623081921527</v>
      </c>
      <c r="I19" s="130">
        <f>IF(SER_hh_fec_in!I19=0,0,11630*1000*SER_hh_fec_in!I19/SER_hh_num_in!I19)</f>
        <v>8557.1931939495917</v>
      </c>
      <c r="J19" s="130">
        <f>IF(SER_hh_fec_in!J19=0,0,11630*1000*SER_hh_fec_in!J19/SER_hh_num_in!J19)</f>
        <v>8456.7637252971017</v>
      </c>
      <c r="K19" s="130">
        <f>IF(SER_hh_fec_in!K19=0,0,11630*1000*SER_hh_fec_in!K19/SER_hh_num_in!K19)</f>
        <v>8188.5810947150521</v>
      </c>
      <c r="L19" s="130">
        <f>IF(SER_hh_fec_in!L19=0,0,11630*1000*SER_hh_fec_in!L19/SER_hh_num_in!L19)</f>
        <v>8359.9905197205062</v>
      </c>
      <c r="M19" s="130">
        <f>IF(SER_hh_fec_in!M19=0,0,11630*1000*SER_hh_fec_in!M19/SER_hh_num_in!M19)</f>
        <v>7764.470996896418</v>
      </c>
      <c r="N19" s="130">
        <f>IF(SER_hh_fec_in!N19=0,0,11630*1000*SER_hh_fec_in!N19/SER_hh_num_in!N19)</f>
        <v>8004.3837476734434</v>
      </c>
      <c r="O19" s="130">
        <f>IF(SER_hh_fec_in!O19=0,0,11630*1000*SER_hh_fec_in!O19/SER_hh_num_in!O19)</f>
        <v>7755.9819941167407</v>
      </c>
      <c r="P19" s="130">
        <f>IF(SER_hh_fec_in!P19=0,0,11630*1000*SER_hh_fec_in!P19/SER_hh_num_in!P19)</f>
        <v>7736.5953249623362</v>
      </c>
      <c r="Q19" s="130">
        <f>IF(SER_hh_fec_in!Q19=0,0,11630*1000*SER_hh_fec_in!Q19/SER_hh_num_in!Q19)</f>
        <v>7285.2955874162644</v>
      </c>
      <c r="R19" s="130">
        <f>IF(SER_hh_fec_in!R19=0,0,11630*1000*SER_hh_fec_in!R19/SER_hh_num_in!R19)</f>
        <v>6853.0433865675468</v>
      </c>
      <c r="S19" s="130">
        <f>IF(SER_hh_fec_in!S19=0,0,11630*1000*SER_hh_fec_in!S19/SER_hh_num_in!S19)</f>
        <v>6429.4697223072908</v>
      </c>
      <c r="T19" s="130">
        <f>IF(SER_hh_fec_in!T19=0,0,11630*1000*SER_hh_fec_in!T19/SER_hh_num_in!T19)</f>
        <v>7558.9623628810778</v>
      </c>
      <c r="U19" s="130">
        <f>IF(SER_hh_fec_in!U19=0,0,11630*1000*SER_hh_fec_in!U19/SER_hh_num_in!U19)</f>
        <v>6901.1145058615648</v>
      </c>
      <c r="V19" s="130">
        <f>IF(SER_hh_fec_in!V19=0,0,11630*1000*SER_hh_fec_in!V19/SER_hh_num_in!V19)</f>
        <v>6103.6059652490339</v>
      </c>
      <c r="W19" s="130">
        <f>IF(SER_hh_fec_in!W19=0,0,11630*1000*SER_hh_fec_in!W19/SER_hh_num_in!W19)</f>
        <v>5842.012060921692</v>
      </c>
      <c r="X19" s="130">
        <f>IF(SER_hh_fec_in!X19=0,0,11630*1000*SER_hh_fec_in!X19/SER_hh_num_in!X19)</f>
        <v>5639.0735286898434</v>
      </c>
      <c r="Y19" s="130">
        <f>IF(SER_hh_fec_in!Y19=0,0,11630*1000*SER_hh_fec_in!Y19/SER_hh_num_in!Y19)</f>
        <v>5581.5490448350711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8550.3699908617127</v>
      </c>
      <c r="D21" s="132">
        <f>IF(SER_hh_fec_in!D21=0,0,11630*1000*SER_hh_fec_in!D21/SER_hh_num_in!D21)</f>
        <v>9479.1908774056192</v>
      </c>
      <c r="E21" s="132">
        <f>IF(SER_hh_fec_in!E21=0,0,11630*1000*SER_hh_fec_in!E21/SER_hh_num_in!E21)</f>
        <v>8630.1472122620853</v>
      </c>
      <c r="F21" s="132">
        <f>IF(SER_hh_fec_in!F21=0,0,11630*1000*SER_hh_fec_in!F21/SER_hh_num_in!F21)</f>
        <v>9586.9366870073791</v>
      </c>
      <c r="G21" s="132">
        <f>IF(SER_hh_fec_in!G21=0,0,11630*1000*SER_hh_fec_in!G21/SER_hh_num_in!G21)</f>
        <v>9660.2386059660439</v>
      </c>
      <c r="H21" s="132">
        <f>IF(SER_hh_fec_in!H21=0,0,11630*1000*SER_hh_fec_in!H21/SER_hh_num_in!H21)</f>
        <v>9493.2300959472414</v>
      </c>
      <c r="I21" s="132">
        <f>IF(SER_hh_fec_in!I21=0,0,11630*1000*SER_hh_fec_in!I21/SER_hh_num_in!I21)</f>
        <v>9402.1867886616201</v>
      </c>
      <c r="J21" s="132">
        <f>IF(SER_hh_fec_in!J21=0,0,11630*1000*SER_hh_fec_in!J21/SER_hh_num_in!J21)</f>
        <v>9348.9230366457941</v>
      </c>
      <c r="K21" s="132">
        <f>IF(SER_hh_fec_in!K21=0,0,11630*1000*SER_hh_fec_in!K21/SER_hh_num_in!K21)</f>
        <v>9229.7901011483664</v>
      </c>
      <c r="L21" s="132">
        <f>IF(SER_hh_fec_in!L21=0,0,11630*1000*SER_hh_fec_in!L21/SER_hh_num_in!L21)</f>
        <v>8958.9246793253078</v>
      </c>
      <c r="M21" s="132">
        <f>IF(SER_hh_fec_in!M21=0,0,11630*1000*SER_hh_fec_in!M21/SER_hh_num_in!M21)</f>
        <v>9040.4054996905634</v>
      </c>
      <c r="N21" s="132">
        <f>IF(SER_hh_fec_in!N21=0,0,11630*1000*SER_hh_fec_in!N21/SER_hh_num_in!N21)</f>
        <v>8779.4095674309829</v>
      </c>
      <c r="O21" s="132">
        <f>IF(SER_hh_fec_in!O21=0,0,11630*1000*SER_hh_fec_in!O21/SER_hh_num_in!O21)</f>
        <v>7999.395940774978</v>
      </c>
      <c r="P21" s="132">
        <f>IF(SER_hh_fec_in!P21=0,0,11630*1000*SER_hh_fec_in!P21/SER_hh_num_in!P21)</f>
        <v>7964.2335160015446</v>
      </c>
      <c r="Q21" s="132">
        <f>IF(SER_hh_fec_in!Q21=0,0,11630*1000*SER_hh_fec_in!Q21/SER_hh_num_in!Q21)</f>
        <v>7795.1013251128561</v>
      </c>
      <c r="R21" s="132">
        <f>IF(SER_hh_fec_in!R21=0,0,11630*1000*SER_hh_fec_in!R21/SER_hh_num_in!R21)</f>
        <v>7808.2647859639701</v>
      </c>
      <c r="S21" s="132">
        <f>IF(SER_hh_fec_in!S21=0,0,11630*1000*SER_hh_fec_in!S21/SER_hh_num_in!S21)</f>
        <v>6391.1572476987931</v>
      </c>
      <c r="T21" s="132">
        <f>IF(SER_hh_fec_in!T21=0,0,11630*1000*SER_hh_fec_in!T21/SER_hh_num_in!T21)</f>
        <v>7575.6693496080197</v>
      </c>
      <c r="U21" s="132">
        <f>IF(SER_hh_fec_in!U21=0,0,11630*1000*SER_hh_fec_in!U21/SER_hh_num_in!U21)</f>
        <v>7513.82452780944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9776.7800734750417</v>
      </c>
      <c r="D22" s="132">
        <f>IF(SER_hh_fec_in!D22=0,0,11630*1000*SER_hh_fec_in!D22/SER_hh_num_in!D22)</f>
        <v>0</v>
      </c>
      <c r="E22" s="132">
        <f>IF(SER_hh_fec_in!E22=0,0,11630*1000*SER_hh_fec_in!E22/SER_hh_num_in!E22)</f>
        <v>8873.4013994330817</v>
      </c>
      <c r="F22" s="132">
        <f>IF(SER_hh_fec_in!F22=0,0,11630*1000*SER_hh_fec_in!F22/SER_hh_num_in!F22)</f>
        <v>9564.2444804404349</v>
      </c>
      <c r="G22" s="132">
        <f>IF(SER_hh_fec_in!G22=0,0,11630*1000*SER_hh_fec_in!G22/SER_hh_num_in!G22)</f>
        <v>9539.2597434271611</v>
      </c>
      <c r="H22" s="132">
        <f>IF(SER_hh_fec_in!H22=0,0,11630*1000*SER_hh_fec_in!H22/SER_hh_num_in!H22)</f>
        <v>9880.0732848521839</v>
      </c>
      <c r="I22" s="132">
        <f>IF(SER_hh_fec_in!I22=0,0,11630*1000*SER_hh_fec_in!I22/SER_hh_num_in!I22)</f>
        <v>9832.0745852376403</v>
      </c>
      <c r="J22" s="132">
        <f>IF(SER_hh_fec_in!J22=0,0,11630*1000*SER_hh_fec_in!J22/SER_hh_num_in!J22)</f>
        <v>9755.5336437150108</v>
      </c>
      <c r="K22" s="132">
        <f>IF(SER_hh_fec_in!K22=0,0,11630*1000*SER_hh_fec_in!K22/SER_hh_num_in!K22)</f>
        <v>9552.2349969623156</v>
      </c>
      <c r="L22" s="132">
        <f>IF(SER_hh_fec_in!L22=0,0,11630*1000*SER_hh_fec_in!L22/SER_hh_num_in!L22)</f>
        <v>9428.2232684958508</v>
      </c>
      <c r="M22" s="132">
        <f>IF(SER_hh_fec_in!M22=0,0,11630*1000*SER_hh_fec_in!M22/SER_hh_num_in!M22)</f>
        <v>7625.4300923791143</v>
      </c>
      <c r="N22" s="132">
        <f>IF(SER_hh_fec_in!N22=0,0,11630*1000*SER_hh_fec_in!N22/SER_hh_num_in!N22)</f>
        <v>9056.6401570867165</v>
      </c>
      <c r="O22" s="132">
        <f>IF(SER_hh_fec_in!O22=0,0,11630*1000*SER_hh_fec_in!O22/SER_hh_num_in!O22)</f>
        <v>8690.7252598274954</v>
      </c>
      <c r="P22" s="132">
        <f>IF(SER_hh_fec_in!P22=0,0,11630*1000*SER_hh_fec_in!P22/SER_hh_num_in!P22)</f>
        <v>8355.3419560385701</v>
      </c>
      <c r="Q22" s="132">
        <f>IF(SER_hh_fec_in!Q22=0,0,11630*1000*SER_hh_fec_in!Q22/SER_hh_num_in!Q22)</f>
        <v>8003.3397930476649</v>
      </c>
      <c r="R22" s="132">
        <f>IF(SER_hh_fec_in!R22=0,0,11630*1000*SER_hh_fec_in!R22/SER_hh_num_in!R22)</f>
        <v>7939.4666464010197</v>
      </c>
      <c r="S22" s="132">
        <f>IF(SER_hh_fec_in!S22=0,0,11630*1000*SER_hh_fec_in!S22/SER_hh_num_in!S22)</f>
        <v>0</v>
      </c>
      <c r="T22" s="132">
        <f>IF(SER_hh_fec_in!T22=0,0,11630*1000*SER_hh_fec_in!T22/SER_hh_num_in!T22)</f>
        <v>0</v>
      </c>
      <c r="U22" s="132">
        <f>IF(SER_hh_fec_in!U22=0,0,11630*1000*SER_hh_fec_in!U22/SER_hh_num_in!U22)</f>
        <v>0</v>
      </c>
      <c r="V22" s="132">
        <f>IF(SER_hh_fec_in!V22=0,0,11630*1000*SER_hh_fec_in!V22/SER_hh_num_in!V22)</f>
        <v>0</v>
      </c>
      <c r="W22" s="132">
        <f>IF(SER_hh_fec_in!W22=0,0,11630*1000*SER_hh_fec_in!W22/SER_hh_num_in!W22)</f>
        <v>5340.1662219070067</v>
      </c>
      <c r="X22" s="132">
        <f>IF(SER_hh_fec_in!X22=0,0,11630*1000*SER_hh_fec_in!X22/SER_hh_num_in!X22)</f>
        <v>2400.3128050619985</v>
      </c>
      <c r="Y22" s="132">
        <f>IF(SER_hh_fec_in!Y22=0,0,11630*1000*SER_hh_fec_in!Y22/SER_hh_num_in!Y22)</f>
        <v>5401.3580496718369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8869.3642186870711</v>
      </c>
      <c r="D23" s="132">
        <f>IF(SER_hh_fec_in!D23=0,0,11630*1000*SER_hh_fec_in!D23/SER_hh_num_in!D23)</f>
        <v>8019.8127132530471</v>
      </c>
      <c r="E23" s="132">
        <f>IF(SER_hh_fec_in!E23=0,0,11630*1000*SER_hh_fec_in!E23/SER_hh_num_in!E23)</f>
        <v>0</v>
      </c>
      <c r="F23" s="132">
        <f>IF(SER_hh_fec_in!F23=0,0,11630*1000*SER_hh_fec_in!F23/SER_hh_num_in!F23)</f>
        <v>3982.368667426289</v>
      </c>
      <c r="G23" s="132">
        <f>IF(SER_hh_fec_in!G23=0,0,11630*1000*SER_hh_fec_in!G23/SER_hh_num_in!G23)</f>
        <v>8150.9993011537072</v>
      </c>
      <c r="H23" s="132">
        <f>IF(SER_hh_fec_in!H23=0,0,11630*1000*SER_hh_fec_in!H23/SER_hh_num_in!H23)</f>
        <v>9035.311033215261</v>
      </c>
      <c r="I23" s="132">
        <f>IF(SER_hh_fec_in!I23=0,0,11630*1000*SER_hh_fec_in!I23/SER_hh_num_in!I23)</f>
        <v>8593.3088514759784</v>
      </c>
      <c r="J23" s="132">
        <f>IF(SER_hh_fec_in!J23=0,0,11630*1000*SER_hh_fec_in!J23/SER_hh_num_in!J23)</f>
        <v>8521.3085257088915</v>
      </c>
      <c r="K23" s="132">
        <f>IF(SER_hh_fec_in!K23=0,0,11630*1000*SER_hh_fec_in!K23/SER_hh_num_in!K23)</f>
        <v>7987.9436970859078</v>
      </c>
      <c r="L23" s="132">
        <f>IF(SER_hh_fec_in!L23=0,0,11630*1000*SER_hh_fec_in!L23/SER_hh_num_in!L23)</f>
        <v>8372.9531198453824</v>
      </c>
      <c r="M23" s="132">
        <f>IF(SER_hh_fec_in!M23=0,0,11630*1000*SER_hh_fec_in!M23/SER_hh_num_in!M23)</f>
        <v>6730.4078334045935</v>
      </c>
      <c r="N23" s="132">
        <f>IF(SER_hh_fec_in!N23=0,0,11630*1000*SER_hh_fec_in!N23/SER_hh_num_in!N23)</f>
        <v>7807.3264092761201</v>
      </c>
      <c r="O23" s="132">
        <f>IF(SER_hh_fec_in!O23=0,0,11630*1000*SER_hh_fec_in!O23/SER_hh_num_in!O23)</f>
        <v>7655.6229442432805</v>
      </c>
      <c r="P23" s="132">
        <f>IF(SER_hh_fec_in!P23=0,0,11630*1000*SER_hh_fec_in!P23/SER_hh_num_in!P23)</f>
        <v>7764.1291563249588</v>
      </c>
      <c r="Q23" s="132">
        <f>IF(SER_hh_fec_in!Q23=0,0,11630*1000*SER_hh_fec_in!Q23/SER_hh_num_in!Q23)</f>
        <v>7067.305177569795</v>
      </c>
      <c r="R23" s="132">
        <f>IF(SER_hh_fec_in!R23=0,0,11630*1000*SER_hh_fec_in!R23/SER_hh_num_in!R23)</f>
        <v>6663.9121357504746</v>
      </c>
      <c r="S23" s="132">
        <f>IF(SER_hh_fec_in!S23=0,0,11630*1000*SER_hh_fec_in!S23/SER_hh_num_in!S23)</f>
        <v>6206.2150701840983</v>
      </c>
      <c r="T23" s="132">
        <f>IF(SER_hh_fec_in!T23=0,0,11630*1000*SER_hh_fec_in!T23/SER_hh_num_in!T23)</f>
        <v>7364.123068219139</v>
      </c>
      <c r="U23" s="132">
        <f>IF(SER_hh_fec_in!U23=0,0,11630*1000*SER_hh_fec_in!U23/SER_hh_num_in!U23)</f>
        <v>6877.3056552165008</v>
      </c>
      <c r="V23" s="132">
        <f>IF(SER_hh_fec_in!V23=0,0,11630*1000*SER_hh_fec_in!V23/SER_hh_num_in!V23)</f>
        <v>5325.3376681837262</v>
      </c>
      <c r="W23" s="132">
        <f>IF(SER_hh_fec_in!W23=0,0,11630*1000*SER_hh_fec_in!W23/SER_hh_num_in!W23)</f>
        <v>5681.0227536410785</v>
      </c>
      <c r="X23" s="132">
        <f>IF(SER_hh_fec_in!X23=0,0,11630*1000*SER_hh_fec_in!X23/SER_hh_num_in!X23)</f>
        <v>4726.2117215594526</v>
      </c>
      <c r="Y23" s="132">
        <f>IF(SER_hh_fec_in!Y23=0,0,11630*1000*SER_hh_fec_in!Y23/SER_hh_num_in!Y23)</f>
        <v>5587.2293593859122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0</v>
      </c>
      <c r="D25" s="132">
        <f>IF(SER_hh_fec_in!D25=0,0,11630*1000*SER_hh_fec_in!D25/SER_hh_num_in!D25)</f>
        <v>0</v>
      </c>
      <c r="E25" s="132">
        <f>IF(SER_hh_fec_in!E25=0,0,11630*1000*SER_hh_fec_in!E25/SER_hh_num_in!E25)</f>
        <v>9246.2320774445179</v>
      </c>
      <c r="F25" s="132">
        <f>IF(SER_hh_fec_in!F25=0,0,11630*1000*SER_hh_fec_in!F25/SER_hh_num_in!F25)</f>
        <v>7518.2051878804014</v>
      </c>
      <c r="G25" s="132">
        <f>IF(SER_hh_fec_in!G25=0,0,11630*1000*SER_hh_fec_in!G25/SER_hh_num_in!G25)</f>
        <v>6789.8065957008703</v>
      </c>
      <c r="H25" s="132">
        <f>IF(SER_hh_fec_in!H25=0,0,11630*1000*SER_hh_fec_in!H25/SER_hh_num_in!H25)</f>
        <v>6861.0617823863913</v>
      </c>
      <c r="I25" s="132">
        <f>IF(SER_hh_fec_in!I25=0,0,11630*1000*SER_hh_fec_in!I25/SER_hh_num_in!I25)</f>
        <v>6735.4421484933091</v>
      </c>
      <c r="J25" s="132">
        <f>IF(SER_hh_fec_in!J25=0,0,11630*1000*SER_hh_fec_in!J25/SER_hh_num_in!J25)</f>
        <v>6740.8956552859872</v>
      </c>
      <c r="K25" s="132">
        <f>IF(SER_hh_fec_in!K25=0,0,11630*1000*SER_hh_fec_in!K25/SER_hh_num_in!K25)</f>
        <v>6718.7045111969819</v>
      </c>
      <c r="L25" s="132">
        <f>IF(SER_hh_fec_in!L25=0,0,11630*1000*SER_hh_fec_in!L25/SER_hh_num_in!L25)</f>
        <v>6698.7843224314693</v>
      </c>
      <c r="M25" s="132">
        <f>IF(SER_hh_fec_in!M25=0,0,11630*1000*SER_hh_fec_in!M25/SER_hh_num_in!M25)</f>
        <v>6870.4889182235211</v>
      </c>
      <c r="N25" s="132">
        <f>IF(SER_hh_fec_in!N25=0,0,11630*1000*SER_hh_fec_in!N25/SER_hh_num_in!N25)</f>
        <v>0</v>
      </c>
      <c r="O25" s="132">
        <f>IF(SER_hh_fec_in!O25=0,0,11630*1000*SER_hh_fec_in!O25/SER_hh_num_in!O25)</f>
        <v>0</v>
      </c>
      <c r="P25" s="132">
        <f>IF(SER_hh_fec_in!P25=0,0,11630*1000*SER_hh_fec_in!P25/SER_hh_num_in!P25)</f>
        <v>0</v>
      </c>
      <c r="Q25" s="132">
        <f>IF(SER_hh_fec_in!Q25=0,0,11630*1000*SER_hh_fec_in!Q25/SER_hh_num_in!Q25)</f>
        <v>0</v>
      </c>
      <c r="R25" s="132">
        <f>IF(SER_hh_fec_in!R25=0,0,11630*1000*SER_hh_fec_in!R25/SER_hh_num_in!R25)</f>
        <v>0</v>
      </c>
      <c r="S25" s="132">
        <f>IF(SER_hh_fec_in!S25=0,0,11630*1000*SER_hh_fec_in!S25/SER_hh_num_in!S25)</f>
        <v>6262.0424464279822</v>
      </c>
      <c r="T25" s="132">
        <f>IF(SER_hh_fec_in!T25=0,0,11630*1000*SER_hh_fec_in!T25/SER_hh_num_in!T25)</f>
        <v>6566.8408554847092</v>
      </c>
      <c r="U25" s="132">
        <f>IF(SER_hh_fec_in!U25=0,0,11630*1000*SER_hh_fec_in!U25/SER_hh_num_in!U25)</f>
        <v>6201.0573646529838</v>
      </c>
      <c r="V25" s="132">
        <f>IF(SER_hh_fec_in!V25=0,0,11630*1000*SER_hh_fec_in!V25/SER_hh_num_in!V25)</f>
        <v>5057.1517662689876</v>
      </c>
      <c r="W25" s="132">
        <f>IF(SER_hh_fec_in!W25=0,0,11630*1000*SER_hh_fec_in!W25/SER_hh_num_in!W25)</f>
        <v>5696.5471142102169</v>
      </c>
      <c r="X25" s="132">
        <f>IF(SER_hh_fec_in!X25=0,0,11630*1000*SER_hh_fec_in!X25/SER_hh_num_in!X25)</f>
        <v>3714.3184938764261</v>
      </c>
      <c r="Y25" s="132">
        <f>IF(SER_hh_fec_in!Y25=0,0,11630*1000*SER_hh_fec_in!Y25/SER_hh_num_in!Y25)</f>
        <v>5143.5011351902667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7107.9435445815261</v>
      </c>
      <c r="D26" s="65">
        <f>IF(SER_hh_fec_in!D26=0,0,11630*1000*SER_hh_fec_in!D26/SER_hh_num_in!D26)</f>
        <v>4012.4869642954577</v>
      </c>
      <c r="E26" s="65">
        <f>IF(SER_hh_fec_in!E26=0,0,11630*1000*SER_hh_fec_in!E26/SER_hh_num_in!E26)</f>
        <v>0</v>
      </c>
      <c r="F26" s="65">
        <f>IF(SER_hh_fec_in!F26=0,0,11630*1000*SER_hh_fec_in!F26/SER_hh_num_in!F26)</f>
        <v>0</v>
      </c>
      <c r="G26" s="65">
        <f>IF(SER_hh_fec_in!G26=0,0,11630*1000*SER_hh_fec_in!G26/SER_hh_num_in!G26)</f>
        <v>0</v>
      </c>
      <c r="H26" s="65">
        <f>IF(SER_hh_fec_in!H26=0,0,11630*1000*SER_hh_fec_in!H26/SER_hh_num_in!H26)</f>
        <v>5001.0551593982173</v>
      </c>
      <c r="I26" s="65">
        <f>IF(SER_hh_fec_in!I26=0,0,11630*1000*SER_hh_fec_in!I26/SER_hh_num_in!I26)</f>
        <v>5814.600764324995</v>
      </c>
      <c r="J26" s="65">
        <f>IF(SER_hh_fec_in!J26=0,0,11630*1000*SER_hh_fec_in!J26/SER_hh_num_in!J26)</f>
        <v>7202.5007183630842</v>
      </c>
      <c r="K26" s="65">
        <f>IF(SER_hh_fec_in!K26=0,0,11630*1000*SER_hh_fec_in!K26/SER_hh_num_in!K26)</f>
        <v>3693.4551938791365</v>
      </c>
      <c r="L26" s="65">
        <f>IF(SER_hh_fec_in!L26=0,0,11630*1000*SER_hh_fec_in!L26/SER_hh_num_in!L26)</f>
        <v>6194.9552713194753</v>
      </c>
      <c r="M26" s="65">
        <f>IF(SER_hh_fec_in!M26=0,0,11630*1000*SER_hh_fec_in!M26/SER_hh_num_in!M26)</f>
        <v>3245.2854047167302</v>
      </c>
      <c r="N26" s="65">
        <f>IF(SER_hh_fec_in!N26=0,0,11630*1000*SER_hh_fec_in!N26/SER_hh_num_in!N26)</f>
        <v>5924.0238478431038</v>
      </c>
      <c r="O26" s="65">
        <f>IF(SER_hh_fec_in!O26=0,0,11630*1000*SER_hh_fec_in!O26/SER_hh_num_in!O26)</f>
        <v>3701.3230153482632</v>
      </c>
      <c r="P26" s="65">
        <f>IF(SER_hh_fec_in!P26=0,0,11630*1000*SER_hh_fec_in!P26/SER_hh_num_in!P26)</f>
        <v>6878.9398347713532</v>
      </c>
      <c r="Q26" s="65">
        <f>IF(SER_hh_fec_in!Q26=0,0,11630*1000*SER_hh_fec_in!Q26/SER_hh_num_in!Q26)</f>
        <v>5523.5952323501542</v>
      </c>
      <c r="R26" s="65">
        <f>IF(SER_hh_fec_in!R26=0,0,11630*1000*SER_hh_fec_in!R26/SER_hh_num_in!R26)</f>
        <v>5681.0197474857023</v>
      </c>
      <c r="S26" s="65">
        <f>IF(SER_hh_fec_in!S26=0,0,11630*1000*SER_hh_fec_in!S26/SER_hh_num_in!S26)</f>
        <v>3350.6930839151969</v>
      </c>
      <c r="T26" s="65">
        <f>IF(SER_hh_fec_in!T26=0,0,11630*1000*SER_hh_fec_in!T26/SER_hh_num_in!T26)</f>
        <v>0</v>
      </c>
      <c r="U26" s="65">
        <f>IF(SER_hh_fec_in!U26=0,0,11630*1000*SER_hh_fec_in!U26/SER_hh_num_in!U26)</f>
        <v>0</v>
      </c>
      <c r="V26" s="65">
        <f>IF(SER_hh_fec_in!V26=0,0,11630*1000*SER_hh_fec_in!V26/SER_hh_num_in!V26)</f>
        <v>0</v>
      </c>
      <c r="W26" s="65">
        <f>IF(SER_hh_fec_in!W26=0,0,11630*1000*SER_hh_fec_in!W26/SER_hh_num_in!W26)</f>
        <v>0</v>
      </c>
      <c r="X26" s="65">
        <f>IF(SER_hh_fec_in!X26=0,0,11630*1000*SER_hh_fec_in!X26/SER_hh_num_in!X26)</f>
        <v>0</v>
      </c>
      <c r="Y26" s="65">
        <f>IF(SER_hh_fec_in!Y26=0,0,11630*1000*SER_hh_fec_in!Y26/SER_hh_num_in!Y26)</f>
        <v>0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143.93298074760759</v>
      </c>
      <c r="D27" s="145">
        <f>IF(SER_hh_fec_in!D27=0,0,11630*1000*SER_hh_fec_in!D27/SER_hh_num_in!D19)</f>
        <v>689.97761071166065</v>
      </c>
      <c r="E27" s="145">
        <f>IF(SER_hh_fec_in!E27=0,0,11630*1000*SER_hh_fec_in!E27/SER_hh_num_in!E19)</f>
        <v>483.90430512541184</v>
      </c>
      <c r="F27" s="145">
        <f>IF(SER_hh_fec_in!F27=0,0,11630*1000*SER_hh_fec_in!F27/SER_hh_num_in!F19)</f>
        <v>108.96721335431351</v>
      </c>
      <c r="G27" s="145">
        <f>IF(SER_hh_fec_in!G27=0,0,11630*1000*SER_hh_fec_in!G27/SER_hh_num_in!G19)</f>
        <v>259.53225168772155</v>
      </c>
      <c r="H27" s="145">
        <f>IF(SER_hh_fec_in!H27=0,0,11630*1000*SER_hh_fec_in!H27/SER_hh_num_in!H19)</f>
        <v>277.77328629458924</v>
      </c>
      <c r="I27" s="145">
        <f>IF(SER_hh_fec_in!I27=0,0,11630*1000*SER_hh_fec_in!I27/SER_hh_num_in!I19)</f>
        <v>500.53003765053222</v>
      </c>
      <c r="J27" s="145">
        <f>IF(SER_hh_fec_in!J27=0,0,11630*1000*SER_hh_fec_in!J27/SER_hh_num_in!J19)</f>
        <v>151.51065105612204</v>
      </c>
      <c r="K27" s="145">
        <f>IF(SER_hh_fec_in!K27=0,0,11630*1000*SER_hh_fec_in!K27/SER_hh_num_in!K19)</f>
        <v>1649.8335614136256</v>
      </c>
      <c r="L27" s="145">
        <f>IF(SER_hh_fec_in!L27=0,0,11630*1000*SER_hh_fec_in!L27/SER_hh_num_in!L19)</f>
        <v>432.15839488251885</v>
      </c>
      <c r="M27" s="145">
        <f>IF(SER_hh_fec_in!M27=0,0,11630*1000*SER_hh_fec_in!M27/SER_hh_num_in!M19)</f>
        <v>1616.585868767173</v>
      </c>
      <c r="N27" s="145">
        <f>IF(SER_hh_fec_in!N27=0,0,11630*1000*SER_hh_fec_in!N27/SER_hh_num_in!N19)</f>
        <v>321.73289172520094</v>
      </c>
      <c r="O27" s="145">
        <f>IF(SER_hh_fec_in!O27=0,0,11630*1000*SER_hh_fec_in!O27/SER_hh_num_in!O19)</f>
        <v>694.03104201338328</v>
      </c>
      <c r="P27" s="145">
        <f>IF(SER_hh_fec_in!P27=0,0,11630*1000*SER_hh_fec_in!P27/SER_hh_num_in!P19)</f>
        <v>0.36369644439090082</v>
      </c>
      <c r="Q27" s="145">
        <f>IF(SER_hh_fec_in!Q27=0,0,11630*1000*SER_hh_fec_in!Q27/SER_hh_num_in!Q19)</f>
        <v>343.41016029922156</v>
      </c>
      <c r="R27" s="145">
        <f>IF(SER_hh_fec_in!R27=0,0,11630*1000*SER_hh_fec_in!R27/SER_hh_num_in!R19)</f>
        <v>259.05817400258195</v>
      </c>
      <c r="S27" s="145">
        <f>IF(SER_hh_fec_in!S27=0,0,11630*1000*SER_hh_fec_in!S27/SER_hh_num_in!S19)</f>
        <v>384.1636877862847</v>
      </c>
      <c r="T27" s="145">
        <f>IF(SER_hh_fec_in!T27=0,0,11630*1000*SER_hh_fec_in!T27/SER_hh_num_in!T19)</f>
        <v>309.43031008529937</v>
      </c>
      <c r="U27" s="145">
        <f>IF(SER_hh_fec_in!U27=0,0,11630*1000*SER_hh_fec_in!U27/SER_hh_num_in!U19)</f>
        <v>195.87326875853219</v>
      </c>
      <c r="V27" s="145">
        <f>IF(SER_hh_fec_in!V27=0,0,11630*1000*SER_hh_fec_in!V27/SER_hh_num_in!V19)</f>
        <v>808.47072070966829</v>
      </c>
      <c r="W27" s="145">
        <f>IF(SER_hh_fec_in!W27=0,0,11630*1000*SER_hh_fec_in!W27/SER_hh_num_in!W19)</f>
        <v>193.15551260873673</v>
      </c>
      <c r="X27" s="145">
        <f>IF(SER_hh_fec_in!X27=0,0,11630*1000*SER_hh_fec_in!X27/SER_hh_num_in!X19)</f>
        <v>1116.2029531428418</v>
      </c>
      <c r="Y27" s="145">
        <f>IF(SER_hh_fec_in!Y27=0,0,11630*1000*SER_hh_fec_in!Y27/SER_hh_num_in!Y19)</f>
        <v>25.226377361008886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3474.5315579316821</v>
      </c>
      <c r="D28" s="146">
        <f>IF(SER_hh_fec_in!D27=0,0,11630*1000*SER_hh_fec_in!D27/SER_hh_num_in!D27)</f>
        <v>3392.9963687648933</v>
      </c>
      <c r="E28" s="146">
        <f>IF(SER_hh_fec_in!E27=0,0,11630*1000*SER_hh_fec_in!E27/SER_hh_num_in!E27)</f>
        <v>4683.4639938872415</v>
      </c>
      <c r="F28" s="146">
        <f>IF(SER_hh_fec_in!F27=0,0,11630*1000*SER_hh_fec_in!F27/SER_hh_num_in!F27)</f>
        <v>3435.4522518156973</v>
      </c>
      <c r="G28" s="146">
        <f>IF(SER_hh_fec_in!G27=0,0,11630*1000*SER_hh_fec_in!G27/SER_hh_num_in!G27)</f>
        <v>3284.6407131358096</v>
      </c>
      <c r="H28" s="146">
        <f>IF(SER_hh_fec_in!H27=0,0,11630*1000*SER_hh_fec_in!H27/SER_hh_num_in!H27)</f>
        <v>3403.6525296741083</v>
      </c>
      <c r="I28" s="146">
        <f>IF(SER_hh_fec_in!I27=0,0,11630*1000*SER_hh_fec_in!I27/SER_hh_num_in!I27)</f>
        <v>3106.9883756653444</v>
      </c>
      <c r="J28" s="146">
        <f>IF(SER_hh_fec_in!J27=0,0,11630*1000*SER_hh_fec_in!J27/SER_hh_num_in!J27)</f>
        <v>3392.0964086719891</v>
      </c>
      <c r="K28" s="146">
        <f>IF(SER_hh_fec_in!K27=0,0,11630*1000*SER_hh_fec_in!K27/SER_hh_num_in!K27)</f>
        <v>3457.6839282199894</v>
      </c>
      <c r="L28" s="146">
        <f>IF(SER_hh_fec_in!L27=0,0,11630*1000*SER_hh_fec_in!L27/SER_hh_num_in!L27)</f>
        <v>3453.2988289998057</v>
      </c>
      <c r="M28" s="146">
        <f>IF(SER_hh_fec_in!M27=0,0,11630*1000*SER_hh_fec_in!M27/SER_hh_num_in!M27)</f>
        <v>3241.2377085889657</v>
      </c>
      <c r="N28" s="146">
        <f>IF(SER_hh_fec_in!N27=0,0,11630*1000*SER_hh_fec_in!N27/SER_hh_num_in!N27)</f>
        <v>3294.9818791224384</v>
      </c>
      <c r="O28" s="146">
        <f>IF(SER_hh_fec_in!O27=0,0,11630*1000*SER_hh_fec_in!O27/SER_hh_num_in!O27)</f>
        <v>3124.7311876835861</v>
      </c>
      <c r="P28" s="146">
        <f>IF(SER_hh_fec_in!P27=0,0,11630*1000*SER_hh_fec_in!P27/SER_hh_num_in!P27)</f>
        <v>3659.2412308396138</v>
      </c>
      <c r="Q28" s="146">
        <f>IF(SER_hh_fec_in!Q27=0,0,11630*1000*SER_hh_fec_in!Q27/SER_hh_num_in!Q27)</f>
        <v>3508.9726124386111</v>
      </c>
      <c r="R28" s="146">
        <f>IF(SER_hh_fec_in!R27=0,0,11630*1000*SER_hh_fec_in!R27/SER_hh_num_in!R27)</f>
        <v>3451.8473383223686</v>
      </c>
      <c r="S28" s="146">
        <f>IF(SER_hh_fec_in!S27=0,0,11630*1000*SER_hh_fec_in!S27/SER_hh_num_in!S27)</f>
        <v>3112.3109311646544</v>
      </c>
      <c r="T28" s="146">
        <f>IF(SER_hh_fec_in!T27=0,0,11630*1000*SER_hh_fec_in!T27/SER_hh_num_in!T27)</f>
        <v>4052.7563746697028</v>
      </c>
      <c r="U28" s="146">
        <f>IF(SER_hh_fec_in!U27=0,0,11630*1000*SER_hh_fec_in!U27/SER_hh_num_in!U27)</f>
        <v>3527.8331710917359</v>
      </c>
      <c r="V28" s="146">
        <f>IF(SER_hh_fec_in!V27=0,0,11630*1000*SER_hh_fec_in!V27/SER_hh_num_in!V27)</f>
        <v>3423.8622316413398</v>
      </c>
      <c r="W28" s="146">
        <f>IF(SER_hh_fec_in!W27=0,0,11630*1000*SER_hh_fec_in!W27/SER_hh_num_in!W27)</f>
        <v>2834.6363876449595</v>
      </c>
      <c r="X28" s="146">
        <f>IF(SER_hh_fec_in!X27=0,0,11630*1000*SER_hh_fec_in!X27/SER_hh_num_in!X27)</f>
        <v>3077.1689183115882</v>
      </c>
      <c r="Y28" s="146">
        <f>IF(SER_hh_fec_in!Y27=0,0,11630*1000*SER_hh_fec_in!Y27/SER_hh_num_in!Y27)</f>
        <v>3261.7334972958856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10192.355233908411</v>
      </c>
      <c r="D29" s="130">
        <f>IF(SER_hh_fec_in!D29=0,0,11630*1000*SER_hh_fec_in!D29/SER_hh_num_in!D29)</f>
        <v>10306.867616797515</v>
      </c>
      <c r="E29" s="130">
        <f>IF(SER_hh_fec_in!E29=0,0,11630*1000*SER_hh_fec_in!E29/SER_hh_num_in!E29)</f>
        <v>10973.582343399134</v>
      </c>
      <c r="F29" s="130">
        <f>IF(SER_hh_fec_in!F29=0,0,11630*1000*SER_hh_fec_in!F29/SER_hh_num_in!F29)</f>
        <v>10794.208817857309</v>
      </c>
      <c r="G29" s="130">
        <f>IF(SER_hh_fec_in!G29=0,0,11630*1000*SER_hh_fec_in!G29/SER_hh_num_in!G29)</f>
        <v>10287.21386295682</v>
      </c>
      <c r="H29" s="130">
        <f>IF(SER_hh_fec_in!H29=0,0,11630*1000*SER_hh_fec_in!H29/SER_hh_num_in!H29)</f>
        <v>10381.563499812151</v>
      </c>
      <c r="I29" s="130">
        <f>IF(SER_hh_fec_in!I29=0,0,11630*1000*SER_hh_fec_in!I29/SER_hh_num_in!I29)</f>
        <v>10168.456763729111</v>
      </c>
      <c r="J29" s="130">
        <f>IF(SER_hh_fec_in!J29=0,0,11630*1000*SER_hh_fec_in!J29/SER_hh_num_in!J29)</f>
        <v>9779.0616091745087</v>
      </c>
      <c r="K29" s="130">
        <f>IF(SER_hh_fec_in!K29=0,0,11630*1000*SER_hh_fec_in!K29/SER_hh_num_in!K29)</f>
        <v>9870.8202969094691</v>
      </c>
      <c r="L29" s="130">
        <f>IF(SER_hh_fec_in!L29=0,0,11630*1000*SER_hh_fec_in!L29/SER_hh_num_in!L29)</f>
        <v>10137.529212178553</v>
      </c>
      <c r="M29" s="130">
        <f>IF(SER_hh_fec_in!M29=0,0,11630*1000*SER_hh_fec_in!M29/SER_hh_num_in!M29)</f>
        <v>9520.7317655265724</v>
      </c>
      <c r="N29" s="130">
        <f>IF(SER_hh_fec_in!N29=0,0,11630*1000*SER_hh_fec_in!N29/SER_hh_num_in!N29)</f>
        <v>10475.204392155894</v>
      </c>
      <c r="O29" s="130">
        <f>IF(SER_hh_fec_in!O29=0,0,11630*1000*SER_hh_fec_in!O29/SER_hh_num_in!O29)</f>
        <v>10641.91693375238</v>
      </c>
      <c r="P29" s="130">
        <f>IF(SER_hh_fec_in!P29=0,0,11630*1000*SER_hh_fec_in!P29/SER_hh_num_in!P29)</f>
        <v>12914.43197670741</v>
      </c>
      <c r="Q29" s="130">
        <f>IF(SER_hh_fec_in!Q29=0,0,11630*1000*SER_hh_fec_in!Q29/SER_hh_num_in!Q29)</f>
        <v>10737.544277554427</v>
      </c>
      <c r="R29" s="130">
        <f>IF(SER_hh_fec_in!R29=0,0,11630*1000*SER_hh_fec_in!R29/SER_hh_num_in!R29)</f>
        <v>10456.388217032381</v>
      </c>
      <c r="S29" s="130">
        <f>IF(SER_hh_fec_in!S29=0,0,11630*1000*SER_hh_fec_in!S29/SER_hh_num_in!S29)</f>
        <v>10772.370088711976</v>
      </c>
      <c r="T29" s="130">
        <f>IF(SER_hh_fec_in!T29=0,0,11630*1000*SER_hh_fec_in!T29/SER_hh_num_in!T29)</f>
        <v>11670.404232588209</v>
      </c>
      <c r="U29" s="130">
        <f>IF(SER_hh_fec_in!U29=0,0,11630*1000*SER_hh_fec_in!U29/SER_hh_num_in!U29)</f>
        <v>11062.636066272125</v>
      </c>
      <c r="V29" s="130">
        <f>IF(SER_hh_fec_in!V29=0,0,11630*1000*SER_hh_fec_in!V29/SER_hh_num_in!V29)</f>
        <v>9731.5819307205475</v>
      </c>
      <c r="W29" s="130">
        <f>IF(SER_hh_fec_in!W29=0,0,11630*1000*SER_hh_fec_in!W29/SER_hh_num_in!W29)</f>
        <v>9225.5370661768575</v>
      </c>
      <c r="X29" s="130">
        <f>IF(SER_hh_fec_in!X29=0,0,11630*1000*SER_hh_fec_in!X29/SER_hh_num_in!X29)</f>
        <v>9329.69123701426</v>
      </c>
      <c r="Y29" s="130">
        <f>IF(SER_hh_fec_in!Y29=0,0,11630*1000*SER_hh_fec_in!Y29/SER_hh_num_in!Y29)</f>
        <v>9214.5433100405298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10676.435009970439</v>
      </c>
      <c r="D30" s="132">
        <f>IF(SER_hh_fec_in!D30=0,0,11630*1000*SER_hh_fec_in!D30/SER_hh_num_in!D30)</f>
        <v>7823.1977613732306</v>
      </c>
      <c r="E30" s="132">
        <f>IF(SER_hh_fec_in!E30=0,0,11630*1000*SER_hh_fec_in!E30/SER_hh_num_in!E30)</f>
        <v>13525.629609690001</v>
      </c>
      <c r="F30" s="132">
        <f>IF(SER_hh_fec_in!F30=0,0,11630*1000*SER_hh_fec_in!F30/SER_hh_num_in!F30)</f>
        <v>10638.630285732959</v>
      </c>
      <c r="G30" s="132">
        <f>IF(SER_hh_fec_in!G30=0,0,11630*1000*SER_hh_fec_in!G30/SER_hh_num_in!G30)</f>
        <v>17073.757244622688</v>
      </c>
      <c r="H30" s="132">
        <f>IF(SER_hh_fec_in!H30=0,0,11630*1000*SER_hh_fec_in!H30/SER_hh_num_in!H30)</f>
        <v>10934.907841632716</v>
      </c>
      <c r="I30" s="132">
        <f>IF(SER_hh_fec_in!I30=0,0,11630*1000*SER_hh_fec_in!I30/SER_hh_num_in!I30)</f>
        <v>10306.170282235345</v>
      </c>
      <c r="J30" s="132">
        <f>IF(SER_hh_fec_in!J30=0,0,11630*1000*SER_hh_fec_in!J30/SER_hh_num_in!J30)</f>
        <v>12215.851881488319</v>
      </c>
      <c r="K30" s="132">
        <f>IF(SER_hh_fec_in!K30=0,0,11630*1000*SER_hh_fec_in!K30/SER_hh_num_in!K30)</f>
        <v>11037.725076686786</v>
      </c>
      <c r="L30" s="132">
        <f>IF(SER_hh_fec_in!L30=0,0,11630*1000*SER_hh_fec_in!L30/SER_hh_num_in!L30)</f>
        <v>9383.4481612343516</v>
      </c>
      <c r="M30" s="132">
        <f>IF(SER_hh_fec_in!M30=0,0,11630*1000*SER_hh_fec_in!M30/SER_hh_num_in!M30)</f>
        <v>9312.1208581620176</v>
      </c>
      <c r="N30" s="132">
        <f>IF(SER_hh_fec_in!N30=0,0,11630*1000*SER_hh_fec_in!N30/SER_hh_num_in!N30)</f>
        <v>10396.971131076305</v>
      </c>
      <c r="O30" s="132">
        <f>IF(SER_hh_fec_in!O30=0,0,11630*1000*SER_hh_fec_in!O30/SER_hh_num_in!O30)</f>
        <v>13889.602545843634</v>
      </c>
      <c r="P30" s="132">
        <f>IF(SER_hh_fec_in!P30=0,0,11630*1000*SER_hh_fec_in!P30/SER_hh_num_in!P30)</f>
        <v>11789.398191314762</v>
      </c>
      <c r="Q30" s="132">
        <f>IF(SER_hh_fec_in!Q30=0,0,11630*1000*SER_hh_fec_in!Q30/SER_hh_num_in!Q30)</f>
        <v>10208.708664787044</v>
      </c>
      <c r="R30" s="132">
        <f>IF(SER_hh_fec_in!R30=0,0,11630*1000*SER_hh_fec_in!R30/SER_hh_num_in!R30)</f>
        <v>13853.79727063772</v>
      </c>
      <c r="S30" s="132">
        <f>IF(SER_hh_fec_in!S30=0,0,11630*1000*SER_hh_fec_in!S30/SER_hh_num_in!S30)</f>
        <v>9129.4016064239459</v>
      </c>
      <c r="T30" s="132">
        <f>IF(SER_hh_fec_in!T30=0,0,11630*1000*SER_hh_fec_in!T30/SER_hh_num_in!T30)</f>
        <v>11881.541322978775</v>
      </c>
      <c r="U30" s="132">
        <f>IF(SER_hh_fec_in!U30=0,0,11630*1000*SER_hh_fec_in!U30/SER_hh_num_in!U30)</f>
        <v>12469.534906853894</v>
      </c>
      <c r="V30" s="132">
        <f>IF(SER_hh_fec_in!V30=0,0,11630*1000*SER_hh_fec_in!V30/SER_hh_num_in!V30)</f>
        <v>12337.261953462663</v>
      </c>
      <c r="W30" s="132">
        <f>IF(SER_hh_fec_in!W30=0,0,11630*1000*SER_hh_fec_in!W30/SER_hh_num_in!W30)</f>
        <v>10277.099954273937</v>
      </c>
      <c r="X30" s="132">
        <f>IF(SER_hh_fec_in!X30=0,0,11630*1000*SER_hh_fec_in!X30/SER_hh_num_in!X30)</f>
        <v>13391.069496605973</v>
      </c>
      <c r="Y30" s="132">
        <f>IF(SER_hh_fec_in!Y30=0,0,11630*1000*SER_hh_fec_in!Y30/SER_hh_num_in!Y30)</f>
        <v>0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10912.784844369913</v>
      </c>
      <c r="D31" s="132">
        <f>IF(SER_hh_fec_in!D31=0,0,11630*1000*SER_hh_fec_in!D31/SER_hh_num_in!D31)</f>
        <v>11584.447313831512</v>
      </c>
      <c r="E31" s="132">
        <f>IF(SER_hh_fec_in!E31=0,0,11630*1000*SER_hh_fec_in!E31/SER_hh_num_in!E31)</f>
        <v>11801.079445068121</v>
      </c>
      <c r="F31" s="132">
        <f>IF(SER_hh_fec_in!F31=0,0,11630*1000*SER_hh_fec_in!F31/SER_hh_num_in!F31)</f>
        <v>11942.600878974677</v>
      </c>
      <c r="G31" s="132">
        <f>IF(SER_hh_fec_in!G31=0,0,11630*1000*SER_hh_fec_in!G31/SER_hh_num_in!G31)</f>
        <v>11492.9903800215</v>
      </c>
      <c r="H31" s="132">
        <f>IF(SER_hh_fec_in!H31=0,0,11630*1000*SER_hh_fec_in!H31/SER_hh_num_in!H31)</f>
        <v>11477.981216784605</v>
      </c>
      <c r="I31" s="132">
        <f>IF(SER_hh_fec_in!I31=0,0,11630*1000*SER_hh_fec_in!I31/SER_hh_num_in!I31)</f>
        <v>11235.859026069747</v>
      </c>
      <c r="J31" s="132">
        <f>IF(SER_hh_fec_in!J31=0,0,11630*1000*SER_hh_fec_in!J31/SER_hh_num_in!J31)</f>
        <v>11297.226732660562</v>
      </c>
      <c r="K31" s="132">
        <f>IF(SER_hh_fec_in!K31=0,0,11630*1000*SER_hh_fec_in!K31/SER_hh_num_in!K31)</f>
        <v>11587.624137666056</v>
      </c>
      <c r="L31" s="132">
        <f>IF(SER_hh_fec_in!L31=0,0,11630*1000*SER_hh_fec_in!L31/SER_hh_num_in!L31)</f>
        <v>11502.605702550536</v>
      </c>
      <c r="M31" s="132">
        <f>IF(SER_hh_fec_in!M31=0,0,11630*1000*SER_hh_fec_in!M31/SER_hh_num_in!M31)</f>
        <v>11346.511186217916</v>
      </c>
      <c r="N31" s="132">
        <f>IF(SER_hh_fec_in!N31=0,0,11630*1000*SER_hh_fec_in!N31/SER_hh_num_in!N31)</f>
        <v>11073.965365850823</v>
      </c>
      <c r="O31" s="132">
        <f>IF(SER_hh_fec_in!O31=0,0,11630*1000*SER_hh_fec_in!O31/SER_hh_num_in!O31)</f>
        <v>10674.021700906716</v>
      </c>
      <c r="P31" s="132">
        <f>IF(SER_hh_fec_in!P31=0,0,11630*1000*SER_hh_fec_in!P31/SER_hh_num_in!P31)</f>
        <v>12952.932580842968</v>
      </c>
      <c r="Q31" s="132">
        <f>IF(SER_hh_fec_in!Q31=0,0,11630*1000*SER_hh_fec_in!Q31/SER_hh_num_in!Q31)</f>
        <v>11743.302993185875</v>
      </c>
      <c r="R31" s="132">
        <f>IF(SER_hh_fec_in!R31=0,0,11630*1000*SER_hh_fec_in!R31/SER_hh_num_in!R31)</f>
        <v>10956.151418138526</v>
      </c>
      <c r="S31" s="132">
        <f>IF(SER_hh_fec_in!S31=0,0,11630*1000*SER_hh_fec_in!S31/SER_hh_num_in!S31)</f>
        <v>11226.437869507221</v>
      </c>
      <c r="T31" s="132">
        <f>IF(SER_hh_fec_in!T31=0,0,11630*1000*SER_hh_fec_in!T31/SER_hh_num_in!T31)</f>
        <v>11881.25001541054</v>
      </c>
      <c r="U31" s="132">
        <f>IF(SER_hh_fec_in!U31=0,0,11630*1000*SER_hh_fec_in!U31/SER_hh_num_in!U31)</f>
        <v>12358.437571700648</v>
      </c>
      <c r="V31" s="132">
        <f>IF(SER_hh_fec_in!V31=0,0,11630*1000*SER_hh_fec_in!V31/SER_hh_num_in!V31)</f>
        <v>9890.7591146644863</v>
      </c>
      <c r="W31" s="132">
        <f>IF(SER_hh_fec_in!W31=0,0,11630*1000*SER_hh_fec_in!W31/SER_hh_num_in!W31)</f>
        <v>9190.9344461360452</v>
      </c>
      <c r="X31" s="132">
        <f>IF(SER_hh_fec_in!X31=0,0,11630*1000*SER_hh_fec_in!X31/SER_hh_num_in!X31)</f>
        <v>9283.5028969983559</v>
      </c>
      <c r="Y31" s="132">
        <f>IF(SER_hh_fec_in!Y31=0,0,11630*1000*SER_hh_fec_in!Y31/SER_hh_num_in!Y31)</f>
        <v>9213.5418161641992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17492.62363912211</v>
      </c>
      <c r="F32" s="132">
        <f>IF(SER_hh_fec_in!F32=0,0,11630*1000*SER_hh_fec_in!F32/SER_hh_num_in!F32)</f>
        <v>13169.675118211488</v>
      </c>
      <c r="G32" s="132">
        <f>IF(SER_hh_fec_in!G32=0,0,11630*1000*SER_hh_fec_in!G32/SER_hh_num_in!G32)</f>
        <v>12602.507825401248</v>
      </c>
      <c r="H32" s="132">
        <f>IF(SER_hh_fec_in!H32=0,0,11630*1000*SER_hh_fec_in!H32/SER_hh_num_in!H32)</f>
        <v>12128.169225442862</v>
      </c>
      <c r="I32" s="132">
        <f>IF(SER_hh_fec_in!I32=0,0,11630*1000*SER_hh_fec_in!I32/SER_hh_num_in!I32)</f>
        <v>11677.287823346056</v>
      </c>
      <c r="J32" s="132">
        <f>IF(SER_hh_fec_in!J32=0,0,11630*1000*SER_hh_fec_in!J32/SER_hh_num_in!J32)</f>
        <v>11067.270246854501</v>
      </c>
      <c r="K32" s="132">
        <f>IF(SER_hh_fec_in!K32=0,0,11630*1000*SER_hh_fec_in!K32/SER_hh_num_in!K32)</f>
        <v>12427.197149489635</v>
      </c>
      <c r="L32" s="132">
        <f>IF(SER_hh_fec_in!L32=0,0,11630*1000*SER_hh_fec_in!L32/SER_hh_num_in!L32)</f>
        <v>12605.202879203536</v>
      </c>
      <c r="M32" s="132">
        <f>IF(SER_hh_fec_in!M32=0,0,11630*1000*SER_hh_fec_in!M32/SER_hh_num_in!M32)</f>
        <v>11967.592148261465</v>
      </c>
      <c r="N32" s="132">
        <f>IF(SER_hh_fec_in!N32=0,0,11630*1000*SER_hh_fec_in!N32/SER_hh_num_in!N32)</f>
        <v>12432.577135589656</v>
      </c>
      <c r="O32" s="132">
        <f>IF(SER_hh_fec_in!O32=0,0,11630*1000*SER_hh_fec_in!O32/SER_hh_num_in!O32)</f>
        <v>12398.670701651747</v>
      </c>
      <c r="P32" s="132">
        <f>IF(SER_hh_fec_in!P32=0,0,11630*1000*SER_hh_fec_in!P32/SER_hh_num_in!P32)</f>
        <v>12383.53031899664</v>
      </c>
      <c r="Q32" s="132">
        <f>IF(SER_hh_fec_in!Q32=0,0,11630*1000*SER_hh_fec_in!Q32/SER_hh_num_in!Q32)</f>
        <v>12603.679054190565</v>
      </c>
      <c r="R32" s="132">
        <f>IF(SER_hh_fec_in!R32=0,0,11630*1000*SER_hh_fec_in!R32/SER_hh_num_in!R32)</f>
        <v>11954.601349124079</v>
      </c>
      <c r="S32" s="132">
        <f>IF(SER_hh_fec_in!S32=0,0,11630*1000*SER_hh_fec_in!S32/SER_hh_num_in!S32)</f>
        <v>12337.71726867737</v>
      </c>
      <c r="T32" s="132">
        <f>IF(SER_hh_fec_in!T32=0,0,11630*1000*SER_hh_fec_in!T32/SER_hh_num_in!T32)</f>
        <v>12839.876988825625</v>
      </c>
      <c r="U32" s="132">
        <f>IF(SER_hh_fec_in!U32=0,0,11630*1000*SER_hh_fec_in!U32/SER_hh_num_in!U32)</f>
        <v>12787.58986136211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11644.694697897132</v>
      </c>
      <c r="X32" s="132">
        <f>IF(SER_hh_fec_in!X32=0,0,11630*1000*SER_hh_fec_in!X32/SER_hh_num_in!X32)</f>
        <v>9542.9679978438726</v>
      </c>
      <c r="Y32" s="132">
        <f>IF(SER_hh_fec_in!Y32=0,0,11630*1000*SER_hh_fec_in!Y32/SER_hh_num_in!Y32)</f>
        <v>9720.8878289467521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8270.3838121988156</v>
      </c>
      <c r="D33" s="68">
        <f>IF(SER_hh_fec_in!D33=0,0,11630*1000*SER_hh_fec_in!D33/SER_hh_num_in!D33)</f>
        <v>8701.6978014770702</v>
      </c>
      <c r="E33" s="68">
        <f>IF(SER_hh_fec_in!E33=0,0,11630*1000*SER_hh_fec_in!E33/SER_hh_num_in!E33)</f>
        <v>9102.0650650265889</v>
      </c>
      <c r="F33" s="68">
        <f>IF(SER_hh_fec_in!F33=0,0,11630*1000*SER_hh_fec_in!F33/SER_hh_num_in!F33)</f>
        <v>9042.5858554916067</v>
      </c>
      <c r="G33" s="68">
        <f>IF(SER_hh_fec_in!G33=0,0,11630*1000*SER_hh_fec_in!G33/SER_hh_num_in!G33)</f>
        <v>8444.604128080673</v>
      </c>
      <c r="H33" s="68">
        <f>IF(SER_hh_fec_in!H33=0,0,11630*1000*SER_hh_fec_in!H33/SER_hh_num_in!H33)</f>
        <v>8406.3012099124371</v>
      </c>
      <c r="I33" s="68">
        <f>IF(SER_hh_fec_in!I33=0,0,11630*1000*SER_hh_fec_in!I33/SER_hh_num_in!I33)</f>
        <v>8912.8770232394399</v>
      </c>
      <c r="J33" s="68">
        <f>IF(SER_hh_fec_in!J33=0,0,11630*1000*SER_hh_fec_in!J33/SER_hh_num_in!J33)</f>
        <v>8043.4249629240121</v>
      </c>
      <c r="K33" s="68">
        <f>IF(SER_hh_fec_in!K33=0,0,11630*1000*SER_hh_fec_in!K33/SER_hh_num_in!K33)</f>
        <v>8719.6426364620766</v>
      </c>
      <c r="L33" s="68">
        <f>IF(SER_hh_fec_in!L33=0,0,11630*1000*SER_hh_fec_in!L33/SER_hh_num_in!L33)</f>
        <v>9240.1416336311522</v>
      </c>
      <c r="M33" s="68">
        <f>IF(SER_hh_fec_in!M33=0,0,11630*1000*SER_hh_fec_in!M33/SER_hh_num_in!M33)</f>
        <v>8908.2522885269173</v>
      </c>
      <c r="N33" s="68">
        <f>IF(SER_hh_fec_in!N33=0,0,11630*1000*SER_hh_fec_in!N33/SER_hh_num_in!N33)</f>
        <v>9112.1877491659961</v>
      </c>
      <c r="O33" s="68">
        <f>IF(SER_hh_fec_in!O33=0,0,11630*1000*SER_hh_fec_in!O33/SER_hh_num_in!O33)</f>
        <v>9529.5811585882202</v>
      </c>
      <c r="P33" s="68">
        <f>IF(SER_hh_fec_in!P33=0,0,11630*1000*SER_hh_fec_in!P33/SER_hh_num_in!P33)</f>
        <v>0</v>
      </c>
      <c r="Q33" s="68">
        <f>IF(SER_hh_fec_in!Q33=0,0,11630*1000*SER_hh_fec_in!Q33/SER_hh_num_in!Q33)</f>
        <v>8598.3287586306906</v>
      </c>
      <c r="R33" s="68">
        <f>IF(SER_hh_fec_in!R33=0,0,11630*1000*SER_hh_fec_in!R33/SER_hh_num_in!R33)</f>
        <v>8989.1626995803126</v>
      </c>
      <c r="S33" s="68">
        <f>IF(SER_hh_fec_in!S33=0,0,11630*1000*SER_hh_fec_in!S33/SER_hh_num_in!S33)</f>
        <v>9365.281116452792</v>
      </c>
      <c r="T33" s="68">
        <f>IF(SER_hh_fec_in!T33=0,0,11630*1000*SER_hh_fec_in!T33/SER_hh_num_in!T33)</f>
        <v>7774.0798301052</v>
      </c>
      <c r="U33" s="68">
        <f>IF(SER_hh_fec_in!U33=0,0,11630*1000*SER_hh_fec_in!U33/SER_hh_num_in!U33)</f>
        <v>6641.949487030849</v>
      </c>
      <c r="V33" s="68">
        <f>IF(SER_hh_fec_in!V33=0,0,11630*1000*SER_hh_fec_in!V33/SER_hh_num_in!V33)</f>
        <v>8982.7672289660277</v>
      </c>
      <c r="W33" s="68">
        <f>IF(SER_hh_fec_in!W33=0,0,11630*1000*SER_hh_fec_in!W33/SER_hh_num_in!W33)</f>
        <v>0</v>
      </c>
      <c r="X33" s="68">
        <f>IF(SER_hh_fec_in!X33=0,0,11630*1000*SER_hh_fec_in!X33/SER_hh_num_in!X33)</f>
        <v>0</v>
      </c>
      <c r="Y33" s="68">
        <f>IF(SER_hh_fec_in!Y33=0,0,11630*1000*SER_hh_fec_in!Y33/SER_hh_num_in!Y33)</f>
        <v>0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62784.402095841557</v>
      </c>
      <c r="D3" s="125">
        <f>IF(SER_hh_tes_in!D3=0,0,11630*1000*SER_hh_tes_in!D3/SER_hh_num_in!D3)</f>
        <v>66829.487693442919</v>
      </c>
      <c r="E3" s="125">
        <f>IF(SER_hh_tes_in!E3=0,0,11630*1000*SER_hh_tes_in!E3/SER_hh_num_in!E3)</f>
        <v>93924.278136903798</v>
      </c>
      <c r="F3" s="125">
        <f>IF(SER_hh_tes_in!F3=0,0,11630*1000*SER_hh_tes_in!F3/SER_hh_num_in!F3)</f>
        <v>77726.52611360875</v>
      </c>
      <c r="G3" s="125">
        <f>IF(SER_hh_tes_in!G3=0,0,11630*1000*SER_hh_tes_in!G3/SER_hh_num_in!G3)</f>
        <v>70466.113392893749</v>
      </c>
      <c r="H3" s="125">
        <f>IF(SER_hh_tes_in!H3=0,0,11630*1000*SER_hh_tes_in!H3/SER_hh_num_in!H3)</f>
        <v>73283.384998048758</v>
      </c>
      <c r="I3" s="125">
        <f>IF(SER_hh_tes_in!I3=0,0,11630*1000*SER_hh_tes_in!I3/SER_hh_num_in!I3)</f>
        <v>63925.136451969738</v>
      </c>
      <c r="J3" s="125">
        <f>IF(SER_hh_tes_in!J3=0,0,11630*1000*SER_hh_tes_in!J3/SER_hh_num_in!J3)</f>
        <v>67409.745252012915</v>
      </c>
      <c r="K3" s="125">
        <f>IF(SER_hh_tes_in!K3=0,0,11630*1000*SER_hh_tes_in!K3/SER_hh_num_in!K3)</f>
        <v>64878.318812318241</v>
      </c>
      <c r="L3" s="125">
        <f>IF(SER_hh_tes_in!L3=0,0,11630*1000*SER_hh_tes_in!L3/SER_hh_num_in!L3)</f>
        <v>69085.067523086749</v>
      </c>
      <c r="M3" s="125">
        <f>IF(SER_hh_tes_in!M3=0,0,11630*1000*SER_hh_tes_in!M3/SER_hh_num_in!M3)</f>
        <v>59766.633310667581</v>
      </c>
      <c r="N3" s="125">
        <f>IF(SER_hh_tes_in!N3=0,0,11630*1000*SER_hh_tes_in!N3/SER_hh_num_in!N3)</f>
        <v>59774.012731086521</v>
      </c>
      <c r="O3" s="125">
        <f>IF(SER_hh_tes_in!O3=0,0,11630*1000*SER_hh_tes_in!O3/SER_hh_num_in!O3)</f>
        <v>63150.280521510351</v>
      </c>
      <c r="P3" s="125">
        <f>IF(SER_hh_tes_in!P3=0,0,11630*1000*SER_hh_tes_in!P3/SER_hh_num_in!P3)</f>
        <v>56426.514292228763</v>
      </c>
      <c r="Q3" s="125">
        <f>IF(SER_hh_tes_in!Q3=0,0,11630*1000*SER_hh_tes_in!Q3/SER_hh_num_in!Q3)</f>
        <v>59712.687492777543</v>
      </c>
      <c r="R3" s="125">
        <f>IF(SER_hh_tes_in!R3=0,0,11630*1000*SER_hh_tes_in!R3/SER_hh_num_in!R3)</f>
        <v>54464.583592279014</v>
      </c>
      <c r="S3" s="125">
        <f>IF(SER_hh_tes_in!S3=0,0,11630*1000*SER_hh_tes_in!S3/SER_hh_num_in!S3)</f>
        <v>51440.758225912556</v>
      </c>
      <c r="T3" s="125">
        <f>IF(SER_hh_tes_in!T3=0,0,11630*1000*SER_hh_tes_in!T3/SER_hh_num_in!T3)</f>
        <v>55414.072544508752</v>
      </c>
      <c r="U3" s="125">
        <f>IF(SER_hh_tes_in!U3=0,0,11630*1000*SER_hh_tes_in!U3/SER_hh_num_in!U3)</f>
        <v>50942.545901177371</v>
      </c>
      <c r="V3" s="125">
        <f>IF(SER_hh_tes_in!V3=0,0,11630*1000*SER_hh_tes_in!V3/SER_hh_num_in!V3)</f>
        <v>44336.701670103241</v>
      </c>
      <c r="W3" s="125">
        <f>IF(SER_hh_tes_in!W3=0,0,11630*1000*SER_hh_tes_in!W3/SER_hh_num_in!W3)</f>
        <v>40895.543802794011</v>
      </c>
      <c r="X3" s="125">
        <f>IF(SER_hh_tes_in!X3=0,0,11630*1000*SER_hh_tes_in!X3/SER_hh_num_in!X3)</f>
        <v>35856.630751205732</v>
      </c>
      <c r="Y3" s="125">
        <f>IF(SER_hh_tes_in!Y3=0,0,11630*1000*SER_hh_tes_in!Y3/SER_hh_num_in!Y3)</f>
        <v>34697.719471156073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27336.381744209208</v>
      </c>
      <c r="D4" s="130">
        <f>IF(SER_hh_tes_in!D4=0,0,11630*1000*SER_hh_tes_in!D4/SER_hh_num_in!D4)</f>
        <v>29304.82576343762</v>
      </c>
      <c r="E4" s="130">
        <f>IF(SER_hh_tes_in!E4=0,0,11630*1000*SER_hh_tes_in!E4/SER_hh_num_in!E4)</f>
        <v>48664.431037199458</v>
      </c>
      <c r="F4" s="130">
        <f>IF(SER_hh_tes_in!F4=0,0,11630*1000*SER_hh_tes_in!F4/SER_hh_num_in!F4)</f>
        <v>39688.987226450074</v>
      </c>
      <c r="G4" s="130">
        <f>IF(SER_hh_tes_in!G4=0,0,11630*1000*SER_hh_tes_in!G4/SER_hh_num_in!G4)</f>
        <v>32993.549002596323</v>
      </c>
      <c r="H4" s="130">
        <f>IF(SER_hh_tes_in!H4=0,0,11630*1000*SER_hh_tes_in!H4/SER_hh_num_in!H4)</f>
        <v>36163.119909236673</v>
      </c>
      <c r="I4" s="130">
        <f>IF(SER_hh_tes_in!I4=0,0,11630*1000*SER_hh_tes_in!I4/SER_hh_num_in!I4)</f>
        <v>26583.461231162451</v>
      </c>
      <c r="J4" s="130">
        <f>IF(SER_hh_tes_in!J4=0,0,11630*1000*SER_hh_tes_in!J4/SER_hh_num_in!J4)</f>
        <v>30592.680579805463</v>
      </c>
      <c r="K4" s="130">
        <f>IF(SER_hh_tes_in!K4=0,0,11630*1000*SER_hh_tes_in!K4/SER_hh_num_in!K4)</f>
        <v>28100.862977229644</v>
      </c>
      <c r="L4" s="130">
        <f>IF(SER_hh_tes_in!L4=0,0,11630*1000*SER_hh_tes_in!L4/SER_hh_num_in!L4)</f>
        <v>30509.946258131313</v>
      </c>
      <c r="M4" s="130">
        <f>IF(SER_hh_tes_in!M4=0,0,11630*1000*SER_hh_tes_in!M4/SER_hh_num_in!M4)</f>
        <v>23903.550382401125</v>
      </c>
      <c r="N4" s="130">
        <f>IF(SER_hh_tes_in!N4=0,0,11630*1000*SER_hh_tes_in!N4/SER_hh_num_in!N4)</f>
        <v>24100.110663921329</v>
      </c>
      <c r="O4" s="130">
        <f>IF(SER_hh_tes_in!O4=0,0,11630*1000*SER_hh_tes_in!O4/SER_hh_num_in!O4)</f>
        <v>26984.097837403588</v>
      </c>
      <c r="P4" s="130">
        <f>IF(SER_hh_tes_in!P4=0,0,11630*1000*SER_hh_tes_in!P4/SER_hh_num_in!P4)</f>
        <v>20800.806888963714</v>
      </c>
      <c r="Q4" s="130">
        <f>IF(SER_hh_tes_in!Q4=0,0,11630*1000*SER_hh_tes_in!Q4/SER_hh_num_in!Q4)</f>
        <v>22669.631359621562</v>
      </c>
      <c r="R4" s="130">
        <f>IF(SER_hh_tes_in!R4=0,0,11630*1000*SER_hh_tes_in!R4/SER_hh_num_in!R4)</f>
        <v>20413.598051782406</v>
      </c>
      <c r="S4" s="130">
        <f>IF(SER_hh_tes_in!S4=0,0,11630*1000*SER_hh_tes_in!S4/SER_hh_num_in!S4)</f>
        <v>18231.4301269766</v>
      </c>
      <c r="T4" s="130">
        <f>IF(SER_hh_tes_in!T4=0,0,11630*1000*SER_hh_tes_in!T4/SER_hh_num_in!T4)</f>
        <v>17070.825166257349</v>
      </c>
      <c r="U4" s="130">
        <f>IF(SER_hh_tes_in!U4=0,0,11630*1000*SER_hh_tes_in!U4/SER_hh_num_in!U4)</f>
        <v>14978.524325346994</v>
      </c>
      <c r="V4" s="130">
        <f>IF(SER_hh_tes_in!V4=0,0,11630*1000*SER_hh_tes_in!V4/SER_hh_num_in!V4)</f>
        <v>13507.597873683955</v>
      </c>
      <c r="W4" s="130">
        <f>IF(SER_hh_tes_in!W4=0,0,11630*1000*SER_hh_tes_in!W4/SER_hh_num_in!W4)</f>
        <v>13322.124718470581</v>
      </c>
      <c r="X4" s="130">
        <f>IF(SER_hh_tes_in!X4=0,0,11630*1000*SER_hh_tes_in!X4/SER_hh_num_in!X4)</f>
        <v>8248.1751964343039</v>
      </c>
      <c r="Y4" s="130">
        <f>IF(SER_hh_tes_in!Y4=0,0,11630*1000*SER_hh_tes_in!Y4/SER_hh_num_in!Y4)</f>
        <v>7892.1926762458015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30358.606764106418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38283.993126070127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25559.053810267735</v>
      </c>
      <c r="N5" s="132">
        <f>IF(SER_hh_tes_in!N5=0,0,11630*1000*SER_hh_tes_in!N5/SER_hh_num_in!N5)</f>
        <v>30172.589223233826</v>
      </c>
      <c r="O5" s="132">
        <f>IF(SER_hh_tes_in!O5=0,0,11630*1000*SER_hh_tes_in!O5/SER_hh_num_in!O5)</f>
        <v>14198.010790156199</v>
      </c>
      <c r="P5" s="132">
        <f>IF(SER_hh_tes_in!P5=0,0,11630*1000*SER_hh_tes_in!P5/SER_hh_num_in!P5)</f>
        <v>0</v>
      </c>
      <c r="Q5" s="132">
        <f>IF(SER_hh_tes_in!Q5=0,0,11630*1000*SER_hh_tes_in!Q5/SER_hh_num_in!Q5)</f>
        <v>41619.263828936644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1450.682276761414</v>
      </c>
      <c r="X5" s="132">
        <f>IF(SER_hh_tes_in!X5=0,0,11630*1000*SER_hh_tes_in!X5/SER_hh_num_in!X5)</f>
        <v>612.15193131122601</v>
      </c>
      <c r="Y5" s="132">
        <f>IF(SER_hh_tes_in!Y5=0,0,11630*1000*SER_hh_tes_in!Y5/SER_hh_num_in!Y5)</f>
        <v>11569.875373208662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32786.292254005508</v>
      </c>
      <c r="D7" s="132">
        <f>IF(SER_hh_tes_in!D7=0,0,11630*1000*SER_hh_tes_in!D7/SER_hh_num_in!D7)</f>
        <v>29344.497004361398</v>
      </c>
      <c r="E7" s="132">
        <f>IF(SER_hh_tes_in!E7=0,0,11630*1000*SER_hh_tes_in!E7/SER_hh_num_in!E7)</f>
        <v>0</v>
      </c>
      <c r="F7" s="132">
        <f>IF(SER_hh_tes_in!F7=0,0,11630*1000*SER_hh_tes_in!F7/SER_hh_num_in!F7)</f>
        <v>32374.452403328054</v>
      </c>
      <c r="G7" s="132">
        <f>IF(SER_hh_tes_in!G7=0,0,11630*1000*SER_hh_tes_in!G7/SER_hh_num_in!G7)</f>
        <v>32536.131366832255</v>
      </c>
      <c r="H7" s="132">
        <f>IF(SER_hh_tes_in!H7=0,0,11630*1000*SER_hh_tes_in!H7/SER_hh_num_in!H7)</f>
        <v>34961.501466505011</v>
      </c>
      <c r="I7" s="132">
        <f>IF(SER_hh_tes_in!I7=0,0,11630*1000*SER_hh_tes_in!I7/SER_hh_num_in!I7)</f>
        <v>23368.884994201111</v>
      </c>
      <c r="J7" s="132">
        <f>IF(SER_hh_tes_in!J7=0,0,11630*1000*SER_hh_tes_in!J7/SER_hh_num_in!J7)</f>
        <v>31013.574308700419</v>
      </c>
      <c r="K7" s="132">
        <f>IF(SER_hh_tes_in!K7=0,0,11630*1000*SER_hh_tes_in!K7/SER_hh_num_in!K7)</f>
        <v>28001.849056548239</v>
      </c>
      <c r="L7" s="132">
        <f>IF(SER_hh_tes_in!L7=0,0,11630*1000*SER_hh_tes_in!L7/SER_hh_num_in!L7)</f>
        <v>28024.146143311715</v>
      </c>
      <c r="M7" s="132">
        <f>IF(SER_hh_tes_in!M7=0,0,11630*1000*SER_hh_tes_in!M7/SER_hh_num_in!M7)</f>
        <v>23730.771068102011</v>
      </c>
      <c r="N7" s="132">
        <f>IF(SER_hh_tes_in!N7=0,0,11630*1000*SER_hh_tes_in!N7/SER_hh_num_in!N7)</f>
        <v>24308.23862338829</v>
      </c>
      <c r="O7" s="132">
        <f>IF(SER_hh_tes_in!O7=0,0,11630*1000*SER_hh_tes_in!O7/SER_hh_num_in!O7)</f>
        <v>25004.373287884886</v>
      </c>
      <c r="P7" s="132">
        <f>IF(SER_hh_tes_in!P7=0,0,11630*1000*SER_hh_tes_in!P7/SER_hh_num_in!P7)</f>
        <v>21437.660294229852</v>
      </c>
      <c r="Q7" s="132">
        <f>IF(SER_hh_tes_in!Q7=0,0,11630*1000*SER_hh_tes_in!Q7/SER_hh_num_in!Q7)</f>
        <v>20527.949563358157</v>
      </c>
      <c r="R7" s="132">
        <f>IF(SER_hh_tes_in!R7=0,0,11630*1000*SER_hh_tes_in!R7/SER_hh_num_in!R7)</f>
        <v>20097.654591819697</v>
      </c>
      <c r="S7" s="132">
        <f>IF(SER_hh_tes_in!S7=0,0,11630*1000*SER_hh_tes_in!S7/SER_hh_num_in!S7)</f>
        <v>0</v>
      </c>
      <c r="T7" s="132">
        <f>IF(SER_hh_tes_in!T7=0,0,11630*1000*SER_hh_tes_in!T7/SER_hh_num_in!T7)</f>
        <v>0</v>
      </c>
      <c r="U7" s="132">
        <f>IF(SER_hh_tes_in!U7=0,0,11630*1000*SER_hh_tes_in!U7/SER_hh_num_in!U7)</f>
        <v>0</v>
      </c>
      <c r="V7" s="132">
        <f>IF(SER_hh_tes_in!V7=0,0,11630*1000*SER_hh_tes_in!V7/SER_hh_num_in!V7)</f>
        <v>0</v>
      </c>
      <c r="W7" s="132">
        <f>IF(SER_hh_tes_in!W7=0,0,11630*1000*SER_hh_tes_in!W7/SER_hh_num_in!W7)</f>
        <v>17587.381093087519</v>
      </c>
      <c r="X7" s="132">
        <f>IF(SER_hh_tes_in!X7=0,0,11630*1000*SER_hh_tes_in!X7/SER_hh_num_in!X7)</f>
        <v>0</v>
      </c>
      <c r="Y7" s="132">
        <f>IF(SER_hh_tes_in!Y7=0,0,11630*1000*SER_hh_tes_in!Y7/SER_hh_num_in!Y7)</f>
        <v>0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28286.367426092238</v>
      </c>
      <c r="D8" s="132">
        <f>IF(SER_hh_tes_in!D8=0,0,11630*1000*SER_hh_tes_in!D8/SER_hh_num_in!D8)</f>
        <v>30852.794100109579</v>
      </c>
      <c r="E8" s="132">
        <f>IF(SER_hh_tes_in!E8=0,0,11630*1000*SER_hh_tes_in!E8/SER_hh_num_in!E8)</f>
        <v>33835.7096232248</v>
      </c>
      <c r="F8" s="132">
        <f>IF(SER_hh_tes_in!F8=0,0,11630*1000*SER_hh_tes_in!F8/SER_hh_num_in!F8)</f>
        <v>32832.56529542763</v>
      </c>
      <c r="G8" s="132">
        <f>IF(SER_hh_tes_in!G8=0,0,11630*1000*SER_hh_tes_in!G8/SER_hh_num_in!G8)</f>
        <v>27329.752106242151</v>
      </c>
      <c r="H8" s="132">
        <f>IF(SER_hh_tes_in!H8=0,0,11630*1000*SER_hh_tes_in!H8/SER_hh_num_in!H8)</f>
        <v>29237.14609759174</v>
      </c>
      <c r="I8" s="132">
        <f>IF(SER_hh_tes_in!I8=0,0,11630*1000*SER_hh_tes_in!I8/SER_hh_num_in!I8)</f>
        <v>31794.700472748686</v>
      </c>
      <c r="J8" s="132">
        <f>IF(SER_hh_tes_in!J8=0,0,11630*1000*SER_hh_tes_in!J8/SER_hh_num_in!J8)</f>
        <v>32240.885628054228</v>
      </c>
      <c r="K8" s="132">
        <f>IF(SER_hh_tes_in!K8=0,0,11630*1000*SER_hh_tes_in!K8/SER_hh_num_in!K8)</f>
        <v>27711.632971953604</v>
      </c>
      <c r="L8" s="132">
        <f>IF(SER_hh_tes_in!L8=0,0,11630*1000*SER_hh_tes_in!L8/SER_hh_num_in!L8)</f>
        <v>23977.424144009103</v>
      </c>
      <c r="M8" s="132">
        <f>IF(SER_hh_tes_in!M8=0,0,11630*1000*SER_hh_tes_in!M8/SER_hh_num_in!M8)</f>
        <v>24159.380234689423</v>
      </c>
      <c r="N8" s="132">
        <f>IF(SER_hh_tes_in!N8=0,0,11630*1000*SER_hh_tes_in!N8/SER_hh_num_in!N8)</f>
        <v>24093.541862702514</v>
      </c>
      <c r="O8" s="132">
        <f>IF(SER_hh_tes_in!O8=0,0,11630*1000*SER_hh_tes_in!O8/SER_hh_num_in!O8)</f>
        <v>24120.038933428921</v>
      </c>
      <c r="P8" s="132">
        <f>IF(SER_hh_tes_in!P8=0,0,11630*1000*SER_hh_tes_in!P8/SER_hh_num_in!P8)</f>
        <v>21684.629844147399</v>
      </c>
      <c r="Q8" s="132">
        <f>IF(SER_hh_tes_in!Q8=0,0,11630*1000*SER_hh_tes_in!Q8/SER_hh_num_in!Q8)</f>
        <v>21785.324231392933</v>
      </c>
      <c r="R8" s="132">
        <f>IF(SER_hh_tes_in!R8=0,0,11630*1000*SER_hh_tes_in!R8/SER_hh_num_in!R8)</f>
        <v>20217.936480220735</v>
      </c>
      <c r="S8" s="132">
        <f>IF(SER_hh_tes_in!S8=0,0,11630*1000*SER_hh_tes_in!S8/SER_hh_num_in!S8)</f>
        <v>18337.036733843528</v>
      </c>
      <c r="T8" s="132">
        <f>IF(SER_hh_tes_in!T8=0,0,11630*1000*SER_hh_tes_in!T8/SER_hh_num_in!T8)</f>
        <v>16132.731693707681</v>
      </c>
      <c r="U8" s="132">
        <f>IF(SER_hh_tes_in!U8=0,0,11630*1000*SER_hh_tes_in!U8/SER_hh_num_in!U8)</f>
        <v>15243.708476878994</v>
      </c>
      <c r="V8" s="132">
        <f>IF(SER_hh_tes_in!V8=0,0,11630*1000*SER_hh_tes_in!V8/SER_hh_num_in!V8)</f>
        <v>12939.97555307678</v>
      </c>
      <c r="W8" s="132">
        <f>IF(SER_hh_tes_in!W8=0,0,11630*1000*SER_hh_tes_in!W8/SER_hh_num_in!W8)</f>
        <v>10660.466392463624</v>
      </c>
      <c r="X8" s="132">
        <f>IF(SER_hh_tes_in!X8=0,0,11630*1000*SER_hh_tes_in!X8/SER_hh_num_in!X8)</f>
        <v>8308.0481787435947</v>
      </c>
      <c r="Y8" s="132">
        <f>IF(SER_hh_tes_in!Y8=0,0,11630*1000*SER_hh_tes_in!Y8/SER_hh_num_in!Y8)</f>
        <v>8180.885319720599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26538.060396877787</v>
      </c>
      <c r="D9" s="132">
        <f>IF(SER_hh_tes_in!D9=0,0,11630*1000*SER_hh_tes_in!D9/SER_hh_num_in!D9)</f>
        <v>25879.559874731898</v>
      </c>
      <c r="E9" s="132">
        <f>IF(SER_hh_tes_in!E9=0,0,11630*1000*SER_hh_tes_in!E9/SER_hh_num_in!E9)</f>
        <v>0</v>
      </c>
      <c r="F9" s="132">
        <f>IF(SER_hh_tes_in!F9=0,0,11630*1000*SER_hh_tes_in!F9/SER_hh_num_in!F9)</f>
        <v>0</v>
      </c>
      <c r="G9" s="132">
        <f>IF(SER_hh_tes_in!G9=0,0,11630*1000*SER_hh_tes_in!G9/SER_hh_num_in!G9)</f>
        <v>0</v>
      </c>
      <c r="H9" s="132">
        <f>IF(SER_hh_tes_in!H9=0,0,11630*1000*SER_hh_tes_in!H9/SER_hh_num_in!H9)</f>
        <v>36423.07826535908</v>
      </c>
      <c r="I9" s="132">
        <f>IF(SER_hh_tes_in!I9=0,0,11630*1000*SER_hh_tes_in!I9/SER_hh_num_in!I9)</f>
        <v>26458.483292133515</v>
      </c>
      <c r="J9" s="132">
        <f>IF(SER_hh_tes_in!J9=0,0,11630*1000*SER_hh_tes_in!J9/SER_hh_num_in!J9)</f>
        <v>28920.808127635282</v>
      </c>
      <c r="K9" s="132">
        <f>IF(SER_hh_tes_in!K9=0,0,11630*1000*SER_hh_tes_in!K9/SER_hh_num_in!K9)</f>
        <v>27012.260805946327</v>
      </c>
      <c r="L9" s="132">
        <f>IF(SER_hh_tes_in!L9=0,0,11630*1000*SER_hh_tes_in!L9/SER_hh_num_in!L9)</f>
        <v>28313.851361722347</v>
      </c>
      <c r="M9" s="132">
        <f>IF(SER_hh_tes_in!M9=0,0,11630*1000*SER_hh_tes_in!M9/SER_hh_num_in!M9)</f>
        <v>23274.268615559449</v>
      </c>
      <c r="N9" s="132">
        <f>IF(SER_hh_tes_in!N9=0,0,11630*1000*SER_hh_tes_in!N9/SER_hh_num_in!N9)</f>
        <v>23139.523417388034</v>
      </c>
      <c r="O9" s="132">
        <f>IF(SER_hh_tes_in!O9=0,0,11630*1000*SER_hh_tes_in!O9/SER_hh_num_in!O9)</f>
        <v>27335.602558769813</v>
      </c>
      <c r="P9" s="132">
        <f>IF(SER_hh_tes_in!P9=0,0,11630*1000*SER_hh_tes_in!P9/SER_hh_num_in!P9)</f>
        <v>20068.201952268137</v>
      </c>
      <c r="Q9" s="132">
        <f>IF(SER_hh_tes_in!Q9=0,0,11630*1000*SER_hh_tes_in!Q9/SER_hh_num_in!Q9)</f>
        <v>21262.298845215573</v>
      </c>
      <c r="R9" s="132">
        <f>IF(SER_hh_tes_in!R9=0,0,11630*1000*SER_hh_tes_in!R9/SER_hh_num_in!R9)</f>
        <v>19976.457539592884</v>
      </c>
      <c r="S9" s="132">
        <f>IF(SER_hh_tes_in!S9=0,0,11630*1000*SER_hh_tes_in!S9/SER_hh_num_in!S9)</f>
        <v>18284.491687187379</v>
      </c>
      <c r="T9" s="132">
        <f>IF(SER_hh_tes_in!T9=0,0,11630*1000*SER_hh_tes_in!T9/SER_hh_num_in!T9)</f>
        <v>16836.395550653731</v>
      </c>
      <c r="U9" s="132">
        <f>IF(SER_hh_tes_in!U9=0,0,11630*1000*SER_hh_tes_in!U9/SER_hh_num_in!U9)</f>
        <v>12850.924236305775</v>
      </c>
      <c r="V9" s="132">
        <f>IF(SER_hh_tes_in!V9=0,0,11630*1000*SER_hh_tes_in!V9/SER_hh_num_in!V9)</f>
        <v>13596.47793887509</v>
      </c>
      <c r="W9" s="132">
        <f>IF(SER_hh_tes_in!W9=0,0,11630*1000*SER_hh_tes_in!W9/SER_hh_num_in!W9)</f>
        <v>13203.5373615599</v>
      </c>
      <c r="X9" s="132">
        <f>IF(SER_hh_tes_in!X9=0,0,11630*1000*SER_hh_tes_in!X9/SER_hh_num_in!X9)</f>
        <v>8110.6869927632897</v>
      </c>
      <c r="Y9" s="132">
        <f>IF(SER_hh_tes_in!Y9=0,0,11630*1000*SER_hh_tes_in!Y9/SER_hh_num_in!Y9)</f>
        <v>7310.1688242151004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0</v>
      </c>
      <c r="D10" s="132">
        <f>IF(SER_hh_tes_in!D10=0,0,11630*1000*SER_hh_tes_in!D10/SER_hh_num_in!D10)</f>
        <v>0</v>
      </c>
      <c r="E10" s="132">
        <f>IF(SER_hh_tes_in!E10=0,0,11630*1000*SER_hh_tes_in!E10/SER_hh_num_in!E10)</f>
        <v>41352.300234168615</v>
      </c>
      <c r="F10" s="132">
        <f>IF(SER_hh_tes_in!F10=0,0,11630*1000*SER_hh_tes_in!F10/SER_hh_num_in!F10)</f>
        <v>39678.228347843353</v>
      </c>
      <c r="G10" s="132">
        <f>IF(SER_hh_tes_in!G10=0,0,11630*1000*SER_hh_tes_in!G10/SER_hh_num_in!G10)</f>
        <v>32262.615238679678</v>
      </c>
      <c r="H10" s="132">
        <f>IF(SER_hh_tes_in!H10=0,0,11630*1000*SER_hh_tes_in!H10/SER_hh_num_in!H10)</f>
        <v>31276.377966696517</v>
      </c>
      <c r="I10" s="132">
        <f>IF(SER_hh_tes_in!I10=0,0,11630*1000*SER_hh_tes_in!I10/SER_hh_num_in!I10)</f>
        <v>26326.105033982425</v>
      </c>
      <c r="J10" s="132">
        <f>IF(SER_hh_tes_in!J10=0,0,11630*1000*SER_hh_tes_in!J10/SER_hh_num_in!J10)</f>
        <v>30936.422817852097</v>
      </c>
      <c r="K10" s="132">
        <f>IF(SER_hh_tes_in!K10=0,0,11630*1000*SER_hh_tes_in!K10/SER_hh_num_in!K10)</f>
        <v>27864.998620671478</v>
      </c>
      <c r="L10" s="132">
        <f>IF(SER_hh_tes_in!L10=0,0,11630*1000*SER_hh_tes_in!L10/SER_hh_num_in!L10)</f>
        <v>32878.834656749888</v>
      </c>
      <c r="M10" s="132">
        <f>IF(SER_hh_tes_in!M10=0,0,11630*1000*SER_hh_tes_in!M10/SER_hh_num_in!M10)</f>
        <v>22878.985015144175</v>
      </c>
      <c r="N10" s="132">
        <f>IF(SER_hh_tes_in!N10=0,0,11630*1000*SER_hh_tes_in!N10/SER_hh_num_in!N10)</f>
        <v>24525.269750617212</v>
      </c>
      <c r="O10" s="132">
        <f>IF(SER_hh_tes_in!O10=0,0,11630*1000*SER_hh_tes_in!O10/SER_hh_num_in!O10)</f>
        <v>25723.577073141787</v>
      </c>
      <c r="P10" s="132">
        <f>IF(SER_hh_tes_in!P10=0,0,11630*1000*SER_hh_tes_in!P10/SER_hh_num_in!P10)</f>
        <v>19679.541605766561</v>
      </c>
      <c r="Q10" s="132">
        <f>IF(SER_hh_tes_in!Q10=0,0,11630*1000*SER_hh_tes_in!Q10/SER_hh_num_in!Q10)</f>
        <v>21497.950115878019</v>
      </c>
      <c r="R10" s="132">
        <f>IF(SER_hh_tes_in!R10=0,0,11630*1000*SER_hh_tes_in!R10/SER_hh_num_in!R10)</f>
        <v>19197.176071822487</v>
      </c>
      <c r="S10" s="132">
        <f>IF(SER_hh_tes_in!S10=0,0,11630*1000*SER_hh_tes_in!S10/SER_hh_num_in!S10)</f>
        <v>17586.790093191845</v>
      </c>
      <c r="T10" s="132">
        <f>IF(SER_hh_tes_in!T10=0,0,11630*1000*SER_hh_tes_in!T10/SER_hh_num_in!T10)</f>
        <v>16663.988153210106</v>
      </c>
      <c r="U10" s="132">
        <f>IF(SER_hh_tes_in!U10=0,0,11630*1000*SER_hh_tes_in!U10/SER_hh_num_in!U10)</f>
        <v>15337.716759670451</v>
      </c>
      <c r="V10" s="132">
        <f>IF(SER_hh_tes_in!V10=0,0,11630*1000*SER_hh_tes_in!V10/SER_hh_num_in!V10)</f>
        <v>13148.21142375087</v>
      </c>
      <c r="W10" s="132">
        <f>IF(SER_hh_tes_in!W10=0,0,11630*1000*SER_hh_tes_in!W10/SER_hh_num_in!W10)</f>
        <v>12201.981331463254</v>
      </c>
      <c r="X10" s="132">
        <f>IF(SER_hh_tes_in!X10=0,0,11630*1000*SER_hh_tes_in!X10/SER_hh_num_in!X10)</f>
        <v>8195.9860245440432</v>
      </c>
      <c r="Y10" s="132">
        <f>IF(SER_hh_tes_in!Y10=0,0,11630*1000*SER_hh_tes_in!Y10/SER_hh_num_in!Y10)</f>
        <v>8039.7998234727493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50944.259355838505</v>
      </c>
      <c r="F11" s="132">
        <f>IF(SER_hh_tes_in!F11=0,0,11630*1000*SER_hh_tes_in!F11/SER_hh_num_in!F11)</f>
        <v>36926.708119752337</v>
      </c>
      <c r="G11" s="132">
        <f>IF(SER_hh_tes_in!G11=0,0,11630*1000*SER_hh_tes_in!G11/SER_hh_num_in!G11)</f>
        <v>33953.524891925532</v>
      </c>
      <c r="H11" s="132">
        <f>IF(SER_hh_tes_in!H11=0,0,11630*1000*SER_hh_tes_in!H11/SER_hh_num_in!H11)</f>
        <v>31719.11376472226</v>
      </c>
      <c r="I11" s="132">
        <f>IF(SER_hh_tes_in!I11=0,0,11630*1000*SER_hh_tes_in!I11/SER_hh_num_in!I11)</f>
        <v>29117.631907339572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28222.789472344211</v>
      </c>
      <c r="L11" s="132">
        <f>IF(SER_hh_tes_in!L11=0,0,11630*1000*SER_hh_tes_in!L11/SER_hh_num_in!L11)</f>
        <v>26470.771335850968</v>
      </c>
      <c r="M11" s="132">
        <f>IF(SER_hh_tes_in!M11=0,0,11630*1000*SER_hh_tes_in!M11/SER_hh_num_in!M11)</f>
        <v>25866.04504343318</v>
      </c>
      <c r="N11" s="132">
        <f>IF(SER_hh_tes_in!N11=0,0,11630*1000*SER_hh_tes_in!N11/SER_hh_num_in!N11)</f>
        <v>23774.100987567133</v>
      </c>
      <c r="O11" s="132">
        <f>IF(SER_hh_tes_in!O11=0,0,11630*1000*SER_hh_tes_in!O11/SER_hh_num_in!O11)</f>
        <v>23678.387164189717</v>
      </c>
      <c r="P11" s="132">
        <f>IF(SER_hh_tes_in!P11=0,0,11630*1000*SER_hh_tes_in!P11/SER_hh_num_in!P11)</f>
        <v>25681.151753113147</v>
      </c>
      <c r="Q11" s="132">
        <f>IF(SER_hh_tes_in!Q11=0,0,11630*1000*SER_hh_tes_in!Q11/SER_hh_num_in!Q11)</f>
        <v>18586.142601195461</v>
      </c>
      <c r="R11" s="132">
        <f>IF(SER_hh_tes_in!R11=0,0,11630*1000*SER_hh_tes_in!R11/SER_hh_num_in!R11)</f>
        <v>18535.750198207086</v>
      </c>
      <c r="S11" s="132">
        <f>IF(SER_hh_tes_in!S11=0,0,11630*1000*SER_hh_tes_in!S11/SER_hh_num_in!S11)</f>
        <v>18932.728066735999</v>
      </c>
      <c r="T11" s="132">
        <f>IF(SER_hh_tes_in!T11=0,0,11630*1000*SER_hh_tes_in!T11/SER_hh_num_in!T11)</f>
        <v>17520.666816466692</v>
      </c>
      <c r="U11" s="132">
        <f>IF(SER_hh_tes_in!U11=0,0,11630*1000*SER_hh_tes_in!U11/SER_hh_num_in!U11)</f>
        <v>14218.162703890441</v>
      </c>
      <c r="V11" s="132">
        <f>IF(SER_hh_tes_in!V11=0,0,11630*1000*SER_hh_tes_in!V11/SER_hh_num_in!V11)</f>
        <v>12350.649878745473</v>
      </c>
      <c r="W11" s="132">
        <f>IF(SER_hh_tes_in!W11=0,0,11630*1000*SER_hh_tes_in!W11/SER_hh_num_in!W11)</f>
        <v>10427.581964217601</v>
      </c>
      <c r="X11" s="132">
        <f>IF(SER_hh_tes_in!X11=0,0,11630*1000*SER_hh_tes_in!X11/SER_hh_num_in!X11)</f>
        <v>8066.1656267734543</v>
      </c>
      <c r="Y11" s="132">
        <f>IF(SER_hh_tes_in!Y11=0,0,11630*1000*SER_hh_tes_in!Y11/SER_hh_num_in!Y11)</f>
        <v>7734.288919750441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0</v>
      </c>
      <c r="D12" s="132">
        <f>IF(SER_hh_tes_in!D12=0,0,11630*1000*SER_hh_tes_in!D12/SER_hh_num_in!D12)</f>
        <v>0</v>
      </c>
      <c r="E12" s="132">
        <f>IF(SER_hh_tes_in!E12=0,0,11630*1000*SER_hh_tes_in!E12/SER_hh_num_in!E12)</f>
        <v>50382.898950995812</v>
      </c>
      <c r="F12" s="132">
        <f>IF(SER_hh_tes_in!F12=0,0,11630*1000*SER_hh_tes_in!F12/SER_hh_num_in!F12)</f>
        <v>41663.352011683703</v>
      </c>
      <c r="G12" s="132">
        <f>IF(SER_hh_tes_in!G12=0,0,11630*1000*SER_hh_tes_in!G12/SER_hh_num_in!G12)</f>
        <v>32943.169291322862</v>
      </c>
      <c r="H12" s="132">
        <f>IF(SER_hh_tes_in!H12=0,0,11630*1000*SER_hh_tes_in!H12/SER_hh_num_in!H12)</f>
        <v>0</v>
      </c>
      <c r="I12" s="132">
        <f>IF(SER_hh_tes_in!I12=0,0,11630*1000*SER_hh_tes_in!I12/SER_hh_num_in!I12)</f>
        <v>27276.696917314875</v>
      </c>
      <c r="J12" s="132">
        <f>IF(SER_hh_tes_in!J12=0,0,11630*1000*SER_hh_tes_in!J12/SER_hh_num_in!J12)</f>
        <v>28960.062962404441</v>
      </c>
      <c r="K12" s="132">
        <f>IF(SER_hh_tes_in!K12=0,0,11630*1000*SER_hh_tes_in!K12/SER_hh_num_in!K12)</f>
        <v>27220.103311803618</v>
      </c>
      <c r="L12" s="132">
        <f>IF(SER_hh_tes_in!L12=0,0,11630*1000*SER_hh_tes_in!L12/SER_hh_num_in!L12)</f>
        <v>35325.938607349352</v>
      </c>
      <c r="M12" s="132">
        <f>IF(SER_hh_tes_in!M12=0,0,11630*1000*SER_hh_tes_in!M12/SER_hh_num_in!M12)</f>
        <v>0</v>
      </c>
      <c r="N12" s="132">
        <f>IF(SER_hh_tes_in!N12=0,0,11630*1000*SER_hh_tes_in!N12/SER_hh_num_in!N12)</f>
        <v>0</v>
      </c>
      <c r="O12" s="132">
        <f>IF(SER_hh_tes_in!O12=0,0,11630*1000*SER_hh_tes_in!O12/SER_hh_num_in!O12)</f>
        <v>0</v>
      </c>
      <c r="P12" s="132">
        <f>IF(SER_hh_tes_in!P12=0,0,11630*1000*SER_hh_tes_in!P12/SER_hh_num_in!P12)</f>
        <v>0</v>
      </c>
      <c r="Q12" s="132">
        <f>IF(SER_hh_tes_in!Q12=0,0,11630*1000*SER_hh_tes_in!Q12/SER_hh_num_in!Q12)</f>
        <v>0</v>
      </c>
      <c r="R12" s="132">
        <f>IF(SER_hh_tes_in!R12=0,0,11630*1000*SER_hh_tes_in!R12/SER_hh_num_in!R12)</f>
        <v>0</v>
      </c>
      <c r="S12" s="132">
        <f>IF(SER_hh_tes_in!S12=0,0,11630*1000*SER_hh_tes_in!S12/SER_hh_num_in!S12)</f>
        <v>17894.424728957267</v>
      </c>
      <c r="T12" s="132">
        <f>IF(SER_hh_tes_in!T12=0,0,11630*1000*SER_hh_tes_in!T12/SER_hh_num_in!T12)</f>
        <v>17369.30708484053</v>
      </c>
      <c r="U12" s="132">
        <f>IF(SER_hh_tes_in!U12=0,0,11630*1000*SER_hh_tes_in!U12/SER_hh_num_in!U12)</f>
        <v>15509.718452683996</v>
      </c>
      <c r="V12" s="132">
        <f>IF(SER_hh_tes_in!V12=0,0,11630*1000*SER_hh_tes_in!V12/SER_hh_num_in!V12)</f>
        <v>11136.125196990917</v>
      </c>
      <c r="W12" s="132">
        <f>IF(SER_hh_tes_in!W12=0,0,11630*1000*SER_hh_tes_in!W12/SER_hh_num_in!W12)</f>
        <v>14294.519056933605</v>
      </c>
      <c r="X12" s="132">
        <f>IF(SER_hh_tes_in!X12=0,0,11630*1000*SER_hh_tes_in!X12/SER_hh_num_in!X12)</f>
        <v>8407.9136413976466</v>
      </c>
      <c r="Y12" s="132">
        <f>IF(SER_hh_tes_in!Y12=0,0,11630*1000*SER_hh_tes_in!Y12/SER_hh_num_in!Y12)</f>
        <v>7745.4939715757837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19016.427951207217</v>
      </c>
      <c r="D13" s="132">
        <f>IF(SER_hh_tes_in!D13=0,0,11630*1000*SER_hh_tes_in!D13/SER_hh_num_in!D13)</f>
        <v>30044.50148332943</v>
      </c>
      <c r="E13" s="132">
        <f>IF(SER_hh_tes_in!E13=0,0,11630*1000*SER_hh_tes_in!E13/SER_hh_num_in!E13)</f>
        <v>42160.173998538754</v>
      </c>
      <c r="F13" s="132">
        <f>IF(SER_hh_tes_in!F13=0,0,11630*1000*SER_hh_tes_in!F13/SER_hh_num_in!F13)</f>
        <v>35126.59682296589</v>
      </c>
      <c r="G13" s="132">
        <f>IF(SER_hh_tes_in!G13=0,0,11630*1000*SER_hh_tes_in!G13/SER_hh_num_in!G13)</f>
        <v>30962.335607334611</v>
      </c>
      <c r="H13" s="132">
        <f>IF(SER_hh_tes_in!H13=0,0,11630*1000*SER_hh_tes_in!H13/SER_hh_num_in!H13)</f>
        <v>30546.950832718841</v>
      </c>
      <c r="I13" s="132">
        <f>IF(SER_hh_tes_in!I13=0,0,11630*1000*SER_hh_tes_in!I13/SER_hh_num_in!I13)</f>
        <v>28595.822305256428</v>
      </c>
      <c r="J13" s="132">
        <f>IF(SER_hh_tes_in!J13=0,0,11630*1000*SER_hh_tes_in!J13/SER_hh_num_in!J13)</f>
        <v>28038.832906714761</v>
      </c>
      <c r="K13" s="132">
        <f>IF(SER_hh_tes_in!K13=0,0,11630*1000*SER_hh_tes_in!K13/SER_hh_num_in!K13)</f>
        <v>27921.082548762915</v>
      </c>
      <c r="L13" s="132">
        <f>IF(SER_hh_tes_in!L13=0,0,11630*1000*SER_hh_tes_in!L13/SER_hh_num_in!L13)</f>
        <v>28666.955210262291</v>
      </c>
      <c r="M13" s="132">
        <f>IF(SER_hh_tes_in!M13=0,0,11630*1000*SER_hh_tes_in!M13/SER_hh_num_in!M13)</f>
        <v>25770.187612738446</v>
      </c>
      <c r="N13" s="132">
        <f>IF(SER_hh_tes_in!N13=0,0,11630*1000*SER_hh_tes_in!N13/SER_hh_num_in!N13)</f>
        <v>24711.461199214769</v>
      </c>
      <c r="O13" s="132">
        <f>IF(SER_hh_tes_in!O13=0,0,11630*1000*SER_hh_tes_in!O13/SER_hh_num_in!O13)</f>
        <v>23595.197421992674</v>
      </c>
      <c r="P13" s="132">
        <f>IF(SER_hh_tes_in!P13=0,0,11630*1000*SER_hh_tes_in!P13/SER_hh_num_in!P13)</f>
        <v>21925.063336818519</v>
      </c>
      <c r="Q13" s="132">
        <f>IF(SER_hh_tes_in!Q13=0,0,11630*1000*SER_hh_tes_in!Q13/SER_hh_num_in!Q13)</f>
        <v>20869.733190416053</v>
      </c>
      <c r="R13" s="132">
        <f>IF(SER_hh_tes_in!R13=0,0,11630*1000*SER_hh_tes_in!R13/SER_hh_num_in!R13)</f>
        <v>19793.923707052392</v>
      </c>
      <c r="S13" s="132">
        <f>IF(SER_hh_tes_in!S13=0,0,11630*1000*SER_hh_tes_in!S13/SER_hh_num_in!S13)</f>
        <v>18409.556648075726</v>
      </c>
      <c r="T13" s="132">
        <f>IF(SER_hh_tes_in!T13=0,0,11630*1000*SER_hh_tes_in!T13/SER_hh_num_in!T13)</f>
        <v>16296.184164365302</v>
      </c>
      <c r="U13" s="132">
        <f>IF(SER_hh_tes_in!U13=0,0,11630*1000*SER_hh_tes_in!U13/SER_hh_num_in!U13)</f>
        <v>15021.76911199526</v>
      </c>
      <c r="V13" s="132">
        <f>IF(SER_hh_tes_in!V13=0,0,11630*1000*SER_hh_tes_in!V13/SER_hh_num_in!V13)</f>
        <v>13015.551194799955</v>
      </c>
      <c r="W13" s="132">
        <f>IF(SER_hh_tes_in!W13=0,0,11630*1000*SER_hh_tes_in!W13/SER_hh_num_in!W13)</f>
        <v>10715.650132575636</v>
      </c>
      <c r="X13" s="132">
        <f>IF(SER_hh_tes_in!X13=0,0,11630*1000*SER_hh_tes_in!X13/SER_hh_num_in!X13)</f>
        <v>8354.3520395056312</v>
      </c>
      <c r="Y13" s="132">
        <f>IF(SER_hh_tes_in!Y13=0,0,11630*1000*SER_hh_tes_in!Y13/SER_hh_num_in!Y13)</f>
        <v>8305.560788329587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36354.46866046224</v>
      </c>
      <c r="E14" s="65">
        <f>IF(SER_hh_tes_in!E14=0,0,11630*1000*SER_hh_tes_in!E14/SER_hh_num_in!E14)</f>
        <v>44075.713401838148</v>
      </c>
      <c r="F14" s="65">
        <f>IF(SER_hh_tes_in!F14=0,0,11630*1000*SER_hh_tes_in!F14/SER_hh_num_in!F14)</f>
        <v>36813.505078423768</v>
      </c>
      <c r="G14" s="65">
        <f>IF(SER_hh_tes_in!G14=0,0,11630*1000*SER_hh_tes_in!G14/SER_hh_num_in!G14)</f>
        <v>0</v>
      </c>
      <c r="H14" s="65">
        <f>IF(SER_hh_tes_in!H14=0,0,11630*1000*SER_hh_tes_in!H14/SER_hh_num_in!H14)</f>
        <v>0</v>
      </c>
      <c r="I14" s="65">
        <f>IF(SER_hh_tes_in!I14=0,0,11630*1000*SER_hh_tes_in!I14/SER_hh_num_in!I14)</f>
        <v>0</v>
      </c>
      <c r="J14" s="65">
        <f>IF(SER_hh_tes_in!J14=0,0,11630*1000*SER_hh_tes_in!J14/SER_hh_num_in!J14)</f>
        <v>0</v>
      </c>
      <c r="K14" s="65">
        <f>IF(SER_hh_tes_in!K14=0,0,11630*1000*SER_hh_tes_in!K14/SER_hh_num_in!K14)</f>
        <v>29548.81191442757</v>
      </c>
      <c r="L14" s="65">
        <f>IF(SER_hh_tes_in!L14=0,0,11630*1000*SER_hh_tes_in!L14/SER_hh_num_in!L14)</f>
        <v>33995.580418460144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24989.877283795937</v>
      </c>
      <c r="O14" s="65">
        <f>IF(SER_hh_tes_in!O14=0,0,11630*1000*SER_hh_tes_in!O14/SER_hh_num_in!O14)</f>
        <v>28557.502099489146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24300.294894764207</v>
      </c>
      <c r="R14" s="65">
        <f>IF(SER_hh_tes_in!R14=0,0,11630*1000*SER_hh_tes_in!R14/SER_hh_num_in!R14)</f>
        <v>25993.995841073975</v>
      </c>
      <c r="S14" s="65">
        <f>IF(SER_hh_tes_in!S14=0,0,11630*1000*SER_hh_tes_in!S14/SER_hh_num_in!S14)</f>
        <v>16814.601715717086</v>
      </c>
      <c r="T14" s="65">
        <f>IF(SER_hh_tes_in!T14=0,0,11630*1000*SER_hh_tes_in!T14/SER_hh_num_in!T14)</f>
        <v>12716.231300242574</v>
      </c>
      <c r="U14" s="65">
        <f>IF(SER_hh_tes_in!U14=0,0,11630*1000*SER_hh_tes_in!U14/SER_hh_num_in!U14)</f>
        <v>14870.450522537416</v>
      </c>
      <c r="V14" s="65">
        <f>IF(SER_hh_tes_in!V14=0,0,11630*1000*SER_hh_tes_in!V14/SER_hh_num_in!V14)</f>
        <v>14919.321983336908</v>
      </c>
      <c r="W14" s="65">
        <f>IF(SER_hh_tes_in!W14=0,0,11630*1000*SER_hh_tes_in!W14/SER_hh_num_in!W14)</f>
        <v>0</v>
      </c>
      <c r="X14" s="65">
        <f>IF(SER_hh_tes_in!X14=0,0,11630*1000*SER_hh_tes_in!X14/SER_hh_num_in!X14)</f>
        <v>0</v>
      </c>
      <c r="Y14" s="65">
        <f>IF(SER_hh_tes_in!Y14=0,0,11630*1000*SER_hh_tes_in!Y14/SER_hh_num_in!Y14)</f>
        <v>0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522.78089330803493</v>
      </c>
      <c r="D15" s="134">
        <f>IF(SER_hh_tes_in!D15=0,0,11630*1000*SER_hh_tes_in!D15/SER_hh_num_in!D15)</f>
        <v>522.06883451893771</v>
      </c>
      <c r="E15" s="134">
        <f>IF(SER_hh_tes_in!E15=0,0,11630*1000*SER_hh_tes_in!E15/SER_hh_num_in!E15)</f>
        <v>263.25612691326802</v>
      </c>
      <c r="F15" s="134">
        <f>IF(SER_hh_tes_in!F15=0,0,11630*1000*SER_hh_tes_in!F15/SER_hh_num_in!F15)</f>
        <v>272.87853821030177</v>
      </c>
      <c r="G15" s="134">
        <f>IF(SER_hh_tes_in!G15=0,0,11630*1000*SER_hh_tes_in!G15/SER_hh_num_in!G15)</f>
        <v>323.02535195870342</v>
      </c>
      <c r="H15" s="134">
        <f>IF(SER_hh_tes_in!H15=0,0,11630*1000*SER_hh_tes_in!H15/SER_hh_num_in!H15)</f>
        <v>609.07801580900718</v>
      </c>
      <c r="I15" s="134">
        <f>IF(SER_hh_tes_in!I15=0,0,11630*1000*SER_hh_tes_in!I15/SER_hh_num_in!I15)</f>
        <v>396.23981795601611</v>
      </c>
      <c r="J15" s="134">
        <f>IF(SER_hh_tes_in!J15=0,0,11630*1000*SER_hh_tes_in!J15/SER_hh_num_in!J15)</f>
        <v>449.310621884103</v>
      </c>
      <c r="K15" s="134">
        <f>IF(SER_hh_tes_in!K15=0,0,11630*1000*SER_hh_tes_in!K15/SER_hh_num_in!K15)</f>
        <v>417.24871976096836</v>
      </c>
      <c r="L15" s="134">
        <f>IF(SER_hh_tes_in!L15=0,0,11630*1000*SER_hh_tes_in!L15/SER_hh_num_in!L15)</f>
        <v>391.57318388231971</v>
      </c>
      <c r="M15" s="134">
        <f>IF(SER_hh_tes_in!M15=0,0,11630*1000*SER_hh_tes_in!M15/SER_hh_num_in!M15)</f>
        <v>385.25552954874621</v>
      </c>
      <c r="N15" s="134">
        <f>IF(SER_hh_tes_in!N15=0,0,11630*1000*SER_hh_tes_in!N15/SER_hh_num_in!N15)</f>
        <v>384.77636409570721</v>
      </c>
      <c r="O15" s="134">
        <f>IF(SER_hh_tes_in!O15=0,0,11630*1000*SER_hh_tes_in!O15/SER_hh_num_in!O15)</f>
        <v>428.36375823436737</v>
      </c>
      <c r="P15" s="134">
        <f>IF(SER_hh_tes_in!P15=0,0,11630*1000*SER_hh_tes_in!P15/SER_hh_num_in!P15)</f>
        <v>316.80820017420189</v>
      </c>
      <c r="Q15" s="134">
        <f>IF(SER_hh_tes_in!Q15=0,0,11630*1000*SER_hh_tes_in!Q15/SER_hh_num_in!Q15)</f>
        <v>317.13413512121338</v>
      </c>
      <c r="R15" s="134">
        <f>IF(SER_hh_tes_in!R15=0,0,11630*1000*SER_hh_tes_in!R15/SER_hh_num_in!R15)</f>
        <v>287.13347248220487</v>
      </c>
      <c r="S15" s="134">
        <f>IF(SER_hh_tes_in!S15=0,0,11630*1000*SER_hh_tes_in!S15/SER_hh_num_in!S15)</f>
        <v>197.9095004320491</v>
      </c>
      <c r="T15" s="134">
        <f>IF(SER_hh_tes_in!T15=0,0,11630*1000*SER_hh_tes_in!T15/SER_hh_num_in!T15)</f>
        <v>177.14010814877813</v>
      </c>
      <c r="U15" s="134">
        <f>IF(SER_hh_tes_in!U15=0,0,11630*1000*SER_hh_tes_in!U15/SER_hh_num_in!U15)</f>
        <v>108.52210169128739</v>
      </c>
      <c r="V15" s="134">
        <f>IF(SER_hh_tes_in!V15=0,0,11630*1000*SER_hh_tes_in!V15/SER_hh_num_in!V15)</f>
        <v>176.312454088838</v>
      </c>
      <c r="W15" s="134">
        <f>IF(SER_hh_tes_in!W15=0,0,11630*1000*SER_hh_tes_in!W15/SER_hh_num_in!W15)</f>
        <v>132.87225262109769</v>
      </c>
      <c r="X15" s="134">
        <f>IF(SER_hh_tes_in!X15=0,0,11630*1000*SER_hh_tes_in!X15/SER_hh_num_in!X15)</f>
        <v>78.720899585727224</v>
      </c>
      <c r="Y15" s="134">
        <f>IF(SER_hh_tes_in!Y15=0,0,11630*1000*SER_hh_tes_in!Y15/SER_hh_num_in!Y15)</f>
        <v>80.058802079703767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25212.484505289151</v>
      </c>
      <c r="D16" s="130">
        <f>IF(SER_hh_tes_in!D16=0,0,11630*1000*SER_hh_tes_in!D16/SER_hh_num_in!D16)</f>
        <v>25147.616333793358</v>
      </c>
      <c r="E16" s="130">
        <f>IF(SER_hh_tes_in!E16=0,0,11630*1000*SER_hh_tes_in!E16/SER_hh_num_in!E16)</f>
        <v>30236.294761812071</v>
      </c>
      <c r="F16" s="130">
        <f>IF(SER_hh_tes_in!F16=0,0,11630*1000*SER_hh_tes_in!F16/SER_hh_num_in!F16)</f>
        <v>24521.566994151286</v>
      </c>
      <c r="G16" s="130">
        <f>IF(SER_hh_tes_in!G16=0,0,11630*1000*SER_hh_tes_in!G16/SER_hh_num_in!G16)</f>
        <v>24541.292888007862</v>
      </c>
      <c r="H16" s="130">
        <f>IF(SER_hh_tes_in!H16=0,0,11630*1000*SER_hh_tes_in!H16/SER_hh_num_in!H16)</f>
        <v>26994.769773622884</v>
      </c>
      <c r="I16" s="130">
        <f>IF(SER_hh_tes_in!I16=0,0,11630*1000*SER_hh_tes_in!I16/SER_hh_num_in!I16)</f>
        <v>24445.229570546573</v>
      </c>
      <c r="J16" s="130">
        <f>IF(SER_hh_tes_in!J16=0,0,11630*1000*SER_hh_tes_in!J16/SER_hh_num_in!J16)</f>
        <v>24241.090928728332</v>
      </c>
      <c r="K16" s="130">
        <f>IF(SER_hh_tes_in!K16=0,0,11630*1000*SER_hh_tes_in!K16/SER_hh_num_in!K16)</f>
        <v>23673.859017063412</v>
      </c>
      <c r="L16" s="130">
        <f>IF(SER_hh_tes_in!L16=0,0,11630*1000*SER_hh_tes_in!L16/SER_hh_num_in!L16)</f>
        <v>25399.6119142971</v>
      </c>
      <c r="M16" s="130">
        <f>IF(SER_hh_tes_in!M16=0,0,11630*1000*SER_hh_tes_in!M16/SER_hh_num_in!M16)</f>
        <v>22993.348484622798</v>
      </c>
      <c r="N16" s="130">
        <f>IF(SER_hh_tes_in!N16=0,0,11630*1000*SER_hh_tes_in!N16/SER_hh_num_in!N16)</f>
        <v>22932.530499128814</v>
      </c>
      <c r="O16" s="130">
        <f>IF(SER_hh_tes_in!O16=0,0,11630*1000*SER_hh_tes_in!O16/SER_hh_num_in!O16)</f>
        <v>23480.797610051337</v>
      </c>
      <c r="P16" s="130">
        <f>IF(SER_hh_tes_in!P16=0,0,11630*1000*SER_hh_tes_in!P16/SER_hh_num_in!P16)</f>
        <v>21758.81889071655</v>
      </c>
      <c r="Q16" s="130">
        <f>IF(SER_hh_tes_in!Q16=0,0,11630*1000*SER_hh_tes_in!Q16/SER_hh_num_in!Q16)</f>
        <v>24017.781760687758</v>
      </c>
      <c r="R16" s="130">
        <f>IF(SER_hh_tes_in!R16=0,0,11630*1000*SER_hh_tes_in!R16/SER_hh_num_in!R16)</f>
        <v>21331.115154907995</v>
      </c>
      <c r="S16" s="130">
        <f>IF(SER_hh_tes_in!S16=0,0,11630*1000*SER_hh_tes_in!S16/SER_hh_num_in!S16)</f>
        <v>20527.296698872717</v>
      </c>
      <c r="T16" s="130">
        <f>IF(SER_hh_tes_in!T16=0,0,11630*1000*SER_hh_tes_in!T16/SER_hh_num_in!T16)</f>
        <v>24410.698982073362</v>
      </c>
      <c r="U16" s="130">
        <f>IF(SER_hh_tes_in!U16=0,0,11630*1000*SER_hh_tes_in!U16/SER_hh_num_in!U16)</f>
        <v>22559.828944013967</v>
      </c>
      <c r="V16" s="130">
        <f>IF(SER_hh_tes_in!V16=0,0,11630*1000*SER_hh_tes_in!V16/SER_hh_num_in!V16)</f>
        <v>18674.764413394842</v>
      </c>
      <c r="W16" s="130">
        <f>IF(SER_hh_tes_in!W16=0,0,11630*1000*SER_hh_tes_in!W16/SER_hh_num_in!W16)</f>
        <v>16579.012983725472</v>
      </c>
      <c r="X16" s="130">
        <f>IF(SER_hh_tes_in!X16=0,0,11630*1000*SER_hh_tes_in!X16/SER_hh_num_in!X16)</f>
        <v>16617.84823014955</v>
      </c>
      <c r="Y16" s="130">
        <f>IF(SER_hh_tes_in!Y16=0,0,11630*1000*SER_hh_tes_in!Y16/SER_hh_num_in!Y16)</f>
        <v>16063.203079493749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25215.141934594045</v>
      </c>
      <c r="D17" s="132">
        <f>IF(SER_hh_tes_in!D17=0,0,11630*1000*SER_hh_tes_in!D17/SER_hh_num_in!D17)</f>
        <v>25155.154507831128</v>
      </c>
      <c r="E17" s="132">
        <f>IF(SER_hh_tes_in!E17=0,0,11630*1000*SER_hh_tes_in!E17/SER_hh_num_in!E17)</f>
        <v>30236.200959559697</v>
      </c>
      <c r="F17" s="132">
        <f>IF(SER_hh_tes_in!F17=0,0,11630*1000*SER_hh_tes_in!F17/SER_hh_num_in!F17)</f>
        <v>24692.620541415701</v>
      </c>
      <c r="G17" s="132">
        <f>IF(SER_hh_tes_in!G17=0,0,11630*1000*SER_hh_tes_in!G17/SER_hh_num_in!G17)</f>
        <v>24721.051584929439</v>
      </c>
      <c r="H17" s="132">
        <f>IF(SER_hh_tes_in!H17=0,0,11630*1000*SER_hh_tes_in!H17/SER_hh_num_in!H17)</f>
        <v>27090.490710288923</v>
      </c>
      <c r="I17" s="132">
        <f>IF(SER_hh_tes_in!I17=0,0,11630*1000*SER_hh_tes_in!I17/SER_hh_num_in!I17)</f>
        <v>24803.610285834493</v>
      </c>
      <c r="J17" s="132">
        <f>IF(SER_hh_tes_in!J17=0,0,11630*1000*SER_hh_tes_in!J17/SER_hh_num_in!J17)</f>
        <v>24500.348415662076</v>
      </c>
      <c r="K17" s="132">
        <f>IF(SER_hh_tes_in!K17=0,0,11630*1000*SER_hh_tes_in!K17/SER_hh_num_in!K17)</f>
        <v>23817.195733436685</v>
      </c>
      <c r="L17" s="132">
        <f>IF(SER_hh_tes_in!L17=0,0,11630*1000*SER_hh_tes_in!L17/SER_hh_num_in!L17)</f>
        <v>25555.745048017052</v>
      </c>
      <c r="M17" s="132">
        <f>IF(SER_hh_tes_in!M17=0,0,11630*1000*SER_hh_tes_in!M17/SER_hh_num_in!M17)</f>
        <v>23046.607711378354</v>
      </c>
      <c r="N17" s="132">
        <f>IF(SER_hh_tes_in!N17=0,0,11630*1000*SER_hh_tes_in!N17/SER_hh_num_in!N17)</f>
        <v>22962.822021781521</v>
      </c>
      <c r="O17" s="132">
        <f>IF(SER_hh_tes_in!O17=0,0,11630*1000*SER_hh_tes_in!O17/SER_hh_num_in!O17)</f>
        <v>23535.653352448669</v>
      </c>
      <c r="P17" s="132">
        <f>IF(SER_hh_tes_in!P17=0,0,11630*1000*SER_hh_tes_in!P17/SER_hh_num_in!P17)</f>
        <v>22099.908985580216</v>
      </c>
      <c r="Q17" s="132">
        <f>IF(SER_hh_tes_in!Q17=0,0,11630*1000*SER_hh_tes_in!Q17/SER_hh_num_in!Q17)</f>
        <v>20183.454462289807</v>
      </c>
      <c r="R17" s="132">
        <f>IF(SER_hh_tes_in!R17=0,0,11630*1000*SER_hh_tes_in!R17/SER_hh_num_in!R17)</f>
        <v>21942.314643515449</v>
      </c>
      <c r="S17" s="132">
        <f>IF(SER_hh_tes_in!S17=0,0,11630*1000*SER_hh_tes_in!S17/SER_hh_num_in!S17)</f>
        <v>18997.112296012976</v>
      </c>
      <c r="T17" s="132">
        <f>IF(SER_hh_tes_in!T17=0,0,11630*1000*SER_hh_tes_in!T17/SER_hh_num_in!T17)</f>
        <v>25192.152205432307</v>
      </c>
      <c r="U17" s="132">
        <f>IF(SER_hh_tes_in!U17=0,0,11630*1000*SER_hh_tes_in!U17/SER_hh_num_in!U17)</f>
        <v>23132.935499123982</v>
      </c>
      <c r="V17" s="132">
        <f>IF(SER_hh_tes_in!V17=0,0,11630*1000*SER_hh_tes_in!V17/SER_hh_num_in!V17)</f>
        <v>16145.378023737794</v>
      </c>
      <c r="W17" s="132">
        <f>IF(SER_hh_tes_in!W17=0,0,11630*1000*SER_hh_tes_in!W17/SER_hh_num_in!W17)</f>
        <v>14160.936101490099</v>
      </c>
      <c r="X17" s="132">
        <f>IF(SER_hh_tes_in!X17=0,0,11630*1000*SER_hh_tes_in!X17/SER_hh_num_in!X17)</f>
        <v>16593.721543175154</v>
      </c>
      <c r="Y17" s="132">
        <f>IF(SER_hh_tes_in!Y17=0,0,11630*1000*SER_hh_tes_in!Y17/SER_hh_num_in!Y17)</f>
        <v>15995.41655423743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25212.483678101737</v>
      </c>
      <c r="D18" s="132">
        <f>IF(SER_hh_tes_in!D18=0,0,11630*1000*SER_hh_tes_in!D18/SER_hh_num_in!D18)</f>
        <v>25147.613803769655</v>
      </c>
      <c r="E18" s="132">
        <f>IF(SER_hh_tes_in!E18=0,0,11630*1000*SER_hh_tes_in!E18/SER_hh_num_in!E18)</f>
        <v>30236.2947836081</v>
      </c>
      <c r="F18" s="132">
        <f>IF(SER_hh_tes_in!F18=0,0,11630*1000*SER_hh_tes_in!F18/SER_hh_num_in!F18)</f>
        <v>24521.381003490787</v>
      </c>
      <c r="G18" s="132">
        <f>IF(SER_hh_tes_in!G18=0,0,11630*1000*SER_hh_tes_in!G18/SER_hh_num_in!G18)</f>
        <v>24541.152028904544</v>
      </c>
      <c r="H18" s="132">
        <f>IF(SER_hh_tes_in!H18=0,0,11630*1000*SER_hh_tes_in!H18/SER_hh_num_in!H18)</f>
        <v>26994.736190590171</v>
      </c>
      <c r="I18" s="132">
        <f>IF(SER_hh_tes_in!I18=0,0,11630*1000*SER_hh_tes_in!I18/SER_hh_num_in!I18)</f>
        <v>24444.612869142875</v>
      </c>
      <c r="J18" s="132">
        <f>IF(SER_hh_tes_in!J18=0,0,11630*1000*SER_hh_tes_in!J18/SER_hh_num_in!J18)</f>
        <v>24240.777086225244</v>
      </c>
      <c r="K18" s="132">
        <f>IF(SER_hh_tes_in!K18=0,0,11630*1000*SER_hh_tes_in!K18/SER_hh_num_in!K18)</f>
        <v>23673.603974161804</v>
      </c>
      <c r="L18" s="132">
        <f>IF(SER_hh_tes_in!L18=0,0,11630*1000*SER_hh_tes_in!L18/SER_hh_num_in!L18)</f>
        <v>25399.353428062856</v>
      </c>
      <c r="M18" s="132">
        <f>IF(SER_hh_tes_in!M18=0,0,11630*1000*SER_hh_tes_in!M18/SER_hh_num_in!M18)</f>
        <v>22993.244394938378</v>
      </c>
      <c r="N18" s="132">
        <f>IF(SER_hh_tes_in!N18=0,0,11630*1000*SER_hh_tes_in!N18/SER_hh_num_in!N18)</f>
        <v>22932.480590043728</v>
      </c>
      <c r="O18" s="132">
        <f>IF(SER_hh_tes_in!O18=0,0,11630*1000*SER_hh_tes_in!O18/SER_hh_num_in!O18)</f>
        <v>23480.662681365557</v>
      </c>
      <c r="P18" s="132">
        <f>IF(SER_hh_tes_in!P18=0,0,11630*1000*SER_hh_tes_in!P18/SER_hh_num_in!P18)</f>
        <v>21756.76653811472</v>
      </c>
      <c r="Q18" s="132">
        <f>IF(SER_hh_tes_in!Q18=0,0,11630*1000*SER_hh_tes_in!Q18/SER_hh_num_in!Q18)</f>
        <v>24053.286262139198</v>
      </c>
      <c r="R18" s="132">
        <f>IF(SER_hh_tes_in!R18=0,0,11630*1000*SER_hh_tes_in!R18/SER_hh_num_in!R18)</f>
        <v>21328.42719398687</v>
      </c>
      <c r="S18" s="132">
        <f>IF(SER_hh_tes_in!S18=0,0,11630*1000*SER_hh_tes_in!S18/SER_hh_num_in!S18)</f>
        <v>20540.156933930321</v>
      </c>
      <c r="T18" s="132">
        <f>IF(SER_hh_tes_in!T18=0,0,11630*1000*SER_hh_tes_in!T18/SER_hh_num_in!T18)</f>
        <v>24402.996005925655</v>
      </c>
      <c r="U18" s="132">
        <f>IF(SER_hh_tes_in!U18=0,0,11630*1000*SER_hh_tes_in!U18/SER_hh_num_in!U18)</f>
        <v>22555.187062213565</v>
      </c>
      <c r="V18" s="132">
        <f>IF(SER_hh_tes_in!V18=0,0,11630*1000*SER_hh_tes_in!V18/SER_hh_num_in!V18)</f>
        <v>18687.722187132924</v>
      </c>
      <c r="W18" s="132">
        <f>IF(SER_hh_tes_in!W18=0,0,11630*1000*SER_hh_tes_in!W18/SER_hh_num_in!W18)</f>
        <v>16592.983784971726</v>
      </c>
      <c r="X18" s="132">
        <f>IF(SER_hh_tes_in!X18=0,0,11630*1000*SER_hh_tes_in!X18/SER_hh_num_in!X18)</f>
        <v>16617.963270179305</v>
      </c>
      <c r="Y18" s="132">
        <f>IF(SER_hh_tes_in!Y18=0,0,11630*1000*SER_hh_tes_in!Y18/SER_hh_num_in!Y18)</f>
        <v>16063.659490516673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5920.7808785768439</v>
      </c>
      <c r="D19" s="130">
        <f>IF(SER_hh_tes_in!D19=0,0,11630*1000*SER_hh_tes_in!D19/SER_hh_num_in!D19)</f>
        <v>5585.9410944671008</v>
      </c>
      <c r="E19" s="130">
        <f>IF(SER_hh_tes_in!E19=0,0,11630*1000*SER_hh_tes_in!E19/SER_hh_num_in!E19)</f>
        <v>7862.5631792570584</v>
      </c>
      <c r="F19" s="130">
        <f>IF(SER_hh_tes_in!F19=0,0,11630*1000*SER_hh_tes_in!F19/SER_hh_num_in!F19)</f>
        <v>6494.2356486877889</v>
      </c>
      <c r="G19" s="130">
        <f>IF(SER_hh_tes_in!G19=0,0,11630*1000*SER_hh_tes_in!G19/SER_hh_num_in!G19)</f>
        <v>6105.3141180971388</v>
      </c>
      <c r="H19" s="130">
        <f>IF(SER_hh_tes_in!H19=0,0,11630*1000*SER_hh_tes_in!H19/SER_hh_num_in!H19)</f>
        <v>6157.2232032175289</v>
      </c>
      <c r="I19" s="130">
        <f>IF(SER_hh_tes_in!I19=0,0,11630*1000*SER_hh_tes_in!I19/SER_hh_num_in!I19)</f>
        <v>6078.8906423672552</v>
      </c>
      <c r="J19" s="130">
        <f>IF(SER_hh_tes_in!J19=0,0,11630*1000*SER_hh_tes_in!J19/SER_hh_num_in!J19)</f>
        <v>6037.6147682353176</v>
      </c>
      <c r="K19" s="130">
        <f>IF(SER_hh_tes_in!K19=0,0,11630*1000*SER_hh_tes_in!K19/SER_hh_num_in!K19)</f>
        <v>6240.5068922565688</v>
      </c>
      <c r="L19" s="130">
        <f>IF(SER_hh_tes_in!L19=0,0,11630*1000*SER_hh_tes_in!L19/SER_hh_num_in!L19)</f>
        <v>6127.268084153071</v>
      </c>
      <c r="M19" s="130">
        <f>IF(SER_hh_tes_in!M19=0,0,11630*1000*SER_hh_tes_in!M19/SER_hh_num_in!M19)</f>
        <v>5985.0410061157963</v>
      </c>
      <c r="N19" s="130">
        <f>IF(SER_hh_tes_in!N19=0,0,11630*1000*SER_hh_tes_in!N19/SER_hh_num_in!N19)</f>
        <v>5968.4140973302774</v>
      </c>
      <c r="O19" s="130">
        <f>IF(SER_hh_tes_in!O19=0,0,11630*1000*SER_hh_tes_in!O19/SER_hh_num_in!O19)</f>
        <v>6034.3193680615332</v>
      </c>
      <c r="P19" s="130">
        <f>IF(SER_hh_tes_in!P19=0,0,11630*1000*SER_hh_tes_in!P19/SER_hh_num_in!P19)</f>
        <v>6159.6166682478624</v>
      </c>
      <c r="Q19" s="130">
        <f>IF(SER_hh_tes_in!Q19=0,0,11630*1000*SER_hh_tes_in!Q19/SER_hh_num_in!Q19)</f>
        <v>6038.6157904300844</v>
      </c>
      <c r="R19" s="130">
        <f>IF(SER_hh_tes_in!R19=0,0,11630*1000*SER_hh_tes_in!R19/SER_hh_num_in!R19)</f>
        <v>5834.3108466020221</v>
      </c>
      <c r="S19" s="130">
        <f>IF(SER_hh_tes_in!S19=0,0,11630*1000*SER_hh_tes_in!S19/SER_hh_num_in!S19)</f>
        <v>5640.9407614668189</v>
      </c>
      <c r="T19" s="130">
        <f>IF(SER_hh_tes_in!T19=0,0,11630*1000*SER_hh_tes_in!T19/SER_hh_num_in!T19)</f>
        <v>6690.7995102249488</v>
      </c>
      <c r="U19" s="130">
        <f>IF(SER_hh_tes_in!U19=0,0,11630*1000*SER_hh_tes_in!U19/SER_hh_num_in!U19)</f>
        <v>6207.6949274833241</v>
      </c>
      <c r="V19" s="130">
        <f>IF(SER_hh_tes_in!V19=0,0,11630*1000*SER_hh_tes_in!V19/SER_hh_num_in!V19)</f>
        <v>5548.5139611764243</v>
      </c>
      <c r="W19" s="130">
        <f>IF(SER_hh_tes_in!W19=0,0,11630*1000*SER_hh_tes_in!W19/SER_hh_num_in!W19)</f>
        <v>5242.4987438639655</v>
      </c>
      <c r="X19" s="130">
        <f>IF(SER_hh_tes_in!X19=0,0,11630*1000*SER_hh_tes_in!X19/SER_hh_num_in!X19)</f>
        <v>5167.736114528102</v>
      </c>
      <c r="Y19" s="130">
        <f>IF(SER_hh_tes_in!Y19=0,0,11630*1000*SER_hh_tes_in!Y19/SER_hh_num_in!Y19)</f>
        <v>4989.1266883333183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5511.7607268538577</v>
      </c>
      <c r="D21" s="132">
        <f>IF(SER_hh_tes_in!D21=0,0,11630*1000*SER_hh_tes_in!D21/SER_hh_num_in!D21)</f>
        <v>6128.7141624010928</v>
      </c>
      <c r="E21" s="132">
        <f>IF(SER_hh_tes_in!E21=0,0,11630*1000*SER_hh_tes_in!E21/SER_hh_num_in!E21)</f>
        <v>5598.6583312320681</v>
      </c>
      <c r="F21" s="132">
        <f>IF(SER_hh_tes_in!F21=0,0,11630*1000*SER_hh_tes_in!F21/SER_hh_num_in!F21)</f>
        <v>6240.6904326834492</v>
      </c>
      <c r="G21" s="132">
        <f>IF(SER_hh_tes_in!G21=0,0,11630*1000*SER_hh_tes_in!G21/SER_hh_num_in!G21)</f>
        <v>6312.2777837851727</v>
      </c>
      <c r="H21" s="132">
        <f>IF(SER_hh_tes_in!H21=0,0,11630*1000*SER_hh_tes_in!H21/SER_hh_num_in!H21)</f>
        <v>6228.6995495558913</v>
      </c>
      <c r="I21" s="132">
        <f>IF(SER_hh_tes_in!I21=0,0,11630*1000*SER_hh_tes_in!I21/SER_hh_num_in!I21)</f>
        <v>6196.8262462889443</v>
      </c>
      <c r="J21" s="132">
        <f>IF(SER_hh_tes_in!J21=0,0,11630*1000*SER_hh_tes_in!J21/SER_hh_num_in!J21)</f>
        <v>6193.9454776664143</v>
      </c>
      <c r="K21" s="132">
        <f>IF(SER_hh_tes_in!K21=0,0,11630*1000*SER_hh_tes_in!K21/SER_hh_num_in!K21)</f>
        <v>6152.9529047058786</v>
      </c>
      <c r="L21" s="132">
        <f>IF(SER_hh_tes_in!L21=0,0,11630*1000*SER_hh_tes_in!L21/SER_hh_num_in!L21)</f>
        <v>6015.5804881495642</v>
      </c>
      <c r="M21" s="132">
        <f>IF(SER_hh_tes_in!M21=0,0,11630*1000*SER_hh_tes_in!M21/SER_hh_num_in!M21)</f>
        <v>6159.1534859169415</v>
      </c>
      <c r="N21" s="132">
        <f>IF(SER_hh_tes_in!N21=0,0,11630*1000*SER_hh_tes_in!N21/SER_hh_num_in!N21)</f>
        <v>6123.5888143249722</v>
      </c>
      <c r="O21" s="132">
        <f>IF(SER_hh_tes_in!O21=0,0,11630*1000*SER_hh_tes_in!O21/SER_hh_num_in!O21)</f>
        <v>5769.0179247227379</v>
      </c>
      <c r="P21" s="132">
        <f>IF(SER_hh_tes_in!P21=0,0,11630*1000*SER_hh_tes_in!P21/SER_hh_num_in!P21)</f>
        <v>5972.4195117653499</v>
      </c>
      <c r="Q21" s="132">
        <f>IF(SER_hh_tes_in!Q21=0,0,11630*1000*SER_hh_tes_in!Q21/SER_hh_num_in!Q21)</f>
        <v>6047.1791993702773</v>
      </c>
      <c r="R21" s="132">
        <f>IF(SER_hh_tes_in!R21=0,0,11630*1000*SER_hh_tes_in!R21/SER_hh_num_in!R21)</f>
        <v>6188.4007834253962</v>
      </c>
      <c r="S21" s="132">
        <f>IF(SER_hh_tes_in!S21=0,0,11630*1000*SER_hh_tes_in!S21/SER_hh_num_in!S21)</f>
        <v>5165.1235875008515</v>
      </c>
      <c r="T21" s="132">
        <f>IF(SER_hh_tes_in!T21=0,0,11630*1000*SER_hh_tes_in!T21/SER_hh_num_in!T21)</f>
        <v>6228.5084643874497</v>
      </c>
      <c r="U21" s="132">
        <f>IF(SER_hh_tes_in!U21=0,0,11630*1000*SER_hh_tes_in!U21/SER_hh_num_in!U21)</f>
        <v>6267.2872027388603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5942.6584164522919</v>
      </c>
      <c r="D22" s="132">
        <f>IF(SER_hh_tes_in!D22=0,0,11630*1000*SER_hh_tes_in!D22/SER_hh_num_in!D22)</f>
        <v>0</v>
      </c>
      <c r="E22" s="132">
        <f>IF(SER_hh_tes_in!E22=0,0,11630*1000*SER_hh_tes_in!E22/SER_hh_num_in!E22)</f>
        <v>5434.5464098703324</v>
      </c>
      <c r="F22" s="132">
        <f>IF(SER_hh_tes_in!F22=0,0,11630*1000*SER_hh_tes_in!F22/SER_hh_num_in!F22)</f>
        <v>5881.5747391812565</v>
      </c>
      <c r="G22" s="132">
        <f>IF(SER_hh_tes_in!G22=0,0,11630*1000*SER_hh_tes_in!G22/SER_hh_num_in!G22)</f>
        <v>5892.7041849892603</v>
      </c>
      <c r="H22" s="132">
        <f>IF(SER_hh_tes_in!H22=0,0,11630*1000*SER_hh_tes_in!H22/SER_hh_num_in!H22)</f>
        <v>6133.1228367940048</v>
      </c>
      <c r="I22" s="132">
        <f>IF(SER_hh_tes_in!I22=0,0,11630*1000*SER_hh_tes_in!I22/SER_hh_num_in!I22)</f>
        <v>6136.074947512705</v>
      </c>
      <c r="J22" s="132">
        <f>IF(SER_hh_tes_in!J22=0,0,11630*1000*SER_hh_tes_in!J22/SER_hh_num_in!J22)</f>
        <v>6126.1009863622176</v>
      </c>
      <c r="K22" s="132">
        <f>IF(SER_hh_tes_in!K22=0,0,11630*1000*SER_hh_tes_in!K22/SER_hh_num_in!K22)</f>
        <v>6042.5660574687063</v>
      </c>
      <c r="L22" s="132">
        <f>IF(SER_hh_tes_in!L22=0,0,11630*1000*SER_hh_tes_in!L22/SER_hh_num_in!L22)</f>
        <v>6015.2140781076996</v>
      </c>
      <c r="M22" s="132">
        <f>IF(SER_hh_tes_in!M22=0,0,11630*1000*SER_hh_tes_in!M22/SER_hh_num_in!M22)</f>
        <v>4949.275087045241</v>
      </c>
      <c r="N22" s="132">
        <f>IF(SER_hh_tes_in!N22=0,0,11630*1000*SER_hh_tes_in!N22/SER_hh_num_in!N22)</f>
        <v>6043.1316008176118</v>
      </c>
      <c r="O22" s="132">
        <f>IF(SER_hh_tes_in!O22=0,0,11630*1000*SER_hh_tes_in!O22/SER_hh_num_in!O22)</f>
        <v>6030.3495452351563</v>
      </c>
      <c r="P22" s="132">
        <f>IF(SER_hh_tes_in!P22=0,0,11630*1000*SER_hh_tes_in!P22/SER_hh_num_in!P22)</f>
        <v>6067.3762211251851</v>
      </c>
      <c r="Q22" s="132">
        <f>IF(SER_hh_tes_in!Q22=0,0,11630*1000*SER_hh_tes_in!Q22/SER_hh_num_in!Q22)</f>
        <v>6044.3987676748884</v>
      </c>
      <c r="R22" s="132">
        <f>IF(SER_hh_tes_in!R22=0,0,11630*1000*SER_hh_tes_in!R22/SER_hh_num_in!R22)</f>
        <v>6145.8834905465264</v>
      </c>
      <c r="S22" s="132">
        <f>IF(SER_hh_tes_in!S22=0,0,11630*1000*SER_hh_tes_in!S22/SER_hh_num_in!S22)</f>
        <v>0</v>
      </c>
      <c r="T22" s="132">
        <f>IF(SER_hh_tes_in!T22=0,0,11630*1000*SER_hh_tes_in!T22/SER_hh_num_in!T22)</f>
        <v>0</v>
      </c>
      <c r="U22" s="132">
        <f>IF(SER_hh_tes_in!U22=0,0,11630*1000*SER_hh_tes_in!U22/SER_hh_num_in!U22)</f>
        <v>0</v>
      </c>
      <c r="V22" s="132">
        <f>IF(SER_hh_tes_in!V22=0,0,11630*1000*SER_hh_tes_in!V22/SER_hh_num_in!V22)</f>
        <v>0</v>
      </c>
      <c r="W22" s="132">
        <f>IF(SER_hh_tes_in!W22=0,0,11630*1000*SER_hh_tes_in!W22/SER_hh_num_in!W22)</f>
        <v>4474.2106553691619</v>
      </c>
      <c r="X22" s="132">
        <f>IF(SER_hh_tes_in!X22=0,0,11630*1000*SER_hh_tes_in!X22/SER_hh_num_in!X22)</f>
        <v>2018.1669236017469</v>
      </c>
      <c r="Y22" s="132">
        <f>IF(SER_hh_tes_in!Y22=0,0,11630*1000*SER_hh_tes_in!Y22/SER_hh_num_in!Y22)</f>
        <v>4549.5003085195549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5840.7655151623749</v>
      </c>
      <c r="D23" s="132">
        <f>IF(SER_hh_tes_in!D23=0,0,11630*1000*SER_hh_tes_in!D23/SER_hh_num_in!D23)</f>
        <v>5326.9922455275218</v>
      </c>
      <c r="E23" s="132">
        <f>IF(SER_hh_tes_in!E23=0,0,11630*1000*SER_hh_tes_in!E23/SER_hh_num_in!E23)</f>
        <v>0</v>
      </c>
      <c r="F23" s="132">
        <f>IF(SER_hh_tes_in!F23=0,0,11630*1000*SER_hh_tes_in!F23/SER_hh_num_in!F23)</f>
        <v>2692.8128522514676</v>
      </c>
      <c r="G23" s="132">
        <f>IF(SER_hh_tes_in!G23=0,0,11630*1000*SER_hh_tes_in!G23/SER_hh_num_in!G23)</f>
        <v>5562.4031550848822</v>
      </c>
      <c r="H23" s="132">
        <f>IF(SER_hh_tes_in!H23=0,0,11630*1000*SER_hh_tes_in!H23/SER_hh_num_in!H23)</f>
        <v>6224.1222048357658</v>
      </c>
      <c r="I23" s="132">
        <f>IF(SER_hh_tes_in!I23=0,0,11630*1000*SER_hh_tes_in!I23/SER_hh_num_in!I23)</f>
        <v>5977.2337085290283</v>
      </c>
      <c r="J23" s="132">
        <f>IF(SER_hh_tes_in!J23=0,0,11630*1000*SER_hh_tes_in!J23/SER_hh_num_in!J23)</f>
        <v>5988.0396099821883</v>
      </c>
      <c r="K23" s="132">
        <f>IF(SER_hh_tes_in!K23=0,0,11630*1000*SER_hh_tes_in!K23/SER_hh_num_in!K23)</f>
        <v>5675.1096975362916</v>
      </c>
      <c r="L23" s="132">
        <f>IF(SER_hh_tes_in!L23=0,0,11630*1000*SER_hh_tes_in!L23/SER_hh_num_in!L23)</f>
        <v>6018.8389952199368</v>
      </c>
      <c r="M23" s="132">
        <f>IF(SER_hh_tes_in!M23=0,0,11630*1000*SER_hh_tes_in!M23/SER_hh_num_in!M23)</f>
        <v>4925.1609191848102</v>
      </c>
      <c r="N23" s="132">
        <f>IF(SER_hh_tes_in!N23=0,0,11630*1000*SER_hh_tes_in!N23/SER_hh_num_in!N23)</f>
        <v>5859.1716935742834</v>
      </c>
      <c r="O23" s="132">
        <f>IF(SER_hh_tes_in!O23=0,0,11630*1000*SER_hh_tes_in!O23/SER_hh_num_in!O23)</f>
        <v>5939.1233120279157</v>
      </c>
      <c r="P23" s="132">
        <f>IF(SER_hh_tes_in!P23=0,0,11630*1000*SER_hh_tes_in!P23/SER_hh_num_in!P23)</f>
        <v>6251.8333798995263</v>
      </c>
      <c r="Q23" s="132">
        <f>IF(SER_hh_tes_in!Q23=0,0,11630*1000*SER_hh_tes_in!Q23/SER_hh_num_in!Q23)</f>
        <v>5872.8649466781844</v>
      </c>
      <c r="R23" s="132">
        <f>IF(SER_hh_tes_in!R23=0,0,11630*1000*SER_hh_tes_in!R23/SER_hh_num_in!R23)</f>
        <v>5642.624629059098</v>
      </c>
      <c r="S23" s="132">
        <f>IF(SER_hh_tes_in!S23=0,0,11630*1000*SER_hh_tes_in!S23/SER_hh_num_in!S23)</f>
        <v>5338.3309861972284</v>
      </c>
      <c r="T23" s="132">
        <f>IF(SER_hh_tes_in!T23=0,0,11630*1000*SER_hh_tes_in!T23/SER_hh_num_in!T23)</f>
        <v>6417.4448580249036</v>
      </c>
      <c r="U23" s="132">
        <f>IF(SER_hh_tes_in!U23=0,0,11630*1000*SER_hh_tes_in!U23/SER_hh_num_in!U23)</f>
        <v>6057.5942090231238</v>
      </c>
      <c r="V23" s="132">
        <f>IF(SER_hh_tes_in!V23=0,0,11630*1000*SER_hh_tes_in!V23/SER_hh_num_in!V23)</f>
        <v>4731.1398133163812</v>
      </c>
      <c r="W23" s="132">
        <f>IF(SER_hh_tes_in!W23=0,0,11630*1000*SER_hh_tes_in!W23/SER_hh_num_in!W23)</f>
        <v>5075.7546430189896</v>
      </c>
      <c r="X23" s="132">
        <f>IF(SER_hh_tes_in!X23=0,0,11630*1000*SER_hh_tes_in!X23/SER_hh_num_in!X23)</f>
        <v>4231.0362767649913</v>
      </c>
      <c r="Y23" s="132">
        <f>IF(SER_hh_tes_in!Y23=0,0,11630*1000*SER_hh_tes_in!Y23/SER_hh_num_in!Y23)</f>
        <v>5007.6414511012408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0</v>
      </c>
      <c r="D25" s="132">
        <f>IF(SER_hh_tes_in!D25=0,0,11630*1000*SER_hh_tes_in!D25/SER_hh_num_in!D25)</f>
        <v>0</v>
      </c>
      <c r="E25" s="132">
        <f>IF(SER_hh_tes_in!E25=0,0,11630*1000*SER_hh_tes_in!E25/SER_hh_num_in!E25)</f>
        <v>8289.5563329055367</v>
      </c>
      <c r="F25" s="132">
        <f>IF(SER_hh_tes_in!F25=0,0,11630*1000*SER_hh_tes_in!F25/SER_hh_num_in!F25)</f>
        <v>6752.4266370423875</v>
      </c>
      <c r="G25" s="132">
        <f>IF(SER_hh_tes_in!G25=0,0,11630*1000*SER_hh_tes_in!G25/SER_hh_num_in!G25)</f>
        <v>6109.4154218804879</v>
      </c>
      <c r="H25" s="132">
        <f>IF(SER_hh_tes_in!H25=0,0,11630*1000*SER_hh_tes_in!H25/SER_hh_num_in!H25)</f>
        <v>6185.0816575542704</v>
      </c>
      <c r="I25" s="132">
        <f>IF(SER_hh_tes_in!I25=0,0,11630*1000*SER_hh_tes_in!I25/SER_hh_num_in!I25)</f>
        <v>6083.4676893229134</v>
      </c>
      <c r="J25" s="132">
        <f>IF(SER_hh_tes_in!J25=0,0,11630*1000*SER_hh_tes_in!J25/SER_hh_num_in!J25)</f>
        <v>6100.5464214033309</v>
      </c>
      <c r="K25" s="132">
        <f>IF(SER_hh_tes_in!K25=0,0,11630*1000*SER_hh_tes_in!K25/SER_hh_num_in!K25)</f>
        <v>6093.2801160909903</v>
      </c>
      <c r="L25" s="132">
        <f>IF(SER_hh_tes_in!L25=0,0,11630*1000*SER_hh_tes_in!L25/SER_hh_num_in!L25)</f>
        <v>6088.7455391103458</v>
      </c>
      <c r="M25" s="132">
        <f>IF(SER_hh_tes_in!M25=0,0,11630*1000*SER_hh_tes_in!M25/SER_hh_num_in!M25)</f>
        <v>6264.0295107830398</v>
      </c>
      <c r="N25" s="132">
        <f>IF(SER_hh_tes_in!N25=0,0,11630*1000*SER_hh_tes_in!N25/SER_hh_num_in!N25)</f>
        <v>0</v>
      </c>
      <c r="O25" s="132">
        <f>IF(SER_hh_tes_in!O25=0,0,11630*1000*SER_hh_tes_in!O25/SER_hh_num_in!O25)</f>
        <v>0</v>
      </c>
      <c r="P25" s="132">
        <f>IF(SER_hh_tes_in!P25=0,0,11630*1000*SER_hh_tes_in!P25/SER_hh_num_in!P25)</f>
        <v>0</v>
      </c>
      <c r="Q25" s="132">
        <f>IF(SER_hh_tes_in!Q25=0,0,11630*1000*SER_hh_tes_in!Q25/SER_hh_num_in!Q25)</f>
        <v>0</v>
      </c>
      <c r="R25" s="132">
        <f>IF(SER_hh_tes_in!R25=0,0,11630*1000*SER_hh_tes_in!R25/SER_hh_num_in!R25)</f>
        <v>0</v>
      </c>
      <c r="S25" s="132">
        <f>IF(SER_hh_tes_in!S25=0,0,11630*1000*SER_hh_tes_in!S25/SER_hh_num_in!S25)</f>
        <v>5885.8980510353831</v>
      </c>
      <c r="T25" s="132">
        <f>IF(SER_hh_tes_in!T25=0,0,11630*1000*SER_hh_tes_in!T25/SER_hh_num_in!T25)</f>
        <v>6198.1416009684981</v>
      </c>
      <c r="U25" s="132">
        <f>IF(SER_hh_tes_in!U25=0,0,11630*1000*SER_hh_tes_in!U25/SER_hh_num_in!U25)</f>
        <v>5876.1742042168225</v>
      </c>
      <c r="V25" s="132">
        <f>IF(SER_hh_tes_in!V25=0,0,11630*1000*SER_hh_tes_in!V25/SER_hh_num_in!V25)</f>
        <v>4810.1988209169558</v>
      </c>
      <c r="W25" s="132">
        <f>IF(SER_hh_tes_in!W25=0,0,11630*1000*SER_hh_tes_in!W25/SER_hh_num_in!W25)</f>
        <v>5437.0480467037523</v>
      </c>
      <c r="X25" s="132">
        <f>IF(SER_hh_tes_in!X25=0,0,11630*1000*SER_hh_tes_in!X25/SER_hh_num_in!X25)</f>
        <v>3554.1019540581924</v>
      </c>
      <c r="Y25" s="132">
        <f>IF(SER_hh_tes_in!Y25=0,0,11630*1000*SER_hh_tes_in!Y25/SER_hh_num_in!Y25)</f>
        <v>4933.5927702064773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5442.3588848336631</v>
      </c>
      <c r="D26" s="65">
        <f>IF(SER_hh_tes_in!D26=0,0,11630*1000*SER_hh_tes_in!D26/SER_hh_num_in!D26)</f>
        <v>3079.3580318996424</v>
      </c>
      <c r="E26" s="65">
        <f>IF(SER_hh_tes_in!E26=0,0,11630*1000*SER_hh_tes_in!E26/SER_hh_num_in!E26)</f>
        <v>0</v>
      </c>
      <c r="F26" s="65">
        <f>IF(SER_hh_tes_in!F26=0,0,11630*1000*SER_hh_tes_in!F26/SER_hh_num_in!F26)</f>
        <v>0</v>
      </c>
      <c r="G26" s="65">
        <f>IF(SER_hh_tes_in!G26=0,0,11630*1000*SER_hh_tes_in!G26/SER_hh_num_in!G26)</f>
        <v>0</v>
      </c>
      <c r="H26" s="65">
        <f>IF(SER_hh_tes_in!H26=0,0,11630*1000*SER_hh_tes_in!H26/SER_hh_num_in!H26)</f>
        <v>3879.4265094923699</v>
      </c>
      <c r="I26" s="65">
        <f>IF(SER_hh_tes_in!I26=0,0,11630*1000*SER_hh_tes_in!I26/SER_hh_num_in!I26)</f>
        <v>4524.6650340607603</v>
      </c>
      <c r="J26" s="65">
        <f>IF(SER_hh_tes_in!J26=0,0,11630*1000*SER_hh_tes_in!J26/SER_hh_num_in!J26)</f>
        <v>5624.4536425676897</v>
      </c>
      <c r="K26" s="65">
        <f>IF(SER_hh_tes_in!K26=0,0,11630*1000*SER_hh_tes_in!K26/SER_hh_num_in!K26)</f>
        <v>2895.9817088680529</v>
      </c>
      <c r="L26" s="65">
        <f>IF(SER_hh_tes_in!L26=0,0,11630*1000*SER_hh_tes_in!L26/SER_hh_num_in!L26)</f>
        <v>4880.0327316552712</v>
      </c>
      <c r="M26" s="65">
        <f>IF(SER_hh_tes_in!M26=0,0,11630*1000*SER_hh_tes_in!M26/SER_hh_num_in!M26)</f>
        <v>2579.0215167973347</v>
      </c>
      <c r="N26" s="65">
        <f>IF(SER_hh_tes_in!N26=0,0,11630*1000*SER_hh_tes_in!N26/SER_hh_num_in!N26)</f>
        <v>4775.7460111349201</v>
      </c>
      <c r="O26" s="65">
        <f>IF(SER_hh_tes_in!O26=0,0,11630*1000*SER_hh_tes_in!O26/SER_hh_num_in!O26)</f>
        <v>3048.6061647285378</v>
      </c>
      <c r="P26" s="65">
        <f>IF(SER_hh_tes_in!P26=0,0,11630*1000*SER_hh_tes_in!P26/SER_hh_num_in!P26)</f>
        <v>5821.8560904234055</v>
      </c>
      <c r="Q26" s="65">
        <f>IF(SER_hh_tes_in!Q26=0,0,11630*1000*SER_hh_tes_in!Q26/SER_hh_num_in!Q26)</f>
        <v>4795.63634353414</v>
      </c>
      <c r="R26" s="65">
        <f>IF(SER_hh_tes_in!R26=0,0,11630*1000*SER_hh_tes_in!R26/SER_hh_num_in!R26)</f>
        <v>5016.4283263560937</v>
      </c>
      <c r="S26" s="65">
        <f>IF(SER_hh_tes_in!S26=0,0,11630*1000*SER_hh_tes_in!S26/SER_hh_num_in!S26)</f>
        <v>3006.7785130591237</v>
      </c>
      <c r="T26" s="65">
        <f>IF(SER_hh_tes_in!T26=0,0,11630*1000*SER_hh_tes_in!T26/SER_hh_num_in!T26)</f>
        <v>0</v>
      </c>
      <c r="U26" s="65">
        <f>IF(SER_hh_tes_in!U26=0,0,11630*1000*SER_hh_tes_in!U26/SER_hh_num_in!U26)</f>
        <v>0</v>
      </c>
      <c r="V26" s="65">
        <f>IF(SER_hh_tes_in!V26=0,0,11630*1000*SER_hh_tes_in!V26/SER_hh_num_in!V26)</f>
        <v>0</v>
      </c>
      <c r="W26" s="65">
        <f>IF(SER_hh_tes_in!W26=0,0,11630*1000*SER_hh_tes_in!W26/SER_hh_num_in!W26)</f>
        <v>0</v>
      </c>
      <c r="X26" s="65">
        <f>IF(SER_hh_tes_in!X26=0,0,11630*1000*SER_hh_tes_in!X26/SER_hh_num_in!X26)</f>
        <v>0</v>
      </c>
      <c r="Y26" s="65">
        <f>IF(SER_hh_tes_in!Y26=0,0,11630*1000*SER_hh_tes_in!Y26/SER_hh_num_in!Y26)</f>
        <v>0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143.93298074760759</v>
      </c>
      <c r="D27" s="145">
        <f>IF(SER_hh_tes_in!D27=0,0,11630*1000*SER_hh_tes_in!D27/SER_hh_num_in!D19)</f>
        <v>689.97761071166065</v>
      </c>
      <c r="E27" s="145">
        <f>IF(SER_hh_tes_in!E27=0,0,11630*1000*SER_hh_tes_in!E27/SER_hh_num_in!E19)</f>
        <v>483.90430512541184</v>
      </c>
      <c r="F27" s="145">
        <f>IF(SER_hh_tes_in!F27=0,0,11630*1000*SER_hh_tes_in!F27/SER_hh_num_in!F19)</f>
        <v>108.96721335431351</v>
      </c>
      <c r="G27" s="145">
        <f>IF(SER_hh_tes_in!G27=0,0,11630*1000*SER_hh_tes_in!G27/SER_hh_num_in!G19)</f>
        <v>259.53225168772155</v>
      </c>
      <c r="H27" s="145">
        <f>IF(SER_hh_tes_in!H27=0,0,11630*1000*SER_hh_tes_in!H27/SER_hh_num_in!H19)</f>
        <v>277.77328629458924</v>
      </c>
      <c r="I27" s="145">
        <f>IF(SER_hh_tes_in!I27=0,0,11630*1000*SER_hh_tes_in!I27/SER_hh_num_in!I19)</f>
        <v>500.53003765053222</v>
      </c>
      <c r="J27" s="145">
        <f>IF(SER_hh_tes_in!J27=0,0,11630*1000*SER_hh_tes_in!J27/SER_hh_num_in!J19)</f>
        <v>151.51065105612204</v>
      </c>
      <c r="K27" s="145">
        <f>IF(SER_hh_tes_in!K27=0,0,11630*1000*SER_hh_tes_in!K27/SER_hh_num_in!K19)</f>
        <v>1649.8335614136256</v>
      </c>
      <c r="L27" s="145">
        <f>IF(SER_hh_tes_in!L27=0,0,11630*1000*SER_hh_tes_in!L27/SER_hh_num_in!L19)</f>
        <v>432.15839488251885</v>
      </c>
      <c r="M27" s="145">
        <f>IF(SER_hh_tes_in!M27=0,0,11630*1000*SER_hh_tes_in!M27/SER_hh_num_in!M19)</f>
        <v>1616.585868767173</v>
      </c>
      <c r="N27" s="145">
        <f>IF(SER_hh_tes_in!N27=0,0,11630*1000*SER_hh_tes_in!N27/SER_hh_num_in!N19)</f>
        <v>321.73289172520094</v>
      </c>
      <c r="O27" s="145">
        <f>IF(SER_hh_tes_in!O27=0,0,11630*1000*SER_hh_tes_in!O27/SER_hh_num_in!O19)</f>
        <v>694.03104201338328</v>
      </c>
      <c r="P27" s="145">
        <f>IF(SER_hh_tes_in!P27=0,0,11630*1000*SER_hh_tes_in!P27/SER_hh_num_in!P19)</f>
        <v>0.36369644439090082</v>
      </c>
      <c r="Q27" s="145">
        <f>IF(SER_hh_tes_in!Q27=0,0,11630*1000*SER_hh_tes_in!Q27/SER_hh_num_in!Q19)</f>
        <v>343.41016029922156</v>
      </c>
      <c r="R27" s="145">
        <f>IF(SER_hh_tes_in!R27=0,0,11630*1000*SER_hh_tes_in!R27/SER_hh_num_in!R19)</f>
        <v>259.05817400258195</v>
      </c>
      <c r="S27" s="145">
        <f>IF(SER_hh_tes_in!S27=0,0,11630*1000*SER_hh_tes_in!S27/SER_hh_num_in!S19)</f>
        <v>384.1636877862847</v>
      </c>
      <c r="T27" s="145">
        <f>IF(SER_hh_tes_in!T27=0,0,11630*1000*SER_hh_tes_in!T27/SER_hh_num_in!T19)</f>
        <v>309.43031008529937</v>
      </c>
      <c r="U27" s="145">
        <f>IF(SER_hh_tes_in!U27=0,0,11630*1000*SER_hh_tes_in!U27/SER_hh_num_in!U19)</f>
        <v>195.87326875853219</v>
      </c>
      <c r="V27" s="145">
        <f>IF(SER_hh_tes_in!V27=0,0,11630*1000*SER_hh_tes_in!V27/SER_hh_num_in!V19)</f>
        <v>808.47072070966829</v>
      </c>
      <c r="W27" s="145">
        <f>IF(SER_hh_tes_in!W27=0,0,11630*1000*SER_hh_tes_in!W27/SER_hh_num_in!W19)</f>
        <v>193.15551260873673</v>
      </c>
      <c r="X27" s="145">
        <f>IF(SER_hh_tes_in!X27=0,0,11630*1000*SER_hh_tes_in!X27/SER_hh_num_in!X19)</f>
        <v>1116.2029531428418</v>
      </c>
      <c r="Y27" s="145">
        <f>IF(SER_hh_tes_in!Y27=0,0,11630*1000*SER_hh_tes_in!Y27/SER_hh_num_in!Y19)</f>
        <v>25.226377361008886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3474.5315579316821</v>
      </c>
      <c r="D28" s="146">
        <f>IF(SER_hh_tes_in!D27=0,0,11630*1000*SER_hh_tes_in!D27/SER_hh_num_in!D27)</f>
        <v>3392.9963687648933</v>
      </c>
      <c r="E28" s="146">
        <f>IF(SER_hh_tes_in!E27=0,0,11630*1000*SER_hh_tes_in!E27/SER_hh_num_in!E27)</f>
        <v>4683.4639938872415</v>
      </c>
      <c r="F28" s="146">
        <f>IF(SER_hh_tes_in!F27=0,0,11630*1000*SER_hh_tes_in!F27/SER_hh_num_in!F27)</f>
        <v>3435.4522518156973</v>
      </c>
      <c r="G28" s="146">
        <f>IF(SER_hh_tes_in!G27=0,0,11630*1000*SER_hh_tes_in!G27/SER_hh_num_in!G27)</f>
        <v>3284.6407131358096</v>
      </c>
      <c r="H28" s="146">
        <f>IF(SER_hh_tes_in!H27=0,0,11630*1000*SER_hh_tes_in!H27/SER_hh_num_in!H27)</f>
        <v>3403.6525296741083</v>
      </c>
      <c r="I28" s="146">
        <f>IF(SER_hh_tes_in!I27=0,0,11630*1000*SER_hh_tes_in!I27/SER_hh_num_in!I27)</f>
        <v>3106.9883756653444</v>
      </c>
      <c r="J28" s="146">
        <f>IF(SER_hh_tes_in!J27=0,0,11630*1000*SER_hh_tes_in!J27/SER_hh_num_in!J27)</f>
        <v>3392.0964086719891</v>
      </c>
      <c r="K28" s="146">
        <f>IF(SER_hh_tes_in!K27=0,0,11630*1000*SER_hh_tes_in!K27/SER_hh_num_in!K27)</f>
        <v>3457.6839282199894</v>
      </c>
      <c r="L28" s="146">
        <f>IF(SER_hh_tes_in!L27=0,0,11630*1000*SER_hh_tes_in!L27/SER_hh_num_in!L27)</f>
        <v>3453.2988289998057</v>
      </c>
      <c r="M28" s="146">
        <f>IF(SER_hh_tes_in!M27=0,0,11630*1000*SER_hh_tes_in!M27/SER_hh_num_in!M27)</f>
        <v>3241.2377085889657</v>
      </c>
      <c r="N28" s="146">
        <f>IF(SER_hh_tes_in!N27=0,0,11630*1000*SER_hh_tes_in!N27/SER_hh_num_in!N27)</f>
        <v>3294.9818791224384</v>
      </c>
      <c r="O28" s="146">
        <f>IF(SER_hh_tes_in!O27=0,0,11630*1000*SER_hh_tes_in!O27/SER_hh_num_in!O27)</f>
        <v>3124.7311876835861</v>
      </c>
      <c r="P28" s="146">
        <f>IF(SER_hh_tes_in!P27=0,0,11630*1000*SER_hh_tes_in!P27/SER_hh_num_in!P27)</f>
        <v>3659.2412308396138</v>
      </c>
      <c r="Q28" s="146">
        <f>IF(SER_hh_tes_in!Q27=0,0,11630*1000*SER_hh_tes_in!Q27/SER_hh_num_in!Q27)</f>
        <v>3508.9726124386111</v>
      </c>
      <c r="R28" s="146">
        <f>IF(SER_hh_tes_in!R27=0,0,11630*1000*SER_hh_tes_in!R27/SER_hh_num_in!R27)</f>
        <v>3451.8473383223686</v>
      </c>
      <c r="S28" s="146">
        <f>IF(SER_hh_tes_in!S27=0,0,11630*1000*SER_hh_tes_in!S27/SER_hh_num_in!S27)</f>
        <v>3112.3109311646544</v>
      </c>
      <c r="T28" s="146">
        <f>IF(SER_hh_tes_in!T27=0,0,11630*1000*SER_hh_tes_in!T27/SER_hh_num_in!T27)</f>
        <v>4052.7563746697028</v>
      </c>
      <c r="U28" s="146">
        <f>IF(SER_hh_tes_in!U27=0,0,11630*1000*SER_hh_tes_in!U27/SER_hh_num_in!U27)</f>
        <v>3527.8331710917359</v>
      </c>
      <c r="V28" s="146">
        <f>IF(SER_hh_tes_in!V27=0,0,11630*1000*SER_hh_tes_in!V27/SER_hh_num_in!V27)</f>
        <v>3423.8622316413398</v>
      </c>
      <c r="W28" s="146">
        <f>IF(SER_hh_tes_in!W27=0,0,11630*1000*SER_hh_tes_in!W27/SER_hh_num_in!W27)</f>
        <v>2834.6363876449595</v>
      </c>
      <c r="X28" s="146">
        <f>IF(SER_hh_tes_in!X27=0,0,11630*1000*SER_hh_tes_in!X27/SER_hh_num_in!X27)</f>
        <v>3077.1689183115882</v>
      </c>
      <c r="Y28" s="146">
        <f>IF(SER_hh_tes_in!Y27=0,0,11630*1000*SER_hh_tes_in!Y27/SER_hh_num_in!Y27)</f>
        <v>3261.7334972958856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6438.2571011076398</v>
      </c>
      <c r="D29" s="130">
        <f>IF(SER_hh_tes_in!D29=0,0,11630*1000*SER_hh_tes_in!D29/SER_hh_num_in!D29)</f>
        <v>6791.104501744815</v>
      </c>
      <c r="E29" s="130">
        <f>IF(SER_hh_tes_in!E29=0,0,11630*1000*SER_hh_tes_in!E29/SER_hh_num_in!E29)</f>
        <v>7160.9891586352132</v>
      </c>
      <c r="F29" s="130">
        <f>IF(SER_hh_tes_in!F29=0,0,11630*1000*SER_hh_tes_in!F29/SER_hh_num_in!F29)</f>
        <v>7021.7362443196007</v>
      </c>
      <c r="G29" s="130">
        <f>IF(SER_hh_tes_in!G29=0,0,11630*1000*SER_hh_tes_in!G29/SER_hh_num_in!G29)</f>
        <v>6825.9573841924193</v>
      </c>
      <c r="H29" s="130">
        <f>IF(SER_hh_tes_in!H29=0,0,11630*1000*SER_hh_tes_in!H29/SER_hh_num_in!H29)</f>
        <v>6718.3887622262755</v>
      </c>
      <c r="I29" s="130">
        <f>IF(SER_hh_tes_in!I29=0,0,11630*1000*SER_hh_tes_in!I29/SER_hh_num_in!I29)</f>
        <v>6817.5550078934557</v>
      </c>
      <c r="J29" s="130">
        <f>IF(SER_hh_tes_in!J29=0,0,11630*1000*SER_hh_tes_in!J29/SER_hh_num_in!J29)</f>
        <v>6538.358975243812</v>
      </c>
      <c r="K29" s="130">
        <f>IF(SER_hh_tes_in!K29=0,0,11630*1000*SER_hh_tes_in!K29/SER_hh_num_in!K29)</f>
        <v>6863.0899257686051</v>
      </c>
      <c r="L29" s="130">
        <f>IF(SER_hh_tes_in!L29=0,0,11630*1000*SER_hh_tes_in!L29/SER_hh_num_in!L29)</f>
        <v>7048.2412665052589</v>
      </c>
      <c r="M29" s="130">
        <f>IF(SER_hh_tes_in!M29=0,0,11630*1000*SER_hh_tes_in!M29/SER_hh_num_in!M29)</f>
        <v>6884.6934375278715</v>
      </c>
      <c r="N29" s="130">
        <f>IF(SER_hh_tes_in!N29=0,0,11630*1000*SER_hh_tes_in!N29/SER_hh_num_in!N29)</f>
        <v>6772.9574707061001</v>
      </c>
      <c r="O29" s="130">
        <f>IF(SER_hh_tes_in!O29=0,0,11630*1000*SER_hh_tes_in!O29/SER_hh_num_in!O29)</f>
        <v>6651.0657059938876</v>
      </c>
      <c r="P29" s="130">
        <f>IF(SER_hh_tes_in!P29=0,0,11630*1000*SER_hh_tes_in!P29/SER_hh_num_in!P29)</f>
        <v>7707.2718443006388</v>
      </c>
      <c r="Q29" s="130">
        <f>IF(SER_hh_tes_in!Q29=0,0,11630*1000*SER_hh_tes_in!Q29/SER_hh_num_in!Q29)</f>
        <v>6986.658582038126</v>
      </c>
      <c r="R29" s="130">
        <f>IF(SER_hh_tes_in!R29=0,0,11630*1000*SER_hh_tes_in!R29/SER_hh_num_in!R29)</f>
        <v>6885.5595389865894</v>
      </c>
      <c r="S29" s="130">
        <f>IF(SER_hh_tes_in!S29=0,0,11630*1000*SER_hh_tes_in!S29/SER_hh_num_in!S29)</f>
        <v>7041.090638596429</v>
      </c>
      <c r="T29" s="130">
        <f>IF(SER_hh_tes_in!T29=0,0,11630*1000*SER_hh_tes_in!T29/SER_hh_num_in!T29)</f>
        <v>7241.7488859531077</v>
      </c>
      <c r="U29" s="130">
        <f>IF(SER_hh_tes_in!U29=0,0,11630*1000*SER_hh_tes_in!U29/SER_hh_num_in!U29)</f>
        <v>7196.4977043330691</v>
      </c>
      <c r="V29" s="130">
        <f>IF(SER_hh_tes_in!V29=0,0,11630*1000*SER_hh_tes_in!V29/SER_hh_num_in!V29)</f>
        <v>6605.8254218480251</v>
      </c>
      <c r="W29" s="130">
        <f>IF(SER_hh_tes_in!W29=0,0,11630*1000*SER_hh_tes_in!W29/SER_hh_num_in!W29)</f>
        <v>5751.9073567339956</v>
      </c>
      <c r="X29" s="130">
        <f>IF(SER_hh_tes_in!X29=0,0,11630*1000*SER_hh_tes_in!X29/SER_hh_num_in!X29)</f>
        <v>5822.8712100937682</v>
      </c>
      <c r="Y29" s="130">
        <f>IF(SER_hh_tes_in!Y29=0,0,11630*1000*SER_hh_tes_in!Y29/SER_hh_num_in!Y29)</f>
        <v>5753.1970270832098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6238.6110314526759</v>
      </c>
      <c r="D30" s="132">
        <f>IF(SER_hh_tes_in!D30=0,0,11630*1000*SER_hh_tes_in!D30/SER_hh_num_in!D30)</f>
        <v>4574.3964397052341</v>
      </c>
      <c r="E30" s="132">
        <f>IF(SER_hh_tes_in!E30=0,0,11630*1000*SER_hh_tes_in!E30/SER_hh_num_in!E30)</f>
        <v>7913.974742243694</v>
      </c>
      <c r="F30" s="132">
        <f>IF(SER_hh_tes_in!F30=0,0,11630*1000*SER_hh_tes_in!F30/SER_hh_num_in!F30)</f>
        <v>6228.885926262712</v>
      </c>
      <c r="G30" s="132">
        <f>IF(SER_hh_tes_in!G30=0,0,11630*1000*SER_hh_tes_in!G30/SER_hh_num_in!G30)</f>
        <v>10003.249205149197</v>
      </c>
      <c r="H30" s="132">
        <f>IF(SER_hh_tes_in!H30=0,0,11630*1000*SER_hh_tes_in!H30/SER_hh_num_in!H30)</f>
        <v>6410.8301327061936</v>
      </c>
      <c r="I30" s="132">
        <f>IF(SER_hh_tes_in!I30=0,0,11630*1000*SER_hh_tes_in!I30/SER_hh_num_in!I30)</f>
        <v>6046.2130888031725</v>
      </c>
      <c r="J30" s="132">
        <f>IF(SER_hh_tes_in!J30=0,0,11630*1000*SER_hh_tes_in!J30/SER_hh_num_in!J30)</f>
        <v>7171.2810576108059</v>
      </c>
      <c r="K30" s="132">
        <f>IF(SER_hh_tes_in!K30=0,0,11630*1000*SER_hh_tes_in!K30/SER_hh_num_in!K30)</f>
        <v>6483.9444147114236</v>
      </c>
      <c r="L30" s="132">
        <f>IF(SER_hh_tes_in!L30=0,0,11630*1000*SER_hh_tes_in!L30/SER_hh_num_in!L30)</f>
        <v>5515.8033463336769</v>
      </c>
      <c r="M30" s="132">
        <f>IF(SER_hh_tes_in!M30=0,0,11630*1000*SER_hh_tes_in!M30/SER_hh_num_in!M30)</f>
        <v>5476.6180340739329</v>
      </c>
      <c r="N30" s="132">
        <f>IF(SER_hh_tes_in!N30=0,0,11630*1000*SER_hh_tes_in!N30/SER_hh_num_in!N30)</f>
        <v>6116.3485987849081</v>
      </c>
      <c r="O30" s="132">
        <f>IF(SER_hh_tes_in!O30=0,0,11630*1000*SER_hh_tes_in!O30/SER_hh_num_in!O30)</f>
        <v>8172.3665473474666</v>
      </c>
      <c r="P30" s="132">
        <f>IF(SER_hh_tes_in!P30=0,0,11630*1000*SER_hh_tes_in!P30/SER_hh_num_in!P30)</f>
        <v>6939.8845397398163</v>
      </c>
      <c r="Q30" s="132">
        <f>IF(SER_hh_tes_in!Q30=0,0,11630*1000*SER_hh_tes_in!Q30/SER_hh_num_in!Q30)</f>
        <v>6020.8115299820047</v>
      </c>
      <c r="R30" s="132">
        <f>IF(SER_hh_tes_in!R30=0,0,11630*1000*SER_hh_tes_in!R30/SER_hh_num_in!R30)</f>
        <v>8211.2460978296949</v>
      </c>
      <c r="S30" s="132">
        <f>IF(SER_hh_tes_in!S30=0,0,11630*1000*SER_hh_tes_in!S30/SER_hh_num_in!S30)</f>
        <v>5448.8616170953628</v>
      </c>
      <c r="T30" s="132">
        <f>IF(SER_hh_tes_in!T30=0,0,11630*1000*SER_hh_tes_in!T30/SER_hh_num_in!T30)</f>
        <v>7145.4450743969064</v>
      </c>
      <c r="U30" s="132">
        <f>IF(SER_hh_tes_in!U30=0,0,11630*1000*SER_hh_tes_in!U30/SER_hh_num_in!U30)</f>
        <v>7550.7130241117375</v>
      </c>
      <c r="V30" s="132">
        <f>IF(SER_hh_tes_in!V30=0,0,11630*1000*SER_hh_tes_in!V30/SER_hh_num_in!V30)</f>
        <v>7506.8801575444622</v>
      </c>
      <c r="W30" s="132">
        <f>IF(SER_hh_tes_in!W30=0,0,11630*1000*SER_hh_tes_in!W30/SER_hh_num_in!W30)</f>
        <v>6267.84686064367</v>
      </c>
      <c r="X30" s="132">
        <f>IF(SER_hh_tes_in!X30=0,0,11630*1000*SER_hh_tes_in!X30/SER_hh_num_in!X30)</f>
        <v>8172.3883031121077</v>
      </c>
      <c r="Y30" s="132">
        <f>IF(SER_hh_tes_in!Y30=0,0,11630*1000*SER_hh_tes_in!Y30/SER_hh_num_in!Y30)</f>
        <v>0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6456.6496336088576</v>
      </c>
      <c r="D31" s="132">
        <f>IF(SER_hh_tes_in!D31=0,0,11630*1000*SER_hh_tes_in!D31/SER_hh_num_in!D31)</f>
        <v>6859.7247918241228</v>
      </c>
      <c r="E31" s="132">
        <f>IF(SER_hh_tes_in!E31=0,0,11630*1000*SER_hh_tes_in!E31/SER_hh_num_in!E31)</f>
        <v>6993.7900120868271</v>
      </c>
      <c r="F31" s="132">
        <f>IF(SER_hh_tes_in!F31=0,0,11630*1000*SER_hh_tes_in!F31/SER_hh_num_in!F31)</f>
        <v>7083.5173306006764</v>
      </c>
      <c r="G31" s="132">
        <f>IF(SER_hh_tes_in!G31=0,0,11630*1000*SER_hh_tes_in!G31/SER_hh_num_in!G31)</f>
        <v>6822.4758388788159</v>
      </c>
      <c r="H31" s="132">
        <f>IF(SER_hh_tes_in!H31=0,0,11630*1000*SER_hh_tes_in!H31/SER_hh_num_in!H31)</f>
        <v>6819.1952247570589</v>
      </c>
      <c r="I31" s="132">
        <f>IF(SER_hh_tes_in!I31=0,0,11630*1000*SER_hh_tes_in!I31/SER_hh_num_in!I31)</f>
        <v>6680.8586569439412</v>
      </c>
      <c r="J31" s="132">
        <f>IF(SER_hh_tes_in!J31=0,0,11630*1000*SER_hh_tes_in!J31/SER_hh_num_in!J31)</f>
        <v>6722.8898858509801</v>
      </c>
      <c r="K31" s="132">
        <f>IF(SER_hh_tes_in!K31=0,0,11630*1000*SER_hh_tes_in!K31/SER_hh_num_in!K31)</f>
        <v>6901.3886996958263</v>
      </c>
      <c r="L31" s="132">
        <f>IF(SER_hh_tes_in!L31=0,0,11630*1000*SER_hh_tes_in!L31/SER_hh_num_in!L31)</f>
        <v>6856.3984516430719</v>
      </c>
      <c r="M31" s="132">
        <f>IF(SER_hh_tes_in!M31=0,0,11630*1000*SER_hh_tes_in!M31/SER_hh_num_in!M31)</f>
        <v>6767.5837220826079</v>
      </c>
      <c r="N31" s="132">
        <f>IF(SER_hh_tes_in!N31=0,0,11630*1000*SER_hh_tes_in!N31/SER_hh_num_in!N31)</f>
        <v>6607.3318712178698</v>
      </c>
      <c r="O31" s="132">
        <f>IF(SER_hh_tes_in!O31=0,0,11630*1000*SER_hh_tes_in!O31/SER_hh_num_in!O31)</f>
        <v>6370.0327403529636</v>
      </c>
      <c r="P31" s="132">
        <f>IF(SER_hh_tes_in!P31=0,0,11630*1000*SER_hh_tes_in!P31/SER_hh_num_in!P31)</f>
        <v>7734.5394114929968</v>
      </c>
      <c r="Q31" s="132">
        <f>IF(SER_hh_tes_in!Q31=0,0,11630*1000*SER_hh_tes_in!Q31/SER_hh_num_in!Q31)</f>
        <v>7028.8444122705869</v>
      </c>
      <c r="R31" s="132">
        <f>IF(SER_hh_tes_in!R31=0,0,11630*1000*SER_hh_tes_in!R31/SER_hh_num_in!R31)</f>
        <v>6598.4003702191676</v>
      </c>
      <c r="S31" s="132">
        <f>IF(SER_hh_tes_in!S31=0,0,11630*1000*SER_hh_tes_in!S31/SER_hh_num_in!S31)</f>
        <v>6820.0075458054662</v>
      </c>
      <c r="T31" s="132">
        <f>IF(SER_hh_tes_in!T31=0,0,11630*1000*SER_hh_tes_in!T31/SER_hh_num_in!T31)</f>
        <v>7286.1108251462574</v>
      </c>
      <c r="U31" s="132">
        <f>IF(SER_hh_tes_in!U31=0,0,11630*1000*SER_hh_tes_in!U31/SER_hh_num_in!U31)</f>
        <v>7643.5331043516508</v>
      </c>
      <c r="V31" s="132">
        <f>IF(SER_hh_tes_in!V31=0,0,11630*1000*SER_hh_tes_in!V31/SER_hh_num_in!V31)</f>
        <v>6154.0984163084149</v>
      </c>
      <c r="W31" s="132">
        <f>IF(SER_hh_tes_in!W31=0,0,11630*1000*SER_hh_tes_in!W31/SER_hh_num_in!W31)</f>
        <v>5735.0942415402515</v>
      </c>
      <c r="X31" s="132">
        <f>IF(SER_hh_tes_in!X31=0,0,11630*1000*SER_hh_tes_in!X31/SER_hh_num_in!X31)</f>
        <v>5796.6864901787085</v>
      </c>
      <c r="Y31" s="132">
        <f>IF(SER_hh_tes_in!Y31=0,0,11630*1000*SER_hh_tes_in!Y31/SER_hh_num_in!Y31)</f>
        <v>5753.3824006694158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9862.009480173374</v>
      </c>
      <c r="F32" s="132">
        <f>IF(SER_hh_tes_in!F32=0,0,11630*1000*SER_hh_tes_in!F32/SER_hh_num_in!F32)</f>
        <v>7428.5189044807048</v>
      </c>
      <c r="G32" s="132">
        <f>IF(SER_hh_tes_in!G32=0,0,11630*1000*SER_hh_tes_in!G32/SER_hh_num_in!G32)</f>
        <v>7112.1476643536625</v>
      </c>
      <c r="H32" s="132">
        <f>IF(SER_hh_tes_in!H32=0,0,11630*1000*SER_hh_tes_in!H32/SER_hh_num_in!H32)</f>
        <v>6847.8708847057705</v>
      </c>
      <c r="I32" s="132">
        <f>IF(SER_hh_tes_in!I32=0,0,11630*1000*SER_hh_tes_in!I32/SER_hh_num_in!I32)</f>
        <v>6596.578544207392</v>
      </c>
      <c r="J32" s="132">
        <f>IF(SER_hh_tes_in!J32=0,0,11630*1000*SER_hh_tes_in!J32/SER_hh_num_in!J32)</f>
        <v>6255.0910135326094</v>
      </c>
      <c r="K32" s="132">
        <f>IF(SER_hh_tes_in!K32=0,0,11630*1000*SER_hh_tes_in!K32/SER_hh_num_in!K32)</f>
        <v>7027.2048261591772</v>
      </c>
      <c r="L32" s="132">
        <f>IF(SER_hh_tes_in!L32=0,0,11630*1000*SER_hh_tes_in!L32/SER_hh_num_in!L32)</f>
        <v>7131.4117818884997</v>
      </c>
      <c r="M32" s="132">
        <f>IF(SER_hh_tes_in!M32=0,0,11630*1000*SER_hh_tes_in!M32/SER_hh_num_in!M32)</f>
        <v>6773.2423011024503</v>
      </c>
      <c r="N32" s="132">
        <f>IF(SER_hh_tes_in!N32=0,0,11630*1000*SER_hh_tes_in!N32/SER_hh_num_in!N32)</f>
        <v>7037.8940350263019</v>
      </c>
      <c r="O32" s="132">
        <f>IF(SER_hh_tes_in!O32=0,0,11630*1000*SER_hh_tes_in!O32/SER_hh_num_in!O32)</f>
        <v>7019.5860446230217</v>
      </c>
      <c r="P32" s="132">
        <f>IF(SER_hh_tes_in!P32=0,0,11630*1000*SER_hh_tes_in!P32/SER_hh_num_in!P32)</f>
        <v>7013.4832419750837</v>
      </c>
      <c r="Q32" s="132">
        <f>IF(SER_hh_tes_in!Q32=0,0,11630*1000*SER_hh_tes_in!Q32/SER_hh_num_in!Q32)</f>
        <v>7148.3938851596413</v>
      </c>
      <c r="R32" s="132">
        <f>IF(SER_hh_tes_in!R32=0,0,11630*1000*SER_hh_tes_in!R32/SER_hh_num_in!R32)</f>
        <v>6805.7414552528262</v>
      </c>
      <c r="S32" s="132">
        <f>IF(SER_hh_tes_in!S32=0,0,11630*1000*SER_hh_tes_in!S32/SER_hh_num_in!S32)</f>
        <v>7060.9478805460303</v>
      </c>
      <c r="T32" s="132">
        <f>IF(SER_hh_tes_in!T32=0,0,11630*1000*SER_hh_tes_in!T32/SER_hh_num_in!T32)</f>
        <v>7390.6983894576251</v>
      </c>
      <c r="U32" s="132">
        <f>IF(SER_hh_tes_in!U32=0,0,11630*1000*SER_hh_tes_in!U32/SER_hh_num_in!U32)</f>
        <v>7399.0725480239826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6774.5821823781389</v>
      </c>
      <c r="X32" s="132">
        <f>IF(SER_hh_tes_in!X32=0,0,11630*1000*SER_hh_tes_in!X32/SER_hh_num_in!X32)</f>
        <v>5555.5226338175489</v>
      </c>
      <c r="Y32" s="132">
        <f>IF(SER_hh_tes_in!Y32=0,0,11630*1000*SER_hh_tes_in!Y32/SER_hh_num_in!Y32)</f>
        <v>5659.474138163534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6432.5285595943769</v>
      </c>
      <c r="D33" s="68">
        <f>IF(SER_hh_tes_in!D33=0,0,11630*1000*SER_hh_tes_in!D33/SER_hh_num_in!D33)</f>
        <v>6776.7177489844044</v>
      </c>
      <c r="E33" s="68">
        <f>IF(SER_hh_tes_in!E33=0,0,11630*1000*SER_hh_tes_in!E33/SER_hh_num_in!E33)</f>
        <v>7098.0700509249136</v>
      </c>
      <c r="F33" s="68">
        <f>IF(SER_hh_tes_in!F33=0,0,11630*1000*SER_hh_tes_in!F33/SER_hh_num_in!F33)</f>
        <v>7061.236027709785</v>
      </c>
      <c r="G33" s="68">
        <f>IF(SER_hh_tes_in!G33=0,0,11630*1000*SER_hh_tes_in!G33/SER_hh_num_in!G33)</f>
        <v>6603.5657163048627</v>
      </c>
      <c r="H33" s="68">
        <f>IF(SER_hh_tes_in!H33=0,0,11630*1000*SER_hh_tes_in!H33/SER_hh_num_in!H33)</f>
        <v>6583.1847088789536</v>
      </c>
      <c r="I33" s="68">
        <f>IF(SER_hh_tes_in!I33=0,0,11630*1000*SER_hh_tes_in!I33/SER_hh_num_in!I33)</f>
        <v>6990.4739593341337</v>
      </c>
      <c r="J33" s="68">
        <f>IF(SER_hh_tes_in!J33=0,0,11630*1000*SER_hh_tes_in!J33/SER_hh_num_in!J33)</f>
        <v>6318.785929221589</v>
      </c>
      <c r="K33" s="68">
        <f>IF(SER_hh_tes_in!K33=0,0,11630*1000*SER_hh_tes_in!K33/SER_hh_num_in!K33)</f>
        <v>6862.1289644881817</v>
      </c>
      <c r="L33" s="68">
        <f>IF(SER_hh_tes_in!L33=0,0,11630*1000*SER_hh_tes_in!L33/SER_hh_num_in!L33)</f>
        <v>7285.7517989230018</v>
      </c>
      <c r="M33" s="68">
        <f>IF(SER_hh_tes_in!M33=0,0,11630*1000*SER_hh_tes_in!M33/SER_hh_num_in!M33)</f>
        <v>7043.3638664626624</v>
      </c>
      <c r="N33" s="68">
        <f>IF(SER_hh_tes_in!N33=0,0,11630*1000*SER_hh_tes_in!N33/SER_hh_num_in!N33)</f>
        <v>7231.6501396381036</v>
      </c>
      <c r="O33" s="68">
        <f>IF(SER_hh_tes_in!O33=0,0,11630*1000*SER_hh_tes_in!O33/SER_hh_num_in!O33)</f>
        <v>7602.198839675827</v>
      </c>
      <c r="P33" s="68">
        <f>IF(SER_hh_tes_in!P33=0,0,11630*1000*SER_hh_tes_in!P33/SER_hh_num_in!P33)</f>
        <v>0</v>
      </c>
      <c r="Q33" s="68">
        <f>IF(SER_hh_tes_in!Q33=0,0,11630*1000*SER_hh_tes_in!Q33/SER_hh_num_in!Q33)</f>
        <v>6966.8564731807537</v>
      </c>
      <c r="R33" s="68">
        <f>IF(SER_hh_tes_in!R33=0,0,11630*1000*SER_hh_tes_in!R33/SER_hh_num_in!R33)</f>
        <v>7369.847677302103</v>
      </c>
      <c r="S33" s="68">
        <f>IF(SER_hh_tes_in!S33=0,0,11630*1000*SER_hh_tes_in!S33/SER_hh_num_in!S33)</f>
        <v>7790.7395927039915</v>
      </c>
      <c r="T33" s="68">
        <f>IF(SER_hh_tes_in!T33=0,0,11630*1000*SER_hh_tes_in!T33/SER_hh_num_in!T33)</f>
        <v>6567.6193688848944</v>
      </c>
      <c r="U33" s="68">
        <f>IF(SER_hh_tes_in!U33=0,0,11630*1000*SER_hh_tes_in!U33/SER_hh_num_in!U33)</f>
        <v>5693.2900266174438</v>
      </c>
      <c r="V33" s="68">
        <f>IF(SER_hh_tes_in!V33=0,0,11630*1000*SER_hh_tes_in!V33/SER_hh_num_in!V33)</f>
        <v>7792.2466744374551</v>
      </c>
      <c r="W33" s="68">
        <f>IF(SER_hh_tes_in!W33=0,0,11630*1000*SER_hh_tes_in!W33/SER_hh_num_in!W33)</f>
        <v>0</v>
      </c>
      <c r="X33" s="68">
        <f>IF(SER_hh_tes_in!X33=0,0,11630*1000*SER_hh_tes_in!X33/SER_hh_num_in!X33)</f>
        <v>0</v>
      </c>
      <c r="Y33" s="68">
        <f>IF(SER_hh_tes_in!Y33=0,0,11630*1000*SER_hh_tes_in!Y33/SER_hh_num_in!Y33)</f>
        <v>0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12414.708169763073</v>
      </c>
      <c r="D3" s="125">
        <f>IF(SER_hh_emi_in!D3=0,0,1000000*SER_hh_emi_in!D3/SER_hh_num_in!D3)</f>
        <v>11152.079454017501</v>
      </c>
      <c r="E3" s="125">
        <f>IF(SER_hh_emi_in!E3=0,0,1000000*SER_hh_emi_in!E3/SER_hh_num_in!E3)</f>
        <v>2270.6008318408153</v>
      </c>
      <c r="F3" s="125">
        <f>IF(SER_hh_emi_in!F3=0,0,1000000*SER_hh_emi_in!F3/SER_hh_num_in!F3)</f>
        <v>3547.4396999383457</v>
      </c>
      <c r="G3" s="125">
        <f>IF(SER_hh_emi_in!G3=0,0,1000000*SER_hh_emi_in!G3/SER_hh_num_in!G3)</f>
        <v>7716.8645298036099</v>
      </c>
      <c r="H3" s="125">
        <f>IF(SER_hh_emi_in!H3=0,0,1000000*SER_hh_emi_in!H3/SER_hh_num_in!H3)</f>
        <v>14462.052629027001</v>
      </c>
      <c r="I3" s="125">
        <f>IF(SER_hh_emi_in!I3=0,0,1000000*SER_hh_emi_in!I3/SER_hh_num_in!I3)</f>
        <v>9932.7920763855109</v>
      </c>
      <c r="J3" s="125">
        <f>IF(SER_hh_emi_in!J3=0,0,1000000*SER_hh_emi_in!J3/SER_hh_num_in!J3)</f>
        <v>10928.697035747326</v>
      </c>
      <c r="K3" s="125">
        <f>IF(SER_hh_emi_in!K3=0,0,1000000*SER_hh_emi_in!K3/SER_hh_num_in!K3)</f>
        <v>9768.9942362253259</v>
      </c>
      <c r="L3" s="125">
        <f>IF(SER_hh_emi_in!L3=0,0,1000000*SER_hh_emi_in!L3/SER_hh_num_in!L3)</f>
        <v>9077.5798038644607</v>
      </c>
      <c r="M3" s="125">
        <f>IF(SER_hh_emi_in!M3=0,0,1000000*SER_hh_emi_in!M3/SER_hh_num_in!M3)</f>
        <v>9551.5353875125002</v>
      </c>
      <c r="N3" s="125">
        <f>IF(SER_hh_emi_in!N3=0,0,1000000*SER_hh_emi_in!N3/SER_hh_num_in!N3)</f>
        <v>10126.871185459948</v>
      </c>
      <c r="O3" s="125">
        <f>IF(SER_hh_emi_in!O3=0,0,1000000*SER_hh_emi_in!O3/SER_hh_num_in!O3)</f>
        <v>10182.843040172713</v>
      </c>
      <c r="P3" s="125">
        <f>IF(SER_hh_emi_in!P3=0,0,1000000*SER_hh_emi_in!P3/SER_hh_num_in!P3)</f>
        <v>9046.9874828384636</v>
      </c>
      <c r="Q3" s="125">
        <f>IF(SER_hh_emi_in!Q3=0,0,1000000*SER_hh_emi_in!Q3/SER_hh_num_in!Q3)</f>
        <v>7431.2697479534991</v>
      </c>
      <c r="R3" s="125">
        <f>IF(SER_hh_emi_in!R3=0,0,1000000*SER_hh_emi_in!R3/SER_hh_num_in!R3)</f>
        <v>6189.4356654195071</v>
      </c>
      <c r="S3" s="125">
        <f>IF(SER_hh_emi_in!S3=0,0,1000000*SER_hh_emi_in!S3/SER_hh_num_in!S3)</f>
        <v>4724.8577315480507</v>
      </c>
      <c r="T3" s="125">
        <f>IF(SER_hh_emi_in!T3=0,0,1000000*SER_hh_emi_in!T3/SER_hh_num_in!T3)</f>
        <v>5162.1598359700802</v>
      </c>
      <c r="U3" s="125">
        <f>IF(SER_hh_emi_in!U3=0,0,1000000*SER_hh_emi_in!U3/SER_hh_num_in!U3)</f>
        <v>3456.0916631426153</v>
      </c>
      <c r="V3" s="125">
        <f>IF(SER_hh_emi_in!V3=0,0,1000000*SER_hh_emi_in!V3/SER_hh_num_in!V3)</f>
        <v>4342.0827332026511</v>
      </c>
      <c r="W3" s="125">
        <f>IF(SER_hh_emi_in!W3=0,0,1000000*SER_hh_emi_in!W3/SER_hh_num_in!W3)</f>
        <v>4081.5317647768729</v>
      </c>
      <c r="X3" s="125">
        <f>IF(SER_hh_emi_in!X3=0,0,1000000*SER_hh_emi_in!X3/SER_hh_num_in!X3)</f>
        <v>3295.5590206144479</v>
      </c>
      <c r="Y3" s="125">
        <f>IF(SER_hh_emi_in!Y3=0,0,1000000*SER_hh_emi_in!Y3/SER_hh_num_in!Y3)</f>
        <v>3570.0665771141425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9126.5569070015226</v>
      </c>
      <c r="D4" s="130">
        <f>IF(SER_hh_emi_in!D4=0,0,1000000*SER_hh_emi_in!D4/SER_hh_num_in!D4)</f>
        <v>8504.281772305023</v>
      </c>
      <c r="E4" s="130">
        <f>IF(SER_hh_emi_in!E4=0,0,1000000*SER_hh_emi_in!E4/SER_hh_num_in!E4)</f>
        <v>55.297898176409241</v>
      </c>
      <c r="F4" s="130">
        <f>IF(SER_hh_emi_in!F4=0,0,1000000*SER_hh_emi_in!F4/SER_hh_num_in!F4)</f>
        <v>954.16489566291284</v>
      </c>
      <c r="G4" s="130">
        <f>IF(SER_hh_emi_in!G4=0,0,1000000*SER_hh_emi_in!G4/SER_hh_num_in!G4)</f>
        <v>4907.7450413920469</v>
      </c>
      <c r="H4" s="130">
        <f>IF(SER_hh_emi_in!H4=0,0,1000000*SER_hh_emi_in!H4/SER_hh_num_in!H4)</f>
        <v>11252.138732084282</v>
      </c>
      <c r="I4" s="130">
        <f>IF(SER_hh_emi_in!I4=0,0,1000000*SER_hh_emi_in!I4/SER_hh_num_in!I4)</f>
        <v>7330.1541339017122</v>
      </c>
      <c r="J4" s="130">
        <f>IF(SER_hh_emi_in!J4=0,0,1000000*SER_hh_emi_in!J4/SER_hh_num_in!J4)</f>
        <v>8500.0656465852462</v>
      </c>
      <c r="K4" s="130">
        <f>IF(SER_hh_emi_in!K4=0,0,1000000*SER_hh_emi_in!K4/SER_hh_num_in!K4)</f>
        <v>7730.5449197000844</v>
      </c>
      <c r="L4" s="130">
        <f>IF(SER_hh_emi_in!L4=0,0,1000000*SER_hh_emi_in!L4/SER_hh_num_in!L4)</f>
        <v>6818.2860604716498</v>
      </c>
      <c r="M4" s="130">
        <f>IF(SER_hh_emi_in!M4=0,0,1000000*SER_hh_emi_in!M4/SER_hh_num_in!M4)</f>
        <v>7725.0713998082174</v>
      </c>
      <c r="N4" s="130">
        <f>IF(SER_hh_emi_in!N4=0,0,1000000*SER_hh_emi_in!N4/SER_hh_num_in!N4)</f>
        <v>7230.9301225004747</v>
      </c>
      <c r="O4" s="130">
        <f>IF(SER_hh_emi_in!O4=0,0,1000000*SER_hh_emi_in!O4/SER_hh_num_in!O4)</f>
        <v>7015.4129417546219</v>
      </c>
      <c r="P4" s="130">
        <f>IF(SER_hh_emi_in!P4=0,0,1000000*SER_hh_emi_in!P4/SER_hh_num_in!P4)</f>
        <v>5108.251071812947</v>
      </c>
      <c r="Q4" s="130">
        <f>IF(SER_hh_emi_in!Q4=0,0,1000000*SER_hh_emi_in!Q4/SER_hh_num_in!Q4)</f>
        <v>4603.8308123300312</v>
      </c>
      <c r="R4" s="130">
        <f>IF(SER_hh_emi_in!R4=0,0,1000000*SER_hh_emi_in!R4/SER_hh_num_in!R4)</f>
        <v>3541.4799590329021</v>
      </c>
      <c r="S4" s="130">
        <f>IF(SER_hh_emi_in!S4=0,0,1000000*SER_hh_emi_in!S4/SER_hh_num_in!S4)</f>
        <v>2044.6552221369593</v>
      </c>
      <c r="T4" s="130">
        <f>IF(SER_hh_emi_in!T4=0,0,1000000*SER_hh_emi_in!T4/SER_hh_num_in!T4)</f>
        <v>1699.2163062434943</v>
      </c>
      <c r="U4" s="130">
        <f>IF(SER_hh_emi_in!U4=0,0,1000000*SER_hh_emi_in!U4/SER_hh_num_in!U4)</f>
        <v>583.86876785147865</v>
      </c>
      <c r="V4" s="130">
        <f>IF(SER_hh_emi_in!V4=0,0,1000000*SER_hh_emi_in!V4/SER_hh_num_in!V4)</f>
        <v>1953.6611739055727</v>
      </c>
      <c r="W4" s="130">
        <f>IF(SER_hh_emi_in!W4=0,0,1000000*SER_hh_emi_in!W4/SER_hh_num_in!W4)</f>
        <v>1241.2712555158187</v>
      </c>
      <c r="X4" s="130">
        <f>IF(SER_hh_emi_in!X4=0,0,1000000*SER_hh_emi_in!X4/SER_hh_num_in!X4)</f>
        <v>637.39557382462044</v>
      </c>
      <c r="Y4" s="130">
        <f>IF(SER_hh_emi_in!Y4=0,0,1000000*SER_hh_emi_in!Y4/SER_hh_num_in!Y4)</f>
        <v>721.90185203684018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15835.059130879006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18694.733793469168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12201.654453637992</v>
      </c>
      <c r="N5" s="132">
        <f>IF(SER_hh_emi_in!N5=0,0,1000000*SER_hh_emi_in!N5/SER_hh_num_in!N5)</f>
        <v>14172.344469529715</v>
      </c>
      <c r="O5" s="132">
        <f>IF(SER_hh_emi_in!O5=0,0,1000000*SER_hh_emi_in!O5/SER_hh_num_in!O5)</f>
        <v>6701.0403286239316</v>
      </c>
      <c r="P5" s="132">
        <f>IF(SER_hh_emi_in!P5=0,0,1000000*SER_hh_emi_in!P5/SER_hh_num_in!P5)</f>
        <v>0</v>
      </c>
      <c r="Q5" s="132">
        <f>IF(SER_hh_emi_in!Q5=0,0,1000000*SER_hh_emi_in!Q5/SER_hh_num_in!Q5)</f>
        <v>19179.729044553729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630.0081482412038</v>
      </c>
      <c r="X5" s="132">
        <f>IF(SER_hh_emi_in!X5=0,0,1000000*SER_hh_emi_in!X5/SER_hh_num_in!X5)</f>
        <v>263.73026321912914</v>
      </c>
      <c r="Y5" s="132">
        <f>IF(SER_hh_emi_in!Y5=0,0,1000000*SER_hh_emi_in!Y5/SER_hh_num_in!Y5)</f>
        <v>4980.39059461945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15378.015895540084</v>
      </c>
      <c r="D7" s="132">
        <f>IF(SER_hh_emi_in!D7=0,0,1000000*SER_hh_emi_in!D7/SER_hh_num_in!D7)</f>
        <v>13655.535103500219</v>
      </c>
      <c r="E7" s="132">
        <f>IF(SER_hh_emi_in!E7=0,0,1000000*SER_hh_emi_in!E7/SER_hh_num_in!E7)</f>
        <v>0</v>
      </c>
      <c r="F7" s="132">
        <f>IF(SER_hh_emi_in!F7=0,0,1000000*SER_hh_emi_in!F7/SER_hh_num_in!F7)</f>
        <v>14774.574959120933</v>
      </c>
      <c r="G7" s="132">
        <f>IF(SER_hh_emi_in!G7=0,0,1000000*SER_hh_emi_in!G7/SER_hh_num_in!G7)</f>
        <v>14655.627708288797</v>
      </c>
      <c r="H7" s="132">
        <f>IF(SER_hh_emi_in!H7=0,0,1000000*SER_hh_emi_in!H7/SER_hh_num_in!H7)</f>
        <v>15528.152014729892</v>
      </c>
      <c r="I7" s="132">
        <f>IF(SER_hh_emi_in!I7=0,0,1000000*SER_hh_emi_in!I7/SER_hh_num_in!I7)</f>
        <v>10139.130532765728</v>
      </c>
      <c r="J7" s="132">
        <f>IF(SER_hh_emi_in!J7=0,0,1000000*SER_hh_emi_in!J7/SER_hh_num_in!J7)</f>
        <v>13383.223332428423</v>
      </c>
      <c r="K7" s="132">
        <f>IF(SER_hh_emi_in!K7=0,0,1000000*SER_hh_emi_in!K7/SER_hh_num_in!K7)</f>
        <v>11782.385176138183</v>
      </c>
      <c r="L7" s="132">
        <f>IF(SER_hh_emi_in!L7=0,0,1000000*SER_hh_emi_in!L7/SER_hh_num_in!L7)</f>
        <v>11690.236015604723</v>
      </c>
      <c r="M7" s="132">
        <f>IF(SER_hh_emi_in!M7=0,0,1000000*SER_hh_emi_in!M7/SER_hh_num_in!M7)</f>
        <v>9724.212440834619</v>
      </c>
      <c r="N7" s="132">
        <f>IF(SER_hh_emi_in!N7=0,0,1000000*SER_hh_emi_in!N7/SER_hh_num_in!N7)</f>
        <v>9676.5307341964926</v>
      </c>
      <c r="O7" s="132">
        <f>IF(SER_hh_emi_in!O7=0,0,1000000*SER_hh_emi_in!O7/SER_hh_num_in!O7)</f>
        <v>9570.6367476124724</v>
      </c>
      <c r="P7" s="132">
        <f>IF(SER_hh_emi_in!P7=0,0,1000000*SER_hh_emi_in!P7/SER_hh_num_in!P7)</f>
        <v>7798.631497214149</v>
      </c>
      <c r="Q7" s="132">
        <f>IF(SER_hh_emi_in!Q7=0,0,1000000*SER_hh_emi_in!Q7/SER_hh_num_in!Q7)</f>
        <v>7214.2186383933458</v>
      </c>
      <c r="R7" s="132">
        <f>IF(SER_hh_emi_in!R7=0,0,1000000*SER_hh_emi_in!R7/SER_hh_num_in!R7)</f>
        <v>6965.501304647637</v>
      </c>
      <c r="S7" s="132">
        <f>IF(SER_hh_emi_in!S7=0,0,1000000*SER_hh_emi_in!S7/SER_hh_num_in!S7)</f>
        <v>0</v>
      </c>
      <c r="T7" s="132">
        <f>IF(SER_hh_emi_in!T7=0,0,1000000*SER_hh_emi_in!T7/SER_hh_num_in!T7)</f>
        <v>0</v>
      </c>
      <c r="U7" s="132">
        <f>IF(SER_hh_emi_in!U7=0,0,1000000*SER_hh_emi_in!U7/SER_hh_num_in!U7)</f>
        <v>0</v>
      </c>
      <c r="V7" s="132">
        <f>IF(SER_hh_emi_in!V7=0,0,1000000*SER_hh_emi_in!V7/SER_hh_num_in!V7)</f>
        <v>0</v>
      </c>
      <c r="W7" s="132">
        <f>IF(SER_hh_emi_in!W7=0,0,1000000*SER_hh_emi_in!W7/SER_hh_num_in!W7)</f>
        <v>6157.5107412460347</v>
      </c>
      <c r="X7" s="132">
        <f>IF(SER_hh_emi_in!X7=0,0,1000000*SER_hh_emi_in!X7/SER_hh_num_in!X7)</f>
        <v>0</v>
      </c>
      <c r="Y7" s="132">
        <f>IF(SER_hh_emi_in!Y7=0,0,1000000*SER_hh_emi_in!Y7/SER_hh_num_in!Y7)</f>
        <v>0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3604.3824231087001</v>
      </c>
      <c r="D8" s="132">
        <f>IF(SER_hh_emi_in!D8=0,0,1000000*SER_hh_emi_in!D8/SER_hh_num_in!D8)</f>
        <v>3830.1204092339858</v>
      </c>
      <c r="E8" s="132">
        <f>IF(SER_hh_emi_in!E8=0,0,1000000*SER_hh_emi_in!E8/SER_hh_num_in!E8)</f>
        <v>4024.0045870303311</v>
      </c>
      <c r="F8" s="132">
        <f>IF(SER_hh_emi_in!F8=0,0,1000000*SER_hh_emi_in!F8/SER_hh_num_in!F8)</f>
        <v>3802.8157510861506</v>
      </c>
      <c r="G8" s="132">
        <f>IF(SER_hh_emi_in!G8=0,0,1000000*SER_hh_emi_in!G8/SER_hh_num_in!G8)</f>
        <v>3081.0230903858137</v>
      </c>
      <c r="H8" s="132">
        <f>IF(SER_hh_emi_in!H8=0,0,1000000*SER_hh_emi_in!H8/SER_hh_num_in!H8)</f>
        <v>3230.177140361593</v>
      </c>
      <c r="I8" s="132">
        <f>IF(SER_hh_emi_in!I8=0,0,1000000*SER_hh_emi_in!I8/SER_hh_num_in!I8)</f>
        <v>3408.3982145028913</v>
      </c>
      <c r="J8" s="132">
        <f>IF(SER_hh_emi_in!J8=0,0,1000000*SER_hh_emi_in!J8/SER_hh_num_in!J8)</f>
        <v>3373.2020991821755</v>
      </c>
      <c r="K8" s="132">
        <f>IF(SER_hh_emi_in!K8=0,0,1000000*SER_hh_emi_in!K8/SER_hh_num_in!K8)</f>
        <v>2816.8616001307796</v>
      </c>
      <c r="L8" s="132">
        <f>IF(SER_hh_emi_in!L8=0,0,1000000*SER_hh_emi_in!L8/SER_hh_num_in!L8)</f>
        <v>2369.4036924047973</v>
      </c>
      <c r="M8" s="132">
        <f>IF(SER_hh_emi_in!M8=0,0,1000000*SER_hh_emi_in!M8/SER_hh_num_in!M8)</f>
        <v>2300.2228936626429</v>
      </c>
      <c r="N8" s="132">
        <f>IF(SER_hh_emi_in!N8=0,0,1000000*SER_hh_emi_in!N8/SER_hh_num_in!N8)</f>
        <v>2203.691519542168</v>
      </c>
      <c r="O8" s="132">
        <f>IF(SER_hh_emi_in!O8=0,0,1000000*SER_hh_emi_in!O8/SER_hh_num_in!O8)</f>
        <v>2122.7767567727515</v>
      </c>
      <c r="P8" s="132">
        <f>IF(SER_hh_emi_in!P8=0,0,1000000*SER_hh_emi_in!P8/SER_hh_num_in!P8)</f>
        <v>1812.3353952086868</v>
      </c>
      <c r="Q8" s="132">
        <f>IF(SER_hh_emi_in!Q8=0,0,1000000*SER_hh_emi_in!Q8/SER_hh_num_in!Q8)</f>
        <v>1758.0132405674178</v>
      </c>
      <c r="R8" s="132">
        <f>IF(SER_hh_emi_in!R8=0,0,1000000*SER_hh_emi_in!R8/SER_hh_num_in!R8)</f>
        <v>1558.8339856100777</v>
      </c>
      <c r="S8" s="132">
        <f>IF(SER_hh_emi_in!S8=0,0,1000000*SER_hh_emi_in!S8/SER_hh_num_in!S8)</f>
        <v>1374.3539950418024</v>
      </c>
      <c r="T8" s="132">
        <f>IF(SER_hh_emi_in!T8=0,0,1000000*SER_hh_emi_in!T8/SER_hh_num_in!T8)</f>
        <v>1191.4869858891259</v>
      </c>
      <c r="U8" s="132">
        <f>IF(SER_hh_emi_in!U8=0,0,1000000*SER_hh_emi_in!U8/SER_hh_num_in!U8)</f>
        <v>1109.6140492536267</v>
      </c>
      <c r="V8" s="132">
        <f>IF(SER_hh_emi_in!V8=0,0,1000000*SER_hh_emi_in!V8/SER_hh_num_in!V8)</f>
        <v>934.15798200276595</v>
      </c>
      <c r="W8" s="132">
        <f>IF(SER_hh_emi_in!W8=0,0,1000000*SER_hh_emi_in!W8/SER_hh_num_in!W8)</f>
        <v>761.4750493933002</v>
      </c>
      <c r="X8" s="132">
        <f>IF(SER_hh_emi_in!X8=0,0,1000000*SER_hh_emi_in!X8/SER_hh_num_in!X8)</f>
        <v>584.74623574939301</v>
      </c>
      <c r="Y8" s="132">
        <f>IF(SER_hh_emi_in!Y8=0,0,1000000*SER_hh_emi_in!Y8/SER_hh_num_in!Y8)</f>
        <v>569.80279030484485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8812.1197149091531</v>
      </c>
      <c r="D9" s="132">
        <f>IF(SER_hh_emi_in!D9=0,0,1000000*SER_hh_emi_in!D9/SER_hh_num_in!D9)</f>
        <v>8523.3779296988778</v>
      </c>
      <c r="E9" s="132">
        <f>IF(SER_hh_emi_in!E9=0,0,1000000*SER_hh_emi_in!E9/SER_hh_num_in!E9)</f>
        <v>0</v>
      </c>
      <c r="F9" s="132">
        <f>IF(SER_hh_emi_in!F9=0,0,1000000*SER_hh_emi_in!F9/SER_hh_num_in!F9)</f>
        <v>0</v>
      </c>
      <c r="G9" s="132">
        <f>IF(SER_hh_emi_in!G9=0,0,1000000*SER_hh_emi_in!G9/SER_hh_num_in!G9)</f>
        <v>0</v>
      </c>
      <c r="H9" s="132">
        <f>IF(SER_hh_emi_in!H9=0,0,1000000*SER_hh_emi_in!H9/SER_hh_num_in!H9)</f>
        <v>11402.69689077447</v>
      </c>
      <c r="I9" s="132">
        <f>IF(SER_hh_emi_in!I9=0,0,1000000*SER_hh_emi_in!I9/SER_hh_num_in!I9)</f>
        <v>8158.61488373886</v>
      </c>
      <c r="J9" s="132">
        <f>IF(SER_hh_emi_in!J9=0,0,1000000*SER_hh_emi_in!J9/SER_hh_num_in!J9)</f>
        <v>8827.933140677218</v>
      </c>
      <c r="K9" s="132">
        <f>IF(SER_hh_emi_in!K9=0,0,1000000*SER_hh_emi_in!K9/SER_hh_num_in!K9)</f>
        <v>8117.0772733154954</v>
      </c>
      <c r="L9" s="132">
        <f>IF(SER_hh_emi_in!L9=0,0,1000000*SER_hh_emi_in!L9/SER_hh_num_in!L9)</f>
        <v>8372.3251767081401</v>
      </c>
      <c r="M9" s="132">
        <f>IF(SER_hh_emi_in!M9=0,0,1000000*SER_hh_emi_in!M9/SER_hh_num_in!M9)</f>
        <v>6678.0217110676476</v>
      </c>
      <c r="N9" s="132">
        <f>IF(SER_hh_emi_in!N9=0,0,1000000*SER_hh_emi_in!N9/SER_hh_num_in!N9)</f>
        <v>6385.7024277634891</v>
      </c>
      <c r="O9" s="132">
        <f>IF(SER_hh_emi_in!O9=0,0,1000000*SER_hh_emi_in!O9/SER_hh_num_in!O9)</f>
        <v>7220.7515501391254</v>
      </c>
      <c r="P9" s="132">
        <f>IF(SER_hh_emi_in!P9=0,0,1000000*SER_hh_emi_in!P9/SER_hh_num_in!P9)</f>
        <v>4986.4058849843277</v>
      </c>
      <c r="Q9" s="132">
        <f>IF(SER_hh_emi_in!Q9=0,0,1000000*SER_hh_emi_in!Q9/SER_hh_num_in!Q9)</f>
        <v>5051.3119849265813</v>
      </c>
      <c r="R9" s="132">
        <f>IF(SER_hh_emi_in!R9=0,0,1000000*SER_hh_emi_in!R9/SER_hh_num_in!R9)</f>
        <v>4634.8584314591108</v>
      </c>
      <c r="S9" s="132">
        <f>IF(SER_hh_emi_in!S9=0,0,1000000*SER_hh_emi_in!S9/SER_hh_num_in!S9)</f>
        <v>4170.3902936140903</v>
      </c>
      <c r="T9" s="132">
        <f>IF(SER_hh_emi_in!T9=0,0,1000000*SER_hh_emi_in!T9/SER_hh_num_in!T9)</f>
        <v>3799.3824952250407</v>
      </c>
      <c r="U9" s="132">
        <f>IF(SER_hh_emi_in!U9=0,0,1000000*SER_hh_emi_in!U9/SER_hh_num_in!U9)</f>
        <v>2859.3833816946217</v>
      </c>
      <c r="V9" s="132">
        <f>IF(SER_hh_emi_in!V9=0,0,1000000*SER_hh_emi_in!V9/SER_hh_num_in!V9)</f>
        <v>3001.8104518916134</v>
      </c>
      <c r="W9" s="132">
        <f>IF(SER_hh_emi_in!W9=0,0,1000000*SER_hh_emi_in!W9/SER_hh_num_in!W9)</f>
        <v>2892.2733375804805</v>
      </c>
      <c r="X9" s="132">
        <f>IF(SER_hh_emi_in!X9=0,0,1000000*SER_hh_emi_in!X9/SER_hh_num_in!X9)</f>
        <v>1759.646494979286</v>
      </c>
      <c r="Y9" s="132">
        <f>IF(SER_hh_emi_in!Y9=0,0,1000000*SER_hh_emi_in!Y9/SER_hh_num_in!Y9)</f>
        <v>1577.0494729199906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351.8644146369449</v>
      </c>
      <c r="F10" s="132">
        <f>IF(SER_hh_emi_in!F10=0,0,1000000*SER_hh_emi_in!F10/SER_hh_num_in!F10)</f>
        <v>395.51675534310937</v>
      </c>
      <c r="G10" s="132">
        <f>IF(SER_hh_emi_in!G10=0,0,1000000*SER_hh_emi_in!G10/SER_hh_num_in!G10)</f>
        <v>520.02902073252733</v>
      </c>
      <c r="H10" s="132">
        <f>IF(SER_hh_emi_in!H10=0,0,1000000*SER_hh_emi_in!H10/SER_hh_num_in!H10)</f>
        <v>407.68222196971368</v>
      </c>
      <c r="I10" s="132">
        <f>IF(SER_hh_emi_in!I10=0,0,1000000*SER_hh_emi_in!I10/SER_hh_num_in!I10)</f>
        <v>304.79628787121874</v>
      </c>
      <c r="J10" s="132">
        <f>IF(SER_hh_emi_in!J10=0,0,1000000*SER_hh_emi_in!J10/SER_hh_num_in!J10)</f>
        <v>187.70903246394556</v>
      </c>
      <c r="K10" s="132">
        <f>IF(SER_hh_emi_in!K10=0,0,1000000*SER_hh_emi_in!K10/SER_hh_num_in!K10)</f>
        <v>164.79599685778339</v>
      </c>
      <c r="L10" s="132">
        <f>IF(SER_hh_emi_in!L10=0,0,1000000*SER_hh_emi_in!L10/SER_hh_num_in!L10)</f>
        <v>150.02190695221006</v>
      </c>
      <c r="M10" s="132">
        <f>IF(SER_hh_emi_in!M10=0,0,1000000*SER_hh_emi_in!M10/SER_hh_num_in!M10)</f>
        <v>11.451741251817607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1.3138127579950265</v>
      </c>
      <c r="D16" s="130">
        <f>IF(SER_hh_emi_in!D16=0,0,1000000*SER_hh_emi_in!D16/SER_hh_num_in!D16)</f>
        <v>1.3898210804902862</v>
      </c>
      <c r="E16" s="130">
        <f>IF(SER_hh_emi_in!E16=0,0,1000000*SER_hh_emi_in!E16/SER_hh_num_in!E16)</f>
        <v>1.1189178762174108</v>
      </c>
      <c r="F16" s="130">
        <f>IF(SER_hh_emi_in!F16=0,0,1000000*SER_hh_emi_in!F16/SER_hh_num_in!F16)</f>
        <v>4.2019623706623266</v>
      </c>
      <c r="G16" s="130">
        <f>IF(SER_hh_emi_in!G16=0,0,1000000*SER_hh_emi_in!G16/SER_hh_num_in!G16)</f>
        <v>2.9816021312419569</v>
      </c>
      <c r="H16" s="130">
        <f>IF(SER_hh_emi_in!H16=0,0,1000000*SER_hh_emi_in!H16/SER_hh_num_in!H16)</f>
        <v>1.449060287634135</v>
      </c>
      <c r="I16" s="130">
        <f>IF(SER_hh_emi_in!I16=0,0,1000000*SER_hh_emi_in!I16/SER_hh_num_in!I16)</f>
        <v>6.3715085626621315</v>
      </c>
      <c r="J16" s="130">
        <f>IF(SER_hh_emi_in!J16=0,0,1000000*SER_hh_emi_in!J16/SER_hh_num_in!J16)</f>
        <v>4.369921210853561</v>
      </c>
      <c r="K16" s="130">
        <f>IF(SER_hh_emi_in!K16=0,0,1000000*SER_hh_emi_in!K16/SER_hh_num_in!K16)</f>
        <v>6.1308704649589956</v>
      </c>
      <c r="L16" s="130">
        <f>IF(SER_hh_emi_in!L16=0,0,1000000*SER_hh_emi_in!L16/SER_hh_num_in!L16)</f>
        <v>6.0200070555019103</v>
      </c>
      <c r="M16" s="130">
        <f>IF(SER_hh_emi_in!M16=0,0,1000000*SER_hh_emi_in!M16/SER_hh_num_in!M16)</f>
        <v>6.2669683495765955</v>
      </c>
      <c r="N16" s="130">
        <f>IF(SER_hh_emi_in!N16=0,0,1000000*SER_hh_emi_in!N16/SER_hh_num_in!N16)</f>
        <v>5.160550061143363</v>
      </c>
      <c r="O16" s="130">
        <f>IF(SER_hh_emi_in!O16=0,0,1000000*SER_hh_emi_in!O16/SER_hh_num_in!O16)</f>
        <v>7.785583863351623</v>
      </c>
      <c r="P16" s="130">
        <f>IF(SER_hh_emi_in!P16=0,0,1000000*SER_hh_emi_in!P16/SER_hh_num_in!P16)</f>
        <v>17.39096769421722</v>
      </c>
      <c r="Q16" s="130">
        <f>IF(SER_hh_emi_in!Q16=0,0,1000000*SER_hh_emi_in!Q16/SER_hh_num_in!Q16)</f>
        <v>24.018760442949009</v>
      </c>
      <c r="R16" s="130">
        <f>IF(SER_hh_emi_in!R16=0,0,1000000*SER_hh_emi_in!R16/SER_hh_num_in!R16)</f>
        <v>12.236269437972092</v>
      </c>
      <c r="S16" s="130">
        <f>IF(SER_hh_emi_in!S16=0,0,1000000*SER_hh_emi_in!S16/SER_hh_num_in!S16)</f>
        <v>19.75228336234348</v>
      </c>
      <c r="T16" s="130">
        <f>IF(SER_hh_emi_in!T16=0,0,1000000*SER_hh_emi_in!T16/SER_hh_num_in!T16)</f>
        <v>30.118875126056178</v>
      </c>
      <c r="U16" s="130">
        <f>IF(SER_hh_emi_in!U16=0,0,1000000*SER_hh_emi_in!U16/SER_hh_num_in!U16)</f>
        <v>22.279939792480334</v>
      </c>
      <c r="V16" s="130">
        <f>IF(SER_hh_emi_in!V16=0,0,1000000*SER_hh_emi_in!V16/SER_hh_num_in!V16)</f>
        <v>9.724145216379231</v>
      </c>
      <c r="W16" s="130">
        <f>IF(SER_hh_emi_in!W16=0,0,1000000*SER_hh_emi_in!W16/SER_hh_num_in!W16)</f>
        <v>9.4877350087051013</v>
      </c>
      <c r="X16" s="130">
        <f>IF(SER_hh_emi_in!X16=0,0,1000000*SER_hh_emi_in!X16/SER_hh_num_in!X16)</f>
        <v>9.0798543673450656</v>
      </c>
      <c r="Y16" s="130">
        <f>IF(SER_hh_emi_in!Y16=0,0,1000000*SER_hh_emi_in!Y16/SER_hh_num_in!Y16)</f>
        <v>12.281004826837883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4222.07981959675</v>
      </c>
      <c r="D17" s="132">
        <f>IF(SER_hh_emi_in!D17=0,0,1000000*SER_hh_emi_in!D17/SER_hh_num_in!D17)</f>
        <v>4142.3443753693209</v>
      </c>
      <c r="E17" s="132">
        <f>IF(SER_hh_emi_in!E17=0,0,1000000*SER_hh_emi_in!E17/SER_hh_num_in!E17)</f>
        <v>4816.5377777413396</v>
      </c>
      <c r="F17" s="132">
        <f>IF(SER_hh_emi_in!F17=0,0,1000000*SER_hh_emi_in!F17/SER_hh_num_in!F17)</f>
        <v>3868.700142237416</v>
      </c>
      <c r="G17" s="132">
        <f>IF(SER_hh_emi_in!G17=0,0,1000000*SER_hh_emi_in!G17/SER_hh_num_in!G17)</f>
        <v>3807.981784656019</v>
      </c>
      <c r="H17" s="132">
        <f>IF(SER_hh_emi_in!H17=0,0,1000000*SER_hh_emi_in!H17/SER_hh_num_in!H17)</f>
        <v>4131.6718784173263</v>
      </c>
      <c r="I17" s="132">
        <f>IF(SER_hh_emi_in!I17=0,0,1000000*SER_hh_emi_in!I17/SER_hh_num_in!I17)</f>
        <v>3709.0155798478363</v>
      </c>
      <c r="J17" s="132">
        <f>IF(SER_hh_emi_in!J17=0,0,1000000*SER_hh_emi_in!J17/SER_hh_num_in!J17)</f>
        <v>3614.2531590811786</v>
      </c>
      <c r="K17" s="132">
        <f>IF(SER_hh_emi_in!K17=0,0,1000000*SER_hh_emi_in!K17/SER_hh_num_in!K17)</f>
        <v>3451.7427083739972</v>
      </c>
      <c r="L17" s="132">
        <f>IF(SER_hh_emi_in!L17=0,0,1000000*SER_hh_emi_in!L17/SER_hh_num_in!L17)</f>
        <v>3642.2777339929139</v>
      </c>
      <c r="M17" s="132">
        <f>IF(SER_hh_emi_in!M17=0,0,1000000*SER_hh_emi_in!M17/SER_hh_num_in!M17)</f>
        <v>3212.8660685072105</v>
      </c>
      <c r="N17" s="132">
        <f>IF(SER_hh_emi_in!N17=0,0,1000000*SER_hh_emi_in!N17/SER_hh_num_in!N17)</f>
        <v>3137.2740482677495</v>
      </c>
      <c r="O17" s="132">
        <f>IF(SER_hh_emi_in!O17=0,0,1000000*SER_hh_emi_in!O17/SER_hh_num_in!O17)</f>
        <v>3173.0426998497019</v>
      </c>
      <c r="P17" s="132">
        <f>IF(SER_hh_emi_in!P17=0,0,1000000*SER_hh_emi_in!P17/SER_hh_num_in!P17)</f>
        <v>2907.6773713517773</v>
      </c>
      <c r="Q17" s="132">
        <f>IF(SER_hh_emi_in!Q17=0,0,1000000*SER_hh_emi_in!Q17/SER_hh_num_in!Q17)</f>
        <v>2617.9374207583396</v>
      </c>
      <c r="R17" s="132">
        <f>IF(SER_hh_emi_in!R17=0,0,1000000*SER_hh_emi_in!R17/SER_hh_num_in!R17)</f>
        <v>2794.5689901956216</v>
      </c>
      <c r="S17" s="132">
        <f>IF(SER_hh_emi_in!S17=0,0,1000000*SER_hh_emi_in!S17/SER_hh_num_in!S17)</f>
        <v>2369.9920563165865</v>
      </c>
      <c r="T17" s="132">
        <f>IF(SER_hh_emi_in!T17=0,0,1000000*SER_hh_emi_in!T17/SER_hh_num_in!T17)</f>
        <v>3085.6251625517757</v>
      </c>
      <c r="U17" s="132">
        <f>IF(SER_hh_emi_in!U17=0,0,1000000*SER_hh_emi_in!U17/SER_hh_num_in!U17)</f>
        <v>2773.0564764589158</v>
      </c>
      <c r="V17" s="132">
        <f>IF(SER_hh_emi_in!V17=0,0,1000000*SER_hh_emi_in!V17/SER_hh_num_in!V17)</f>
        <v>1907.8990214356052</v>
      </c>
      <c r="W17" s="132">
        <f>IF(SER_hh_emi_in!W17=0,0,1000000*SER_hh_emi_in!W17/SER_hh_num_in!W17)</f>
        <v>1651.632110619996</v>
      </c>
      <c r="X17" s="132">
        <f>IF(SER_hh_emi_in!X17=0,0,1000000*SER_hh_emi_in!X17/SER_hh_num_in!X17)</f>
        <v>1913.3457395792077</v>
      </c>
      <c r="Y17" s="132">
        <f>IF(SER_hh_emi_in!Y17=0,0,1000000*SER_hh_emi_in!Y17/SER_hh_num_in!Y17)</f>
        <v>1836.2655320489873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1661.0928105720125</v>
      </c>
      <c r="D19" s="130">
        <f>IF(SER_hh_emi_in!D19=0,0,1000000*SER_hh_emi_in!D19/SER_hh_num_in!D19)</f>
        <v>1307.3491607519823</v>
      </c>
      <c r="E19" s="130">
        <f>IF(SER_hh_emi_in!E19=0,0,1000000*SER_hh_emi_in!E19/SER_hh_num_in!E19)</f>
        <v>749.26817769728871</v>
      </c>
      <c r="F19" s="130">
        <f>IF(SER_hh_emi_in!F19=0,0,1000000*SER_hh_emi_in!F19/SER_hh_num_in!F19)</f>
        <v>1098.4461510144029</v>
      </c>
      <c r="G19" s="130">
        <f>IF(SER_hh_emi_in!G19=0,0,1000000*SER_hh_emi_in!G19/SER_hh_num_in!G19)</f>
        <v>1520.936008836464</v>
      </c>
      <c r="H19" s="130">
        <f>IF(SER_hh_emi_in!H19=0,0,1000000*SER_hh_emi_in!H19/SER_hh_num_in!H19)</f>
        <v>1715.2640369710743</v>
      </c>
      <c r="I19" s="130">
        <f>IF(SER_hh_emi_in!I19=0,0,1000000*SER_hh_emi_in!I19/SER_hh_num_in!I19)</f>
        <v>1389.8095779106338</v>
      </c>
      <c r="J19" s="130">
        <f>IF(SER_hh_emi_in!J19=0,0,1000000*SER_hh_emi_in!J19/SER_hh_num_in!J19)</f>
        <v>1235.8191199472517</v>
      </c>
      <c r="K19" s="130">
        <f>IF(SER_hh_emi_in!K19=0,0,1000000*SER_hh_emi_in!K19/SER_hh_num_in!K19)</f>
        <v>1097.6940190126306</v>
      </c>
      <c r="L19" s="130">
        <f>IF(SER_hh_emi_in!L19=0,0,1000000*SER_hh_emi_in!L19/SER_hh_num_in!L19)</f>
        <v>1287.3721964392305</v>
      </c>
      <c r="M19" s="130">
        <f>IF(SER_hh_emi_in!M19=0,0,1000000*SER_hh_emi_in!M19/SER_hh_num_in!M19)</f>
        <v>1173.7715327237581</v>
      </c>
      <c r="N19" s="130">
        <f>IF(SER_hh_emi_in!N19=0,0,1000000*SER_hh_emi_in!N19/SER_hh_num_in!N19)</f>
        <v>1368.6968728740819</v>
      </c>
      <c r="O19" s="130">
        <f>IF(SER_hh_emi_in!O19=0,0,1000000*SER_hh_emi_in!O19/SER_hh_num_in!O19)</f>
        <v>1362.6036172867962</v>
      </c>
      <c r="P19" s="130">
        <f>IF(SER_hh_emi_in!P19=0,0,1000000*SER_hh_emi_in!P19/SER_hh_num_in!P19)</f>
        <v>1404.1164832872712</v>
      </c>
      <c r="Q19" s="130">
        <f>IF(SER_hh_emi_in!Q19=0,0,1000000*SER_hh_emi_in!Q19/SER_hh_num_in!Q19)</f>
        <v>1233.7635990146466</v>
      </c>
      <c r="R19" s="130">
        <f>IF(SER_hh_emi_in!R19=0,0,1000000*SER_hh_emi_in!R19/SER_hh_num_in!R19)</f>
        <v>1123.1236654544302</v>
      </c>
      <c r="S19" s="130">
        <f>IF(SER_hh_emi_in!S19=0,0,1000000*SER_hh_emi_in!S19/SER_hh_num_in!S19)</f>
        <v>1002.5131651952934</v>
      </c>
      <c r="T19" s="130">
        <f>IF(SER_hh_emi_in!T19=0,0,1000000*SER_hh_emi_in!T19/SER_hh_num_in!T19)</f>
        <v>1223.5247828687477</v>
      </c>
      <c r="U19" s="130">
        <f>IF(SER_hh_emi_in!U19=0,0,1000000*SER_hh_emi_in!U19/SER_hh_num_in!U19)</f>
        <v>984.54106114863191</v>
      </c>
      <c r="V19" s="130">
        <f>IF(SER_hh_emi_in!V19=0,0,1000000*SER_hh_emi_in!V19/SER_hh_num_in!V19)</f>
        <v>917.49116863461859</v>
      </c>
      <c r="W19" s="130">
        <f>IF(SER_hh_emi_in!W19=0,0,1000000*SER_hh_emi_in!W19/SER_hh_num_in!W19)</f>
        <v>1032.5523796491429</v>
      </c>
      <c r="X19" s="130">
        <f>IF(SER_hh_emi_in!X19=0,0,1000000*SER_hh_emi_in!X19/SER_hh_num_in!X19)</f>
        <v>847.92198868940181</v>
      </c>
      <c r="Y19" s="130">
        <f>IF(SER_hh_emi_in!Y19=0,0,1000000*SER_hh_emi_in!Y19/SER_hh_num_in!Y19)</f>
        <v>1069.6759747744541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1942.3020471241468</v>
      </c>
      <c r="D21" s="132">
        <f>IF(SER_hh_emi_in!D21=0,0,1000000*SER_hh_emi_in!D21/SER_hh_num_in!D21)</f>
        <v>2153.2929997114611</v>
      </c>
      <c r="E21" s="132">
        <f>IF(SER_hh_emi_in!E21=0,0,1000000*SER_hh_emi_in!E21/SER_hh_num_in!E21)</f>
        <v>1960.4242407374556</v>
      </c>
      <c r="F21" s="132">
        <f>IF(SER_hh_emi_in!F21=0,0,1000000*SER_hh_emi_in!F21/SER_hh_num_in!F21)</f>
        <v>2177.7685378205961</v>
      </c>
      <c r="G21" s="132">
        <f>IF(SER_hh_emi_in!G21=0,0,1000000*SER_hh_emi_in!G21/SER_hh_num_in!G21)</f>
        <v>2194.4198017312469</v>
      </c>
      <c r="H21" s="132">
        <f>IF(SER_hh_emi_in!H21=0,0,1000000*SER_hh_emi_in!H21/SER_hh_num_in!H21)</f>
        <v>2156.4821485953757</v>
      </c>
      <c r="I21" s="132">
        <f>IF(SER_hh_emi_in!I21=0,0,1000000*SER_hh_emi_in!I21/SER_hh_num_in!I21)</f>
        <v>2135.8007509123736</v>
      </c>
      <c r="J21" s="132">
        <f>IF(SER_hh_emi_in!J21=0,0,1000000*SER_hh_emi_in!J21/SER_hh_num_in!J21)</f>
        <v>2123.7013570044592</v>
      </c>
      <c r="K21" s="132">
        <f>IF(SER_hh_emi_in!K21=0,0,1000000*SER_hh_emi_in!K21/SER_hh_num_in!K21)</f>
        <v>2096.6391193768632</v>
      </c>
      <c r="L21" s="132">
        <f>IF(SER_hh_emi_in!L21=0,0,1000000*SER_hh_emi_in!L21/SER_hh_num_in!L21)</f>
        <v>2035.1093301555372</v>
      </c>
      <c r="M21" s="132">
        <f>IF(SER_hh_emi_in!M21=0,0,1000000*SER_hh_emi_in!M21/SER_hh_num_in!M21)</f>
        <v>2053.6185133097088</v>
      </c>
      <c r="N21" s="132">
        <f>IF(SER_hh_emi_in!N21=0,0,1000000*SER_hh_emi_in!N21/SER_hh_num_in!N21)</f>
        <v>1994.3306773376223</v>
      </c>
      <c r="O21" s="132">
        <f>IF(SER_hh_emi_in!O21=0,0,1000000*SER_hh_emi_in!O21/SER_hh_num_in!O21)</f>
        <v>1817.142781906444</v>
      </c>
      <c r="P21" s="132">
        <f>IF(SER_hh_emi_in!P21=0,0,1000000*SER_hh_emi_in!P21/SER_hh_num_in!P21)</f>
        <v>1809.1552854949114</v>
      </c>
      <c r="Q21" s="132">
        <f>IF(SER_hh_emi_in!Q21=0,0,1000000*SER_hh_emi_in!Q21/SER_hh_num_in!Q21)</f>
        <v>1770.7352170126367</v>
      </c>
      <c r="R21" s="132">
        <f>IF(SER_hh_emi_in!R21=0,0,1000000*SER_hh_emi_in!R21/SER_hh_num_in!R21)</f>
        <v>1773.7254287795761</v>
      </c>
      <c r="S21" s="132">
        <f>IF(SER_hh_emi_in!S21=0,0,1000000*SER_hh_emi_in!S21/SER_hh_num_in!S21)</f>
        <v>1451.8152803872581</v>
      </c>
      <c r="T21" s="132">
        <f>IF(SER_hh_emi_in!T21=0,0,1000000*SER_hh_emi_in!T21/SER_hh_num_in!T21)</f>
        <v>1720.8890494569582</v>
      </c>
      <c r="U21" s="132">
        <f>IF(SER_hh_emi_in!U21=0,0,1000000*SER_hh_emi_in!U21/SER_hh_num_in!U21)</f>
        <v>1706.8403797371927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2605.2038356696053</v>
      </c>
      <c r="D22" s="132">
        <f>IF(SER_hh_emi_in!D22=0,0,1000000*SER_hh_emi_in!D22/SER_hh_num_in!D22)</f>
        <v>0</v>
      </c>
      <c r="E22" s="132">
        <f>IF(SER_hh_emi_in!E22=0,0,1000000*SER_hh_emi_in!E22/SER_hh_num_in!E22)</f>
        <v>2364.3445444543627</v>
      </c>
      <c r="F22" s="132">
        <f>IF(SER_hh_emi_in!F22=0,0,1000000*SER_hh_emi_in!F22/SER_hh_num_in!F22)</f>
        <v>2539.669652168117</v>
      </c>
      <c r="G22" s="132">
        <f>IF(SER_hh_emi_in!G22=0,0,1000000*SER_hh_emi_in!G22/SER_hh_num_in!G22)</f>
        <v>2520.9882092028952</v>
      </c>
      <c r="H22" s="132">
        <f>IF(SER_hh_emi_in!H22=0,0,1000000*SER_hh_emi_in!H22/SER_hh_num_in!H22)</f>
        <v>2596.6333072536977</v>
      </c>
      <c r="I22" s="132">
        <f>IF(SER_hh_emi_in!I22=0,0,1000000*SER_hh_emi_in!I22/SER_hh_num_in!I22)</f>
        <v>2546.6423387487894</v>
      </c>
      <c r="J22" s="132">
        <f>IF(SER_hh_emi_in!J22=0,0,1000000*SER_hh_emi_in!J22/SER_hh_num_in!J22)</f>
        <v>2537.2129272374586</v>
      </c>
      <c r="K22" s="132">
        <f>IF(SER_hh_emi_in!K22=0,0,1000000*SER_hh_emi_in!K22/SER_hh_num_in!K22)</f>
        <v>2447.9932720683528</v>
      </c>
      <c r="L22" s="132">
        <f>IF(SER_hh_emi_in!L22=0,0,1000000*SER_hh_emi_in!L22/SER_hh_num_in!L22)</f>
        <v>2423.1640358524564</v>
      </c>
      <c r="M22" s="132">
        <f>IF(SER_hh_emi_in!M22=0,0,1000000*SER_hh_emi_in!M22/SER_hh_num_in!M22)</f>
        <v>1965.0699648879627</v>
      </c>
      <c r="N22" s="132">
        <f>IF(SER_hh_emi_in!N22=0,0,1000000*SER_hh_emi_in!N22/SER_hh_num_in!N22)</f>
        <v>2339.3208277447338</v>
      </c>
      <c r="O22" s="132">
        <f>IF(SER_hh_emi_in!O22=0,0,1000000*SER_hh_emi_in!O22/SER_hh_num_in!O22)</f>
        <v>2251.4409173146601</v>
      </c>
      <c r="P22" s="132">
        <f>IF(SER_hh_emi_in!P22=0,0,1000000*SER_hh_emi_in!P22/SER_hh_num_in!P22)</f>
        <v>2155.1878846512236</v>
      </c>
      <c r="Q22" s="132">
        <f>IF(SER_hh_emi_in!Q22=0,0,1000000*SER_hh_emi_in!Q22/SER_hh_num_in!Q22)</f>
        <v>2066.6948962325505</v>
      </c>
      <c r="R22" s="132">
        <f>IF(SER_hh_emi_in!R22=0,0,1000000*SER_hh_emi_in!R22/SER_hh_num_in!R22)</f>
        <v>2048.8756142861826</v>
      </c>
      <c r="S22" s="132">
        <f>IF(SER_hh_emi_in!S22=0,0,1000000*SER_hh_emi_in!S22/SER_hh_num_in!S22)</f>
        <v>0</v>
      </c>
      <c r="T22" s="132">
        <f>IF(SER_hh_emi_in!T22=0,0,1000000*SER_hh_emi_in!T22/SER_hh_num_in!T22)</f>
        <v>0</v>
      </c>
      <c r="U22" s="132">
        <f>IF(SER_hh_emi_in!U22=0,0,1000000*SER_hh_emi_in!U22/SER_hh_num_in!U22)</f>
        <v>0</v>
      </c>
      <c r="V22" s="132">
        <f>IF(SER_hh_emi_in!V22=0,0,1000000*SER_hh_emi_in!V22/SER_hh_num_in!V22)</f>
        <v>0</v>
      </c>
      <c r="W22" s="132">
        <f>IF(SER_hh_emi_in!W22=0,0,1000000*SER_hh_emi_in!W22/SER_hh_num_in!W22)</f>
        <v>1410.1938579759278</v>
      </c>
      <c r="X22" s="132">
        <f>IF(SER_hh_emi_in!X22=0,0,1000000*SER_hh_emi_in!X22/SER_hh_num_in!X22)</f>
        <v>628.96462848233091</v>
      </c>
      <c r="Y22" s="132">
        <f>IF(SER_hh_emi_in!Y22=0,0,1000000*SER_hh_emi_in!Y22/SER_hh_num_in!Y22)</f>
        <v>1412.4012415980853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1791.1299799374472</v>
      </c>
      <c r="D23" s="132">
        <f>IF(SER_hh_emi_in!D23=0,0,1000000*SER_hh_emi_in!D23/SER_hh_num_in!D23)</f>
        <v>1619.5786609803638</v>
      </c>
      <c r="E23" s="132">
        <f>IF(SER_hh_emi_in!E23=0,0,1000000*SER_hh_emi_in!E23/SER_hh_num_in!E23)</f>
        <v>0</v>
      </c>
      <c r="F23" s="132">
        <f>IF(SER_hh_emi_in!F23=0,0,1000000*SER_hh_emi_in!F23/SER_hh_num_in!F23)</f>
        <v>789.7796541022949</v>
      </c>
      <c r="G23" s="132">
        <f>IF(SER_hh_emi_in!G23=0,0,1000000*SER_hh_emi_in!G23/SER_hh_num_in!G23)</f>
        <v>1613.3800544923845</v>
      </c>
      <c r="H23" s="132">
        <f>IF(SER_hh_emi_in!H23=0,0,1000000*SER_hh_emi_in!H23/SER_hh_num_in!H23)</f>
        <v>1796.7424380520467</v>
      </c>
      <c r="I23" s="132">
        <f>IF(SER_hh_emi_in!I23=0,0,1000000*SER_hh_emi_in!I23/SER_hh_num_in!I23)</f>
        <v>1699.4283853311956</v>
      </c>
      <c r="J23" s="132">
        <f>IF(SER_hh_emi_in!J23=0,0,1000000*SER_hh_emi_in!J23/SER_hh_num_in!J23)</f>
        <v>1685.7724195765754</v>
      </c>
      <c r="K23" s="132">
        <f>IF(SER_hh_emi_in!K23=0,0,1000000*SER_hh_emi_in!K23/SER_hh_num_in!K23)</f>
        <v>1573.9852831929968</v>
      </c>
      <c r="L23" s="132">
        <f>IF(SER_hh_emi_in!L23=0,0,1000000*SER_hh_emi_in!L23/SER_hh_num_in!L23)</f>
        <v>1644.7043439367612</v>
      </c>
      <c r="M23" s="132">
        <f>IF(SER_hh_emi_in!M23=0,0,1000000*SER_hh_emi_in!M23/SER_hh_num_in!M23)</f>
        <v>1313.4377336250764</v>
      </c>
      <c r="N23" s="132">
        <f>IF(SER_hh_emi_in!N23=0,0,1000000*SER_hh_emi_in!N23/SER_hh_num_in!N23)</f>
        <v>1519.4448022467682</v>
      </c>
      <c r="O23" s="132">
        <f>IF(SER_hh_emi_in!O23=0,0,1000000*SER_hh_emi_in!O23/SER_hh_num_in!O23)</f>
        <v>1498.2343258330923</v>
      </c>
      <c r="P23" s="132">
        <f>IF(SER_hh_emi_in!P23=0,0,1000000*SER_hh_emi_in!P23/SER_hh_num_in!P23)</f>
        <v>1510.2708560209571</v>
      </c>
      <c r="Q23" s="132">
        <f>IF(SER_hh_emi_in!Q23=0,0,1000000*SER_hh_emi_in!Q23/SER_hh_num_in!Q23)</f>
        <v>1373.8208423794154</v>
      </c>
      <c r="R23" s="132">
        <f>IF(SER_hh_emi_in!R23=0,0,1000000*SER_hh_emi_in!R23/SER_hh_num_in!R23)</f>
        <v>1292.8476170677898</v>
      </c>
      <c r="S23" s="132">
        <f>IF(SER_hh_emi_in!S23=0,0,1000000*SER_hh_emi_in!S23/SER_hh_num_in!S23)</f>
        <v>1203.0417293286951</v>
      </c>
      <c r="T23" s="132">
        <f>IF(SER_hh_emi_in!T23=0,0,1000000*SER_hh_emi_in!T23/SER_hh_num_in!T23)</f>
        <v>1430.8244302895801</v>
      </c>
      <c r="U23" s="132">
        <f>IF(SER_hh_emi_in!U23=0,0,1000000*SER_hh_emi_in!U23/SER_hh_num_in!U23)</f>
        <v>1332.2918585513867</v>
      </c>
      <c r="V23" s="132">
        <f>IF(SER_hh_emi_in!V23=0,0,1000000*SER_hh_emi_in!V23/SER_hh_num_in!V23)</f>
        <v>1033.9297431375967</v>
      </c>
      <c r="W23" s="132">
        <f>IF(SER_hh_emi_in!W23=0,0,1000000*SER_hh_emi_in!W23/SER_hh_num_in!W23)</f>
        <v>1102.467196905701</v>
      </c>
      <c r="X23" s="132">
        <f>IF(SER_hh_emi_in!X23=0,0,1000000*SER_hh_emi_in!X23/SER_hh_num_in!X23)</f>
        <v>911.08571054007996</v>
      </c>
      <c r="Y23" s="132">
        <f>IF(SER_hh_emi_in!Y23=0,0,1000000*SER_hh_emi_in!Y23/SER_hh_num_in!Y23)</f>
        <v>1073.1731834847328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1625.8552943015063</v>
      </c>
      <c r="D29" s="130">
        <f>IF(SER_hh_emi_in!D29=0,0,1000000*SER_hh_emi_in!D29/SER_hh_num_in!D29)</f>
        <v>1339.0586998800052</v>
      </c>
      <c r="E29" s="130">
        <f>IF(SER_hh_emi_in!E29=0,0,1000000*SER_hh_emi_in!E29/SER_hh_num_in!E29)</f>
        <v>1464.9158380908998</v>
      </c>
      <c r="F29" s="130">
        <f>IF(SER_hh_emi_in!F29=0,0,1000000*SER_hh_emi_in!F29/SER_hh_num_in!F29)</f>
        <v>1490.626690890369</v>
      </c>
      <c r="G29" s="130">
        <f>IF(SER_hh_emi_in!G29=0,0,1000000*SER_hh_emi_in!G29/SER_hh_num_in!G29)</f>
        <v>1285.201877443857</v>
      </c>
      <c r="H29" s="130">
        <f>IF(SER_hh_emi_in!H29=0,0,1000000*SER_hh_emi_in!H29/SER_hh_num_in!H29)</f>
        <v>1493.3484240148609</v>
      </c>
      <c r="I29" s="130">
        <f>IF(SER_hh_emi_in!I29=0,0,1000000*SER_hh_emi_in!I29/SER_hh_num_in!I29)</f>
        <v>1206.4568560105029</v>
      </c>
      <c r="J29" s="130">
        <f>IF(SER_hh_emi_in!J29=0,0,1000000*SER_hh_emi_in!J29/SER_hh_num_in!J29)</f>
        <v>1188.442348003975</v>
      </c>
      <c r="K29" s="130">
        <f>IF(SER_hh_emi_in!K29=0,0,1000000*SER_hh_emi_in!K29/SER_hh_num_in!K29)</f>
        <v>934.62442704765056</v>
      </c>
      <c r="L29" s="130">
        <f>IF(SER_hh_emi_in!L29=0,0,1000000*SER_hh_emi_in!L29/SER_hh_num_in!L29)</f>
        <v>965.90153989807641</v>
      </c>
      <c r="M29" s="130">
        <f>IF(SER_hh_emi_in!M29=0,0,1000000*SER_hh_emi_in!M29/SER_hh_num_in!M29)</f>
        <v>646.42548663094635</v>
      </c>
      <c r="N29" s="130">
        <f>IF(SER_hh_emi_in!N29=0,0,1000000*SER_hh_emi_in!N29/SER_hh_num_in!N29)</f>
        <v>1522.0836400242476</v>
      </c>
      <c r="O29" s="130">
        <f>IF(SER_hh_emi_in!O29=0,0,1000000*SER_hh_emi_in!O29/SER_hh_num_in!O29)</f>
        <v>1797.0408972679438</v>
      </c>
      <c r="P29" s="130">
        <f>IF(SER_hh_emi_in!P29=0,0,1000000*SER_hh_emi_in!P29/SER_hh_num_in!P29)</f>
        <v>2517.2289600440286</v>
      </c>
      <c r="Q29" s="130">
        <f>IF(SER_hh_emi_in!Q29=0,0,1000000*SER_hh_emi_in!Q29/SER_hh_num_in!Q29)</f>
        <v>1569.6565761658724</v>
      </c>
      <c r="R29" s="130">
        <f>IF(SER_hh_emi_in!R29=0,0,1000000*SER_hh_emi_in!R29/SER_hh_num_in!R29)</f>
        <v>1512.5957714942037</v>
      </c>
      <c r="S29" s="130">
        <f>IF(SER_hh_emi_in!S29=0,0,1000000*SER_hh_emi_in!S29/SER_hh_num_in!S29)</f>
        <v>1657.937060853455</v>
      </c>
      <c r="T29" s="130">
        <f>IF(SER_hh_emi_in!T29=0,0,1000000*SER_hh_emi_in!T29/SER_hh_num_in!T29)</f>
        <v>2209.2998717317814</v>
      </c>
      <c r="U29" s="130">
        <f>IF(SER_hh_emi_in!U29=0,0,1000000*SER_hh_emi_in!U29/SER_hh_num_in!U29)</f>
        <v>1865.4018943500248</v>
      </c>
      <c r="V29" s="130">
        <f>IF(SER_hh_emi_in!V29=0,0,1000000*SER_hh_emi_in!V29/SER_hh_num_in!V29)</f>
        <v>1461.2062454460813</v>
      </c>
      <c r="W29" s="130">
        <f>IF(SER_hh_emi_in!W29=0,0,1000000*SER_hh_emi_in!W29/SER_hh_num_in!W29)</f>
        <v>1798.2203946032066</v>
      </c>
      <c r="X29" s="130">
        <f>IF(SER_hh_emi_in!X29=0,0,1000000*SER_hh_emi_in!X29/SER_hh_num_in!X29)</f>
        <v>1801.1616037330805</v>
      </c>
      <c r="Y29" s="130">
        <f>IF(SER_hh_emi_in!Y29=0,0,1000000*SER_hh_emi_in!Y29/SER_hh_num_in!Y29)</f>
        <v>1766.207745476011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2425.2589768648854</v>
      </c>
      <c r="D30" s="132">
        <f>IF(SER_hh_emi_in!D30=0,0,1000000*SER_hh_emi_in!D30/SER_hh_num_in!D30)</f>
        <v>1777.1176034735436</v>
      </c>
      <c r="E30" s="132">
        <f>IF(SER_hh_emi_in!E30=0,0,1000000*SER_hh_emi_in!E30/SER_hh_num_in!E30)</f>
        <v>3072.482022137181</v>
      </c>
      <c r="F30" s="132">
        <f>IF(SER_hh_emi_in!F30=0,0,1000000*SER_hh_emi_in!F30/SER_hh_num_in!F30)</f>
        <v>2416.6712557070996</v>
      </c>
      <c r="G30" s="132">
        <f>IF(SER_hh_emi_in!G30=0,0,1000000*SER_hh_emi_in!G30/SER_hh_num_in!G30)</f>
        <v>3878.4746956884906</v>
      </c>
      <c r="H30" s="132">
        <f>IF(SER_hh_emi_in!H30=0,0,1000000*SER_hh_emi_in!H30/SER_hh_num_in!H30)</f>
        <v>2483.9736653052878</v>
      </c>
      <c r="I30" s="132">
        <f>IF(SER_hh_emi_in!I30=0,0,1000000*SER_hh_emi_in!I30/SER_hh_num_in!I30)</f>
        <v>2341.1496413125819</v>
      </c>
      <c r="J30" s="132">
        <f>IF(SER_hh_emi_in!J30=0,0,1000000*SER_hh_emi_in!J30/SER_hh_num_in!J30)</f>
        <v>2774.9529133988867</v>
      </c>
      <c r="K30" s="132">
        <f>IF(SER_hh_emi_in!K30=0,0,1000000*SER_hh_emi_in!K30/SER_hh_num_in!K30)</f>
        <v>2507.3296284201706</v>
      </c>
      <c r="L30" s="132">
        <f>IF(SER_hh_emi_in!L30=0,0,1000000*SER_hh_emi_in!L30/SER_hh_num_in!L30)</f>
        <v>2131.544084305996</v>
      </c>
      <c r="M30" s="132">
        <f>IF(SER_hh_emi_in!M30=0,0,1000000*SER_hh_emi_in!M30/SER_hh_num_in!M30)</f>
        <v>2115.3413741400841</v>
      </c>
      <c r="N30" s="132">
        <f>IF(SER_hh_emi_in!N30=0,0,1000000*SER_hh_emi_in!N30/SER_hh_num_in!N30)</f>
        <v>2361.7759621352939</v>
      </c>
      <c r="O30" s="132">
        <f>IF(SER_hh_emi_in!O30=0,0,1000000*SER_hh_emi_in!O30/SER_hh_num_in!O30)</f>
        <v>3155.1621143138409</v>
      </c>
      <c r="P30" s="132">
        <f>IF(SER_hh_emi_in!P30=0,0,1000000*SER_hh_emi_in!P30/SER_hh_num_in!P30)</f>
        <v>2678.0796931390619</v>
      </c>
      <c r="Q30" s="132">
        <f>IF(SER_hh_emi_in!Q30=0,0,1000000*SER_hh_emi_in!Q30/SER_hh_num_in!Q30)</f>
        <v>2319.0102602930251</v>
      </c>
      <c r="R30" s="132">
        <f>IF(SER_hh_emi_in!R30=0,0,1000000*SER_hh_emi_in!R30/SER_hh_num_in!R30)</f>
        <v>3147.0285879980647</v>
      </c>
      <c r="S30" s="132">
        <f>IF(SER_hh_emi_in!S30=0,0,1000000*SER_hh_emi_in!S30/SER_hh_num_in!S30)</f>
        <v>2073.8348689152635</v>
      </c>
      <c r="T30" s="132">
        <f>IF(SER_hh_emi_in!T30=0,0,1000000*SER_hh_emi_in!T30/SER_hh_num_in!T30)</f>
        <v>2699.0109269278591</v>
      </c>
      <c r="U30" s="132">
        <f>IF(SER_hh_emi_in!U30=0,0,1000000*SER_hh_emi_in!U30/SER_hh_num_in!U30)</f>
        <v>2832.5795494409308</v>
      </c>
      <c r="V30" s="132">
        <f>IF(SER_hh_emi_in!V30=0,0,1000000*SER_hh_emi_in!V30/SER_hh_num_in!V30)</f>
        <v>2802.5324253485787</v>
      </c>
      <c r="W30" s="132">
        <f>IF(SER_hh_emi_in!W30=0,0,1000000*SER_hh_emi_in!W30/SER_hh_num_in!W30)</f>
        <v>2334.5460256128677</v>
      </c>
      <c r="X30" s="132">
        <f>IF(SER_hh_emi_in!X30=0,0,1000000*SER_hh_emi_in!X30/SER_hh_num_in!X30)</f>
        <v>3041.915346849014</v>
      </c>
      <c r="Y30" s="132">
        <f>IF(SER_hh_emi_in!Y30=0,0,1000000*SER_hh_emi_in!Y30/SER_hh_num_in!Y30)</f>
        <v>0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2203.789991866111</v>
      </c>
      <c r="D31" s="132">
        <f>IF(SER_hh_emi_in!D31=0,0,1000000*SER_hh_emi_in!D31/SER_hh_num_in!D31)</f>
        <v>2339.4466104835606</v>
      </c>
      <c r="E31" s="132">
        <f>IF(SER_hh_emi_in!E31=0,0,1000000*SER_hh_emi_in!E31/SER_hh_num_in!E31)</f>
        <v>2342.9331680995974</v>
      </c>
      <c r="F31" s="132">
        <f>IF(SER_hh_emi_in!F31=0,0,1000000*SER_hh_emi_in!F31/SER_hh_num_in!F31)</f>
        <v>2368.4455104389112</v>
      </c>
      <c r="G31" s="132">
        <f>IF(SER_hh_emi_in!G31=0,0,1000000*SER_hh_emi_in!G31/SER_hh_num_in!G31)</f>
        <v>2274.8819820135413</v>
      </c>
      <c r="H31" s="132">
        <f>IF(SER_hh_emi_in!H31=0,0,1000000*SER_hh_emi_in!H31/SER_hh_num_in!H31)</f>
        <v>2282.4865551996809</v>
      </c>
      <c r="I31" s="132">
        <f>IF(SER_hh_emi_in!I31=0,0,1000000*SER_hh_emi_in!I31/SER_hh_num_in!I31)</f>
        <v>2222.0239133151822</v>
      </c>
      <c r="J31" s="132">
        <f>IF(SER_hh_emi_in!J31=0,0,1000000*SER_hh_emi_in!J31/SER_hh_num_in!J31)</f>
        <v>2234.9329549757194</v>
      </c>
      <c r="K31" s="132">
        <f>IF(SER_hh_emi_in!K31=0,0,1000000*SER_hh_emi_in!K31/SER_hh_num_in!K31)</f>
        <v>2283.2847290238178</v>
      </c>
      <c r="L31" s="132">
        <f>IF(SER_hh_emi_in!L31=0,0,1000000*SER_hh_emi_in!L31/SER_hh_num_in!L31)</f>
        <v>2259.4639304424991</v>
      </c>
      <c r="M31" s="132">
        <f>IF(SER_hh_emi_in!M31=0,0,1000000*SER_hh_emi_in!M31/SER_hh_num_in!M31)</f>
        <v>2214.2693735453695</v>
      </c>
      <c r="N31" s="132">
        <f>IF(SER_hh_emi_in!N31=0,0,1000000*SER_hh_emi_in!N31/SER_hh_num_in!N31)</f>
        <v>2155.1909364787098</v>
      </c>
      <c r="O31" s="132">
        <f>IF(SER_hh_emi_in!O31=0,0,1000000*SER_hh_emi_in!O31/SER_hh_num_in!O31)</f>
        <v>2088.9463631449157</v>
      </c>
      <c r="P31" s="132">
        <f>IF(SER_hh_emi_in!P31=0,0,1000000*SER_hh_emi_in!P31/SER_hh_num_in!P31)</f>
        <v>2519.5918541508463</v>
      </c>
      <c r="Q31" s="132">
        <f>IF(SER_hh_emi_in!Q31=0,0,1000000*SER_hh_emi_in!Q31/SER_hh_num_in!Q31)</f>
        <v>2282.7929465418929</v>
      </c>
      <c r="R31" s="132">
        <f>IF(SER_hh_emi_in!R31=0,0,1000000*SER_hh_emi_in!R31/SER_hh_num_in!R31)</f>
        <v>2125.5733816152861</v>
      </c>
      <c r="S31" s="132">
        <f>IF(SER_hh_emi_in!S31=0,0,1000000*SER_hh_emi_in!S31/SER_hh_num_in!S31)</f>
        <v>2176.1851750220585</v>
      </c>
      <c r="T31" s="132">
        <f>IF(SER_hh_emi_in!T31=0,0,1000000*SER_hh_emi_in!T31/SER_hh_num_in!T31)</f>
        <v>2308.4870563602549</v>
      </c>
      <c r="U31" s="132">
        <f>IF(SER_hh_emi_in!U31=0,0,1000000*SER_hh_emi_in!U31/SER_hh_num_in!U31)</f>
        <v>2394.1128381728172</v>
      </c>
      <c r="V31" s="132">
        <f>IF(SER_hh_emi_in!V31=0,0,1000000*SER_hh_emi_in!V31/SER_hh_num_in!V31)</f>
        <v>1920.3195493045087</v>
      </c>
      <c r="W31" s="132">
        <f>IF(SER_hh_emi_in!W31=0,0,1000000*SER_hh_emi_in!W31/SER_hh_num_in!W31)</f>
        <v>1783.6055539966655</v>
      </c>
      <c r="X31" s="132">
        <f>IF(SER_hh_emi_in!X31=0,0,1000000*SER_hh_emi_in!X31/SER_hh_num_in!X31)</f>
        <v>1789.6081114245615</v>
      </c>
      <c r="Y31" s="132">
        <f>IF(SER_hh_emi_in!Y31=0,0,1000000*SER_hh_emi_in!Y31/SER_hh_num_in!Y31)</f>
        <v>1769.7011105177528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103.18867240245712</v>
      </c>
      <c r="F32" s="132">
        <f>IF(SER_hh_emi_in!F32=0,0,1000000*SER_hh_emi_in!F32/SER_hh_num_in!F32)</f>
        <v>92.628245389361254</v>
      </c>
      <c r="G32" s="132">
        <f>IF(SER_hh_emi_in!G32=0,0,1000000*SER_hh_emi_in!G32/SER_hh_num_in!G32)</f>
        <v>145.85377643523205</v>
      </c>
      <c r="H32" s="132">
        <f>IF(SER_hh_emi_in!H32=0,0,1000000*SER_hh_emi_in!H32/SER_hh_num_in!H32)</f>
        <v>115.48509585642913</v>
      </c>
      <c r="I32" s="132">
        <f>IF(SER_hh_emi_in!I32=0,0,1000000*SER_hh_emi_in!I32/SER_hh_num_in!I32)</f>
        <v>100.45923892310175</v>
      </c>
      <c r="J32" s="132">
        <f>IF(SER_hh_emi_in!J32=0,0,1000000*SER_hh_emi_in!J32/SER_hh_num_in!J32)</f>
        <v>50.741788416925331</v>
      </c>
      <c r="K32" s="132">
        <f>IF(SER_hh_emi_in!K32=0,0,1000000*SER_hh_emi_in!K32/SER_hh_num_in!K32)</f>
        <v>56.456677182422361</v>
      </c>
      <c r="L32" s="132">
        <f>IF(SER_hh_emi_in!L32=0,0,1000000*SER_hh_emi_in!L32/SER_hh_num_in!L32)</f>
        <v>44.897705036270992</v>
      </c>
      <c r="M32" s="132">
        <f>IF(SER_hh_emi_in!M32=0,0,1000000*SER_hh_emi_in!M32/SER_hh_num_in!M32)</f>
        <v>4.7445310540315004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81.404724229998166</v>
      </c>
      <c r="D3" s="125">
        <f>IF(SER_hh_fech_in!D3=0,0,SER_hh_fech_in!D3/SER_summary!D$27)</f>
        <v>81.93450468071299</v>
      </c>
      <c r="E3" s="125">
        <f>IF(SER_hh_fech_in!E3=0,0,SER_hh_fech_in!E3/SER_summary!E$27)</f>
        <v>99.520208529321053</v>
      </c>
      <c r="F3" s="125">
        <f>IF(SER_hh_fech_in!F3=0,0,SER_hh_fech_in!F3/SER_summary!F$27)</f>
        <v>85.90750230082638</v>
      </c>
      <c r="G3" s="125">
        <f>IF(SER_hh_fech_in!G3=0,0,SER_hh_fech_in!G3/SER_summary!G$27)</f>
        <v>80.386311432541177</v>
      </c>
      <c r="H3" s="125">
        <f>IF(SER_hh_fech_in!H3=0,0,SER_hh_fech_in!H3/SER_summary!H$27)</f>
        <v>93.561847051618031</v>
      </c>
      <c r="I3" s="125">
        <f>IF(SER_hh_fech_in!I3=0,0,SER_hh_fech_in!I3/SER_summary!I$27)</f>
        <v>73.967036711716815</v>
      </c>
      <c r="J3" s="125">
        <f>IF(SER_hh_fech_in!J3=0,0,SER_hh_fech_in!J3/SER_summary!J$27)</f>
        <v>79.964004993350883</v>
      </c>
      <c r="K3" s="125">
        <f>IF(SER_hh_fech_in!K3=0,0,SER_hh_fech_in!K3/SER_summary!K$27)</f>
        <v>74.51530792985487</v>
      </c>
      <c r="L3" s="125">
        <f>IF(SER_hh_fech_in!L3=0,0,SER_hh_fech_in!L3/SER_summary!L$27)</f>
        <v>76.487721380241055</v>
      </c>
      <c r="M3" s="125">
        <f>IF(SER_hh_fech_in!M3=0,0,SER_hh_fech_in!M3/SER_summary!M$27)</f>
        <v>65.904777970564467</v>
      </c>
      <c r="N3" s="125">
        <f>IF(SER_hh_fech_in!N3=0,0,SER_hh_fech_in!N3/SER_summary!N$27)</f>
        <v>65.704633362169687</v>
      </c>
      <c r="O3" s="125">
        <f>IF(SER_hh_fech_in!O3=0,0,SER_hh_fech_in!O3/SER_summary!O$27)</f>
        <v>67.643468872741863</v>
      </c>
      <c r="P3" s="125">
        <f>IF(SER_hh_fech_in!P3=0,0,SER_hh_fech_in!P3/SER_summary!P$27)</f>
        <v>58.359353855193049</v>
      </c>
      <c r="Q3" s="125">
        <f>IF(SER_hh_fech_in!Q3=0,0,SER_hh_fech_in!Q3/SER_summary!Q$27)</f>
        <v>56.940631290061738</v>
      </c>
      <c r="R3" s="125">
        <f>IF(SER_hh_fech_in!R3=0,0,SER_hh_fech_in!R3/SER_summary!R$27)</f>
        <v>51.327574150939391</v>
      </c>
      <c r="S3" s="125">
        <f>IF(SER_hh_fech_in!S3=0,0,SER_hh_fech_in!S3/SER_summary!S$27)</f>
        <v>47.10193405956916</v>
      </c>
      <c r="T3" s="125">
        <f>IF(SER_hh_fech_in!T3=0,0,SER_hh_fech_in!T3/SER_summary!T$27)</f>
        <v>48.562127777639802</v>
      </c>
      <c r="U3" s="125">
        <f>IF(SER_hh_fech_in!U3=0,0,SER_hh_fech_in!U3/SER_summary!U$27)</f>
        <v>43.469120743824455</v>
      </c>
      <c r="V3" s="125">
        <f>IF(SER_hh_fech_in!V3=0,0,SER_hh_fech_in!V3/SER_summary!V$27)</f>
        <v>38.613606210043244</v>
      </c>
      <c r="W3" s="125">
        <f>IF(SER_hh_fech_in!W3=0,0,SER_hh_fech_in!W3/SER_summary!W$27)</f>
        <v>36.714258894827857</v>
      </c>
      <c r="X3" s="125">
        <f>IF(SER_hh_fech_in!X3=0,0,SER_hh_fech_in!X3/SER_summary!X$27)</f>
        <v>30.330176684261538</v>
      </c>
      <c r="Y3" s="125">
        <f>IF(SER_hh_fech_in!Y3=0,0,SER_hh_fech_in!Y3/SER_summary!Y$27)</f>
        <v>29.471974594703635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49.622856470070992</v>
      </c>
      <c r="D4" s="130">
        <f>IF(SER_hh_fech_in!D4=0,0,SER_hh_fech_in!D4/SER_summary!D$27)</f>
        <v>50.639610814683678</v>
      </c>
      <c r="E4" s="130">
        <f>IF(SER_hh_fech_in!E4=0,0,SER_hh_fech_in!E4/SER_summary!E$27)</f>
        <v>63.949955936329907</v>
      </c>
      <c r="F4" s="130">
        <f>IF(SER_hh_fech_in!F4=0,0,SER_hh_fech_in!F4/SER_summary!F$27)</f>
        <v>54.536235190319893</v>
      </c>
      <c r="G4" s="130">
        <f>IF(SER_hh_fech_in!G4=0,0,SER_hh_fech_in!G4/SER_summary!G$27)</f>
        <v>49.893631771631711</v>
      </c>
      <c r="H4" s="130">
        <f>IF(SER_hh_fech_in!H4=0,0,SER_hh_fech_in!H4/SER_summary!H$27)</f>
        <v>63.0523064839673</v>
      </c>
      <c r="I4" s="130">
        <f>IF(SER_hh_fech_in!I4=0,0,SER_hh_fech_in!I4/SER_summary!I$27)</f>
        <v>44.352158372625581</v>
      </c>
      <c r="J4" s="130">
        <f>IF(SER_hh_fech_in!J4=0,0,SER_hh_fech_in!J4/SER_summary!J$27)</f>
        <v>51.287490164520982</v>
      </c>
      <c r="K4" s="130">
        <f>IF(SER_hh_fech_in!K4=0,0,SER_hh_fech_in!K4/SER_summary!K$27)</f>
        <v>46.517182707745313</v>
      </c>
      <c r="L4" s="130">
        <f>IF(SER_hh_fech_in!L4=0,0,SER_hh_fech_in!L4/SER_summary!L$27)</f>
        <v>47.724104605949314</v>
      </c>
      <c r="M4" s="130">
        <f>IF(SER_hh_fech_in!M4=0,0,SER_hh_fech_in!M4/SER_summary!M$27)</f>
        <v>39.549576566208316</v>
      </c>
      <c r="N4" s="130">
        <f>IF(SER_hh_fech_in!N4=0,0,SER_hh_fech_in!N4/SER_summary!N$27)</f>
        <v>38.349801356980407</v>
      </c>
      <c r="O4" s="130">
        <f>IF(SER_hh_fech_in!O4=0,0,SER_hh_fech_in!O4/SER_summary!O$27)</f>
        <v>40.530938607763858</v>
      </c>
      <c r="P4" s="130">
        <f>IF(SER_hh_fech_in!P4=0,0,SER_hh_fech_in!P4/SER_summary!P$27)</f>
        <v>29.473905222863849</v>
      </c>
      <c r="Q4" s="130">
        <f>IF(SER_hh_fech_in!Q4=0,0,SER_hh_fech_in!Q4/SER_summary!Q$27)</f>
        <v>30.558214634372494</v>
      </c>
      <c r="R4" s="130">
        <f>IF(SER_hh_fech_in!R4=0,0,SER_hh_fech_in!R4/SER_summary!R$27)</f>
        <v>26.647530857070581</v>
      </c>
      <c r="S4" s="130">
        <f>IF(SER_hh_fech_in!S4=0,0,SER_hh_fech_in!S4/SER_summary!S$27)</f>
        <v>22.795130439393212</v>
      </c>
      <c r="T4" s="130">
        <f>IF(SER_hh_fech_in!T4=0,0,SER_hh_fech_in!T4/SER_summary!T$27)</f>
        <v>21.054450662170815</v>
      </c>
      <c r="U4" s="130">
        <f>IF(SER_hh_fech_in!U4=0,0,SER_hh_fech_in!U4/SER_summary!U$27)</f>
        <v>17.891824102237607</v>
      </c>
      <c r="V4" s="130">
        <f>IF(SER_hh_fech_in!V4=0,0,SER_hh_fech_in!V4/SER_summary!V$27)</f>
        <v>16.4315120725505</v>
      </c>
      <c r="W4" s="130">
        <f>IF(SER_hh_fech_in!W4=0,0,SER_hh_fech_in!W4/SER_summary!W$27)</f>
        <v>15.923831072975457</v>
      </c>
      <c r="X4" s="130">
        <f>IF(SER_hh_fech_in!X4=0,0,SER_hh_fech_in!X4/SER_summary!X$27)</f>
        <v>9.6612440097492005</v>
      </c>
      <c r="Y4" s="130">
        <f>IF(SER_hh_fech_in!Y4=0,0,SER_hh_fech_in!Y4/SER_summary!Y$27)</f>
        <v>9.1330690849830738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49.754240403705012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59.436812998041127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38.385368163141031</v>
      </c>
      <c r="N5" s="132">
        <f>IF(SER_hh_fech_in!N5=0,0,SER_hh_fech_in!N5/SER_summary!N$27)</f>
        <v>45.00680648814248</v>
      </c>
      <c r="O5" s="132">
        <f>IF(SER_hh_fech_in!O5=0,0,SER_hh_fech_in!O5/SER_summary!O$27)</f>
        <v>21.052585957997682</v>
      </c>
      <c r="P5" s="132">
        <f>IF(SER_hh_fech_in!P5=0,0,SER_hh_fech_in!P5/SER_summary!P$27)</f>
        <v>0</v>
      </c>
      <c r="Q5" s="132">
        <f>IF(SER_hh_fech_in!Q5=0,0,SER_hh_fech_in!Q5/SER_summary!Q$27)</f>
        <v>60.906624965197729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1.9782442364010515</v>
      </c>
      <c r="X5" s="132">
        <f>IF(SER_hh_fech_in!X5=0,0,SER_hh_fech_in!X5/SER_summary!X$27)</f>
        <v>0.82989225617880635</v>
      </c>
      <c r="Y5" s="132">
        <f>IF(SER_hh_fech_in!Y5=0,0,SER_hh_fech_in!Y5/SER_summary!Y$27)</f>
        <v>15.603047879977311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64.122719526284641</v>
      </c>
      <c r="D7" s="132">
        <f>IF(SER_hh_fech_in!D7=0,0,SER_hh_fech_in!D7/SER_summary!D$27)</f>
        <v>56.947251907085317</v>
      </c>
      <c r="E7" s="132">
        <f>IF(SER_hh_fech_in!E7=0,0,SER_hh_fech_in!E7/SER_summary!E$27)</f>
        <v>0</v>
      </c>
      <c r="F7" s="132">
        <f>IF(SER_hh_fech_in!F7=0,0,SER_hh_fech_in!F7/SER_summary!F$27)</f>
        <v>61.822409279355369</v>
      </c>
      <c r="G7" s="132">
        <f>IF(SER_hh_fech_in!G7=0,0,SER_hh_fech_in!G7/SER_summary!G$27)</f>
        <v>61.61774132063659</v>
      </c>
      <c r="H7" s="132">
        <f>IF(SER_hh_fech_in!H7=0,0,SER_hh_fech_in!H7/SER_summary!H$27)</f>
        <v>65.648802263077201</v>
      </c>
      <c r="I7" s="132">
        <f>IF(SER_hh_fech_in!I7=0,0,SER_hh_fech_in!I7/SER_summary!I$27)</f>
        <v>43.494607306947685</v>
      </c>
      <c r="J7" s="132">
        <f>IF(SER_hh_fech_in!J7=0,0,SER_hh_fech_in!J7/SER_summary!J$27)</f>
        <v>57.175810722276225</v>
      </c>
      <c r="K7" s="132">
        <f>IF(SER_hh_fech_in!K7=0,0,SER_hh_fech_in!K7/SER_summary!K$27)</f>
        <v>51.08406923942929</v>
      </c>
      <c r="L7" s="132">
        <f>IF(SER_hh_fech_in!L7=0,0,SER_hh_fech_in!L7/SER_summary!L$27)</f>
        <v>50.539136061490829</v>
      </c>
      <c r="M7" s="132">
        <f>IF(SER_hh_fech_in!M7=0,0,SER_hh_fech_in!M7/SER_summary!M$27)</f>
        <v>41.927431194687124</v>
      </c>
      <c r="N7" s="132">
        <f>IF(SER_hh_fech_in!N7=0,0,SER_hh_fech_in!N7/SER_summary!N$27)</f>
        <v>41.625023900204063</v>
      </c>
      <c r="O7" s="132">
        <f>IF(SER_hh_fech_in!O7=0,0,SER_hh_fech_in!O7/SER_summary!O$27)</f>
        <v>41.048168997239557</v>
      </c>
      <c r="P7" s="132">
        <f>IF(SER_hh_fech_in!P7=0,0,SER_hh_fech_in!P7/SER_summary!P$27)</f>
        <v>33.593478947764538</v>
      </c>
      <c r="Q7" s="132">
        <f>IF(SER_hh_fech_in!Q7=0,0,SER_hh_fech_in!Q7/SER_summary!Q$27)</f>
        <v>31.041427122036961</v>
      </c>
      <c r="R7" s="132">
        <f>IF(SER_hh_fech_in!R7=0,0,SER_hh_fech_in!R7/SER_summary!R$27)</f>
        <v>29.990631011959401</v>
      </c>
      <c r="S7" s="132">
        <f>IF(SER_hh_fech_in!S7=0,0,SER_hh_fech_in!S7/SER_summary!S$27)</f>
        <v>0</v>
      </c>
      <c r="T7" s="132">
        <f>IF(SER_hh_fech_in!T7=0,0,SER_hh_fech_in!T7/SER_summary!T$27)</f>
        <v>0</v>
      </c>
      <c r="U7" s="132">
        <f>IF(SER_hh_fech_in!U7=0,0,SER_hh_fech_in!U7/SER_summary!U$27)</f>
        <v>0</v>
      </c>
      <c r="V7" s="132">
        <f>IF(SER_hh_fech_in!V7=0,0,SER_hh_fech_in!V7/SER_summary!V$27)</f>
        <v>0</v>
      </c>
      <c r="W7" s="132">
        <f>IF(SER_hh_fech_in!W7=0,0,SER_hh_fech_in!W7/SER_summary!W$27)</f>
        <v>25.908282582295186</v>
      </c>
      <c r="X7" s="132">
        <f>IF(SER_hh_fech_in!X7=0,0,SER_hh_fech_in!X7/SER_summary!X$27)</f>
        <v>0</v>
      </c>
      <c r="Y7" s="132">
        <f>IF(SER_hh_fech_in!Y7=0,0,SER_hh_fech_in!Y7/SER_summary!Y$27)</f>
        <v>0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19.831416698500618</v>
      </c>
      <c r="D8" s="132">
        <f>IF(SER_hh_fech_in!D8=0,0,SER_hh_fech_in!D8/SER_summary!D$27)</f>
        <v>21.073278083786136</v>
      </c>
      <c r="E8" s="132">
        <f>IF(SER_hh_fech_in!E8=0,0,SER_hh_fech_in!E8/SER_summary!E$27)</f>
        <v>22.52048769249059</v>
      </c>
      <c r="F8" s="132">
        <f>IF(SER_hh_fech_in!F8=0,0,SER_hh_fech_in!F8/SER_summary!F$27)</f>
        <v>21.305822054231857</v>
      </c>
      <c r="G8" s="132">
        <f>IF(SER_hh_fech_in!G8=0,0,SER_hh_fech_in!G8/SER_summary!G$27)</f>
        <v>17.295240914767049</v>
      </c>
      <c r="H8" s="132">
        <f>IF(SER_hh_fech_in!H8=0,0,SER_hh_fech_in!H8/SER_summary!H$27)</f>
        <v>18.04849990828135</v>
      </c>
      <c r="I8" s="132">
        <f>IF(SER_hh_fech_in!I8=0,0,SER_hh_fech_in!I8/SER_summary!I$27)</f>
        <v>19.149849835036999</v>
      </c>
      <c r="J8" s="132">
        <f>IF(SER_hh_fech_in!J8=0,0,SER_hh_fech_in!J8/SER_summary!J$27)</f>
        <v>18.945549149326396</v>
      </c>
      <c r="K8" s="132">
        <f>IF(SER_hh_fech_in!K8=0,0,SER_hh_fech_in!K8/SER_summary!K$27)</f>
        <v>15.883906712324283</v>
      </c>
      <c r="L8" s="132">
        <f>IF(SER_hh_fech_in!L8=0,0,SER_hh_fech_in!L8/SER_summary!L$27)</f>
        <v>13.402548009873476</v>
      </c>
      <c r="M8" s="132">
        <f>IF(SER_hh_fech_in!M8=0,0,SER_hh_fech_in!M8/SER_summary!M$27)</f>
        <v>13.096622351953197</v>
      </c>
      <c r="N8" s="132">
        <f>IF(SER_hh_fech_in!N8=0,0,SER_hh_fech_in!N8/SER_summary!N$27)</f>
        <v>12.581305262860077</v>
      </c>
      <c r="O8" s="132">
        <f>IF(SER_hh_fech_in!O8=0,0,SER_hh_fech_in!O8/SER_summary!O$27)</f>
        <v>12.05209667617644</v>
      </c>
      <c r="P8" s="132">
        <f>IF(SER_hh_fech_in!P8=0,0,SER_hh_fech_in!P8/SER_summary!P$27)</f>
        <v>10.352231431337245</v>
      </c>
      <c r="Q8" s="132">
        <f>IF(SER_hh_fech_in!Q8=0,0,SER_hh_fech_in!Q8/SER_summary!Q$27)</f>
        <v>10.048549510024953</v>
      </c>
      <c r="R8" s="132">
        <f>IF(SER_hh_fech_in!R8=0,0,SER_hh_fech_in!R8/SER_summary!R$27)</f>
        <v>8.9276936492651124</v>
      </c>
      <c r="S8" s="132">
        <f>IF(SER_hh_fech_in!S8=0,0,SER_hh_fech_in!S8/SER_summary!S$27)</f>
        <v>7.8777506381037936</v>
      </c>
      <c r="T8" s="132">
        <f>IF(SER_hh_fech_in!T8=0,0,SER_hh_fech_in!T8/SER_summary!T$27)</f>
        <v>6.8136760974411024</v>
      </c>
      <c r="U8" s="132">
        <f>IF(SER_hh_fech_in!U8=0,0,SER_hh_fech_in!U8/SER_summary!U$27)</f>
        <v>6.364266981041121</v>
      </c>
      <c r="V8" s="132">
        <f>IF(SER_hh_fech_in!V8=0,0,SER_hh_fech_in!V8/SER_summary!V$27)</f>
        <v>5.3460613876458263</v>
      </c>
      <c r="W8" s="132">
        <f>IF(SER_hh_fech_in!W8=0,0,SER_hh_fech_in!W8/SER_summary!W$27)</f>
        <v>4.3598748274929608</v>
      </c>
      <c r="X8" s="132">
        <f>IF(SER_hh_fech_in!X8=0,0,SER_hh_fech_in!X8/SER_summary!X$27)</f>
        <v>3.3703799538468604</v>
      </c>
      <c r="Y8" s="132">
        <f>IF(SER_hh_fech_in!Y8=0,0,SER_hh_fech_in!Y8/SER_summary!Y$27)</f>
        <v>3.2961635311932489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48.484538417183835</v>
      </c>
      <c r="D9" s="132">
        <f>IF(SER_hh_fech_in!D9=0,0,SER_hh_fech_in!D9/SER_summary!D$27)</f>
        <v>46.895526546036834</v>
      </c>
      <c r="E9" s="132">
        <f>IF(SER_hh_fech_in!E9=0,0,SER_hh_fech_in!E9/SER_summary!E$27)</f>
        <v>0</v>
      </c>
      <c r="F9" s="132">
        <f>IF(SER_hh_fech_in!F9=0,0,SER_hh_fech_in!F9/SER_summary!F$27)</f>
        <v>0</v>
      </c>
      <c r="G9" s="132">
        <f>IF(SER_hh_fech_in!G9=0,0,SER_hh_fech_in!G9/SER_summary!G$27)</f>
        <v>0</v>
      </c>
      <c r="H9" s="132">
        <f>IF(SER_hh_fech_in!H9=0,0,SER_hh_fech_in!H9/SER_summary!H$27)</f>
        <v>63.712163402984508</v>
      </c>
      <c r="I9" s="132">
        <f>IF(SER_hh_fech_in!I9=0,0,SER_hh_fech_in!I9/SER_summary!I$27)</f>
        <v>45.838613933285316</v>
      </c>
      <c r="J9" s="132">
        <f>IF(SER_hh_fech_in!J9=0,0,SER_hh_fech_in!J9/SER_summary!J$27)</f>
        <v>49.581980648066391</v>
      </c>
      <c r="K9" s="132">
        <f>IF(SER_hh_fech_in!K9=0,0,SER_hh_fech_in!K9/SER_summary!K$27)</f>
        <v>45.771115691337108</v>
      </c>
      <c r="L9" s="132">
        <f>IF(SER_hh_fech_in!L9=0,0,SER_hh_fech_in!L9/SER_summary!L$27)</f>
        <v>47.358113982348272</v>
      </c>
      <c r="M9" s="132">
        <f>IF(SER_hh_fech_in!M9=0,0,SER_hh_fech_in!M9/SER_summary!M$27)</f>
        <v>38.022197174437977</v>
      </c>
      <c r="N9" s="132">
        <f>IF(SER_hh_fech_in!N9=0,0,SER_hh_fech_in!N9/SER_summary!N$27)</f>
        <v>36.457222278629274</v>
      </c>
      <c r="O9" s="132">
        <f>IF(SER_hh_fech_in!O9=0,0,SER_hh_fech_in!O9/SER_summary!O$27)</f>
        <v>40.995924549895499</v>
      </c>
      <c r="P9" s="132">
        <f>IF(SER_hh_fech_in!P9=0,0,SER_hh_fech_in!P9/SER_summary!P$27)</f>
        <v>28.482822698497134</v>
      </c>
      <c r="Q9" s="132">
        <f>IF(SER_hh_fech_in!Q9=0,0,SER_hh_fech_in!Q9/SER_summary!Q$27)</f>
        <v>28.872568988578468</v>
      </c>
      <c r="R9" s="132">
        <f>IF(SER_hh_fech_in!R9=0,0,SER_hh_fech_in!R9/SER_summary!R$27)</f>
        <v>26.54458176159542</v>
      </c>
      <c r="S9" s="132">
        <f>IF(SER_hh_fech_in!S9=0,0,SER_hh_fech_in!S9/SER_summary!S$27)</f>
        <v>23.904536178585488</v>
      </c>
      <c r="T9" s="132">
        <f>IF(SER_hh_fech_in!T9=0,0,SER_hh_fech_in!T9/SER_summary!T$27)</f>
        <v>21.727271887432924</v>
      </c>
      <c r="U9" s="132">
        <f>IF(SER_hh_fech_in!U9=0,0,SER_hh_fech_in!U9/SER_summary!U$27)</f>
        <v>16.400188204626144</v>
      </c>
      <c r="V9" s="132">
        <f>IF(SER_hh_fech_in!V9=0,0,SER_hh_fech_in!V9/SER_summary!V$27)</f>
        <v>17.178960367585777</v>
      </c>
      <c r="W9" s="132">
        <f>IF(SER_hh_fech_in!W9=0,0,SER_hh_fech_in!W9/SER_summary!W$27)</f>
        <v>16.559898750186331</v>
      </c>
      <c r="X9" s="132">
        <f>IF(SER_hh_fech_in!X9=0,0,SER_hh_fech_in!X9/SER_summary!X$27)</f>
        <v>10.142309449729932</v>
      </c>
      <c r="Y9" s="132">
        <f>IF(SER_hh_fech_in!Y9=0,0,SER_hh_fech_in!Y9/SER_summary!Y$27)</f>
        <v>9.1228281924441976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0</v>
      </c>
      <c r="D10" s="132">
        <f>IF(SER_hh_fech_in!D10=0,0,SER_hh_fech_in!D10/SER_summary!D$27)</f>
        <v>0</v>
      </c>
      <c r="E10" s="132">
        <f>IF(SER_hh_fech_in!E10=0,0,SER_hh_fech_in!E10/SER_summary!E$27)</f>
        <v>66.275919998899283</v>
      </c>
      <c r="F10" s="132">
        <f>IF(SER_hh_fech_in!F10=0,0,SER_hh_fech_in!F10/SER_summary!F$27)</f>
        <v>62.481867404275491</v>
      </c>
      <c r="G10" s="132">
        <f>IF(SER_hh_fech_in!G10=0,0,SER_hh_fech_in!G10/SER_summary!G$27)</f>
        <v>49.925723658871703</v>
      </c>
      <c r="H10" s="132">
        <f>IF(SER_hh_fech_in!H10=0,0,SER_hh_fech_in!H10/SER_summary!H$27)</f>
        <v>47.571689196829013</v>
      </c>
      <c r="I10" s="132">
        <f>IF(SER_hh_fech_in!I10=0,0,SER_hh_fech_in!I10/SER_summary!I$27)</f>
        <v>39.365816636051079</v>
      </c>
      <c r="J10" s="132">
        <f>IF(SER_hh_fech_in!J10=0,0,SER_hh_fech_in!J10/SER_summary!J$27)</f>
        <v>45.490153948866499</v>
      </c>
      <c r="K10" s="132">
        <f>IF(SER_hh_fech_in!K10=0,0,SER_hh_fech_in!K10/SER_summary!K$27)</f>
        <v>40.305287456295837</v>
      </c>
      <c r="L10" s="132">
        <f>IF(SER_hh_fech_in!L10=0,0,SER_hh_fech_in!L10/SER_summary!L$27)</f>
        <v>46.799139706829038</v>
      </c>
      <c r="M10" s="132">
        <f>IF(SER_hh_fech_in!M10=0,0,SER_hh_fech_in!M10/SER_summary!M$27)</f>
        <v>32.09537866473795</v>
      </c>
      <c r="N10" s="132">
        <f>IF(SER_hh_fech_in!N10=0,0,SER_hh_fech_in!N10/SER_summary!N$27)</f>
        <v>33.979554009038885</v>
      </c>
      <c r="O10" s="132">
        <f>IF(SER_hh_fech_in!O10=0,0,SER_hh_fech_in!O10/SER_summary!O$27)</f>
        <v>35.283516434713619</v>
      </c>
      <c r="P10" s="132">
        <f>IF(SER_hh_fech_in!P10=0,0,SER_hh_fech_in!P10/SER_summary!P$27)</f>
        <v>26.762525747853676</v>
      </c>
      <c r="Q10" s="132">
        <f>IF(SER_hh_fech_in!Q10=0,0,SER_hh_fech_in!Q10/SER_summary!Q$27)</f>
        <v>28.940231050036189</v>
      </c>
      <c r="R10" s="132">
        <f>IF(SER_hh_fech_in!R10=0,0,SER_hh_fech_in!R10/SER_summary!R$27)</f>
        <v>25.457951973482533</v>
      </c>
      <c r="S10" s="132">
        <f>IF(SER_hh_fech_in!S10=0,0,SER_hh_fech_in!S10/SER_summary!S$27)</f>
        <v>22.937759656068764</v>
      </c>
      <c r="T10" s="132">
        <f>IF(SER_hh_fech_in!T10=0,0,SER_hh_fech_in!T10/SER_summary!T$27)</f>
        <v>21.378569281866042</v>
      </c>
      <c r="U10" s="132">
        <f>IF(SER_hh_fech_in!U10=0,0,SER_hh_fech_in!U10/SER_summary!U$27)</f>
        <v>19.384089166201559</v>
      </c>
      <c r="V10" s="132">
        <f>IF(SER_hh_fech_in!V10=0,0,SER_hh_fech_in!V10/SER_summary!V$27)</f>
        <v>16.411973722820552</v>
      </c>
      <c r="W10" s="132">
        <f>IF(SER_hh_fech_in!W10=0,0,SER_hh_fech_in!W10/SER_summary!W$27)</f>
        <v>15.08141415895262</v>
      </c>
      <c r="X10" s="132">
        <f>IF(SER_hh_fech_in!X10=0,0,SER_hh_fech_in!X10/SER_summary!X$27)</f>
        <v>10.087031198456623</v>
      </c>
      <c r="Y10" s="132">
        <f>IF(SER_hh_fech_in!Y10=0,0,SER_hh_fech_in!Y10/SER_summary!Y$27)</f>
        <v>9.8553384444490035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64.902185746347342</v>
      </c>
      <c r="F11" s="132">
        <f>IF(SER_hh_fech_in!F11=0,0,SER_hh_fech_in!F11/SER_summary!F$27)</f>
        <v>46.786509364022614</v>
      </c>
      <c r="G11" s="132">
        <f>IF(SER_hh_fech_in!G11=0,0,SER_hh_fech_in!G11/SER_summary!G$27)</f>
        <v>42.785201636943803</v>
      </c>
      <c r="H11" s="132">
        <f>IF(SER_hh_fech_in!H11=0,0,SER_hh_fech_in!H11/SER_summary!H$27)</f>
        <v>39.753100567334108</v>
      </c>
      <c r="I11" s="132">
        <f>IF(SER_hh_fech_in!I11=0,0,SER_hh_fech_in!I11/SER_summary!I$27)</f>
        <v>36.296073074163616</v>
      </c>
      <c r="J11" s="132">
        <f>IF(SER_hh_fech_in!J11=0,0,SER_hh_fech_in!J11/SER_summary!J$27)</f>
        <v>0</v>
      </c>
      <c r="K11" s="132">
        <f>IF(SER_hh_fech_in!K11=0,0,SER_hh_fech_in!K11/SER_summary!K$27)</f>
        <v>34.805375124246154</v>
      </c>
      <c r="L11" s="132">
        <f>IF(SER_hh_fech_in!L11=0,0,SER_hh_fech_in!L11/SER_summary!L$27)</f>
        <v>32.471444058944833</v>
      </c>
      <c r="M11" s="132">
        <f>IF(SER_hh_fech_in!M11=0,0,SER_hh_fech_in!M11/SER_summary!M$27)</f>
        <v>31.560319600810981</v>
      </c>
      <c r="N11" s="132">
        <f>IF(SER_hh_fech_in!N11=0,0,SER_hh_fech_in!N11/SER_summary!N$27)</f>
        <v>28.851676080403337</v>
      </c>
      <c r="O11" s="132">
        <f>IF(SER_hh_fech_in!O11=0,0,SER_hh_fech_in!O11/SER_summary!O$27)</f>
        <v>28.580173343200663</v>
      </c>
      <c r="P11" s="132">
        <f>IF(SER_hh_fech_in!P11=0,0,SER_hh_fech_in!P11/SER_summary!P$27)</f>
        <v>30.83275193293937</v>
      </c>
      <c r="Q11" s="132">
        <f>IF(SER_hh_fech_in!Q11=0,0,SER_hh_fech_in!Q11/SER_summary!Q$27)</f>
        <v>22.204751410258627</v>
      </c>
      <c r="R11" s="132">
        <f>IF(SER_hh_fech_in!R11=0,0,SER_hh_fech_in!R11/SER_summary!R$27)</f>
        <v>22.04993911438034</v>
      </c>
      <c r="S11" s="132">
        <f>IF(SER_hh_fech_in!S11=0,0,SER_hh_fech_in!S11/SER_summary!S$27)</f>
        <v>22.433918344014717</v>
      </c>
      <c r="T11" s="132">
        <f>IF(SER_hh_fech_in!T11=0,0,SER_hh_fech_in!T11/SER_summary!T$27)</f>
        <v>20.685208194115294</v>
      </c>
      <c r="U11" s="132">
        <f>IF(SER_hh_fech_in!U11=0,0,SER_hh_fech_in!U11/SER_summary!U$27)</f>
        <v>16.728682568025754</v>
      </c>
      <c r="V11" s="132">
        <f>IF(SER_hh_fech_in!V11=0,0,SER_hh_fech_in!V11/SER_summary!V$27)</f>
        <v>14.483658357919511</v>
      </c>
      <c r="W11" s="132">
        <f>IF(SER_hh_fech_in!W11=0,0,SER_hh_fech_in!W11/SER_summary!W$27)</f>
        <v>12.191004495471338</v>
      </c>
      <c r="X11" s="132">
        <f>IF(SER_hh_fech_in!X11=0,0,SER_hh_fech_in!X11/SER_summary!X$27)</f>
        <v>9.4168582750563647</v>
      </c>
      <c r="Y11" s="132">
        <f>IF(SER_hh_fech_in!Y11=0,0,SER_hh_fech_in!Y11/SER_summary!Y$27)</f>
        <v>9.0171357776616805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0</v>
      </c>
      <c r="D12" s="132">
        <f>IF(SER_hh_fech_in!D12=0,0,SER_hh_fech_in!D12/SER_summary!D$27)</f>
        <v>0</v>
      </c>
      <c r="E12" s="132">
        <f>IF(SER_hh_fech_in!E12=0,0,SER_hh_fech_in!E12/SER_summary!E$27)</f>
        <v>63.769427475113567</v>
      </c>
      <c r="F12" s="132">
        <f>IF(SER_hh_fech_in!F12=0,0,SER_hh_fech_in!F12/SER_summary!F$27)</f>
        <v>52.613035430899409</v>
      </c>
      <c r="G12" s="132">
        <f>IF(SER_hh_fech_in!G12=0,0,SER_hh_fech_in!G12/SER_summary!G$27)</f>
        <v>41.504268251268165</v>
      </c>
      <c r="H12" s="132">
        <f>IF(SER_hh_fech_in!H12=0,0,SER_hh_fech_in!H12/SER_summary!H$27)</f>
        <v>0</v>
      </c>
      <c r="I12" s="132">
        <f>IF(SER_hh_fech_in!I12=0,0,SER_hh_fech_in!I12/SER_summary!I$27)</f>
        <v>34.200624191564685</v>
      </c>
      <c r="J12" s="132">
        <f>IF(SER_hh_fech_in!J12=0,0,SER_hh_fech_in!J12/SER_summary!J$27)</f>
        <v>36.219580706163811</v>
      </c>
      <c r="K12" s="132">
        <f>IF(SER_hh_fech_in!K12=0,0,SER_hh_fech_in!K12/SER_summary!K$27)</f>
        <v>33.95271893662256</v>
      </c>
      <c r="L12" s="132">
        <f>IF(SER_hh_fech_in!L12=0,0,SER_hh_fech_in!L12/SER_summary!L$27)</f>
        <v>43.939435905820254</v>
      </c>
      <c r="M12" s="132">
        <f>IF(SER_hh_fech_in!M12=0,0,SER_hh_fech_in!M12/SER_summary!M$27)</f>
        <v>0</v>
      </c>
      <c r="N12" s="132">
        <f>IF(SER_hh_fech_in!N12=0,0,SER_hh_fech_in!N12/SER_summary!N$27)</f>
        <v>0</v>
      </c>
      <c r="O12" s="132">
        <f>IF(SER_hh_fech_in!O12=0,0,SER_hh_fech_in!O12/SER_summary!O$27)</f>
        <v>0</v>
      </c>
      <c r="P12" s="132">
        <f>IF(SER_hh_fech_in!P12=0,0,SER_hh_fech_in!P12/SER_summary!P$27)</f>
        <v>0</v>
      </c>
      <c r="Q12" s="132">
        <f>IF(SER_hh_fech_in!Q12=0,0,SER_hh_fech_in!Q12/SER_summary!Q$27)</f>
        <v>0</v>
      </c>
      <c r="R12" s="132">
        <f>IF(SER_hh_fech_in!R12=0,0,SER_hh_fech_in!R12/SER_summary!R$27)</f>
        <v>0</v>
      </c>
      <c r="S12" s="132">
        <f>IF(SER_hh_fech_in!S12=0,0,SER_hh_fech_in!S12/SER_summary!S$27)</f>
        <v>21.336053776000348</v>
      </c>
      <c r="T12" s="132">
        <f>IF(SER_hh_fech_in!T12=0,0,SER_hh_fech_in!T12/SER_summary!T$27)</f>
        <v>20.602026845350498</v>
      </c>
      <c r="U12" s="132">
        <f>IF(SER_hh_fech_in!U12=0,0,SER_hh_fech_in!U12/SER_summary!U$27)</f>
        <v>18.305034653039399</v>
      </c>
      <c r="V12" s="132">
        <f>IF(SER_hh_fech_in!V12=0,0,SER_hh_fech_in!V12/SER_summary!V$27)</f>
        <v>13.081633618467515</v>
      </c>
      <c r="W12" s="132">
        <f>IF(SER_hh_fech_in!W12=0,0,SER_hh_fech_in!W12/SER_summary!W$27)</f>
        <v>16.719672306698225</v>
      </c>
      <c r="X12" s="132">
        <f>IF(SER_hh_fech_in!X12=0,0,SER_hh_fech_in!X12/SER_summary!X$27)</f>
        <v>9.8096364634103939</v>
      </c>
      <c r="Y12" s="132">
        <f>IF(SER_hh_fech_in!Y12=0,0,SER_hh_fech_in!Y12/SER_summary!Y$27)</f>
        <v>9.0149961200678668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9.6821622824284841</v>
      </c>
      <c r="D13" s="132">
        <f>IF(SER_hh_fech_in!D13=0,0,SER_hh_fech_in!D13/SER_summary!D$27)</f>
        <v>14.873514941739895</v>
      </c>
      <c r="E13" s="132">
        <f>IF(SER_hh_fech_in!E13=0,0,SER_hh_fech_in!E13/SER_summary!E$27)</f>
        <v>20.299826946617387</v>
      </c>
      <c r="F13" s="132">
        <f>IF(SER_hh_fech_in!F13=0,0,SER_hh_fech_in!F13/SER_summary!F$27)</f>
        <v>16.459365250784483</v>
      </c>
      <c r="G13" s="132">
        <f>IF(SER_hh_fech_in!G13=0,0,SER_hh_fech_in!G13/SER_summary!G$27)</f>
        <v>14.123218582291301</v>
      </c>
      <c r="H13" s="132">
        <f>IF(SER_hh_fech_in!H13=0,0,SER_hh_fech_in!H13/SER_summary!H$27)</f>
        <v>13.5686255998079</v>
      </c>
      <c r="I13" s="132">
        <f>IF(SER_hh_fech_in!I13=0,0,SER_hh_fech_in!I13/SER_summary!I$27)</f>
        <v>12.37248815012541</v>
      </c>
      <c r="J13" s="132">
        <f>IF(SER_hh_fech_in!J13=0,0,SER_hh_fech_in!J13/SER_summary!J$27)</f>
        <v>11.817488853368609</v>
      </c>
      <c r="K13" s="132">
        <f>IF(SER_hh_fech_in!K13=0,0,SER_hh_fech_in!K13/SER_summary!K$27)</f>
        <v>11.462024465285536</v>
      </c>
      <c r="L13" s="132">
        <f>IF(SER_hh_fech_in!L13=0,0,SER_hh_fech_in!L13/SER_summary!L$27)</f>
        <v>11.460883023122332</v>
      </c>
      <c r="M13" s="132">
        <f>IF(SER_hh_fech_in!M13=0,0,SER_hh_fech_in!M13/SER_summary!M$27)</f>
        <v>9.9839456860421798</v>
      </c>
      <c r="N13" s="132">
        <f>IF(SER_hh_fech_in!N13=0,0,SER_hh_fech_in!N13/SER_summary!N$27)</f>
        <v>9.2209835037627013</v>
      </c>
      <c r="O13" s="132">
        <f>IF(SER_hh_fech_in!O13=0,0,SER_hh_fech_in!O13/SER_summary!O$27)</f>
        <v>8.4297692702880767</v>
      </c>
      <c r="P13" s="132">
        <f>IF(SER_hh_fech_in!P13=0,0,SER_hh_fech_in!P13/SER_summary!P$27)</f>
        <v>7.4919030845508061</v>
      </c>
      <c r="Q13" s="132">
        <f>IF(SER_hh_fech_in!Q13=0,0,SER_hh_fech_in!Q13/SER_summary!Q$27)</f>
        <v>6.8976497463478426</v>
      </c>
      <c r="R13" s="132">
        <f>IF(SER_hh_fech_in!R13=0,0,SER_hh_fech_in!R13/SER_summary!R$27)</f>
        <v>6.2479036438309485</v>
      </c>
      <c r="S13" s="132">
        <f>IF(SER_hh_fech_in!S13=0,0,SER_hh_fech_in!S13/SER_summary!S$27)</f>
        <v>5.6464917081809256</v>
      </c>
      <c r="T13" s="132">
        <f>IF(SER_hh_fech_in!T13=0,0,SER_hh_fech_in!T13/SER_summary!T$27)</f>
        <v>4.911643949485045</v>
      </c>
      <c r="U13" s="132">
        <f>IF(SER_hh_fech_in!U13=0,0,SER_hh_fech_in!U13/SER_summary!U$27)</f>
        <v>4.4753485508624262</v>
      </c>
      <c r="V13" s="132">
        <f>IF(SER_hh_fech_in!V13=0,0,SER_hh_fech_in!V13/SER_summary!V$27)</f>
        <v>3.8369610323334533</v>
      </c>
      <c r="W13" s="132">
        <f>IF(SER_hh_fech_in!W13=0,0,SER_hh_fech_in!W13/SER_summary!W$27)</f>
        <v>3.1261340392787749</v>
      </c>
      <c r="X13" s="132">
        <f>IF(SER_hh_fech_in!X13=0,0,SER_hh_fech_in!X13/SER_summary!X$27)</f>
        <v>2.4162219933669951</v>
      </c>
      <c r="Y13" s="132">
        <f>IF(SER_hh_fech_in!Y13=0,0,SER_hh_fech_in!Y13/SER_summary!Y$27)</f>
        <v>2.384457219321729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49.204299990885275</v>
      </c>
      <c r="E14" s="65">
        <f>IF(SER_hh_fech_in!E14=0,0,SER_hh_fech_in!E14/SER_summary!E$27)</f>
        <v>59.444135292427354</v>
      </c>
      <c r="F14" s="65">
        <f>IF(SER_hh_fech_in!F14=0,0,SER_hh_fech_in!F14/SER_summary!F$27)</f>
        <v>49.475179811290694</v>
      </c>
      <c r="G14" s="65">
        <f>IF(SER_hh_fech_in!G14=0,0,SER_hh_fech_in!G14/SER_summary!G$27)</f>
        <v>0</v>
      </c>
      <c r="H14" s="65">
        <f>IF(SER_hh_fech_in!H14=0,0,SER_hh_fech_in!H14/SER_summary!H$27)</f>
        <v>0</v>
      </c>
      <c r="I14" s="65">
        <f>IF(SER_hh_fech_in!I14=0,0,SER_hh_fech_in!I14/SER_summary!I$27)</f>
        <v>0</v>
      </c>
      <c r="J14" s="65">
        <f>IF(SER_hh_fech_in!J14=0,0,SER_hh_fech_in!J14/SER_summary!J$27)</f>
        <v>0</v>
      </c>
      <c r="K14" s="65">
        <f>IF(SER_hh_fech_in!K14=0,0,SER_hh_fech_in!K14/SER_summary!K$27)</f>
        <v>39.032225882253556</v>
      </c>
      <c r="L14" s="65">
        <f>IF(SER_hh_fech_in!L14=0,0,SER_hh_fech_in!L14/SER_summary!L$27)</f>
        <v>44.755581923113212</v>
      </c>
      <c r="M14" s="65">
        <f>IF(SER_hh_fech_in!M14=0,0,SER_hh_fech_in!M14/SER_summary!M$27)</f>
        <v>0</v>
      </c>
      <c r="N14" s="65">
        <f>IF(SER_hh_fech_in!N14=0,0,SER_hh_fech_in!N14/SER_summary!N$27)</f>
        <v>32.750173817719983</v>
      </c>
      <c r="O14" s="65">
        <f>IF(SER_hh_fech_in!O14=0,0,SER_hh_fech_in!O14/SER_summary!O$27)</f>
        <v>37.378141395495014</v>
      </c>
      <c r="P14" s="65">
        <f>IF(SER_hh_fech_in!P14=0,0,SER_hh_fech_in!P14/SER_summary!P$27)</f>
        <v>0</v>
      </c>
      <c r="Q14" s="65">
        <f>IF(SER_hh_fech_in!Q14=0,0,SER_hh_fech_in!Q14/SER_summary!Q$27)</f>
        <v>31.547658524784513</v>
      </c>
      <c r="R14" s="65">
        <f>IF(SER_hh_fech_in!R14=0,0,SER_hh_fech_in!R14/SER_summary!R$27)</f>
        <v>33.267369698496317</v>
      </c>
      <c r="S14" s="65">
        <f>IF(SER_hh_fech_in!S14=0,0,SER_hh_fech_in!S14/SER_summary!S$27)</f>
        <v>21.115612620848694</v>
      </c>
      <c r="T14" s="65">
        <f>IF(SER_hh_fech_in!T14=0,0,SER_hh_fech_in!T14/SER_summary!T$27)</f>
        <v>15.640072087137671</v>
      </c>
      <c r="U14" s="65">
        <f>IF(SER_hh_fech_in!U14=0,0,SER_hh_fech_in!U14/SER_summary!U$27)</f>
        <v>17.925689256838957</v>
      </c>
      <c r="V14" s="65">
        <f>IF(SER_hh_fech_in!V14=0,0,SER_hh_fech_in!V14/SER_summary!V$27)</f>
        <v>17.681245505178467</v>
      </c>
      <c r="W14" s="65">
        <f>IF(SER_hh_fech_in!W14=0,0,SER_hh_fech_in!W14/SER_summary!W$27)</f>
        <v>0</v>
      </c>
      <c r="X14" s="65">
        <f>IF(SER_hh_fech_in!X14=0,0,SER_hh_fech_in!X14/SER_summary!X$27)</f>
        <v>0</v>
      </c>
      <c r="Y14" s="65">
        <f>IF(SER_hh_fech_in!Y14=0,0,SER_hh_fech_in!Y14/SER_summary!Y$27)</f>
        <v>0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0.58086765923114991</v>
      </c>
      <c r="D15" s="134">
        <f>IF(SER_hh_fech_in!D15=0,0,SER_hh_fech_in!D15/SER_summary!D$27)</f>
        <v>0.58007648279881963</v>
      </c>
      <c r="E15" s="134">
        <f>IF(SER_hh_fech_in!E15=0,0,SER_hh_fech_in!E15/SER_summary!E$27)</f>
        <v>0.29250680768140891</v>
      </c>
      <c r="F15" s="134">
        <f>IF(SER_hh_fech_in!F15=0,0,SER_hh_fech_in!F15/SER_summary!F$27)</f>
        <v>0.30319837578922415</v>
      </c>
      <c r="G15" s="134">
        <f>IF(SER_hh_fech_in!G15=0,0,SER_hh_fech_in!G15/SER_summary!G$27)</f>
        <v>0.35891705773189275</v>
      </c>
      <c r="H15" s="134">
        <f>IF(SER_hh_fech_in!H15=0,0,SER_hh_fech_in!H15/SER_summary!H$27)</f>
        <v>0.67675335089889677</v>
      </c>
      <c r="I15" s="134">
        <f>IF(SER_hh_fech_in!I15=0,0,SER_hh_fech_in!I15/SER_summary!I$27)</f>
        <v>0.44026646439557338</v>
      </c>
      <c r="J15" s="134">
        <f>IF(SER_hh_fech_in!J15=0,0,SER_hh_fech_in!J15/SER_summary!J$27)</f>
        <v>0.49923402431566993</v>
      </c>
      <c r="K15" s="134">
        <f>IF(SER_hh_fech_in!K15=0,0,SER_hh_fech_in!K15/SER_summary!K$27)</f>
        <v>0.46360968862329816</v>
      </c>
      <c r="L15" s="134">
        <f>IF(SER_hh_fech_in!L15=0,0,SER_hh_fech_in!L15/SER_summary!L$27)</f>
        <v>0.43508131542479961</v>
      </c>
      <c r="M15" s="134">
        <f>IF(SER_hh_fech_in!M15=0,0,SER_hh_fech_in!M15/SER_summary!M$27)</f>
        <v>0.42806169949860695</v>
      </c>
      <c r="N15" s="134">
        <f>IF(SER_hh_fech_in!N15=0,0,SER_hh_fech_in!N15/SER_summary!N$27)</f>
        <v>0.42752929343967455</v>
      </c>
      <c r="O15" s="134">
        <f>IF(SER_hh_fech_in!O15=0,0,SER_hh_fech_in!O15/SER_summary!O$27)</f>
        <v>0.47595973137151926</v>
      </c>
      <c r="P15" s="134">
        <f>IF(SER_hh_fech_in!P15=0,0,SER_hh_fech_in!P15/SER_summary!P$27)</f>
        <v>0.35200911130466878</v>
      </c>
      <c r="Q15" s="134">
        <f>IF(SER_hh_fech_in!Q15=0,0,SER_hh_fech_in!Q15/SER_summary!Q$27)</f>
        <v>0.35237126124579271</v>
      </c>
      <c r="R15" s="134">
        <f>IF(SER_hh_fech_in!R15=0,0,SER_hh_fech_in!R15/SER_summary!R$27)</f>
        <v>0.31903719164689431</v>
      </c>
      <c r="S15" s="134">
        <f>IF(SER_hh_fech_in!S15=0,0,SER_hh_fech_in!S15/SER_summary!S$27)</f>
        <v>0.219899444924499</v>
      </c>
      <c r="T15" s="134">
        <f>IF(SER_hh_fech_in!T15=0,0,SER_hh_fech_in!T15/SER_summary!T$27)</f>
        <v>0.19682234238753127</v>
      </c>
      <c r="U15" s="134">
        <f>IF(SER_hh_fech_in!U15=0,0,SER_hh_fech_in!U15/SER_summary!U$27)</f>
        <v>0.1205801129903193</v>
      </c>
      <c r="V15" s="134">
        <f>IF(SER_hh_fech_in!V15=0,0,SER_hh_fech_in!V15/SER_summary!V$27)</f>
        <v>0.19590272676537554</v>
      </c>
      <c r="W15" s="134">
        <f>IF(SER_hh_fech_in!W15=0,0,SER_hh_fech_in!W15/SER_summary!W$27)</f>
        <v>0.14763583624566406</v>
      </c>
      <c r="X15" s="134">
        <f>IF(SER_hh_fech_in!X15=0,0,SER_hh_fech_in!X15/SER_summary!X$27)</f>
        <v>8.7467666206363565E-2</v>
      </c>
      <c r="Y15" s="134">
        <f>IF(SER_hh_fech_in!Y15=0,0,SER_hh_fech_in!Y15/SER_summary!Y$27)</f>
        <v>8.8954224533004181E-2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11.530744971113196</v>
      </c>
      <c r="D16" s="130">
        <f>IF(SER_hh_fech_in!D16=0,0,SER_hh_fech_in!D16/SER_summary!D$27)</f>
        <v>11.017901525815413</v>
      </c>
      <c r="E16" s="130">
        <f>IF(SER_hh_fech_in!E16=0,0,SER_hh_fech_in!E16/SER_summary!E$27)</f>
        <v>12.703865965081746</v>
      </c>
      <c r="F16" s="130">
        <f>IF(SER_hh_fech_in!F16=0,0,SER_hh_fech_in!F16/SER_summary!F$27)</f>
        <v>9.9046597545455626</v>
      </c>
      <c r="G16" s="130">
        <f>IF(SER_hh_fech_in!G16=0,0,SER_hh_fech_in!G16/SER_summary!G$27)</f>
        <v>9.5267632186667761</v>
      </c>
      <c r="H16" s="130">
        <f>IF(SER_hh_fech_in!H16=0,0,SER_hh_fech_in!H16/SER_summary!H$27)</f>
        <v>10.079527602869554</v>
      </c>
      <c r="I16" s="130">
        <f>IF(SER_hh_fech_in!I16=0,0,SER_hh_fech_in!I16/SER_summary!I$27)</f>
        <v>8.8086006083371178</v>
      </c>
      <c r="J16" s="130">
        <f>IF(SER_hh_fech_in!J16=0,0,SER_hh_fech_in!J16/SER_summary!J$27)</f>
        <v>8.4144866794170028</v>
      </c>
      <c r="K16" s="130">
        <f>IF(SER_hh_fech_in!K16=0,0,SER_hh_fech_in!K16/SER_summary!K$27)</f>
        <v>7.9321236758600806</v>
      </c>
      <c r="L16" s="130">
        <f>IF(SER_hh_fech_in!L16=0,0,SER_hh_fech_in!L16/SER_summary!L$27)</f>
        <v>8.2108170721816798</v>
      </c>
      <c r="M16" s="130">
        <f>IF(SER_hh_fech_in!M16=0,0,SER_hh_fech_in!M16/SER_summary!M$27)</f>
        <v>7.1494205572194902</v>
      </c>
      <c r="N16" s="130">
        <f>IF(SER_hh_fech_in!N16=0,0,SER_hh_fech_in!N16/SER_summary!N$27)</f>
        <v>6.8219562942677987</v>
      </c>
      <c r="O16" s="130">
        <f>IF(SER_hh_fech_in!O16=0,0,SER_hh_fech_in!O16/SER_summary!O$27)</f>
        <v>6.6704203451234498</v>
      </c>
      <c r="P16" s="130">
        <f>IF(SER_hh_fech_in!P16=0,0,SER_hh_fech_in!P16/SER_summary!P$27)</f>
        <v>5.9398627415850456</v>
      </c>
      <c r="Q16" s="130">
        <f>IF(SER_hh_fech_in!Q16=0,0,SER_hh_fech_in!Q16/SER_summary!Q$27)</f>
        <v>6.3570390279440314</v>
      </c>
      <c r="R16" s="130">
        <f>IF(SER_hh_fech_in!R16=0,0,SER_hh_fech_in!R16/SER_summary!R$27)</f>
        <v>5.4473415120911142</v>
      </c>
      <c r="S16" s="130">
        <f>IF(SER_hh_fech_in!S16=0,0,SER_hh_fech_in!S16/SER_summary!S$27)</f>
        <v>5.1936482745989867</v>
      </c>
      <c r="T16" s="130">
        <f>IF(SER_hh_fech_in!T16=0,0,SER_hh_fech_in!T16/SER_summary!T$27)</f>
        <v>6.1417142316142206</v>
      </c>
      <c r="U16" s="130">
        <f>IF(SER_hh_fech_in!U16=0,0,SER_hh_fech_in!U16/SER_summary!U$27)</f>
        <v>5.6175737836605126</v>
      </c>
      <c r="V16" s="130">
        <f>IF(SER_hh_fech_in!V16=0,0,SER_hh_fech_in!V16/SER_summary!V$27)</f>
        <v>4.587440919748758</v>
      </c>
      <c r="W16" s="130">
        <f>IF(SER_hh_fech_in!W16=0,0,SER_hh_fech_in!W16/SER_summary!W$27)</f>
        <v>4.0487065695206725</v>
      </c>
      <c r="X16" s="130">
        <f>IF(SER_hh_fech_in!X16=0,0,SER_hh_fech_in!X16/SER_summary!X$27)</f>
        <v>4.0369718237300019</v>
      </c>
      <c r="Y16" s="130">
        <f>IF(SER_hh_fech_in!Y16=0,0,SER_hh_fech_in!Y16/SER_summary!Y$27)</f>
        <v>3.8988028931921219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23.230005700820826</v>
      </c>
      <c r="D17" s="132">
        <f>IF(SER_hh_fech_in!D17=0,0,SER_hh_fech_in!D17/SER_summary!D$27)</f>
        <v>22.791130725423702</v>
      </c>
      <c r="E17" s="132">
        <f>IF(SER_hh_fech_in!E17=0,0,SER_hh_fech_in!E17/SER_summary!E$27)</f>
        <v>26.955928453374355</v>
      </c>
      <c r="F17" s="132">
        <f>IF(SER_hh_fech_in!F17=0,0,SER_hh_fech_in!F17/SER_summary!F$27)</f>
        <v>21.674948829206254</v>
      </c>
      <c r="G17" s="132">
        <f>IF(SER_hh_fech_in!G17=0,0,SER_hh_fech_in!G17/SER_summary!G$27)</f>
        <v>21.376004149460393</v>
      </c>
      <c r="H17" s="132">
        <f>IF(SER_hh_fech_in!H17=0,0,SER_hh_fech_in!H17/SER_summary!H$27)</f>
        <v>23.085569700464216</v>
      </c>
      <c r="I17" s="132">
        <f>IF(SER_hh_fech_in!I17=0,0,SER_hh_fech_in!I17/SER_summary!I$27)</f>
        <v>20.838847728435962</v>
      </c>
      <c r="J17" s="132">
        <f>IF(SER_hh_fech_in!J17=0,0,SER_hh_fech_in!J17/SER_summary!J$27)</f>
        <v>20.299409537330128</v>
      </c>
      <c r="K17" s="132">
        <f>IF(SER_hh_fech_in!K17=0,0,SER_hh_fech_in!K17/SER_summary!K$27)</f>
        <v>19.463916570204461</v>
      </c>
      <c r="L17" s="132">
        <f>IF(SER_hh_fech_in!L17=0,0,SER_hh_fech_in!L17/SER_summary!L$27)</f>
        <v>20.602568634299796</v>
      </c>
      <c r="M17" s="132">
        <f>IF(SER_hh_fech_in!M17=0,0,SER_hh_fech_in!M17/SER_summary!M$27)</f>
        <v>18.292876608859086</v>
      </c>
      <c r="N17" s="132">
        <f>IF(SER_hh_fech_in!N17=0,0,SER_hh_fech_in!N17/SER_summary!N$27)</f>
        <v>17.911310246683595</v>
      </c>
      <c r="O17" s="132">
        <f>IF(SER_hh_fech_in!O17=0,0,SER_hh_fech_in!O17/SER_summary!O$27)</f>
        <v>18.014997222017531</v>
      </c>
      <c r="P17" s="132">
        <f>IF(SER_hh_fech_in!P17=0,0,SER_hh_fech_in!P17/SER_summary!P$27)</f>
        <v>16.608928543510491</v>
      </c>
      <c r="Q17" s="132">
        <f>IF(SER_hh_fech_in!Q17=0,0,SER_hh_fech_in!Q17/SER_summary!Q$27)</f>
        <v>14.963751796400862</v>
      </c>
      <c r="R17" s="132">
        <f>IF(SER_hh_fech_in!R17=0,0,SER_hh_fech_in!R17/SER_summary!R$27)</f>
        <v>16.004947323777014</v>
      </c>
      <c r="S17" s="132">
        <f>IF(SER_hh_fech_in!S17=0,0,SER_hh_fech_in!S17/SER_summary!S$27)</f>
        <v>13.584714346743713</v>
      </c>
      <c r="T17" s="132">
        <f>IF(SER_hh_fech_in!T17=0,0,SER_hh_fech_in!T17/SER_summary!T$27)</f>
        <v>17.645556069630697</v>
      </c>
      <c r="U17" s="132">
        <f>IF(SER_hh_fech_in!U17=0,0,SER_hh_fech_in!U17/SER_summary!U$27)</f>
        <v>15.90505435791915</v>
      </c>
      <c r="V17" s="132">
        <f>IF(SER_hh_fech_in!V17=0,0,SER_hh_fech_in!V17/SER_summary!V$27)</f>
        <v>10.91865132721624</v>
      </c>
      <c r="W17" s="132">
        <f>IF(SER_hh_fech_in!W17=0,0,SER_hh_fech_in!W17/SER_summary!W$27)</f>
        <v>9.4565268673063709</v>
      </c>
      <c r="X17" s="132">
        <f>IF(SER_hh_fech_in!X17=0,0,SER_hh_fech_in!X17/SER_summary!X$27)</f>
        <v>11.02820630763291</v>
      </c>
      <c r="Y17" s="132">
        <f>IF(SER_hh_fech_in!Y17=0,0,SER_hh_fech_in!Y17/SER_summary!Y$27)</f>
        <v>10.622326852925516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11.527103300861656</v>
      </c>
      <c r="D18" s="132">
        <f>IF(SER_hh_fech_in!D18=0,0,SER_hh_fech_in!D18/SER_summary!D$27)</f>
        <v>11.013950098212778</v>
      </c>
      <c r="E18" s="132">
        <f>IF(SER_hh_fech_in!E18=0,0,SER_hh_fech_in!E18/SER_summary!E$27)</f>
        <v>12.700554334680488</v>
      </c>
      <c r="F18" s="132">
        <f>IF(SER_hh_fech_in!F18=0,0,SER_hh_fech_in!F18/SER_summary!F$27)</f>
        <v>9.8918616344581451</v>
      </c>
      <c r="G18" s="132">
        <f>IF(SER_hh_fech_in!G18=0,0,SER_hh_fech_in!G18/SER_summary!G$27)</f>
        <v>9.5174781410536085</v>
      </c>
      <c r="H18" s="132">
        <f>IF(SER_hh_fech_in!H18=0,0,SER_hh_fech_in!H18/SER_summary!H$27)</f>
        <v>10.074964522393559</v>
      </c>
      <c r="I18" s="132">
        <f>IF(SER_hh_fech_in!I18=0,0,SER_hh_fech_in!I18/SER_summary!I$27)</f>
        <v>8.7878989634960458</v>
      </c>
      <c r="J18" s="132">
        <f>IF(SER_hh_fech_in!J18=0,0,SER_hh_fech_in!J18/SER_summary!J$27)</f>
        <v>8.4000994615864357</v>
      </c>
      <c r="K18" s="132">
        <f>IF(SER_hh_fech_in!K18=0,0,SER_hh_fech_in!K18/SER_summary!K$27)</f>
        <v>7.9116048444333629</v>
      </c>
      <c r="L18" s="132">
        <f>IF(SER_hh_fech_in!L18=0,0,SER_hh_fech_in!L18/SER_summary!L$27)</f>
        <v>8.1903019059212276</v>
      </c>
      <c r="M18" s="132">
        <f>IF(SER_hh_fech_in!M18=0,0,SER_hh_fech_in!M18/SER_summary!M$27)</f>
        <v>7.1276418177515319</v>
      </c>
      <c r="N18" s="132">
        <f>IF(SER_hh_fech_in!N18=0,0,SER_hh_fech_in!N18/SER_summary!N$27)</f>
        <v>6.8036851919434573</v>
      </c>
      <c r="O18" s="132">
        <f>IF(SER_hh_fech_in!O18=0,0,SER_hh_fech_in!O18/SER_summary!O$27)</f>
        <v>6.6425160860276522</v>
      </c>
      <c r="P18" s="132">
        <f>IF(SER_hh_fech_in!P18=0,0,SER_hh_fech_in!P18/SER_summary!P$27)</f>
        <v>5.8756665503515544</v>
      </c>
      <c r="Q18" s="132">
        <f>IF(SER_hh_fech_in!Q18=0,0,SER_hh_fech_in!Q18/SER_summary!Q$27)</f>
        <v>6.2773439413750101</v>
      </c>
      <c r="R18" s="132">
        <f>IF(SER_hh_fech_in!R18=0,0,SER_hh_fech_in!R18/SER_summary!R$27)</f>
        <v>5.4009107928719873</v>
      </c>
      <c r="S18" s="132">
        <f>IF(SER_hh_fech_in!S18=0,0,SER_hh_fech_in!S18/SER_summary!S$27)</f>
        <v>5.1231266551980816</v>
      </c>
      <c r="T18" s="132">
        <f>IF(SER_hh_fech_in!T18=0,0,SER_hh_fech_in!T18/SER_summary!T$27)</f>
        <v>6.0283180402154342</v>
      </c>
      <c r="U18" s="132">
        <f>IF(SER_hh_fech_in!U18=0,0,SER_hh_fech_in!U18/SER_summary!U$27)</f>
        <v>5.5342502403789648</v>
      </c>
      <c r="V18" s="132">
        <f>IF(SER_hh_fech_in!V18=0,0,SER_hh_fech_in!V18/SER_summary!V$27)</f>
        <v>4.5550068115066917</v>
      </c>
      <c r="W18" s="132">
        <f>IF(SER_hh_fech_in!W18=0,0,SER_hh_fech_in!W18/SER_summary!W$27)</f>
        <v>4.0174620780361847</v>
      </c>
      <c r="X18" s="132">
        <f>IF(SER_hh_fech_in!X18=0,0,SER_hh_fech_in!X18/SER_summary!X$27)</f>
        <v>4.0036364626048728</v>
      </c>
      <c r="Y18" s="132">
        <f>IF(SER_hh_fech_in!Y18=0,0,SER_hh_fech_in!Y18/SER_summary!Y$27)</f>
        <v>3.8535329750702845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9.8974517746086192</v>
      </c>
      <c r="D19" s="130">
        <f>IF(SER_hh_fech_in!D19=0,0,SER_hh_fech_in!D19/SER_summary!D$27)</f>
        <v>8.8249172104388691</v>
      </c>
      <c r="E19" s="130">
        <f>IF(SER_hh_fech_in!E19=0,0,SER_hh_fech_in!E19/SER_summary!E$27)</f>
        <v>10.67351735746592</v>
      </c>
      <c r="F19" s="130">
        <f>IF(SER_hh_fech_in!F19=0,0,SER_hh_fech_in!F19/SER_summary!F$27)</f>
        <v>9.4730420027861388</v>
      </c>
      <c r="G19" s="130">
        <f>IF(SER_hh_fech_in!G19=0,0,SER_hh_fech_in!G19/SER_summary!G$27)</f>
        <v>9.5356788167350981</v>
      </c>
      <c r="H19" s="130">
        <f>IF(SER_hh_fech_in!H19=0,0,SER_hh_fech_in!H19/SER_summary!H$27)</f>
        <v>9.9218034243572504</v>
      </c>
      <c r="I19" s="130">
        <f>IF(SER_hh_fech_in!I19=0,0,SER_hh_fech_in!I19/SER_summary!I$27)</f>
        <v>9.5079924377217679</v>
      </c>
      <c r="J19" s="130">
        <f>IF(SER_hh_fech_in!J19=0,0,SER_hh_fech_in!J19/SER_summary!J$27)</f>
        <v>9.3964041392190012</v>
      </c>
      <c r="K19" s="130">
        <f>IF(SER_hh_fech_in!K19=0,0,SER_hh_fech_in!K19/SER_summary!K$27)</f>
        <v>9.0984234385722793</v>
      </c>
      <c r="L19" s="130">
        <f>IF(SER_hh_fech_in!L19=0,0,SER_hh_fech_in!L19/SER_summary!L$27)</f>
        <v>9.2888783552450054</v>
      </c>
      <c r="M19" s="130">
        <f>IF(SER_hh_fech_in!M19=0,0,SER_hh_fech_in!M19/SER_summary!M$27)</f>
        <v>8.6271899965515768</v>
      </c>
      <c r="N19" s="130">
        <f>IF(SER_hh_fech_in!N19=0,0,SER_hh_fech_in!N19/SER_summary!N$27)</f>
        <v>8.8937597196371563</v>
      </c>
      <c r="O19" s="130">
        <f>IF(SER_hh_fech_in!O19=0,0,SER_hh_fech_in!O19/SER_summary!O$27)</f>
        <v>8.6177577712408215</v>
      </c>
      <c r="P19" s="130">
        <f>IF(SER_hh_fech_in!P19=0,0,SER_hh_fech_in!P19/SER_summary!P$27)</f>
        <v>8.5962170277359284</v>
      </c>
      <c r="Q19" s="130">
        <f>IF(SER_hh_fech_in!Q19=0,0,SER_hh_fech_in!Q19/SER_summary!Q$27)</f>
        <v>8.0947728749069618</v>
      </c>
      <c r="R19" s="130">
        <f>IF(SER_hh_fech_in!R19=0,0,SER_hh_fech_in!R19/SER_summary!R$27)</f>
        <v>7.6144926517417186</v>
      </c>
      <c r="S19" s="130">
        <f>IF(SER_hh_fech_in!S19=0,0,SER_hh_fech_in!S19/SER_summary!S$27)</f>
        <v>7.1438552470081005</v>
      </c>
      <c r="T19" s="130">
        <f>IF(SER_hh_fech_in!T19=0,0,SER_hh_fech_in!T19/SER_summary!T$27)</f>
        <v>8.3988470698678661</v>
      </c>
      <c r="U19" s="130">
        <f>IF(SER_hh_fech_in!U19=0,0,SER_hh_fech_in!U19/SER_summary!U$27)</f>
        <v>7.6679050065128491</v>
      </c>
      <c r="V19" s="130">
        <f>IF(SER_hh_fech_in!V19=0,0,SER_hh_fech_in!V19/SER_summary!V$27)</f>
        <v>6.7817844058322603</v>
      </c>
      <c r="W19" s="130">
        <f>IF(SER_hh_fech_in!W19=0,0,SER_hh_fech_in!W19/SER_summary!W$27)</f>
        <v>6.4911245121352126</v>
      </c>
      <c r="X19" s="130">
        <f>IF(SER_hh_fech_in!X19=0,0,SER_hh_fech_in!X19/SER_summary!X$27)</f>
        <v>6.2656372540998255</v>
      </c>
      <c r="Y19" s="130">
        <f>IF(SER_hh_fech_in!Y19=0,0,SER_hh_fech_in!Y19/SER_summary!Y$27)</f>
        <v>6.2017211609278569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9.500411100957459</v>
      </c>
      <c r="D21" s="132">
        <f>IF(SER_hh_fech_in!D21=0,0,SER_hh_fech_in!D21/SER_summary!D$27)</f>
        <v>10.532434308228465</v>
      </c>
      <c r="E21" s="132">
        <f>IF(SER_hh_fech_in!E21=0,0,SER_hh_fech_in!E21/SER_summary!E$27)</f>
        <v>9.5890524580689842</v>
      </c>
      <c r="F21" s="132">
        <f>IF(SER_hh_fech_in!F21=0,0,SER_hh_fech_in!F21/SER_summary!F$27)</f>
        <v>10.652151874452642</v>
      </c>
      <c r="G21" s="132">
        <f>IF(SER_hh_fech_in!G21=0,0,SER_hh_fech_in!G21/SER_summary!G$27)</f>
        <v>10.733598451073384</v>
      </c>
      <c r="H21" s="132">
        <f>IF(SER_hh_fech_in!H21=0,0,SER_hh_fech_in!H21/SER_summary!H$27)</f>
        <v>10.548033439941378</v>
      </c>
      <c r="I21" s="132">
        <f>IF(SER_hh_fech_in!I21=0,0,SER_hh_fech_in!I21/SER_summary!I$27)</f>
        <v>10.446874209624021</v>
      </c>
      <c r="J21" s="132">
        <f>IF(SER_hh_fech_in!J21=0,0,SER_hh_fech_in!J21/SER_summary!J$27)</f>
        <v>10.387692262939771</v>
      </c>
      <c r="K21" s="132">
        <f>IF(SER_hh_fech_in!K21=0,0,SER_hh_fech_in!K21/SER_summary!K$27)</f>
        <v>10.255322334609296</v>
      </c>
      <c r="L21" s="132">
        <f>IF(SER_hh_fech_in!L21=0,0,SER_hh_fech_in!L21/SER_summary!L$27)</f>
        <v>9.9543607548058954</v>
      </c>
      <c r="M21" s="132">
        <f>IF(SER_hh_fech_in!M21=0,0,SER_hh_fech_in!M21/SER_summary!M$27)</f>
        <v>10.044894999656183</v>
      </c>
      <c r="N21" s="132">
        <f>IF(SER_hh_fech_in!N21=0,0,SER_hh_fech_in!N21/SER_summary!N$27)</f>
        <v>9.7548995193677559</v>
      </c>
      <c r="O21" s="132">
        <f>IF(SER_hh_fech_in!O21=0,0,SER_hh_fech_in!O21/SER_summary!O$27)</f>
        <v>8.8882177119721959</v>
      </c>
      <c r="P21" s="132">
        <f>IF(SER_hh_fech_in!P21=0,0,SER_hh_fech_in!P21/SER_summary!P$27)</f>
        <v>8.8491483511128273</v>
      </c>
      <c r="Q21" s="132">
        <f>IF(SER_hh_fech_in!Q21=0,0,SER_hh_fech_in!Q21/SER_summary!Q$27)</f>
        <v>8.6612236945698413</v>
      </c>
      <c r="R21" s="132">
        <f>IF(SER_hh_fech_in!R21=0,0,SER_hh_fech_in!R21/SER_summary!R$27)</f>
        <v>8.6758497621821888</v>
      </c>
      <c r="S21" s="132">
        <f>IF(SER_hh_fech_in!S21=0,0,SER_hh_fech_in!S21/SER_summary!S$27)</f>
        <v>7.1012858307764368</v>
      </c>
      <c r="T21" s="132">
        <f>IF(SER_hh_fech_in!T21=0,0,SER_hh_fech_in!T21/SER_summary!T$27)</f>
        <v>8.4174103884533569</v>
      </c>
      <c r="U21" s="132">
        <f>IF(SER_hh_fech_in!U21=0,0,SER_hh_fech_in!U21/SER_summary!U$27)</f>
        <v>8.3486939197882659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10.863088970527825</v>
      </c>
      <c r="D22" s="132">
        <f>IF(SER_hh_fech_in!D22=0,0,SER_hh_fech_in!D22/SER_summary!D$27)</f>
        <v>0</v>
      </c>
      <c r="E22" s="132">
        <f>IF(SER_hh_fech_in!E22=0,0,SER_hh_fech_in!E22/SER_summary!E$27)</f>
        <v>9.8593348882589797</v>
      </c>
      <c r="F22" s="132">
        <f>IF(SER_hh_fech_in!F22=0,0,SER_hh_fech_in!F22/SER_summary!F$27)</f>
        <v>10.626938311600481</v>
      </c>
      <c r="G22" s="132">
        <f>IF(SER_hh_fech_in!G22=0,0,SER_hh_fech_in!G22/SER_summary!G$27)</f>
        <v>10.599177492696848</v>
      </c>
      <c r="H22" s="132">
        <f>IF(SER_hh_fech_in!H22=0,0,SER_hh_fech_in!H22/SER_summary!H$27)</f>
        <v>10.977859205391313</v>
      </c>
      <c r="I22" s="132">
        <f>IF(SER_hh_fech_in!I22=0,0,SER_hh_fech_in!I22/SER_summary!I$27)</f>
        <v>10.92452731693071</v>
      </c>
      <c r="J22" s="132">
        <f>IF(SER_hh_fech_in!J22=0,0,SER_hh_fech_in!J22/SER_summary!J$27)</f>
        <v>10.83948182635001</v>
      </c>
      <c r="K22" s="132">
        <f>IF(SER_hh_fech_in!K22=0,0,SER_hh_fech_in!K22/SER_summary!K$27)</f>
        <v>10.613594441069239</v>
      </c>
      <c r="L22" s="132">
        <f>IF(SER_hh_fech_in!L22=0,0,SER_hh_fech_in!L22/SER_summary!L$27)</f>
        <v>10.475803631662055</v>
      </c>
      <c r="M22" s="132">
        <f>IF(SER_hh_fech_in!M22=0,0,SER_hh_fech_in!M22/SER_summary!M$27)</f>
        <v>8.4727001026434614</v>
      </c>
      <c r="N22" s="132">
        <f>IF(SER_hh_fech_in!N22=0,0,SER_hh_fech_in!N22/SER_summary!N$27)</f>
        <v>10.062933507874128</v>
      </c>
      <c r="O22" s="132">
        <f>IF(SER_hh_fech_in!O22=0,0,SER_hh_fech_in!O22/SER_summary!O$27)</f>
        <v>9.6563613998083273</v>
      </c>
      <c r="P22" s="132">
        <f>IF(SER_hh_fech_in!P22=0,0,SER_hh_fech_in!P22/SER_summary!P$27)</f>
        <v>9.2837132844873</v>
      </c>
      <c r="Q22" s="132">
        <f>IF(SER_hh_fech_in!Q22=0,0,SER_hh_fech_in!Q22/SER_summary!Q$27)</f>
        <v>8.8925997700529624</v>
      </c>
      <c r="R22" s="132">
        <f>IF(SER_hh_fech_in!R22=0,0,SER_hh_fech_in!R22/SER_summary!R$27)</f>
        <v>8.8216296071122446</v>
      </c>
      <c r="S22" s="132">
        <f>IF(SER_hh_fech_in!S22=0,0,SER_hh_fech_in!S22/SER_summary!S$27)</f>
        <v>0</v>
      </c>
      <c r="T22" s="132">
        <f>IF(SER_hh_fech_in!T22=0,0,SER_hh_fech_in!T22/SER_summary!T$27)</f>
        <v>0</v>
      </c>
      <c r="U22" s="132">
        <f>IF(SER_hh_fech_in!U22=0,0,SER_hh_fech_in!U22/SER_summary!U$27)</f>
        <v>0</v>
      </c>
      <c r="V22" s="132">
        <f>IF(SER_hh_fech_in!V22=0,0,SER_hh_fech_in!V22/SER_summary!V$27)</f>
        <v>0</v>
      </c>
      <c r="W22" s="132">
        <f>IF(SER_hh_fech_in!W22=0,0,SER_hh_fech_in!W22/SER_summary!W$27)</f>
        <v>5.9335180243411179</v>
      </c>
      <c r="X22" s="132">
        <f>IF(SER_hh_fech_in!X22=0,0,SER_hh_fech_in!X22/SER_summary!X$27)</f>
        <v>2.6670142278466646</v>
      </c>
      <c r="Y22" s="132">
        <f>IF(SER_hh_fech_in!Y22=0,0,SER_hh_fech_in!Y22/SER_summary!Y$27)</f>
        <v>6.0015089440798191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9.8548491318745235</v>
      </c>
      <c r="D23" s="132">
        <f>IF(SER_hh_fech_in!D23=0,0,SER_hh_fech_in!D23/SER_summary!D$27)</f>
        <v>8.9109030147256068</v>
      </c>
      <c r="E23" s="132">
        <f>IF(SER_hh_fech_in!E23=0,0,SER_hh_fech_in!E23/SER_summary!E$27)</f>
        <v>0</v>
      </c>
      <c r="F23" s="132">
        <f>IF(SER_hh_fech_in!F23=0,0,SER_hh_fech_in!F23/SER_summary!F$27)</f>
        <v>4.4248540749180982</v>
      </c>
      <c r="G23" s="132">
        <f>IF(SER_hh_fech_in!G23=0,0,SER_hh_fech_in!G23/SER_summary!G$27)</f>
        <v>9.0566658901707875</v>
      </c>
      <c r="H23" s="132">
        <f>IF(SER_hh_fech_in!H23=0,0,SER_hh_fech_in!H23/SER_summary!H$27)</f>
        <v>10.039234481350288</v>
      </c>
      <c r="I23" s="132">
        <f>IF(SER_hh_fech_in!I23=0,0,SER_hh_fech_in!I23/SER_summary!I$27)</f>
        <v>9.5481209460844187</v>
      </c>
      <c r="J23" s="132">
        <f>IF(SER_hh_fech_in!J23=0,0,SER_hh_fech_in!J23/SER_summary!J$27)</f>
        <v>9.4681205841209888</v>
      </c>
      <c r="K23" s="132">
        <f>IF(SER_hh_fech_in!K23=0,0,SER_hh_fech_in!K23/SER_summary!K$27)</f>
        <v>8.8754929967621194</v>
      </c>
      <c r="L23" s="132">
        <f>IF(SER_hh_fech_in!L23=0,0,SER_hh_fech_in!L23/SER_summary!L$27)</f>
        <v>9.3032812442726467</v>
      </c>
      <c r="M23" s="132">
        <f>IF(SER_hh_fech_in!M23=0,0,SER_hh_fech_in!M23/SER_summary!M$27)</f>
        <v>7.4782309260051045</v>
      </c>
      <c r="N23" s="132">
        <f>IF(SER_hh_fech_in!N23=0,0,SER_hh_fech_in!N23/SER_summary!N$27)</f>
        <v>8.6748071214179099</v>
      </c>
      <c r="O23" s="132">
        <f>IF(SER_hh_fech_in!O23=0,0,SER_hh_fech_in!O23/SER_summary!O$27)</f>
        <v>8.5062477158258663</v>
      </c>
      <c r="P23" s="132">
        <f>IF(SER_hh_fech_in!P23=0,0,SER_hh_fech_in!P23/SER_summary!P$27)</f>
        <v>8.6268101736943983</v>
      </c>
      <c r="Q23" s="132">
        <f>IF(SER_hh_fech_in!Q23=0,0,SER_hh_fech_in!Q23/SER_summary!Q$27)</f>
        <v>7.8525613084108841</v>
      </c>
      <c r="R23" s="132">
        <f>IF(SER_hh_fech_in!R23=0,0,SER_hh_fech_in!R23/SER_summary!R$27)</f>
        <v>7.4043468175005271</v>
      </c>
      <c r="S23" s="132">
        <f>IF(SER_hh_fech_in!S23=0,0,SER_hh_fech_in!S23/SER_summary!S$27)</f>
        <v>6.895794522426776</v>
      </c>
      <c r="T23" s="132">
        <f>IF(SER_hh_fech_in!T23=0,0,SER_hh_fech_in!T23/SER_summary!T$27)</f>
        <v>8.1823589646879338</v>
      </c>
      <c r="U23" s="132">
        <f>IF(SER_hh_fech_in!U23=0,0,SER_hh_fech_in!U23/SER_summary!U$27)</f>
        <v>7.6414507280183335</v>
      </c>
      <c r="V23" s="132">
        <f>IF(SER_hh_fech_in!V23=0,0,SER_hh_fech_in!V23/SER_summary!V$27)</f>
        <v>5.9170418535374738</v>
      </c>
      <c r="W23" s="132">
        <f>IF(SER_hh_fech_in!W23=0,0,SER_hh_fech_in!W23/SER_summary!W$27)</f>
        <v>6.3122475040456418</v>
      </c>
      <c r="X23" s="132">
        <f>IF(SER_hh_fech_in!X23=0,0,SER_hh_fech_in!X23/SER_summary!X$27)</f>
        <v>5.2513463572882797</v>
      </c>
      <c r="Y23" s="132">
        <f>IF(SER_hh_fech_in!Y23=0,0,SER_hh_fech_in!Y23/SER_summary!Y$27)</f>
        <v>6.2080326215399024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0</v>
      </c>
      <c r="D25" s="132">
        <f>IF(SER_hh_fech_in!D25=0,0,SER_hh_fech_in!D25/SER_summary!D$27)</f>
        <v>0</v>
      </c>
      <c r="E25" s="132">
        <f>IF(SER_hh_fech_in!E25=0,0,SER_hh_fech_in!E25/SER_summary!E$27)</f>
        <v>10.273591197160576</v>
      </c>
      <c r="F25" s="132">
        <f>IF(SER_hh_fech_in!F25=0,0,SER_hh_fech_in!F25/SER_summary!F$27)</f>
        <v>8.3535613198671115</v>
      </c>
      <c r="G25" s="132">
        <f>IF(SER_hh_fech_in!G25=0,0,SER_hh_fech_in!G25/SER_summary!G$27)</f>
        <v>7.5442295507787458</v>
      </c>
      <c r="H25" s="132">
        <f>IF(SER_hh_fech_in!H25=0,0,SER_hh_fech_in!H25/SER_summary!H$27)</f>
        <v>7.6234019804293229</v>
      </c>
      <c r="I25" s="132">
        <f>IF(SER_hh_fech_in!I25=0,0,SER_hh_fech_in!I25/SER_summary!I$27)</f>
        <v>7.4838246094370096</v>
      </c>
      <c r="J25" s="132">
        <f>IF(SER_hh_fech_in!J25=0,0,SER_hh_fech_in!J25/SER_summary!J$27)</f>
        <v>7.4898840614288735</v>
      </c>
      <c r="K25" s="132">
        <f>IF(SER_hh_fech_in!K25=0,0,SER_hh_fech_in!K25/SER_summary!K$27)</f>
        <v>7.4652272346633133</v>
      </c>
      <c r="L25" s="132">
        <f>IF(SER_hh_fech_in!L25=0,0,SER_hh_fech_in!L25/SER_summary!L$27)</f>
        <v>7.4430936915905201</v>
      </c>
      <c r="M25" s="132">
        <f>IF(SER_hh_fech_in!M25=0,0,SER_hh_fech_in!M25/SER_summary!M$27)</f>
        <v>7.6338765758039129</v>
      </c>
      <c r="N25" s="132">
        <f>IF(SER_hh_fech_in!N25=0,0,SER_hh_fech_in!N25/SER_summary!N$27)</f>
        <v>0</v>
      </c>
      <c r="O25" s="132">
        <f>IF(SER_hh_fech_in!O25=0,0,SER_hh_fech_in!O25/SER_summary!O$27)</f>
        <v>0</v>
      </c>
      <c r="P25" s="132">
        <f>IF(SER_hh_fech_in!P25=0,0,SER_hh_fech_in!P25/SER_summary!P$27)</f>
        <v>0</v>
      </c>
      <c r="Q25" s="132">
        <f>IF(SER_hh_fech_in!Q25=0,0,SER_hh_fech_in!Q25/SER_summary!Q$27)</f>
        <v>0</v>
      </c>
      <c r="R25" s="132">
        <f>IF(SER_hh_fech_in!R25=0,0,SER_hh_fech_in!R25/SER_summary!R$27)</f>
        <v>0</v>
      </c>
      <c r="S25" s="132">
        <f>IF(SER_hh_fech_in!S25=0,0,SER_hh_fech_in!S25/SER_summary!S$27)</f>
        <v>6.9578249404755361</v>
      </c>
      <c r="T25" s="132">
        <f>IF(SER_hh_fech_in!T25=0,0,SER_hh_fech_in!T25/SER_summary!T$27)</f>
        <v>7.2964898394274558</v>
      </c>
      <c r="U25" s="132">
        <f>IF(SER_hh_fech_in!U25=0,0,SER_hh_fech_in!U25/SER_summary!U$27)</f>
        <v>6.8900637385033141</v>
      </c>
      <c r="V25" s="132">
        <f>IF(SER_hh_fech_in!V25=0,0,SER_hh_fech_in!V25/SER_summary!V$27)</f>
        <v>5.6190575180766524</v>
      </c>
      <c r="W25" s="132">
        <f>IF(SER_hh_fech_in!W25=0,0,SER_hh_fech_in!W25/SER_summary!W$27)</f>
        <v>6.3294967935669071</v>
      </c>
      <c r="X25" s="132">
        <f>IF(SER_hh_fech_in!X25=0,0,SER_hh_fech_in!X25/SER_summary!X$27)</f>
        <v>4.1270205487515845</v>
      </c>
      <c r="Y25" s="132">
        <f>IF(SER_hh_fech_in!Y25=0,0,SER_hh_fech_in!Y25/SER_summary!Y$27)</f>
        <v>5.7150012613225183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7.8977150495350292</v>
      </c>
      <c r="D26" s="65">
        <f>IF(SER_hh_fech_in!D26=0,0,SER_hh_fech_in!D26/SER_summary!D$27)</f>
        <v>4.458318849217175</v>
      </c>
      <c r="E26" s="65">
        <f>IF(SER_hh_fech_in!E26=0,0,SER_hh_fech_in!E26/SER_summary!E$27)</f>
        <v>0</v>
      </c>
      <c r="F26" s="65">
        <f>IF(SER_hh_fech_in!F26=0,0,SER_hh_fech_in!F26/SER_summary!F$27)</f>
        <v>0</v>
      </c>
      <c r="G26" s="65">
        <f>IF(SER_hh_fech_in!G26=0,0,SER_hh_fech_in!G26/SER_summary!G$27)</f>
        <v>0</v>
      </c>
      <c r="H26" s="65">
        <f>IF(SER_hh_fech_in!H26=0,0,SER_hh_fech_in!H26/SER_summary!H$27)</f>
        <v>5.5567279548869077</v>
      </c>
      <c r="I26" s="65">
        <f>IF(SER_hh_fech_in!I26=0,0,SER_hh_fech_in!I26/SER_summary!I$27)</f>
        <v>6.4606675159166604</v>
      </c>
      <c r="J26" s="65">
        <f>IF(SER_hh_fech_in!J26=0,0,SER_hh_fech_in!J26/SER_summary!J$27)</f>
        <v>8.0027785759589811</v>
      </c>
      <c r="K26" s="65">
        <f>IF(SER_hh_fech_in!K26=0,0,SER_hh_fech_in!K26/SER_summary!K$27)</f>
        <v>4.1038391043101514</v>
      </c>
      <c r="L26" s="65">
        <f>IF(SER_hh_fech_in!L26=0,0,SER_hh_fech_in!L26/SER_summary!L$27)</f>
        <v>6.8832836347994162</v>
      </c>
      <c r="M26" s="65">
        <f>IF(SER_hh_fech_in!M26=0,0,SER_hh_fech_in!M26/SER_summary!M$27)</f>
        <v>3.6058726719074783</v>
      </c>
      <c r="N26" s="65">
        <f>IF(SER_hh_fech_in!N26=0,0,SER_hh_fech_in!N26/SER_summary!N$27)</f>
        <v>6.5822487198256692</v>
      </c>
      <c r="O26" s="65">
        <f>IF(SER_hh_fech_in!O26=0,0,SER_hh_fech_in!O26/SER_summary!O$27)</f>
        <v>4.1125811281647362</v>
      </c>
      <c r="P26" s="65">
        <f>IF(SER_hh_fech_in!P26=0,0,SER_hh_fech_in!P26/SER_summary!P$27)</f>
        <v>7.6432664830792811</v>
      </c>
      <c r="Q26" s="65">
        <f>IF(SER_hh_fech_in!Q26=0,0,SER_hh_fech_in!Q26/SER_summary!Q$27)</f>
        <v>6.1373280359446163</v>
      </c>
      <c r="R26" s="65">
        <f>IF(SER_hh_fech_in!R26=0,0,SER_hh_fech_in!R26/SER_summary!R$27)</f>
        <v>6.3122441638730029</v>
      </c>
      <c r="S26" s="65">
        <f>IF(SER_hh_fech_in!S26=0,0,SER_hh_fech_in!S26/SER_summary!S$27)</f>
        <v>3.72299231546133</v>
      </c>
      <c r="T26" s="65">
        <f>IF(SER_hh_fech_in!T26=0,0,SER_hh_fech_in!T26/SER_summary!T$27)</f>
        <v>0</v>
      </c>
      <c r="U26" s="65">
        <f>IF(SER_hh_fech_in!U26=0,0,SER_hh_fech_in!U26/SER_summary!U$27)</f>
        <v>0</v>
      </c>
      <c r="V26" s="65">
        <f>IF(SER_hh_fech_in!V26=0,0,SER_hh_fech_in!V26/SER_summary!V$27)</f>
        <v>0</v>
      </c>
      <c r="W26" s="65">
        <f>IF(SER_hh_fech_in!W26=0,0,SER_hh_fech_in!W26/SER_summary!W$27)</f>
        <v>0</v>
      </c>
      <c r="X26" s="65">
        <f>IF(SER_hh_fech_in!X26=0,0,SER_hh_fech_in!X26/SER_summary!X$27)</f>
        <v>0</v>
      </c>
      <c r="Y26" s="65">
        <f>IF(SER_hh_fech_in!Y26=0,0,SER_hh_fech_in!Y26/SER_summary!Y$27)</f>
        <v>0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0.15992553416400843</v>
      </c>
      <c r="D27" s="145">
        <f>IF(SER_hh_fech_in!D27=0,0,SER_hh_fech_in!D27/SER_summary!D$27)</f>
        <v>0.76664178967962282</v>
      </c>
      <c r="E27" s="145">
        <f>IF(SER_hh_fech_in!E27=0,0,SER_hh_fech_in!E27/SER_summary!E$27)</f>
        <v>0.53767145013934647</v>
      </c>
      <c r="F27" s="145">
        <f>IF(SER_hh_fech_in!F27=0,0,SER_hh_fech_in!F27/SER_summary!F$27)</f>
        <v>0.12107468150479278</v>
      </c>
      <c r="G27" s="145">
        <f>IF(SER_hh_fech_in!G27=0,0,SER_hh_fech_in!G27/SER_summary!G$27)</f>
        <v>0.28836916854191286</v>
      </c>
      <c r="H27" s="145">
        <f>IF(SER_hh_fech_in!H27=0,0,SER_hh_fech_in!H27/SER_summary!H$27)</f>
        <v>0.30863698477176577</v>
      </c>
      <c r="I27" s="145">
        <f>IF(SER_hh_fech_in!I27=0,0,SER_hh_fech_in!I27/SER_summary!I$27)</f>
        <v>0.5561444862783691</v>
      </c>
      <c r="J27" s="145">
        <f>IF(SER_hh_fech_in!J27=0,0,SER_hh_fech_in!J27/SER_summary!J$27)</f>
        <v>0.16834516784013559</v>
      </c>
      <c r="K27" s="145">
        <f>IF(SER_hh_fech_in!K27=0,0,SER_hh_fech_in!K27/SER_summary!K$27)</f>
        <v>1.8331484015706951</v>
      </c>
      <c r="L27" s="145">
        <f>IF(SER_hh_fech_in!L27=0,0,SER_hh_fech_in!L27/SER_summary!L$27)</f>
        <v>0.48017599431390978</v>
      </c>
      <c r="M27" s="145">
        <f>IF(SER_hh_fech_in!M27=0,0,SER_hh_fech_in!M27/SER_summary!M$27)</f>
        <v>1.7962065208524147</v>
      </c>
      <c r="N27" s="145">
        <f>IF(SER_hh_fech_in!N27=0,0,SER_hh_fech_in!N27/SER_summary!N$27)</f>
        <v>0.35748099080577872</v>
      </c>
      <c r="O27" s="145">
        <f>IF(SER_hh_fech_in!O27=0,0,SER_hh_fech_in!O27/SER_summary!O$27)</f>
        <v>0.77114560223709239</v>
      </c>
      <c r="P27" s="145">
        <f>IF(SER_hh_fech_in!P27=0,0,SER_hh_fech_in!P27/SER_summary!P$27)</f>
        <v>4.0410716043433423E-4</v>
      </c>
      <c r="Q27" s="145">
        <f>IF(SER_hh_fech_in!Q27=0,0,SER_hh_fech_in!Q27/SER_summary!Q$27)</f>
        <v>0.38156684477691288</v>
      </c>
      <c r="R27" s="145">
        <f>IF(SER_hh_fech_in!R27=0,0,SER_hh_fech_in!R27/SER_summary!R$27)</f>
        <v>0.28784241555842438</v>
      </c>
      <c r="S27" s="145">
        <f>IF(SER_hh_fech_in!S27=0,0,SER_hh_fech_in!S27/SER_summary!S$27)</f>
        <v>0.4268485419847608</v>
      </c>
      <c r="T27" s="145">
        <f>IF(SER_hh_fech_in!T27=0,0,SER_hh_fech_in!T27/SER_summary!T$27)</f>
        <v>0.34381145565033266</v>
      </c>
      <c r="U27" s="145">
        <f>IF(SER_hh_fech_in!U27=0,0,SER_hh_fech_in!U27/SER_summary!U$27)</f>
        <v>0.21763696528725796</v>
      </c>
      <c r="V27" s="145">
        <f>IF(SER_hh_fech_in!V27=0,0,SER_hh_fech_in!V27/SER_summary!V$27)</f>
        <v>0.89830080078852037</v>
      </c>
      <c r="W27" s="145">
        <f>IF(SER_hh_fech_in!W27=0,0,SER_hh_fech_in!W27/SER_summary!W$27)</f>
        <v>0.21461723623192966</v>
      </c>
      <c r="X27" s="145">
        <f>IF(SER_hh_fech_in!X27=0,0,SER_hh_fech_in!X27/SER_summary!X$27)</f>
        <v>1.2402255034920462</v>
      </c>
      <c r="Y27" s="145">
        <f>IF(SER_hh_fech_in!Y27=0,0,SER_hh_fech_in!Y27/SER_summary!Y$27)</f>
        <v>2.8029308178898763E-2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3.8605906199240914</v>
      </c>
      <c r="D28" s="146">
        <f>IF(SER_hh_fech_in!D28=0,0,SER_hh_fech_in!D28/SER_summary!D$27)</f>
        <v>3.7699959652943256</v>
      </c>
      <c r="E28" s="146">
        <f>IF(SER_hh_fech_in!E28=0,0,SER_hh_fech_in!E28/SER_summary!E$27)</f>
        <v>5.2038488820969349</v>
      </c>
      <c r="F28" s="146">
        <f>IF(SER_hh_fech_in!F28=0,0,SER_hh_fech_in!F28/SER_summary!F$27)</f>
        <v>3.8171691686841078</v>
      </c>
      <c r="G28" s="146">
        <f>IF(SER_hh_fech_in!G28=0,0,SER_hh_fech_in!G28/SER_summary!G$27)</f>
        <v>3.6496007923731222</v>
      </c>
      <c r="H28" s="146">
        <f>IF(SER_hh_fech_in!H28=0,0,SER_hh_fech_in!H28/SER_summary!H$27)</f>
        <v>3.7818361440823423</v>
      </c>
      <c r="I28" s="146">
        <f>IF(SER_hh_fech_in!I28=0,0,SER_hh_fech_in!I28/SER_summary!I$27)</f>
        <v>3.4522093062948267</v>
      </c>
      <c r="J28" s="146">
        <f>IF(SER_hh_fech_in!J28=0,0,SER_hh_fech_in!J28/SER_summary!J$27)</f>
        <v>3.768996009635543</v>
      </c>
      <c r="K28" s="146">
        <f>IF(SER_hh_fech_in!K28=0,0,SER_hh_fech_in!K28/SER_summary!K$27)</f>
        <v>3.8418710313555438</v>
      </c>
      <c r="L28" s="146">
        <f>IF(SER_hh_fech_in!L28=0,0,SER_hh_fech_in!L28/SER_summary!L$27)</f>
        <v>3.8369986988886726</v>
      </c>
      <c r="M28" s="146">
        <f>IF(SER_hh_fech_in!M28=0,0,SER_hh_fech_in!M28/SER_summary!M$27)</f>
        <v>3.6013752317655179</v>
      </c>
      <c r="N28" s="146">
        <f>IF(SER_hh_fech_in!N28=0,0,SER_hh_fech_in!N28/SER_summary!N$27)</f>
        <v>3.6610909768027082</v>
      </c>
      <c r="O28" s="146">
        <f>IF(SER_hh_fech_in!O28=0,0,SER_hh_fech_in!O28/SER_summary!O$27)</f>
        <v>3.4719235418706509</v>
      </c>
      <c r="P28" s="146">
        <f>IF(SER_hh_fech_in!P28=0,0,SER_hh_fech_in!P28/SER_summary!P$27)</f>
        <v>4.0658235898217931</v>
      </c>
      <c r="Q28" s="146">
        <f>IF(SER_hh_fech_in!Q28=0,0,SER_hh_fech_in!Q28/SER_summary!Q$27)</f>
        <v>3.8988584582651238</v>
      </c>
      <c r="R28" s="146">
        <f>IF(SER_hh_fech_in!R28=0,0,SER_hh_fech_in!R28/SER_summary!R$27)</f>
        <v>3.8353859314692986</v>
      </c>
      <c r="S28" s="146">
        <f>IF(SER_hh_fech_in!S28=0,0,SER_hh_fech_in!S28/SER_summary!S$27)</f>
        <v>3.4581232568496159</v>
      </c>
      <c r="T28" s="146">
        <f>IF(SER_hh_fech_in!T28=0,0,SER_hh_fech_in!T28/SER_summary!T$27)</f>
        <v>4.503062638521893</v>
      </c>
      <c r="U28" s="146">
        <f>IF(SER_hh_fech_in!U28=0,0,SER_hh_fech_in!U28/SER_summary!U$27)</f>
        <v>3.9198146345463729</v>
      </c>
      <c r="V28" s="146">
        <f>IF(SER_hh_fech_in!V28=0,0,SER_hh_fech_in!V28/SER_summary!V$27)</f>
        <v>3.8042913684903774</v>
      </c>
      <c r="W28" s="146">
        <f>IF(SER_hh_fech_in!W28=0,0,SER_hh_fech_in!W28/SER_summary!W$27)</f>
        <v>3.149595986272177</v>
      </c>
      <c r="X28" s="146">
        <f>IF(SER_hh_fech_in!X28=0,0,SER_hh_fech_in!X28/SER_summary!X$27)</f>
        <v>3.4190765759017641</v>
      </c>
      <c r="Y28" s="146">
        <f>IF(SER_hh_fech_in!Y28=0,0,SER_hh_fech_in!Y28/SER_summary!Y$27)</f>
        <v>3.6241483303287616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11.324839148787124</v>
      </c>
      <c r="D29" s="130">
        <f>IF(SER_hh_fech_in!D29=0,0,SER_hh_fech_in!D29/SER_summary!D$27)</f>
        <v>11.452075129775016</v>
      </c>
      <c r="E29" s="130">
        <f>IF(SER_hh_fech_in!E29=0,0,SER_hh_fech_in!E29/SER_summary!E$27)</f>
        <v>12.192869270443481</v>
      </c>
      <c r="F29" s="130">
        <f>IF(SER_hh_fech_in!F29=0,0,SER_hh_fech_in!F29/SER_summary!F$27)</f>
        <v>11.993565353174786</v>
      </c>
      <c r="G29" s="130">
        <f>IF(SER_hh_fech_in!G29=0,0,SER_hh_fech_in!G29/SER_summary!G$27)</f>
        <v>11.43023762550758</v>
      </c>
      <c r="H29" s="130">
        <f>IF(SER_hh_fech_in!H29=0,0,SER_hh_fech_in!H29/SER_summary!H$27)</f>
        <v>11.535070555346833</v>
      </c>
      <c r="I29" s="130">
        <f>IF(SER_hh_fech_in!I29=0,0,SER_hh_fech_in!I29/SER_summary!I$27)</f>
        <v>11.298285293032345</v>
      </c>
      <c r="J29" s="130">
        <f>IF(SER_hh_fech_in!J29=0,0,SER_hh_fech_in!J29/SER_summary!J$27)</f>
        <v>10.865624010193898</v>
      </c>
      <c r="K29" s="130">
        <f>IF(SER_hh_fech_in!K29=0,0,SER_hh_fech_in!K29/SER_summary!K$27)</f>
        <v>10.967578107677188</v>
      </c>
      <c r="L29" s="130">
        <f>IF(SER_hh_fech_in!L29=0,0,SER_hh_fech_in!L29/SER_summary!L$27)</f>
        <v>11.263921346865057</v>
      </c>
      <c r="M29" s="130">
        <f>IF(SER_hh_fech_in!M29=0,0,SER_hh_fech_in!M29/SER_summary!M$27)</f>
        <v>10.578590850585082</v>
      </c>
      <c r="N29" s="130">
        <f>IF(SER_hh_fech_in!N29=0,0,SER_hh_fech_in!N29/SER_summary!N$27)</f>
        <v>11.639115991284324</v>
      </c>
      <c r="O29" s="130">
        <f>IF(SER_hh_fech_in!O29=0,0,SER_hh_fech_in!O29/SER_summary!O$27)</f>
        <v>11.824352148613753</v>
      </c>
      <c r="P29" s="130">
        <f>IF(SER_hh_fech_in!P29=0,0,SER_hh_fech_in!P29/SER_summary!P$27)</f>
        <v>14.349368863008234</v>
      </c>
      <c r="Q29" s="130">
        <f>IF(SER_hh_fech_in!Q29=0,0,SER_hh_fech_in!Q29/SER_summary!Q$27)</f>
        <v>11.930604752838255</v>
      </c>
      <c r="R29" s="130">
        <f>IF(SER_hh_fech_in!R29=0,0,SER_hh_fech_in!R29/SER_summary!R$27)</f>
        <v>11.618209130035979</v>
      </c>
      <c r="S29" s="130">
        <f>IF(SER_hh_fech_in!S29=0,0,SER_hh_fech_in!S29/SER_summary!S$27)</f>
        <v>11.969300098568862</v>
      </c>
      <c r="T29" s="130">
        <f>IF(SER_hh_fech_in!T29=0,0,SER_hh_fech_in!T29/SER_summary!T$27)</f>
        <v>12.967115813986901</v>
      </c>
      <c r="U29" s="130">
        <f>IF(SER_hh_fech_in!U29=0,0,SER_hh_fech_in!U29/SER_summary!U$27)</f>
        <v>12.291817851413471</v>
      </c>
      <c r="V29" s="130">
        <f>IF(SER_hh_fech_in!V29=0,0,SER_hh_fech_in!V29/SER_summary!V$27)</f>
        <v>10.81286881191172</v>
      </c>
      <c r="W29" s="130">
        <f>IF(SER_hh_fech_in!W29=0,0,SER_hh_fech_in!W29/SER_summary!W$27)</f>
        <v>10.250596740196507</v>
      </c>
      <c r="X29" s="130">
        <f>IF(SER_hh_fech_in!X29=0,0,SER_hh_fech_in!X29/SER_summary!X$27)</f>
        <v>10.366323596682509</v>
      </c>
      <c r="Y29" s="130">
        <f>IF(SER_hh_fech_in!Y29=0,0,SER_hh_fech_in!Y29/SER_summary!Y$27)</f>
        <v>10.238381455600589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11.862705566633821</v>
      </c>
      <c r="D30" s="132">
        <f>IF(SER_hh_fech_in!D30=0,0,SER_hh_fech_in!D30/SER_summary!D$27)</f>
        <v>8.6924419570813658</v>
      </c>
      <c r="E30" s="132">
        <f>IF(SER_hh_fech_in!E30=0,0,SER_hh_fech_in!E30/SER_summary!E$27)</f>
        <v>15.028477344100001</v>
      </c>
      <c r="F30" s="132">
        <f>IF(SER_hh_fech_in!F30=0,0,SER_hh_fech_in!F30/SER_summary!F$27)</f>
        <v>11.820700317481064</v>
      </c>
      <c r="G30" s="132">
        <f>IF(SER_hh_fech_in!G30=0,0,SER_hh_fech_in!G30/SER_summary!G$27)</f>
        <v>18.970841382914099</v>
      </c>
      <c r="H30" s="132">
        <f>IF(SER_hh_fech_in!H30=0,0,SER_hh_fech_in!H30/SER_summary!H$27)</f>
        <v>12.149897601814127</v>
      </c>
      <c r="I30" s="132">
        <f>IF(SER_hh_fech_in!I30=0,0,SER_hh_fech_in!I30/SER_summary!I$27)</f>
        <v>11.451300313594826</v>
      </c>
      <c r="J30" s="132">
        <f>IF(SER_hh_fech_in!J30=0,0,SER_hh_fech_in!J30/SER_summary!J$27)</f>
        <v>13.573168757209242</v>
      </c>
      <c r="K30" s="132">
        <f>IF(SER_hh_fech_in!K30=0,0,SER_hh_fech_in!K30/SER_summary!K$27)</f>
        <v>12.264138974096428</v>
      </c>
      <c r="L30" s="132">
        <f>IF(SER_hh_fech_in!L30=0,0,SER_hh_fech_in!L30/SER_summary!L$27)</f>
        <v>10.426053512482612</v>
      </c>
      <c r="M30" s="132">
        <f>IF(SER_hh_fech_in!M30=0,0,SER_hh_fech_in!M30/SER_summary!M$27)</f>
        <v>10.346800953513354</v>
      </c>
      <c r="N30" s="132">
        <f>IF(SER_hh_fech_in!N30=0,0,SER_hh_fech_in!N30/SER_summary!N$27)</f>
        <v>11.552190145640337</v>
      </c>
      <c r="O30" s="132">
        <f>IF(SER_hh_fech_in!O30=0,0,SER_hh_fech_in!O30/SER_summary!O$27)</f>
        <v>15.432891717604036</v>
      </c>
      <c r="P30" s="132">
        <f>IF(SER_hh_fech_in!P30=0,0,SER_hh_fech_in!P30/SER_summary!P$27)</f>
        <v>13.099331323683069</v>
      </c>
      <c r="Q30" s="132">
        <f>IF(SER_hh_fech_in!Q30=0,0,SER_hh_fech_in!Q30/SER_summary!Q$27)</f>
        <v>11.343009627541161</v>
      </c>
      <c r="R30" s="132">
        <f>IF(SER_hh_fech_in!R30=0,0,SER_hh_fech_in!R30/SER_summary!R$27)</f>
        <v>15.393108078486357</v>
      </c>
      <c r="S30" s="132">
        <f>IF(SER_hh_fech_in!S30=0,0,SER_hh_fech_in!S30/SER_summary!S$27)</f>
        <v>10.143779562693274</v>
      </c>
      <c r="T30" s="132">
        <f>IF(SER_hh_fech_in!T30=0,0,SER_hh_fech_in!T30/SER_summary!T$27)</f>
        <v>13.201712581087531</v>
      </c>
      <c r="U30" s="132">
        <f>IF(SER_hh_fech_in!U30=0,0,SER_hh_fech_in!U30/SER_summary!U$27)</f>
        <v>13.855038785393214</v>
      </c>
      <c r="V30" s="132">
        <f>IF(SER_hh_fech_in!V30=0,0,SER_hh_fech_in!V30/SER_summary!V$27)</f>
        <v>13.708068837180736</v>
      </c>
      <c r="W30" s="132">
        <f>IF(SER_hh_fech_in!W30=0,0,SER_hh_fech_in!W30/SER_summary!W$27)</f>
        <v>11.418999949193262</v>
      </c>
      <c r="X30" s="132">
        <f>IF(SER_hh_fech_in!X30=0,0,SER_hh_fech_in!X30/SER_summary!X$27)</f>
        <v>14.878966107339968</v>
      </c>
      <c r="Y30" s="132">
        <f>IF(SER_hh_fech_in!Y30=0,0,SER_hh_fech_in!Y30/SER_summary!Y$27)</f>
        <v>0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12.125316493744348</v>
      </c>
      <c r="D31" s="132">
        <f>IF(SER_hh_fech_in!D31=0,0,SER_hh_fech_in!D31/SER_summary!D$27)</f>
        <v>12.871608126479456</v>
      </c>
      <c r="E31" s="132">
        <f>IF(SER_hh_fech_in!E31=0,0,SER_hh_fech_in!E31/SER_summary!E$27)</f>
        <v>13.112310494520134</v>
      </c>
      <c r="F31" s="132">
        <f>IF(SER_hh_fech_in!F31=0,0,SER_hh_fech_in!F31/SER_summary!F$27)</f>
        <v>13.269556532194084</v>
      </c>
      <c r="G31" s="132">
        <f>IF(SER_hh_fech_in!G31=0,0,SER_hh_fech_in!G31/SER_summary!G$27)</f>
        <v>12.769989311135001</v>
      </c>
      <c r="H31" s="132">
        <f>IF(SER_hh_fech_in!H31=0,0,SER_hh_fech_in!H31/SER_summary!H$27)</f>
        <v>12.753312463094003</v>
      </c>
      <c r="I31" s="132">
        <f>IF(SER_hh_fech_in!I31=0,0,SER_hh_fech_in!I31/SER_summary!I$27)</f>
        <v>12.484287806744161</v>
      </c>
      <c r="J31" s="132">
        <f>IF(SER_hh_fech_in!J31=0,0,SER_hh_fech_in!J31/SER_summary!J$27)</f>
        <v>12.552474147400622</v>
      </c>
      <c r="K31" s="132">
        <f>IF(SER_hh_fech_in!K31=0,0,SER_hh_fech_in!K31/SER_summary!K$27)</f>
        <v>12.875137930740063</v>
      </c>
      <c r="L31" s="132">
        <f>IF(SER_hh_fech_in!L31=0,0,SER_hh_fech_in!L31/SER_summary!L$27)</f>
        <v>12.780673002833927</v>
      </c>
      <c r="M31" s="132">
        <f>IF(SER_hh_fech_in!M31=0,0,SER_hh_fech_in!M31/SER_summary!M$27)</f>
        <v>12.607234651353242</v>
      </c>
      <c r="N31" s="132">
        <f>IF(SER_hh_fech_in!N31=0,0,SER_hh_fech_in!N31/SER_summary!N$27)</f>
        <v>12.304405962056467</v>
      </c>
      <c r="O31" s="132">
        <f>IF(SER_hh_fech_in!O31=0,0,SER_hh_fech_in!O31/SER_summary!O$27)</f>
        <v>11.860024112118571</v>
      </c>
      <c r="P31" s="132">
        <f>IF(SER_hh_fech_in!P31=0,0,SER_hh_fech_in!P31/SER_summary!P$27)</f>
        <v>14.392147312047742</v>
      </c>
      <c r="Q31" s="132">
        <f>IF(SER_hh_fech_in!Q31=0,0,SER_hh_fech_in!Q31/SER_summary!Q$27)</f>
        <v>13.048114436873195</v>
      </c>
      <c r="R31" s="132">
        <f>IF(SER_hh_fech_in!R31=0,0,SER_hh_fech_in!R31/SER_summary!R$27)</f>
        <v>12.173501575709475</v>
      </c>
      <c r="S31" s="132">
        <f>IF(SER_hh_fech_in!S31=0,0,SER_hh_fech_in!S31/SER_summary!S$27)</f>
        <v>12.473819855008024</v>
      </c>
      <c r="T31" s="132">
        <f>IF(SER_hh_fech_in!T31=0,0,SER_hh_fech_in!T31/SER_summary!T$27)</f>
        <v>13.201388906011713</v>
      </c>
      <c r="U31" s="132">
        <f>IF(SER_hh_fech_in!U31=0,0,SER_hh_fech_in!U31/SER_summary!U$27)</f>
        <v>13.731597301889607</v>
      </c>
      <c r="V31" s="132">
        <f>IF(SER_hh_fech_in!V31=0,0,SER_hh_fech_in!V31/SER_summary!V$27)</f>
        <v>10.989732349627207</v>
      </c>
      <c r="W31" s="132">
        <f>IF(SER_hh_fech_in!W31=0,0,SER_hh_fech_in!W31/SER_summary!W$27)</f>
        <v>10.212149384595605</v>
      </c>
      <c r="X31" s="132">
        <f>IF(SER_hh_fech_in!X31=0,0,SER_hh_fech_in!X31/SER_summary!X$27)</f>
        <v>10.31500321888706</v>
      </c>
      <c r="Y31" s="132">
        <f>IF(SER_hh_fech_in!Y31=0,0,SER_hh_fech_in!Y31/SER_summary!Y$27)</f>
        <v>10.237268684626889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19.436248487913456</v>
      </c>
      <c r="F32" s="132">
        <f>IF(SER_hh_fech_in!F32=0,0,SER_hh_fech_in!F32/SER_summary!F$27)</f>
        <v>14.632972353568318</v>
      </c>
      <c r="G32" s="132">
        <f>IF(SER_hh_fech_in!G32=0,0,SER_hh_fech_in!G32/SER_summary!G$27)</f>
        <v>14.002786472668054</v>
      </c>
      <c r="H32" s="132">
        <f>IF(SER_hh_fech_in!H32=0,0,SER_hh_fech_in!H32/SER_summary!H$27)</f>
        <v>13.4757435838254</v>
      </c>
      <c r="I32" s="132">
        <f>IF(SER_hh_fech_in!I32=0,0,SER_hh_fech_in!I32/SER_summary!I$27)</f>
        <v>12.974764248162282</v>
      </c>
      <c r="J32" s="132">
        <f>IF(SER_hh_fech_in!J32=0,0,SER_hh_fech_in!J32/SER_summary!J$27)</f>
        <v>12.296966940949444</v>
      </c>
      <c r="K32" s="132">
        <f>IF(SER_hh_fech_in!K32=0,0,SER_hh_fech_in!K32/SER_summary!K$27)</f>
        <v>13.807996832766261</v>
      </c>
      <c r="L32" s="132">
        <f>IF(SER_hh_fech_in!L32=0,0,SER_hh_fech_in!L32/SER_summary!L$27)</f>
        <v>14.005780976892817</v>
      </c>
      <c r="M32" s="132">
        <f>IF(SER_hh_fech_in!M32=0,0,SER_hh_fech_in!M32/SER_summary!M$27)</f>
        <v>13.297324609179407</v>
      </c>
      <c r="N32" s="132">
        <f>IF(SER_hh_fech_in!N32=0,0,SER_hh_fech_in!N32/SER_summary!N$27)</f>
        <v>13.813974595099614</v>
      </c>
      <c r="O32" s="132">
        <f>IF(SER_hh_fech_in!O32=0,0,SER_hh_fech_in!O32/SER_summary!O$27)</f>
        <v>13.776300779613051</v>
      </c>
      <c r="P32" s="132">
        <f>IF(SER_hh_fech_in!P32=0,0,SER_hh_fech_in!P32/SER_summary!P$27)</f>
        <v>13.759478132218488</v>
      </c>
      <c r="Q32" s="132">
        <f>IF(SER_hh_fech_in!Q32=0,0,SER_hh_fech_in!Q32/SER_summary!Q$27)</f>
        <v>14.004087837989518</v>
      </c>
      <c r="R32" s="132">
        <f>IF(SER_hh_fech_in!R32=0,0,SER_hh_fech_in!R32/SER_summary!R$27)</f>
        <v>13.282890387915643</v>
      </c>
      <c r="S32" s="132">
        <f>IF(SER_hh_fech_in!S32=0,0,SER_hh_fech_in!S32/SER_summary!S$27)</f>
        <v>13.708574742974855</v>
      </c>
      <c r="T32" s="132">
        <f>IF(SER_hh_fech_in!T32=0,0,SER_hh_fech_in!T32/SER_summary!T$27)</f>
        <v>14.266529987584029</v>
      </c>
      <c r="U32" s="132">
        <f>IF(SER_hh_fech_in!U32=0,0,SER_hh_fech_in!U32/SER_summary!U$27)</f>
        <v>14.208433179291232</v>
      </c>
      <c r="V32" s="132">
        <f>IF(SER_hh_fech_in!V32=0,0,SER_hh_fech_in!V32/SER_summary!V$27)</f>
        <v>0</v>
      </c>
      <c r="W32" s="132">
        <f>IF(SER_hh_fech_in!W32=0,0,SER_hh_fech_in!W32/SER_summary!W$27)</f>
        <v>12.938549664330145</v>
      </c>
      <c r="X32" s="132">
        <f>IF(SER_hh_fech_in!X32=0,0,SER_hh_fech_in!X32/SER_summary!X$27)</f>
        <v>10.60329777538208</v>
      </c>
      <c r="Y32" s="132">
        <f>IF(SER_hh_fech_in!Y32=0,0,SER_hh_fech_in!Y32/SER_summary!Y$27)</f>
        <v>10.800986476607502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9.1893153468875735</v>
      </c>
      <c r="D33" s="68">
        <f>IF(SER_hh_fech_in!D33=0,0,SER_hh_fech_in!D33/SER_summary!D$27)</f>
        <v>9.6685531127522992</v>
      </c>
      <c r="E33" s="68">
        <f>IF(SER_hh_fech_in!E33=0,0,SER_hh_fech_in!E33/SER_summary!E$27)</f>
        <v>10.113405627807321</v>
      </c>
      <c r="F33" s="68">
        <f>IF(SER_hh_fech_in!F33=0,0,SER_hh_fech_in!F33/SER_summary!F$27)</f>
        <v>10.047317617212896</v>
      </c>
      <c r="G33" s="68">
        <f>IF(SER_hh_fech_in!G33=0,0,SER_hh_fech_in!G33/SER_summary!G$27)</f>
        <v>9.3828934756451936</v>
      </c>
      <c r="H33" s="68">
        <f>IF(SER_hh_fech_in!H33=0,0,SER_hh_fech_in!H33/SER_summary!H$27)</f>
        <v>9.3403346776804845</v>
      </c>
      <c r="I33" s="68">
        <f>IF(SER_hh_fech_in!I33=0,0,SER_hh_fech_in!I33/SER_summary!I$27)</f>
        <v>9.9031966924882653</v>
      </c>
      <c r="J33" s="68">
        <f>IF(SER_hh_fech_in!J33=0,0,SER_hh_fech_in!J33/SER_summary!J$27)</f>
        <v>8.9371388476933458</v>
      </c>
      <c r="K33" s="68">
        <f>IF(SER_hh_fech_in!K33=0,0,SER_hh_fech_in!K33/SER_summary!K$27)</f>
        <v>9.6884918182911957</v>
      </c>
      <c r="L33" s="68">
        <f>IF(SER_hh_fech_in!L33=0,0,SER_hh_fech_in!L33/SER_summary!L$27)</f>
        <v>10.266824037367945</v>
      </c>
      <c r="M33" s="68">
        <f>IF(SER_hh_fech_in!M33=0,0,SER_hh_fech_in!M33/SER_summary!M$27)</f>
        <v>9.8980580983632418</v>
      </c>
      <c r="N33" s="68">
        <f>IF(SER_hh_fech_in!N33=0,0,SER_hh_fech_in!N33/SER_summary!N$27)</f>
        <v>10.124653054628881</v>
      </c>
      <c r="O33" s="68">
        <f>IF(SER_hh_fech_in!O33=0,0,SER_hh_fech_in!O33/SER_summary!O$27)</f>
        <v>10.588423509542466</v>
      </c>
      <c r="P33" s="68">
        <f>IF(SER_hh_fech_in!P33=0,0,SER_hh_fech_in!P33/SER_summary!P$27)</f>
        <v>0</v>
      </c>
      <c r="Q33" s="68">
        <f>IF(SER_hh_fech_in!Q33=0,0,SER_hh_fech_in!Q33/SER_summary!Q$27)</f>
        <v>9.5536986207007679</v>
      </c>
      <c r="R33" s="68">
        <f>IF(SER_hh_fech_in!R33=0,0,SER_hh_fech_in!R33/SER_summary!R$27)</f>
        <v>9.9879585550892358</v>
      </c>
      <c r="S33" s="68">
        <f>IF(SER_hh_fech_in!S33=0,0,SER_hh_fech_in!S33/SER_summary!S$27)</f>
        <v>10.405867907169769</v>
      </c>
      <c r="T33" s="68">
        <f>IF(SER_hh_fech_in!T33=0,0,SER_hh_fech_in!T33/SER_summary!T$27)</f>
        <v>8.6378664778946685</v>
      </c>
      <c r="U33" s="68">
        <f>IF(SER_hh_fech_in!U33=0,0,SER_hh_fech_in!U33/SER_summary!U$27)</f>
        <v>7.3799438744787205</v>
      </c>
      <c r="V33" s="68">
        <f>IF(SER_hh_fech_in!V33=0,0,SER_hh_fech_in!V33/SER_summary!V$27)</f>
        <v>9.9808524766289199</v>
      </c>
      <c r="W33" s="68">
        <f>IF(SER_hh_fech_in!W33=0,0,SER_hh_fech_in!W33/SER_summary!W$27)</f>
        <v>0</v>
      </c>
      <c r="X33" s="68">
        <f>IF(SER_hh_fech_in!X33=0,0,SER_hh_fech_in!X33/SER_summary!X$27)</f>
        <v>0</v>
      </c>
      <c r="Y33" s="68">
        <f>IF(SER_hh_fech_in!Y33=0,0,SER_hh_fech_in!Y33/SER_summary!Y$27)</f>
        <v>0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69.760446773157284</v>
      </c>
      <c r="D3" s="125">
        <f>IF(SER_hh_tesh_in!D3=0,0,SER_hh_tesh_in!D3/SER_summary!D$27)</f>
        <v>74.254986326047685</v>
      </c>
      <c r="E3" s="125">
        <f>IF(SER_hh_tesh_in!E3=0,0,SER_hh_tesh_in!E3/SER_summary!E$27)</f>
        <v>104.36030904100421</v>
      </c>
      <c r="F3" s="125">
        <f>IF(SER_hh_tesh_in!F3=0,0,SER_hh_tesh_in!F3/SER_summary!F$27)</f>
        <v>86.362806792898596</v>
      </c>
      <c r="G3" s="125">
        <f>IF(SER_hh_tesh_in!G3=0,0,SER_hh_tesh_in!G3/SER_summary!G$27)</f>
        <v>78.295681547659726</v>
      </c>
      <c r="H3" s="125">
        <f>IF(SER_hh_tesh_in!H3=0,0,SER_hh_tesh_in!H3/SER_summary!H$27)</f>
        <v>81.42598333116527</v>
      </c>
      <c r="I3" s="125">
        <f>IF(SER_hh_tesh_in!I3=0,0,SER_hh_tesh_in!I3/SER_summary!I$27)</f>
        <v>71.027929391077478</v>
      </c>
      <c r="J3" s="125">
        <f>IF(SER_hh_tesh_in!J3=0,0,SER_hh_tesh_in!J3/SER_summary!J$27)</f>
        <v>74.899716946681011</v>
      </c>
      <c r="K3" s="125">
        <f>IF(SER_hh_tesh_in!K3=0,0,SER_hh_tesh_in!K3/SER_summary!K$27)</f>
        <v>72.08702090257583</v>
      </c>
      <c r="L3" s="125">
        <f>IF(SER_hh_tesh_in!L3=0,0,SER_hh_tesh_in!L3/SER_summary!L$27)</f>
        <v>76.761186136763044</v>
      </c>
      <c r="M3" s="125">
        <f>IF(SER_hh_tesh_in!M3=0,0,SER_hh_tesh_in!M3/SER_summary!M$27)</f>
        <v>66.407370345186209</v>
      </c>
      <c r="N3" s="125">
        <f>IF(SER_hh_tesh_in!N3=0,0,SER_hh_tesh_in!N3/SER_summary!N$27)</f>
        <v>66.415569701207232</v>
      </c>
      <c r="O3" s="125">
        <f>IF(SER_hh_tesh_in!O3=0,0,SER_hh_tesh_in!O3/SER_summary!O$27)</f>
        <v>70.166978357233717</v>
      </c>
      <c r="P3" s="125">
        <f>IF(SER_hh_tesh_in!P3=0,0,SER_hh_tesh_in!P3/SER_summary!P$27)</f>
        <v>62.69612699136529</v>
      </c>
      <c r="Q3" s="125">
        <f>IF(SER_hh_tesh_in!Q3=0,0,SER_hh_tesh_in!Q3/SER_summary!Q$27)</f>
        <v>66.347430547530607</v>
      </c>
      <c r="R3" s="125">
        <f>IF(SER_hh_tesh_in!R3=0,0,SER_hh_tesh_in!R3/SER_summary!R$27)</f>
        <v>60.516203991421129</v>
      </c>
      <c r="S3" s="125">
        <f>IF(SER_hh_tesh_in!S3=0,0,SER_hh_tesh_in!S3/SER_summary!S$27)</f>
        <v>57.156398028791727</v>
      </c>
      <c r="T3" s="125">
        <f>IF(SER_hh_tesh_in!T3=0,0,SER_hh_tesh_in!T3/SER_summary!T$27)</f>
        <v>61.571191716120843</v>
      </c>
      <c r="U3" s="125">
        <f>IF(SER_hh_tesh_in!U3=0,0,SER_hh_tesh_in!U3/SER_summary!U$27)</f>
        <v>56.602828779085961</v>
      </c>
      <c r="V3" s="125">
        <f>IF(SER_hh_tesh_in!V3=0,0,SER_hh_tesh_in!V3/SER_summary!V$27)</f>
        <v>49.263001855670268</v>
      </c>
      <c r="W3" s="125">
        <f>IF(SER_hh_tesh_in!W3=0,0,SER_hh_tesh_in!W3/SER_summary!W$27)</f>
        <v>45.439493114215558</v>
      </c>
      <c r="X3" s="125">
        <f>IF(SER_hh_tesh_in!X3=0,0,SER_hh_tesh_in!X3/SER_summary!X$27)</f>
        <v>39.840700834673029</v>
      </c>
      <c r="Y3" s="125">
        <f>IF(SER_hh_tesh_in!Y3=0,0,SER_hh_tesh_in!Y3/SER_summary!Y$27)</f>
        <v>38.553021634617856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30.373757493565787</v>
      </c>
      <c r="D4" s="130">
        <f>IF(SER_hh_tesh_in!D4=0,0,SER_hh_tesh_in!D4/SER_summary!D$27)</f>
        <v>32.560917514930686</v>
      </c>
      <c r="E4" s="130">
        <f>IF(SER_hh_tesh_in!E4=0,0,SER_hh_tesh_in!E4/SER_summary!E$27)</f>
        <v>54.071590041332733</v>
      </c>
      <c r="F4" s="130">
        <f>IF(SER_hh_tesh_in!F4=0,0,SER_hh_tesh_in!F4/SER_summary!F$27)</f>
        <v>44.098874696055631</v>
      </c>
      <c r="G4" s="130">
        <f>IF(SER_hh_tesh_in!G4=0,0,SER_hh_tesh_in!G4/SER_summary!G$27)</f>
        <v>36.659498891773694</v>
      </c>
      <c r="H4" s="130">
        <f>IF(SER_hh_tesh_in!H4=0,0,SER_hh_tesh_in!H4/SER_summary!H$27)</f>
        <v>40.181244343596298</v>
      </c>
      <c r="I4" s="130">
        <f>IF(SER_hh_tesh_in!I4=0,0,SER_hh_tesh_in!I4/SER_summary!I$27)</f>
        <v>29.537179145736054</v>
      </c>
      <c r="J4" s="130">
        <f>IF(SER_hh_tesh_in!J4=0,0,SER_hh_tesh_in!J4/SER_summary!J$27)</f>
        <v>33.991867310894953</v>
      </c>
      <c r="K4" s="130">
        <f>IF(SER_hh_tesh_in!K4=0,0,SER_hh_tesh_in!K4/SER_summary!K$27)</f>
        <v>31.223181085810715</v>
      </c>
      <c r="L4" s="130">
        <f>IF(SER_hh_tesh_in!L4=0,0,SER_hh_tesh_in!L4/SER_summary!L$27)</f>
        <v>33.899940286812566</v>
      </c>
      <c r="M4" s="130">
        <f>IF(SER_hh_tesh_in!M4=0,0,SER_hh_tesh_in!M4/SER_summary!M$27)</f>
        <v>26.559500424890143</v>
      </c>
      <c r="N4" s="130">
        <f>IF(SER_hh_tesh_in!N4=0,0,SER_hh_tesh_in!N4/SER_summary!N$27)</f>
        <v>26.777900737690359</v>
      </c>
      <c r="O4" s="130">
        <f>IF(SER_hh_tesh_in!O4=0,0,SER_hh_tesh_in!O4/SER_summary!O$27)</f>
        <v>29.982330930448427</v>
      </c>
      <c r="P4" s="130">
        <f>IF(SER_hh_tesh_in!P4=0,0,SER_hh_tesh_in!P4/SER_summary!P$27)</f>
        <v>23.112007654404128</v>
      </c>
      <c r="Q4" s="130">
        <f>IF(SER_hh_tesh_in!Q4=0,0,SER_hh_tesh_in!Q4/SER_summary!Q$27)</f>
        <v>25.188479288468407</v>
      </c>
      <c r="R4" s="130">
        <f>IF(SER_hh_tesh_in!R4=0,0,SER_hh_tesh_in!R4/SER_summary!R$27)</f>
        <v>22.681775613091563</v>
      </c>
      <c r="S4" s="130">
        <f>IF(SER_hh_tesh_in!S4=0,0,SER_hh_tesh_in!S4/SER_summary!S$27)</f>
        <v>20.257144585529556</v>
      </c>
      <c r="T4" s="130">
        <f>IF(SER_hh_tesh_in!T4=0,0,SER_hh_tesh_in!T4/SER_summary!T$27)</f>
        <v>18.967583518063723</v>
      </c>
      <c r="U4" s="130">
        <f>IF(SER_hh_tesh_in!U4=0,0,SER_hh_tesh_in!U4/SER_summary!U$27)</f>
        <v>16.642804805941104</v>
      </c>
      <c r="V4" s="130">
        <f>IF(SER_hh_tesh_in!V4=0,0,SER_hh_tesh_in!V4/SER_summary!V$27)</f>
        <v>15.008442081871062</v>
      </c>
      <c r="W4" s="130">
        <f>IF(SER_hh_tesh_in!W4=0,0,SER_hh_tesh_in!W4/SER_summary!W$27)</f>
        <v>14.802360798300644</v>
      </c>
      <c r="X4" s="130">
        <f>IF(SER_hh_tesh_in!X4=0,0,SER_hh_tesh_in!X4/SER_summary!X$27)</f>
        <v>9.1646391071492257</v>
      </c>
      <c r="Y4" s="130">
        <f>IF(SER_hh_tesh_in!Y4=0,0,SER_hh_tesh_in!Y4/SER_summary!Y$27)</f>
        <v>8.7691029736064454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33.731785293451573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42.53777014007791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28.398948678075264</v>
      </c>
      <c r="N5" s="132">
        <f>IF(SER_hh_tesh_in!N5=0,0,SER_hh_tesh_in!N5/SER_summary!N$27)</f>
        <v>33.525099136926464</v>
      </c>
      <c r="O5" s="132">
        <f>IF(SER_hh_tesh_in!O5=0,0,SER_hh_tesh_in!O5/SER_summary!O$27)</f>
        <v>15.775567544617996</v>
      </c>
      <c r="P5" s="132">
        <f>IF(SER_hh_tesh_in!P5=0,0,SER_hh_tesh_in!P5/SER_summary!P$27)</f>
        <v>0</v>
      </c>
      <c r="Q5" s="132">
        <f>IF(SER_hh_tesh_in!Q5=0,0,SER_hh_tesh_in!Q5/SER_summary!Q$27)</f>
        <v>46.243626476596276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1.6118691964015708</v>
      </c>
      <c r="X5" s="132">
        <f>IF(SER_hh_tesh_in!X5=0,0,SER_hh_tesh_in!X5/SER_summary!X$27)</f>
        <v>0.68016881256802886</v>
      </c>
      <c r="Y5" s="132">
        <f>IF(SER_hh_tesh_in!Y5=0,0,SER_hh_tesh_in!Y5/SER_summary!Y$27)</f>
        <v>12.855417081342958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36.429213615561679</v>
      </c>
      <c r="D7" s="132">
        <f>IF(SER_hh_tesh_in!D7=0,0,SER_hh_tesh_in!D7/SER_summary!D$27)</f>
        <v>32.604996671512659</v>
      </c>
      <c r="E7" s="132">
        <f>IF(SER_hh_tesh_in!E7=0,0,SER_hh_tesh_in!E7/SER_summary!E$27)</f>
        <v>0</v>
      </c>
      <c r="F7" s="132">
        <f>IF(SER_hh_tesh_in!F7=0,0,SER_hh_tesh_in!F7/SER_summary!F$27)</f>
        <v>35.971613781475611</v>
      </c>
      <c r="G7" s="132">
        <f>IF(SER_hh_tesh_in!G7=0,0,SER_hh_tesh_in!G7/SER_summary!G$27)</f>
        <v>36.151257074258062</v>
      </c>
      <c r="H7" s="132">
        <f>IF(SER_hh_tesh_in!H7=0,0,SER_hh_tesh_in!H7/SER_summary!H$27)</f>
        <v>38.846112740561118</v>
      </c>
      <c r="I7" s="132">
        <f>IF(SER_hh_tesh_in!I7=0,0,SER_hh_tesh_in!I7/SER_summary!I$27)</f>
        <v>25.965427771334564</v>
      </c>
      <c r="J7" s="132">
        <f>IF(SER_hh_tesh_in!J7=0,0,SER_hh_tesh_in!J7/SER_summary!J$27)</f>
        <v>34.459527009667127</v>
      </c>
      <c r="K7" s="132">
        <f>IF(SER_hh_tesh_in!K7=0,0,SER_hh_tesh_in!K7/SER_summary!K$27)</f>
        <v>31.113165618386933</v>
      </c>
      <c r="L7" s="132">
        <f>IF(SER_hh_tesh_in!L7=0,0,SER_hh_tesh_in!L7/SER_summary!L$27)</f>
        <v>31.137940159235235</v>
      </c>
      <c r="M7" s="132">
        <f>IF(SER_hh_tesh_in!M7=0,0,SER_hh_tesh_in!M7/SER_summary!M$27)</f>
        <v>26.367523409002239</v>
      </c>
      <c r="N7" s="132">
        <f>IF(SER_hh_tesh_in!N7=0,0,SER_hh_tesh_in!N7/SER_summary!N$27)</f>
        <v>27.00915402598698</v>
      </c>
      <c r="O7" s="132">
        <f>IF(SER_hh_tesh_in!O7=0,0,SER_hh_tesh_in!O7/SER_summary!O$27)</f>
        <v>27.782636986538758</v>
      </c>
      <c r="P7" s="132">
        <f>IF(SER_hh_tesh_in!P7=0,0,SER_hh_tesh_in!P7/SER_summary!P$27)</f>
        <v>23.819622549144281</v>
      </c>
      <c r="Q7" s="132">
        <f>IF(SER_hh_tesh_in!Q7=0,0,SER_hh_tesh_in!Q7/SER_summary!Q$27)</f>
        <v>22.808832848175733</v>
      </c>
      <c r="R7" s="132">
        <f>IF(SER_hh_tesh_in!R7=0,0,SER_hh_tesh_in!R7/SER_summary!R$27)</f>
        <v>22.330727324244108</v>
      </c>
      <c r="S7" s="132">
        <f>IF(SER_hh_tesh_in!S7=0,0,SER_hh_tesh_in!S7/SER_summary!S$27)</f>
        <v>0</v>
      </c>
      <c r="T7" s="132">
        <f>IF(SER_hh_tesh_in!T7=0,0,SER_hh_tesh_in!T7/SER_summary!T$27)</f>
        <v>0</v>
      </c>
      <c r="U7" s="132">
        <f>IF(SER_hh_tesh_in!U7=0,0,SER_hh_tesh_in!U7/SER_summary!U$27)</f>
        <v>0</v>
      </c>
      <c r="V7" s="132">
        <f>IF(SER_hh_tesh_in!V7=0,0,SER_hh_tesh_in!V7/SER_summary!V$27)</f>
        <v>0</v>
      </c>
      <c r="W7" s="132">
        <f>IF(SER_hh_tesh_in!W7=0,0,SER_hh_tesh_in!W7/SER_summary!W$27)</f>
        <v>19.541534547875017</v>
      </c>
      <c r="X7" s="132">
        <f>IF(SER_hh_tesh_in!X7=0,0,SER_hh_tesh_in!X7/SER_summary!X$27)</f>
        <v>0</v>
      </c>
      <c r="Y7" s="132">
        <f>IF(SER_hh_tesh_in!Y7=0,0,SER_hh_tesh_in!Y7/SER_summary!Y$27)</f>
        <v>0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31.429297140102488</v>
      </c>
      <c r="D8" s="132">
        <f>IF(SER_hh_tesh_in!D8=0,0,SER_hh_tesh_in!D8/SER_summary!D$27)</f>
        <v>34.280882333455082</v>
      </c>
      <c r="E8" s="132">
        <f>IF(SER_hh_tesh_in!E8=0,0,SER_hh_tesh_in!E8/SER_summary!E$27)</f>
        <v>37.595232914694222</v>
      </c>
      <c r="F8" s="132">
        <f>IF(SER_hh_tesh_in!F8=0,0,SER_hh_tesh_in!F8/SER_summary!F$27)</f>
        <v>36.480628106030693</v>
      </c>
      <c r="G8" s="132">
        <f>IF(SER_hh_tesh_in!G8=0,0,SER_hh_tesh_in!G8/SER_summary!G$27)</f>
        <v>30.366391229157948</v>
      </c>
      <c r="H8" s="132">
        <f>IF(SER_hh_tesh_in!H8=0,0,SER_hh_tesh_in!H8/SER_summary!H$27)</f>
        <v>32.485717886213038</v>
      </c>
      <c r="I8" s="132">
        <f>IF(SER_hh_tesh_in!I8=0,0,SER_hh_tesh_in!I8/SER_summary!I$27)</f>
        <v>35.327444969720759</v>
      </c>
      <c r="J8" s="132">
        <f>IF(SER_hh_tesh_in!J8=0,0,SER_hh_tesh_in!J8/SER_summary!J$27)</f>
        <v>35.823206253393579</v>
      </c>
      <c r="K8" s="132">
        <f>IF(SER_hh_tesh_in!K8=0,0,SER_hh_tesh_in!K8/SER_summary!K$27)</f>
        <v>30.790703302170673</v>
      </c>
      <c r="L8" s="132">
        <f>IF(SER_hh_tesh_in!L8=0,0,SER_hh_tesh_in!L8/SER_summary!L$27)</f>
        <v>26.641582382232333</v>
      </c>
      <c r="M8" s="132">
        <f>IF(SER_hh_tesh_in!M8=0,0,SER_hh_tesh_in!M8/SER_summary!M$27)</f>
        <v>26.843755816321583</v>
      </c>
      <c r="N8" s="132">
        <f>IF(SER_hh_tesh_in!N8=0,0,SER_hh_tesh_in!N8/SER_summary!N$27)</f>
        <v>26.770602069669454</v>
      </c>
      <c r="O8" s="132">
        <f>IF(SER_hh_tesh_in!O8=0,0,SER_hh_tesh_in!O8/SER_summary!O$27)</f>
        <v>26.800043259365463</v>
      </c>
      <c r="P8" s="132">
        <f>IF(SER_hh_tesh_in!P8=0,0,SER_hh_tesh_in!P8/SER_summary!P$27)</f>
        <v>24.094033160163775</v>
      </c>
      <c r="Q8" s="132">
        <f>IF(SER_hh_tesh_in!Q8=0,0,SER_hh_tesh_in!Q8/SER_summary!Q$27)</f>
        <v>24.205915812658819</v>
      </c>
      <c r="R8" s="132">
        <f>IF(SER_hh_tesh_in!R8=0,0,SER_hh_tesh_in!R8/SER_summary!R$27)</f>
        <v>22.464373866911927</v>
      </c>
      <c r="S8" s="132">
        <f>IF(SER_hh_tesh_in!S8=0,0,SER_hh_tesh_in!S8/SER_summary!S$27)</f>
        <v>20.374485259826141</v>
      </c>
      <c r="T8" s="132">
        <f>IF(SER_hh_tesh_in!T8=0,0,SER_hh_tesh_in!T8/SER_summary!T$27)</f>
        <v>17.925257437452981</v>
      </c>
      <c r="U8" s="132">
        <f>IF(SER_hh_tesh_in!U8=0,0,SER_hh_tesh_in!U8/SER_summary!U$27)</f>
        <v>16.937453863198879</v>
      </c>
      <c r="V8" s="132">
        <f>IF(SER_hh_tesh_in!V8=0,0,SER_hh_tesh_in!V8/SER_summary!V$27)</f>
        <v>14.377750614529756</v>
      </c>
      <c r="W8" s="132">
        <f>IF(SER_hh_tesh_in!W8=0,0,SER_hh_tesh_in!W8/SER_summary!W$27)</f>
        <v>11.844962658292914</v>
      </c>
      <c r="X8" s="132">
        <f>IF(SER_hh_tesh_in!X8=0,0,SER_hh_tesh_in!X8/SER_summary!X$27)</f>
        <v>9.2311646430484373</v>
      </c>
      <c r="Y8" s="132">
        <f>IF(SER_hh_tesh_in!Y8=0,0,SER_hh_tesh_in!Y8/SER_summary!Y$27)</f>
        <v>9.0898725774673323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29.486733774308654</v>
      </c>
      <c r="D9" s="132">
        <f>IF(SER_hh_tesh_in!D9=0,0,SER_hh_tesh_in!D9/SER_summary!D$27)</f>
        <v>28.755066527479883</v>
      </c>
      <c r="E9" s="132">
        <f>IF(SER_hh_tesh_in!E9=0,0,SER_hh_tesh_in!E9/SER_summary!E$27)</f>
        <v>0</v>
      </c>
      <c r="F9" s="132">
        <f>IF(SER_hh_tesh_in!F9=0,0,SER_hh_tesh_in!F9/SER_summary!F$27)</f>
        <v>0</v>
      </c>
      <c r="G9" s="132">
        <f>IF(SER_hh_tesh_in!G9=0,0,SER_hh_tesh_in!G9/SER_summary!G$27)</f>
        <v>0</v>
      </c>
      <c r="H9" s="132">
        <f>IF(SER_hh_tesh_in!H9=0,0,SER_hh_tesh_in!H9/SER_summary!H$27)</f>
        <v>40.470086961510084</v>
      </c>
      <c r="I9" s="132">
        <f>IF(SER_hh_tesh_in!I9=0,0,SER_hh_tesh_in!I9/SER_summary!I$27)</f>
        <v>29.398314769037235</v>
      </c>
      <c r="J9" s="132">
        <f>IF(SER_hh_tesh_in!J9=0,0,SER_hh_tesh_in!J9/SER_summary!J$27)</f>
        <v>32.134231252928089</v>
      </c>
      <c r="K9" s="132">
        <f>IF(SER_hh_tesh_in!K9=0,0,SER_hh_tesh_in!K9/SER_summary!K$27)</f>
        <v>30.01362311771814</v>
      </c>
      <c r="L9" s="132">
        <f>IF(SER_hh_tesh_in!L9=0,0,SER_hh_tesh_in!L9/SER_summary!L$27)</f>
        <v>31.459834846358159</v>
      </c>
      <c r="M9" s="132">
        <f>IF(SER_hh_tesh_in!M9=0,0,SER_hh_tesh_in!M9/SER_summary!M$27)</f>
        <v>25.860298461732725</v>
      </c>
      <c r="N9" s="132">
        <f>IF(SER_hh_tesh_in!N9=0,0,SER_hh_tesh_in!N9/SER_summary!N$27)</f>
        <v>25.710581574875587</v>
      </c>
      <c r="O9" s="132">
        <f>IF(SER_hh_tesh_in!O9=0,0,SER_hh_tesh_in!O9/SER_summary!O$27)</f>
        <v>30.372891731966455</v>
      </c>
      <c r="P9" s="132">
        <f>IF(SER_hh_tesh_in!P9=0,0,SER_hh_tesh_in!P9/SER_summary!P$27)</f>
        <v>22.29800216918682</v>
      </c>
      <c r="Q9" s="132">
        <f>IF(SER_hh_tesh_in!Q9=0,0,SER_hh_tesh_in!Q9/SER_summary!Q$27)</f>
        <v>23.624776494683974</v>
      </c>
      <c r="R9" s="132">
        <f>IF(SER_hh_tesh_in!R9=0,0,SER_hh_tesh_in!R9/SER_summary!R$27)</f>
        <v>22.196063932880982</v>
      </c>
      <c r="S9" s="132">
        <f>IF(SER_hh_tesh_in!S9=0,0,SER_hh_tesh_in!S9/SER_summary!S$27)</f>
        <v>20.316101874652645</v>
      </c>
      <c r="T9" s="132">
        <f>IF(SER_hh_tesh_in!T9=0,0,SER_hh_tesh_in!T9/SER_summary!T$27)</f>
        <v>18.707106167393036</v>
      </c>
      <c r="U9" s="132">
        <f>IF(SER_hh_tesh_in!U9=0,0,SER_hh_tesh_in!U9/SER_summary!U$27)</f>
        <v>14.278804707006415</v>
      </c>
      <c r="V9" s="132">
        <f>IF(SER_hh_tesh_in!V9=0,0,SER_hh_tesh_in!V9/SER_summary!V$27)</f>
        <v>15.107197709861211</v>
      </c>
      <c r="W9" s="132">
        <f>IF(SER_hh_tesh_in!W9=0,0,SER_hh_tesh_in!W9/SER_summary!W$27)</f>
        <v>14.670597068399887</v>
      </c>
      <c r="X9" s="132">
        <f>IF(SER_hh_tesh_in!X9=0,0,SER_hh_tesh_in!X9/SER_summary!X$27)</f>
        <v>9.0118744364036534</v>
      </c>
      <c r="Y9" s="132">
        <f>IF(SER_hh_tesh_in!Y9=0,0,SER_hh_tesh_in!Y9/SER_summary!Y$27)</f>
        <v>8.1224098046834445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0</v>
      </c>
      <c r="D10" s="132">
        <f>IF(SER_hh_tesh_in!D10=0,0,SER_hh_tesh_in!D10/SER_summary!D$27)</f>
        <v>0</v>
      </c>
      <c r="E10" s="132">
        <f>IF(SER_hh_tesh_in!E10=0,0,SER_hh_tesh_in!E10/SER_summary!E$27)</f>
        <v>45.947000260187352</v>
      </c>
      <c r="F10" s="132">
        <f>IF(SER_hh_tesh_in!F10=0,0,SER_hh_tesh_in!F10/SER_summary!F$27)</f>
        <v>44.086920386492608</v>
      </c>
      <c r="G10" s="132">
        <f>IF(SER_hh_tesh_in!G10=0,0,SER_hh_tesh_in!G10/SER_summary!G$27)</f>
        <v>35.847350265199644</v>
      </c>
      <c r="H10" s="132">
        <f>IF(SER_hh_tesh_in!H10=0,0,SER_hh_tesh_in!H10/SER_summary!H$27)</f>
        <v>34.751531074107234</v>
      </c>
      <c r="I10" s="132">
        <f>IF(SER_hh_tesh_in!I10=0,0,SER_hh_tesh_in!I10/SER_summary!I$27)</f>
        <v>29.251227815536023</v>
      </c>
      <c r="J10" s="132">
        <f>IF(SER_hh_tesh_in!J10=0,0,SER_hh_tesh_in!J10/SER_summary!J$27)</f>
        <v>34.373803130946769</v>
      </c>
      <c r="K10" s="132">
        <f>IF(SER_hh_tesh_in!K10=0,0,SER_hh_tesh_in!K10/SER_summary!K$27)</f>
        <v>30.961109578523864</v>
      </c>
      <c r="L10" s="132">
        <f>IF(SER_hh_tesh_in!L10=0,0,SER_hh_tesh_in!L10/SER_summary!L$27)</f>
        <v>36.53203850749987</v>
      </c>
      <c r="M10" s="132">
        <f>IF(SER_hh_tesh_in!M10=0,0,SER_hh_tesh_in!M10/SER_summary!M$27)</f>
        <v>25.421094461271309</v>
      </c>
      <c r="N10" s="132">
        <f>IF(SER_hh_tesh_in!N10=0,0,SER_hh_tesh_in!N10/SER_summary!N$27)</f>
        <v>27.250299722908007</v>
      </c>
      <c r="O10" s="132">
        <f>IF(SER_hh_tesh_in!O10=0,0,SER_hh_tesh_in!O10/SER_summary!O$27)</f>
        <v>28.58175230349087</v>
      </c>
      <c r="P10" s="132">
        <f>IF(SER_hh_tesh_in!P10=0,0,SER_hh_tesh_in!P10/SER_summary!P$27)</f>
        <v>21.866157339740624</v>
      </c>
      <c r="Q10" s="132">
        <f>IF(SER_hh_tesh_in!Q10=0,0,SER_hh_tesh_in!Q10/SER_summary!Q$27)</f>
        <v>23.886611239864468</v>
      </c>
      <c r="R10" s="132">
        <f>IF(SER_hh_tesh_in!R10=0,0,SER_hh_tesh_in!R10/SER_summary!R$27)</f>
        <v>21.330195635358319</v>
      </c>
      <c r="S10" s="132">
        <f>IF(SER_hh_tesh_in!S10=0,0,SER_hh_tesh_in!S10/SER_summary!S$27)</f>
        <v>19.540877881324271</v>
      </c>
      <c r="T10" s="132">
        <f>IF(SER_hh_tesh_in!T10=0,0,SER_hh_tesh_in!T10/SER_summary!T$27)</f>
        <v>18.515542392455675</v>
      </c>
      <c r="U10" s="132">
        <f>IF(SER_hh_tesh_in!U10=0,0,SER_hh_tesh_in!U10/SER_summary!U$27)</f>
        <v>17.041907510744945</v>
      </c>
      <c r="V10" s="132">
        <f>IF(SER_hh_tesh_in!V10=0,0,SER_hh_tesh_in!V10/SER_summary!V$27)</f>
        <v>14.609123804167634</v>
      </c>
      <c r="W10" s="132">
        <f>IF(SER_hh_tesh_in!W10=0,0,SER_hh_tesh_in!W10/SER_summary!W$27)</f>
        <v>13.557757034959169</v>
      </c>
      <c r="X10" s="132">
        <f>IF(SER_hh_tesh_in!X10=0,0,SER_hh_tesh_in!X10/SER_summary!X$27)</f>
        <v>9.1066511383822686</v>
      </c>
      <c r="Y10" s="132">
        <f>IF(SER_hh_tesh_in!Y10=0,0,SER_hh_tesh_in!Y10/SER_summary!Y$27)</f>
        <v>8.9331109149697205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56.604732617598337</v>
      </c>
      <c r="F11" s="132">
        <f>IF(SER_hh_tesh_in!F11=0,0,SER_hh_tesh_in!F11/SER_summary!F$27)</f>
        <v>41.0296756886137</v>
      </c>
      <c r="G11" s="132">
        <f>IF(SER_hh_tesh_in!G11=0,0,SER_hh_tesh_in!G11/SER_summary!G$27)</f>
        <v>37.726138768806152</v>
      </c>
      <c r="H11" s="132">
        <f>IF(SER_hh_tesh_in!H11=0,0,SER_hh_tesh_in!H11/SER_summary!H$27)</f>
        <v>35.243459738580285</v>
      </c>
      <c r="I11" s="132">
        <f>IF(SER_hh_tesh_in!I11=0,0,SER_hh_tesh_in!I11/SER_summary!I$27)</f>
        <v>32.352924341488411</v>
      </c>
      <c r="J11" s="132">
        <f>IF(SER_hh_tesh_in!J11=0,0,SER_hh_tesh_in!J11/SER_summary!J$27)</f>
        <v>0</v>
      </c>
      <c r="K11" s="132">
        <f>IF(SER_hh_tesh_in!K11=0,0,SER_hh_tesh_in!K11/SER_summary!K$27)</f>
        <v>31.358654969271345</v>
      </c>
      <c r="L11" s="132">
        <f>IF(SER_hh_tesh_in!L11=0,0,SER_hh_tesh_in!L11/SER_summary!L$27)</f>
        <v>29.411968150945516</v>
      </c>
      <c r="M11" s="132">
        <f>IF(SER_hh_tesh_in!M11=0,0,SER_hh_tesh_in!M11/SER_summary!M$27)</f>
        <v>28.740050048259093</v>
      </c>
      <c r="N11" s="132">
        <f>IF(SER_hh_tesh_in!N11=0,0,SER_hh_tesh_in!N11/SER_summary!N$27)</f>
        <v>26.415667763963476</v>
      </c>
      <c r="O11" s="132">
        <f>IF(SER_hh_tesh_in!O11=0,0,SER_hh_tesh_in!O11/SER_summary!O$27)</f>
        <v>26.309319071321905</v>
      </c>
      <c r="P11" s="132">
        <f>IF(SER_hh_tesh_in!P11=0,0,SER_hh_tesh_in!P11/SER_summary!P$27)</f>
        <v>28.534613059014607</v>
      </c>
      <c r="Q11" s="132">
        <f>IF(SER_hh_tesh_in!Q11=0,0,SER_hh_tesh_in!Q11/SER_summary!Q$27)</f>
        <v>20.651269556883847</v>
      </c>
      <c r="R11" s="132">
        <f>IF(SER_hh_tesh_in!R11=0,0,SER_hh_tesh_in!R11/SER_summary!R$27)</f>
        <v>20.595277998007873</v>
      </c>
      <c r="S11" s="132">
        <f>IF(SER_hh_tesh_in!S11=0,0,SER_hh_tesh_in!S11/SER_summary!S$27)</f>
        <v>21.036364518595555</v>
      </c>
      <c r="T11" s="132">
        <f>IF(SER_hh_tesh_in!T11=0,0,SER_hh_tesh_in!T11/SER_summary!T$27)</f>
        <v>19.467407573851883</v>
      </c>
      <c r="U11" s="132">
        <f>IF(SER_hh_tesh_in!U11=0,0,SER_hh_tesh_in!U11/SER_summary!U$27)</f>
        <v>15.797958559878266</v>
      </c>
      <c r="V11" s="132">
        <f>IF(SER_hh_tesh_in!V11=0,0,SER_hh_tesh_in!V11/SER_summary!V$27)</f>
        <v>13.722944309717192</v>
      </c>
      <c r="W11" s="132">
        <f>IF(SER_hh_tesh_in!W11=0,0,SER_hh_tesh_in!W11/SER_summary!W$27)</f>
        <v>11.586202182464</v>
      </c>
      <c r="X11" s="132">
        <f>IF(SER_hh_tesh_in!X11=0,0,SER_hh_tesh_in!X11/SER_summary!X$27)</f>
        <v>8.9624062519705028</v>
      </c>
      <c r="Y11" s="132">
        <f>IF(SER_hh_tesh_in!Y11=0,0,SER_hh_tesh_in!Y11/SER_summary!Y$27)</f>
        <v>8.593654355278268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0</v>
      </c>
      <c r="D12" s="132">
        <f>IF(SER_hh_tesh_in!D12=0,0,SER_hh_tesh_in!D12/SER_summary!D$27)</f>
        <v>0</v>
      </c>
      <c r="E12" s="132">
        <f>IF(SER_hh_tesh_in!E12=0,0,SER_hh_tesh_in!E12/SER_summary!E$27)</f>
        <v>55.980998834439788</v>
      </c>
      <c r="F12" s="132">
        <f>IF(SER_hh_tesh_in!F12=0,0,SER_hh_tesh_in!F12/SER_summary!F$27)</f>
        <v>46.292613346315221</v>
      </c>
      <c r="G12" s="132">
        <f>IF(SER_hh_tesh_in!G12=0,0,SER_hh_tesh_in!G12/SER_summary!G$27)</f>
        <v>36.603521434803184</v>
      </c>
      <c r="H12" s="132">
        <f>IF(SER_hh_tesh_in!H12=0,0,SER_hh_tesh_in!H12/SER_summary!H$27)</f>
        <v>0</v>
      </c>
      <c r="I12" s="132">
        <f>IF(SER_hh_tesh_in!I12=0,0,SER_hh_tesh_in!I12/SER_summary!I$27)</f>
        <v>30.307441019238748</v>
      </c>
      <c r="J12" s="132">
        <f>IF(SER_hh_tesh_in!J12=0,0,SER_hh_tesh_in!J12/SER_summary!J$27)</f>
        <v>32.177847736004928</v>
      </c>
      <c r="K12" s="132">
        <f>IF(SER_hh_tesh_in!K12=0,0,SER_hh_tesh_in!K12/SER_summary!K$27)</f>
        <v>30.244559235337352</v>
      </c>
      <c r="L12" s="132">
        <f>IF(SER_hh_tesh_in!L12=0,0,SER_hh_tesh_in!L12/SER_summary!L$27)</f>
        <v>39.25104289705483</v>
      </c>
      <c r="M12" s="132">
        <f>IF(SER_hh_tesh_in!M12=0,0,SER_hh_tesh_in!M12/SER_summary!M$27)</f>
        <v>0</v>
      </c>
      <c r="N12" s="132">
        <f>IF(SER_hh_tesh_in!N12=0,0,SER_hh_tesh_in!N12/SER_summary!N$27)</f>
        <v>0</v>
      </c>
      <c r="O12" s="132">
        <f>IF(SER_hh_tesh_in!O12=0,0,SER_hh_tesh_in!O12/SER_summary!O$27)</f>
        <v>0</v>
      </c>
      <c r="P12" s="132">
        <f>IF(SER_hh_tesh_in!P12=0,0,SER_hh_tesh_in!P12/SER_summary!P$27)</f>
        <v>0</v>
      </c>
      <c r="Q12" s="132">
        <f>IF(SER_hh_tesh_in!Q12=0,0,SER_hh_tesh_in!Q12/SER_summary!Q$27)</f>
        <v>0</v>
      </c>
      <c r="R12" s="132">
        <f>IF(SER_hh_tesh_in!R12=0,0,SER_hh_tesh_in!R12/SER_summary!R$27)</f>
        <v>0</v>
      </c>
      <c r="S12" s="132">
        <f>IF(SER_hh_tesh_in!S12=0,0,SER_hh_tesh_in!S12/SER_summary!S$27)</f>
        <v>19.882694143285853</v>
      </c>
      <c r="T12" s="132">
        <f>IF(SER_hh_tesh_in!T12=0,0,SER_hh_tesh_in!T12/SER_summary!T$27)</f>
        <v>19.299230094267259</v>
      </c>
      <c r="U12" s="132">
        <f>IF(SER_hh_tesh_in!U12=0,0,SER_hh_tesh_in!U12/SER_summary!U$27)</f>
        <v>17.233020502982214</v>
      </c>
      <c r="V12" s="132">
        <f>IF(SER_hh_tesh_in!V12=0,0,SER_hh_tesh_in!V12/SER_summary!V$27)</f>
        <v>12.373472441101018</v>
      </c>
      <c r="W12" s="132">
        <f>IF(SER_hh_tesh_in!W12=0,0,SER_hh_tesh_in!W12/SER_summary!W$27)</f>
        <v>15.882798952148448</v>
      </c>
      <c r="X12" s="132">
        <f>IF(SER_hh_tesh_in!X12=0,0,SER_hh_tesh_in!X12/SER_summary!X$27)</f>
        <v>9.3421262682196069</v>
      </c>
      <c r="Y12" s="132">
        <f>IF(SER_hh_tesh_in!Y12=0,0,SER_hh_tesh_in!Y12/SER_summary!Y$27)</f>
        <v>8.6061044128619812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21.12936439023024</v>
      </c>
      <c r="D13" s="132">
        <f>IF(SER_hh_tesh_in!D13=0,0,SER_hh_tesh_in!D13/SER_summary!D$27)</f>
        <v>33.382779425921584</v>
      </c>
      <c r="E13" s="132">
        <f>IF(SER_hh_tesh_in!E13=0,0,SER_hh_tesh_in!E13/SER_summary!E$27)</f>
        <v>46.844637776154173</v>
      </c>
      <c r="F13" s="132">
        <f>IF(SER_hh_tesh_in!F13=0,0,SER_hh_tesh_in!F13/SER_summary!F$27)</f>
        <v>39.029552025517653</v>
      </c>
      <c r="G13" s="132">
        <f>IF(SER_hh_tesh_in!G13=0,0,SER_hh_tesh_in!G13/SER_summary!G$27)</f>
        <v>34.402595119260681</v>
      </c>
      <c r="H13" s="132">
        <f>IF(SER_hh_tesh_in!H13=0,0,SER_hh_tesh_in!H13/SER_summary!H$27)</f>
        <v>33.941056480798707</v>
      </c>
      <c r="I13" s="132">
        <f>IF(SER_hh_tesh_in!I13=0,0,SER_hh_tesh_in!I13/SER_summary!I$27)</f>
        <v>31.773135894729361</v>
      </c>
      <c r="J13" s="132">
        <f>IF(SER_hh_tesh_in!J13=0,0,SER_hh_tesh_in!J13/SER_summary!J$27)</f>
        <v>31.154258785238618</v>
      </c>
      <c r="K13" s="132">
        <f>IF(SER_hh_tesh_in!K13=0,0,SER_hh_tesh_in!K13/SER_summary!K$27)</f>
        <v>31.023425054181018</v>
      </c>
      <c r="L13" s="132">
        <f>IF(SER_hh_tesh_in!L13=0,0,SER_hh_tesh_in!L13/SER_summary!L$27)</f>
        <v>31.852172455846986</v>
      </c>
      <c r="M13" s="132">
        <f>IF(SER_hh_tesh_in!M13=0,0,SER_hh_tesh_in!M13/SER_summary!M$27)</f>
        <v>28.633541791931609</v>
      </c>
      <c r="N13" s="132">
        <f>IF(SER_hh_tesh_in!N13=0,0,SER_hh_tesh_in!N13/SER_summary!N$27)</f>
        <v>27.457179110238627</v>
      </c>
      <c r="O13" s="132">
        <f>IF(SER_hh_tesh_in!O13=0,0,SER_hh_tesh_in!O13/SER_summary!O$27)</f>
        <v>26.216886024436302</v>
      </c>
      <c r="P13" s="132">
        <f>IF(SER_hh_tesh_in!P13=0,0,SER_hh_tesh_in!P13/SER_summary!P$27)</f>
        <v>24.36118148535391</v>
      </c>
      <c r="Q13" s="132">
        <f>IF(SER_hh_tesh_in!Q13=0,0,SER_hh_tesh_in!Q13/SER_summary!Q$27)</f>
        <v>23.188592433795616</v>
      </c>
      <c r="R13" s="132">
        <f>IF(SER_hh_tesh_in!R13=0,0,SER_hh_tesh_in!R13/SER_summary!R$27)</f>
        <v>21.993248563391546</v>
      </c>
      <c r="S13" s="132">
        <f>IF(SER_hh_tesh_in!S13=0,0,SER_hh_tesh_in!S13/SER_summary!S$27)</f>
        <v>20.455062942306363</v>
      </c>
      <c r="T13" s="132">
        <f>IF(SER_hh_tesh_in!T13=0,0,SER_hh_tesh_in!T13/SER_summary!T$27)</f>
        <v>18.106871293739228</v>
      </c>
      <c r="U13" s="132">
        <f>IF(SER_hh_tesh_in!U13=0,0,SER_hh_tesh_in!U13/SER_summary!U$27)</f>
        <v>16.690854568883619</v>
      </c>
      <c r="V13" s="132">
        <f>IF(SER_hh_tesh_in!V13=0,0,SER_hh_tesh_in!V13/SER_summary!V$27)</f>
        <v>14.461723549777728</v>
      </c>
      <c r="W13" s="132">
        <f>IF(SER_hh_tesh_in!W13=0,0,SER_hh_tesh_in!W13/SER_summary!W$27)</f>
        <v>11.906277925084039</v>
      </c>
      <c r="X13" s="132">
        <f>IF(SER_hh_tesh_in!X13=0,0,SER_hh_tesh_in!X13/SER_summary!X$27)</f>
        <v>9.2826133772284773</v>
      </c>
      <c r="Y13" s="132">
        <f>IF(SER_hh_tesh_in!Y13=0,0,SER_hh_tesh_in!Y13/SER_summary!Y$27)</f>
        <v>9.2284008759217642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40.393854067180264</v>
      </c>
      <c r="E14" s="65">
        <f>IF(SER_hh_tesh_in!E14=0,0,SER_hh_tesh_in!E14/SER_summary!E$27)</f>
        <v>48.973014890931275</v>
      </c>
      <c r="F14" s="65">
        <f>IF(SER_hh_tesh_in!F14=0,0,SER_hh_tesh_in!F14/SER_summary!F$27)</f>
        <v>40.903894531581962</v>
      </c>
      <c r="G14" s="65">
        <f>IF(SER_hh_tesh_in!G14=0,0,SER_hh_tesh_in!G14/SER_summary!G$27)</f>
        <v>0</v>
      </c>
      <c r="H14" s="65">
        <f>IF(SER_hh_tesh_in!H14=0,0,SER_hh_tesh_in!H14/SER_summary!H$27)</f>
        <v>0</v>
      </c>
      <c r="I14" s="65">
        <f>IF(SER_hh_tesh_in!I14=0,0,SER_hh_tesh_in!I14/SER_summary!I$27)</f>
        <v>0</v>
      </c>
      <c r="J14" s="65">
        <f>IF(SER_hh_tesh_in!J14=0,0,SER_hh_tesh_in!J14/SER_summary!J$27)</f>
        <v>0</v>
      </c>
      <c r="K14" s="65">
        <f>IF(SER_hh_tesh_in!K14=0,0,SER_hh_tesh_in!K14/SER_summary!K$27)</f>
        <v>32.832013238252856</v>
      </c>
      <c r="L14" s="65">
        <f>IF(SER_hh_tesh_in!L14=0,0,SER_hh_tesh_in!L14/SER_summary!L$27)</f>
        <v>37.772867131622377</v>
      </c>
      <c r="M14" s="65">
        <f>IF(SER_hh_tesh_in!M14=0,0,SER_hh_tesh_in!M14/SER_summary!M$27)</f>
        <v>0</v>
      </c>
      <c r="N14" s="65">
        <f>IF(SER_hh_tesh_in!N14=0,0,SER_hh_tesh_in!N14/SER_summary!N$27)</f>
        <v>27.766530315328811</v>
      </c>
      <c r="O14" s="65">
        <f>IF(SER_hh_tesh_in!O14=0,0,SER_hh_tesh_in!O14/SER_summary!O$27)</f>
        <v>31.730557888321268</v>
      </c>
      <c r="P14" s="65">
        <f>IF(SER_hh_tesh_in!P14=0,0,SER_hh_tesh_in!P14/SER_summary!P$27)</f>
        <v>0</v>
      </c>
      <c r="Q14" s="65">
        <f>IF(SER_hh_tesh_in!Q14=0,0,SER_hh_tesh_in!Q14/SER_summary!Q$27)</f>
        <v>27.000327660849123</v>
      </c>
      <c r="R14" s="65">
        <f>IF(SER_hh_tesh_in!R14=0,0,SER_hh_tesh_in!R14/SER_summary!R$27)</f>
        <v>28.882217601193304</v>
      </c>
      <c r="S14" s="65">
        <f>IF(SER_hh_tesh_in!S14=0,0,SER_hh_tesh_in!S14/SER_summary!S$27)</f>
        <v>18.682890795241207</v>
      </c>
      <c r="T14" s="65">
        <f>IF(SER_hh_tesh_in!T14=0,0,SER_hh_tesh_in!T14/SER_summary!T$27)</f>
        <v>14.129145889158417</v>
      </c>
      <c r="U14" s="65">
        <f>IF(SER_hh_tesh_in!U14=0,0,SER_hh_tesh_in!U14/SER_summary!U$27)</f>
        <v>16.522722802819349</v>
      </c>
      <c r="V14" s="65">
        <f>IF(SER_hh_tesh_in!V14=0,0,SER_hh_tesh_in!V14/SER_summary!V$27)</f>
        <v>16.577024425929896</v>
      </c>
      <c r="W14" s="65">
        <f>IF(SER_hh_tesh_in!W14=0,0,SER_hh_tesh_in!W14/SER_summary!W$27)</f>
        <v>0</v>
      </c>
      <c r="X14" s="65">
        <f>IF(SER_hh_tesh_in!X14=0,0,SER_hh_tesh_in!X14/SER_summary!X$27)</f>
        <v>0</v>
      </c>
      <c r="Y14" s="65">
        <f>IF(SER_hh_tesh_in!Y14=0,0,SER_hh_tesh_in!Y14/SER_summary!Y$27)</f>
        <v>0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0.58086765923114991</v>
      </c>
      <c r="D15" s="134">
        <f>IF(SER_hh_tesh_in!D15=0,0,SER_hh_tesh_in!D15/SER_summary!D$27)</f>
        <v>0.58007648279881963</v>
      </c>
      <c r="E15" s="134">
        <f>IF(SER_hh_tesh_in!E15=0,0,SER_hh_tesh_in!E15/SER_summary!E$27)</f>
        <v>0.29250680768140891</v>
      </c>
      <c r="F15" s="134">
        <f>IF(SER_hh_tesh_in!F15=0,0,SER_hh_tesh_in!F15/SER_summary!F$27)</f>
        <v>0.30319837578922415</v>
      </c>
      <c r="G15" s="134">
        <f>IF(SER_hh_tesh_in!G15=0,0,SER_hh_tesh_in!G15/SER_summary!G$27)</f>
        <v>0.35891705773189275</v>
      </c>
      <c r="H15" s="134">
        <f>IF(SER_hh_tesh_in!H15=0,0,SER_hh_tesh_in!H15/SER_summary!H$27)</f>
        <v>0.67675335089889677</v>
      </c>
      <c r="I15" s="134">
        <f>IF(SER_hh_tesh_in!I15=0,0,SER_hh_tesh_in!I15/SER_summary!I$27)</f>
        <v>0.44026646439557338</v>
      </c>
      <c r="J15" s="134">
        <f>IF(SER_hh_tesh_in!J15=0,0,SER_hh_tesh_in!J15/SER_summary!J$27)</f>
        <v>0.49923402431566993</v>
      </c>
      <c r="K15" s="134">
        <f>IF(SER_hh_tesh_in!K15=0,0,SER_hh_tesh_in!K15/SER_summary!K$27)</f>
        <v>0.46360968862329816</v>
      </c>
      <c r="L15" s="134">
        <f>IF(SER_hh_tesh_in!L15=0,0,SER_hh_tesh_in!L15/SER_summary!L$27)</f>
        <v>0.43508131542479961</v>
      </c>
      <c r="M15" s="134">
        <f>IF(SER_hh_tesh_in!M15=0,0,SER_hh_tesh_in!M15/SER_summary!M$27)</f>
        <v>0.42806169949860695</v>
      </c>
      <c r="N15" s="134">
        <f>IF(SER_hh_tesh_in!N15=0,0,SER_hh_tesh_in!N15/SER_summary!N$27)</f>
        <v>0.42752929343967455</v>
      </c>
      <c r="O15" s="134">
        <f>IF(SER_hh_tesh_in!O15=0,0,SER_hh_tesh_in!O15/SER_summary!O$27)</f>
        <v>0.47595973137151926</v>
      </c>
      <c r="P15" s="134">
        <f>IF(SER_hh_tesh_in!P15=0,0,SER_hh_tesh_in!P15/SER_summary!P$27)</f>
        <v>0.35200911130466878</v>
      </c>
      <c r="Q15" s="134">
        <f>IF(SER_hh_tesh_in!Q15=0,0,SER_hh_tesh_in!Q15/SER_summary!Q$27)</f>
        <v>0.35237126124579271</v>
      </c>
      <c r="R15" s="134">
        <f>IF(SER_hh_tesh_in!R15=0,0,SER_hh_tesh_in!R15/SER_summary!R$27)</f>
        <v>0.31903719164689431</v>
      </c>
      <c r="S15" s="134">
        <f>IF(SER_hh_tesh_in!S15=0,0,SER_hh_tesh_in!S15/SER_summary!S$27)</f>
        <v>0.219899444924499</v>
      </c>
      <c r="T15" s="134">
        <f>IF(SER_hh_tesh_in!T15=0,0,SER_hh_tesh_in!T15/SER_summary!T$27)</f>
        <v>0.19682234238753127</v>
      </c>
      <c r="U15" s="134">
        <f>IF(SER_hh_tesh_in!U15=0,0,SER_hh_tesh_in!U15/SER_summary!U$27)</f>
        <v>0.1205801129903193</v>
      </c>
      <c r="V15" s="134">
        <f>IF(SER_hh_tesh_in!V15=0,0,SER_hh_tesh_in!V15/SER_summary!V$27)</f>
        <v>0.19590272676537554</v>
      </c>
      <c r="W15" s="134">
        <f>IF(SER_hh_tesh_in!W15=0,0,SER_hh_tesh_in!W15/SER_summary!W$27)</f>
        <v>0.14763583624566406</v>
      </c>
      <c r="X15" s="134">
        <f>IF(SER_hh_tesh_in!X15=0,0,SER_hh_tesh_in!X15/SER_summary!X$27)</f>
        <v>8.7467666206363565E-2</v>
      </c>
      <c r="Y15" s="134">
        <f>IF(SER_hh_tesh_in!Y15=0,0,SER_hh_tesh_in!Y15/SER_summary!Y$27)</f>
        <v>8.8954224533004181E-2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28.013871672543502</v>
      </c>
      <c r="D16" s="130">
        <f>IF(SER_hh_tesh_in!D16=0,0,SER_hh_tesh_in!D16/SER_summary!D$27)</f>
        <v>27.941795926437059</v>
      </c>
      <c r="E16" s="130">
        <f>IF(SER_hh_tesh_in!E16=0,0,SER_hh_tesh_in!E16/SER_summary!E$27)</f>
        <v>33.595883068680081</v>
      </c>
      <c r="F16" s="130">
        <f>IF(SER_hh_tesh_in!F16=0,0,SER_hh_tesh_in!F16/SER_summary!F$27)</f>
        <v>27.246185549056982</v>
      </c>
      <c r="G16" s="130">
        <f>IF(SER_hh_tesh_in!G16=0,0,SER_hh_tesh_in!G16/SER_summary!G$27)</f>
        <v>27.268103208897628</v>
      </c>
      <c r="H16" s="130">
        <f>IF(SER_hh_tesh_in!H16=0,0,SER_hh_tesh_in!H16/SER_summary!H$27)</f>
        <v>29.994188637358757</v>
      </c>
      <c r="I16" s="130">
        <f>IF(SER_hh_tesh_in!I16=0,0,SER_hh_tesh_in!I16/SER_summary!I$27)</f>
        <v>27.161366189496189</v>
      </c>
      <c r="J16" s="130">
        <f>IF(SER_hh_tesh_in!J16=0,0,SER_hh_tesh_in!J16/SER_summary!J$27)</f>
        <v>26.934545476364811</v>
      </c>
      <c r="K16" s="130">
        <f>IF(SER_hh_tesh_in!K16=0,0,SER_hh_tesh_in!K16/SER_summary!K$27)</f>
        <v>26.304287796737125</v>
      </c>
      <c r="L16" s="130">
        <f>IF(SER_hh_tesh_in!L16=0,0,SER_hh_tesh_in!L16/SER_summary!L$27)</f>
        <v>28.221791015885664</v>
      </c>
      <c r="M16" s="130">
        <f>IF(SER_hh_tesh_in!M16=0,0,SER_hh_tesh_in!M16/SER_summary!M$27)</f>
        <v>25.548164982914223</v>
      </c>
      <c r="N16" s="130">
        <f>IF(SER_hh_tesh_in!N16=0,0,SER_hh_tesh_in!N16/SER_summary!N$27)</f>
        <v>25.480589443476454</v>
      </c>
      <c r="O16" s="130">
        <f>IF(SER_hh_tesh_in!O16=0,0,SER_hh_tesh_in!O16/SER_summary!O$27)</f>
        <v>26.08977512227926</v>
      </c>
      <c r="P16" s="130">
        <f>IF(SER_hh_tesh_in!P16=0,0,SER_hh_tesh_in!P16/SER_summary!P$27)</f>
        <v>24.176465434129501</v>
      </c>
      <c r="Q16" s="130">
        <f>IF(SER_hh_tesh_in!Q16=0,0,SER_hh_tesh_in!Q16/SER_summary!Q$27)</f>
        <v>26.686424178541955</v>
      </c>
      <c r="R16" s="130">
        <f>IF(SER_hh_tesh_in!R16=0,0,SER_hh_tesh_in!R16/SER_summary!R$27)</f>
        <v>23.701239061008884</v>
      </c>
      <c r="S16" s="130">
        <f>IF(SER_hh_tesh_in!S16=0,0,SER_hh_tesh_in!S16/SER_summary!S$27)</f>
        <v>22.808107443191908</v>
      </c>
      <c r="T16" s="130">
        <f>IF(SER_hh_tesh_in!T16=0,0,SER_hh_tesh_in!T16/SER_summary!T$27)</f>
        <v>27.122998868970406</v>
      </c>
      <c r="U16" s="130">
        <f>IF(SER_hh_tesh_in!U16=0,0,SER_hh_tesh_in!U16/SER_summary!U$27)</f>
        <v>25.066476604459961</v>
      </c>
      <c r="V16" s="130">
        <f>IF(SER_hh_tesh_in!V16=0,0,SER_hh_tesh_in!V16/SER_summary!V$27)</f>
        <v>20.74973823710538</v>
      </c>
      <c r="W16" s="130">
        <f>IF(SER_hh_tesh_in!W16=0,0,SER_hh_tesh_in!W16/SER_summary!W$27)</f>
        <v>18.421125537472744</v>
      </c>
      <c r="X16" s="130">
        <f>IF(SER_hh_tesh_in!X16=0,0,SER_hh_tesh_in!X16/SER_summary!X$27)</f>
        <v>18.464275811277275</v>
      </c>
      <c r="Y16" s="130">
        <f>IF(SER_hh_tesh_in!Y16=0,0,SER_hh_tesh_in!Y16/SER_summary!Y$27)</f>
        <v>17.848003421659723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28.016824371771161</v>
      </c>
      <c r="D17" s="132">
        <f>IF(SER_hh_tesh_in!D17=0,0,SER_hh_tesh_in!D17/SER_summary!D$27)</f>
        <v>27.950171675367915</v>
      </c>
      <c r="E17" s="132">
        <f>IF(SER_hh_tesh_in!E17=0,0,SER_hh_tesh_in!E17/SER_summary!E$27)</f>
        <v>33.595778843955216</v>
      </c>
      <c r="F17" s="132">
        <f>IF(SER_hh_tesh_in!F17=0,0,SER_hh_tesh_in!F17/SER_summary!F$27)</f>
        <v>27.436245046017444</v>
      </c>
      <c r="G17" s="132">
        <f>IF(SER_hh_tesh_in!G17=0,0,SER_hh_tesh_in!G17/SER_summary!G$27)</f>
        <v>27.467835094366048</v>
      </c>
      <c r="H17" s="132">
        <f>IF(SER_hh_tesh_in!H17=0,0,SER_hh_tesh_in!H17/SER_summary!H$27)</f>
        <v>30.100545233654355</v>
      </c>
      <c r="I17" s="132">
        <f>IF(SER_hh_tesh_in!I17=0,0,SER_hh_tesh_in!I17/SER_summary!I$27)</f>
        <v>27.559566984260545</v>
      </c>
      <c r="J17" s="132">
        <f>IF(SER_hh_tesh_in!J17=0,0,SER_hh_tesh_in!J17/SER_summary!J$27)</f>
        <v>27.222609350735638</v>
      </c>
      <c r="K17" s="132">
        <f>IF(SER_hh_tesh_in!K17=0,0,SER_hh_tesh_in!K17/SER_summary!K$27)</f>
        <v>26.463550814929651</v>
      </c>
      <c r="L17" s="132">
        <f>IF(SER_hh_tesh_in!L17=0,0,SER_hh_tesh_in!L17/SER_summary!L$27)</f>
        <v>28.395272275574499</v>
      </c>
      <c r="M17" s="132">
        <f>IF(SER_hh_tesh_in!M17=0,0,SER_hh_tesh_in!M17/SER_summary!M$27)</f>
        <v>25.607341901531509</v>
      </c>
      <c r="N17" s="132">
        <f>IF(SER_hh_tesh_in!N17=0,0,SER_hh_tesh_in!N17/SER_summary!N$27)</f>
        <v>25.514246690868351</v>
      </c>
      <c r="O17" s="132">
        <f>IF(SER_hh_tesh_in!O17=0,0,SER_hh_tesh_in!O17/SER_summary!O$27)</f>
        <v>26.150725947165185</v>
      </c>
      <c r="P17" s="132">
        <f>IF(SER_hh_tesh_in!P17=0,0,SER_hh_tesh_in!P17/SER_summary!P$27)</f>
        <v>24.555454428422461</v>
      </c>
      <c r="Q17" s="132">
        <f>IF(SER_hh_tesh_in!Q17=0,0,SER_hh_tesh_in!Q17/SER_summary!Q$27)</f>
        <v>22.426060513655344</v>
      </c>
      <c r="R17" s="132">
        <f>IF(SER_hh_tesh_in!R17=0,0,SER_hh_tesh_in!R17/SER_summary!R$27)</f>
        <v>24.380349603906055</v>
      </c>
      <c r="S17" s="132">
        <f>IF(SER_hh_tesh_in!S17=0,0,SER_hh_tesh_in!S17/SER_summary!S$27)</f>
        <v>21.10790255112553</v>
      </c>
      <c r="T17" s="132">
        <f>IF(SER_hh_tesh_in!T17=0,0,SER_hh_tesh_in!T17/SER_summary!T$27)</f>
        <v>27.991280228258123</v>
      </c>
      <c r="U17" s="132">
        <f>IF(SER_hh_tesh_in!U17=0,0,SER_hh_tesh_in!U17/SER_summary!U$27)</f>
        <v>25.703261665693308</v>
      </c>
      <c r="V17" s="132">
        <f>IF(SER_hh_tesh_in!V17=0,0,SER_hh_tesh_in!V17/SER_summary!V$27)</f>
        <v>17.939308915264217</v>
      </c>
      <c r="W17" s="132">
        <f>IF(SER_hh_tesh_in!W17=0,0,SER_hh_tesh_in!W17/SER_summary!W$27)</f>
        <v>15.734373446100108</v>
      </c>
      <c r="X17" s="132">
        <f>IF(SER_hh_tesh_in!X17=0,0,SER_hh_tesh_in!X17/SER_summary!X$27)</f>
        <v>18.437468381305724</v>
      </c>
      <c r="Y17" s="132">
        <f>IF(SER_hh_tesh_in!Y17=0,0,SER_hh_tesh_in!Y17/SER_summary!Y$27)</f>
        <v>17.772685060263811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28.013870753446373</v>
      </c>
      <c r="D18" s="132">
        <f>IF(SER_hh_tesh_in!D18=0,0,SER_hh_tesh_in!D18/SER_summary!D$27)</f>
        <v>27.941793115299614</v>
      </c>
      <c r="E18" s="132">
        <f>IF(SER_hh_tesh_in!E18=0,0,SER_hh_tesh_in!E18/SER_summary!E$27)</f>
        <v>33.595883092897893</v>
      </c>
      <c r="F18" s="132">
        <f>IF(SER_hh_tesh_in!F18=0,0,SER_hh_tesh_in!F18/SER_summary!F$27)</f>
        <v>27.245978892767539</v>
      </c>
      <c r="G18" s="132">
        <f>IF(SER_hh_tesh_in!G18=0,0,SER_hh_tesh_in!G18/SER_summary!G$27)</f>
        <v>27.267946698782829</v>
      </c>
      <c r="H18" s="132">
        <f>IF(SER_hh_tesh_in!H18=0,0,SER_hh_tesh_in!H18/SER_summary!H$27)</f>
        <v>29.994151322877965</v>
      </c>
      <c r="I18" s="132">
        <f>IF(SER_hh_tesh_in!I18=0,0,SER_hh_tesh_in!I18/SER_summary!I$27)</f>
        <v>27.160680965714302</v>
      </c>
      <c r="J18" s="132">
        <f>IF(SER_hh_tesh_in!J18=0,0,SER_hh_tesh_in!J18/SER_summary!J$27)</f>
        <v>26.934196762472489</v>
      </c>
      <c r="K18" s="132">
        <f>IF(SER_hh_tesh_in!K18=0,0,SER_hh_tesh_in!K18/SER_summary!K$27)</f>
        <v>26.304004415735339</v>
      </c>
      <c r="L18" s="132">
        <f>IF(SER_hh_tesh_in!L18=0,0,SER_hh_tesh_in!L18/SER_summary!L$27)</f>
        <v>28.221503808958726</v>
      </c>
      <c r="M18" s="132">
        <f>IF(SER_hh_tesh_in!M18=0,0,SER_hh_tesh_in!M18/SER_summary!M$27)</f>
        <v>25.548049327709311</v>
      </c>
      <c r="N18" s="132">
        <f>IF(SER_hh_tesh_in!N18=0,0,SER_hh_tesh_in!N18/SER_summary!N$27)</f>
        <v>25.48053398893747</v>
      </c>
      <c r="O18" s="132">
        <f>IF(SER_hh_tesh_in!O18=0,0,SER_hh_tesh_in!O18/SER_summary!O$27)</f>
        <v>26.089625201517283</v>
      </c>
      <c r="P18" s="132">
        <f>IF(SER_hh_tesh_in!P18=0,0,SER_hh_tesh_in!P18/SER_summary!P$27)</f>
        <v>24.174185042349688</v>
      </c>
      <c r="Q18" s="132">
        <f>IF(SER_hh_tesh_in!Q18=0,0,SER_hh_tesh_in!Q18/SER_summary!Q$27)</f>
        <v>26.725873624599114</v>
      </c>
      <c r="R18" s="132">
        <f>IF(SER_hh_tesh_in!R18=0,0,SER_hh_tesh_in!R18/SER_summary!R$27)</f>
        <v>23.698252437763188</v>
      </c>
      <c r="S18" s="132">
        <f>IF(SER_hh_tesh_in!S18=0,0,SER_hh_tesh_in!S18/SER_summary!S$27)</f>
        <v>22.822396593255913</v>
      </c>
      <c r="T18" s="132">
        <f>IF(SER_hh_tesh_in!T18=0,0,SER_hh_tesh_in!T18/SER_summary!T$27)</f>
        <v>27.114440006584065</v>
      </c>
      <c r="U18" s="132">
        <f>IF(SER_hh_tesh_in!U18=0,0,SER_hh_tesh_in!U18/SER_summary!U$27)</f>
        <v>25.061318958015068</v>
      </c>
      <c r="V18" s="132">
        <f>IF(SER_hh_tesh_in!V18=0,0,SER_hh_tesh_in!V18/SER_summary!V$27)</f>
        <v>20.764135763481026</v>
      </c>
      <c r="W18" s="132">
        <f>IF(SER_hh_tesh_in!W18=0,0,SER_hh_tesh_in!W18/SER_summary!W$27)</f>
        <v>18.436648649968582</v>
      </c>
      <c r="X18" s="132">
        <f>IF(SER_hh_tesh_in!X18=0,0,SER_hh_tesh_in!X18/SER_summary!X$27)</f>
        <v>18.464403633532559</v>
      </c>
      <c r="Y18" s="132">
        <f>IF(SER_hh_tesh_in!Y18=0,0,SER_hh_tesh_in!Y18/SER_summary!Y$27)</f>
        <v>17.848510545018527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6.5786454206409379</v>
      </c>
      <c r="D19" s="130">
        <f>IF(SER_hh_tesh_in!D19=0,0,SER_hh_tesh_in!D19/SER_summary!D$27)</f>
        <v>6.2066012160745556</v>
      </c>
      <c r="E19" s="130">
        <f>IF(SER_hh_tesh_in!E19=0,0,SER_hh_tesh_in!E19/SER_summary!E$27)</f>
        <v>8.7361813102856196</v>
      </c>
      <c r="F19" s="130">
        <f>IF(SER_hh_tesh_in!F19=0,0,SER_hh_tesh_in!F19/SER_summary!F$27)</f>
        <v>7.2158173874308753</v>
      </c>
      <c r="G19" s="130">
        <f>IF(SER_hh_tesh_in!G19=0,0,SER_hh_tesh_in!G19/SER_summary!G$27)</f>
        <v>6.7836823534412662</v>
      </c>
      <c r="H19" s="130">
        <f>IF(SER_hh_tesh_in!H19=0,0,SER_hh_tesh_in!H19/SER_summary!H$27)</f>
        <v>6.8413591146861421</v>
      </c>
      <c r="I19" s="130">
        <f>IF(SER_hh_tesh_in!I19=0,0,SER_hh_tesh_in!I19/SER_summary!I$27)</f>
        <v>6.7543229359636161</v>
      </c>
      <c r="J19" s="130">
        <f>IF(SER_hh_tesh_in!J19=0,0,SER_hh_tesh_in!J19/SER_summary!J$27)</f>
        <v>6.7084608535947963</v>
      </c>
      <c r="K19" s="130">
        <f>IF(SER_hh_tesh_in!K19=0,0,SER_hh_tesh_in!K19/SER_summary!K$27)</f>
        <v>6.9338965469517433</v>
      </c>
      <c r="L19" s="130">
        <f>IF(SER_hh_tesh_in!L19=0,0,SER_hh_tesh_in!L19/SER_summary!L$27)</f>
        <v>6.8080756490589671</v>
      </c>
      <c r="M19" s="130">
        <f>IF(SER_hh_tesh_in!M19=0,0,SER_hh_tesh_in!M19/SER_summary!M$27)</f>
        <v>6.6500455623508854</v>
      </c>
      <c r="N19" s="130">
        <f>IF(SER_hh_tesh_in!N19=0,0,SER_hh_tesh_in!N19/SER_summary!N$27)</f>
        <v>6.6315712192558625</v>
      </c>
      <c r="O19" s="130">
        <f>IF(SER_hh_tesh_in!O19=0,0,SER_hh_tesh_in!O19/SER_summary!O$27)</f>
        <v>6.7047992978461473</v>
      </c>
      <c r="P19" s="130">
        <f>IF(SER_hh_tesh_in!P19=0,0,SER_hh_tesh_in!P19/SER_summary!P$27)</f>
        <v>6.8440185202754025</v>
      </c>
      <c r="Q19" s="130">
        <f>IF(SER_hh_tesh_in!Q19=0,0,SER_hh_tesh_in!Q19/SER_summary!Q$27)</f>
        <v>6.709573100477872</v>
      </c>
      <c r="R19" s="130">
        <f>IF(SER_hh_tesh_in!R19=0,0,SER_hh_tesh_in!R19/SER_summary!R$27)</f>
        <v>6.4825676073355805</v>
      </c>
      <c r="S19" s="130">
        <f>IF(SER_hh_tesh_in!S19=0,0,SER_hh_tesh_in!S19/SER_summary!S$27)</f>
        <v>6.2677119571853543</v>
      </c>
      <c r="T19" s="130">
        <f>IF(SER_hh_tesh_in!T19=0,0,SER_hh_tesh_in!T19/SER_summary!T$27)</f>
        <v>7.4342216780277219</v>
      </c>
      <c r="U19" s="130">
        <f>IF(SER_hh_tesh_in!U19=0,0,SER_hh_tesh_in!U19/SER_summary!U$27)</f>
        <v>6.8974388083148037</v>
      </c>
      <c r="V19" s="130">
        <f>IF(SER_hh_tesh_in!V19=0,0,SER_hh_tesh_in!V19/SER_summary!V$27)</f>
        <v>6.1650155124182495</v>
      </c>
      <c r="W19" s="130">
        <f>IF(SER_hh_tesh_in!W19=0,0,SER_hh_tesh_in!W19/SER_summary!W$27)</f>
        <v>5.8249986042932944</v>
      </c>
      <c r="X19" s="130">
        <f>IF(SER_hh_tesh_in!X19=0,0,SER_hh_tesh_in!X19/SER_summary!X$27)</f>
        <v>5.7419290161423344</v>
      </c>
      <c r="Y19" s="130">
        <f>IF(SER_hh_tesh_in!Y19=0,0,SER_hh_tesh_in!Y19/SER_summary!Y$27)</f>
        <v>5.5434740981481312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6.1241785853931754</v>
      </c>
      <c r="D21" s="132">
        <f>IF(SER_hh_tesh_in!D21=0,0,SER_hh_tesh_in!D21/SER_summary!D$27)</f>
        <v>6.8096824026678799</v>
      </c>
      <c r="E21" s="132">
        <f>IF(SER_hh_tesh_in!E21=0,0,SER_hh_tesh_in!E21/SER_summary!E$27)</f>
        <v>6.2207314791467425</v>
      </c>
      <c r="F21" s="132">
        <f>IF(SER_hh_tesh_in!F21=0,0,SER_hh_tesh_in!F21/SER_summary!F$27)</f>
        <v>6.9341004807593869</v>
      </c>
      <c r="G21" s="132">
        <f>IF(SER_hh_tesh_in!G21=0,0,SER_hh_tesh_in!G21/SER_summary!G$27)</f>
        <v>7.0136419819835263</v>
      </c>
      <c r="H21" s="132">
        <f>IF(SER_hh_tesh_in!H21=0,0,SER_hh_tesh_in!H21/SER_summary!H$27)</f>
        <v>6.9207772772843228</v>
      </c>
      <c r="I21" s="132">
        <f>IF(SER_hh_tesh_in!I21=0,0,SER_hh_tesh_in!I21/SER_summary!I$27)</f>
        <v>6.8853624958766035</v>
      </c>
      <c r="J21" s="132">
        <f>IF(SER_hh_tesh_in!J21=0,0,SER_hh_tesh_in!J21/SER_summary!J$27)</f>
        <v>6.882161641851571</v>
      </c>
      <c r="K21" s="132">
        <f>IF(SER_hh_tesh_in!K21=0,0,SER_hh_tesh_in!K21/SER_summary!K$27)</f>
        <v>6.8366143385620877</v>
      </c>
      <c r="L21" s="132">
        <f>IF(SER_hh_tesh_in!L21=0,0,SER_hh_tesh_in!L21/SER_summary!L$27)</f>
        <v>6.6839783201661813</v>
      </c>
      <c r="M21" s="132">
        <f>IF(SER_hh_tesh_in!M21=0,0,SER_hh_tesh_in!M21/SER_summary!M$27)</f>
        <v>6.8435038732410467</v>
      </c>
      <c r="N21" s="132">
        <f>IF(SER_hh_tesh_in!N21=0,0,SER_hh_tesh_in!N21/SER_summary!N$27)</f>
        <v>6.8039875714721898</v>
      </c>
      <c r="O21" s="132">
        <f>IF(SER_hh_tesh_in!O21=0,0,SER_hh_tesh_in!O21/SER_summary!O$27)</f>
        <v>6.4100199163585971</v>
      </c>
      <c r="P21" s="132">
        <f>IF(SER_hh_tesh_in!P21=0,0,SER_hh_tesh_in!P21/SER_summary!P$27)</f>
        <v>6.6360216797392777</v>
      </c>
      <c r="Q21" s="132">
        <f>IF(SER_hh_tesh_in!Q21=0,0,SER_hh_tesh_in!Q21/SER_summary!Q$27)</f>
        <v>6.7190879993003092</v>
      </c>
      <c r="R21" s="132">
        <f>IF(SER_hh_tesh_in!R21=0,0,SER_hh_tesh_in!R21/SER_summary!R$27)</f>
        <v>6.8760008704726623</v>
      </c>
      <c r="S21" s="132">
        <f>IF(SER_hh_tesh_in!S21=0,0,SER_hh_tesh_in!S21/SER_summary!S$27)</f>
        <v>5.7390262083342796</v>
      </c>
      <c r="T21" s="132">
        <f>IF(SER_hh_tesh_in!T21=0,0,SER_hh_tesh_in!T21/SER_summary!T$27)</f>
        <v>6.9205649604305002</v>
      </c>
      <c r="U21" s="132">
        <f>IF(SER_hh_tesh_in!U21=0,0,SER_hh_tesh_in!U21/SER_summary!U$27)</f>
        <v>6.9636524474876218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6.6029537960581024</v>
      </c>
      <c r="D22" s="132">
        <f>IF(SER_hh_tesh_in!D22=0,0,SER_hh_tesh_in!D22/SER_summary!D$27)</f>
        <v>0</v>
      </c>
      <c r="E22" s="132">
        <f>IF(SER_hh_tesh_in!E22=0,0,SER_hh_tesh_in!E22/SER_summary!E$27)</f>
        <v>6.0383848998559246</v>
      </c>
      <c r="F22" s="132">
        <f>IF(SER_hh_tesh_in!F22=0,0,SER_hh_tesh_in!F22/SER_summary!F$27)</f>
        <v>6.5350830435347289</v>
      </c>
      <c r="G22" s="132">
        <f>IF(SER_hh_tesh_in!G22=0,0,SER_hh_tesh_in!G22/SER_summary!G$27)</f>
        <v>6.5474490944325119</v>
      </c>
      <c r="H22" s="132">
        <f>IF(SER_hh_tesh_in!H22=0,0,SER_hh_tesh_in!H22/SER_summary!H$27)</f>
        <v>6.8145809297711155</v>
      </c>
      <c r="I22" s="132">
        <f>IF(SER_hh_tesh_in!I22=0,0,SER_hh_tesh_in!I22/SER_summary!I$27)</f>
        <v>6.8178610527918933</v>
      </c>
      <c r="J22" s="132">
        <f>IF(SER_hh_tesh_in!J22=0,0,SER_hh_tesh_in!J22/SER_summary!J$27)</f>
        <v>6.8067788737357962</v>
      </c>
      <c r="K22" s="132">
        <f>IF(SER_hh_tesh_in!K22=0,0,SER_hh_tesh_in!K22/SER_summary!K$27)</f>
        <v>6.7139622860763399</v>
      </c>
      <c r="L22" s="132">
        <f>IF(SER_hh_tesh_in!L22=0,0,SER_hh_tesh_in!L22/SER_summary!L$27)</f>
        <v>6.683571197897443</v>
      </c>
      <c r="M22" s="132">
        <f>IF(SER_hh_tesh_in!M22=0,0,SER_hh_tesh_in!M22/SER_summary!M$27)</f>
        <v>5.4991945411613798</v>
      </c>
      <c r="N22" s="132">
        <f>IF(SER_hh_tesh_in!N22=0,0,SER_hh_tesh_in!N22/SER_summary!N$27)</f>
        <v>6.7145906675751226</v>
      </c>
      <c r="O22" s="132">
        <f>IF(SER_hh_tesh_in!O22=0,0,SER_hh_tesh_in!O22/SER_summary!O$27)</f>
        <v>6.7003883835946176</v>
      </c>
      <c r="P22" s="132">
        <f>IF(SER_hh_tesh_in!P22=0,0,SER_hh_tesh_in!P22/SER_summary!P$27)</f>
        <v>6.7415291345835389</v>
      </c>
      <c r="Q22" s="132">
        <f>IF(SER_hh_tesh_in!Q22=0,0,SER_hh_tesh_in!Q22/SER_summary!Q$27)</f>
        <v>6.7159986307498771</v>
      </c>
      <c r="R22" s="132">
        <f>IF(SER_hh_tesh_in!R22=0,0,SER_hh_tesh_in!R22/SER_summary!R$27)</f>
        <v>6.8287594339405846</v>
      </c>
      <c r="S22" s="132">
        <f>IF(SER_hh_tesh_in!S22=0,0,SER_hh_tesh_in!S22/SER_summary!S$27)</f>
        <v>0</v>
      </c>
      <c r="T22" s="132">
        <f>IF(SER_hh_tesh_in!T22=0,0,SER_hh_tesh_in!T22/SER_summary!T$27)</f>
        <v>0</v>
      </c>
      <c r="U22" s="132">
        <f>IF(SER_hh_tesh_in!U22=0,0,SER_hh_tesh_in!U22/SER_summary!U$27)</f>
        <v>0</v>
      </c>
      <c r="V22" s="132">
        <f>IF(SER_hh_tesh_in!V22=0,0,SER_hh_tesh_in!V22/SER_summary!V$27)</f>
        <v>0</v>
      </c>
      <c r="W22" s="132">
        <f>IF(SER_hh_tesh_in!W22=0,0,SER_hh_tesh_in!W22/SER_summary!W$27)</f>
        <v>4.9713451726324012</v>
      </c>
      <c r="X22" s="132">
        <f>IF(SER_hh_tesh_in!X22=0,0,SER_hh_tesh_in!X22/SER_summary!X$27)</f>
        <v>2.2424076928908296</v>
      </c>
      <c r="Y22" s="132">
        <f>IF(SER_hh_tesh_in!Y22=0,0,SER_hh_tesh_in!Y22/SER_summary!Y$27)</f>
        <v>5.0550003427995058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6.4897394612915278</v>
      </c>
      <c r="D23" s="132">
        <f>IF(SER_hh_tesh_in!D23=0,0,SER_hh_tesh_in!D23/SER_summary!D$27)</f>
        <v>5.9188802728083569</v>
      </c>
      <c r="E23" s="132">
        <f>IF(SER_hh_tesh_in!E23=0,0,SER_hh_tesh_in!E23/SER_summary!E$27)</f>
        <v>0</v>
      </c>
      <c r="F23" s="132">
        <f>IF(SER_hh_tesh_in!F23=0,0,SER_hh_tesh_in!F23/SER_summary!F$27)</f>
        <v>2.9920142802794079</v>
      </c>
      <c r="G23" s="132">
        <f>IF(SER_hh_tesh_in!G23=0,0,SER_hh_tesh_in!G23/SER_summary!G$27)</f>
        <v>6.1804479500943144</v>
      </c>
      <c r="H23" s="132">
        <f>IF(SER_hh_tesh_in!H23=0,0,SER_hh_tesh_in!H23/SER_summary!H$27)</f>
        <v>6.9156913387064058</v>
      </c>
      <c r="I23" s="132">
        <f>IF(SER_hh_tesh_in!I23=0,0,SER_hh_tesh_in!I23/SER_summary!I$27)</f>
        <v>6.6413707872544752</v>
      </c>
      <c r="J23" s="132">
        <f>IF(SER_hh_tesh_in!J23=0,0,SER_hh_tesh_in!J23/SER_summary!J$27)</f>
        <v>6.6533773444246531</v>
      </c>
      <c r="K23" s="132">
        <f>IF(SER_hh_tesh_in!K23=0,0,SER_hh_tesh_in!K23/SER_summary!K$27)</f>
        <v>6.3056774417069903</v>
      </c>
      <c r="L23" s="132">
        <f>IF(SER_hh_tesh_in!L23=0,0,SER_hh_tesh_in!L23/SER_summary!L$27)</f>
        <v>6.6875988835777065</v>
      </c>
      <c r="M23" s="132">
        <f>IF(SER_hh_tesh_in!M23=0,0,SER_hh_tesh_in!M23/SER_summary!M$27)</f>
        <v>5.4724010213164567</v>
      </c>
      <c r="N23" s="132">
        <f>IF(SER_hh_tesh_in!N23=0,0,SER_hh_tesh_in!N23/SER_summary!N$27)</f>
        <v>6.5101907706380908</v>
      </c>
      <c r="O23" s="132">
        <f>IF(SER_hh_tesh_in!O23=0,0,SER_hh_tesh_in!O23/SER_summary!O$27)</f>
        <v>6.5990259022532385</v>
      </c>
      <c r="P23" s="132">
        <f>IF(SER_hh_tesh_in!P23=0,0,SER_hh_tesh_in!P23/SER_summary!P$27)</f>
        <v>6.9464815332216956</v>
      </c>
      <c r="Q23" s="132">
        <f>IF(SER_hh_tesh_in!Q23=0,0,SER_hh_tesh_in!Q23/SER_summary!Q$27)</f>
        <v>6.5254054963090944</v>
      </c>
      <c r="R23" s="132">
        <f>IF(SER_hh_tesh_in!R23=0,0,SER_hh_tesh_in!R23/SER_summary!R$27)</f>
        <v>6.2695829211767755</v>
      </c>
      <c r="S23" s="132">
        <f>IF(SER_hh_tesh_in!S23=0,0,SER_hh_tesh_in!S23/SER_summary!S$27)</f>
        <v>5.9314788735524759</v>
      </c>
      <c r="T23" s="132">
        <f>IF(SER_hh_tesh_in!T23=0,0,SER_hh_tesh_in!T23/SER_summary!T$27)</f>
        <v>7.1304942866943382</v>
      </c>
      <c r="U23" s="132">
        <f>IF(SER_hh_tesh_in!U23=0,0,SER_hh_tesh_in!U23/SER_summary!U$27)</f>
        <v>6.7306602322479145</v>
      </c>
      <c r="V23" s="132">
        <f>IF(SER_hh_tesh_in!V23=0,0,SER_hh_tesh_in!V23/SER_summary!V$27)</f>
        <v>5.2568220147959792</v>
      </c>
      <c r="W23" s="132">
        <f>IF(SER_hh_tesh_in!W23=0,0,SER_hh_tesh_in!W23/SER_summary!W$27)</f>
        <v>5.6397273811322099</v>
      </c>
      <c r="X23" s="132">
        <f>IF(SER_hh_tesh_in!X23=0,0,SER_hh_tesh_in!X23/SER_summary!X$27)</f>
        <v>4.7011514186277674</v>
      </c>
      <c r="Y23" s="132">
        <f>IF(SER_hh_tesh_in!Y23=0,0,SER_hh_tesh_in!Y23/SER_summary!Y$27)</f>
        <v>5.5640460567791568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0</v>
      </c>
      <c r="D25" s="132">
        <f>IF(SER_hh_tesh_in!D25=0,0,SER_hh_tesh_in!D25/SER_summary!D$27)</f>
        <v>0</v>
      </c>
      <c r="E25" s="132">
        <f>IF(SER_hh_tesh_in!E25=0,0,SER_hh_tesh_in!E25/SER_summary!E$27)</f>
        <v>9.2106181476728182</v>
      </c>
      <c r="F25" s="132">
        <f>IF(SER_hh_tesh_in!F25=0,0,SER_hh_tesh_in!F25/SER_summary!F$27)</f>
        <v>7.5026962633804297</v>
      </c>
      <c r="G25" s="132">
        <f>IF(SER_hh_tesh_in!G25=0,0,SER_hh_tesh_in!G25/SER_summary!G$27)</f>
        <v>6.7882393576449873</v>
      </c>
      <c r="H25" s="132">
        <f>IF(SER_hh_tesh_in!H25=0,0,SER_hh_tesh_in!H25/SER_summary!H$27)</f>
        <v>6.8723129528380769</v>
      </c>
      <c r="I25" s="132">
        <f>IF(SER_hh_tesh_in!I25=0,0,SER_hh_tesh_in!I25/SER_summary!I$27)</f>
        <v>6.7594085436921247</v>
      </c>
      <c r="J25" s="132">
        <f>IF(SER_hh_tesh_in!J25=0,0,SER_hh_tesh_in!J25/SER_summary!J$27)</f>
        <v>6.7783849126703668</v>
      </c>
      <c r="K25" s="132">
        <f>IF(SER_hh_tesh_in!K25=0,0,SER_hh_tesh_in!K25/SER_summary!K$27)</f>
        <v>6.7703112401011003</v>
      </c>
      <c r="L25" s="132">
        <f>IF(SER_hh_tesh_in!L25=0,0,SER_hh_tesh_in!L25/SER_summary!L$27)</f>
        <v>6.765272821233717</v>
      </c>
      <c r="M25" s="132">
        <f>IF(SER_hh_tesh_in!M25=0,0,SER_hh_tesh_in!M25/SER_summary!M$27)</f>
        <v>6.9600327897589338</v>
      </c>
      <c r="N25" s="132">
        <f>IF(SER_hh_tesh_in!N25=0,0,SER_hh_tesh_in!N25/SER_summary!N$27)</f>
        <v>0</v>
      </c>
      <c r="O25" s="132">
        <f>IF(SER_hh_tesh_in!O25=0,0,SER_hh_tesh_in!O25/SER_summary!O$27)</f>
        <v>0</v>
      </c>
      <c r="P25" s="132">
        <f>IF(SER_hh_tesh_in!P25=0,0,SER_hh_tesh_in!P25/SER_summary!P$27)</f>
        <v>0</v>
      </c>
      <c r="Q25" s="132">
        <f>IF(SER_hh_tesh_in!Q25=0,0,SER_hh_tesh_in!Q25/SER_summary!Q$27)</f>
        <v>0</v>
      </c>
      <c r="R25" s="132">
        <f>IF(SER_hh_tesh_in!R25=0,0,SER_hh_tesh_in!R25/SER_summary!R$27)</f>
        <v>0</v>
      </c>
      <c r="S25" s="132">
        <f>IF(SER_hh_tesh_in!S25=0,0,SER_hh_tesh_in!S25/SER_summary!S$27)</f>
        <v>6.5398867233726481</v>
      </c>
      <c r="T25" s="132">
        <f>IF(SER_hh_tesh_in!T25=0,0,SER_hh_tesh_in!T25/SER_summary!T$27)</f>
        <v>6.8868240010761097</v>
      </c>
      <c r="U25" s="132">
        <f>IF(SER_hh_tesh_in!U25=0,0,SER_hh_tesh_in!U25/SER_summary!U$27)</f>
        <v>6.5290824491298016</v>
      </c>
      <c r="V25" s="132">
        <f>IF(SER_hh_tesh_in!V25=0,0,SER_hh_tesh_in!V25/SER_summary!V$27)</f>
        <v>5.3446653565743958</v>
      </c>
      <c r="W25" s="132">
        <f>IF(SER_hh_tesh_in!W25=0,0,SER_hh_tesh_in!W25/SER_summary!W$27)</f>
        <v>6.041164496337502</v>
      </c>
      <c r="X25" s="132">
        <f>IF(SER_hh_tesh_in!X25=0,0,SER_hh_tesh_in!X25/SER_summary!X$27)</f>
        <v>3.9490021711757688</v>
      </c>
      <c r="Y25" s="132">
        <f>IF(SER_hh_tesh_in!Y25=0,0,SER_hh_tesh_in!Y25/SER_summary!Y$27)</f>
        <v>5.4817697446738638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6.0470654275929592</v>
      </c>
      <c r="D26" s="65">
        <f>IF(SER_hh_tesh_in!D26=0,0,SER_hh_tesh_in!D26/SER_summary!D$27)</f>
        <v>3.4215089243329353</v>
      </c>
      <c r="E26" s="65">
        <f>IF(SER_hh_tesh_in!E26=0,0,SER_hh_tesh_in!E26/SER_summary!E$27)</f>
        <v>0</v>
      </c>
      <c r="F26" s="65">
        <f>IF(SER_hh_tesh_in!F26=0,0,SER_hh_tesh_in!F26/SER_summary!F$27)</f>
        <v>0</v>
      </c>
      <c r="G26" s="65">
        <f>IF(SER_hh_tesh_in!G26=0,0,SER_hh_tesh_in!G26/SER_summary!G$27)</f>
        <v>0</v>
      </c>
      <c r="H26" s="65">
        <f>IF(SER_hh_tesh_in!H26=0,0,SER_hh_tesh_in!H26/SER_summary!H$27)</f>
        <v>4.3104738994359657</v>
      </c>
      <c r="I26" s="65">
        <f>IF(SER_hh_tesh_in!I26=0,0,SER_hh_tesh_in!I26/SER_summary!I$27)</f>
        <v>5.0274055934008439</v>
      </c>
      <c r="J26" s="65">
        <f>IF(SER_hh_tesh_in!J26=0,0,SER_hh_tesh_in!J26/SER_summary!J$27)</f>
        <v>6.2493929361863207</v>
      </c>
      <c r="K26" s="65">
        <f>IF(SER_hh_tesh_in!K26=0,0,SER_hh_tesh_in!K26/SER_summary!K$27)</f>
        <v>3.2177574542978364</v>
      </c>
      <c r="L26" s="65">
        <f>IF(SER_hh_tesh_in!L26=0,0,SER_hh_tesh_in!L26/SER_summary!L$27)</f>
        <v>5.4222585907280783</v>
      </c>
      <c r="M26" s="65">
        <f>IF(SER_hh_tesh_in!M26=0,0,SER_hh_tesh_in!M26/SER_summary!M$27)</f>
        <v>2.8655794631081499</v>
      </c>
      <c r="N26" s="65">
        <f>IF(SER_hh_tesh_in!N26=0,0,SER_hh_tesh_in!N26/SER_summary!N$27)</f>
        <v>5.3063844568165761</v>
      </c>
      <c r="O26" s="65">
        <f>IF(SER_hh_tesh_in!O26=0,0,SER_hh_tesh_in!O26/SER_summary!O$27)</f>
        <v>3.387340183031708</v>
      </c>
      <c r="P26" s="65">
        <f>IF(SER_hh_tesh_in!P26=0,0,SER_hh_tesh_in!P26/SER_summary!P$27)</f>
        <v>6.4687289893593398</v>
      </c>
      <c r="Q26" s="65">
        <f>IF(SER_hh_tesh_in!Q26=0,0,SER_hh_tesh_in!Q26/SER_summary!Q$27)</f>
        <v>5.3284848261490447</v>
      </c>
      <c r="R26" s="65">
        <f>IF(SER_hh_tesh_in!R26=0,0,SER_hh_tesh_in!R26/SER_summary!R$27)</f>
        <v>5.5738092515067708</v>
      </c>
      <c r="S26" s="65">
        <f>IF(SER_hh_tesh_in!S26=0,0,SER_hh_tesh_in!S26/SER_summary!S$27)</f>
        <v>3.3408650145101375</v>
      </c>
      <c r="T26" s="65">
        <f>IF(SER_hh_tesh_in!T26=0,0,SER_hh_tesh_in!T26/SER_summary!T$27)</f>
        <v>0</v>
      </c>
      <c r="U26" s="65">
        <f>IF(SER_hh_tesh_in!U26=0,0,SER_hh_tesh_in!U26/SER_summary!U$27)</f>
        <v>0</v>
      </c>
      <c r="V26" s="65">
        <f>IF(SER_hh_tesh_in!V26=0,0,SER_hh_tesh_in!V26/SER_summary!V$27)</f>
        <v>0</v>
      </c>
      <c r="W26" s="65">
        <f>IF(SER_hh_tesh_in!W26=0,0,SER_hh_tesh_in!W26/SER_summary!W$27)</f>
        <v>0</v>
      </c>
      <c r="X26" s="65">
        <f>IF(SER_hh_tesh_in!X26=0,0,SER_hh_tesh_in!X26/SER_summary!X$27)</f>
        <v>0</v>
      </c>
      <c r="Y26" s="65">
        <f>IF(SER_hh_tesh_in!Y26=0,0,SER_hh_tesh_in!Y26/SER_summary!Y$27)</f>
        <v>0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0.15992553416400843</v>
      </c>
      <c r="D27" s="145">
        <f>IF(SER_hh_tesh_in!D27=0,0,SER_hh_tesh_in!D27/SER_summary!D$27)</f>
        <v>0.76664178967962282</v>
      </c>
      <c r="E27" s="145">
        <f>IF(SER_hh_tesh_in!E27=0,0,SER_hh_tesh_in!E27/SER_summary!E$27)</f>
        <v>0.53767145013934647</v>
      </c>
      <c r="F27" s="145">
        <f>IF(SER_hh_tesh_in!F27=0,0,SER_hh_tesh_in!F27/SER_summary!F$27)</f>
        <v>0.12107468150479278</v>
      </c>
      <c r="G27" s="145">
        <f>IF(SER_hh_tesh_in!G27=0,0,SER_hh_tesh_in!G27/SER_summary!G$27)</f>
        <v>0.28836916854191286</v>
      </c>
      <c r="H27" s="145">
        <f>IF(SER_hh_tesh_in!H27=0,0,SER_hh_tesh_in!H27/SER_summary!H$27)</f>
        <v>0.30863698477176577</v>
      </c>
      <c r="I27" s="145">
        <f>IF(SER_hh_tesh_in!I27=0,0,SER_hh_tesh_in!I27/SER_summary!I$27)</f>
        <v>0.5561444862783691</v>
      </c>
      <c r="J27" s="145">
        <f>IF(SER_hh_tesh_in!J27=0,0,SER_hh_tesh_in!J27/SER_summary!J$27)</f>
        <v>0.16834516784013559</v>
      </c>
      <c r="K27" s="145">
        <f>IF(SER_hh_tesh_in!K27=0,0,SER_hh_tesh_in!K27/SER_summary!K$27)</f>
        <v>1.8331484015706951</v>
      </c>
      <c r="L27" s="145">
        <f>IF(SER_hh_tesh_in!L27=0,0,SER_hh_tesh_in!L27/SER_summary!L$27)</f>
        <v>0.48017599431390978</v>
      </c>
      <c r="M27" s="145">
        <f>IF(SER_hh_tesh_in!M27=0,0,SER_hh_tesh_in!M27/SER_summary!M$27)</f>
        <v>1.7962065208524147</v>
      </c>
      <c r="N27" s="145">
        <f>IF(SER_hh_tesh_in!N27=0,0,SER_hh_tesh_in!N27/SER_summary!N$27)</f>
        <v>0.35748099080577872</v>
      </c>
      <c r="O27" s="145">
        <f>IF(SER_hh_tesh_in!O27=0,0,SER_hh_tesh_in!O27/SER_summary!O$27)</f>
        <v>0.77114560223709239</v>
      </c>
      <c r="P27" s="145">
        <f>IF(SER_hh_tesh_in!P27=0,0,SER_hh_tesh_in!P27/SER_summary!P$27)</f>
        <v>4.0410716043433423E-4</v>
      </c>
      <c r="Q27" s="145">
        <f>IF(SER_hh_tesh_in!Q27=0,0,SER_hh_tesh_in!Q27/SER_summary!Q$27)</f>
        <v>0.38156684477691288</v>
      </c>
      <c r="R27" s="145">
        <f>IF(SER_hh_tesh_in!R27=0,0,SER_hh_tesh_in!R27/SER_summary!R$27)</f>
        <v>0.28784241555842438</v>
      </c>
      <c r="S27" s="145">
        <f>IF(SER_hh_tesh_in!S27=0,0,SER_hh_tesh_in!S27/SER_summary!S$27)</f>
        <v>0.4268485419847608</v>
      </c>
      <c r="T27" s="145">
        <f>IF(SER_hh_tesh_in!T27=0,0,SER_hh_tesh_in!T27/SER_summary!T$27)</f>
        <v>0.34381145565033266</v>
      </c>
      <c r="U27" s="145">
        <f>IF(SER_hh_tesh_in!U27=0,0,SER_hh_tesh_in!U27/SER_summary!U$27)</f>
        <v>0.21763696528725796</v>
      </c>
      <c r="V27" s="145">
        <f>IF(SER_hh_tesh_in!V27=0,0,SER_hh_tesh_in!V27/SER_summary!V$27)</f>
        <v>0.89830080078852037</v>
      </c>
      <c r="W27" s="145">
        <f>IF(SER_hh_tesh_in!W27=0,0,SER_hh_tesh_in!W27/SER_summary!W$27)</f>
        <v>0.21461723623192966</v>
      </c>
      <c r="X27" s="145">
        <f>IF(SER_hh_tesh_in!X27=0,0,SER_hh_tesh_in!X27/SER_summary!X$27)</f>
        <v>1.2402255034920462</v>
      </c>
      <c r="Y27" s="145">
        <f>IF(SER_hh_tesh_in!Y27=0,0,SER_hh_tesh_in!Y27/SER_summary!Y$27)</f>
        <v>2.8029308178898763E-2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3.8605906199240914</v>
      </c>
      <c r="D28" s="146">
        <f>IF(SER_hh_tesh_in!D28=0,0,SER_hh_tesh_in!D28/SER_summary!D$27)</f>
        <v>3.7699959652943256</v>
      </c>
      <c r="E28" s="146">
        <f>IF(SER_hh_tesh_in!E28=0,0,SER_hh_tesh_in!E28/SER_summary!E$27)</f>
        <v>5.2038488820969349</v>
      </c>
      <c r="F28" s="146">
        <f>IF(SER_hh_tesh_in!F28=0,0,SER_hh_tesh_in!F28/SER_summary!F$27)</f>
        <v>3.8171691686841078</v>
      </c>
      <c r="G28" s="146">
        <f>IF(SER_hh_tesh_in!G28=0,0,SER_hh_tesh_in!G28/SER_summary!G$27)</f>
        <v>3.6496007923731222</v>
      </c>
      <c r="H28" s="146">
        <f>IF(SER_hh_tesh_in!H28=0,0,SER_hh_tesh_in!H28/SER_summary!H$27)</f>
        <v>3.7818361440823423</v>
      </c>
      <c r="I28" s="146">
        <f>IF(SER_hh_tesh_in!I28=0,0,SER_hh_tesh_in!I28/SER_summary!I$27)</f>
        <v>3.4522093062948267</v>
      </c>
      <c r="J28" s="146">
        <f>IF(SER_hh_tesh_in!J28=0,0,SER_hh_tesh_in!J28/SER_summary!J$27)</f>
        <v>3.768996009635543</v>
      </c>
      <c r="K28" s="146">
        <f>IF(SER_hh_tesh_in!K28=0,0,SER_hh_tesh_in!K28/SER_summary!K$27)</f>
        <v>3.8418710313555438</v>
      </c>
      <c r="L28" s="146">
        <f>IF(SER_hh_tesh_in!L28=0,0,SER_hh_tesh_in!L28/SER_summary!L$27)</f>
        <v>3.8369986988886726</v>
      </c>
      <c r="M28" s="146">
        <f>IF(SER_hh_tesh_in!M28=0,0,SER_hh_tesh_in!M28/SER_summary!M$27)</f>
        <v>3.6013752317655179</v>
      </c>
      <c r="N28" s="146">
        <f>IF(SER_hh_tesh_in!N28=0,0,SER_hh_tesh_in!N28/SER_summary!N$27)</f>
        <v>3.6610909768027082</v>
      </c>
      <c r="O28" s="146">
        <f>IF(SER_hh_tesh_in!O28=0,0,SER_hh_tesh_in!O28/SER_summary!O$27)</f>
        <v>3.4719235418706509</v>
      </c>
      <c r="P28" s="146">
        <f>IF(SER_hh_tesh_in!P28=0,0,SER_hh_tesh_in!P28/SER_summary!P$27)</f>
        <v>4.0658235898217931</v>
      </c>
      <c r="Q28" s="146">
        <f>IF(SER_hh_tesh_in!Q28=0,0,SER_hh_tesh_in!Q28/SER_summary!Q$27)</f>
        <v>3.8988584582651238</v>
      </c>
      <c r="R28" s="146">
        <f>IF(SER_hh_tesh_in!R28=0,0,SER_hh_tesh_in!R28/SER_summary!R$27)</f>
        <v>3.8353859314692986</v>
      </c>
      <c r="S28" s="146">
        <f>IF(SER_hh_tesh_in!S28=0,0,SER_hh_tesh_in!S28/SER_summary!S$27)</f>
        <v>3.4581232568496159</v>
      </c>
      <c r="T28" s="146">
        <f>IF(SER_hh_tesh_in!T28=0,0,SER_hh_tesh_in!T28/SER_summary!T$27)</f>
        <v>4.503062638521893</v>
      </c>
      <c r="U28" s="146">
        <f>IF(SER_hh_tesh_in!U28=0,0,SER_hh_tesh_in!U28/SER_summary!U$27)</f>
        <v>3.9198146345463729</v>
      </c>
      <c r="V28" s="146">
        <f>IF(SER_hh_tesh_in!V28=0,0,SER_hh_tesh_in!V28/SER_summary!V$27)</f>
        <v>3.8042913684903774</v>
      </c>
      <c r="W28" s="146">
        <f>IF(SER_hh_tesh_in!W28=0,0,SER_hh_tesh_in!W28/SER_summary!W$27)</f>
        <v>3.149595986272177</v>
      </c>
      <c r="X28" s="146">
        <f>IF(SER_hh_tesh_in!X28=0,0,SER_hh_tesh_in!X28/SER_summary!X$27)</f>
        <v>3.4190765759017641</v>
      </c>
      <c r="Y28" s="146">
        <f>IF(SER_hh_tesh_in!Y28=0,0,SER_hh_tesh_in!Y28/SER_summary!Y$27)</f>
        <v>3.6241483303287616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7.1536190012307106</v>
      </c>
      <c r="D29" s="130">
        <f>IF(SER_hh_tesh_in!D29=0,0,SER_hh_tesh_in!D29/SER_summary!D$27)</f>
        <v>7.5456716686053493</v>
      </c>
      <c r="E29" s="130">
        <f>IF(SER_hh_tesh_in!E29=0,0,SER_hh_tesh_in!E29/SER_summary!E$27)</f>
        <v>7.9566546207057929</v>
      </c>
      <c r="F29" s="130">
        <f>IF(SER_hh_tesh_in!F29=0,0,SER_hh_tesh_in!F29/SER_summary!F$27)</f>
        <v>7.8019291603551109</v>
      </c>
      <c r="G29" s="130">
        <f>IF(SER_hh_tesh_in!G29=0,0,SER_hh_tesh_in!G29/SER_summary!G$27)</f>
        <v>7.5843970935471337</v>
      </c>
      <c r="H29" s="130">
        <f>IF(SER_hh_tesh_in!H29=0,0,SER_hh_tesh_in!H29/SER_summary!H$27)</f>
        <v>7.4648764024736387</v>
      </c>
      <c r="I29" s="130">
        <f>IF(SER_hh_tesh_in!I29=0,0,SER_hh_tesh_in!I29/SER_summary!I$27)</f>
        <v>7.5750611198816165</v>
      </c>
      <c r="J29" s="130">
        <f>IF(SER_hh_tesh_in!J29=0,0,SER_hh_tesh_in!J29/SER_summary!J$27)</f>
        <v>7.2648433058264565</v>
      </c>
      <c r="K29" s="130">
        <f>IF(SER_hh_tesh_in!K29=0,0,SER_hh_tesh_in!K29/SER_summary!K$27)</f>
        <v>7.625655473076228</v>
      </c>
      <c r="L29" s="130">
        <f>IF(SER_hh_tesh_in!L29=0,0,SER_hh_tesh_in!L29/SER_summary!L$27)</f>
        <v>7.8313791850058418</v>
      </c>
      <c r="M29" s="130">
        <f>IF(SER_hh_tesh_in!M29=0,0,SER_hh_tesh_in!M29/SER_summary!M$27)</f>
        <v>7.6496593750309696</v>
      </c>
      <c r="N29" s="130">
        <f>IF(SER_hh_tesh_in!N29=0,0,SER_hh_tesh_in!N29/SER_summary!N$27)</f>
        <v>7.525508300784554</v>
      </c>
      <c r="O29" s="130">
        <f>IF(SER_hh_tesh_in!O29=0,0,SER_hh_tesh_in!O29/SER_summary!O$27)</f>
        <v>7.3900730066598745</v>
      </c>
      <c r="P29" s="130">
        <f>IF(SER_hh_tesh_in!P29=0,0,SER_hh_tesh_in!P29/SER_summary!P$27)</f>
        <v>8.5636353825562654</v>
      </c>
      <c r="Q29" s="130">
        <f>IF(SER_hh_tesh_in!Q29=0,0,SER_hh_tesh_in!Q29/SER_summary!Q$27)</f>
        <v>7.7629539800423633</v>
      </c>
      <c r="R29" s="130">
        <f>IF(SER_hh_tesh_in!R29=0,0,SER_hh_tesh_in!R29/SER_summary!R$27)</f>
        <v>7.6506217099850993</v>
      </c>
      <c r="S29" s="130">
        <f>IF(SER_hh_tesh_in!S29=0,0,SER_hh_tesh_in!S29/SER_summary!S$27)</f>
        <v>7.8234340428849212</v>
      </c>
      <c r="T29" s="130">
        <f>IF(SER_hh_tesh_in!T29=0,0,SER_hh_tesh_in!T29/SER_summary!T$27)</f>
        <v>8.0463876510590087</v>
      </c>
      <c r="U29" s="130">
        <f>IF(SER_hh_tesh_in!U29=0,0,SER_hh_tesh_in!U29/SER_summary!U$27)</f>
        <v>7.9961085603700761</v>
      </c>
      <c r="V29" s="130">
        <f>IF(SER_hh_tesh_in!V29=0,0,SER_hh_tesh_in!V29/SER_summary!V$27)</f>
        <v>7.3398060242755836</v>
      </c>
      <c r="W29" s="130">
        <f>IF(SER_hh_tesh_in!W29=0,0,SER_hh_tesh_in!W29/SER_summary!W$27)</f>
        <v>6.3910081741488831</v>
      </c>
      <c r="X29" s="130">
        <f>IF(SER_hh_tesh_in!X29=0,0,SER_hh_tesh_in!X29/SER_summary!X$27)</f>
        <v>6.4698569001041859</v>
      </c>
      <c r="Y29" s="130">
        <f>IF(SER_hh_tesh_in!Y29=0,0,SER_hh_tesh_in!Y29/SER_summary!Y$27)</f>
        <v>6.3924411412035669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6.9317900349474177</v>
      </c>
      <c r="D30" s="132">
        <f>IF(SER_hh_tesh_in!D30=0,0,SER_hh_tesh_in!D30/SER_summary!D$27)</f>
        <v>5.0826627107835929</v>
      </c>
      <c r="E30" s="132">
        <f>IF(SER_hh_tesh_in!E30=0,0,SER_hh_tesh_in!E30/SER_summary!E$27)</f>
        <v>8.79330526915966</v>
      </c>
      <c r="F30" s="132">
        <f>IF(SER_hh_tesh_in!F30=0,0,SER_hh_tesh_in!F30/SER_summary!F$27)</f>
        <v>6.9209843625141234</v>
      </c>
      <c r="G30" s="132">
        <f>IF(SER_hh_tesh_in!G30=0,0,SER_hh_tesh_in!G30/SER_summary!G$27)</f>
        <v>11.114721339054665</v>
      </c>
      <c r="H30" s="132">
        <f>IF(SER_hh_tesh_in!H30=0,0,SER_hh_tesh_in!H30/SER_summary!H$27)</f>
        <v>7.1231445918957697</v>
      </c>
      <c r="I30" s="132">
        <f>IF(SER_hh_tesh_in!I30=0,0,SER_hh_tesh_in!I30/SER_summary!I$27)</f>
        <v>6.7180145431146352</v>
      </c>
      <c r="J30" s="132">
        <f>IF(SER_hh_tesh_in!J30=0,0,SER_hh_tesh_in!J30/SER_summary!J$27)</f>
        <v>7.9680900640120056</v>
      </c>
      <c r="K30" s="132">
        <f>IF(SER_hh_tesh_in!K30=0,0,SER_hh_tesh_in!K30/SER_summary!K$27)</f>
        <v>7.2043826830126934</v>
      </c>
      <c r="L30" s="132">
        <f>IF(SER_hh_tesh_in!L30=0,0,SER_hh_tesh_in!L30/SER_summary!L$27)</f>
        <v>6.1286703848151962</v>
      </c>
      <c r="M30" s="132">
        <f>IF(SER_hh_tesh_in!M30=0,0,SER_hh_tesh_in!M30/SER_summary!M$27)</f>
        <v>6.0851311489710369</v>
      </c>
      <c r="N30" s="132">
        <f>IF(SER_hh_tesh_in!N30=0,0,SER_hh_tesh_in!N30/SER_summary!N$27)</f>
        <v>6.7959428875387848</v>
      </c>
      <c r="O30" s="132">
        <f>IF(SER_hh_tesh_in!O30=0,0,SER_hh_tesh_in!O30/SER_summary!O$27)</f>
        <v>9.0804072748305167</v>
      </c>
      <c r="P30" s="132">
        <f>IF(SER_hh_tesh_in!P30=0,0,SER_hh_tesh_in!P30/SER_summary!P$27)</f>
        <v>7.7109828219331291</v>
      </c>
      <c r="Q30" s="132">
        <f>IF(SER_hh_tesh_in!Q30=0,0,SER_hh_tesh_in!Q30/SER_summary!Q$27)</f>
        <v>6.6897905888688953</v>
      </c>
      <c r="R30" s="132">
        <f>IF(SER_hh_tesh_in!R30=0,0,SER_hh_tesh_in!R30/SER_summary!R$27)</f>
        <v>9.1236067753663281</v>
      </c>
      <c r="S30" s="132">
        <f>IF(SER_hh_tesh_in!S30=0,0,SER_hh_tesh_in!S30/SER_summary!S$27)</f>
        <v>6.0542906856615142</v>
      </c>
      <c r="T30" s="132">
        <f>IF(SER_hh_tesh_in!T30=0,0,SER_hh_tesh_in!T30/SER_summary!T$27)</f>
        <v>7.9393834159965637</v>
      </c>
      <c r="U30" s="132">
        <f>IF(SER_hh_tesh_in!U30=0,0,SER_hh_tesh_in!U30/SER_summary!U$27)</f>
        <v>8.3896811379019294</v>
      </c>
      <c r="V30" s="132">
        <f>IF(SER_hh_tesh_in!V30=0,0,SER_hh_tesh_in!V30/SER_summary!V$27)</f>
        <v>8.3409779528271795</v>
      </c>
      <c r="W30" s="132">
        <f>IF(SER_hh_tesh_in!W30=0,0,SER_hh_tesh_in!W30/SER_summary!W$27)</f>
        <v>6.9642742896040772</v>
      </c>
      <c r="X30" s="132">
        <f>IF(SER_hh_tesh_in!X30=0,0,SER_hh_tesh_in!X30/SER_summary!X$27)</f>
        <v>9.08043144790234</v>
      </c>
      <c r="Y30" s="132">
        <f>IF(SER_hh_tesh_in!Y30=0,0,SER_hh_tesh_in!Y30/SER_summary!Y$27)</f>
        <v>0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7.1740551484542863</v>
      </c>
      <c r="D31" s="132">
        <f>IF(SER_hh_tesh_in!D31=0,0,SER_hh_tesh_in!D31/SER_summary!D$27)</f>
        <v>7.6219164353601352</v>
      </c>
      <c r="E31" s="132">
        <f>IF(SER_hh_tesh_in!E31=0,0,SER_hh_tesh_in!E31/SER_summary!E$27)</f>
        <v>7.7708777912075853</v>
      </c>
      <c r="F31" s="132">
        <f>IF(SER_hh_tesh_in!F31=0,0,SER_hh_tesh_in!F31/SER_summary!F$27)</f>
        <v>7.8705748117785284</v>
      </c>
      <c r="G31" s="132">
        <f>IF(SER_hh_tesh_in!G31=0,0,SER_hh_tesh_in!G31/SER_summary!G$27)</f>
        <v>7.5805287098653515</v>
      </c>
      <c r="H31" s="132">
        <f>IF(SER_hh_tesh_in!H31=0,0,SER_hh_tesh_in!H31/SER_summary!H$27)</f>
        <v>7.576883583063398</v>
      </c>
      <c r="I31" s="132">
        <f>IF(SER_hh_tesh_in!I31=0,0,SER_hh_tesh_in!I31/SER_summary!I$27)</f>
        <v>7.423176285493267</v>
      </c>
      <c r="J31" s="132">
        <f>IF(SER_hh_tesh_in!J31=0,0,SER_hh_tesh_in!J31/SER_summary!J$27)</f>
        <v>7.4698776509455325</v>
      </c>
      <c r="K31" s="132">
        <f>IF(SER_hh_tesh_in!K31=0,0,SER_hh_tesh_in!K31/SER_summary!K$27)</f>
        <v>7.6682096663286963</v>
      </c>
      <c r="L31" s="132">
        <f>IF(SER_hh_tesh_in!L31=0,0,SER_hh_tesh_in!L31/SER_summary!L$27)</f>
        <v>7.6182205018256344</v>
      </c>
      <c r="M31" s="132">
        <f>IF(SER_hh_tesh_in!M31=0,0,SER_hh_tesh_in!M31/SER_summary!M$27)</f>
        <v>7.5195374689806762</v>
      </c>
      <c r="N31" s="132">
        <f>IF(SER_hh_tesh_in!N31=0,0,SER_hh_tesh_in!N31/SER_summary!N$27)</f>
        <v>7.3414798569087427</v>
      </c>
      <c r="O31" s="132">
        <f>IF(SER_hh_tesh_in!O31=0,0,SER_hh_tesh_in!O31/SER_summary!O$27)</f>
        <v>7.0778141559477366</v>
      </c>
      <c r="P31" s="132">
        <f>IF(SER_hh_tesh_in!P31=0,0,SER_hh_tesh_in!P31/SER_summary!P$27)</f>
        <v>8.5939326794366639</v>
      </c>
      <c r="Q31" s="132">
        <f>IF(SER_hh_tesh_in!Q31=0,0,SER_hh_tesh_in!Q31/SER_summary!Q$27)</f>
        <v>7.8098271247450972</v>
      </c>
      <c r="R31" s="132">
        <f>IF(SER_hh_tesh_in!R31=0,0,SER_hh_tesh_in!R31/SER_summary!R$27)</f>
        <v>7.3315559669101864</v>
      </c>
      <c r="S31" s="132">
        <f>IF(SER_hh_tesh_in!S31=0,0,SER_hh_tesh_in!S31/SER_summary!S$27)</f>
        <v>7.5777861620060731</v>
      </c>
      <c r="T31" s="132">
        <f>IF(SER_hh_tesh_in!T31=0,0,SER_hh_tesh_in!T31/SER_summary!T$27)</f>
        <v>8.0956786946069546</v>
      </c>
      <c r="U31" s="132">
        <f>IF(SER_hh_tesh_in!U31=0,0,SER_hh_tesh_in!U31/SER_summary!U$27)</f>
        <v>8.4928145603907215</v>
      </c>
      <c r="V31" s="132">
        <f>IF(SER_hh_tesh_in!V31=0,0,SER_hh_tesh_in!V31/SER_summary!V$27)</f>
        <v>6.8378871292315724</v>
      </c>
      <c r="W31" s="132">
        <f>IF(SER_hh_tesh_in!W31=0,0,SER_hh_tesh_in!W31/SER_summary!W$27)</f>
        <v>6.3723269350447227</v>
      </c>
      <c r="X31" s="132">
        <f>IF(SER_hh_tesh_in!X31=0,0,SER_hh_tesh_in!X31/SER_summary!X$27)</f>
        <v>6.4407627668652312</v>
      </c>
      <c r="Y31" s="132">
        <f>IF(SER_hh_tesh_in!Y31=0,0,SER_hh_tesh_in!Y31/SER_summary!Y$27)</f>
        <v>6.3926471118549069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10.957788311303748</v>
      </c>
      <c r="F32" s="132">
        <f>IF(SER_hh_tesh_in!F32=0,0,SER_hh_tesh_in!F32/SER_summary!F$27)</f>
        <v>8.2539098938674496</v>
      </c>
      <c r="G32" s="132">
        <f>IF(SER_hh_tesh_in!G32=0,0,SER_hh_tesh_in!G32/SER_summary!G$27)</f>
        <v>7.902386293726293</v>
      </c>
      <c r="H32" s="132">
        <f>IF(SER_hh_tesh_in!H32=0,0,SER_hh_tesh_in!H32/SER_summary!H$27)</f>
        <v>7.608745427450855</v>
      </c>
      <c r="I32" s="132">
        <f>IF(SER_hh_tesh_in!I32=0,0,SER_hh_tesh_in!I32/SER_summary!I$27)</f>
        <v>7.3295317157859898</v>
      </c>
      <c r="J32" s="132">
        <f>IF(SER_hh_tesh_in!J32=0,0,SER_hh_tesh_in!J32/SER_summary!J$27)</f>
        <v>6.9501011261473433</v>
      </c>
      <c r="K32" s="132">
        <f>IF(SER_hh_tesh_in!K32=0,0,SER_hh_tesh_in!K32/SER_summary!K$27)</f>
        <v>7.8080053623990855</v>
      </c>
      <c r="L32" s="132">
        <f>IF(SER_hh_tesh_in!L32=0,0,SER_hh_tesh_in!L32/SER_summary!L$27)</f>
        <v>7.9237908687649989</v>
      </c>
      <c r="M32" s="132">
        <f>IF(SER_hh_tesh_in!M32=0,0,SER_hh_tesh_in!M32/SER_summary!M$27)</f>
        <v>7.5258247790027237</v>
      </c>
      <c r="N32" s="132">
        <f>IF(SER_hh_tesh_in!N32=0,0,SER_hh_tesh_in!N32/SER_summary!N$27)</f>
        <v>7.8198822611403331</v>
      </c>
      <c r="O32" s="132">
        <f>IF(SER_hh_tesh_in!O32=0,0,SER_hh_tesh_in!O32/SER_summary!O$27)</f>
        <v>7.7995400495811342</v>
      </c>
      <c r="P32" s="132">
        <f>IF(SER_hh_tesh_in!P32=0,0,SER_hh_tesh_in!P32/SER_summary!P$27)</f>
        <v>7.7927591577500932</v>
      </c>
      <c r="Q32" s="132">
        <f>IF(SER_hh_tesh_in!Q32=0,0,SER_hh_tesh_in!Q32/SER_summary!Q$27)</f>
        <v>7.9426598723996022</v>
      </c>
      <c r="R32" s="132">
        <f>IF(SER_hh_tesh_in!R32=0,0,SER_hh_tesh_in!R32/SER_summary!R$27)</f>
        <v>7.5619349502809179</v>
      </c>
      <c r="S32" s="132">
        <f>IF(SER_hh_tesh_in!S32=0,0,SER_hh_tesh_in!S32/SER_summary!S$27)</f>
        <v>7.8454976450511449</v>
      </c>
      <c r="T32" s="132">
        <f>IF(SER_hh_tesh_in!T32=0,0,SER_hh_tesh_in!T32/SER_summary!T$27)</f>
        <v>8.2118870993973623</v>
      </c>
      <c r="U32" s="132">
        <f>IF(SER_hh_tesh_in!U32=0,0,SER_hh_tesh_in!U32/SER_summary!U$27)</f>
        <v>8.2211917200266456</v>
      </c>
      <c r="V32" s="132">
        <f>IF(SER_hh_tesh_in!V32=0,0,SER_hh_tesh_in!V32/SER_summary!V$27)</f>
        <v>0</v>
      </c>
      <c r="W32" s="132">
        <f>IF(SER_hh_tesh_in!W32=0,0,SER_hh_tesh_in!W32/SER_summary!W$27)</f>
        <v>7.5273135359757086</v>
      </c>
      <c r="X32" s="132">
        <f>IF(SER_hh_tesh_in!X32=0,0,SER_hh_tesh_in!X32/SER_summary!X$27)</f>
        <v>6.1728029264639428</v>
      </c>
      <c r="Y32" s="132">
        <f>IF(SER_hh_tesh_in!Y32=0,0,SER_hh_tesh_in!Y32/SER_summary!Y$27)</f>
        <v>6.288304597959482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7.1472539551048628</v>
      </c>
      <c r="D33" s="68">
        <f>IF(SER_hh_tesh_in!D33=0,0,SER_hh_tesh_in!D33/SER_summary!D$27)</f>
        <v>7.5296863877604485</v>
      </c>
      <c r="E33" s="68">
        <f>IF(SER_hh_tesh_in!E33=0,0,SER_hh_tesh_in!E33/SER_summary!E$27)</f>
        <v>7.8867445010276818</v>
      </c>
      <c r="F33" s="68">
        <f>IF(SER_hh_tesh_in!F33=0,0,SER_hh_tesh_in!F33/SER_summary!F$27)</f>
        <v>7.8458178085664265</v>
      </c>
      <c r="G33" s="68">
        <f>IF(SER_hh_tesh_in!G33=0,0,SER_hh_tesh_in!G33/SER_summary!G$27)</f>
        <v>7.3372952403387375</v>
      </c>
      <c r="H33" s="68">
        <f>IF(SER_hh_tesh_in!H33=0,0,SER_hh_tesh_in!H33/SER_summary!H$27)</f>
        <v>7.31464967653217</v>
      </c>
      <c r="I33" s="68">
        <f>IF(SER_hh_tesh_in!I33=0,0,SER_hh_tesh_in!I33/SER_summary!I$27)</f>
        <v>7.7671932881490369</v>
      </c>
      <c r="J33" s="68">
        <f>IF(SER_hh_tesh_in!J33=0,0,SER_hh_tesh_in!J33/SER_summary!J$27)</f>
        <v>7.0208732546906534</v>
      </c>
      <c r="K33" s="68">
        <f>IF(SER_hh_tesh_in!K33=0,0,SER_hh_tesh_in!K33/SER_summary!K$27)</f>
        <v>7.6245877383202023</v>
      </c>
      <c r="L33" s="68">
        <f>IF(SER_hh_tesh_in!L33=0,0,SER_hh_tesh_in!L33/SER_summary!L$27)</f>
        <v>8.095279776581112</v>
      </c>
      <c r="M33" s="68">
        <f>IF(SER_hh_tesh_in!M33=0,0,SER_hh_tesh_in!M33/SER_summary!M$27)</f>
        <v>7.8259598516251812</v>
      </c>
      <c r="N33" s="68">
        <f>IF(SER_hh_tesh_in!N33=0,0,SER_hh_tesh_in!N33/SER_summary!N$27)</f>
        <v>8.0351668218201127</v>
      </c>
      <c r="O33" s="68">
        <f>IF(SER_hh_tesh_in!O33=0,0,SER_hh_tesh_in!O33/SER_summary!O$27)</f>
        <v>8.4468875996398065</v>
      </c>
      <c r="P33" s="68">
        <f>IF(SER_hh_tesh_in!P33=0,0,SER_hh_tesh_in!P33/SER_summary!P$27)</f>
        <v>0</v>
      </c>
      <c r="Q33" s="68">
        <f>IF(SER_hh_tesh_in!Q33=0,0,SER_hh_tesh_in!Q33/SER_summary!Q$27)</f>
        <v>7.7409516368675053</v>
      </c>
      <c r="R33" s="68">
        <f>IF(SER_hh_tesh_in!R33=0,0,SER_hh_tesh_in!R33/SER_summary!R$27)</f>
        <v>8.1887196414467809</v>
      </c>
      <c r="S33" s="68">
        <f>IF(SER_hh_tesh_in!S33=0,0,SER_hh_tesh_in!S33/SER_summary!S$27)</f>
        <v>8.6563773252266571</v>
      </c>
      <c r="T33" s="68">
        <f>IF(SER_hh_tesh_in!T33=0,0,SER_hh_tesh_in!T33/SER_summary!T$27)</f>
        <v>7.2973548543165503</v>
      </c>
      <c r="U33" s="68">
        <f>IF(SER_hh_tesh_in!U33=0,0,SER_hh_tesh_in!U33/SER_summary!U$27)</f>
        <v>6.3258778073527147</v>
      </c>
      <c r="V33" s="68">
        <f>IF(SER_hh_tesh_in!V33=0,0,SER_hh_tesh_in!V33/SER_summary!V$27)</f>
        <v>8.6580518604860615</v>
      </c>
      <c r="W33" s="68">
        <f>IF(SER_hh_tesh_in!W33=0,0,SER_hh_tesh_in!W33/SER_summary!W$27)</f>
        <v>0</v>
      </c>
      <c r="X33" s="68">
        <f>IF(SER_hh_tesh_in!X33=0,0,SER_hh_tesh_in!X33/SER_summary!X$27)</f>
        <v>0</v>
      </c>
      <c r="Y33" s="68">
        <f>IF(SER_hh_tesh_in!Y33=0,0,SER_hh_tesh_in!Y33/SER_summary!Y$27)</f>
        <v>0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13.794120188625637</v>
      </c>
      <c r="D3" s="125">
        <f>IF(SER_hh_emih_in!D3=0,0,SER_hh_emih_in!D3/SER_summary!D$27)</f>
        <v>12.391199393352778</v>
      </c>
      <c r="E3" s="125">
        <f>IF(SER_hh_emih_in!E3=0,0,SER_hh_emih_in!E3/SER_summary!E$27)</f>
        <v>2.5228898131564614</v>
      </c>
      <c r="F3" s="125">
        <f>IF(SER_hh_emih_in!F3=0,0,SER_hh_emih_in!F3/SER_summary!F$27)</f>
        <v>3.9415996665981612</v>
      </c>
      <c r="G3" s="125">
        <f>IF(SER_hh_emih_in!G3=0,0,SER_hh_emih_in!G3/SER_summary!G$27)</f>
        <v>8.5742939220040117</v>
      </c>
      <c r="H3" s="125">
        <f>IF(SER_hh_emih_in!H3=0,0,SER_hh_emih_in!H3/SER_summary!H$27)</f>
        <v>16.068947365585554</v>
      </c>
      <c r="I3" s="125">
        <f>IF(SER_hh_emih_in!I3=0,0,SER_hh_emih_in!I3/SER_summary!I$27)</f>
        <v>11.036435640428344</v>
      </c>
      <c r="J3" s="125">
        <f>IF(SER_hh_emih_in!J3=0,0,SER_hh_emih_in!J3/SER_summary!J$27)</f>
        <v>12.142996706385915</v>
      </c>
      <c r="K3" s="125">
        <f>IF(SER_hh_emih_in!K3=0,0,SER_hh_emih_in!K3/SER_summary!K$27)</f>
        <v>10.854438040250361</v>
      </c>
      <c r="L3" s="125">
        <f>IF(SER_hh_emih_in!L3=0,0,SER_hh_emih_in!L3/SER_summary!L$27)</f>
        <v>10.086199782071622</v>
      </c>
      <c r="M3" s="125">
        <f>IF(SER_hh_emih_in!M3=0,0,SER_hh_emih_in!M3/SER_summary!M$27)</f>
        <v>10.612817097236112</v>
      </c>
      <c r="N3" s="125">
        <f>IF(SER_hh_emih_in!N3=0,0,SER_hh_emih_in!N3/SER_summary!N$27)</f>
        <v>11.252079094955494</v>
      </c>
      <c r="O3" s="125">
        <f>IF(SER_hh_emih_in!O3=0,0,SER_hh_emih_in!O3/SER_summary!O$27)</f>
        <v>11.314270044636347</v>
      </c>
      <c r="P3" s="125">
        <f>IF(SER_hh_emih_in!P3=0,0,SER_hh_emih_in!P3/SER_summary!P$27)</f>
        <v>10.052208314264959</v>
      </c>
      <c r="Q3" s="125">
        <f>IF(SER_hh_emih_in!Q3=0,0,SER_hh_emih_in!Q3/SER_summary!Q$27)</f>
        <v>8.2569663866149998</v>
      </c>
      <c r="R3" s="125">
        <f>IF(SER_hh_emih_in!R3=0,0,SER_hh_emih_in!R3/SER_summary!R$27)</f>
        <v>6.8771507393550078</v>
      </c>
      <c r="S3" s="125">
        <f>IF(SER_hh_emih_in!S3=0,0,SER_hh_emih_in!S3/SER_summary!S$27)</f>
        <v>5.2498419239422782</v>
      </c>
      <c r="T3" s="125">
        <f>IF(SER_hh_emih_in!T3=0,0,SER_hh_emih_in!T3/SER_summary!T$27)</f>
        <v>5.7357331510778673</v>
      </c>
      <c r="U3" s="125">
        <f>IF(SER_hh_emih_in!U3=0,0,SER_hh_emih_in!U3/SER_summary!U$27)</f>
        <v>3.8401018479362388</v>
      </c>
      <c r="V3" s="125">
        <f>IF(SER_hh_emih_in!V3=0,0,SER_hh_emih_in!V3/SER_summary!V$27)</f>
        <v>4.824536370225168</v>
      </c>
      <c r="W3" s="125">
        <f>IF(SER_hh_emih_in!W3=0,0,SER_hh_emih_in!W3/SER_summary!W$27)</f>
        <v>4.5350352941965246</v>
      </c>
      <c r="X3" s="125">
        <f>IF(SER_hh_emih_in!X3=0,0,SER_hh_emih_in!X3/SER_summary!X$27)</f>
        <v>3.6617322451271641</v>
      </c>
      <c r="Y3" s="125">
        <f>IF(SER_hh_emih_in!Y3=0,0,SER_hh_emih_in!Y3/SER_summary!Y$27)</f>
        <v>3.9667406412379362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10.140618785557248</v>
      </c>
      <c r="D4" s="130">
        <f>IF(SER_hh_emih_in!D4=0,0,SER_hh_emih_in!D4/SER_summary!D$27)</f>
        <v>9.4492019692278024</v>
      </c>
      <c r="E4" s="130">
        <f>IF(SER_hh_emih_in!E4=0,0,SER_hh_emih_in!E4/SER_summary!E$27)</f>
        <v>6.1442109084899159E-2</v>
      </c>
      <c r="F4" s="130">
        <f>IF(SER_hh_emih_in!F4=0,0,SER_hh_emih_in!F4/SER_summary!F$27)</f>
        <v>1.0601832174032364</v>
      </c>
      <c r="G4" s="130">
        <f>IF(SER_hh_emih_in!G4=0,0,SER_hh_emih_in!G4/SER_summary!G$27)</f>
        <v>5.4530500459911639</v>
      </c>
      <c r="H4" s="130">
        <f>IF(SER_hh_emih_in!H4=0,0,SER_hh_emih_in!H4/SER_summary!H$27)</f>
        <v>12.502376368982535</v>
      </c>
      <c r="I4" s="130">
        <f>IF(SER_hh_emih_in!I4=0,0,SER_hh_emih_in!I4/SER_summary!I$27)</f>
        <v>8.1446157043352354</v>
      </c>
      <c r="J4" s="130">
        <f>IF(SER_hh_emih_in!J4=0,0,SER_hh_emih_in!J4/SER_summary!J$27)</f>
        <v>9.4445173850947164</v>
      </c>
      <c r="K4" s="130">
        <f>IF(SER_hh_emih_in!K4=0,0,SER_hh_emih_in!K4/SER_summary!K$27)</f>
        <v>8.5894943552223157</v>
      </c>
      <c r="L4" s="130">
        <f>IF(SER_hh_emih_in!L4=0,0,SER_hh_emih_in!L4/SER_summary!L$27)</f>
        <v>7.5758734005240544</v>
      </c>
      <c r="M4" s="130">
        <f>IF(SER_hh_emih_in!M4=0,0,SER_hh_emih_in!M4/SER_summary!M$27)</f>
        <v>8.5834126664535759</v>
      </c>
      <c r="N4" s="130">
        <f>IF(SER_hh_emih_in!N4=0,0,SER_hh_emih_in!N4/SER_summary!N$27)</f>
        <v>8.0343668027783028</v>
      </c>
      <c r="O4" s="130">
        <f>IF(SER_hh_emih_in!O4=0,0,SER_hh_emih_in!O4/SER_summary!O$27)</f>
        <v>7.7949032686162454</v>
      </c>
      <c r="P4" s="130">
        <f>IF(SER_hh_emih_in!P4=0,0,SER_hh_emih_in!P4/SER_summary!P$27)</f>
        <v>5.6758345242366079</v>
      </c>
      <c r="Q4" s="130">
        <f>IF(SER_hh_emih_in!Q4=0,0,SER_hh_emih_in!Q4/SER_summary!Q$27)</f>
        <v>5.1153675692555911</v>
      </c>
      <c r="R4" s="130">
        <f>IF(SER_hh_emih_in!R4=0,0,SER_hh_emih_in!R4/SER_summary!R$27)</f>
        <v>3.9349777322587802</v>
      </c>
      <c r="S4" s="130">
        <f>IF(SER_hh_emih_in!S4=0,0,SER_hh_emih_in!S4/SER_summary!S$27)</f>
        <v>2.2718391357077325</v>
      </c>
      <c r="T4" s="130">
        <f>IF(SER_hh_emih_in!T4=0,0,SER_hh_emih_in!T4/SER_summary!T$27)</f>
        <v>1.8880181180483273</v>
      </c>
      <c r="U4" s="130">
        <f>IF(SER_hh_emih_in!U4=0,0,SER_hh_emih_in!U4/SER_summary!U$27)</f>
        <v>0.64874307539053178</v>
      </c>
      <c r="V4" s="130">
        <f>IF(SER_hh_emih_in!V4=0,0,SER_hh_emih_in!V4/SER_summary!V$27)</f>
        <v>2.1707346376728585</v>
      </c>
      <c r="W4" s="130">
        <f>IF(SER_hh_emih_in!W4=0,0,SER_hh_emih_in!W4/SER_summary!W$27)</f>
        <v>1.3791902839064649</v>
      </c>
      <c r="X4" s="130">
        <f>IF(SER_hh_emih_in!X4=0,0,SER_hh_emih_in!X4/SER_summary!X$27)</f>
        <v>0.70821730424957818</v>
      </c>
      <c r="Y4" s="130">
        <f>IF(SER_hh_emih_in!Y4=0,0,SER_hh_emih_in!Y4/SER_summary!Y$27)</f>
        <v>0.80211316892982243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17.594510145421118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20.771926437187961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13.557393837375548</v>
      </c>
      <c r="N5" s="132">
        <f>IF(SER_hh_emih_in!N5=0,0,SER_hh_emih_in!N5/SER_summary!N$27)</f>
        <v>15.747049410588568</v>
      </c>
      <c r="O5" s="132">
        <f>IF(SER_hh_emih_in!O5=0,0,SER_hh_emih_in!O5/SER_summary!O$27)</f>
        <v>7.4456003651377012</v>
      </c>
      <c r="P5" s="132">
        <f>IF(SER_hh_emih_in!P5=0,0,SER_hh_emih_in!P5/SER_summary!P$27)</f>
        <v>0</v>
      </c>
      <c r="Q5" s="132">
        <f>IF(SER_hh_emih_in!Q5=0,0,SER_hh_emih_in!Q5/SER_summary!Q$27)</f>
        <v>21.310810049504145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0.70000905360133747</v>
      </c>
      <c r="X5" s="132">
        <f>IF(SER_hh_emih_in!X5=0,0,SER_hh_emih_in!X5/SER_summary!X$27)</f>
        <v>0.29303362579903236</v>
      </c>
      <c r="Y5" s="132">
        <f>IF(SER_hh_emih_in!Y5=0,0,SER_hh_emih_in!Y5/SER_summary!Y$27)</f>
        <v>5.5337673273549441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17.086684328377871</v>
      </c>
      <c r="D7" s="132">
        <f>IF(SER_hh_emih_in!D7=0,0,SER_hh_emih_in!D7/SER_summary!D$27)</f>
        <v>15.172816781666908</v>
      </c>
      <c r="E7" s="132">
        <f>IF(SER_hh_emih_in!E7=0,0,SER_hh_emih_in!E7/SER_summary!E$27)</f>
        <v>0</v>
      </c>
      <c r="F7" s="132">
        <f>IF(SER_hh_emih_in!F7=0,0,SER_hh_emih_in!F7/SER_summary!F$27)</f>
        <v>16.416194399023258</v>
      </c>
      <c r="G7" s="132">
        <f>IF(SER_hh_emih_in!G7=0,0,SER_hh_emih_in!G7/SER_summary!G$27)</f>
        <v>16.284030786987554</v>
      </c>
      <c r="H7" s="132">
        <f>IF(SER_hh_emih_in!H7=0,0,SER_hh_emih_in!H7/SER_summary!H$27)</f>
        <v>17.253502238588766</v>
      </c>
      <c r="I7" s="132">
        <f>IF(SER_hh_emih_in!I7=0,0,SER_hh_emih_in!I7/SER_summary!I$27)</f>
        <v>11.265700591961918</v>
      </c>
      <c r="J7" s="132">
        <f>IF(SER_hh_emih_in!J7=0,0,SER_hh_emih_in!J7/SER_summary!J$27)</f>
        <v>14.870248147142689</v>
      </c>
      <c r="K7" s="132">
        <f>IF(SER_hh_emih_in!K7=0,0,SER_hh_emih_in!K7/SER_summary!K$27)</f>
        <v>13.091539084597981</v>
      </c>
      <c r="L7" s="132">
        <f>IF(SER_hh_emih_in!L7=0,0,SER_hh_emih_in!L7/SER_summary!L$27)</f>
        <v>12.989151128449691</v>
      </c>
      <c r="M7" s="132">
        <f>IF(SER_hh_emih_in!M7=0,0,SER_hh_emih_in!M7/SER_summary!M$27)</f>
        <v>10.804680489816244</v>
      </c>
      <c r="N7" s="132">
        <f>IF(SER_hh_emih_in!N7=0,0,SER_hh_emih_in!N7/SER_summary!N$27)</f>
        <v>10.751700815773878</v>
      </c>
      <c r="O7" s="132">
        <f>IF(SER_hh_emih_in!O7=0,0,SER_hh_emih_in!O7/SER_summary!O$27)</f>
        <v>10.634040830680524</v>
      </c>
      <c r="P7" s="132">
        <f>IF(SER_hh_emih_in!P7=0,0,SER_hh_emih_in!P7/SER_summary!P$27)</f>
        <v>8.6651461080157208</v>
      </c>
      <c r="Q7" s="132">
        <f>IF(SER_hh_emih_in!Q7=0,0,SER_hh_emih_in!Q7/SER_summary!Q$27)</f>
        <v>8.0157984871037193</v>
      </c>
      <c r="R7" s="132">
        <f>IF(SER_hh_emih_in!R7=0,0,SER_hh_emih_in!R7/SER_summary!R$27)</f>
        <v>7.7394458940529303</v>
      </c>
      <c r="S7" s="132">
        <f>IF(SER_hh_emih_in!S7=0,0,SER_hh_emih_in!S7/SER_summary!S$27)</f>
        <v>0</v>
      </c>
      <c r="T7" s="132">
        <f>IF(SER_hh_emih_in!T7=0,0,SER_hh_emih_in!T7/SER_summary!T$27)</f>
        <v>0</v>
      </c>
      <c r="U7" s="132">
        <f>IF(SER_hh_emih_in!U7=0,0,SER_hh_emih_in!U7/SER_summary!U$27)</f>
        <v>0</v>
      </c>
      <c r="V7" s="132">
        <f>IF(SER_hh_emih_in!V7=0,0,SER_hh_emih_in!V7/SER_summary!V$27)</f>
        <v>0</v>
      </c>
      <c r="W7" s="132">
        <f>IF(SER_hh_emih_in!W7=0,0,SER_hh_emih_in!W7/SER_summary!W$27)</f>
        <v>6.8416786013844826</v>
      </c>
      <c r="X7" s="132">
        <f>IF(SER_hh_emih_in!X7=0,0,SER_hh_emih_in!X7/SER_summary!X$27)</f>
        <v>0</v>
      </c>
      <c r="Y7" s="132">
        <f>IF(SER_hh_emih_in!Y7=0,0,SER_hh_emih_in!Y7/SER_summary!Y$27)</f>
        <v>0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4.0048693590096667</v>
      </c>
      <c r="D8" s="132">
        <f>IF(SER_hh_emih_in!D8=0,0,SER_hh_emih_in!D8/SER_summary!D$27)</f>
        <v>4.2556893435933167</v>
      </c>
      <c r="E8" s="132">
        <f>IF(SER_hh_emih_in!E8=0,0,SER_hh_emih_in!E8/SER_summary!E$27)</f>
        <v>4.4711162078114786</v>
      </c>
      <c r="F8" s="132">
        <f>IF(SER_hh_emih_in!F8=0,0,SER_hh_emih_in!F8/SER_summary!F$27)</f>
        <v>4.2253508345401665</v>
      </c>
      <c r="G8" s="132">
        <f>IF(SER_hh_emih_in!G8=0,0,SER_hh_emih_in!G8/SER_summary!G$27)</f>
        <v>3.4233589893175713</v>
      </c>
      <c r="H8" s="132">
        <f>IF(SER_hh_emih_in!H8=0,0,SER_hh_emih_in!H8/SER_summary!H$27)</f>
        <v>3.5890857115128809</v>
      </c>
      <c r="I8" s="132">
        <f>IF(SER_hh_emih_in!I8=0,0,SER_hh_emih_in!I8/SER_summary!I$27)</f>
        <v>3.7871091272254342</v>
      </c>
      <c r="J8" s="132">
        <f>IF(SER_hh_emih_in!J8=0,0,SER_hh_emih_in!J8/SER_summary!J$27)</f>
        <v>3.748002332424639</v>
      </c>
      <c r="K8" s="132">
        <f>IF(SER_hh_emih_in!K8=0,0,SER_hh_emih_in!K8/SER_summary!K$27)</f>
        <v>3.129846222367533</v>
      </c>
      <c r="L8" s="132">
        <f>IF(SER_hh_emih_in!L8=0,0,SER_hh_emih_in!L8/SER_summary!L$27)</f>
        <v>2.6326707693386635</v>
      </c>
      <c r="M8" s="132">
        <f>IF(SER_hh_emih_in!M8=0,0,SER_hh_emih_in!M8/SER_summary!M$27)</f>
        <v>2.5558032151807146</v>
      </c>
      <c r="N8" s="132">
        <f>IF(SER_hh_emih_in!N8=0,0,SER_hh_emih_in!N8/SER_summary!N$27)</f>
        <v>2.4485461328246303</v>
      </c>
      <c r="O8" s="132">
        <f>IF(SER_hh_emih_in!O8=0,0,SER_hh_emih_in!O8/SER_summary!O$27)</f>
        <v>2.3586408408586124</v>
      </c>
      <c r="P8" s="132">
        <f>IF(SER_hh_emih_in!P8=0,0,SER_hh_emih_in!P8/SER_summary!P$27)</f>
        <v>2.0137059946763185</v>
      </c>
      <c r="Q8" s="132">
        <f>IF(SER_hh_emih_in!Q8=0,0,SER_hh_emih_in!Q8/SER_summary!Q$27)</f>
        <v>1.953348045074909</v>
      </c>
      <c r="R8" s="132">
        <f>IF(SER_hh_emih_in!R8=0,0,SER_hh_emih_in!R8/SER_summary!R$27)</f>
        <v>1.7320377617889753</v>
      </c>
      <c r="S8" s="132">
        <f>IF(SER_hh_emih_in!S8=0,0,SER_hh_emih_in!S8/SER_summary!S$27)</f>
        <v>1.5270599944908916</v>
      </c>
      <c r="T8" s="132">
        <f>IF(SER_hh_emih_in!T8=0,0,SER_hh_emih_in!T8/SER_summary!T$27)</f>
        <v>1.3238744287656956</v>
      </c>
      <c r="U8" s="132">
        <f>IF(SER_hh_emih_in!U8=0,0,SER_hh_emih_in!U8/SER_summary!U$27)</f>
        <v>1.2329044991706961</v>
      </c>
      <c r="V8" s="132">
        <f>IF(SER_hh_emih_in!V8=0,0,SER_hh_emih_in!V8/SER_summary!V$27)</f>
        <v>1.0379533133364065</v>
      </c>
      <c r="W8" s="132">
        <f>IF(SER_hh_emih_in!W8=0,0,SER_hh_emih_in!W8/SER_summary!W$27)</f>
        <v>0.84608338821477791</v>
      </c>
      <c r="X8" s="132">
        <f>IF(SER_hh_emih_in!X8=0,0,SER_hh_emih_in!X8/SER_summary!X$27)</f>
        <v>0.64971803972154774</v>
      </c>
      <c r="Y8" s="132">
        <f>IF(SER_hh_emih_in!Y8=0,0,SER_hh_emih_in!Y8/SER_summary!Y$27)</f>
        <v>0.6331142114498276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9.7912441276768369</v>
      </c>
      <c r="D9" s="132">
        <f>IF(SER_hh_emih_in!D9=0,0,SER_hh_emih_in!D9/SER_summary!D$27)</f>
        <v>9.4704199218876415</v>
      </c>
      <c r="E9" s="132">
        <f>IF(SER_hh_emih_in!E9=0,0,SER_hh_emih_in!E9/SER_summary!E$27)</f>
        <v>0</v>
      </c>
      <c r="F9" s="132">
        <f>IF(SER_hh_emih_in!F9=0,0,SER_hh_emih_in!F9/SER_summary!F$27)</f>
        <v>0</v>
      </c>
      <c r="G9" s="132">
        <f>IF(SER_hh_emih_in!G9=0,0,SER_hh_emih_in!G9/SER_summary!G$27)</f>
        <v>0</v>
      </c>
      <c r="H9" s="132">
        <f>IF(SER_hh_emih_in!H9=0,0,SER_hh_emih_in!H9/SER_summary!H$27)</f>
        <v>12.669663211971633</v>
      </c>
      <c r="I9" s="132">
        <f>IF(SER_hh_emih_in!I9=0,0,SER_hh_emih_in!I9/SER_summary!I$27)</f>
        <v>9.0651276485987324</v>
      </c>
      <c r="J9" s="132">
        <f>IF(SER_hh_emih_in!J9=0,0,SER_hh_emih_in!J9/SER_summary!J$27)</f>
        <v>9.8088146007524628</v>
      </c>
      <c r="K9" s="132">
        <f>IF(SER_hh_emih_in!K9=0,0,SER_hh_emih_in!K9/SER_summary!K$27)</f>
        <v>9.0189747481283291</v>
      </c>
      <c r="L9" s="132">
        <f>IF(SER_hh_emih_in!L9=0,0,SER_hh_emih_in!L9/SER_summary!L$27)</f>
        <v>9.3025835296757098</v>
      </c>
      <c r="M9" s="132">
        <f>IF(SER_hh_emih_in!M9=0,0,SER_hh_emih_in!M9/SER_summary!M$27)</f>
        <v>7.4200241234084983</v>
      </c>
      <c r="N9" s="132">
        <f>IF(SER_hh_emih_in!N9=0,0,SER_hh_emih_in!N9/SER_summary!N$27)</f>
        <v>7.0952249197372081</v>
      </c>
      <c r="O9" s="132">
        <f>IF(SER_hh_emih_in!O9=0,0,SER_hh_emih_in!O9/SER_summary!O$27)</f>
        <v>8.0230572779323612</v>
      </c>
      <c r="P9" s="132">
        <f>IF(SER_hh_emih_in!P9=0,0,SER_hh_emih_in!P9/SER_summary!P$27)</f>
        <v>5.5404509833159201</v>
      </c>
      <c r="Q9" s="132">
        <f>IF(SER_hh_emih_in!Q9=0,0,SER_hh_emih_in!Q9/SER_summary!Q$27)</f>
        <v>5.6125688721406464</v>
      </c>
      <c r="R9" s="132">
        <f>IF(SER_hh_emih_in!R9=0,0,SER_hh_emih_in!R9/SER_summary!R$27)</f>
        <v>5.1498427016212345</v>
      </c>
      <c r="S9" s="132">
        <f>IF(SER_hh_emih_in!S9=0,0,SER_hh_emih_in!S9/SER_summary!S$27)</f>
        <v>4.6337669929045449</v>
      </c>
      <c r="T9" s="132">
        <f>IF(SER_hh_emih_in!T9=0,0,SER_hh_emih_in!T9/SER_summary!T$27)</f>
        <v>4.2215361058056011</v>
      </c>
      <c r="U9" s="132">
        <f>IF(SER_hh_emih_in!U9=0,0,SER_hh_emih_in!U9/SER_summary!U$27)</f>
        <v>3.177092646327357</v>
      </c>
      <c r="V9" s="132">
        <f>IF(SER_hh_emih_in!V9=0,0,SER_hh_emih_in!V9/SER_summary!V$27)</f>
        <v>3.335344946546237</v>
      </c>
      <c r="W9" s="132">
        <f>IF(SER_hh_emih_in!W9=0,0,SER_hh_emih_in!W9/SER_summary!W$27)</f>
        <v>3.2136370417560891</v>
      </c>
      <c r="X9" s="132">
        <f>IF(SER_hh_emih_in!X9=0,0,SER_hh_emih_in!X9/SER_summary!X$27)</f>
        <v>1.9551627721992064</v>
      </c>
      <c r="Y9" s="132">
        <f>IF(SER_hh_emih_in!Y9=0,0,SER_hh_emih_in!Y9/SER_summary!Y$27)</f>
        <v>1.7522771921333229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0.39096046070771656</v>
      </c>
      <c r="F10" s="132">
        <f>IF(SER_hh_emih_in!F10=0,0,SER_hh_emih_in!F10/SER_summary!F$27)</f>
        <v>0.43946306149234371</v>
      </c>
      <c r="G10" s="132">
        <f>IF(SER_hh_emih_in!G10=0,0,SER_hh_emih_in!G10/SER_summary!G$27)</f>
        <v>0.5778100230361416</v>
      </c>
      <c r="H10" s="132">
        <f>IF(SER_hh_emih_in!H10=0,0,SER_hh_emih_in!H10/SER_summary!H$27)</f>
        <v>0.45298024663301512</v>
      </c>
      <c r="I10" s="132">
        <f>IF(SER_hh_emih_in!I10=0,0,SER_hh_emih_in!I10/SER_summary!I$27)</f>
        <v>0.33866254207913188</v>
      </c>
      <c r="J10" s="132">
        <f>IF(SER_hh_emih_in!J10=0,0,SER_hh_emih_in!J10/SER_summary!J$27)</f>
        <v>0.20856559162660615</v>
      </c>
      <c r="K10" s="132">
        <f>IF(SER_hh_emih_in!K10=0,0,SER_hh_emih_in!K10/SER_summary!K$27)</f>
        <v>0.18310666317531488</v>
      </c>
      <c r="L10" s="132">
        <f>IF(SER_hh_emih_in!L10=0,0,SER_hh_emih_in!L10/SER_summary!L$27)</f>
        <v>0.16669100772467782</v>
      </c>
      <c r="M10" s="132">
        <f>IF(SER_hh_emih_in!M10=0,0,SER_hh_emih_in!M10/SER_summary!M$27)</f>
        <v>1.272415694646401E-2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1.4597919533278073E-3</v>
      </c>
      <c r="D16" s="130">
        <f>IF(SER_hh_emih_in!D16=0,0,SER_hh_emih_in!D16/SER_summary!D$27)</f>
        <v>1.5442456449892067E-3</v>
      </c>
      <c r="E16" s="130">
        <f>IF(SER_hh_emih_in!E16=0,0,SER_hh_emih_in!E16/SER_summary!E$27)</f>
        <v>1.243242084686012E-3</v>
      </c>
      <c r="F16" s="130">
        <f>IF(SER_hh_emih_in!F16=0,0,SER_hh_emih_in!F16/SER_summary!F$27)</f>
        <v>4.6688470785136958E-3</v>
      </c>
      <c r="G16" s="130">
        <f>IF(SER_hh_emih_in!G16=0,0,SER_hh_emih_in!G16/SER_summary!G$27)</f>
        <v>3.3128912569355081E-3</v>
      </c>
      <c r="H16" s="130">
        <f>IF(SER_hh_emih_in!H16=0,0,SER_hh_emih_in!H16/SER_summary!H$27)</f>
        <v>1.6100669862601498E-3</v>
      </c>
      <c r="I16" s="130">
        <f>IF(SER_hh_emih_in!I16=0,0,SER_hh_emih_in!I16/SER_summary!I$27)</f>
        <v>7.079453958513479E-3</v>
      </c>
      <c r="J16" s="130">
        <f>IF(SER_hh_emih_in!J16=0,0,SER_hh_emih_in!J16/SER_summary!J$27)</f>
        <v>4.8554680120595113E-3</v>
      </c>
      <c r="K16" s="130">
        <f>IF(SER_hh_emih_in!K16=0,0,SER_hh_emih_in!K16/SER_summary!K$27)</f>
        <v>6.8120782943988838E-3</v>
      </c>
      <c r="L16" s="130">
        <f>IF(SER_hh_emih_in!L16=0,0,SER_hh_emih_in!L16/SER_summary!L$27)</f>
        <v>6.688896728335455E-3</v>
      </c>
      <c r="M16" s="130">
        <f>IF(SER_hh_emih_in!M16=0,0,SER_hh_emih_in!M16/SER_summary!M$27)</f>
        <v>6.963298166196218E-3</v>
      </c>
      <c r="N16" s="130">
        <f>IF(SER_hh_emih_in!N16=0,0,SER_hh_emih_in!N16/SER_summary!N$27)</f>
        <v>5.7339445123815126E-3</v>
      </c>
      <c r="O16" s="130">
        <f>IF(SER_hh_emih_in!O16=0,0,SER_hh_emih_in!O16/SER_summary!O$27)</f>
        <v>8.6506487370573582E-3</v>
      </c>
      <c r="P16" s="130">
        <f>IF(SER_hh_emih_in!P16=0,0,SER_hh_emih_in!P16/SER_summary!P$27)</f>
        <v>1.9323297438019135E-2</v>
      </c>
      <c r="Q16" s="130">
        <f>IF(SER_hh_emih_in!Q16=0,0,SER_hh_emih_in!Q16/SER_summary!Q$27)</f>
        <v>2.6687511603276679E-2</v>
      </c>
      <c r="R16" s="130">
        <f>IF(SER_hh_emih_in!R16=0,0,SER_hh_emih_in!R16/SER_summary!R$27)</f>
        <v>1.3595854931080103E-2</v>
      </c>
      <c r="S16" s="130">
        <f>IF(SER_hh_emih_in!S16=0,0,SER_hh_emih_in!S16/SER_summary!S$27)</f>
        <v>2.1946981513714978E-2</v>
      </c>
      <c r="T16" s="130">
        <f>IF(SER_hh_emih_in!T16=0,0,SER_hh_emih_in!T16/SER_summary!T$27)</f>
        <v>3.3465416806729091E-2</v>
      </c>
      <c r="U16" s="130">
        <f>IF(SER_hh_emih_in!U16=0,0,SER_hh_emih_in!U16/SER_summary!U$27)</f>
        <v>2.4755488658311481E-2</v>
      </c>
      <c r="V16" s="130">
        <f>IF(SER_hh_emih_in!V16=0,0,SER_hh_emih_in!V16/SER_summary!V$27)</f>
        <v>1.0804605795976923E-2</v>
      </c>
      <c r="W16" s="130">
        <f>IF(SER_hh_emih_in!W16=0,0,SER_hh_emih_in!W16/SER_summary!W$27)</f>
        <v>1.0541927787450112E-2</v>
      </c>
      <c r="X16" s="130">
        <f>IF(SER_hh_emih_in!X16=0,0,SER_hh_emih_in!X16/SER_summary!X$27)</f>
        <v>1.0088727074827849E-2</v>
      </c>
      <c r="Y16" s="130">
        <f>IF(SER_hh_emih_in!Y16=0,0,SER_hh_emih_in!Y16/SER_summary!Y$27)</f>
        <v>1.3645560918708759E-2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4.6911997995519448</v>
      </c>
      <c r="D17" s="132">
        <f>IF(SER_hh_emih_in!D17=0,0,SER_hh_emih_in!D17/SER_summary!D$27)</f>
        <v>4.602604861521467</v>
      </c>
      <c r="E17" s="132">
        <f>IF(SER_hh_emih_in!E17=0,0,SER_hh_emih_in!E17/SER_summary!E$27)</f>
        <v>5.3517086419348221</v>
      </c>
      <c r="F17" s="132">
        <f>IF(SER_hh_emih_in!F17=0,0,SER_hh_emih_in!F17/SER_summary!F$27)</f>
        <v>4.2985557135971284</v>
      </c>
      <c r="G17" s="132">
        <f>IF(SER_hh_emih_in!G17=0,0,SER_hh_emih_in!G17/SER_summary!G$27)</f>
        <v>4.2310908718400215</v>
      </c>
      <c r="H17" s="132">
        <f>IF(SER_hh_emih_in!H17=0,0,SER_hh_emih_in!H17/SER_summary!H$27)</f>
        <v>4.5907465315748066</v>
      </c>
      <c r="I17" s="132">
        <f>IF(SER_hh_emih_in!I17=0,0,SER_hh_emih_in!I17/SER_summary!I$27)</f>
        <v>4.1211284220531512</v>
      </c>
      <c r="J17" s="132">
        <f>IF(SER_hh_emih_in!J17=0,0,SER_hh_emih_in!J17/SER_summary!J$27)</f>
        <v>4.0158368434235312</v>
      </c>
      <c r="K17" s="132">
        <f>IF(SER_hh_emih_in!K17=0,0,SER_hh_emih_in!K17/SER_summary!K$27)</f>
        <v>3.8352696759711078</v>
      </c>
      <c r="L17" s="132">
        <f>IF(SER_hh_emih_in!L17=0,0,SER_hh_emih_in!L17/SER_summary!L$27)</f>
        <v>4.0469752599921263</v>
      </c>
      <c r="M17" s="132">
        <f>IF(SER_hh_emih_in!M17=0,0,SER_hh_emih_in!M17/SER_summary!M$27)</f>
        <v>3.5698511872302343</v>
      </c>
      <c r="N17" s="132">
        <f>IF(SER_hh_emih_in!N17=0,0,SER_hh_emih_in!N17/SER_summary!N$27)</f>
        <v>3.485860053630832</v>
      </c>
      <c r="O17" s="132">
        <f>IF(SER_hh_emih_in!O17=0,0,SER_hh_emih_in!O17/SER_summary!O$27)</f>
        <v>3.5256029998330018</v>
      </c>
      <c r="P17" s="132">
        <f>IF(SER_hh_emih_in!P17=0,0,SER_hh_emih_in!P17/SER_summary!P$27)</f>
        <v>3.2307526348353082</v>
      </c>
      <c r="Q17" s="132">
        <f>IF(SER_hh_emih_in!Q17=0,0,SER_hh_emih_in!Q17/SER_summary!Q$27)</f>
        <v>2.9088193563981557</v>
      </c>
      <c r="R17" s="132">
        <f>IF(SER_hh_emih_in!R17=0,0,SER_hh_emih_in!R17/SER_summary!R$27)</f>
        <v>3.1050766557729128</v>
      </c>
      <c r="S17" s="132">
        <f>IF(SER_hh_emih_in!S17=0,0,SER_hh_emih_in!S17/SER_summary!S$27)</f>
        <v>2.6333245070184295</v>
      </c>
      <c r="T17" s="132">
        <f>IF(SER_hh_emih_in!T17=0,0,SER_hh_emih_in!T17/SER_summary!T$27)</f>
        <v>3.4284724028353066</v>
      </c>
      <c r="U17" s="132">
        <f>IF(SER_hh_emih_in!U17=0,0,SER_hh_emih_in!U17/SER_summary!U$27)</f>
        <v>3.0811738627321281</v>
      </c>
      <c r="V17" s="132">
        <f>IF(SER_hh_emih_in!V17=0,0,SER_hh_emih_in!V17/SER_summary!V$27)</f>
        <v>2.1198878015951168</v>
      </c>
      <c r="W17" s="132">
        <f>IF(SER_hh_emih_in!W17=0,0,SER_hh_emih_in!W17/SER_summary!W$27)</f>
        <v>1.8351467895777731</v>
      </c>
      <c r="X17" s="132">
        <f>IF(SER_hh_emih_in!X17=0,0,SER_hh_emih_in!X17/SER_summary!X$27)</f>
        <v>2.1259397106435638</v>
      </c>
      <c r="Y17" s="132">
        <f>IF(SER_hh_emih_in!Y17=0,0,SER_hh_emih_in!Y17/SER_summary!Y$27)</f>
        <v>2.040295035609986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1.8456586784133471</v>
      </c>
      <c r="D19" s="130">
        <f>IF(SER_hh_emih_in!D19=0,0,SER_hh_emih_in!D19/SER_summary!D$27)</f>
        <v>1.4526101786133134</v>
      </c>
      <c r="E19" s="130">
        <f>IF(SER_hh_emih_in!E19=0,0,SER_hh_emih_in!E19/SER_summary!E$27)</f>
        <v>0.83252019744143191</v>
      </c>
      <c r="F19" s="130">
        <f>IF(SER_hh_emih_in!F19=0,0,SER_hh_emih_in!F19/SER_summary!F$27)</f>
        <v>1.2204957233493363</v>
      </c>
      <c r="G19" s="130">
        <f>IF(SER_hh_emih_in!G19=0,0,SER_hh_emih_in!G19/SER_summary!G$27)</f>
        <v>1.6899288987071823</v>
      </c>
      <c r="H19" s="130">
        <f>IF(SER_hh_emih_in!H19=0,0,SER_hh_emih_in!H19/SER_summary!H$27)</f>
        <v>1.90584892996786</v>
      </c>
      <c r="I19" s="130">
        <f>IF(SER_hh_emih_in!I19=0,0,SER_hh_emih_in!I19/SER_summary!I$27)</f>
        <v>1.5442328643451486</v>
      </c>
      <c r="J19" s="130">
        <f>IF(SER_hh_emih_in!J19=0,0,SER_hh_emih_in!J19/SER_summary!J$27)</f>
        <v>1.3731323554969461</v>
      </c>
      <c r="K19" s="130">
        <f>IF(SER_hh_emih_in!K19=0,0,SER_hh_emih_in!K19/SER_summary!K$27)</f>
        <v>1.2196600211251452</v>
      </c>
      <c r="L19" s="130">
        <f>IF(SER_hh_emih_in!L19=0,0,SER_hh_emih_in!L19/SER_summary!L$27)</f>
        <v>1.4304135515991447</v>
      </c>
      <c r="M19" s="130">
        <f>IF(SER_hh_emih_in!M19=0,0,SER_hh_emih_in!M19/SER_summary!M$27)</f>
        <v>1.304190591915287</v>
      </c>
      <c r="N19" s="130">
        <f>IF(SER_hh_emih_in!N19=0,0,SER_hh_emih_in!N19/SER_summary!N$27)</f>
        <v>1.520774303193424</v>
      </c>
      <c r="O19" s="130">
        <f>IF(SER_hh_emih_in!O19=0,0,SER_hh_emih_in!O19/SER_summary!O$27)</f>
        <v>1.514004019207551</v>
      </c>
      <c r="P19" s="130">
        <f>IF(SER_hh_emih_in!P19=0,0,SER_hh_emih_in!P19/SER_summary!P$27)</f>
        <v>1.5601294258747458</v>
      </c>
      <c r="Q19" s="130">
        <f>IF(SER_hh_emih_in!Q19=0,0,SER_hh_emih_in!Q19/SER_summary!Q$27)</f>
        <v>1.3708484433496075</v>
      </c>
      <c r="R19" s="130">
        <f>IF(SER_hh_emih_in!R19=0,0,SER_hh_emih_in!R19/SER_summary!R$27)</f>
        <v>1.2479151838382558</v>
      </c>
      <c r="S19" s="130">
        <f>IF(SER_hh_emih_in!S19=0,0,SER_hh_emih_in!S19/SER_summary!S$27)</f>
        <v>1.1139035168836593</v>
      </c>
      <c r="T19" s="130">
        <f>IF(SER_hh_emih_in!T19=0,0,SER_hh_emih_in!T19/SER_summary!T$27)</f>
        <v>1.3594719809652753</v>
      </c>
      <c r="U19" s="130">
        <f>IF(SER_hh_emih_in!U19=0,0,SER_hh_emih_in!U19/SER_summary!U$27)</f>
        <v>1.0939345123873687</v>
      </c>
      <c r="V19" s="130">
        <f>IF(SER_hh_emih_in!V19=0,0,SER_hh_emih_in!V19/SER_summary!V$27)</f>
        <v>1.0194346318162428</v>
      </c>
      <c r="W19" s="130">
        <f>IF(SER_hh_emih_in!W19=0,0,SER_hh_emih_in!W19/SER_summary!W$27)</f>
        <v>1.1472804218323809</v>
      </c>
      <c r="X19" s="130">
        <f>IF(SER_hh_emih_in!X19=0,0,SER_hh_emih_in!X19/SER_summary!X$27)</f>
        <v>0.94213554298822411</v>
      </c>
      <c r="Y19" s="130">
        <f>IF(SER_hh_emih_in!Y19=0,0,SER_hh_emih_in!Y19/SER_summary!Y$27)</f>
        <v>1.1885288608605045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2.1581133856934964</v>
      </c>
      <c r="D21" s="132">
        <f>IF(SER_hh_emih_in!D21=0,0,SER_hh_emih_in!D21/SER_summary!D$27)</f>
        <v>2.3925477774571786</v>
      </c>
      <c r="E21" s="132">
        <f>IF(SER_hh_emih_in!E21=0,0,SER_hh_emih_in!E21/SER_summary!E$27)</f>
        <v>2.1782491563749509</v>
      </c>
      <c r="F21" s="132">
        <f>IF(SER_hh_emih_in!F21=0,0,SER_hh_emih_in!F21/SER_summary!F$27)</f>
        <v>2.4197428198006619</v>
      </c>
      <c r="G21" s="132">
        <f>IF(SER_hh_emih_in!G21=0,0,SER_hh_emih_in!G21/SER_summary!G$27)</f>
        <v>2.4382442241458304</v>
      </c>
      <c r="H21" s="132">
        <f>IF(SER_hh_emih_in!H21=0,0,SER_hh_emih_in!H21/SER_summary!H$27)</f>
        <v>2.3960912762170841</v>
      </c>
      <c r="I21" s="132">
        <f>IF(SER_hh_emih_in!I21=0,0,SER_hh_emih_in!I21/SER_summary!I$27)</f>
        <v>2.3731119454581924</v>
      </c>
      <c r="J21" s="132">
        <f>IF(SER_hh_emih_in!J21=0,0,SER_hh_emih_in!J21/SER_summary!J$27)</f>
        <v>2.3596681744493986</v>
      </c>
      <c r="K21" s="132">
        <f>IF(SER_hh_emih_in!K21=0,0,SER_hh_emih_in!K21/SER_summary!K$27)</f>
        <v>2.3295990215298481</v>
      </c>
      <c r="L21" s="132">
        <f>IF(SER_hh_emih_in!L21=0,0,SER_hh_emih_in!L21/SER_summary!L$27)</f>
        <v>2.2612325890617075</v>
      </c>
      <c r="M21" s="132">
        <f>IF(SER_hh_emih_in!M21=0,0,SER_hh_emih_in!M21/SER_summary!M$27)</f>
        <v>2.2817983481218991</v>
      </c>
      <c r="N21" s="132">
        <f>IF(SER_hh_emih_in!N21=0,0,SER_hh_emih_in!N21/SER_summary!N$27)</f>
        <v>2.2159229748195797</v>
      </c>
      <c r="O21" s="132">
        <f>IF(SER_hh_emih_in!O21=0,0,SER_hh_emih_in!O21/SER_summary!O$27)</f>
        <v>2.0190475354516044</v>
      </c>
      <c r="P21" s="132">
        <f>IF(SER_hh_emih_in!P21=0,0,SER_hh_emih_in!P21/SER_summary!P$27)</f>
        <v>2.0101725394387904</v>
      </c>
      <c r="Q21" s="132">
        <f>IF(SER_hh_emih_in!Q21=0,0,SER_hh_emih_in!Q21/SER_summary!Q$27)</f>
        <v>1.9674835744584855</v>
      </c>
      <c r="R21" s="132">
        <f>IF(SER_hh_emih_in!R21=0,0,SER_hh_emih_in!R21/SER_summary!R$27)</f>
        <v>1.9708060319773069</v>
      </c>
      <c r="S21" s="132">
        <f>IF(SER_hh_emih_in!S21=0,0,SER_hh_emih_in!S21/SER_summary!S$27)</f>
        <v>1.6131280893191757</v>
      </c>
      <c r="T21" s="132">
        <f>IF(SER_hh_emih_in!T21=0,0,SER_hh_emih_in!T21/SER_summary!T$27)</f>
        <v>1.9120989438410649</v>
      </c>
      <c r="U21" s="132">
        <f>IF(SER_hh_emih_in!U21=0,0,SER_hh_emih_in!U21/SER_summary!U$27)</f>
        <v>1.8964893108191028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2.8946709285217835</v>
      </c>
      <c r="D22" s="132">
        <f>IF(SER_hh_emih_in!D22=0,0,SER_hh_emih_in!D22/SER_summary!D$27)</f>
        <v>0</v>
      </c>
      <c r="E22" s="132">
        <f>IF(SER_hh_emih_in!E22=0,0,SER_hh_emih_in!E22/SER_summary!E$27)</f>
        <v>2.6270494938381805</v>
      </c>
      <c r="F22" s="132">
        <f>IF(SER_hh_emih_in!F22=0,0,SER_hh_emih_in!F22/SER_summary!F$27)</f>
        <v>2.8218551690756852</v>
      </c>
      <c r="G22" s="132">
        <f>IF(SER_hh_emih_in!G22=0,0,SER_hh_emih_in!G22/SER_summary!G$27)</f>
        <v>2.8010980102254392</v>
      </c>
      <c r="H22" s="132">
        <f>IF(SER_hh_emih_in!H22=0,0,SER_hh_emih_in!H22/SER_summary!H$27)</f>
        <v>2.8851481191707751</v>
      </c>
      <c r="I22" s="132">
        <f>IF(SER_hh_emih_in!I22=0,0,SER_hh_emih_in!I22/SER_summary!I$27)</f>
        <v>2.8296025986097657</v>
      </c>
      <c r="J22" s="132">
        <f>IF(SER_hh_emih_in!J22=0,0,SER_hh_emih_in!J22/SER_summary!J$27)</f>
        <v>2.819125474708287</v>
      </c>
      <c r="K22" s="132">
        <f>IF(SER_hh_emih_in!K22=0,0,SER_hh_emih_in!K22/SER_summary!K$27)</f>
        <v>2.719992524520392</v>
      </c>
      <c r="L22" s="132">
        <f>IF(SER_hh_emih_in!L22=0,0,SER_hh_emih_in!L22/SER_summary!L$27)</f>
        <v>2.6924044842805066</v>
      </c>
      <c r="M22" s="132">
        <f>IF(SER_hh_emih_in!M22=0,0,SER_hh_emih_in!M22/SER_summary!M$27)</f>
        <v>2.1834110720977367</v>
      </c>
      <c r="N22" s="132">
        <f>IF(SER_hh_emih_in!N22=0,0,SER_hh_emih_in!N22/SER_summary!N$27)</f>
        <v>2.5992453641608146</v>
      </c>
      <c r="O22" s="132">
        <f>IF(SER_hh_emih_in!O22=0,0,SER_hh_emih_in!O22/SER_summary!O$27)</f>
        <v>2.5016010192385107</v>
      </c>
      <c r="P22" s="132">
        <f>IF(SER_hh_emih_in!P22=0,0,SER_hh_emih_in!P22/SER_summary!P$27)</f>
        <v>2.394653205168026</v>
      </c>
      <c r="Q22" s="132">
        <f>IF(SER_hh_emih_in!Q22=0,0,SER_hh_emih_in!Q22/SER_summary!Q$27)</f>
        <v>2.2963276624806119</v>
      </c>
      <c r="R22" s="132">
        <f>IF(SER_hh_emih_in!R22=0,0,SER_hh_emih_in!R22/SER_summary!R$27)</f>
        <v>2.2765284603179805</v>
      </c>
      <c r="S22" s="132">
        <f>IF(SER_hh_emih_in!S22=0,0,SER_hh_emih_in!S22/SER_summary!S$27)</f>
        <v>0</v>
      </c>
      <c r="T22" s="132">
        <f>IF(SER_hh_emih_in!T22=0,0,SER_hh_emih_in!T22/SER_summary!T$27)</f>
        <v>0</v>
      </c>
      <c r="U22" s="132">
        <f>IF(SER_hh_emih_in!U22=0,0,SER_hh_emih_in!U22/SER_summary!U$27)</f>
        <v>0</v>
      </c>
      <c r="V22" s="132">
        <f>IF(SER_hh_emih_in!V22=0,0,SER_hh_emih_in!V22/SER_summary!V$27)</f>
        <v>0</v>
      </c>
      <c r="W22" s="132">
        <f>IF(SER_hh_emih_in!W22=0,0,SER_hh_emih_in!W22/SER_summary!W$27)</f>
        <v>1.5668820644176973</v>
      </c>
      <c r="X22" s="132">
        <f>IF(SER_hh_emih_in!X22=0,0,SER_hh_emih_in!X22/SER_summary!X$27)</f>
        <v>0.69884958720258983</v>
      </c>
      <c r="Y22" s="132">
        <f>IF(SER_hh_emih_in!Y22=0,0,SER_hh_emih_in!Y22/SER_summary!Y$27)</f>
        <v>1.5693347128867614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1.9901444221527191</v>
      </c>
      <c r="D23" s="132">
        <f>IF(SER_hh_emih_in!D23=0,0,SER_hh_emih_in!D23/SER_summary!D$27)</f>
        <v>1.7995318455337372</v>
      </c>
      <c r="E23" s="132">
        <f>IF(SER_hh_emih_in!E23=0,0,SER_hh_emih_in!E23/SER_summary!E$27)</f>
        <v>0</v>
      </c>
      <c r="F23" s="132">
        <f>IF(SER_hh_emih_in!F23=0,0,SER_hh_emih_in!F23/SER_summary!F$27)</f>
        <v>0.87753294900254974</v>
      </c>
      <c r="G23" s="132">
        <f>IF(SER_hh_emih_in!G23=0,0,SER_hh_emih_in!G23/SER_summary!G$27)</f>
        <v>1.7926445049915385</v>
      </c>
      <c r="H23" s="132">
        <f>IF(SER_hh_emih_in!H23=0,0,SER_hh_emih_in!H23/SER_summary!H$27)</f>
        <v>1.9963804867244961</v>
      </c>
      <c r="I23" s="132">
        <f>IF(SER_hh_emih_in!I23=0,0,SER_hh_emih_in!I23/SER_summary!I$27)</f>
        <v>1.888253761479106</v>
      </c>
      <c r="J23" s="132">
        <f>IF(SER_hh_emih_in!J23=0,0,SER_hh_emih_in!J23/SER_summary!J$27)</f>
        <v>1.8730804661961946</v>
      </c>
      <c r="K23" s="132">
        <f>IF(SER_hh_emih_in!K23=0,0,SER_hh_emih_in!K23/SER_summary!K$27)</f>
        <v>1.7488725368811076</v>
      </c>
      <c r="L23" s="132">
        <f>IF(SER_hh_emih_in!L23=0,0,SER_hh_emih_in!L23/SER_summary!L$27)</f>
        <v>1.8274492710408456</v>
      </c>
      <c r="M23" s="132">
        <f>IF(SER_hh_emih_in!M23=0,0,SER_hh_emih_in!M23/SER_summary!M$27)</f>
        <v>1.4593752595834184</v>
      </c>
      <c r="N23" s="132">
        <f>IF(SER_hh_emih_in!N23=0,0,SER_hh_emih_in!N23/SER_summary!N$27)</f>
        <v>1.6882720024964086</v>
      </c>
      <c r="O23" s="132">
        <f>IF(SER_hh_emih_in!O23=0,0,SER_hh_emih_in!O23/SER_summary!O$27)</f>
        <v>1.6647048064812133</v>
      </c>
      <c r="P23" s="132">
        <f>IF(SER_hh_emih_in!P23=0,0,SER_hh_emih_in!P23/SER_summary!P$27)</f>
        <v>1.6780787289121746</v>
      </c>
      <c r="Q23" s="132">
        <f>IF(SER_hh_emih_in!Q23=0,0,SER_hh_emih_in!Q23/SER_summary!Q$27)</f>
        <v>1.5264676026437951</v>
      </c>
      <c r="R23" s="132">
        <f>IF(SER_hh_emih_in!R23=0,0,SER_hh_emih_in!R23/SER_summary!R$27)</f>
        <v>1.4364973522975442</v>
      </c>
      <c r="S23" s="132">
        <f>IF(SER_hh_emih_in!S23=0,0,SER_hh_emih_in!S23/SER_summary!S$27)</f>
        <v>1.336713032587439</v>
      </c>
      <c r="T23" s="132">
        <f>IF(SER_hh_emih_in!T23=0,0,SER_hh_emih_in!T23/SER_summary!T$27)</f>
        <v>1.5898049225439781</v>
      </c>
      <c r="U23" s="132">
        <f>IF(SER_hh_emih_in!U23=0,0,SER_hh_emih_in!U23/SER_summary!U$27)</f>
        <v>1.4803242872793183</v>
      </c>
      <c r="V23" s="132">
        <f>IF(SER_hh_emih_in!V23=0,0,SER_hh_emih_in!V23/SER_summary!V$27)</f>
        <v>1.1488108257084408</v>
      </c>
      <c r="W23" s="132">
        <f>IF(SER_hh_emih_in!W23=0,0,SER_hh_emih_in!W23/SER_summary!W$27)</f>
        <v>1.2249635521174453</v>
      </c>
      <c r="X23" s="132">
        <f>IF(SER_hh_emih_in!X23=0,0,SER_hh_emih_in!X23/SER_summary!X$27)</f>
        <v>1.0123174561556443</v>
      </c>
      <c r="Y23" s="132">
        <f>IF(SER_hh_emih_in!Y23=0,0,SER_hh_emih_in!Y23/SER_summary!Y$27)</f>
        <v>1.1924146483163698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1.8065058825572293</v>
      </c>
      <c r="D29" s="130">
        <f>IF(SER_hh_emih_in!D29=0,0,SER_hh_emih_in!D29/SER_summary!D$27)</f>
        <v>1.4878429998666722</v>
      </c>
      <c r="E29" s="130">
        <f>IF(SER_hh_emih_in!E29=0,0,SER_hh_emih_in!E29/SER_summary!E$27)</f>
        <v>1.6276842645454441</v>
      </c>
      <c r="F29" s="130">
        <f>IF(SER_hh_emih_in!F29=0,0,SER_hh_emih_in!F29/SER_summary!F$27)</f>
        <v>1.6562518787670764</v>
      </c>
      <c r="G29" s="130">
        <f>IF(SER_hh_emih_in!G29=0,0,SER_hh_emih_in!G29/SER_summary!G$27)</f>
        <v>1.4280020860487301</v>
      </c>
      <c r="H29" s="130">
        <f>IF(SER_hh_emih_in!H29=0,0,SER_hh_emih_in!H29/SER_summary!H$27)</f>
        <v>1.6592760266831785</v>
      </c>
      <c r="I29" s="130">
        <f>IF(SER_hh_emih_in!I29=0,0,SER_hh_emih_in!I29/SER_summary!I$27)</f>
        <v>1.3405076177894475</v>
      </c>
      <c r="J29" s="130">
        <f>IF(SER_hh_emih_in!J29=0,0,SER_hh_emih_in!J29/SER_summary!J$27)</f>
        <v>1.3204914977821942</v>
      </c>
      <c r="K29" s="130">
        <f>IF(SER_hh_emih_in!K29=0,0,SER_hh_emih_in!K29/SER_summary!K$27)</f>
        <v>1.0384715856085007</v>
      </c>
      <c r="L29" s="130">
        <f>IF(SER_hh_emih_in!L29=0,0,SER_hh_emih_in!L29/SER_summary!L$27)</f>
        <v>1.0732239332200848</v>
      </c>
      <c r="M29" s="130">
        <f>IF(SER_hh_emih_in!M29=0,0,SER_hh_emih_in!M29/SER_summary!M$27)</f>
        <v>0.71825054070105154</v>
      </c>
      <c r="N29" s="130">
        <f>IF(SER_hh_emih_in!N29=0,0,SER_hh_emih_in!N29/SER_summary!N$27)</f>
        <v>1.6912040444713858</v>
      </c>
      <c r="O29" s="130">
        <f>IF(SER_hh_emih_in!O29=0,0,SER_hh_emih_in!O29/SER_summary!O$27)</f>
        <v>1.9967121080754928</v>
      </c>
      <c r="P29" s="130">
        <f>IF(SER_hh_emih_in!P29=0,0,SER_hh_emih_in!P29/SER_summary!P$27)</f>
        <v>2.7969210667155875</v>
      </c>
      <c r="Q29" s="130">
        <f>IF(SER_hh_emih_in!Q29=0,0,SER_hh_emih_in!Q29/SER_summary!Q$27)</f>
        <v>1.7440628624065251</v>
      </c>
      <c r="R29" s="130">
        <f>IF(SER_hh_emih_in!R29=0,0,SER_hh_emih_in!R29/SER_summary!R$27)</f>
        <v>1.6806619683268931</v>
      </c>
      <c r="S29" s="130">
        <f>IF(SER_hh_emih_in!S29=0,0,SER_hh_emih_in!S29/SER_summary!S$27)</f>
        <v>1.8421522898371723</v>
      </c>
      <c r="T29" s="130">
        <f>IF(SER_hh_emih_in!T29=0,0,SER_hh_emih_in!T29/SER_summary!T$27)</f>
        <v>2.454777635257535</v>
      </c>
      <c r="U29" s="130">
        <f>IF(SER_hh_emih_in!U29=0,0,SER_hh_emih_in!U29/SER_summary!U$27)</f>
        <v>2.0726687715000272</v>
      </c>
      <c r="V29" s="130">
        <f>IF(SER_hh_emih_in!V29=0,0,SER_hh_emih_in!V29/SER_summary!V$27)</f>
        <v>1.6235624949400904</v>
      </c>
      <c r="W29" s="130">
        <f>IF(SER_hh_emih_in!W29=0,0,SER_hh_emih_in!W29/SER_summary!W$27)</f>
        <v>1.9980226606702294</v>
      </c>
      <c r="X29" s="130">
        <f>IF(SER_hh_emih_in!X29=0,0,SER_hh_emih_in!X29/SER_summary!X$27)</f>
        <v>2.0012906708145337</v>
      </c>
      <c r="Y29" s="130">
        <f>IF(SER_hh_emih_in!Y29=0,0,SER_hh_emih_in!Y29/SER_summary!Y$27)</f>
        <v>1.9624530505289011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2.6947321965165392</v>
      </c>
      <c r="D30" s="132">
        <f>IF(SER_hh_emih_in!D30=0,0,SER_hh_emih_in!D30/SER_summary!D$27)</f>
        <v>1.9745751149706037</v>
      </c>
      <c r="E30" s="132">
        <f>IF(SER_hh_emih_in!E30=0,0,SER_hh_emih_in!E30/SER_summary!E$27)</f>
        <v>3.4138689134857567</v>
      </c>
      <c r="F30" s="132">
        <f>IF(SER_hh_emih_in!F30=0,0,SER_hh_emih_in!F30/SER_summary!F$27)</f>
        <v>2.6851902841189994</v>
      </c>
      <c r="G30" s="132">
        <f>IF(SER_hh_emih_in!G30=0,0,SER_hh_emih_in!G30/SER_summary!G$27)</f>
        <v>4.3094163285427678</v>
      </c>
      <c r="H30" s="132">
        <f>IF(SER_hh_emih_in!H30=0,0,SER_hh_emih_in!H30/SER_summary!H$27)</f>
        <v>2.759970739228097</v>
      </c>
      <c r="I30" s="132">
        <f>IF(SER_hh_emih_in!I30=0,0,SER_hh_emih_in!I30/SER_summary!I$27)</f>
        <v>2.6012773792362016</v>
      </c>
      <c r="J30" s="132">
        <f>IF(SER_hh_emih_in!J30=0,0,SER_hh_emih_in!J30/SER_summary!J$27)</f>
        <v>3.0832810148876515</v>
      </c>
      <c r="K30" s="132">
        <f>IF(SER_hh_emih_in!K30=0,0,SER_hh_emih_in!K30/SER_summary!K$27)</f>
        <v>2.7859218093557452</v>
      </c>
      <c r="L30" s="132">
        <f>IF(SER_hh_emih_in!L30=0,0,SER_hh_emih_in!L30/SER_summary!L$27)</f>
        <v>2.3683823158955506</v>
      </c>
      <c r="M30" s="132">
        <f>IF(SER_hh_emih_in!M30=0,0,SER_hh_emih_in!M30/SER_summary!M$27)</f>
        <v>2.3503793046000938</v>
      </c>
      <c r="N30" s="132">
        <f>IF(SER_hh_emih_in!N30=0,0,SER_hh_emih_in!N30/SER_summary!N$27)</f>
        <v>2.624195513483659</v>
      </c>
      <c r="O30" s="132">
        <f>IF(SER_hh_emih_in!O30=0,0,SER_hh_emih_in!O30/SER_summary!O$27)</f>
        <v>3.505735682570934</v>
      </c>
      <c r="P30" s="132">
        <f>IF(SER_hh_emih_in!P30=0,0,SER_hh_emih_in!P30/SER_summary!P$27)</f>
        <v>2.9756441034878467</v>
      </c>
      <c r="Q30" s="132">
        <f>IF(SER_hh_emih_in!Q30=0,0,SER_hh_emih_in!Q30/SER_summary!Q$27)</f>
        <v>2.5766780669922507</v>
      </c>
      <c r="R30" s="132">
        <f>IF(SER_hh_emih_in!R30=0,0,SER_hh_emih_in!R30/SER_summary!R$27)</f>
        <v>3.4966984311089608</v>
      </c>
      <c r="S30" s="132">
        <f>IF(SER_hh_emih_in!S30=0,0,SER_hh_emih_in!S30/SER_summary!S$27)</f>
        <v>2.3042609654614039</v>
      </c>
      <c r="T30" s="132">
        <f>IF(SER_hh_emih_in!T30=0,0,SER_hh_emih_in!T30/SER_summary!T$27)</f>
        <v>2.998901029919844</v>
      </c>
      <c r="U30" s="132">
        <f>IF(SER_hh_emih_in!U30=0,0,SER_hh_emih_in!U30/SER_summary!U$27)</f>
        <v>3.1473106104899227</v>
      </c>
      <c r="V30" s="132">
        <f>IF(SER_hh_emih_in!V30=0,0,SER_hh_emih_in!V30/SER_summary!V$27)</f>
        <v>3.1139249170539762</v>
      </c>
      <c r="W30" s="132">
        <f>IF(SER_hh_emih_in!W30=0,0,SER_hh_emih_in!W30/SER_summary!W$27)</f>
        <v>2.5939400284587415</v>
      </c>
      <c r="X30" s="132">
        <f>IF(SER_hh_emih_in!X30=0,0,SER_hh_emih_in!X30/SER_summary!X$27)</f>
        <v>3.3799059409433485</v>
      </c>
      <c r="Y30" s="132">
        <f>IF(SER_hh_emih_in!Y30=0,0,SER_hh_emih_in!Y30/SER_summary!Y$27)</f>
        <v>0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2.4486555465179012</v>
      </c>
      <c r="D31" s="132">
        <f>IF(SER_hh_emih_in!D31=0,0,SER_hh_emih_in!D31/SER_summary!D$27)</f>
        <v>2.5993851227595113</v>
      </c>
      <c r="E31" s="132">
        <f>IF(SER_hh_emih_in!E31=0,0,SER_hh_emih_in!E31/SER_summary!E$27)</f>
        <v>2.6032590756662195</v>
      </c>
      <c r="F31" s="132">
        <f>IF(SER_hh_emih_in!F31=0,0,SER_hh_emih_in!F31/SER_summary!F$27)</f>
        <v>2.631606122709901</v>
      </c>
      <c r="G31" s="132">
        <f>IF(SER_hh_emih_in!G31=0,0,SER_hh_emih_in!G31/SER_summary!G$27)</f>
        <v>2.5276466466817129</v>
      </c>
      <c r="H31" s="132">
        <f>IF(SER_hh_emih_in!H31=0,0,SER_hh_emih_in!H31/SER_summary!H$27)</f>
        <v>2.5360961724440894</v>
      </c>
      <c r="I31" s="132">
        <f>IF(SER_hh_emih_in!I31=0,0,SER_hh_emih_in!I31/SER_summary!I$27)</f>
        <v>2.4689154592390912</v>
      </c>
      <c r="J31" s="132">
        <f>IF(SER_hh_emih_in!J31=0,0,SER_hh_emih_in!J31/SER_summary!J$27)</f>
        <v>2.4832588388619103</v>
      </c>
      <c r="K31" s="132">
        <f>IF(SER_hh_emih_in!K31=0,0,SER_hh_emih_in!K31/SER_summary!K$27)</f>
        <v>2.5369830322486866</v>
      </c>
      <c r="L31" s="132">
        <f>IF(SER_hh_emih_in!L31=0,0,SER_hh_emih_in!L31/SER_summary!L$27)</f>
        <v>2.510515478269443</v>
      </c>
      <c r="M31" s="132">
        <f>IF(SER_hh_emih_in!M31=0,0,SER_hh_emih_in!M31/SER_summary!M$27)</f>
        <v>2.4602993039393</v>
      </c>
      <c r="N31" s="132">
        <f>IF(SER_hh_emih_in!N31=0,0,SER_hh_emih_in!N31/SER_summary!N$27)</f>
        <v>2.3946565960874548</v>
      </c>
      <c r="O31" s="132">
        <f>IF(SER_hh_emih_in!O31=0,0,SER_hh_emih_in!O31/SER_summary!O$27)</f>
        <v>2.3210515146054616</v>
      </c>
      <c r="P31" s="132">
        <f>IF(SER_hh_emih_in!P31=0,0,SER_hh_emih_in!P31/SER_summary!P$27)</f>
        <v>2.7995465046120516</v>
      </c>
      <c r="Q31" s="132">
        <f>IF(SER_hh_emih_in!Q31=0,0,SER_hh_emih_in!Q31/SER_summary!Q$27)</f>
        <v>2.5364366072687701</v>
      </c>
      <c r="R31" s="132">
        <f>IF(SER_hh_emih_in!R31=0,0,SER_hh_emih_in!R31/SER_summary!R$27)</f>
        <v>2.3617482017947622</v>
      </c>
      <c r="S31" s="132">
        <f>IF(SER_hh_emih_in!S31=0,0,SER_hh_emih_in!S31/SER_summary!S$27)</f>
        <v>2.4179835278022872</v>
      </c>
      <c r="T31" s="132">
        <f>IF(SER_hh_emih_in!T31=0,0,SER_hh_emih_in!T31/SER_summary!T$27)</f>
        <v>2.5649856181780613</v>
      </c>
      <c r="U31" s="132">
        <f>IF(SER_hh_emih_in!U31=0,0,SER_hh_emih_in!U31/SER_summary!U$27)</f>
        <v>2.6601253757475742</v>
      </c>
      <c r="V31" s="132">
        <f>IF(SER_hh_emih_in!V31=0,0,SER_hh_emih_in!V31/SER_summary!V$27)</f>
        <v>2.1336883881161208</v>
      </c>
      <c r="W31" s="132">
        <f>IF(SER_hh_emih_in!W31=0,0,SER_hh_emih_in!W31/SER_summary!W$27)</f>
        <v>1.9817839488851836</v>
      </c>
      <c r="X31" s="132">
        <f>IF(SER_hh_emih_in!X31=0,0,SER_hh_emih_in!X31/SER_summary!X$27)</f>
        <v>1.9884534571384014</v>
      </c>
      <c r="Y31" s="132">
        <f>IF(SER_hh_emih_in!Y31=0,0,SER_hh_emih_in!Y31/SER_summary!Y$27)</f>
        <v>1.9663345672419474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0.11465408044717457</v>
      </c>
      <c r="F32" s="132">
        <f>IF(SER_hh_emih_in!F32=0,0,SER_hh_emih_in!F32/SER_summary!F$27)</f>
        <v>0.10292027265484582</v>
      </c>
      <c r="G32" s="132">
        <f>IF(SER_hh_emih_in!G32=0,0,SER_hh_emih_in!G32/SER_summary!G$27)</f>
        <v>0.16205975159470229</v>
      </c>
      <c r="H32" s="132">
        <f>IF(SER_hh_emih_in!H32=0,0,SER_hh_emih_in!H32/SER_summary!H$27)</f>
        <v>0.12831677317381013</v>
      </c>
      <c r="I32" s="132">
        <f>IF(SER_hh_emih_in!I32=0,0,SER_hh_emih_in!I32/SER_summary!I$27)</f>
        <v>0.11162137658122415</v>
      </c>
      <c r="J32" s="132">
        <f>IF(SER_hh_emih_in!J32=0,0,SER_hh_emih_in!J32/SER_summary!J$27)</f>
        <v>5.6379764907694807E-2</v>
      </c>
      <c r="K32" s="132">
        <f>IF(SER_hh_emih_in!K32=0,0,SER_hh_emih_in!K32/SER_summary!K$27)</f>
        <v>6.2729641313802625E-2</v>
      </c>
      <c r="L32" s="132">
        <f>IF(SER_hh_emih_in!L32=0,0,SER_hh_emih_in!L32/SER_summary!L$27)</f>
        <v>4.9886338929189984E-2</v>
      </c>
      <c r="M32" s="132">
        <f>IF(SER_hh_emih_in!M32=0,0,SER_hh_emih_in!M32/SER_summary!M$27)</f>
        <v>5.2717011711461122E-3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7057.9382313557289</v>
      </c>
      <c r="C3" s="179">
        <f t="shared" ref="C3:W3" si="1">SUM(C4:C9)</f>
        <v>7313.5825989709765</v>
      </c>
      <c r="D3" s="179">
        <f t="shared" si="1"/>
        <v>7521.1636865173041</v>
      </c>
      <c r="E3" s="179">
        <f t="shared" si="1"/>
        <v>7712.9411439346595</v>
      </c>
      <c r="F3" s="179">
        <f t="shared" si="1"/>
        <v>7945.7457533987663</v>
      </c>
      <c r="G3" s="179">
        <f t="shared" si="1"/>
        <v>8136.640984901127</v>
      </c>
      <c r="H3" s="179">
        <f t="shared" si="1"/>
        <v>8365.575621998054</v>
      </c>
      <c r="I3" s="179">
        <f t="shared" si="1"/>
        <v>8579.772943663329</v>
      </c>
      <c r="J3" s="179">
        <f t="shared" si="1"/>
        <v>8732.1078224203648</v>
      </c>
      <c r="K3" s="179">
        <f t="shared" si="1"/>
        <v>8777.1307090368937</v>
      </c>
      <c r="L3" s="179">
        <f t="shared" si="1"/>
        <v>8911.3452532324536</v>
      </c>
      <c r="M3" s="179">
        <f t="shared" si="1"/>
        <v>8886.2356665371353</v>
      </c>
      <c r="N3" s="179">
        <f t="shared" si="1"/>
        <v>8914.227836394406</v>
      </c>
      <c r="O3" s="179">
        <f t="shared" si="1"/>
        <v>8969.9437749675744</v>
      </c>
      <c r="P3" s="179">
        <f t="shared" si="1"/>
        <v>9065.4856063968455</v>
      </c>
      <c r="Q3" s="179">
        <f t="shared" si="1"/>
        <v>9231.2143875281836</v>
      </c>
      <c r="R3" s="179">
        <f t="shared" si="1"/>
        <v>9214.1606997644849</v>
      </c>
      <c r="S3" s="179">
        <f t="shared" si="1"/>
        <v>9275.3524820811126</v>
      </c>
      <c r="T3" s="179">
        <f t="shared" si="1"/>
        <v>9204.4949595921953</v>
      </c>
      <c r="U3" s="179">
        <f t="shared" si="1"/>
        <v>9054.416003503191</v>
      </c>
      <c r="V3" s="179">
        <f t="shared" si="1"/>
        <v>8802.5150655222369</v>
      </c>
      <c r="W3" s="179">
        <f t="shared" si="1"/>
        <v>8818.5197824299212</v>
      </c>
      <c r="X3" s="179">
        <f t="shared" ref="X3:Y3" si="2">SUM(X4:X9)</f>
        <v>8648.7860958429737</v>
      </c>
      <c r="Y3" s="179">
        <f t="shared" si="2"/>
        <v>8513.8233551279609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854.55489174617003</v>
      </c>
      <c r="C4" s="180">
        <f t="shared" ref="C4:R9" si="4">C12*C44/11630</f>
        <v>874.07218603007243</v>
      </c>
      <c r="D4" s="180">
        <f t="shared" si="4"/>
        <v>884.40541503935799</v>
      </c>
      <c r="E4" s="180">
        <f t="shared" si="4"/>
        <v>892.90751365723838</v>
      </c>
      <c r="F4" s="180">
        <f t="shared" si="4"/>
        <v>907.21794146367301</v>
      </c>
      <c r="G4" s="180">
        <f t="shared" si="4"/>
        <v>917.18060593889504</v>
      </c>
      <c r="H4" s="180">
        <f t="shared" si="4"/>
        <v>941.96466303822729</v>
      </c>
      <c r="I4" s="180">
        <f t="shared" si="4"/>
        <v>965.74470530837789</v>
      </c>
      <c r="J4" s="180">
        <f t="shared" si="4"/>
        <v>979.39326328285892</v>
      </c>
      <c r="K4" s="180">
        <f t="shared" si="4"/>
        <v>980.70315808767032</v>
      </c>
      <c r="L4" s="180">
        <f t="shared" si="4"/>
        <v>996.51030601411549</v>
      </c>
      <c r="M4" s="180">
        <f t="shared" si="4"/>
        <v>995.69510945960792</v>
      </c>
      <c r="N4" s="180">
        <f t="shared" si="4"/>
        <v>1001.6100238211616</v>
      </c>
      <c r="O4" s="180">
        <f t="shared" si="4"/>
        <v>1006.9266444304492</v>
      </c>
      <c r="P4" s="180">
        <f t="shared" si="4"/>
        <v>1011.7540257323067</v>
      </c>
      <c r="Q4" s="180">
        <f t="shared" si="4"/>
        <v>1017.3063767288271</v>
      </c>
      <c r="R4" s="180">
        <f t="shared" si="4"/>
        <v>1021.5655517627742</v>
      </c>
      <c r="S4" s="180">
        <f t="shared" ref="D4:W9" si="5">S12*S44/11630</f>
        <v>1021.6903884667672</v>
      </c>
      <c r="T4" s="180">
        <f t="shared" si="5"/>
        <v>1019.3560603627351</v>
      </c>
      <c r="U4" s="180">
        <f t="shared" si="5"/>
        <v>1020.2256956187177</v>
      </c>
      <c r="V4" s="180">
        <f t="shared" si="5"/>
        <v>1021.0367472500653</v>
      </c>
      <c r="W4" s="180">
        <f t="shared" si="5"/>
        <v>1019.8981723496727</v>
      </c>
      <c r="X4" s="180">
        <f t="shared" ref="X4:Y4" si="6">X12*X44/11630</f>
        <v>1014.379303873215</v>
      </c>
      <c r="Y4" s="180">
        <f t="shared" si="6"/>
        <v>1007.9222311083631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437.9421758484757</v>
      </c>
      <c r="C5" s="180">
        <f t="shared" si="4"/>
        <v>445.57934535682244</v>
      </c>
      <c r="D5" s="180">
        <f t="shared" si="5"/>
        <v>452.15968847812417</v>
      </c>
      <c r="E5" s="180">
        <f t="shared" si="5"/>
        <v>455.1904734722869</v>
      </c>
      <c r="F5" s="180">
        <f t="shared" si="5"/>
        <v>456.88839355640926</v>
      </c>
      <c r="G5" s="180">
        <f t="shared" si="5"/>
        <v>458.63785202048103</v>
      </c>
      <c r="H5" s="180">
        <f t="shared" si="5"/>
        <v>457.27064839679537</v>
      </c>
      <c r="I5" s="180">
        <f t="shared" si="5"/>
        <v>453.12303624067556</v>
      </c>
      <c r="J5" s="180">
        <f t="shared" si="5"/>
        <v>453.22981632702908</v>
      </c>
      <c r="K5" s="180">
        <f t="shared" si="5"/>
        <v>454.03196184727403</v>
      </c>
      <c r="L5" s="180">
        <f t="shared" si="5"/>
        <v>460.94247732876448</v>
      </c>
      <c r="M5" s="180">
        <f t="shared" si="5"/>
        <v>464.11205789080742</v>
      </c>
      <c r="N5" s="180">
        <f t="shared" si="5"/>
        <v>468.37127212572142</v>
      </c>
      <c r="O5" s="180">
        <f t="shared" si="5"/>
        <v>472.38859903236852</v>
      </c>
      <c r="P5" s="180">
        <f t="shared" si="5"/>
        <v>482.94268594898284</v>
      </c>
      <c r="Q5" s="180">
        <f t="shared" si="5"/>
        <v>491.4442506292641</v>
      </c>
      <c r="R5" s="180">
        <f t="shared" si="5"/>
        <v>489.13732231697355</v>
      </c>
      <c r="S5" s="180">
        <f t="shared" si="5"/>
        <v>492.37958722521597</v>
      </c>
      <c r="T5" s="180">
        <f t="shared" si="5"/>
        <v>486.16653366500049</v>
      </c>
      <c r="U5" s="180">
        <f t="shared" si="5"/>
        <v>473.93613038632424</v>
      </c>
      <c r="V5" s="180">
        <f t="shared" si="5"/>
        <v>462.71455266351586</v>
      </c>
      <c r="W5" s="180">
        <f t="shared" si="5"/>
        <v>451.09627769986946</v>
      </c>
      <c r="X5" s="180">
        <f t="shared" ref="X5:Y5" si="7">X13*X45/11630</f>
        <v>439.21265737486254</v>
      </c>
      <c r="Y5" s="180">
        <f t="shared" si="7"/>
        <v>427.26393427659951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3423.4968876492908</v>
      </c>
      <c r="C6" s="180">
        <f t="shared" si="4"/>
        <v>3498.0883514323814</v>
      </c>
      <c r="D6" s="180">
        <f t="shared" si="5"/>
        <v>3528.2625601217101</v>
      </c>
      <c r="E6" s="180">
        <f t="shared" si="5"/>
        <v>3537.0383679459751</v>
      </c>
      <c r="F6" s="180">
        <f t="shared" si="5"/>
        <v>3580.8825147027605</v>
      </c>
      <c r="G6" s="180">
        <f t="shared" si="5"/>
        <v>3587.0706648845357</v>
      </c>
      <c r="H6" s="180">
        <f t="shared" si="5"/>
        <v>3649.084375460814</v>
      </c>
      <c r="I6" s="180">
        <f t="shared" si="5"/>
        <v>3716.2763678740189</v>
      </c>
      <c r="J6" s="180">
        <f t="shared" si="5"/>
        <v>3758.063801527001</v>
      </c>
      <c r="K6" s="180">
        <f t="shared" si="5"/>
        <v>3740.6939472475383</v>
      </c>
      <c r="L6" s="180">
        <f t="shared" si="5"/>
        <v>3789.4407828593671</v>
      </c>
      <c r="M6" s="180">
        <f t="shared" si="5"/>
        <v>3791.92074058652</v>
      </c>
      <c r="N6" s="180">
        <f t="shared" si="5"/>
        <v>3792.0575860959357</v>
      </c>
      <c r="O6" s="180">
        <f t="shared" si="5"/>
        <v>3756.5605949620644</v>
      </c>
      <c r="P6" s="180">
        <f t="shared" si="5"/>
        <v>3769.1242648631073</v>
      </c>
      <c r="Q6" s="180">
        <f t="shared" si="5"/>
        <v>3786.1141479243583</v>
      </c>
      <c r="R6" s="180">
        <f t="shared" si="5"/>
        <v>3657.6354892602208</v>
      </c>
      <c r="S6" s="180">
        <f t="shared" si="5"/>
        <v>3602.1696902272106</v>
      </c>
      <c r="T6" s="180">
        <f t="shared" si="5"/>
        <v>3436.6986986871029</v>
      </c>
      <c r="U6" s="180">
        <f t="shared" si="5"/>
        <v>3244.5610866899606</v>
      </c>
      <c r="V6" s="180">
        <f t="shared" si="5"/>
        <v>3000.7202779766189</v>
      </c>
      <c r="W6" s="180">
        <f t="shared" si="5"/>
        <v>2931.271681240632</v>
      </c>
      <c r="X6" s="180">
        <f t="shared" ref="X6:Y6" si="8">X14*X46/11630</f>
        <v>2758.3649799725745</v>
      </c>
      <c r="Y6" s="180">
        <f t="shared" si="8"/>
        <v>2600.2490763349333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793.93297941546598</v>
      </c>
      <c r="C7" s="180">
        <f t="shared" si="4"/>
        <v>799.87182460022836</v>
      </c>
      <c r="D7" s="180">
        <f t="shared" si="5"/>
        <v>810.30670916818735</v>
      </c>
      <c r="E7" s="180">
        <f t="shared" si="5"/>
        <v>820.49846063973234</v>
      </c>
      <c r="F7" s="180">
        <f t="shared" si="5"/>
        <v>824.02458633153765</v>
      </c>
      <c r="G7" s="180">
        <f t="shared" si="5"/>
        <v>823.95547724561072</v>
      </c>
      <c r="H7" s="180">
        <f t="shared" si="5"/>
        <v>820.31578522439793</v>
      </c>
      <c r="I7" s="180">
        <f t="shared" si="5"/>
        <v>815.21247692031466</v>
      </c>
      <c r="J7" s="180">
        <f t="shared" si="5"/>
        <v>812.81725438724857</v>
      </c>
      <c r="K7" s="180">
        <f t="shared" si="5"/>
        <v>809.72102772818005</v>
      </c>
      <c r="L7" s="180">
        <f t="shared" si="5"/>
        <v>806.33538676021146</v>
      </c>
      <c r="M7" s="180">
        <f t="shared" si="5"/>
        <v>790.77809324163934</v>
      </c>
      <c r="N7" s="180">
        <f t="shared" si="5"/>
        <v>793.26079270398748</v>
      </c>
      <c r="O7" s="180">
        <f t="shared" si="5"/>
        <v>798.02008899925943</v>
      </c>
      <c r="P7" s="180">
        <f t="shared" si="5"/>
        <v>804.2653270132987</v>
      </c>
      <c r="Q7" s="180">
        <f t="shared" si="5"/>
        <v>815.47478459850254</v>
      </c>
      <c r="R7" s="180">
        <f t="shared" si="5"/>
        <v>826.35733472099548</v>
      </c>
      <c r="S7" s="180">
        <f t="shared" si="5"/>
        <v>833.15210937924303</v>
      </c>
      <c r="T7" s="180">
        <f t="shared" si="5"/>
        <v>836.99010626246093</v>
      </c>
      <c r="U7" s="180">
        <f t="shared" si="5"/>
        <v>838.95967209190417</v>
      </c>
      <c r="V7" s="180">
        <f t="shared" si="5"/>
        <v>838.98175751680276</v>
      </c>
      <c r="W7" s="180">
        <f t="shared" si="5"/>
        <v>841.41279717622785</v>
      </c>
      <c r="X7" s="180">
        <f t="shared" ref="X7:Y7" si="9">X15*X47/11630</f>
        <v>836.38113479513379</v>
      </c>
      <c r="Y7" s="180">
        <f t="shared" si="9"/>
        <v>826.20181530281957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411.30325973125349</v>
      </c>
      <c r="C8" s="55">
        <f t="shared" si="4"/>
        <v>447.38216861684958</v>
      </c>
      <c r="D8" s="55">
        <f t="shared" si="5"/>
        <v>486.18981593005054</v>
      </c>
      <c r="E8" s="55">
        <f t="shared" si="5"/>
        <v>530.52395197635349</v>
      </c>
      <c r="F8" s="55">
        <f t="shared" si="5"/>
        <v>580.538666496107</v>
      </c>
      <c r="G8" s="55">
        <f t="shared" si="5"/>
        <v>632.01427452153132</v>
      </c>
      <c r="H8" s="55">
        <f t="shared" si="5"/>
        <v>696.69817411590964</v>
      </c>
      <c r="I8" s="55">
        <f t="shared" si="5"/>
        <v>754.680950018261</v>
      </c>
      <c r="J8" s="55">
        <f t="shared" si="5"/>
        <v>799.144883831946</v>
      </c>
      <c r="K8" s="55">
        <f t="shared" si="5"/>
        <v>824.89198230816839</v>
      </c>
      <c r="L8" s="55">
        <f t="shared" si="5"/>
        <v>858.56543560803073</v>
      </c>
      <c r="M8" s="55">
        <f t="shared" si="5"/>
        <v>877.99657197213719</v>
      </c>
      <c r="N8" s="55">
        <f t="shared" si="5"/>
        <v>901.06558014552434</v>
      </c>
      <c r="O8" s="55">
        <f t="shared" si="5"/>
        <v>922.11180721547703</v>
      </c>
      <c r="P8" s="55">
        <f t="shared" si="5"/>
        <v>943.35767119539548</v>
      </c>
      <c r="Q8" s="55">
        <f t="shared" si="5"/>
        <v>963.75168743589438</v>
      </c>
      <c r="R8" s="55">
        <f t="shared" si="5"/>
        <v>985.39697132755316</v>
      </c>
      <c r="S8" s="55">
        <f t="shared" si="5"/>
        <v>1022.9499241169709</v>
      </c>
      <c r="T8" s="55">
        <f t="shared" si="5"/>
        <v>1044.2334380694583</v>
      </c>
      <c r="U8" s="55">
        <f t="shared" si="5"/>
        <v>1055.8562753309736</v>
      </c>
      <c r="V8" s="55">
        <f t="shared" si="5"/>
        <v>1044.0586212043311</v>
      </c>
      <c r="W8" s="55">
        <f t="shared" si="5"/>
        <v>1083.9165307898104</v>
      </c>
      <c r="X8" s="55">
        <f t="shared" ref="X8:Y8" si="10">X16*X48/11630</f>
        <v>1083.7764258357779</v>
      </c>
      <c r="Y8" s="55">
        <f t="shared" si="10"/>
        <v>1083.9252885433816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1136.7080369650726</v>
      </c>
      <c r="C9" s="63">
        <f t="shared" si="4"/>
        <v>1248.5887229346224</v>
      </c>
      <c r="D9" s="63">
        <f t="shared" si="5"/>
        <v>1359.8394977798748</v>
      </c>
      <c r="E9" s="63">
        <f t="shared" si="5"/>
        <v>1476.7823762430737</v>
      </c>
      <c r="F9" s="63">
        <f t="shared" si="5"/>
        <v>1596.1936508482788</v>
      </c>
      <c r="G9" s="63">
        <f t="shared" si="5"/>
        <v>1717.7821102900739</v>
      </c>
      <c r="H9" s="63">
        <f t="shared" si="5"/>
        <v>1800.24197576191</v>
      </c>
      <c r="I9" s="63">
        <f t="shared" si="5"/>
        <v>1874.7354073016807</v>
      </c>
      <c r="J9" s="63">
        <f t="shared" si="5"/>
        <v>1929.458803064281</v>
      </c>
      <c r="K9" s="63">
        <f t="shared" si="5"/>
        <v>1967.0886318180617</v>
      </c>
      <c r="L9" s="63">
        <f t="shared" si="5"/>
        <v>1999.5508646619642</v>
      </c>
      <c r="M9" s="63">
        <f t="shared" si="5"/>
        <v>1965.7330933864228</v>
      </c>
      <c r="N9" s="63">
        <f t="shared" si="5"/>
        <v>1957.8625815020755</v>
      </c>
      <c r="O9" s="63">
        <f t="shared" si="5"/>
        <v>2013.9360403279568</v>
      </c>
      <c r="P9" s="63">
        <f t="shared" si="5"/>
        <v>2054.0416316437536</v>
      </c>
      <c r="Q9" s="63">
        <f t="shared" si="5"/>
        <v>2157.1231402113385</v>
      </c>
      <c r="R9" s="63">
        <f t="shared" si="5"/>
        <v>2234.0680303759677</v>
      </c>
      <c r="S9" s="63">
        <f t="shared" si="5"/>
        <v>2303.0107826657054</v>
      </c>
      <c r="T9" s="63">
        <f t="shared" si="5"/>
        <v>2381.0501225454377</v>
      </c>
      <c r="U9" s="63">
        <f t="shared" si="5"/>
        <v>2420.8771433853108</v>
      </c>
      <c r="V9" s="63">
        <f t="shared" si="5"/>
        <v>2435.0031089109034</v>
      </c>
      <c r="W9" s="63">
        <f t="shared" si="5"/>
        <v>2490.9243231737091</v>
      </c>
      <c r="X9" s="63">
        <f t="shared" ref="X9:Y9" si="11">X17*X49/11630</f>
        <v>2516.6715939914093</v>
      </c>
      <c r="Y9" s="63">
        <f t="shared" si="11"/>
        <v>2568.2610095618634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33235.869666174083</v>
      </c>
      <c r="C11" s="179">
        <f t="shared" ref="C11:W11" si="13">SUM(C12:C17)</f>
        <v>34431.817075186191</v>
      </c>
      <c r="D11" s="179">
        <f t="shared" si="13"/>
        <v>35431.389388141368</v>
      </c>
      <c r="E11" s="179">
        <f t="shared" si="13"/>
        <v>36478.951806322839</v>
      </c>
      <c r="F11" s="179">
        <f t="shared" si="13"/>
        <v>37775.041966814279</v>
      </c>
      <c r="G11" s="179">
        <f t="shared" si="13"/>
        <v>38964.040021503919</v>
      </c>
      <c r="H11" s="179">
        <f t="shared" si="13"/>
        <v>40391.750682875077</v>
      </c>
      <c r="I11" s="179">
        <f t="shared" si="13"/>
        <v>41712.978165940047</v>
      </c>
      <c r="J11" s="179">
        <f t="shared" si="13"/>
        <v>42627.083527325718</v>
      </c>
      <c r="K11" s="179">
        <f t="shared" si="13"/>
        <v>42861.408076742009</v>
      </c>
      <c r="L11" s="179">
        <f t="shared" si="13"/>
        <v>43539.560844105501</v>
      </c>
      <c r="M11" s="179">
        <f t="shared" si="13"/>
        <v>43476.711850681291</v>
      </c>
      <c r="N11" s="179">
        <f t="shared" si="13"/>
        <v>43661.502247109413</v>
      </c>
      <c r="O11" s="179">
        <f t="shared" si="13"/>
        <v>43824.37147619461</v>
      </c>
      <c r="P11" s="179">
        <f t="shared" si="13"/>
        <v>44294.692222961297</v>
      </c>
      <c r="Q11" s="179">
        <f t="shared" si="13"/>
        <v>45049.798818890064</v>
      </c>
      <c r="R11" s="179">
        <f t="shared" si="13"/>
        <v>45323.66223748427</v>
      </c>
      <c r="S11" s="179">
        <f t="shared" si="13"/>
        <v>45433.880186468465</v>
      </c>
      <c r="T11" s="179">
        <f t="shared" si="13"/>
        <v>45255.713353579828</v>
      </c>
      <c r="U11" s="179">
        <f t="shared" si="13"/>
        <v>44862.045767216667</v>
      </c>
      <c r="V11" s="179">
        <f t="shared" si="13"/>
        <v>44272.388447270241</v>
      </c>
      <c r="W11" s="179">
        <f t="shared" si="13"/>
        <v>43637.570236022148</v>
      </c>
      <c r="X11" s="179">
        <f t="shared" ref="X11:Y11" si="14">SUM(X12:X17)</f>
        <v>42881.343854171493</v>
      </c>
      <c r="Y11" s="179">
        <f t="shared" si="14"/>
        <v>42182.345569401921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1134.5289259141509</v>
      </c>
      <c r="C12" s="180">
        <f t="shared" ref="C12:W12" si="15">C20*C52</f>
        <v>1160.4405848778244</v>
      </c>
      <c r="D12" s="180">
        <f t="shared" si="15"/>
        <v>1174.1592439392391</v>
      </c>
      <c r="E12" s="180">
        <f t="shared" si="15"/>
        <v>1185.4468474695987</v>
      </c>
      <c r="F12" s="180">
        <f t="shared" si="15"/>
        <v>1204.4457373541688</v>
      </c>
      <c r="G12" s="180">
        <f t="shared" si="15"/>
        <v>1217.6724254645376</v>
      </c>
      <c r="H12" s="180">
        <f t="shared" si="15"/>
        <v>1250.5763734171899</v>
      </c>
      <c r="I12" s="180">
        <f t="shared" si="15"/>
        <v>1282.1473656091823</v>
      </c>
      <c r="J12" s="180">
        <f t="shared" si="15"/>
        <v>1300.2675401803256</v>
      </c>
      <c r="K12" s="180">
        <f t="shared" si="15"/>
        <v>1302.0065900182199</v>
      </c>
      <c r="L12" s="180">
        <f t="shared" si="15"/>
        <v>1322.9925638064115</v>
      </c>
      <c r="M12" s="180">
        <f t="shared" si="15"/>
        <v>1321.9102880154383</v>
      </c>
      <c r="N12" s="180">
        <f t="shared" si="15"/>
        <v>1329.7630795707894</v>
      </c>
      <c r="O12" s="180">
        <f t="shared" si="15"/>
        <v>1336.8215610417956</v>
      </c>
      <c r="P12" s="180">
        <f t="shared" si="15"/>
        <v>1343.2305158980294</v>
      </c>
      <c r="Q12" s="180">
        <f t="shared" si="15"/>
        <v>1350.6019590589342</v>
      </c>
      <c r="R12" s="180">
        <f t="shared" si="15"/>
        <v>1356.256548744414</v>
      </c>
      <c r="S12" s="180">
        <f t="shared" si="15"/>
        <v>1356.4222851448067</v>
      </c>
      <c r="T12" s="180">
        <f t="shared" si="15"/>
        <v>1353.3231714633118</v>
      </c>
      <c r="U12" s="180">
        <f t="shared" si="15"/>
        <v>1354.477721466403</v>
      </c>
      <c r="V12" s="180">
        <f t="shared" si="15"/>
        <v>1355.5544943513999</v>
      </c>
      <c r="W12" s="180">
        <f t="shared" si="15"/>
        <v>1354.0428931993933</v>
      </c>
      <c r="X12" s="180">
        <f t="shared" ref="X12:Y12" si="16">X20*X52</f>
        <v>1346.7159022882972</v>
      </c>
      <c r="Y12" s="180">
        <f t="shared" si="16"/>
        <v>1338.1433273733169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1330.5208754377318</v>
      </c>
      <c r="C13" s="180">
        <f t="shared" ref="C13:W13" si="17">C21*C53/1000</f>
        <v>1353.7957510108877</v>
      </c>
      <c r="D13" s="180">
        <f t="shared" si="17"/>
        <v>1374.2561422453073</v>
      </c>
      <c r="E13" s="180">
        <f t="shared" si="17"/>
        <v>1386.2018609993459</v>
      </c>
      <c r="F13" s="180">
        <f t="shared" si="17"/>
        <v>1392.8317567183235</v>
      </c>
      <c r="G13" s="180">
        <f t="shared" si="17"/>
        <v>1400.0141562774604</v>
      </c>
      <c r="H13" s="180">
        <f t="shared" si="17"/>
        <v>1396.1609760690903</v>
      </c>
      <c r="I13" s="180">
        <f t="shared" si="17"/>
        <v>1385.5155926441898</v>
      </c>
      <c r="J13" s="180">
        <f t="shared" si="17"/>
        <v>1388.2975180178794</v>
      </c>
      <c r="K13" s="180">
        <f t="shared" si="17"/>
        <v>1393.7120885820175</v>
      </c>
      <c r="L13" s="180">
        <f t="shared" si="17"/>
        <v>1416.4308816822847</v>
      </c>
      <c r="M13" s="180">
        <f t="shared" si="17"/>
        <v>1429.5275246220026</v>
      </c>
      <c r="N13" s="180">
        <f t="shared" si="17"/>
        <v>1449.8562475058009</v>
      </c>
      <c r="O13" s="180">
        <f t="shared" si="17"/>
        <v>1471.5713493586065</v>
      </c>
      <c r="P13" s="180">
        <f t="shared" si="17"/>
        <v>1516.2364781687527</v>
      </c>
      <c r="Q13" s="180">
        <f t="shared" si="17"/>
        <v>1555.1889003784347</v>
      </c>
      <c r="R13" s="180">
        <f t="shared" si="17"/>
        <v>1566.4332040179556</v>
      </c>
      <c r="S13" s="180">
        <f t="shared" si="17"/>
        <v>1561.5745376483731</v>
      </c>
      <c r="T13" s="180">
        <f t="shared" si="17"/>
        <v>1550.4276930227995</v>
      </c>
      <c r="U13" s="180">
        <f t="shared" si="17"/>
        <v>1527.2979452643276</v>
      </c>
      <c r="V13" s="180">
        <f t="shared" si="17"/>
        <v>1495.0033342687955</v>
      </c>
      <c r="W13" s="180">
        <f t="shared" si="17"/>
        <v>1452.3571033687431</v>
      </c>
      <c r="X13" s="180">
        <f t="shared" ref="X13:Y13" si="18">X21*X53/1000</f>
        <v>1414.5753853473573</v>
      </c>
      <c r="Y13" s="180">
        <f t="shared" si="18"/>
        <v>1376.5583157042547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16707.233744084559</v>
      </c>
      <c r="C14" s="180">
        <f t="shared" ref="C14:W14" si="19">C22*C54</f>
        <v>16955.977104482899</v>
      </c>
      <c r="D14" s="180">
        <f t="shared" si="19"/>
        <v>17023.373378526063</v>
      </c>
      <c r="E14" s="180">
        <f t="shared" si="19"/>
        <v>17008.468263434774</v>
      </c>
      <c r="F14" s="180">
        <f t="shared" si="19"/>
        <v>17128.141809898378</v>
      </c>
      <c r="G14" s="180">
        <f t="shared" si="19"/>
        <v>17087.32161609417</v>
      </c>
      <c r="H14" s="180">
        <f t="shared" si="19"/>
        <v>17263.130562134807</v>
      </c>
      <c r="I14" s="180">
        <f t="shared" si="19"/>
        <v>17494.812302486749</v>
      </c>
      <c r="J14" s="180">
        <f t="shared" si="19"/>
        <v>17620.087224289779</v>
      </c>
      <c r="K14" s="180">
        <f t="shared" si="19"/>
        <v>17502.674367397351</v>
      </c>
      <c r="L14" s="180">
        <f t="shared" si="19"/>
        <v>17678.68413860763</v>
      </c>
      <c r="M14" s="180">
        <f t="shared" si="19"/>
        <v>17613.764038734636</v>
      </c>
      <c r="N14" s="180">
        <f t="shared" si="19"/>
        <v>17558.679373289586</v>
      </c>
      <c r="O14" s="180">
        <f t="shared" si="19"/>
        <v>17342.518524048228</v>
      </c>
      <c r="P14" s="180">
        <f t="shared" si="19"/>
        <v>17333.312347281892</v>
      </c>
      <c r="Q14" s="180">
        <f t="shared" si="19"/>
        <v>17345.143595825983</v>
      </c>
      <c r="R14" s="180">
        <f t="shared" si="19"/>
        <v>16911.72711922793</v>
      </c>
      <c r="S14" s="180">
        <f t="shared" si="19"/>
        <v>16480.331880577865</v>
      </c>
      <c r="T14" s="180">
        <f t="shared" si="19"/>
        <v>15795.881932721381</v>
      </c>
      <c r="U14" s="180">
        <f t="shared" si="19"/>
        <v>15075.173036337215</v>
      </c>
      <c r="V14" s="180">
        <f t="shared" si="19"/>
        <v>14282.877657098343</v>
      </c>
      <c r="W14" s="180">
        <f t="shared" si="19"/>
        <v>13529.549973472265</v>
      </c>
      <c r="X14" s="180">
        <f t="shared" ref="X14:Y14" si="20">X22*X54</f>
        <v>12736.949974878726</v>
      </c>
      <c r="Y14" s="180">
        <f t="shared" si="20"/>
        <v>12009.416597955336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1054.0457249545514</v>
      </c>
      <c r="C15" s="180">
        <f t="shared" ref="C15:W15" si="21">C23*C55/1000</f>
        <v>1061.9302876827235</v>
      </c>
      <c r="D15" s="180">
        <f t="shared" si="21"/>
        <v>1075.7839072632444</v>
      </c>
      <c r="E15" s="180">
        <f t="shared" si="21"/>
        <v>1089.3147371278635</v>
      </c>
      <c r="F15" s="180">
        <f t="shared" si="21"/>
        <v>1093.9961117620755</v>
      </c>
      <c r="G15" s="180">
        <f t="shared" si="21"/>
        <v>1093.9043607724261</v>
      </c>
      <c r="H15" s="180">
        <f t="shared" si="21"/>
        <v>1089.0722125753132</v>
      </c>
      <c r="I15" s="180">
        <f t="shared" si="21"/>
        <v>1082.2969299752579</v>
      </c>
      <c r="J15" s="180">
        <f t="shared" si="21"/>
        <v>1079.1169712926599</v>
      </c>
      <c r="K15" s="180">
        <f t="shared" si="21"/>
        <v>1075.0063416071612</v>
      </c>
      <c r="L15" s="180">
        <f t="shared" si="21"/>
        <v>1070.5114780846191</v>
      </c>
      <c r="M15" s="180">
        <f t="shared" si="21"/>
        <v>1049.8572173972907</v>
      </c>
      <c r="N15" s="180">
        <f t="shared" si="21"/>
        <v>1053.1533126880563</v>
      </c>
      <c r="O15" s="180">
        <f t="shared" si="21"/>
        <v>1059.4718761485603</v>
      </c>
      <c r="P15" s="180">
        <f t="shared" si="21"/>
        <v>1067.7632138315826</v>
      </c>
      <c r="Q15" s="180">
        <f t="shared" si="21"/>
        <v>1082.6451763562313</v>
      </c>
      <c r="R15" s="180">
        <f t="shared" si="21"/>
        <v>1097.0931281741075</v>
      </c>
      <c r="S15" s="180">
        <f t="shared" si="21"/>
        <v>1106.1140447580592</v>
      </c>
      <c r="T15" s="180">
        <f t="shared" si="21"/>
        <v>1111.2094675607786</v>
      </c>
      <c r="U15" s="180">
        <f t="shared" si="21"/>
        <v>1113.8243135192747</v>
      </c>
      <c r="V15" s="180">
        <f t="shared" si="21"/>
        <v>1113.8536346941114</v>
      </c>
      <c r="W15" s="180">
        <f t="shared" si="21"/>
        <v>1117.0811451095353</v>
      </c>
      <c r="X15" s="180">
        <f t="shared" ref="X15:Y15" si="22">X23*X55/1000</f>
        <v>1110.4009814688818</v>
      </c>
      <c r="Y15" s="180">
        <f t="shared" si="22"/>
        <v>1096.8866566177844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7083.5338809354171</v>
      </c>
      <c r="C16" s="55">
        <f t="shared" ref="C16:W16" si="23">C24*C56</f>
        <v>7668.2605383768287</v>
      </c>
      <c r="D16" s="55">
        <f t="shared" si="23"/>
        <v>8297.258473404665</v>
      </c>
      <c r="E16" s="55">
        <f t="shared" si="23"/>
        <v>9017.6972878755078</v>
      </c>
      <c r="F16" s="55">
        <f t="shared" si="23"/>
        <v>9831.336775712849</v>
      </c>
      <c r="G16" s="55">
        <f t="shared" si="23"/>
        <v>10666.210451224248</v>
      </c>
      <c r="H16" s="55">
        <f t="shared" si="23"/>
        <v>11719.96992564213</v>
      </c>
      <c r="I16" s="55">
        <f t="shared" si="23"/>
        <v>12656.941285321558</v>
      </c>
      <c r="J16" s="55">
        <f t="shared" si="23"/>
        <v>13364.407892970603</v>
      </c>
      <c r="K16" s="55">
        <f t="shared" si="23"/>
        <v>13757.744077152936</v>
      </c>
      <c r="L16" s="55">
        <f t="shared" si="23"/>
        <v>14282.680616389527</v>
      </c>
      <c r="M16" s="55">
        <f t="shared" si="23"/>
        <v>14582.192750735205</v>
      </c>
      <c r="N16" s="55">
        <f t="shared" si="23"/>
        <v>14942.14575400612</v>
      </c>
      <c r="O16" s="55">
        <f t="shared" si="23"/>
        <v>15268.509579621437</v>
      </c>
      <c r="P16" s="55">
        <f t="shared" si="23"/>
        <v>15598.158704092781</v>
      </c>
      <c r="Q16" s="55">
        <f t="shared" si="23"/>
        <v>15913.69909594158</v>
      </c>
      <c r="R16" s="55">
        <f t="shared" si="23"/>
        <v>16406.496044383504</v>
      </c>
      <c r="S16" s="55">
        <f t="shared" si="23"/>
        <v>16828.794711981034</v>
      </c>
      <c r="T16" s="55">
        <f t="shared" si="23"/>
        <v>17190.645131212896</v>
      </c>
      <c r="U16" s="55">
        <f t="shared" si="23"/>
        <v>17480.651095795616</v>
      </c>
      <c r="V16" s="55">
        <f t="shared" si="23"/>
        <v>17707.674716170743</v>
      </c>
      <c r="W16" s="55">
        <f t="shared" si="23"/>
        <v>17826.642994029098</v>
      </c>
      <c r="X16" s="55">
        <f t="shared" ref="X16:Y16" si="24">X24*X56</f>
        <v>17884.533047654968</v>
      </c>
      <c r="Y16" s="55">
        <f t="shared" si="24"/>
        <v>17917.243606791184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5926.0065148476751</v>
      </c>
      <c r="C17" s="63">
        <f t="shared" ref="C17:W17" si="25">C25*C57/1000</f>
        <v>6231.4128087550262</v>
      </c>
      <c r="D17" s="63">
        <f t="shared" si="25"/>
        <v>6486.5582427628478</v>
      </c>
      <c r="E17" s="63">
        <f t="shared" si="25"/>
        <v>6791.8228094157521</v>
      </c>
      <c r="F17" s="63">
        <f t="shared" si="25"/>
        <v>7124.2897753684829</v>
      </c>
      <c r="G17" s="63">
        <f t="shared" si="25"/>
        <v>7498.9170116710775</v>
      </c>
      <c r="H17" s="63">
        <f t="shared" si="25"/>
        <v>7672.8406330365451</v>
      </c>
      <c r="I17" s="63">
        <f t="shared" si="25"/>
        <v>7811.2646899031079</v>
      </c>
      <c r="J17" s="63">
        <f t="shared" si="25"/>
        <v>7874.9063805744718</v>
      </c>
      <c r="K17" s="63">
        <f t="shared" si="25"/>
        <v>7830.2646119843293</v>
      </c>
      <c r="L17" s="63">
        <f t="shared" si="25"/>
        <v>7768.2611655350274</v>
      </c>
      <c r="M17" s="63">
        <f t="shared" si="25"/>
        <v>7479.4600311767217</v>
      </c>
      <c r="N17" s="63">
        <f t="shared" si="25"/>
        <v>7327.9044800490592</v>
      </c>
      <c r="O17" s="63">
        <f t="shared" si="25"/>
        <v>7345.4785859759813</v>
      </c>
      <c r="P17" s="63">
        <f t="shared" si="25"/>
        <v>7435.9909636882649</v>
      </c>
      <c r="Q17" s="63">
        <f t="shared" si="25"/>
        <v>7802.5200913289045</v>
      </c>
      <c r="R17" s="63">
        <f t="shared" si="25"/>
        <v>7985.6561929363625</v>
      </c>
      <c r="S17" s="63">
        <f t="shared" si="25"/>
        <v>8100.6427263583328</v>
      </c>
      <c r="T17" s="63">
        <f t="shared" si="25"/>
        <v>8254.2259575986609</v>
      </c>
      <c r="U17" s="63">
        <f t="shared" si="25"/>
        <v>8310.6216548338271</v>
      </c>
      <c r="V17" s="63">
        <f t="shared" si="25"/>
        <v>8317.4246106868432</v>
      </c>
      <c r="W17" s="63">
        <f t="shared" si="25"/>
        <v>8357.8961268431121</v>
      </c>
      <c r="X17" s="63">
        <f t="shared" ref="X17:Y17" si="26">X25*X57/1000</f>
        <v>8388.1685625332611</v>
      </c>
      <c r="Y17" s="63">
        <f t="shared" si="26"/>
        <v>8444.0970649600458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1736.5995479334811</v>
      </c>
      <c r="C20" s="181">
        <v>1789.4787691591753</v>
      </c>
      <c r="D20" s="181">
        <v>1823.1826634107376</v>
      </c>
      <c r="E20" s="181">
        <v>1854.1707516804179</v>
      </c>
      <c r="F20" s="181">
        <v>1900.307406541433</v>
      </c>
      <c r="G20" s="181">
        <v>1937.9791020999085</v>
      </c>
      <c r="H20" s="181">
        <v>2013.002673694449</v>
      </c>
      <c r="I20" s="181">
        <v>2088.0372001747764</v>
      </c>
      <c r="J20" s="181">
        <v>2140.5858873622828</v>
      </c>
      <c r="K20" s="181">
        <v>2164.7014308224361</v>
      </c>
      <c r="L20" s="181">
        <v>2227.6061019167032</v>
      </c>
      <c r="M20" s="181">
        <v>2251.2603703945147</v>
      </c>
      <c r="N20" s="181">
        <v>2295.3657536679534</v>
      </c>
      <c r="O20" s="181">
        <v>2341.6284310333058</v>
      </c>
      <c r="P20" s="181">
        <v>2390.7766609227165</v>
      </c>
      <c r="Q20" s="181">
        <v>2446.2684555990359</v>
      </c>
      <c r="R20" s="181">
        <v>2500.4369018368225</v>
      </c>
      <c r="S20" s="181">
        <v>2545.8720501876401</v>
      </c>
      <c r="T20" s="181">
        <v>2587.1328168942669</v>
      </c>
      <c r="U20" s="181">
        <v>2623.2573609527258</v>
      </c>
      <c r="V20" s="181">
        <v>2654.1788292693523</v>
      </c>
      <c r="W20" s="181">
        <v>2678.6402300006389</v>
      </c>
      <c r="X20" s="181">
        <v>2693.926070277756</v>
      </c>
      <c r="Y20" s="181">
        <v>2704.0580043907321</v>
      </c>
      <c r="DA20" s="190" t="s">
        <v>922</v>
      </c>
    </row>
    <row r="21" spans="1:105" ht="12" customHeight="1" x14ac:dyDescent="0.25">
      <c r="A21" s="131" t="s">
        <v>156</v>
      </c>
      <c r="B21" s="181">
        <v>7493.0242435758846</v>
      </c>
      <c r="C21" s="181">
        <v>7698.9242639954518</v>
      </c>
      <c r="D21" s="181">
        <v>7907.6193340412747</v>
      </c>
      <c r="E21" s="181">
        <v>8086.6767722515142</v>
      </c>
      <c r="F21" s="181">
        <v>8258.1654345658881</v>
      </c>
      <c r="G21" s="181">
        <v>8454.2040146602903</v>
      </c>
      <c r="H21" s="181">
        <v>8606.8571255321112</v>
      </c>
      <c r="I21" s="181">
        <v>8742.4121226525895</v>
      </c>
      <c r="J21" s="181">
        <v>8888.7435216669783</v>
      </c>
      <c r="K21" s="181">
        <v>9061.3602663257661</v>
      </c>
      <c r="L21" s="181">
        <v>9364.0775454795603</v>
      </c>
      <c r="M21" s="181">
        <v>9627.3643950960795</v>
      </c>
      <c r="N21" s="181">
        <v>10011.2619779173</v>
      </c>
      <c r="O21" s="181">
        <v>10452.509478221598</v>
      </c>
      <c r="P21" s="181">
        <v>11172.473834086324</v>
      </c>
      <c r="Q21" s="181">
        <v>11945.475364975884</v>
      </c>
      <c r="R21" s="181">
        <v>12561.984840009858</v>
      </c>
      <c r="S21" s="181">
        <v>13130.684807845253</v>
      </c>
      <c r="T21" s="181">
        <v>13666.440343785431</v>
      </c>
      <c r="U21" s="181">
        <v>14159.167881646623</v>
      </c>
      <c r="V21" s="181">
        <v>14591.407173520427</v>
      </c>
      <c r="W21" s="181">
        <v>14938.909963245367</v>
      </c>
      <c r="X21" s="181">
        <v>15203.562268071077</v>
      </c>
      <c r="Y21" s="181">
        <v>15359.056257826478</v>
      </c>
      <c r="DA21" s="190" t="s">
        <v>923</v>
      </c>
    </row>
    <row r="22" spans="1:105" ht="12" customHeight="1" x14ac:dyDescent="0.25">
      <c r="A22" s="131" t="s">
        <v>160</v>
      </c>
      <c r="B22" s="181">
        <v>441.19427932160136</v>
      </c>
      <c r="C22" s="181">
        <v>452.00716549326359</v>
      </c>
      <c r="D22" s="181">
        <v>460.18066093823455</v>
      </c>
      <c r="E22" s="181">
        <v>468.37719570182782</v>
      </c>
      <c r="F22" s="181">
        <v>483.10026844981292</v>
      </c>
      <c r="G22" s="181">
        <v>494.7765994760544</v>
      </c>
      <c r="H22" s="181">
        <v>514.91422217934507</v>
      </c>
      <c r="I22" s="181">
        <v>534.93089508782737</v>
      </c>
      <c r="J22" s="181">
        <v>551.26257013812926</v>
      </c>
      <c r="K22" s="181">
        <v>560.8871124234629</v>
      </c>
      <c r="L22" s="181">
        <v>582.60710573531151</v>
      </c>
      <c r="M22" s="181">
        <v>597.67988729621607</v>
      </c>
      <c r="N22" s="181">
        <v>618.2909720919854</v>
      </c>
      <c r="O22" s="181">
        <v>635.41761787744838</v>
      </c>
      <c r="P22" s="181">
        <v>664.11186291887839</v>
      </c>
      <c r="Q22" s="181">
        <v>695.18877001969997</v>
      </c>
      <c r="R22" s="181">
        <v>718.53116915577903</v>
      </c>
      <c r="S22" s="181">
        <v>739.68024114871389</v>
      </c>
      <c r="T22" s="181">
        <v>759.32644531900587</v>
      </c>
      <c r="U22" s="181">
        <v>776.79605251499981</v>
      </c>
      <c r="V22" s="181">
        <v>791.37785628823474</v>
      </c>
      <c r="W22" s="181">
        <v>801.93759139404028</v>
      </c>
      <c r="X22" s="181">
        <v>808.16138146050696</v>
      </c>
      <c r="Y22" s="181">
        <v>812.02900397433802</v>
      </c>
      <c r="DA22" s="190" t="s">
        <v>924</v>
      </c>
    </row>
    <row r="23" spans="1:105" ht="12" customHeight="1" x14ac:dyDescent="0.25">
      <c r="A23" s="131" t="s">
        <v>172</v>
      </c>
      <c r="B23" s="181">
        <v>1716.8734983365403</v>
      </c>
      <c r="C23" s="181">
        <v>1745.0622597270037</v>
      </c>
      <c r="D23" s="181">
        <v>1787.3927756954126</v>
      </c>
      <c r="E23" s="181">
        <v>1831.7155788716984</v>
      </c>
      <c r="F23" s="181">
        <v>1861.9181232214805</v>
      </c>
      <c r="G23" s="181">
        <v>1885.4843731497913</v>
      </c>
      <c r="H23" s="181">
        <v>1902.3094763199097</v>
      </c>
      <c r="I23" s="181">
        <v>1918.6172896212595</v>
      </c>
      <c r="J23" s="181">
        <v>1945.3488050022879</v>
      </c>
      <c r="K23" s="181">
        <v>1975.3740074499258</v>
      </c>
      <c r="L23" s="181">
        <v>2010.2838978165328</v>
      </c>
      <c r="M23" s="181">
        <v>1998.2481730254901</v>
      </c>
      <c r="N23" s="181">
        <v>2040.029693560821</v>
      </c>
      <c r="O23" s="181">
        <v>2092.6525179634828</v>
      </c>
      <c r="P23" s="181">
        <v>2152.931988568525</v>
      </c>
      <c r="Q23" s="181">
        <v>2227.8153428716159</v>
      </c>
      <c r="R23" s="181">
        <v>2303.1503259302626</v>
      </c>
      <c r="S23" s="181">
        <v>2368.5572738936007</v>
      </c>
      <c r="T23" s="181">
        <v>2429.4011096641193</v>
      </c>
      <c r="U23" s="181">
        <v>2485.4399393955532</v>
      </c>
      <c r="V23" s="181">
        <v>2536.235193789445</v>
      </c>
      <c r="W23" s="181">
        <v>2581.0655826303296</v>
      </c>
      <c r="X23" s="181">
        <v>2615.7542187096005</v>
      </c>
      <c r="Y23" s="181">
        <v>2634.7300305066469</v>
      </c>
      <c r="DA23" s="190" t="s">
        <v>925</v>
      </c>
    </row>
    <row r="24" spans="1:105" ht="12" customHeight="1" x14ac:dyDescent="0.25">
      <c r="A24" s="60" t="s">
        <v>159</v>
      </c>
      <c r="B24" s="36">
        <v>166.71249278115292</v>
      </c>
      <c r="C24" s="36">
        <v>180.58717566617</v>
      </c>
      <c r="D24" s="36">
        <v>195.65723843600983</v>
      </c>
      <c r="E24" s="36">
        <v>213.09582842721034</v>
      </c>
      <c r="F24" s="36">
        <v>232.98824232058232</v>
      </c>
      <c r="G24" s="36">
        <v>253.67737850563961</v>
      </c>
      <c r="H24" s="36">
        <v>280.05005498502533</v>
      </c>
      <c r="I24" s="36">
        <v>303.92255499120728</v>
      </c>
      <c r="J24" s="36">
        <v>322.41049876950746</v>
      </c>
      <c r="K24" s="36">
        <v>333.34279369971534</v>
      </c>
      <c r="L24" s="36">
        <v>348.12162379028263</v>
      </c>
      <c r="M24" s="36">
        <v>357.65167386752171</v>
      </c>
      <c r="N24" s="36">
        <v>369.60047592212788</v>
      </c>
      <c r="O24" s="36">
        <v>381.58424786389639</v>
      </c>
      <c r="P24" s="36">
        <v>394.77655752564846</v>
      </c>
      <c r="Q24" s="36">
        <v>408.89976998872146</v>
      </c>
      <c r="R24" s="36">
        <v>427.91850615679095</v>
      </c>
      <c r="S24" s="36">
        <v>445.68278116902536</v>
      </c>
      <c r="T24" s="36">
        <v>462.74276497711691</v>
      </c>
      <c r="U24" s="36">
        <v>478.78375756028009</v>
      </c>
      <c r="V24" s="36">
        <v>493.5739770088606</v>
      </c>
      <c r="W24" s="36">
        <v>506.8806636225857</v>
      </c>
      <c r="X24" s="36">
        <v>517.83571437329442</v>
      </c>
      <c r="Y24" s="36">
        <v>526.81012223527443</v>
      </c>
      <c r="DA24" s="89" t="s">
        <v>926</v>
      </c>
    </row>
    <row r="25" spans="1:105" ht="12" customHeight="1" x14ac:dyDescent="0.25">
      <c r="A25" s="62" t="s">
        <v>157</v>
      </c>
      <c r="B25" s="38">
        <v>17095.104438424954</v>
      </c>
      <c r="C25" s="38">
        <v>18334.784180399016</v>
      </c>
      <c r="D25" s="38">
        <v>19570.70755176025</v>
      </c>
      <c r="E25" s="38">
        <v>21161.059876681946</v>
      </c>
      <c r="F25" s="38">
        <v>23106.054907919737</v>
      </c>
      <c r="G25" s="38">
        <v>25448.076035815968</v>
      </c>
      <c r="H25" s="38">
        <v>27332.760286340166</v>
      </c>
      <c r="I25" s="38">
        <v>29241.137402824828</v>
      </c>
      <c r="J25" s="38">
        <v>31185.457794032154</v>
      </c>
      <c r="K25" s="38">
        <v>32985.330146715598</v>
      </c>
      <c r="L25" s="38">
        <v>35242.204169446937</v>
      </c>
      <c r="M25" s="38">
        <v>36600.045435603184</v>
      </c>
      <c r="N25" s="38">
        <v>38541.662589318468</v>
      </c>
      <c r="O25" s="38">
        <v>41404.432050591233</v>
      </c>
      <c r="P25" s="38">
        <v>44027.811210642663</v>
      </c>
      <c r="Q25" s="38">
        <v>48055.514864880366</v>
      </c>
      <c r="R25" s="38">
        <v>50457.46120250177</v>
      </c>
      <c r="S25" s="38">
        <v>52426.684448277549</v>
      </c>
      <c r="T25" s="38">
        <v>54651.957882050454</v>
      </c>
      <c r="U25" s="38">
        <v>56476.166945918027</v>
      </c>
      <c r="V25" s="38">
        <v>58210.287844308019</v>
      </c>
      <c r="W25" s="38">
        <v>59900.988740151945</v>
      </c>
      <c r="X25" s="38">
        <v>61439.433997957516</v>
      </c>
      <c r="Y25" s="38">
        <v>63263.682086487643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128.20132154023509</v>
      </c>
      <c r="D28" s="182">
        <v>111.1565249372652</v>
      </c>
      <c r="E28" s="182">
        <v>110.63151264426324</v>
      </c>
      <c r="F28" s="182">
        <v>128.03284082595223</v>
      </c>
      <c r="G28" s="182">
        <v>121.88436381416136</v>
      </c>
      <c r="H28" s="182">
        <v>161.6182452192495</v>
      </c>
      <c r="I28" s="182">
        <v>164.0785819115431</v>
      </c>
      <c r="J28" s="182">
        <v>144.11140664528807</v>
      </c>
      <c r="K28" s="182">
        <v>118.26816885332937</v>
      </c>
      <c r="L28" s="182">
        <v>159.72045945139553</v>
      </c>
      <c r="M28" s="182">
        <v>123.20854894604008</v>
      </c>
      <c r="N28" s="182">
        <v>146.47561572961013</v>
      </c>
      <c r="O28" s="182">
        <v>151.52851268495942</v>
      </c>
      <c r="P28" s="182">
        <v>157.39157192029688</v>
      </c>
      <c r="Q28" s="182">
        <v>166.79686396533862</v>
      </c>
      <c r="R28" s="182">
        <v>168.62184556001375</v>
      </c>
      <c r="S28" s="182">
        <v>163.12593009228749</v>
      </c>
      <c r="T28" s="182">
        <v>162.28050215303756</v>
      </c>
      <c r="U28" s="182">
        <v>164.32586559869424</v>
      </c>
      <c r="V28" s="182">
        <v>142.07799325389169</v>
      </c>
      <c r="W28" s="182">
        <v>135.09291337554987</v>
      </c>
      <c r="X28" s="182">
        <v>143.31868110306959</v>
      </c>
      <c r="Y28" s="182">
        <v>132.0162979271372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1145.8581723195266</v>
      </c>
      <c r="D29" s="182">
        <v>1189.1136092192692</v>
      </c>
      <c r="E29" s="182">
        <v>1201.6779772332347</v>
      </c>
      <c r="F29" s="182">
        <v>1238.1277812699527</v>
      </c>
      <c r="G29" s="182">
        <v>1308.5910535400299</v>
      </c>
      <c r="H29" s="182">
        <v>1313.0952737112766</v>
      </c>
      <c r="I29" s="182">
        <v>1345.9482553593007</v>
      </c>
      <c r="J29" s="182">
        <v>1292.1895713339154</v>
      </c>
      <c r="K29" s="182">
        <v>1361.730353878057</v>
      </c>
      <c r="L29" s="182">
        <v>1504.3952563870289</v>
      </c>
      <c r="M29" s="182">
        <v>1501.414630886472</v>
      </c>
      <c r="N29" s="182">
        <v>1692.4886363612495</v>
      </c>
      <c r="O29" s="182">
        <v>1754.3427740155748</v>
      </c>
      <c r="P29" s="182">
        <v>2065.9126112240265</v>
      </c>
      <c r="Q29" s="182">
        <v>2065.1911022234763</v>
      </c>
      <c r="R29" s="182">
        <v>1978.2398289120301</v>
      </c>
      <c r="S29" s="182">
        <v>2073.095224222423</v>
      </c>
      <c r="T29" s="182">
        <v>2037.1701668266505</v>
      </c>
      <c r="U29" s="182">
        <v>2185.2161742224416</v>
      </c>
      <c r="V29" s="182">
        <v>2186.582065889379</v>
      </c>
      <c r="W29" s="182">
        <v>2413.4154009489666</v>
      </c>
      <c r="X29" s="182">
        <v>2329.8434070491858</v>
      </c>
      <c r="Y29" s="182">
        <v>2133.7338186674315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79.712474898407493</v>
      </c>
      <c r="D30" s="182">
        <v>78.862981946181947</v>
      </c>
      <c r="E30" s="182">
        <v>80.722417633851421</v>
      </c>
      <c r="F30" s="182">
        <v>89.133058538733508</v>
      </c>
      <c r="G30" s="182">
        <v>88.019365626513263</v>
      </c>
      <c r="H30" s="182">
        <v>98.463923535657443</v>
      </c>
      <c r="I30" s="182">
        <v>99.729147806889785</v>
      </c>
      <c r="J30" s="182">
        <v>95.194656996483843</v>
      </c>
      <c r="K30" s="182">
        <v>90.346959919185053</v>
      </c>
      <c r="L30" s="182">
        <v>110.85305185058212</v>
      </c>
      <c r="M30" s="182">
        <v>103.09214718741782</v>
      </c>
      <c r="N30" s="182">
        <v>119.07500833142677</v>
      </c>
      <c r="O30" s="182">
        <v>116.85579359235282</v>
      </c>
      <c r="P30" s="182">
        <v>123.88890203791379</v>
      </c>
      <c r="Q30" s="182">
        <v>121.4238670200067</v>
      </c>
      <c r="R30" s="182">
        <v>134.19545098666117</v>
      </c>
      <c r="S30" s="182">
        <v>124.24121918035269</v>
      </c>
      <c r="T30" s="182">
        <v>138.72121250171881</v>
      </c>
      <c r="U30" s="182">
        <v>134.32540078834677</v>
      </c>
      <c r="V30" s="182">
        <v>138.47070581114872</v>
      </c>
      <c r="W30" s="182">
        <v>131.98360212581224</v>
      </c>
      <c r="X30" s="182">
        <v>140.41924105312785</v>
      </c>
      <c r="Y30" s="182">
        <v>128.10884169418375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184.22355131457562</v>
      </c>
      <c r="D31" s="182">
        <v>201.6520516041503</v>
      </c>
      <c r="E31" s="182">
        <v>207.00031714401075</v>
      </c>
      <c r="F31" s="182">
        <v>196.3067275985818</v>
      </c>
      <c r="G31" s="182">
        <v>193.16928245451959</v>
      </c>
      <c r="H31" s="182">
        <v>190.00068538288065</v>
      </c>
      <c r="I31" s="182">
        <v>193.13119804887697</v>
      </c>
      <c r="J31" s="182">
        <v>207.27954065146287</v>
      </c>
      <c r="K31" s="182">
        <v>214.37632475873443</v>
      </c>
      <c r="L31" s="182">
        <v>223.14421885873981</v>
      </c>
      <c r="M31" s="182">
        <v>172.18782652353298</v>
      </c>
      <c r="N31" s="182">
        <v>243.43357213948116</v>
      </c>
      <c r="O31" s="182">
        <v>259.62314154667251</v>
      </c>
      <c r="P31" s="182">
        <v>256.58619820362401</v>
      </c>
      <c r="Q31" s="182">
        <v>268.05263675761057</v>
      </c>
      <c r="R31" s="182">
        <v>265.33566844152733</v>
      </c>
      <c r="S31" s="182">
        <v>258.53814601221529</v>
      </c>
      <c r="T31" s="182">
        <v>268.12337642198145</v>
      </c>
      <c r="U31" s="182">
        <v>270.41515449016833</v>
      </c>
      <c r="V31" s="182">
        <v>273.93947325263161</v>
      </c>
      <c r="W31" s="182">
        <v>217.01821536441776</v>
      </c>
      <c r="X31" s="182">
        <v>278.12220821875235</v>
      </c>
      <c r="Y31" s="182">
        <v>278.59895334371913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18.623063882741292</v>
      </c>
      <c r="D32" s="41">
        <v>20.352786090306466</v>
      </c>
      <c r="E32" s="41">
        <v>23.315785964728576</v>
      </c>
      <c r="F32" s="41">
        <v>26.430979405109497</v>
      </c>
      <c r="G32" s="41">
        <v>27.963496125384211</v>
      </c>
      <c r="H32" s="41">
        <v>34.465630881454786</v>
      </c>
      <c r="I32" s="41">
        <v>32.876166513097417</v>
      </c>
      <c r="J32" s="41">
        <v>28.504806167519291</v>
      </c>
      <c r="K32" s="41">
        <v>22.076369629941269</v>
      </c>
      <c r="L32" s="41">
        <v>27.176963965991149</v>
      </c>
      <c r="M32" s="41">
        <v>23.323364258506274</v>
      </c>
      <c r="N32" s="41">
        <v>27.294298240953935</v>
      </c>
      <c r="O32" s="41">
        <v>29.056119465398979</v>
      </c>
      <c r="P32" s="41">
        <v>32.18583365264891</v>
      </c>
      <c r="Q32" s="41">
        <v>35.254105744939466</v>
      </c>
      <c r="R32" s="41">
        <v>37.641800050810787</v>
      </c>
      <c r="S32" s="41">
        <v>38.117061102540902</v>
      </c>
      <c r="T32" s="41">
        <v>40.375769772820092</v>
      </c>
      <c r="U32" s="41">
        <v>42.471971988272685</v>
      </c>
      <c r="V32" s="41">
        <v>42.753715573964712</v>
      </c>
      <c r="W32" s="41">
        <v>47.772317495179891</v>
      </c>
      <c r="X32" s="41">
        <v>43.831217263806138</v>
      </c>
      <c r="Y32" s="41">
        <v>37.479214029499303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4658.7006296590516</v>
      </c>
      <c r="D33" s="42">
        <v>4654.944259046224</v>
      </c>
      <c r="E33" s="42">
        <v>5009.3732126066861</v>
      </c>
      <c r="F33" s="42">
        <v>5364.0159189227816</v>
      </c>
      <c r="G33" s="42">
        <v>5761.0420155812208</v>
      </c>
      <c r="H33" s="42">
        <v>6543.3848801832501</v>
      </c>
      <c r="I33" s="42">
        <v>6563.3213755308861</v>
      </c>
      <c r="J33" s="42">
        <v>6953.693603814012</v>
      </c>
      <c r="K33" s="42">
        <v>7163.8882716062253</v>
      </c>
      <c r="L33" s="42">
        <v>8017.91603831256</v>
      </c>
      <c r="M33" s="42">
        <v>7901.2261463394971</v>
      </c>
      <c r="N33" s="42">
        <v>8504.9385292461702</v>
      </c>
      <c r="O33" s="42">
        <v>9816.4630650867766</v>
      </c>
      <c r="P33" s="42">
        <v>9787.2674316576522</v>
      </c>
      <c r="Q33" s="42">
        <v>12045.619692550266</v>
      </c>
      <c r="R33" s="42">
        <v>10303.172483960901</v>
      </c>
      <c r="S33" s="42">
        <v>10474.161775021945</v>
      </c>
      <c r="T33" s="42">
        <v>12041.736498859682</v>
      </c>
      <c r="U33" s="42">
        <v>11611.476495525225</v>
      </c>
      <c r="V33" s="42">
        <v>13779.740590940259</v>
      </c>
      <c r="W33" s="42">
        <v>11993.873379804827</v>
      </c>
      <c r="X33" s="42">
        <v>12012.607032827516</v>
      </c>
      <c r="Y33" s="42">
        <v>13865.984587389808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75.322100314540876</v>
      </c>
      <c r="D36" s="182">
        <v>77.452630685702843</v>
      </c>
      <c r="E36" s="182">
        <v>79.643424374582992</v>
      </c>
      <c r="F36" s="182">
        <v>81.896185964937104</v>
      </c>
      <c r="G36" s="182">
        <v>84.212668255685912</v>
      </c>
      <c r="H36" s="182">
        <v>86.594673624709003</v>
      </c>
      <c r="I36" s="182">
        <v>89.044055431215384</v>
      </c>
      <c r="J36" s="182">
        <v>91.562719457781895</v>
      </c>
      <c r="K36" s="182">
        <v>94.152625393176095</v>
      </c>
      <c r="L36" s="182">
        <v>96.81578835712844</v>
      </c>
      <c r="M36" s="182">
        <v>99.554280468228626</v>
      </c>
      <c r="N36" s="182">
        <v>102.37023245617138</v>
      </c>
      <c r="O36" s="182">
        <v>105.26583531960705</v>
      </c>
      <c r="P36" s="182">
        <v>108.2433420308862</v>
      </c>
      <c r="Q36" s="182">
        <v>111.30506928901923</v>
      </c>
      <c r="R36" s="182">
        <v>114.45339932222714</v>
      </c>
      <c r="S36" s="182">
        <v>117.69078174146989</v>
      </c>
      <c r="T36" s="182">
        <v>121.01973544641078</v>
      </c>
      <c r="U36" s="182">
        <v>128.20132154023531</v>
      </c>
      <c r="V36" s="182">
        <v>111.1565249372652</v>
      </c>
      <c r="W36" s="182">
        <v>110.63151264426324</v>
      </c>
      <c r="X36" s="182">
        <v>128.03284082595246</v>
      </c>
      <c r="Y36" s="182">
        <v>121.88436381416113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939.95815189996028</v>
      </c>
      <c r="D37" s="182">
        <v>980.41853917344724</v>
      </c>
      <c r="E37" s="182">
        <v>1022.6205390229952</v>
      </c>
      <c r="F37" s="182">
        <v>1066.6391189555779</v>
      </c>
      <c r="G37" s="182">
        <v>1112.5524734456285</v>
      </c>
      <c r="H37" s="182">
        <v>1160.4421628394557</v>
      </c>
      <c r="I37" s="182">
        <v>1210.3932582388225</v>
      </c>
      <c r="J37" s="182">
        <v>1145.8581723195257</v>
      </c>
      <c r="K37" s="182">
        <v>1189.1136092192683</v>
      </c>
      <c r="L37" s="182">
        <v>1201.6779772332357</v>
      </c>
      <c r="M37" s="182">
        <v>1238.1277812699518</v>
      </c>
      <c r="N37" s="182">
        <v>1308.591053540029</v>
      </c>
      <c r="O37" s="182">
        <v>1313.0952737112766</v>
      </c>
      <c r="P37" s="182">
        <v>1345.9482553593007</v>
      </c>
      <c r="Q37" s="182">
        <v>1292.1895713339163</v>
      </c>
      <c r="R37" s="182">
        <v>1361.7303538780561</v>
      </c>
      <c r="S37" s="182">
        <v>1504.395256387028</v>
      </c>
      <c r="T37" s="182">
        <v>1501.4146308864729</v>
      </c>
      <c r="U37" s="182">
        <v>1692.4886363612495</v>
      </c>
      <c r="V37" s="182">
        <v>1754.3427740155748</v>
      </c>
      <c r="W37" s="182">
        <v>2065.9126112240247</v>
      </c>
      <c r="X37" s="182">
        <v>2065.1911022234744</v>
      </c>
      <c r="Y37" s="182">
        <v>1978.2398289120301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68.899588726745321</v>
      </c>
      <c r="D38" s="182">
        <v>70.689486501210979</v>
      </c>
      <c r="E38" s="182">
        <v>72.525882870258158</v>
      </c>
      <c r="F38" s="182">
        <v>74.409985790748465</v>
      </c>
      <c r="G38" s="182">
        <v>76.343034600271778</v>
      </c>
      <c r="H38" s="182">
        <v>78.326300832366769</v>
      </c>
      <c r="I38" s="182">
        <v>79.712474898407436</v>
      </c>
      <c r="J38" s="182">
        <v>78.862981946182003</v>
      </c>
      <c r="K38" s="182">
        <v>80.722417633851364</v>
      </c>
      <c r="L38" s="182">
        <v>89.133058538733508</v>
      </c>
      <c r="M38" s="182">
        <v>88.019365626513263</v>
      </c>
      <c r="N38" s="182">
        <v>98.463923535657386</v>
      </c>
      <c r="O38" s="182">
        <v>99.729147806889841</v>
      </c>
      <c r="P38" s="182">
        <v>95.194656996483786</v>
      </c>
      <c r="Q38" s="182">
        <v>90.34695991918511</v>
      </c>
      <c r="R38" s="182">
        <v>110.85305185058212</v>
      </c>
      <c r="S38" s="182">
        <v>103.09214718741782</v>
      </c>
      <c r="T38" s="182">
        <v>119.07500833142683</v>
      </c>
      <c r="U38" s="182">
        <v>116.85579359235282</v>
      </c>
      <c r="V38" s="182">
        <v>123.88890203791379</v>
      </c>
      <c r="W38" s="182">
        <v>121.4238670200067</v>
      </c>
      <c r="X38" s="182">
        <v>134.19545098666117</v>
      </c>
      <c r="Y38" s="182">
        <v>124.24121918035269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156.03478992411215</v>
      </c>
      <c r="D39" s="182">
        <v>159.32153563574138</v>
      </c>
      <c r="E39" s="182">
        <v>162.67751396772496</v>
      </c>
      <c r="F39" s="182">
        <v>166.1041832487997</v>
      </c>
      <c r="G39" s="182">
        <v>169.60303252620906</v>
      </c>
      <c r="H39" s="182">
        <v>173.17558221276249</v>
      </c>
      <c r="I39" s="182">
        <v>176.82338474752737</v>
      </c>
      <c r="J39" s="182">
        <v>180.54802527043466</v>
      </c>
      <c r="K39" s="182">
        <v>184.35112231109656</v>
      </c>
      <c r="L39" s="182">
        <v>188.23432849213259</v>
      </c>
      <c r="M39" s="182">
        <v>184.22355131457539</v>
      </c>
      <c r="N39" s="182">
        <v>201.6520516041503</v>
      </c>
      <c r="O39" s="182">
        <v>207.00031714401075</v>
      </c>
      <c r="P39" s="182">
        <v>196.3067275985818</v>
      </c>
      <c r="Q39" s="182">
        <v>193.16928245451982</v>
      </c>
      <c r="R39" s="182">
        <v>190.00068538288087</v>
      </c>
      <c r="S39" s="182">
        <v>193.1311980488772</v>
      </c>
      <c r="T39" s="182">
        <v>207.27954065146287</v>
      </c>
      <c r="U39" s="182">
        <v>214.37632475873443</v>
      </c>
      <c r="V39" s="182">
        <v>223.14421885873981</v>
      </c>
      <c r="W39" s="182">
        <v>172.1878265235332</v>
      </c>
      <c r="X39" s="182">
        <v>243.43357213948138</v>
      </c>
      <c r="Y39" s="182">
        <v>259.62314154667274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4.7483809977242117</v>
      </c>
      <c r="D40" s="41">
        <v>5.28272332046663</v>
      </c>
      <c r="E40" s="41">
        <v>5.8771959735280745</v>
      </c>
      <c r="F40" s="41">
        <v>6.5385655117375165</v>
      </c>
      <c r="G40" s="41">
        <v>7.2743599403268888</v>
      </c>
      <c r="H40" s="41">
        <v>8.09295440206904</v>
      </c>
      <c r="I40" s="41">
        <v>9.0036665069154651</v>
      </c>
      <c r="J40" s="41">
        <v>10.016862389219114</v>
      </c>
      <c r="K40" s="41">
        <v>11.14407469973338</v>
      </c>
      <c r="L40" s="41">
        <v>12.398133875423866</v>
      </c>
      <c r="M40" s="41">
        <v>13.793314181267192</v>
      </c>
      <c r="N40" s="41">
        <v>15.345496186347759</v>
      </c>
      <c r="O40" s="41">
        <v>17.072347523630469</v>
      </c>
      <c r="P40" s="41">
        <v>18.993523990896847</v>
      </c>
      <c r="Q40" s="41">
        <v>21.130893281866463</v>
      </c>
      <c r="R40" s="41">
        <v>18.623063882741292</v>
      </c>
      <c r="S40" s="41">
        <v>20.352786090306495</v>
      </c>
      <c r="T40" s="41">
        <v>23.315785964728548</v>
      </c>
      <c r="U40" s="41">
        <v>26.430979405109497</v>
      </c>
      <c r="V40" s="41">
        <v>27.963496125384211</v>
      </c>
      <c r="W40" s="41">
        <v>34.465630881454842</v>
      </c>
      <c r="X40" s="41">
        <v>32.87616651309736</v>
      </c>
      <c r="Y40" s="41">
        <v>28.504806167519291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3419.0208876849902</v>
      </c>
      <c r="D41" s="42">
        <v>3419.0208876849902</v>
      </c>
      <c r="E41" s="42">
        <v>3419.0208876849902</v>
      </c>
      <c r="F41" s="42">
        <v>3419.0208876849902</v>
      </c>
      <c r="G41" s="42">
        <v>3419.0208876849902</v>
      </c>
      <c r="H41" s="42">
        <v>4658.7006296590516</v>
      </c>
      <c r="I41" s="42">
        <v>4654.944259046224</v>
      </c>
      <c r="J41" s="42">
        <v>5009.3732126066825</v>
      </c>
      <c r="K41" s="42">
        <v>5364.0159189227852</v>
      </c>
      <c r="L41" s="42">
        <v>5761.0420155812171</v>
      </c>
      <c r="M41" s="42">
        <v>6543.3848801832501</v>
      </c>
      <c r="N41" s="42">
        <v>6563.3213755308825</v>
      </c>
      <c r="O41" s="42">
        <v>6953.693603814012</v>
      </c>
      <c r="P41" s="42">
        <v>7163.8882716062217</v>
      </c>
      <c r="Q41" s="42">
        <v>8017.9160383125636</v>
      </c>
      <c r="R41" s="42">
        <v>7901.2261463394971</v>
      </c>
      <c r="S41" s="42">
        <v>8504.9385292461666</v>
      </c>
      <c r="T41" s="42">
        <v>9816.4630650867766</v>
      </c>
      <c r="U41" s="42">
        <v>9787.2674316576449</v>
      </c>
      <c r="V41" s="42">
        <v>12045.619692550266</v>
      </c>
      <c r="W41" s="42">
        <v>10303.172483960901</v>
      </c>
      <c r="X41" s="42">
        <v>10474.161775021945</v>
      </c>
      <c r="Y41" s="42">
        <v>12041.736498859689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8759.9999999999964</v>
      </c>
      <c r="C44" s="184">
        <v>8760</v>
      </c>
      <c r="D44" s="184">
        <v>8760</v>
      </c>
      <c r="E44" s="184">
        <v>8759.9999999999982</v>
      </c>
      <c r="F44" s="184">
        <v>8759.9999999999982</v>
      </c>
      <c r="G44" s="184">
        <v>8760</v>
      </c>
      <c r="H44" s="184">
        <v>8760</v>
      </c>
      <c r="I44" s="184">
        <v>8759.9999999999982</v>
      </c>
      <c r="J44" s="184">
        <v>8759.9999999999982</v>
      </c>
      <c r="K44" s="184">
        <v>8760</v>
      </c>
      <c r="L44" s="184">
        <v>8759.9999999999982</v>
      </c>
      <c r="M44" s="184">
        <v>8760</v>
      </c>
      <c r="N44" s="184">
        <v>8759.9999999999964</v>
      </c>
      <c r="O44" s="184">
        <v>8759.9999999999964</v>
      </c>
      <c r="P44" s="184">
        <v>8759.9999999999927</v>
      </c>
      <c r="Q44" s="184">
        <v>8759.9999999999964</v>
      </c>
      <c r="R44" s="184">
        <v>8759.9999999999982</v>
      </c>
      <c r="S44" s="184">
        <v>8759.9999999999982</v>
      </c>
      <c r="T44" s="184">
        <v>8759.9999999999982</v>
      </c>
      <c r="U44" s="184">
        <v>8759.9999999999982</v>
      </c>
      <c r="V44" s="184">
        <v>8759.9999999999982</v>
      </c>
      <c r="W44" s="184">
        <v>8760.0000000000055</v>
      </c>
      <c r="X44" s="184">
        <v>8760.0000000000055</v>
      </c>
      <c r="Y44" s="184">
        <v>8760.0000000000055</v>
      </c>
      <c r="DA44" s="193" t="s">
        <v>940</v>
      </c>
    </row>
    <row r="45" spans="1:105" ht="12" customHeight="1" x14ac:dyDescent="0.25">
      <c r="A45" s="131" t="s">
        <v>6</v>
      </c>
      <c r="B45" s="184">
        <v>3828.0252487148114</v>
      </c>
      <c r="C45" s="184">
        <v>3827.8209860167958</v>
      </c>
      <c r="D45" s="184">
        <v>3826.518954762591</v>
      </c>
      <c r="E45" s="184">
        <v>3818.9713601064013</v>
      </c>
      <c r="F45" s="184">
        <v>3814.9704667709034</v>
      </c>
      <c r="G45" s="184">
        <v>3809.9316318206493</v>
      </c>
      <c r="H45" s="184">
        <v>3809.0576459369263</v>
      </c>
      <c r="I45" s="184">
        <v>3803.5089171547011</v>
      </c>
      <c r="J45" s="184">
        <v>3796.7818104357257</v>
      </c>
      <c r="K45" s="184">
        <v>3788.724916389398</v>
      </c>
      <c r="L45" s="184">
        <v>3784.6965077227023</v>
      </c>
      <c r="M45" s="184">
        <v>3775.8092378790234</v>
      </c>
      <c r="N45" s="184">
        <v>3757.0330880685096</v>
      </c>
      <c r="O45" s="184">
        <v>3733.3421917605201</v>
      </c>
      <c r="P45" s="184">
        <v>3704.3188964627702</v>
      </c>
      <c r="Q45" s="184">
        <v>3675.1140864158374</v>
      </c>
      <c r="R45" s="184">
        <v>3631.605257060929</v>
      </c>
      <c r="S45" s="184">
        <v>3667.0517233540445</v>
      </c>
      <c r="T45" s="184">
        <v>3646.8110134825943</v>
      </c>
      <c r="U45" s="184">
        <v>3608.9076224344794</v>
      </c>
      <c r="V45" s="184">
        <v>3599.5707328028884</v>
      </c>
      <c r="W45" s="184">
        <v>3612.2312463517428</v>
      </c>
      <c r="X45" s="184">
        <v>3611.0081217165684</v>
      </c>
      <c r="Y45" s="184">
        <v>3609.7849970813941</v>
      </c>
      <c r="DA45" s="193" t="s">
        <v>941</v>
      </c>
    </row>
    <row r="46" spans="1:105" ht="12" customHeight="1" x14ac:dyDescent="0.25">
      <c r="A46" s="131" t="s">
        <v>5</v>
      </c>
      <c r="B46" s="184">
        <v>2383.115566181531</v>
      </c>
      <c r="C46" s="184">
        <v>2399.3172010360108</v>
      </c>
      <c r="D46" s="184">
        <v>2410.4325659670349</v>
      </c>
      <c r="E46" s="184">
        <v>2418.5456081101879</v>
      </c>
      <c r="F46" s="184">
        <v>2431.4174945659324</v>
      </c>
      <c r="G46" s="184">
        <v>2441.4377378672521</v>
      </c>
      <c r="H46" s="184">
        <v>2458.3519851083811</v>
      </c>
      <c r="I46" s="184">
        <v>2470.4634385949607</v>
      </c>
      <c r="J46" s="184">
        <v>2480.4804570722386</v>
      </c>
      <c r="K46" s="184">
        <v>2485.5784717977335</v>
      </c>
      <c r="L46" s="184">
        <v>2492.9002610782254</v>
      </c>
      <c r="M46" s="184">
        <v>2503.7259563623261</v>
      </c>
      <c r="N46" s="184">
        <v>2511.6712247382061</v>
      </c>
      <c r="O46" s="184">
        <v>2519.1727290835624</v>
      </c>
      <c r="P46" s="184">
        <v>2528.9404772788203</v>
      </c>
      <c r="Q46" s="184">
        <v>2538.6072647421884</v>
      </c>
      <c r="R46" s="184">
        <v>2515.3138079984801</v>
      </c>
      <c r="S46" s="184">
        <v>2542.013947347371</v>
      </c>
      <c r="T46" s="184">
        <v>2530.3307555708611</v>
      </c>
      <c r="U46" s="184">
        <v>2503.0721270826925</v>
      </c>
      <c r="V46" s="184">
        <v>2443.3715439356288</v>
      </c>
      <c r="W46" s="184">
        <v>2519.7208864796717</v>
      </c>
      <c r="X46" s="184">
        <v>2518.6394529579275</v>
      </c>
      <c r="Y46" s="184">
        <v>2518.0987361970556</v>
      </c>
      <c r="DA46" s="193" t="s">
        <v>942</v>
      </c>
    </row>
    <row r="47" spans="1:105" ht="12" customHeight="1" x14ac:dyDescent="0.25">
      <c r="A47" s="131" t="s">
        <v>171</v>
      </c>
      <c r="B47" s="184">
        <v>8760</v>
      </c>
      <c r="C47" s="184">
        <v>8759.9999999999982</v>
      </c>
      <c r="D47" s="184">
        <v>8759.9999999999982</v>
      </c>
      <c r="E47" s="184">
        <v>8760.0000000000018</v>
      </c>
      <c r="F47" s="184">
        <v>8760</v>
      </c>
      <c r="G47" s="184">
        <v>8760</v>
      </c>
      <c r="H47" s="184">
        <v>8760.0000000000036</v>
      </c>
      <c r="I47" s="184">
        <v>8760.0000000000018</v>
      </c>
      <c r="J47" s="184">
        <v>8760</v>
      </c>
      <c r="K47" s="184">
        <v>8760.0000000000018</v>
      </c>
      <c r="L47" s="184">
        <v>8759.9999999999964</v>
      </c>
      <c r="M47" s="184">
        <v>8759.9999999999982</v>
      </c>
      <c r="N47" s="184">
        <v>8760</v>
      </c>
      <c r="O47" s="184">
        <v>8759.9999999999982</v>
      </c>
      <c r="P47" s="184">
        <v>8760</v>
      </c>
      <c r="Q47" s="184">
        <v>8759.9999999999982</v>
      </c>
      <c r="R47" s="184">
        <v>8759.9999999999964</v>
      </c>
      <c r="S47" s="184">
        <v>8759.9999999999982</v>
      </c>
      <c r="T47" s="184">
        <v>8760</v>
      </c>
      <c r="U47" s="184">
        <v>8760</v>
      </c>
      <c r="V47" s="184">
        <v>8760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675.29244457327252</v>
      </c>
      <c r="C48" s="44">
        <v>678.5182369553803</v>
      </c>
      <c r="D48" s="44">
        <v>681.4766078929066</v>
      </c>
      <c r="E48" s="44">
        <v>684.20943446179808</v>
      </c>
      <c r="F48" s="44">
        <v>686.74940604505696</v>
      </c>
      <c r="G48" s="44">
        <v>689.12253759644818</v>
      </c>
      <c r="H48" s="44">
        <v>691.34987686618081</v>
      </c>
      <c r="I48" s="44">
        <v>693.4486975057016</v>
      </c>
      <c r="J48" s="44">
        <v>695.43335353106136</v>
      </c>
      <c r="K48" s="44">
        <v>697.31590444218386</v>
      </c>
      <c r="L48" s="44">
        <v>699.10658120180676</v>
      </c>
      <c r="M48" s="44">
        <v>700.24449042625179</v>
      </c>
      <c r="N48" s="44">
        <v>701.33117890934977</v>
      </c>
      <c r="O48" s="44">
        <v>702.37112941457713</v>
      </c>
      <c r="P48" s="44">
        <v>703.36825801905184</v>
      </c>
      <c r="Q48" s="44">
        <v>704.326005996802</v>
      </c>
      <c r="R48" s="44">
        <v>698.51397553365109</v>
      </c>
      <c r="S48" s="44">
        <v>706.93759244745718</v>
      </c>
      <c r="T48" s="44">
        <v>706.4560283835574</v>
      </c>
      <c r="U48" s="44">
        <v>702.46859884141679</v>
      </c>
      <c r="V48" s="44">
        <v>685.71407365631489</v>
      </c>
      <c r="W48" s="44">
        <v>707.14094949384264</v>
      </c>
      <c r="X48" s="44">
        <v>704.76091262124305</v>
      </c>
      <c r="Y48" s="44">
        <v>703.5708941849432</v>
      </c>
      <c r="DA48" s="95" t="s">
        <v>944</v>
      </c>
    </row>
    <row r="49" spans="1:105" ht="12" customHeight="1" x14ac:dyDescent="0.25">
      <c r="A49" s="62" t="s">
        <v>3</v>
      </c>
      <c r="B49" s="185">
        <v>2230.8302288870509</v>
      </c>
      <c r="C49" s="185">
        <v>2330.3041049258982</v>
      </c>
      <c r="D49" s="185">
        <v>2438.1085881445538</v>
      </c>
      <c r="E49" s="185">
        <v>2528.7731316984077</v>
      </c>
      <c r="F49" s="185">
        <v>2605.6958299966577</v>
      </c>
      <c r="G49" s="185">
        <v>2664.0921497838599</v>
      </c>
      <c r="H49" s="185">
        <v>2728.6913907692124</v>
      </c>
      <c r="I49" s="185">
        <v>2791.2474679166194</v>
      </c>
      <c r="J49" s="185">
        <v>2849.5076379562784</v>
      </c>
      <c r="K49" s="185">
        <v>2921.6433826553093</v>
      </c>
      <c r="L49" s="185">
        <v>2993.5626597097043</v>
      </c>
      <c r="M49" s="185">
        <v>3056.5676908213077</v>
      </c>
      <c r="N49" s="185">
        <v>3107.2923896405232</v>
      </c>
      <c r="O49" s="185">
        <v>3188.6385447684329</v>
      </c>
      <c r="P49" s="185">
        <v>3212.5515338399646</v>
      </c>
      <c r="Q49" s="185">
        <v>3215.2870901976821</v>
      </c>
      <c r="R49" s="185">
        <v>3253.6100434995969</v>
      </c>
      <c r="S49" s="185">
        <v>3306.4062083926742</v>
      </c>
      <c r="T49" s="185">
        <v>3354.840667974584</v>
      </c>
      <c r="U49" s="185">
        <v>3387.8092815349232</v>
      </c>
      <c r="V49" s="185">
        <v>3404.7902424324166</v>
      </c>
      <c r="W49" s="185">
        <v>3466.1174820621254</v>
      </c>
      <c r="X49" s="185">
        <v>3489.3064463264395</v>
      </c>
      <c r="Y49" s="185">
        <v>3537.2491944875337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0.65330486079201033</v>
      </c>
      <c r="C52" s="180">
        <v>0.64847966060143991</v>
      </c>
      <c r="D52" s="180">
        <v>0.64401624011862235</v>
      </c>
      <c r="E52" s="180">
        <v>0.63934071141788806</v>
      </c>
      <c r="F52" s="180">
        <v>0.63381626215216669</v>
      </c>
      <c r="G52" s="180">
        <v>0.62832072035509645</v>
      </c>
      <c r="H52" s="180">
        <v>0.62124923615824923</v>
      </c>
      <c r="I52" s="180">
        <v>0.61404431180721386</v>
      </c>
      <c r="J52" s="180">
        <v>0.60743535116106373</v>
      </c>
      <c r="K52" s="180">
        <v>0.60147167248073918</v>
      </c>
      <c r="L52" s="180">
        <v>0.5939077661297778</v>
      </c>
      <c r="M52" s="180">
        <v>0.58718676231296363</v>
      </c>
      <c r="N52" s="180">
        <v>0.57932513693987631</v>
      </c>
      <c r="O52" s="180">
        <v>0.57089397417842569</v>
      </c>
      <c r="P52" s="180">
        <v>0.56183855976727315</v>
      </c>
      <c r="Q52" s="180">
        <v>0.55210700852053551</v>
      </c>
      <c r="R52" s="180">
        <v>0.54240782790723774</v>
      </c>
      <c r="S52" s="180">
        <v>0.53279279492652953</v>
      </c>
      <c r="T52" s="180">
        <v>0.5230976788767705</v>
      </c>
      <c r="U52" s="180">
        <v>0.51633428790779334</v>
      </c>
      <c r="V52" s="180">
        <v>0.51072462767121074</v>
      </c>
      <c r="W52" s="180">
        <v>0.50549636268214726</v>
      </c>
      <c r="X52" s="180">
        <v>0.49990826294258506</v>
      </c>
      <c r="Y52" s="180">
        <v>0.49486487538377427</v>
      </c>
      <c r="DA52" s="189" t="s">
        <v>946</v>
      </c>
    </row>
    <row r="53" spans="1:105" ht="12" customHeight="1" x14ac:dyDescent="0.25">
      <c r="A53" s="131" t="s">
        <v>100</v>
      </c>
      <c r="B53" s="180">
        <v>177.56793948430752</v>
      </c>
      <c r="C53" s="180">
        <v>175.84219620681378</v>
      </c>
      <c r="D53" s="180">
        <v>173.7888590981249</v>
      </c>
      <c r="E53" s="180">
        <v>171.41798788792144</v>
      </c>
      <c r="F53" s="180">
        <v>168.66115940090046</v>
      </c>
      <c r="G53" s="180">
        <v>165.59976005425466</v>
      </c>
      <c r="H53" s="180">
        <v>162.21495903857868</v>
      </c>
      <c r="I53" s="180">
        <v>158.4820725911743</v>
      </c>
      <c r="J53" s="180">
        <v>156.18602501397416</v>
      </c>
      <c r="K53" s="180">
        <v>153.80826361814493</v>
      </c>
      <c r="L53" s="180">
        <v>151.26219051507709</v>
      </c>
      <c r="M53" s="180">
        <v>148.48586445425971</v>
      </c>
      <c r="N53" s="180">
        <v>144.82252594167181</v>
      </c>
      <c r="O53" s="180">
        <v>140.78641616395657</v>
      </c>
      <c r="P53" s="180">
        <v>135.71179496011317</v>
      </c>
      <c r="Q53" s="180">
        <v>130.19062472291779</v>
      </c>
      <c r="R53" s="180">
        <v>124.69631383639899</v>
      </c>
      <c r="S53" s="180">
        <v>118.92559759833483</v>
      </c>
      <c r="T53" s="180">
        <v>113.44780747737495</v>
      </c>
      <c r="U53" s="180">
        <v>107.86636319525807</v>
      </c>
      <c r="V53" s="180">
        <v>102.45779015623894</v>
      </c>
      <c r="W53" s="180">
        <v>97.219750767761454</v>
      </c>
      <c r="X53" s="180">
        <v>93.042364704099626</v>
      </c>
      <c r="Y53" s="180">
        <v>89.625188722308707</v>
      </c>
      <c r="DA53" s="189" t="s">
        <v>947</v>
      </c>
    </row>
    <row r="54" spans="1:105" ht="12" customHeight="1" x14ac:dyDescent="0.25">
      <c r="A54" s="131" t="s">
        <v>140</v>
      </c>
      <c r="B54" s="180">
        <v>37.86820121460844</v>
      </c>
      <c r="C54" s="180">
        <v>37.512628999983406</v>
      </c>
      <c r="D54" s="180">
        <v>36.992804834123483</v>
      </c>
      <c r="E54" s="180">
        <v>36.313613086881546</v>
      </c>
      <c r="F54" s="180">
        <v>35.454631115937254</v>
      </c>
      <c r="G54" s="180">
        <v>34.535427977371718</v>
      </c>
      <c r="H54" s="180">
        <v>33.526225958703556</v>
      </c>
      <c r="I54" s="180">
        <v>32.704808159592972</v>
      </c>
      <c r="J54" s="180">
        <v>31.963148196103234</v>
      </c>
      <c r="K54" s="180">
        <v>31.205342358059113</v>
      </c>
      <c r="L54" s="180">
        <v>30.344092896524614</v>
      </c>
      <c r="M54" s="180">
        <v>29.470230491468893</v>
      </c>
      <c r="N54" s="180">
        <v>28.398731609940629</v>
      </c>
      <c r="O54" s="180">
        <v>27.293103049265849</v>
      </c>
      <c r="P54" s="180">
        <v>26.099989045669499</v>
      </c>
      <c r="Q54" s="180">
        <v>24.950264365367211</v>
      </c>
      <c r="R54" s="180">
        <v>23.536525407934576</v>
      </c>
      <c r="S54" s="180">
        <v>22.280346241213802</v>
      </c>
      <c r="T54" s="180">
        <v>20.80249151086166</v>
      </c>
      <c r="U54" s="180">
        <v>19.406861025527824</v>
      </c>
      <c r="V54" s="180">
        <v>18.048113860664113</v>
      </c>
      <c r="W54" s="180">
        <v>16.87107590249424</v>
      </c>
      <c r="X54" s="180">
        <v>15.760404130992434</v>
      </c>
      <c r="Y54" s="180">
        <v>14.789393653646959</v>
      </c>
      <c r="DA54" s="189" t="s">
        <v>948</v>
      </c>
    </row>
    <row r="55" spans="1:105" ht="12" customHeight="1" x14ac:dyDescent="0.25">
      <c r="A55" s="131" t="s">
        <v>173</v>
      </c>
      <c r="B55" s="180">
        <v>613.9332489993028</v>
      </c>
      <c r="C55" s="180">
        <v>608.53432693504647</v>
      </c>
      <c r="D55" s="180">
        <v>601.87325465981814</v>
      </c>
      <c r="E55" s="180">
        <v>594.69644179084855</v>
      </c>
      <c r="F55" s="180">
        <v>587.56402771849571</v>
      </c>
      <c r="G55" s="180">
        <v>580.17153382449237</v>
      </c>
      <c r="H55" s="180">
        <v>572.50001965093759</v>
      </c>
      <c r="I55" s="180">
        <v>564.10256273094797</v>
      </c>
      <c r="J55" s="180">
        <v>554.71644391885332</v>
      </c>
      <c r="K55" s="180">
        <v>544.20395203788348</v>
      </c>
      <c r="L55" s="180">
        <v>532.51756095114422</v>
      </c>
      <c r="M55" s="180">
        <v>525.38880383797982</v>
      </c>
      <c r="N55" s="180">
        <v>516.24410958930878</v>
      </c>
      <c r="O55" s="180">
        <v>506.28179645401036</v>
      </c>
      <c r="P55" s="180">
        <v>495.95770767544479</v>
      </c>
      <c r="Q55" s="180">
        <v>485.96719643770842</v>
      </c>
      <c r="R55" s="180">
        <v>476.34455980678638</v>
      </c>
      <c r="S55" s="180">
        <v>466.9990702567016</v>
      </c>
      <c r="T55" s="180">
        <v>457.40057627388285</v>
      </c>
      <c r="U55" s="180">
        <v>448.13970189525139</v>
      </c>
      <c r="V55" s="180">
        <v>439.17600284927755</v>
      </c>
      <c r="W55" s="180">
        <v>432.7984351219518</v>
      </c>
      <c r="X55" s="180">
        <v>424.50509054962464</v>
      </c>
      <c r="Y55" s="180">
        <v>416.31842500647326</v>
      </c>
      <c r="DA55" s="189" t="s">
        <v>949</v>
      </c>
    </row>
    <row r="56" spans="1:105" ht="12" customHeight="1" x14ac:dyDescent="0.25">
      <c r="A56" s="60" t="s">
        <v>99</v>
      </c>
      <c r="B56" s="55">
        <v>42.489520507824956</v>
      </c>
      <c r="C56" s="55">
        <v>42.462929663135263</v>
      </c>
      <c r="D56" s="55">
        <v>42.407112252677038</v>
      </c>
      <c r="E56" s="55">
        <v>42.317568365519598</v>
      </c>
      <c r="F56" s="55">
        <v>42.196707772855468</v>
      </c>
      <c r="G56" s="55">
        <v>42.046360278778749</v>
      </c>
      <c r="H56" s="55">
        <v>41.84955409585195</v>
      </c>
      <c r="I56" s="55">
        <v>41.645284555099025</v>
      </c>
      <c r="J56" s="55">
        <v>41.451528234894333</v>
      </c>
      <c r="K56" s="55">
        <v>41.272060885006873</v>
      </c>
      <c r="L56" s="55">
        <v>41.027846707373108</v>
      </c>
      <c r="M56" s="55">
        <v>40.772052296158456</v>
      </c>
      <c r="N56" s="55">
        <v>40.427831475937602</v>
      </c>
      <c r="O56" s="55">
        <v>40.013469279967275</v>
      </c>
      <c r="P56" s="55">
        <v>39.511360051006513</v>
      </c>
      <c r="Q56" s="55">
        <v>38.918337118117044</v>
      </c>
      <c r="R56" s="55">
        <v>38.340234900642749</v>
      </c>
      <c r="S56" s="55">
        <v>37.759580183553709</v>
      </c>
      <c r="T56" s="55">
        <v>37.149462795086578</v>
      </c>
      <c r="U56" s="55">
        <v>36.51053491219313</v>
      </c>
      <c r="V56" s="55">
        <v>35.876435024962539</v>
      </c>
      <c r="W56" s="55">
        <v>35.169309609534636</v>
      </c>
      <c r="X56" s="55">
        <v>34.537079137732995</v>
      </c>
      <c r="Y56" s="55">
        <v>34.010818795143251</v>
      </c>
      <c r="DA56" s="101" t="s">
        <v>950</v>
      </c>
    </row>
    <row r="57" spans="1:105" ht="12" customHeight="1" x14ac:dyDescent="0.25">
      <c r="A57" s="62" t="s">
        <v>98</v>
      </c>
      <c r="B57" s="63">
        <v>346.64933087672108</v>
      </c>
      <c r="C57" s="63">
        <v>339.86834791416743</v>
      </c>
      <c r="D57" s="63">
        <v>331.44219367681609</v>
      </c>
      <c r="E57" s="63">
        <v>320.95853652868686</v>
      </c>
      <c r="F57" s="63">
        <v>308.32999418375789</v>
      </c>
      <c r="G57" s="63">
        <v>294.67520456623123</v>
      </c>
      <c r="H57" s="63">
        <v>280.71956701976887</v>
      </c>
      <c r="I57" s="63">
        <v>267.13272408988109</v>
      </c>
      <c r="J57" s="63">
        <v>252.51854350143492</v>
      </c>
      <c r="K57" s="63">
        <v>237.38627375127246</v>
      </c>
      <c r="L57" s="63">
        <v>220.42495208826026</v>
      </c>
      <c r="M57" s="63">
        <v>204.35657776263241</v>
      </c>
      <c r="N57" s="63">
        <v>190.12943365032552</v>
      </c>
      <c r="O57" s="63">
        <v>177.40802668179799</v>
      </c>
      <c r="P57" s="63">
        <v>168.89304190281422</v>
      </c>
      <c r="Q57" s="63">
        <v>162.36471741625422</v>
      </c>
      <c r="R57" s="63">
        <v>158.26512080913852</v>
      </c>
      <c r="S57" s="63">
        <v>154.51373306565213</v>
      </c>
      <c r="T57" s="63">
        <v>151.03257554675139</v>
      </c>
      <c r="U57" s="63">
        <v>147.15272130263614</v>
      </c>
      <c r="V57" s="63">
        <v>142.8858182755086</v>
      </c>
      <c r="W57" s="63">
        <v>139.52851701829707</v>
      </c>
      <c r="X57" s="63">
        <v>136.52743875882899</v>
      </c>
      <c r="Y57" s="63">
        <v>133.47463799872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0.58595303325832171</v>
      </c>
      <c r="D60" s="180">
        <v>0.57863305105852392</v>
      </c>
      <c r="E60" s="180">
        <v>0.57234180651582089</v>
      </c>
      <c r="F60" s="180">
        <v>0.56627710349994842</v>
      </c>
      <c r="G60" s="180">
        <v>0.55990146304676336</v>
      </c>
      <c r="H60" s="180">
        <v>0.55362975281033078</v>
      </c>
      <c r="I60" s="180">
        <v>0.5469568628903736</v>
      </c>
      <c r="J60" s="180">
        <v>0.54082148023218712</v>
      </c>
      <c r="K60" s="180">
        <v>0.53479662597993471</v>
      </c>
      <c r="L60" s="180">
        <v>0.52739767474152455</v>
      </c>
      <c r="M60" s="180">
        <v>0.51909563174534357</v>
      </c>
      <c r="N60" s="180">
        <v>0.51019933691440411</v>
      </c>
      <c r="O60" s="180">
        <v>0.5004283485464659</v>
      </c>
      <c r="P60" s="180">
        <v>0.49001897250533749</v>
      </c>
      <c r="Q60" s="180">
        <v>0.48015043001561031</v>
      </c>
      <c r="R60" s="180">
        <v>0.47696994140794752</v>
      </c>
      <c r="S60" s="180">
        <v>0.47235713009522234</v>
      </c>
      <c r="T60" s="180">
        <v>0.46810101478347482</v>
      </c>
      <c r="U60" s="180">
        <v>0.46416614298317199</v>
      </c>
      <c r="V60" s="180">
        <v>0.46027967144530607</v>
      </c>
      <c r="W60" s="180">
        <v>0.45751799341663424</v>
      </c>
      <c r="X60" s="180">
        <v>0.45475631538796241</v>
      </c>
      <c r="Y60" s="180">
        <v>0.45199463735929057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165.97281618416272</v>
      </c>
      <c r="D61" s="180">
        <v>163.61034770714568</v>
      </c>
      <c r="E61" s="180">
        <v>161.05008530510901</v>
      </c>
      <c r="F61" s="180">
        <v>158.32841263298982</v>
      </c>
      <c r="G61" s="180">
        <v>156.45533360723365</v>
      </c>
      <c r="H61" s="180">
        <v>153.99045871686357</v>
      </c>
      <c r="I61" s="180">
        <v>151.77526520269632</v>
      </c>
      <c r="J61" s="180">
        <v>149.33043685068969</v>
      </c>
      <c r="K61" s="180">
        <v>146.8468857012117</v>
      </c>
      <c r="L61" s="180">
        <v>143.74489212515644</v>
      </c>
      <c r="M61" s="180">
        <v>139.28693971865795</v>
      </c>
      <c r="N61" s="180">
        <v>132.97860197438064</v>
      </c>
      <c r="O61" s="180">
        <v>127.63711214657013</v>
      </c>
      <c r="P61" s="180">
        <v>120.50208748612671</v>
      </c>
      <c r="Q61" s="180">
        <v>112.29743104218821</v>
      </c>
      <c r="R61" s="180">
        <v>106.76671361302088</v>
      </c>
      <c r="S61" s="180">
        <v>101.9685275444385</v>
      </c>
      <c r="T61" s="180">
        <v>97.184127169808662</v>
      </c>
      <c r="U61" s="180">
        <v>92.409633126675331</v>
      </c>
      <c r="V61" s="180">
        <v>87.636607554940554</v>
      </c>
      <c r="W61" s="180">
        <v>85.480747009089015</v>
      </c>
      <c r="X61" s="180">
        <v>83.32488646323749</v>
      </c>
      <c r="Y61" s="180">
        <v>81.169025917385952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35.851939781681445</v>
      </c>
      <c r="D62" s="180">
        <v>34.798075153956631</v>
      </c>
      <c r="E62" s="180">
        <v>33.83842668212273</v>
      </c>
      <c r="F62" s="180">
        <v>32.955739530550566</v>
      </c>
      <c r="G62" s="180">
        <v>32.380978679925541</v>
      </c>
      <c r="H62" s="180">
        <v>31.908997260492754</v>
      </c>
      <c r="I62" s="180">
        <v>30.979193728205036</v>
      </c>
      <c r="J62" s="180">
        <v>30.144075150534857</v>
      </c>
      <c r="K62" s="180">
        <v>28.934086505540964</v>
      </c>
      <c r="L62" s="180">
        <v>28.086332130672403</v>
      </c>
      <c r="M62" s="180">
        <v>27.016927844525835</v>
      </c>
      <c r="N62" s="180">
        <v>25.923159226829355</v>
      </c>
      <c r="O62" s="180">
        <v>24.58900541158204</v>
      </c>
      <c r="P62" s="180">
        <v>23.088014104683129</v>
      </c>
      <c r="Q62" s="180">
        <v>21.626209630811417</v>
      </c>
      <c r="R62" s="180">
        <v>19.971162477351331</v>
      </c>
      <c r="S62" s="180">
        <v>18.94570802490863</v>
      </c>
      <c r="T62" s="180">
        <v>17.317830559081628</v>
      </c>
      <c r="U62" s="180">
        <v>16.025702004230791</v>
      </c>
      <c r="V62" s="180">
        <v>14.934951954723706</v>
      </c>
      <c r="W62" s="180">
        <v>14.188204356987519</v>
      </c>
      <c r="X62" s="180">
        <v>13.441456759251334</v>
      </c>
      <c r="Y62" s="180">
        <v>12.694709161515147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562.79182288786353</v>
      </c>
      <c r="D63" s="180">
        <v>553.75785517984582</v>
      </c>
      <c r="E63" s="180">
        <v>547.844400040501</v>
      </c>
      <c r="F63" s="180">
        <v>543.3245046324829</v>
      </c>
      <c r="G63" s="180">
        <v>538.55969483033266</v>
      </c>
      <c r="H63" s="180">
        <v>534.13543974119943</v>
      </c>
      <c r="I63" s="180">
        <v>527.01207016428941</v>
      </c>
      <c r="J63" s="180">
        <v>519.41680656811297</v>
      </c>
      <c r="K63" s="180">
        <v>508.77191739512051</v>
      </c>
      <c r="L63" s="180">
        <v>497.74289430346698</v>
      </c>
      <c r="M63" s="180">
        <v>482.17838189931672</v>
      </c>
      <c r="N63" s="180">
        <v>472.25410147547302</v>
      </c>
      <c r="O63" s="180">
        <v>461.13966305632766</v>
      </c>
      <c r="P63" s="180">
        <v>447.99601076096423</v>
      </c>
      <c r="Q63" s="180">
        <v>443.62612422827834</v>
      </c>
      <c r="R63" s="180">
        <v>436.93353455620672</v>
      </c>
      <c r="S63" s="180">
        <v>428.57655935911509</v>
      </c>
      <c r="T63" s="180">
        <v>420.55228969421233</v>
      </c>
      <c r="U63" s="180">
        <v>413.00754745302999</v>
      </c>
      <c r="V63" s="180">
        <v>405.55590327143329</v>
      </c>
      <c r="W63" s="180">
        <v>397.44478520600461</v>
      </c>
      <c r="X63" s="180">
        <v>389.33366714057593</v>
      </c>
      <c r="Y63" s="180">
        <v>381.2225490751473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42.231670050385432</v>
      </c>
      <c r="D64" s="55">
        <v>41.933242559673452</v>
      </c>
      <c r="E64" s="55">
        <v>41.609493876131651</v>
      </c>
      <c r="F64" s="55">
        <v>41.294724062668429</v>
      </c>
      <c r="G64" s="55">
        <v>40.908967042170985</v>
      </c>
      <c r="H64" s="55">
        <v>40.55127356468963</v>
      </c>
      <c r="I64" s="55">
        <v>40.136456659110294</v>
      </c>
      <c r="J64" s="55">
        <v>39.750429485500412</v>
      </c>
      <c r="K64" s="55">
        <v>39.265630590897793</v>
      </c>
      <c r="L64" s="55">
        <v>38.699219828649234</v>
      </c>
      <c r="M64" s="55">
        <v>37.969798452147437</v>
      </c>
      <c r="N64" s="55">
        <v>37.076453450085829</v>
      </c>
      <c r="O64" s="55">
        <v>36.19752758415656</v>
      </c>
      <c r="P64" s="55">
        <v>35.315998456509391</v>
      </c>
      <c r="Q64" s="55">
        <v>34.418173136372928</v>
      </c>
      <c r="R64" s="55">
        <v>33.985623321367989</v>
      </c>
      <c r="S64" s="55">
        <v>33.469447711498894</v>
      </c>
      <c r="T64" s="55">
        <v>32.990292941612353</v>
      </c>
      <c r="U64" s="55">
        <v>32.526532231755894</v>
      </c>
      <c r="V64" s="55">
        <v>32.066952388746692</v>
      </c>
      <c r="W64" s="55">
        <v>31.746282864859225</v>
      </c>
      <c r="X64" s="55">
        <v>31.425613340971758</v>
      </c>
      <c r="Y64" s="55">
        <v>31.10494381708429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319.96209144393458</v>
      </c>
      <c r="D65" s="63">
        <v>309.42298270881486</v>
      </c>
      <c r="E65" s="63">
        <v>297.53540140940277</v>
      </c>
      <c r="F65" s="63">
        <v>282.93507921338318</v>
      </c>
      <c r="G65" s="63">
        <v>270.75458485694827</v>
      </c>
      <c r="H65" s="63">
        <v>254.38381643779087</v>
      </c>
      <c r="I65" s="63">
        <v>240.54449013114456</v>
      </c>
      <c r="J65" s="63">
        <v>223.4938219655514</v>
      </c>
      <c r="K65" s="63">
        <v>205.61829616612022</v>
      </c>
      <c r="L65" s="63">
        <v>186.80977521661097</v>
      </c>
      <c r="M65" s="63">
        <v>174.11602432381943</v>
      </c>
      <c r="N65" s="63">
        <v>167.81017732326382</v>
      </c>
      <c r="O65" s="63">
        <v>160.10671621742924</v>
      </c>
      <c r="P65" s="63">
        <v>159.75234037102359</v>
      </c>
      <c r="Q65" s="63">
        <v>154.77445478512817</v>
      </c>
      <c r="R65" s="63">
        <v>151.29963008172604</v>
      </c>
      <c r="S65" s="63">
        <v>147.23868212690448</v>
      </c>
      <c r="T65" s="63">
        <v>143.27376268567477</v>
      </c>
      <c r="U65" s="63">
        <v>139.51150621575613</v>
      </c>
      <c r="V65" s="63">
        <v>135.79045004277606</v>
      </c>
      <c r="W65" s="63">
        <v>133.34622194200608</v>
      </c>
      <c r="X65" s="63">
        <v>130.90199384123611</v>
      </c>
      <c r="Y65" s="63">
        <v>128.45776574046616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531.5790897233004</v>
      </c>
      <c r="C68" s="187">
        <f>1000000*C20/SER_summary!C$8</f>
        <v>539.34153208203315</v>
      </c>
      <c r="D68" s="187">
        <f>1000000*D20/SER_summary!D$8</f>
        <v>545.45642130171223</v>
      </c>
      <c r="E68" s="187">
        <f>1000000*E20/SER_summary!E$8</f>
        <v>552.37835873273718</v>
      </c>
      <c r="F68" s="187">
        <f>1000000*F20/SER_summary!F$8</f>
        <v>558.96455048905614</v>
      </c>
      <c r="G68" s="187">
        <f>1000000*G20/SER_summary!G$8</f>
        <v>564.67976692535183</v>
      </c>
      <c r="H68" s="187">
        <f>1000000*H20/SER_summary!H$8</f>
        <v>572.24818416497408</v>
      </c>
      <c r="I68" s="187">
        <f>1000000*I20/SER_summary!I$8</f>
        <v>579.99520847880365</v>
      </c>
      <c r="J68" s="187">
        <f>1000000*J20/SER_summary!J$8</f>
        <v>587.68819275024441</v>
      </c>
      <c r="K68" s="187">
        <f>1000000*K20/SER_summary!K$8</f>
        <v>597.29591436234659</v>
      </c>
      <c r="L68" s="187">
        <f>1000000*L20/SER_summary!L$8</f>
        <v>609.20018174217989</v>
      </c>
      <c r="M68" s="187">
        <f>1000000*M20/SER_summary!M$8</f>
        <v>616.49644615924274</v>
      </c>
      <c r="N68" s="187">
        <f>1000000*N20/SER_summary!N$8</f>
        <v>624.64638344979039</v>
      </c>
      <c r="O68" s="187">
        <f>1000000*O20/SER_summary!O$8</f>
        <v>634.33136911888562</v>
      </c>
      <c r="P68" s="187">
        <f>1000000*P20/SER_summary!P$8</f>
        <v>643.30693997385777</v>
      </c>
      <c r="Q68" s="187">
        <f>1000000*Q20/SER_summary!Q$8</f>
        <v>652.2309784300478</v>
      </c>
      <c r="R68" s="187">
        <f>1000000*R20/SER_summary!R$8</f>
        <v>658.35068390051856</v>
      </c>
      <c r="S68" s="187">
        <f>1000000*S20/SER_summary!S$8</f>
        <v>664.51563011634266</v>
      </c>
      <c r="T68" s="187">
        <f>1000000*T20/SER_summary!T$8</f>
        <v>670.48655115136103</v>
      </c>
      <c r="U68" s="187">
        <f>1000000*U20/SER_summary!U$8</f>
        <v>676.11832890965809</v>
      </c>
      <c r="V68" s="187">
        <f>1000000*V20/SER_summary!V$8</f>
        <v>681.14084661162838</v>
      </c>
      <c r="W68" s="187">
        <f>1000000*W20/SER_summary!W$8</f>
        <v>685.12348316596899</v>
      </c>
      <c r="X68" s="187">
        <f>1000000*X20/SER_summary!X$8</f>
        <v>687.12352539365031</v>
      </c>
      <c r="Y68" s="187">
        <f>1000000*Y20/SER_summary!Y$8</f>
        <v>688.12573492218576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9.1196535243621146E-2</v>
      </c>
      <c r="C69" s="187">
        <f>1000*C21/SER_summary!C$3</f>
        <v>9.3593086759243382E-2</v>
      </c>
      <c r="D69" s="187">
        <f>1000*D21/SER_summary!D$3</f>
        <v>9.5919331574088051E-2</v>
      </c>
      <c r="E69" s="187">
        <f>1000*E21/SER_summary!E$3</f>
        <v>9.797676344931143E-2</v>
      </c>
      <c r="F69" s="187">
        <f>1000*F21/SER_summary!F$3</f>
        <v>0.10006056262408509</v>
      </c>
      <c r="G69" s="187">
        <f>1000*G21/SER_summary!G$3</f>
        <v>0.10247414562558367</v>
      </c>
      <c r="H69" s="187">
        <f>1000*H21/SER_summary!H$3</f>
        <v>0.10440400843727593</v>
      </c>
      <c r="I69" s="187">
        <f>1000*I21/SER_summary!I$3</f>
        <v>0.1062069137593693</v>
      </c>
      <c r="J69" s="187">
        <f>1000*J21/SER_summary!J$3</f>
        <v>0.10811210615607629</v>
      </c>
      <c r="K69" s="187">
        <f>1000*K21/SER_summary!K$3</f>
        <v>0.11050121860310655</v>
      </c>
      <c r="L69" s="187">
        <f>1000*L21/SER_summary!L$3</f>
        <v>0.11447211713827847</v>
      </c>
      <c r="M69" s="187">
        <f>1000*M21/SER_summary!M$3</f>
        <v>0.12000893264335791</v>
      </c>
      <c r="N69" s="187">
        <f>1000*N21/SER_summary!N$3</f>
        <v>0.12462994772572544</v>
      </c>
      <c r="O69" s="187">
        <f>1000*O21/SER_summary!O$3</f>
        <v>0.12980654772595401</v>
      </c>
      <c r="P69" s="187">
        <f>1000*P21/SER_summary!P$3</f>
        <v>0.13832889407565427</v>
      </c>
      <c r="Q69" s="187">
        <f>1000*Q21/SER_summary!Q$3</f>
        <v>0.14711622798331783</v>
      </c>
      <c r="R69" s="187">
        <f>1000*R21/SER_summary!R$3</f>
        <v>0.15286742048912982</v>
      </c>
      <c r="S69" s="187">
        <f>1000*S21/SER_summary!S$3</f>
        <v>0.15911805363187834</v>
      </c>
      <c r="T69" s="187">
        <f>1000*T21/SER_summary!T$3</f>
        <v>0.16506887627560463</v>
      </c>
      <c r="U69" s="187">
        <f>1000*U21/SER_summary!U$3</f>
        <v>0.17055290420118319</v>
      </c>
      <c r="V69" s="187">
        <f>1000*V21/SER_summary!V$3</f>
        <v>0.17544768812031566</v>
      </c>
      <c r="W69" s="187">
        <f>1000*W21/SER_summary!W$3</f>
        <v>0.17965130652462108</v>
      </c>
      <c r="X69" s="187">
        <f>1000*X21/SER_summary!X$3</f>
        <v>0.1826536230164689</v>
      </c>
      <c r="Y69" s="187">
        <f>1000*Y21/SER_summary!Y$3</f>
        <v>0.18478504873212856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135.05108513473357</v>
      </c>
      <c r="C70" s="187">
        <f>1000000*C22/SER_summary!C$8</f>
        <v>136.23309834725902</v>
      </c>
      <c r="D70" s="187">
        <f>1000000*D22/SER_summary!D$8</f>
        <v>137.67600005478846</v>
      </c>
      <c r="E70" s="187">
        <f>1000000*E22/SER_summary!E$8</f>
        <v>139.53484402401497</v>
      </c>
      <c r="F70" s="187">
        <f>1000000*F22/SER_summary!F$8</f>
        <v>142.10117976999229</v>
      </c>
      <c r="G70" s="187">
        <f>1000000*G22/SER_summary!G$8</f>
        <v>144.16581405316578</v>
      </c>
      <c r="H70" s="187">
        <f>1000000*H22/SER_summary!H$8</f>
        <v>146.37771349904133</v>
      </c>
      <c r="I70" s="187">
        <f>1000000*I22/SER_summary!I$8</f>
        <v>148.58804047755842</v>
      </c>
      <c r="J70" s="187">
        <f>1000000*J22/SER_summary!J$8</f>
        <v>151.34665022693468</v>
      </c>
      <c r="K70" s="187">
        <f>1000000*K22/SER_summary!K$8</f>
        <v>154.76295063090797</v>
      </c>
      <c r="L70" s="187">
        <f>1000000*L22/SER_summary!L$8</f>
        <v>159.32994365244778</v>
      </c>
      <c r="M70" s="187">
        <f>1000000*M22/SER_summary!M$8</f>
        <v>163.67166201855323</v>
      </c>
      <c r="N70" s="187">
        <f>1000000*N22/SER_summary!N$8</f>
        <v>168.25781208060289</v>
      </c>
      <c r="O70" s="187">
        <f>1000000*O22/SER_summary!O$8</f>
        <v>172.1303526079069</v>
      </c>
      <c r="P70" s="187">
        <f>1000000*P22/SER_summary!P$8</f>
        <v>178.69831896794318</v>
      </c>
      <c r="Q70" s="187">
        <f>1000000*Q22/SER_summary!Q$8</f>
        <v>185.35318583932653</v>
      </c>
      <c r="R70" s="187">
        <f>1000000*R22/SER_summary!R$8</f>
        <v>189.18513251426052</v>
      </c>
      <c r="S70" s="187">
        <f>1000000*S22/SER_summary!S$8</f>
        <v>193.06904347188947</v>
      </c>
      <c r="T70" s="187">
        <f>1000000*T22/SER_summary!T$8</f>
        <v>196.78857080524205</v>
      </c>
      <c r="U70" s="187">
        <f>1000000*U22/SER_summary!U$8</f>
        <v>200.21140767496567</v>
      </c>
      <c r="V70" s="187">
        <f>1000000*V22/SER_summary!V$8</f>
        <v>203.09098131502003</v>
      </c>
      <c r="W70" s="187">
        <f>1000000*W22/SER_summary!W$8</f>
        <v>205.11387447409516</v>
      </c>
      <c r="X70" s="187">
        <f>1000000*X22/SER_summary!X$8</f>
        <v>206.13286446234639</v>
      </c>
      <c r="Y70" s="187">
        <f>1000000*Y22/SER_summary!Y$8</f>
        <v>206.64425623660892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2.089582382362163E-2</v>
      </c>
      <c r="C71" s="187">
        <f>1000*C23/SER_summary!C$3</f>
        <v>2.1214101850399403E-2</v>
      </c>
      <c r="D71" s="187">
        <f>1000*D23/SER_summary!D$3</f>
        <v>2.1681053811860564E-2</v>
      </c>
      <c r="E71" s="187">
        <f>1000*E23/SER_summary!E$3</f>
        <v>2.2192746047838347E-2</v>
      </c>
      <c r="F71" s="187">
        <f>1000*F23/SER_summary!F$3</f>
        <v>2.2560043928124034E-2</v>
      </c>
      <c r="G71" s="187">
        <f>1000*G23/SER_summary!G$3</f>
        <v>2.2854120848499283E-2</v>
      </c>
      <c r="H71" s="187">
        <f>1000*H23/SER_summary!H$3</f>
        <v>2.3075639774110344E-2</v>
      </c>
      <c r="I71" s="187">
        <f>1000*I23/SER_summary!I$3</f>
        <v>2.3308260713087125E-2</v>
      </c>
      <c r="J71" s="187">
        <f>1000*J23/SER_summary!J$3</f>
        <v>2.3660909554240498E-2</v>
      </c>
      <c r="K71" s="187">
        <f>1000*K23/SER_summary!K$3</f>
        <v>2.4089234795277418E-2</v>
      </c>
      <c r="L71" s="187">
        <f>1000*L23/SER_summary!L$3</f>
        <v>2.4574919709324558E-2</v>
      </c>
      <c r="M71" s="187">
        <f>1000*M23/SER_summary!M$3</f>
        <v>2.4908959561505802E-2</v>
      </c>
      <c r="N71" s="187">
        <f>1000*N23/SER_summary!N$3</f>
        <v>2.5396278174343173E-2</v>
      </c>
      <c r="O71" s="187">
        <f>1000*O23/SER_summary!O$3</f>
        <v>2.5988017472057034E-2</v>
      </c>
      <c r="P71" s="187">
        <f>1000*P23/SER_summary!P$3</f>
        <v>2.665593183939088E-2</v>
      </c>
      <c r="Q71" s="187">
        <f>1000*Q23/SER_summary!Q$3</f>
        <v>2.7436981775341488E-2</v>
      </c>
      <c r="R71" s="187">
        <f>1000*R23/SER_summary!R$3</f>
        <v>2.8027151266915677E-2</v>
      </c>
      <c r="S71" s="187">
        <f>1000*S23/SER_summary!S$3</f>
        <v>2.8702251927668013E-2</v>
      </c>
      <c r="T71" s="187">
        <f>1000*T23/SER_summary!T$3</f>
        <v>2.9343303823611909E-2</v>
      </c>
      <c r="U71" s="187">
        <f>1000*U23/SER_summary!U$3</f>
        <v>2.9938129374890043E-2</v>
      </c>
      <c r="V71" s="187">
        <f>1000*V23/SER_summary!V$3</f>
        <v>3.0495797697103168E-2</v>
      </c>
      <c r="W71" s="187">
        <f>1000*W23/SER_summary!W$3</f>
        <v>3.1039199331551325E-2</v>
      </c>
      <c r="X71" s="187">
        <f>1000*X23/SER_summary!X$3</f>
        <v>3.1425331546890069E-2</v>
      </c>
      <c r="Y71" s="187">
        <f>1000*Y23/SER_summary!Y$3</f>
        <v>3.1698478663693019E-2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51.031266974337655</v>
      </c>
      <c r="C72" s="187">
        <f>1000000*C24/SER_summary!C$8</f>
        <v>54.428231101017197</v>
      </c>
      <c r="D72" s="187">
        <f>1000000*D24/SER_summary!D$8</f>
        <v>58.536371160654603</v>
      </c>
      <c r="E72" s="187">
        <f>1000000*E24/SER_summary!E$8</f>
        <v>63.483648338609783</v>
      </c>
      <c r="F72" s="187">
        <f>1000000*F24/SER_summary!F$8</f>
        <v>68.532158370619968</v>
      </c>
      <c r="G72" s="187">
        <f>1000000*G24/SER_summary!G$8</f>
        <v>73.915390941823517</v>
      </c>
      <c r="H72" s="187">
        <f>1000000*H24/SER_summary!H$8</f>
        <v>79.611486628759081</v>
      </c>
      <c r="I72" s="187">
        <f>1000000*I24/SER_summary!I$8</f>
        <v>84.420730449046204</v>
      </c>
      <c r="J72" s="187">
        <f>1000000*J24/SER_summary!J$8</f>
        <v>88.516347073108022</v>
      </c>
      <c r="K72" s="187">
        <f>1000000*K24/SER_summary!K$8</f>
        <v>91.977713842654367</v>
      </c>
      <c r="L72" s="187">
        <f>1000000*L24/SER_summary!L$8</f>
        <v>95.203436684316046</v>
      </c>
      <c r="M72" s="187">
        <f>1000000*M24/SER_summary!M$8</f>
        <v>97.941130578153633</v>
      </c>
      <c r="N72" s="187">
        <f>1000000*N24/SER_summary!N$8</f>
        <v>100.58074633079849</v>
      </c>
      <c r="O72" s="187">
        <f>1000000*O24/SER_summary!O$8</f>
        <v>103.36860245367546</v>
      </c>
      <c r="P72" s="187">
        <f>1000000*P24/SER_summary!P$8</f>
        <v>106.2259404428108</v>
      </c>
      <c r="Q72" s="187">
        <f>1000000*Q24/SER_summary!Q$8</f>
        <v>109.02200715099242</v>
      </c>
      <c r="R72" s="187">
        <f>1000000*R24/SER_summary!R$8</f>
        <v>112.66848644533265</v>
      </c>
      <c r="S72" s="187">
        <f>1000000*S24/SER_summary!S$8</f>
        <v>116.33073788555501</v>
      </c>
      <c r="T72" s="187">
        <f>1000000*T24/SER_summary!T$8</f>
        <v>119.9253469066996</v>
      </c>
      <c r="U72" s="187">
        <f>1000000*U24/SER_summary!U$8</f>
        <v>123.40172142056831</v>
      </c>
      <c r="V72" s="187">
        <f>1000000*V24/SER_summary!V$8</f>
        <v>126.66569142133942</v>
      </c>
      <c r="W72" s="187">
        <f>1000000*W24/SER_summary!W$8</f>
        <v>129.64631902452274</v>
      </c>
      <c r="X72" s="187">
        <f>1000000*X24/SER_summary!X$8</f>
        <v>132.08124215458929</v>
      </c>
      <c r="Y72" s="187">
        <f>1000000*Y24/SER_summary!Y$8</f>
        <v>134.06206595382352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0.20806209131764394</v>
      </c>
      <c r="C73" s="52">
        <f>1000*C25/SER_summary!C$3</f>
        <v>0.22288945671710558</v>
      </c>
      <c r="D73" s="52">
        <f>1000*D25/SER_summary!D$3</f>
        <v>0.23739245751444538</v>
      </c>
      <c r="E73" s="52">
        <f>1000*E25/SER_summary!E$3</f>
        <v>0.25638370572552649</v>
      </c>
      <c r="F73" s="52">
        <f>1000*F25/SER_summary!F$3</f>
        <v>0.27996591645308794</v>
      </c>
      <c r="G73" s="52">
        <f>1000*G25/SER_summary!G$3</f>
        <v>0.30845835338998717</v>
      </c>
      <c r="H73" s="52">
        <f>1000*H25/SER_summary!H$3</f>
        <v>0.33155537427056742</v>
      </c>
      <c r="I73" s="52">
        <f>1000*I25/SER_summary!I$3</f>
        <v>0.35523502150175362</v>
      </c>
      <c r="J73" s="52">
        <f>1000*J25/SER_summary!J$3</f>
        <v>0.37930282444711055</v>
      </c>
      <c r="K73" s="52">
        <f>1000*K25/SER_summary!K$3</f>
        <v>0.40224856645235407</v>
      </c>
      <c r="L73" s="52">
        <f>1000*L25/SER_summary!L$3</f>
        <v>0.43082190469936471</v>
      </c>
      <c r="M73" s="52">
        <f>1000*M25/SER_summary!M$3</f>
        <v>0.45623414749549501</v>
      </c>
      <c r="N73" s="52">
        <f>1000*N25/SER_summary!N$3</f>
        <v>0.4798041849633623</v>
      </c>
      <c r="O73" s="52">
        <f>1000*O25/SER_summary!O$3</f>
        <v>0.51418909461305029</v>
      </c>
      <c r="P73" s="52">
        <f>1000*P25/SER_summary!P$3</f>
        <v>0.54511816485609643</v>
      </c>
      <c r="Q73" s="52">
        <f>1000*Q25/SER_summary!Q$3</f>
        <v>0.5918346373595097</v>
      </c>
      <c r="R73" s="52">
        <f>1000*R25/SER_summary!R$3</f>
        <v>0.61401936371471855</v>
      </c>
      <c r="S73" s="52">
        <f>1000*S25/SER_summary!S$3</f>
        <v>0.6353082196290657</v>
      </c>
      <c r="T73" s="52">
        <f>1000*T25/SER_summary!T$3</f>
        <v>0.66010878084680136</v>
      </c>
      <c r="U73" s="52">
        <f>1000*U25/SER_summary!U$3</f>
        <v>0.68027827421006781</v>
      </c>
      <c r="V73" s="52">
        <f>1000*V25/SER_summary!V$3</f>
        <v>0.69992292762795461</v>
      </c>
      <c r="W73" s="52">
        <f>1000*W25/SER_summary!W$3</f>
        <v>0.72035315265713673</v>
      </c>
      <c r="X73" s="52">
        <f>1000*X25/SER_summary!X$3</f>
        <v>0.73812538258719163</v>
      </c>
      <c r="Y73" s="52">
        <f>1000*Y25/SER_summary!Y$3</f>
        <v>0.76112635965953768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854.55489174617003</v>
      </c>
      <c r="C3" s="198">
        <f>'SER_se-appl'!C4</f>
        <v>874.07218603007243</v>
      </c>
      <c r="D3" s="198">
        <f>'SER_se-appl'!D4</f>
        <v>884.40541503935799</v>
      </c>
      <c r="E3" s="198">
        <f>'SER_se-appl'!E4</f>
        <v>892.90751365723838</v>
      </c>
      <c r="F3" s="198">
        <f>'SER_se-appl'!F4</f>
        <v>907.21794146367301</v>
      </c>
      <c r="G3" s="198">
        <f>'SER_se-appl'!G4</f>
        <v>917.18060593889504</v>
      </c>
      <c r="H3" s="198">
        <f>'SER_se-appl'!H4</f>
        <v>941.96466303822729</v>
      </c>
      <c r="I3" s="198">
        <f>'SER_se-appl'!I4</f>
        <v>965.74470530837789</v>
      </c>
      <c r="J3" s="198">
        <f>'SER_se-appl'!J4</f>
        <v>979.39326328285892</v>
      </c>
      <c r="K3" s="198">
        <f>'SER_se-appl'!K4</f>
        <v>980.70315808767032</v>
      </c>
      <c r="L3" s="198">
        <f>'SER_se-appl'!L4</f>
        <v>996.51030601411549</v>
      </c>
      <c r="M3" s="198">
        <f>'SER_se-appl'!M4</f>
        <v>995.69510945960792</v>
      </c>
      <c r="N3" s="198">
        <f>'SER_se-appl'!N4</f>
        <v>1001.6100238211616</v>
      </c>
      <c r="O3" s="198">
        <f>'SER_se-appl'!O4</f>
        <v>1006.9266444304492</v>
      </c>
      <c r="P3" s="198">
        <f>'SER_se-appl'!P4</f>
        <v>1011.7540257323067</v>
      </c>
      <c r="Q3" s="198">
        <f>'SER_se-appl'!Q4</f>
        <v>1017.3063767288271</v>
      </c>
      <c r="R3" s="198">
        <f>'SER_se-appl'!R4</f>
        <v>1021.5655517627742</v>
      </c>
      <c r="S3" s="198">
        <f>'SER_se-appl'!S4</f>
        <v>1021.6903884667672</v>
      </c>
      <c r="T3" s="198">
        <f>'SER_se-appl'!T4</f>
        <v>1019.3560603627351</v>
      </c>
      <c r="U3" s="198">
        <f>'SER_se-appl'!U4</f>
        <v>1020.2256956187177</v>
      </c>
      <c r="V3" s="198">
        <f>'SER_se-appl'!V4</f>
        <v>1021.0367472500653</v>
      </c>
      <c r="W3" s="198">
        <f>'SER_se-appl'!W4</f>
        <v>1019.8981723496727</v>
      </c>
      <c r="X3" s="198">
        <f>'SER_se-appl'!X4</f>
        <v>1014.379303873215</v>
      </c>
      <c r="Y3" s="198">
        <f>'SER_se-appl'!Y4</f>
        <v>1007.9222311083631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1134.5289259141509</v>
      </c>
      <c r="C5" s="59">
        <f>'SER_se-appl'!C12</f>
        <v>1160.4405848778244</v>
      </c>
      <c r="D5" s="59">
        <f>'SER_se-appl'!D12</f>
        <v>1174.1592439392391</v>
      </c>
      <c r="E5" s="59">
        <f>'SER_se-appl'!E12</f>
        <v>1185.4468474695987</v>
      </c>
      <c r="F5" s="59">
        <f>'SER_se-appl'!F12</f>
        <v>1204.4457373541688</v>
      </c>
      <c r="G5" s="59">
        <f>'SER_se-appl'!G12</f>
        <v>1217.6724254645376</v>
      </c>
      <c r="H5" s="59">
        <f>'SER_se-appl'!H12</f>
        <v>1250.5763734171899</v>
      </c>
      <c r="I5" s="59">
        <f>'SER_se-appl'!I12</f>
        <v>1282.1473656091823</v>
      </c>
      <c r="J5" s="59">
        <f>'SER_se-appl'!J12</f>
        <v>1300.2675401803256</v>
      </c>
      <c r="K5" s="59">
        <f>'SER_se-appl'!K12</f>
        <v>1302.0065900182199</v>
      </c>
      <c r="L5" s="59">
        <f>'SER_se-appl'!L12</f>
        <v>1322.9925638064115</v>
      </c>
      <c r="M5" s="59">
        <f>'SER_se-appl'!M12</f>
        <v>1321.9102880154383</v>
      </c>
      <c r="N5" s="59">
        <f>'SER_se-appl'!N12</f>
        <v>1329.7630795707894</v>
      </c>
      <c r="O5" s="59">
        <f>'SER_se-appl'!O12</f>
        <v>1336.8215610417956</v>
      </c>
      <c r="P5" s="59">
        <f>'SER_se-appl'!P12</f>
        <v>1343.2305158980294</v>
      </c>
      <c r="Q5" s="59">
        <f>'SER_se-appl'!Q12</f>
        <v>1350.6019590589342</v>
      </c>
      <c r="R5" s="59">
        <f>'SER_se-appl'!R12</f>
        <v>1356.256548744414</v>
      </c>
      <c r="S5" s="59">
        <f>'SER_se-appl'!S12</f>
        <v>1356.4222851448067</v>
      </c>
      <c r="T5" s="59">
        <f>'SER_se-appl'!T12</f>
        <v>1353.3231714633118</v>
      </c>
      <c r="U5" s="59">
        <f>'SER_se-appl'!U12</f>
        <v>1354.477721466403</v>
      </c>
      <c r="V5" s="59">
        <f>'SER_se-appl'!V12</f>
        <v>1355.5544943513999</v>
      </c>
      <c r="W5" s="59">
        <f>'SER_se-appl'!W12</f>
        <v>1354.0428931993933</v>
      </c>
      <c r="X5" s="59">
        <f>'SER_se-appl'!X12</f>
        <v>1346.7159022882972</v>
      </c>
      <c r="Y5" s="59">
        <f>'SER_se-appl'!Y12</f>
        <v>1338.1433273733169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531.5790897233004</v>
      </c>
      <c r="C6" s="201">
        <f>'SER_se-appl'!C68</f>
        <v>539.34153208203315</v>
      </c>
      <c r="D6" s="201">
        <f>'SER_se-appl'!D68</f>
        <v>545.45642130171223</v>
      </c>
      <c r="E6" s="201">
        <f>'SER_se-appl'!E68</f>
        <v>552.37835873273718</v>
      </c>
      <c r="F6" s="201">
        <f>'SER_se-appl'!F68</f>
        <v>558.96455048905614</v>
      </c>
      <c r="G6" s="201">
        <f>'SER_se-appl'!G68</f>
        <v>564.67976692535183</v>
      </c>
      <c r="H6" s="201">
        <f>'SER_se-appl'!H68</f>
        <v>572.24818416497408</v>
      </c>
      <c r="I6" s="201">
        <f>'SER_se-appl'!I68</f>
        <v>579.99520847880365</v>
      </c>
      <c r="J6" s="201">
        <f>'SER_se-appl'!J68</f>
        <v>587.68819275024441</v>
      </c>
      <c r="K6" s="201">
        <f>'SER_se-appl'!K68</f>
        <v>597.29591436234659</v>
      </c>
      <c r="L6" s="201">
        <f>'SER_se-appl'!L68</f>
        <v>609.20018174217989</v>
      </c>
      <c r="M6" s="201">
        <f>'SER_se-appl'!M68</f>
        <v>616.49644615924274</v>
      </c>
      <c r="N6" s="201">
        <f>'SER_se-appl'!N68</f>
        <v>624.64638344979039</v>
      </c>
      <c r="O6" s="201">
        <f>'SER_se-appl'!O68</f>
        <v>634.33136911888562</v>
      </c>
      <c r="P6" s="201">
        <f>'SER_se-appl'!P68</f>
        <v>643.30693997385777</v>
      </c>
      <c r="Q6" s="201">
        <f>'SER_se-appl'!Q68</f>
        <v>652.2309784300478</v>
      </c>
      <c r="R6" s="201">
        <f>'SER_se-appl'!R68</f>
        <v>658.35068390051856</v>
      </c>
      <c r="S6" s="201">
        <f>'SER_se-appl'!S68</f>
        <v>664.51563011634266</v>
      </c>
      <c r="T6" s="201">
        <f>'SER_se-appl'!T68</f>
        <v>670.48655115136103</v>
      </c>
      <c r="U6" s="201">
        <f>'SER_se-appl'!U68</f>
        <v>676.11832890965809</v>
      </c>
      <c r="V6" s="201">
        <f>'SER_se-appl'!V68</f>
        <v>681.14084661162838</v>
      </c>
      <c r="W6" s="201">
        <f>'SER_se-appl'!W68</f>
        <v>685.12348316596899</v>
      </c>
      <c r="X6" s="201">
        <f>'SER_se-appl'!X68</f>
        <v>687.12352539365031</v>
      </c>
      <c r="Y6" s="201">
        <f>'SER_se-appl'!Y68</f>
        <v>688.12573492218576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1736.5995479334811</v>
      </c>
      <c r="C8" s="34">
        <f>'SER_se-appl'!C20</f>
        <v>1789.4787691591753</v>
      </c>
      <c r="D8" s="34">
        <f>'SER_se-appl'!D20</f>
        <v>1823.1826634107376</v>
      </c>
      <c r="E8" s="34">
        <f>'SER_se-appl'!E20</f>
        <v>1854.1707516804179</v>
      </c>
      <c r="F8" s="34">
        <f>'SER_se-appl'!F20</f>
        <v>1900.307406541433</v>
      </c>
      <c r="G8" s="34">
        <f>'SER_se-appl'!G20</f>
        <v>1937.9791020999085</v>
      </c>
      <c r="H8" s="34">
        <f>'SER_se-appl'!H20</f>
        <v>2013.002673694449</v>
      </c>
      <c r="I8" s="34">
        <f>'SER_se-appl'!I20</f>
        <v>2088.0372001747764</v>
      </c>
      <c r="J8" s="34">
        <f>'SER_se-appl'!J20</f>
        <v>2140.5858873622828</v>
      </c>
      <c r="K8" s="34">
        <f>'SER_se-appl'!K20</f>
        <v>2164.7014308224361</v>
      </c>
      <c r="L8" s="34">
        <f>'SER_se-appl'!L20</f>
        <v>2227.6061019167032</v>
      </c>
      <c r="M8" s="34">
        <f>'SER_se-appl'!M20</f>
        <v>2251.2603703945147</v>
      </c>
      <c r="N8" s="34">
        <f>'SER_se-appl'!N20</f>
        <v>2295.3657536679534</v>
      </c>
      <c r="O8" s="34">
        <f>'SER_se-appl'!O20</f>
        <v>2341.6284310333058</v>
      </c>
      <c r="P8" s="34">
        <f>'SER_se-appl'!P20</f>
        <v>2390.7766609227165</v>
      </c>
      <c r="Q8" s="34">
        <f>'SER_se-appl'!Q20</f>
        <v>2446.2684555990359</v>
      </c>
      <c r="R8" s="34">
        <f>'SER_se-appl'!R20</f>
        <v>2500.4369018368225</v>
      </c>
      <c r="S8" s="34">
        <f>'SER_se-appl'!S20</f>
        <v>2545.8720501876401</v>
      </c>
      <c r="T8" s="34">
        <f>'SER_se-appl'!T20</f>
        <v>2587.1328168942669</v>
      </c>
      <c r="U8" s="34">
        <f>'SER_se-appl'!U20</f>
        <v>2623.2573609527258</v>
      </c>
      <c r="V8" s="34">
        <f>'SER_se-appl'!V20</f>
        <v>2654.1788292693523</v>
      </c>
      <c r="W8" s="34">
        <f>'SER_se-appl'!W20</f>
        <v>2678.6402300006389</v>
      </c>
      <c r="X8" s="34">
        <f>'SER_se-appl'!X20</f>
        <v>2693.926070277756</v>
      </c>
      <c r="Y8" s="34">
        <f>'SER_se-appl'!Y20</f>
        <v>2704.0580043907321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128.20132154023509</v>
      </c>
      <c r="D9" s="36">
        <f>'SER_se-appl'!D28</f>
        <v>111.1565249372652</v>
      </c>
      <c r="E9" s="36">
        <f>'SER_se-appl'!E28</f>
        <v>110.63151264426324</v>
      </c>
      <c r="F9" s="36">
        <f>'SER_se-appl'!F28</f>
        <v>128.03284082595223</v>
      </c>
      <c r="G9" s="36">
        <f>'SER_se-appl'!G28</f>
        <v>121.88436381416136</v>
      </c>
      <c r="H9" s="36">
        <f>'SER_se-appl'!H28</f>
        <v>161.6182452192495</v>
      </c>
      <c r="I9" s="36">
        <f>'SER_se-appl'!I28</f>
        <v>164.0785819115431</v>
      </c>
      <c r="J9" s="36">
        <f>'SER_se-appl'!J28</f>
        <v>144.11140664528807</v>
      </c>
      <c r="K9" s="36">
        <f>'SER_se-appl'!K28</f>
        <v>118.26816885332937</v>
      </c>
      <c r="L9" s="36">
        <f>'SER_se-appl'!L28</f>
        <v>159.72045945139553</v>
      </c>
      <c r="M9" s="36">
        <f>'SER_se-appl'!M28</f>
        <v>123.20854894604008</v>
      </c>
      <c r="N9" s="36">
        <f>'SER_se-appl'!N28</f>
        <v>146.47561572961013</v>
      </c>
      <c r="O9" s="36">
        <f>'SER_se-appl'!O28</f>
        <v>151.52851268495942</v>
      </c>
      <c r="P9" s="36">
        <f>'SER_se-appl'!P28</f>
        <v>157.39157192029688</v>
      </c>
      <c r="Q9" s="36">
        <f>'SER_se-appl'!Q28</f>
        <v>166.79686396533862</v>
      </c>
      <c r="R9" s="36">
        <f>'SER_se-appl'!R28</f>
        <v>168.62184556001375</v>
      </c>
      <c r="S9" s="36">
        <f>'SER_se-appl'!S28</f>
        <v>163.12593009228749</v>
      </c>
      <c r="T9" s="36">
        <f>'SER_se-appl'!T28</f>
        <v>162.28050215303756</v>
      </c>
      <c r="U9" s="36">
        <f>'SER_se-appl'!U28</f>
        <v>164.32586559869424</v>
      </c>
      <c r="V9" s="36">
        <f>'SER_se-appl'!V28</f>
        <v>142.07799325389169</v>
      </c>
      <c r="W9" s="36">
        <f>'SER_se-appl'!W28</f>
        <v>135.09291337554987</v>
      </c>
      <c r="X9" s="36">
        <f>'SER_se-appl'!X28</f>
        <v>143.31868110306959</v>
      </c>
      <c r="Y9" s="36">
        <f>'SER_se-appl'!Y28</f>
        <v>132.0162979271372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75.322100314540876</v>
      </c>
      <c r="D10" s="38">
        <f>'SER_se-appl'!D36</f>
        <v>77.452630685702843</v>
      </c>
      <c r="E10" s="38">
        <f>'SER_se-appl'!E36</f>
        <v>79.643424374582992</v>
      </c>
      <c r="F10" s="38">
        <f>'SER_se-appl'!F36</f>
        <v>81.896185964937104</v>
      </c>
      <c r="G10" s="38">
        <f>'SER_se-appl'!G36</f>
        <v>84.212668255685912</v>
      </c>
      <c r="H10" s="38">
        <f>'SER_se-appl'!H36</f>
        <v>86.594673624709003</v>
      </c>
      <c r="I10" s="38">
        <f>'SER_se-appl'!I36</f>
        <v>89.044055431215384</v>
      </c>
      <c r="J10" s="38">
        <f>'SER_se-appl'!J36</f>
        <v>91.562719457781895</v>
      </c>
      <c r="K10" s="38">
        <f>'SER_se-appl'!K36</f>
        <v>94.152625393176095</v>
      </c>
      <c r="L10" s="38">
        <f>'SER_se-appl'!L36</f>
        <v>96.81578835712844</v>
      </c>
      <c r="M10" s="38">
        <f>'SER_se-appl'!M36</f>
        <v>99.554280468228626</v>
      </c>
      <c r="N10" s="38">
        <f>'SER_se-appl'!N36</f>
        <v>102.37023245617138</v>
      </c>
      <c r="O10" s="38">
        <f>'SER_se-appl'!O36</f>
        <v>105.26583531960705</v>
      </c>
      <c r="P10" s="38">
        <f>'SER_se-appl'!P36</f>
        <v>108.2433420308862</v>
      </c>
      <c r="Q10" s="38">
        <f>'SER_se-appl'!Q36</f>
        <v>111.30506928901923</v>
      </c>
      <c r="R10" s="38">
        <f>'SER_se-appl'!R36</f>
        <v>114.45339932222714</v>
      </c>
      <c r="S10" s="38">
        <f>'SER_se-appl'!S36</f>
        <v>117.69078174146989</v>
      </c>
      <c r="T10" s="38">
        <f>'SER_se-appl'!T36</f>
        <v>121.01973544641078</v>
      </c>
      <c r="U10" s="38">
        <f>'SER_se-appl'!U36</f>
        <v>128.20132154023531</v>
      </c>
      <c r="V10" s="38">
        <f>'SER_se-appl'!V36</f>
        <v>111.1565249372652</v>
      </c>
      <c r="W10" s="38">
        <f>'SER_se-appl'!W36</f>
        <v>110.63151264426324</v>
      </c>
      <c r="X10" s="38">
        <f>'SER_se-appl'!X36</f>
        <v>128.03284082595246</v>
      </c>
      <c r="Y10" s="38">
        <f>'SER_se-appl'!Y36</f>
        <v>121.88436381416113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8759.9999999999964</v>
      </c>
      <c r="C12" s="204">
        <f>'SER_se-appl'!C44</f>
        <v>8760</v>
      </c>
      <c r="D12" s="204">
        <f>'SER_se-appl'!D44</f>
        <v>8760</v>
      </c>
      <c r="E12" s="204">
        <f>'SER_se-appl'!E44</f>
        <v>8759.9999999999982</v>
      </c>
      <c r="F12" s="204">
        <f>'SER_se-appl'!F44</f>
        <v>8759.9999999999982</v>
      </c>
      <c r="G12" s="204">
        <f>'SER_se-appl'!G44</f>
        <v>8760</v>
      </c>
      <c r="H12" s="204">
        <f>'SER_se-appl'!H44</f>
        <v>8760</v>
      </c>
      <c r="I12" s="204">
        <f>'SER_se-appl'!I44</f>
        <v>8759.9999999999982</v>
      </c>
      <c r="J12" s="204">
        <f>'SER_se-appl'!J44</f>
        <v>8759.9999999999982</v>
      </c>
      <c r="K12" s="204">
        <f>'SER_se-appl'!K44</f>
        <v>8760</v>
      </c>
      <c r="L12" s="204">
        <f>'SER_se-appl'!L44</f>
        <v>8759.9999999999982</v>
      </c>
      <c r="M12" s="204">
        <f>'SER_se-appl'!M44</f>
        <v>8760</v>
      </c>
      <c r="N12" s="204">
        <f>'SER_se-appl'!N44</f>
        <v>8759.9999999999964</v>
      </c>
      <c r="O12" s="204">
        <f>'SER_se-appl'!O44</f>
        <v>8759.9999999999964</v>
      </c>
      <c r="P12" s="204">
        <f>'SER_se-appl'!P44</f>
        <v>8759.9999999999927</v>
      </c>
      <c r="Q12" s="204">
        <f>'SER_se-appl'!Q44</f>
        <v>8759.9999999999964</v>
      </c>
      <c r="R12" s="204">
        <f>'SER_se-appl'!R44</f>
        <v>8759.9999999999982</v>
      </c>
      <c r="S12" s="204">
        <f>'SER_se-appl'!S44</f>
        <v>8759.9999999999982</v>
      </c>
      <c r="T12" s="204">
        <f>'SER_se-appl'!T44</f>
        <v>8759.9999999999982</v>
      </c>
      <c r="U12" s="204">
        <f>'SER_se-appl'!U44</f>
        <v>8759.9999999999982</v>
      </c>
      <c r="V12" s="204">
        <f>'SER_se-appl'!V44</f>
        <v>8759.9999999999982</v>
      </c>
      <c r="W12" s="204">
        <f>'SER_se-appl'!W44</f>
        <v>8760.0000000000055</v>
      </c>
      <c r="X12" s="204">
        <f>'SER_se-appl'!X44</f>
        <v>8760.0000000000055</v>
      </c>
      <c r="Y12" s="204">
        <f>'SER_se-appl'!Y44</f>
        <v>8760.0000000000055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0.65330486079201033</v>
      </c>
      <c r="C14" s="59">
        <f>'SER_se-appl'!C52</f>
        <v>0.64847966060143991</v>
      </c>
      <c r="D14" s="59">
        <f>'SER_se-appl'!D52</f>
        <v>0.64401624011862235</v>
      </c>
      <c r="E14" s="59">
        <f>'SER_se-appl'!E52</f>
        <v>0.63934071141788806</v>
      </c>
      <c r="F14" s="59">
        <f>'SER_se-appl'!F52</f>
        <v>0.63381626215216669</v>
      </c>
      <c r="G14" s="59">
        <f>'SER_se-appl'!G52</f>
        <v>0.62832072035509645</v>
      </c>
      <c r="H14" s="59">
        <f>'SER_se-appl'!H52</f>
        <v>0.62124923615824923</v>
      </c>
      <c r="I14" s="59">
        <f>'SER_se-appl'!I52</f>
        <v>0.61404431180721386</v>
      </c>
      <c r="J14" s="59">
        <f>'SER_se-appl'!J52</f>
        <v>0.60743535116106373</v>
      </c>
      <c r="K14" s="59">
        <f>'SER_se-appl'!K52</f>
        <v>0.60147167248073918</v>
      </c>
      <c r="L14" s="59">
        <f>'SER_se-appl'!L52</f>
        <v>0.5939077661297778</v>
      </c>
      <c r="M14" s="59">
        <f>'SER_se-appl'!M52</f>
        <v>0.58718676231296363</v>
      </c>
      <c r="N14" s="59">
        <f>'SER_se-appl'!N52</f>
        <v>0.57932513693987631</v>
      </c>
      <c r="O14" s="59">
        <f>'SER_se-appl'!O52</f>
        <v>0.57089397417842569</v>
      </c>
      <c r="P14" s="59">
        <f>'SER_se-appl'!P52</f>
        <v>0.56183855976727315</v>
      </c>
      <c r="Q14" s="59">
        <f>'SER_se-appl'!Q52</f>
        <v>0.55210700852053551</v>
      </c>
      <c r="R14" s="59">
        <f>'SER_se-appl'!R52</f>
        <v>0.54240782790723774</v>
      </c>
      <c r="S14" s="59">
        <f>'SER_se-appl'!S52</f>
        <v>0.53279279492652953</v>
      </c>
      <c r="T14" s="59">
        <f>'SER_se-appl'!T52</f>
        <v>0.5230976788767705</v>
      </c>
      <c r="U14" s="59">
        <f>'SER_se-appl'!U52</f>
        <v>0.51633428790779334</v>
      </c>
      <c r="V14" s="59">
        <f>'SER_se-appl'!V52</f>
        <v>0.51072462767121074</v>
      </c>
      <c r="W14" s="59">
        <f>'SER_se-appl'!W52</f>
        <v>0.50549636268214726</v>
      </c>
      <c r="X14" s="59">
        <f>'SER_se-appl'!X52</f>
        <v>0.49990826294258506</v>
      </c>
      <c r="Y14" s="59">
        <f>'SER_se-appl'!Y52</f>
        <v>0.49486487538377427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0.58595303325832171</v>
      </c>
      <c r="D15" s="63">
        <f>'SER_se-appl'!D60</f>
        <v>0.57863305105852392</v>
      </c>
      <c r="E15" s="63">
        <f>'SER_se-appl'!E60</f>
        <v>0.57234180651582089</v>
      </c>
      <c r="F15" s="63">
        <f>'SER_se-appl'!F60</f>
        <v>0.56627710349994842</v>
      </c>
      <c r="G15" s="63">
        <f>'SER_se-appl'!G60</f>
        <v>0.55990146304676336</v>
      </c>
      <c r="H15" s="63">
        <f>'SER_se-appl'!H60</f>
        <v>0.55362975281033078</v>
      </c>
      <c r="I15" s="63">
        <f>'SER_se-appl'!I60</f>
        <v>0.5469568628903736</v>
      </c>
      <c r="J15" s="63">
        <f>'SER_se-appl'!J60</f>
        <v>0.54082148023218712</v>
      </c>
      <c r="K15" s="63">
        <f>'SER_se-appl'!K60</f>
        <v>0.53479662597993471</v>
      </c>
      <c r="L15" s="63">
        <f>'SER_se-appl'!L60</f>
        <v>0.52739767474152455</v>
      </c>
      <c r="M15" s="63">
        <f>'SER_se-appl'!M60</f>
        <v>0.51909563174534357</v>
      </c>
      <c r="N15" s="63">
        <f>'SER_se-appl'!N60</f>
        <v>0.51019933691440411</v>
      </c>
      <c r="O15" s="63">
        <f>'SER_se-appl'!O60</f>
        <v>0.5004283485464659</v>
      </c>
      <c r="P15" s="63">
        <f>'SER_se-appl'!P60</f>
        <v>0.49001897250533749</v>
      </c>
      <c r="Q15" s="63">
        <f>'SER_se-appl'!Q60</f>
        <v>0.48015043001561031</v>
      </c>
      <c r="R15" s="63">
        <f>'SER_se-appl'!R60</f>
        <v>0.47696994140794752</v>
      </c>
      <c r="S15" s="63">
        <f>'SER_se-appl'!S60</f>
        <v>0.47235713009522234</v>
      </c>
      <c r="T15" s="63">
        <f>'SER_se-appl'!T60</f>
        <v>0.46810101478347482</v>
      </c>
      <c r="U15" s="63">
        <f>'SER_se-appl'!U60</f>
        <v>0.46416614298317199</v>
      </c>
      <c r="V15" s="63">
        <f>'SER_se-appl'!V60</f>
        <v>0.46027967144530607</v>
      </c>
      <c r="W15" s="63">
        <f>'SER_se-appl'!W60</f>
        <v>0.45751799341663424</v>
      </c>
      <c r="X15" s="63">
        <f>'SER_se-appl'!X60</f>
        <v>0.45475631538796241</v>
      </c>
      <c r="Y15" s="63">
        <f>'SER_se-appl'!Y60</f>
        <v>0.45199463735929057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437.9421758484757</v>
      </c>
      <c r="C3" s="198">
        <f>'SER_se-appl'!C5</f>
        <v>445.57934535682244</v>
      </c>
      <c r="D3" s="198">
        <f>'SER_se-appl'!D5</f>
        <v>452.15968847812417</v>
      </c>
      <c r="E3" s="198">
        <f>'SER_se-appl'!E5</f>
        <v>455.1904734722869</v>
      </c>
      <c r="F3" s="198">
        <f>'SER_se-appl'!F5</f>
        <v>456.88839355640926</v>
      </c>
      <c r="G3" s="198">
        <f>'SER_se-appl'!G5</f>
        <v>458.63785202048103</v>
      </c>
      <c r="H3" s="198">
        <f>'SER_se-appl'!H5</f>
        <v>457.27064839679537</v>
      </c>
      <c r="I3" s="198">
        <f>'SER_se-appl'!I5</f>
        <v>453.12303624067556</v>
      </c>
      <c r="J3" s="198">
        <f>'SER_se-appl'!J5</f>
        <v>453.22981632702908</v>
      </c>
      <c r="K3" s="198">
        <f>'SER_se-appl'!K5</f>
        <v>454.03196184727403</v>
      </c>
      <c r="L3" s="198">
        <f>'SER_se-appl'!L5</f>
        <v>460.94247732876448</v>
      </c>
      <c r="M3" s="198">
        <f>'SER_se-appl'!M5</f>
        <v>464.11205789080742</v>
      </c>
      <c r="N3" s="198">
        <f>'SER_se-appl'!N5</f>
        <v>468.37127212572142</v>
      </c>
      <c r="O3" s="198">
        <f>'SER_se-appl'!O5</f>
        <v>472.38859903236852</v>
      </c>
      <c r="P3" s="198">
        <f>'SER_se-appl'!P5</f>
        <v>482.94268594898284</v>
      </c>
      <c r="Q3" s="198">
        <f>'SER_se-appl'!Q5</f>
        <v>491.4442506292641</v>
      </c>
      <c r="R3" s="198">
        <f>'SER_se-appl'!R5</f>
        <v>489.13732231697355</v>
      </c>
      <c r="S3" s="198">
        <f>'SER_se-appl'!S5</f>
        <v>492.37958722521597</v>
      </c>
      <c r="T3" s="198">
        <f>'SER_se-appl'!T5</f>
        <v>486.16653366500049</v>
      </c>
      <c r="U3" s="198">
        <f>'SER_se-appl'!U5</f>
        <v>473.93613038632424</v>
      </c>
      <c r="V3" s="198">
        <f>'SER_se-appl'!V5</f>
        <v>462.71455266351586</v>
      </c>
      <c r="W3" s="198">
        <f>'SER_se-appl'!W5</f>
        <v>451.09627769986946</v>
      </c>
      <c r="X3" s="198">
        <f>'SER_se-appl'!X5</f>
        <v>439.21265737486254</v>
      </c>
      <c r="Y3" s="198">
        <f>'SER_se-appl'!Y5</f>
        <v>427.26393427659951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1330.5208754377318</v>
      </c>
      <c r="C5" s="59">
        <f>'SER_se-appl'!C13</f>
        <v>1353.7957510108877</v>
      </c>
      <c r="D5" s="59">
        <f>'SER_se-appl'!D13</f>
        <v>1374.2561422453073</v>
      </c>
      <c r="E5" s="59">
        <f>'SER_se-appl'!E13</f>
        <v>1386.2018609993459</v>
      </c>
      <c r="F5" s="59">
        <f>'SER_se-appl'!F13</f>
        <v>1392.8317567183235</v>
      </c>
      <c r="G5" s="59">
        <f>'SER_se-appl'!G13</f>
        <v>1400.0141562774604</v>
      </c>
      <c r="H5" s="59">
        <f>'SER_se-appl'!H13</f>
        <v>1396.1609760690903</v>
      </c>
      <c r="I5" s="59">
        <f>'SER_se-appl'!I13</f>
        <v>1385.5155926441898</v>
      </c>
      <c r="J5" s="59">
        <f>'SER_se-appl'!J13</f>
        <v>1388.2975180178794</v>
      </c>
      <c r="K5" s="59">
        <f>'SER_se-appl'!K13</f>
        <v>1393.7120885820175</v>
      </c>
      <c r="L5" s="59">
        <f>'SER_se-appl'!L13</f>
        <v>1416.4308816822847</v>
      </c>
      <c r="M5" s="59">
        <f>'SER_se-appl'!M13</f>
        <v>1429.5275246220026</v>
      </c>
      <c r="N5" s="59">
        <f>'SER_se-appl'!N13</f>
        <v>1449.8562475058009</v>
      </c>
      <c r="O5" s="59">
        <f>'SER_se-appl'!O13</f>
        <v>1471.5713493586065</v>
      </c>
      <c r="P5" s="59">
        <f>'SER_se-appl'!P13</f>
        <v>1516.2364781687527</v>
      </c>
      <c r="Q5" s="59">
        <f>'SER_se-appl'!Q13</f>
        <v>1555.1889003784347</v>
      </c>
      <c r="R5" s="59">
        <f>'SER_se-appl'!R13</f>
        <v>1566.4332040179556</v>
      </c>
      <c r="S5" s="59">
        <f>'SER_se-appl'!S13</f>
        <v>1561.5745376483731</v>
      </c>
      <c r="T5" s="59">
        <f>'SER_se-appl'!T13</f>
        <v>1550.4276930227995</v>
      </c>
      <c r="U5" s="59">
        <f>'SER_se-appl'!U13</f>
        <v>1527.2979452643276</v>
      </c>
      <c r="V5" s="59">
        <f>'SER_se-appl'!V13</f>
        <v>1495.0033342687955</v>
      </c>
      <c r="W5" s="59">
        <f>'SER_se-appl'!W13</f>
        <v>1452.3571033687431</v>
      </c>
      <c r="X5" s="59">
        <f>'SER_se-appl'!X13</f>
        <v>1414.5753853473573</v>
      </c>
      <c r="Y5" s="59">
        <f>'SER_se-appl'!Y13</f>
        <v>1376.5583157042547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9.1196535243621146E-2</v>
      </c>
      <c r="C6" s="201">
        <f>'SER_se-appl'!C69</f>
        <v>9.3593086759243382E-2</v>
      </c>
      <c r="D6" s="201">
        <f>'SER_se-appl'!D69</f>
        <v>9.5919331574088051E-2</v>
      </c>
      <c r="E6" s="201">
        <f>'SER_se-appl'!E69</f>
        <v>9.797676344931143E-2</v>
      </c>
      <c r="F6" s="201">
        <f>'SER_se-appl'!F69</f>
        <v>0.10006056262408509</v>
      </c>
      <c r="G6" s="201">
        <f>'SER_se-appl'!G69</f>
        <v>0.10247414562558367</v>
      </c>
      <c r="H6" s="201">
        <f>'SER_se-appl'!H69</f>
        <v>0.10440400843727593</v>
      </c>
      <c r="I6" s="201">
        <f>'SER_se-appl'!I69</f>
        <v>0.1062069137593693</v>
      </c>
      <c r="J6" s="201">
        <f>'SER_se-appl'!J69</f>
        <v>0.10811210615607629</v>
      </c>
      <c r="K6" s="201">
        <f>'SER_se-appl'!K69</f>
        <v>0.11050121860310655</v>
      </c>
      <c r="L6" s="201">
        <f>'SER_se-appl'!L69</f>
        <v>0.11447211713827847</v>
      </c>
      <c r="M6" s="201">
        <f>'SER_se-appl'!M69</f>
        <v>0.12000893264335791</v>
      </c>
      <c r="N6" s="201">
        <f>'SER_se-appl'!N69</f>
        <v>0.12462994772572544</v>
      </c>
      <c r="O6" s="201">
        <f>'SER_se-appl'!O69</f>
        <v>0.12980654772595401</v>
      </c>
      <c r="P6" s="201">
        <f>'SER_se-appl'!P69</f>
        <v>0.13832889407565427</v>
      </c>
      <c r="Q6" s="201">
        <f>'SER_se-appl'!Q69</f>
        <v>0.14711622798331783</v>
      </c>
      <c r="R6" s="201">
        <f>'SER_se-appl'!R69</f>
        <v>0.15286742048912982</v>
      </c>
      <c r="S6" s="201">
        <f>'SER_se-appl'!S69</f>
        <v>0.15911805363187834</v>
      </c>
      <c r="T6" s="201">
        <f>'SER_se-appl'!T69</f>
        <v>0.16506887627560463</v>
      </c>
      <c r="U6" s="201">
        <f>'SER_se-appl'!U69</f>
        <v>0.17055290420118319</v>
      </c>
      <c r="V6" s="201">
        <f>'SER_se-appl'!V69</f>
        <v>0.17544768812031566</v>
      </c>
      <c r="W6" s="201">
        <f>'SER_se-appl'!W69</f>
        <v>0.17965130652462108</v>
      </c>
      <c r="X6" s="201">
        <f>'SER_se-appl'!X69</f>
        <v>0.1826536230164689</v>
      </c>
      <c r="Y6" s="201">
        <f>'SER_se-appl'!Y69</f>
        <v>0.18478504873212856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7493.0242435758846</v>
      </c>
      <c r="C8" s="34">
        <f>'SER_se-appl'!C21</f>
        <v>7698.9242639954518</v>
      </c>
      <c r="D8" s="34">
        <f>'SER_se-appl'!D21</f>
        <v>7907.6193340412747</v>
      </c>
      <c r="E8" s="34">
        <f>'SER_se-appl'!E21</f>
        <v>8086.6767722515142</v>
      </c>
      <c r="F8" s="34">
        <f>'SER_se-appl'!F21</f>
        <v>8258.1654345658881</v>
      </c>
      <c r="G8" s="34">
        <f>'SER_se-appl'!G21</f>
        <v>8454.2040146602903</v>
      </c>
      <c r="H8" s="34">
        <f>'SER_se-appl'!H21</f>
        <v>8606.8571255321112</v>
      </c>
      <c r="I8" s="34">
        <f>'SER_se-appl'!I21</f>
        <v>8742.4121226525895</v>
      </c>
      <c r="J8" s="34">
        <f>'SER_se-appl'!J21</f>
        <v>8888.7435216669783</v>
      </c>
      <c r="K8" s="34">
        <f>'SER_se-appl'!K21</f>
        <v>9061.3602663257661</v>
      </c>
      <c r="L8" s="34">
        <f>'SER_se-appl'!L21</f>
        <v>9364.0775454795603</v>
      </c>
      <c r="M8" s="34">
        <f>'SER_se-appl'!M21</f>
        <v>9627.3643950960795</v>
      </c>
      <c r="N8" s="34">
        <f>'SER_se-appl'!N21</f>
        <v>10011.2619779173</v>
      </c>
      <c r="O8" s="34">
        <f>'SER_se-appl'!O21</f>
        <v>10452.509478221598</v>
      </c>
      <c r="P8" s="34">
        <f>'SER_se-appl'!P21</f>
        <v>11172.473834086324</v>
      </c>
      <c r="Q8" s="34">
        <f>'SER_se-appl'!Q21</f>
        <v>11945.475364975884</v>
      </c>
      <c r="R8" s="34">
        <f>'SER_se-appl'!R21</f>
        <v>12561.984840009858</v>
      </c>
      <c r="S8" s="34">
        <f>'SER_se-appl'!S21</f>
        <v>13130.684807845253</v>
      </c>
      <c r="T8" s="34">
        <f>'SER_se-appl'!T21</f>
        <v>13666.440343785431</v>
      </c>
      <c r="U8" s="34">
        <f>'SER_se-appl'!U21</f>
        <v>14159.167881646623</v>
      </c>
      <c r="V8" s="34">
        <f>'SER_se-appl'!V21</f>
        <v>14591.407173520427</v>
      </c>
      <c r="W8" s="34">
        <f>'SER_se-appl'!W21</f>
        <v>14938.909963245367</v>
      </c>
      <c r="X8" s="34">
        <f>'SER_se-appl'!X21</f>
        <v>15203.562268071077</v>
      </c>
      <c r="Y8" s="34">
        <f>'SER_se-appl'!Y21</f>
        <v>15359.056257826478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1145.8581723195266</v>
      </c>
      <c r="D9" s="36">
        <f>'SER_se-appl'!D29</f>
        <v>1189.1136092192692</v>
      </c>
      <c r="E9" s="36">
        <f>'SER_se-appl'!E29</f>
        <v>1201.6779772332347</v>
      </c>
      <c r="F9" s="36">
        <f>'SER_se-appl'!F29</f>
        <v>1238.1277812699527</v>
      </c>
      <c r="G9" s="36">
        <f>'SER_se-appl'!G29</f>
        <v>1308.5910535400299</v>
      </c>
      <c r="H9" s="36">
        <f>'SER_se-appl'!H29</f>
        <v>1313.0952737112766</v>
      </c>
      <c r="I9" s="36">
        <f>'SER_se-appl'!I29</f>
        <v>1345.9482553593007</v>
      </c>
      <c r="J9" s="36">
        <f>'SER_se-appl'!J29</f>
        <v>1292.1895713339154</v>
      </c>
      <c r="K9" s="36">
        <f>'SER_se-appl'!K29</f>
        <v>1361.730353878057</v>
      </c>
      <c r="L9" s="36">
        <f>'SER_se-appl'!L29</f>
        <v>1504.3952563870289</v>
      </c>
      <c r="M9" s="36">
        <f>'SER_se-appl'!M29</f>
        <v>1501.414630886472</v>
      </c>
      <c r="N9" s="36">
        <f>'SER_se-appl'!N29</f>
        <v>1692.4886363612495</v>
      </c>
      <c r="O9" s="36">
        <f>'SER_se-appl'!O29</f>
        <v>1754.3427740155748</v>
      </c>
      <c r="P9" s="36">
        <f>'SER_se-appl'!P29</f>
        <v>2065.9126112240265</v>
      </c>
      <c r="Q9" s="36">
        <f>'SER_se-appl'!Q29</f>
        <v>2065.1911022234763</v>
      </c>
      <c r="R9" s="36">
        <f>'SER_se-appl'!R29</f>
        <v>1978.2398289120301</v>
      </c>
      <c r="S9" s="36">
        <f>'SER_se-appl'!S29</f>
        <v>2073.095224222423</v>
      </c>
      <c r="T9" s="36">
        <f>'SER_se-appl'!T29</f>
        <v>2037.1701668266505</v>
      </c>
      <c r="U9" s="36">
        <f>'SER_se-appl'!U29</f>
        <v>2185.2161742224416</v>
      </c>
      <c r="V9" s="36">
        <f>'SER_se-appl'!V29</f>
        <v>2186.582065889379</v>
      </c>
      <c r="W9" s="36">
        <f>'SER_se-appl'!W29</f>
        <v>2413.4154009489666</v>
      </c>
      <c r="X9" s="36">
        <f>'SER_se-appl'!X29</f>
        <v>2329.8434070491858</v>
      </c>
      <c r="Y9" s="36">
        <f>'SER_se-appl'!Y29</f>
        <v>2133.7338186674315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939.95815189996028</v>
      </c>
      <c r="D10" s="38">
        <f>'SER_se-appl'!D37</f>
        <v>980.41853917344724</v>
      </c>
      <c r="E10" s="38">
        <f>'SER_se-appl'!E37</f>
        <v>1022.6205390229952</v>
      </c>
      <c r="F10" s="38">
        <f>'SER_se-appl'!F37</f>
        <v>1066.6391189555779</v>
      </c>
      <c r="G10" s="38">
        <f>'SER_se-appl'!G37</f>
        <v>1112.5524734456285</v>
      </c>
      <c r="H10" s="38">
        <f>'SER_se-appl'!H37</f>
        <v>1160.4421628394557</v>
      </c>
      <c r="I10" s="38">
        <f>'SER_se-appl'!I37</f>
        <v>1210.3932582388225</v>
      </c>
      <c r="J10" s="38">
        <f>'SER_se-appl'!J37</f>
        <v>1145.8581723195257</v>
      </c>
      <c r="K10" s="38">
        <f>'SER_se-appl'!K37</f>
        <v>1189.1136092192683</v>
      </c>
      <c r="L10" s="38">
        <f>'SER_se-appl'!L37</f>
        <v>1201.6779772332357</v>
      </c>
      <c r="M10" s="38">
        <f>'SER_se-appl'!M37</f>
        <v>1238.1277812699518</v>
      </c>
      <c r="N10" s="38">
        <f>'SER_se-appl'!N37</f>
        <v>1308.591053540029</v>
      </c>
      <c r="O10" s="38">
        <f>'SER_se-appl'!O37</f>
        <v>1313.0952737112766</v>
      </c>
      <c r="P10" s="38">
        <f>'SER_se-appl'!P37</f>
        <v>1345.9482553593007</v>
      </c>
      <c r="Q10" s="38">
        <f>'SER_se-appl'!Q37</f>
        <v>1292.1895713339163</v>
      </c>
      <c r="R10" s="38">
        <f>'SER_se-appl'!R37</f>
        <v>1361.7303538780561</v>
      </c>
      <c r="S10" s="38">
        <f>'SER_se-appl'!S37</f>
        <v>1504.395256387028</v>
      </c>
      <c r="T10" s="38">
        <f>'SER_se-appl'!T37</f>
        <v>1501.4146308864729</v>
      </c>
      <c r="U10" s="38">
        <f>'SER_se-appl'!U37</f>
        <v>1692.4886363612495</v>
      </c>
      <c r="V10" s="38">
        <f>'SER_se-appl'!V37</f>
        <v>1754.3427740155748</v>
      </c>
      <c r="W10" s="38">
        <f>'SER_se-appl'!W37</f>
        <v>2065.9126112240247</v>
      </c>
      <c r="X10" s="38">
        <f>'SER_se-appl'!X37</f>
        <v>2065.1911022234744</v>
      </c>
      <c r="Y10" s="38">
        <f>'SER_se-appl'!Y37</f>
        <v>1978.2398289120301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3828.0252487148114</v>
      </c>
      <c r="C12" s="204">
        <f>'SER_se-appl'!C45</f>
        <v>3827.8209860167958</v>
      </c>
      <c r="D12" s="204">
        <f>'SER_se-appl'!D45</f>
        <v>3826.518954762591</v>
      </c>
      <c r="E12" s="204">
        <f>'SER_se-appl'!E45</f>
        <v>3818.9713601064013</v>
      </c>
      <c r="F12" s="204">
        <f>'SER_se-appl'!F45</f>
        <v>3814.9704667709034</v>
      </c>
      <c r="G12" s="204">
        <f>'SER_se-appl'!G45</f>
        <v>3809.9316318206493</v>
      </c>
      <c r="H12" s="204">
        <f>'SER_se-appl'!H45</f>
        <v>3809.0576459369263</v>
      </c>
      <c r="I12" s="204">
        <f>'SER_se-appl'!I45</f>
        <v>3803.5089171547011</v>
      </c>
      <c r="J12" s="204">
        <f>'SER_se-appl'!J45</f>
        <v>3796.7818104357257</v>
      </c>
      <c r="K12" s="204">
        <f>'SER_se-appl'!K45</f>
        <v>3788.724916389398</v>
      </c>
      <c r="L12" s="204">
        <f>'SER_se-appl'!L45</f>
        <v>3784.6965077227023</v>
      </c>
      <c r="M12" s="204">
        <f>'SER_se-appl'!M45</f>
        <v>3775.8092378790234</v>
      </c>
      <c r="N12" s="204">
        <f>'SER_se-appl'!N45</f>
        <v>3757.0330880685096</v>
      </c>
      <c r="O12" s="204">
        <f>'SER_se-appl'!O45</f>
        <v>3733.3421917605201</v>
      </c>
      <c r="P12" s="204">
        <f>'SER_se-appl'!P45</f>
        <v>3704.3188964627702</v>
      </c>
      <c r="Q12" s="204">
        <f>'SER_se-appl'!Q45</f>
        <v>3675.1140864158374</v>
      </c>
      <c r="R12" s="204">
        <f>'SER_se-appl'!R45</f>
        <v>3631.605257060929</v>
      </c>
      <c r="S12" s="204">
        <f>'SER_se-appl'!S45</f>
        <v>3667.0517233540445</v>
      </c>
      <c r="T12" s="204">
        <f>'SER_se-appl'!T45</f>
        <v>3646.8110134825943</v>
      </c>
      <c r="U12" s="204">
        <f>'SER_se-appl'!U45</f>
        <v>3608.9076224344794</v>
      </c>
      <c r="V12" s="204">
        <f>'SER_se-appl'!V45</f>
        <v>3599.5707328028884</v>
      </c>
      <c r="W12" s="204">
        <f>'SER_se-appl'!W45</f>
        <v>3612.2312463517428</v>
      </c>
      <c r="X12" s="204">
        <f>'SER_se-appl'!X45</f>
        <v>3611.0081217165684</v>
      </c>
      <c r="Y12" s="204">
        <f>'SER_se-appl'!Y45</f>
        <v>3609.7849970813941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177.56793948430752</v>
      </c>
      <c r="C14" s="59">
        <f>'SER_se-appl'!C53</f>
        <v>175.84219620681378</v>
      </c>
      <c r="D14" s="59">
        <f>'SER_se-appl'!D53</f>
        <v>173.7888590981249</v>
      </c>
      <c r="E14" s="59">
        <f>'SER_se-appl'!E53</f>
        <v>171.41798788792144</v>
      </c>
      <c r="F14" s="59">
        <f>'SER_se-appl'!F53</f>
        <v>168.66115940090046</v>
      </c>
      <c r="G14" s="59">
        <f>'SER_se-appl'!G53</f>
        <v>165.59976005425466</v>
      </c>
      <c r="H14" s="59">
        <f>'SER_se-appl'!H53</f>
        <v>162.21495903857868</v>
      </c>
      <c r="I14" s="59">
        <f>'SER_se-appl'!I53</f>
        <v>158.4820725911743</v>
      </c>
      <c r="J14" s="59">
        <f>'SER_se-appl'!J53</f>
        <v>156.18602501397416</v>
      </c>
      <c r="K14" s="59">
        <f>'SER_se-appl'!K53</f>
        <v>153.80826361814493</v>
      </c>
      <c r="L14" s="59">
        <f>'SER_se-appl'!L53</f>
        <v>151.26219051507709</v>
      </c>
      <c r="M14" s="59">
        <f>'SER_se-appl'!M53</f>
        <v>148.48586445425971</v>
      </c>
      <c r="N14" s="59">
        <f>'SER_se-appl'!N53</f>
        <v>144.82252594167181</v>
      </c>
      <c r="O14" s="59">
        <f>'SER_se-appl'!O53</f>
        <v>140.78641616395657</v>
      </c>
      <c r="P14" s="59">
        <f>'SER_se-appl'!P53</f>
        <v>135.71179496011317</v>
      </c>
      <c r="Q14" s="59">
        <f>'SER_se-appl'!Q53</f>
        <v>130.19062472291779</v>
      </c>
      <c r="R14" s="59">
        <f>'SER_se-appl'!R53</f>
        <v>124.69631383639899</v>
      </c>
      <c r="S14" s="59">
        <f>'SER_se-appl'!S53</f>
        <v>118.92559759833483</v>
      </c>
      <c r="T14" s="59">
        <f>'SER_se-appl'!T53</f>
        <v>113.44780747737495</v>
      </c>
      <c r="U14" s="59">
        <f>'SER_se-appl'!U53</f>
        <v>107.86636319525807</v>
      </c>
      <c r="V14" s="59">
        <f>'SER_se-appl'!V53</f>
        <v>102.45779015623894</v>
      </c>
      <c r="W14" s="59">
        <f>'SER_se-appl'!W53</f>
        <v>97.219750767761454</v>
      </c>
      <c r="X14" s="59">
        <f>'SER_se-appl'!X53</f>
        <v>93.042364704099626</v>
      </c>
      <c r="Y14" s="59">
        <f>'SER_se-appl'!Y53</f>
        <v>89.625188722308707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165.97281618416272</v>
      </c>
      <c r="D15" s="63">
        <f>'SER_se-appl'!D61</f>
        <v>163.61034770714568</v>
      </c>
      <c r="E15" s="63">
        <f>'SER_se-appl'!E61</f>
        <v>161.05008530510901</v>
      </c>
      <c r="F15" s="63">
        <f>'SER_se-appl'!F61</f>
        <v>158.32841263298982</v>
      </c>
      <c r="G15" s="63">
        <f>'SER_se-appl'!G61</f>
        <v>156.45533360723365</v>
      </c>
      <c r="H15" s="63">
        <f>'SER_se-appl'!H61</f>
        <v>153.99045871686357</v>
      </c>
      <c r="I15" s="63">
        <f>'SER_se-appl'!I61</f>
        <v>151.77526520269632</v>
      </c>
      <c r="J15" s="63">
        <f>'SER_se-appl'!J61</f>
        <v>149.33043685068969</v>
      </c>
      <c r="K15" s="63">
        <f>'SER_se-appl'!K61</f>
        <v>146.8468857012117</v>
      </c>
      <c r="L15" s="63">
        <f>'SER_se-appl'!L61</f>
        <v>143.74489212515644</v>
      </c>
      <c r="M15" s="63">
        <f>'SER_se-appl'!M61</f>
        <v>139.28693971865795</v>
      </c>
      <c r="N15" s="63">
        <f>'SER_se-appl'!N61</f>
        <v>132.97860197438064</v>
      </c>
      <c r="O15" s="63">
        <f>'SER_se-appl'!O61</f>
        <v>127.63711214657013</v>
      </c>
      <c r="P15" s="63">
        <f>'SER_se-appl'!P61</f>
        <v>120.50208748612671</v>
      </c>
      <c r="Q15" s="63">
        <f>'SER_se-appl'!Q61</f>
        <v>112.29743104218821</v>
      </c>
      <c r="R15" s="63">
        <f>'SER_se-appl'!R61</f>
        <v>106.76671361302088</v>
      </c>
      <c r="S15" s="63">
        <f>'SER_se-appl'!S61</f>
        <v>101.9685275444385</v>
      </c>
      <c r="T15" s="63">
        <f>'SER_se-appl'!T61</f>
        <v>97.184127169808662</v>
      </c>
      <c r="U15" s="63">
        <f>'SER_se-appl'!U61</f>
        <v>92.409633126675331</v>
      </c>
      <c r="V15" s="63">
        <f>'SER_se-appl'!V61</f>
        <v>87.636607554940554</v>
      </c>
      <c r="W15" s="63">
        <f>'SER_se-appl'!W61</f>
        <v>85.480747009089015</v>
      </c>
      <c r="X15" s="63">
        <f>'SER_se-appl'!X61</f>
        <v>83.32488646323749</v>
      </c>
      <c r="Y15" s="63">
        <f>'SER_se-appl'!Y61</f>
        <v>81.169025917385952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3423.4968876492908</v>
      </c>
      <c r="C3" s="198">
        <f>'SER_se-appl'!C6</f>
        <v>3498.0883514323814</v>
      </c>
      <c r="D3" s="198">
        <f>'SER_se-appl'!D6</f>
        <v>3528.2625601217101</v>
      </c>
      <c r="E3" s="198">
        <f>'SER_se-appl'!E6</f>
        <v>3537.0383679459751</v>
      </c>
      <c r="F3" s="198">
        <f>'SER_se-appl'!F6</f>
        <v>3580.8825147027605</v>
      </c>
      <c r="G3" s="198">
        <f>'SER_se-appl'!G6</f>
        <v>3587.0706648845357</v>
      </c>
      <c r="H3" s="198">
        <f>'SER_se-appl'!H6</f>
        <v>3649.084375460814</v>
      </c>
      <c r="I3" s="198">
        <f>'SER_se-appl'!I6</f>
        <v>3716.2763678740189</v>
      </c>
      <c r="J3" s="198">
        <f>'SER_se-appl'!J6</f>
        <v>3758.063801527001</v>
      </c>
      <c r="K3" s="198">
        <f>'SER_se-appl'!K6</f>
        <v>3740.6939472475383</v>
      </c>
      <c r="L3" s="198">
        <f>'SER_se-appl'!L6</f>
        <v>3789.4407828593671</v>
      </c>
      <c r="M3" s="198">
        <f>'SER_se-appl'!M6</f>
        <v>3791.92074058652</v>
      </c>
      <c r="N3" s="198">
        <f>'SER_se-appl'!N6</f>
        <v>3792.0575860959357</v>
      </c>
      <c r="O3" s="198">
        <f>'SER_se-appl'!O6</f>
        <v>3756.5605949620644</v>
      </c>
      <c r="P3" s="198">
        <f>'SER_se-appl'!P6</f>
        <v>3769.1242648631073</v>
      </c>
      <c r="Q3" s="198">
        <f>'SER_se-appl'!Q6</f>
        <v>3786.1141479243583</v>
      </c>
      <c r="R3" s="198">
        <f>'SER_se-appl'!R6</f>
        <v>3657.6354892602208</v>
      </c>
      <c r="S3" s="198">
        <f>'SER_se-appl'!S6</f>
        <v>3602.1696902272106</v>
      </c>
      <c r="T3" s="198">
        <f>'SER_se-appl'!T6</f>
        <v>3436.6986986871029</v>
      </c>
      <c r="U3" s="198">
        <f>'SER_se-appl'!U6</f>
        <v>3244.5610866899606</v>
      </c>
      <c r="V3" s="198">
        <f>'SER_se-appl'!V6</f>
        <v>3000.7202779766189</v>
      </c>
      <c r="W3" s="198">
        <f>'SER_se-appl'!W6</f>
        <v>2931.271681240632</v>
      </c>
      <c r="X3" s="198">
        <f>'SER_se-appl'!X6</f>
        <v>2758.3649799725745</v>
      </c>
      <c r="Y3" s="198">
        <f>'SER_se-appl'!Y6</f>
        <v>2600.2490763349333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16707.233744084559</v>
      </c>
      <c r="C5" s="59">
        <f>'SER_se-appl'!C14</f>
        <v>16955.977104482899</v>
      </c>
      <c r="D5" s="59">
        <f>'SER_se-appl'!D14</f>
        <v>17023.373378526063</v>
      </c>
      <c r="E5" s="59">
        <f>'SER_se-appl'!E14</f>
        <v>17008.468263434774</v>
      </c>
      <c r="F5" s="59">
        <f>'SER_se-appl'!F14</f>
        <v>17128.141809898378</v>
      </c>
      <c r="G5" s="59">
        <f>'SER_se-appl'!G14</f>
        <v>17087.32161609417</v>
      </c>
      <c r="H5" s="59">
        <f>'SER_se-appl'!H14</f>
        <v>17263.130562134807</v>
      </c>
      <c r="I5" s="59">
        <f>'SER_se-appl'!I14</f>
        <v>17494.812302486749</v>
      </c>
      <c r="J5" s="59">
        <f>'SER_se-appl'!J14</f>
        <v>17620.087224289779</v>
      </c>
      <c r="K5" s="59">
        <f>'SER_se-appl'!K14</f>
        <v>17502.674367397351</v>
      </c>
      <c r="L5" s="59">
        <f>'SER_se-appl'!L14</f>
        <v>17678.68413860763</v>
      </c>
      <c r="M5" s="59">
        <f>'SER_se-appl'!M14</f>
        <v>17613.764038734636</v>
      </c>
      <c r="N5" s="59">
        <f>'SER_se-appl'!N14</f>
        <v>17558.679373289586</v>
      </c>
      <c r="O5" s="59">
        <f>'SER_se-appl'!O14</f>
        <v>17342.518524048228</v>
      </c>
      <c r="P5" s="59">
        <f>'SER_se-appl'!P14</f>
        <v>17333.312347281892</v>
      </c>
      <c r="Q5" s="59">
        <f>'SER_se-appl'!Q14</f>
        <v>17345.143595825983</v>
      </c>
      <c r="R5" s="59">
        <f>'SER_se-appl'!R14</f>
        <v>16911.72711922793</v>
      </c>
      <c r="S5" s="59">
        <f>'SER_se-appl'!S14</f>
        <v>16480.331880577865</v>
      </c>
      <c r="T5" s="59">
        <f>'SER_se-appl'!T14</f>
        <v>15795.881932721381</v>
      </c>
      <c r="U5" s="59">
        <f>'SER_se-appl'!U14</f>
        <v>15075.173036337215</v>
      </c>
      <c r="V5" s="59">
        <f>'SER_se-appl'!V14</f>
        <v>14282.877657098343</v>
      </c>
      <c r="W5" s="59">
        <f>'SER_se-appl'!W14</f>
        <v>13529.549973472265</v>
      </c>
      <c r="X5" s="59">
        <f>'SER_se-appl'!X14</f>
        <v>12736.949974878726</v>
      </c>
      <c r="Y5" s="59">
        <f>'SER_se-appl'!Y14</f>
        <v>12009.416597955336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135.05108513473357</v>
      </c>
      <c r="C6" s="201">
        <f>'SER_se-appl'!C70</f>
        <v>136.23309834725902</v>
      </c>
      <c r="D6" s="201">
        <f>'SER_se-appl'!D70</f>
        <v>137.67600005478846</v>
      </c>
      <c r="E6" s="201">
        <f>'SER_se-appl'!E70</f>
        <v>139.53484402401497</v>
      </c>
      <c r="F6" s="201">
        <f>'SER_se-appl'!F70</f>
        <v>142.10117976999229</v>
      </c>
      <c r="G6" s="201">
        <f>'SER_se-appl'!G70</f>
        <v>144.16581405316578</v>
      </c>
      <c r="H6" s="201">
        <f>'SER_se-appl'!H70</f>
        <v>146.37771349904133</v>
      </c>
      <c r="I6" s="201">
        <f>'SER_se-appl'!I70</f>
        <v>148.58804047755842</v>
      </c>
      <c r="J6" s="201">
        <f>'SER_se-appl'!J70</f>
        <v>151.34665022693468</v>
      </c>
      <c r="K6" s="201">
        <f>'SER_se-appl'!K70</f>
        <v>154.76295063090797</v>
      </c>
      <c r="L6" s="201">
        <f>'SER_se-appl'!L70</f>
        <v>159.32994365244778</v>
      </c>
      <c r="M6" s="201">
        <f>'SER_se-appl'!M70</f>
        <v>163.67166201855323</v>
      </c>
      <c r="N6" s="201">
        <f>'SER_se-appl'!N70</f>
        <v>168.25781208060289</v>
      </c>
      <c r="O6" s="201">
        <f>'SER_se-appl'!O70</f>
        <v>172.1303526079069</v>
      </c>
      <c r="P6" s="201">
        <f>'SER_se-appl'!P70</f>
        <v>178.69831896794318</v>
      </c>
      <c r="Q6" s="201">
        <f>'SER_se-appl'!Q70</f>
        <v>185.35318583932653</v>
      </c>
      <c r="R6" s="201">
        <f>'SER_se-appl'!R70</f>
        <v>189.18513251426052</v>
      </c>
      <c r="S6" s="201">
        <f>'SER_se-appl'!S70</f>
        <v>193.06904347188947</v>
      </c>
      <c r="T6" s="201">
        <f>'SER_se-appl'!T70</f>
        <v>196.78857080524205</v>
      </c>
      <c r="U6" s="201">
        <f>'SER_se-appl'!U70</f>
        <v>200.21140767496567</v>
      </c>
      <c r="V6" s="201">
        <f>'SER_se-appl'!V70</f>
        <v>203.09098131502003</v>
      </c>
      <c r="W6" s="201">
        <f>'SER_se-appl'!W70</f>
        <v>205.11387447409516</v>
      </c>
      <c r="X6" s="201">
        <f>'SER_se-appl'!X70</f>
        <v>206.13286446234639</v>
      </c>
      <c r="Y6" s="201">
        <f>'SER_se-appl'!Y70</f>
        <v>206.64425623660892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441.19427932160136</v>
      </c>
      <c r="C8" s="34">
        <f>'SER_se-appl'!C22</f>
        <v>452.00716549326359</v>
      </c>
      <c r="D8" s="34">
        <f>'SER_se-appl'!D22</f>
        <v>460.18066093823455</v>
      </c>
      <c r="E8" s="34">
        <f>'SER_se-appl'!E22</f>
        <v>468.37719570182782</v>
      </c>
      <c r="F8" s="34">
        <f>'SER_se-appl'!F22</f>
        <v>483.10026844981292</v>
      </c>
      <c r="G8" s="34">
        <f>'SER_se-appl'!G22</f>
        <v>494.7765994760544</v>
      </c>
      <c r="H8" s="34">
        <f>'SER_se-appl'!H22</f>
        <v>514.91422217934507</v>
      </c>
      <c r="I8" s="34">
        <f>'SER_se-appl'!I22</f>
        <v>534.93089508782737</v>
      </c>
      <c r="J8" s="34">
        <f>'SER_se-appl'!J22</f>
        <v>551.26257013812926</v>
      </c>
      <c r="K8" s="34">
        <f>'SER_se-appl'!K22</f>
        <v>560.8871124234629</v>
      </c>
      <c r="L8" s="34">
        <f>'SER_se-appl'!L22</f>
        <v>582.60710573531151</v>
      </c>
      <c r="M8" s="34">
        <f>'SER_se-appl'!M22</f>
        <v>597.67988729621607</v>
      </c>
      <c r="N8" s="34">
        <f>'SER_se-appl'!N22</f>
        <v>618.2909720919854</v>
      </c>
      <c r="O8" s="34">
        <f>'SER_se-appl'!O22</f>
        <v>635.41761787744838</v>
      </c>
      <c r="P8" s="34">
        <f>'SER_se-appl'!P22</f>
        <v>664.11186291887839</v>
      </c>
      <c r="Q8" s="34">
        <f>'SER_se-appl'!Q22</f>
        <v>695.18877001969997</v>
      </c>
      <c r="R8" s="34">
        <f>'SER_se-appl'!R22</f>
        <v>718.53116915577903</v>
      </c>
      <c r="S8" s="34">
        <f>'SER_se-appl'!S22</f>
        <v>739.68024114871389</v>
      </c>
      <c r="T8" s="34">
        <f>'SER_se-appl'!T22</f>
        <v>759.32644531900587</v>
      </c>
      <c r="U8" s="34">
        <f>'SER_se-appl'!U22</f>
        <v>776.79605251499981</v>
      </c>
      <c r="V8" s="34">
        <f>'SER_se-appl'!V22</f>
        <v>791.37785628823474</v>
      </c>
      <c r="W8" s="34">
        <f>'SER_se-appl'!W22</f>
        <v>801.93759139404028</v>
      </c>
      <c r="X8" s="34">
        <f>'SER_se-appl'!X22</f>
        <v>808.16138146050696</v>
      </c>
      <c r="Y8" s="34">
        <f>'SER_se-appl'!Y22</f>
        <v>812.02900397433802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79.712474898407493</v>
      </c>
      <c r="D9" s="36">
        <f>'SER_se-appl'!D30</f>
        <v>78.862981946181947</v>
      </c>
      <c r="E9" s="36">
        <f>'SER_se-appl'!E30</f>
        <v>80.722417633851421</v>
      </c>
      <c r="F9" s="36">
        <f>'SER_se-appl'!F30</f>
        <v>89.133058538733508</v>
      </c>
      <c r="G9" s="36">
        <f>'SER_se-appl'!G30</f>
        <v>88.019365626513263</v>
      </c>
      <c r="H9" s="36">
        <f>'SER_se-appl'!H30</f>
        <v>98.463923535657443</v>
      </c>
      <c r="I9" s="36">
        <f>'SER_se-appl'!I30</f>
        <v>99.729147806889785</v>
      </c>
      <c r="J9" s="36">
        <f>'SER_se-appl'!J30</f>
        <v>95.194656996483843</v>
      </c>
      <c r="K9" s="36">
        <f>'SER_se-appl'!K30</f>
        <v>90.346959919185053</v>
      </c>
      <c r="L9" s="36">
        <f>'SER_se-appl'!L30</f>
        <v>110.85305185058212</v>
      </c>
      <c r="M9" s="36">
        <f>'SER_se-appl'!M30</f>
        <v>103.09214718741782</v>
      </c>
      <c r="N9" s="36">
        <f>'SER_se-appl'!N30</f>
        <v>119.07500833142677</v>
      </c>
      <c r="O9" s="36">
        <f>'SER_se-appl'!O30</f>
        <v>116.85579359235282</v>
      </c>
      <c r="P9" s="36">
        <f>'SER_se-appl'!P30</f>
        <v>123.88890203791379</v>
      </c>
      <c r="Q9" s="36">
        <f>'SER_se-appl'!Q30</f>
        <v>121.4238670200067</v>
      </c>
      <c r="R9" s="36">
        <f>'SER_se-appl'!R30</f>
        <v>134.19545098666117</v>
      </c>
      <c r="S9" s="36">
        <f>'SER_se-appl'!S30</f>
        <v>124.24121918035269</v>
      </c>
      <c r="T9" s="36">
        <f>'SER_se-appl'!T30</f>
        <v>138.72121250171881</v>
      </c>
      <c r="U9" s="36">
        <f>'SER_se-appl'!U30</f>
        <v>134.32540078834677</v>
      </c>
      <c r="V9" s="36">
        <f>'SER_se-appl'!V30</f>
        <v>138.47070581114872</v>
      </c>
      <c r="W9" s="36">
        <f>'SER_se-appl'!W30</f>
        <v>131.98360212581224</v>
      </c>
      <c r="X9" s="36">
        <f>'SER_se-appl'!X30</f>
        <v>140.41924105312785</v>
      </c>
      <c r="Y9" s="36">
        <f>'SER_se-appl'!Y30</f>
        <v>128.10884169418375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68.899588726745321</v>
      </c>
      <c r="D10" s="38">
        <f>'SER_se-appl'!D38</f>
        <v>70.689486501210979</v>
      </c>
      <c r="E10" s="38">
        <f>'SER_se-appl'!E38</f>
        <v>72.525882870258158</v>
      </c>
      <c r="F10" s="38">
        <f>'SER_se-appl'!F38</f>
        <v>74.409985790748465</v>
      </c>
      <c r="G10" s="38">
        <f>'SER_se-appl'!G38</f>
        <v>76.343034600271778</v>
      </c>
      <c r="H10" s="38">
        <f>'SER_se-appl'!H38</f>
        <v>78.326300832366769</v>
      </c>
      <c r="I10" s="38">
        <f>'SER_se-appl'!I38</f>
        <v>79.712474898407436</v>
      </c>
      <c r="J10" s="38">
        <f>'SER_se-appl'!J38</f>
        <v>78.862981946182003</v>
      </c>
      <c r="K10" s="38">
        <f>'SER_se-appl'!K38</f>
        <v>80.722417633851364</v>
      </c>
      <c r="L10" s="38">
        <f>'SER_se-appl'!L38</f>
        <v>89.133058538733508</v>
      </c>
      <c r="M10" s="38">
        <f>'SER_se-appl'!M38</f>
        <v>88.019365626513263</v>
      </c>
      <c r="N10" s="38">
        <f>'SER_se-appl'!N38</f>
        <v>98.463923535657386</v>
      </c>
      <c r="O10" s="38">
        <f>'SER_se-appl'!O38</f>
        <v>99.729147806889841</v>
      </c>
      <c r="P10" s="38">
        <f>'SER_se-appl'!P38</f>
        <v>95.194656996483786</v>
      </c>
      <c r="Q10" s="38">
        <f>'SER_se-appl'!Q38</f>
        <v>90.34695991918511</v>
      </c>
      <c r="R10" s="38">
        <f>'SER_se-appl'!R38</f>
        <v>110.85305185058212</v>
      </c>
      <c r="S10" s="38">
        <f>'SER_se-appl'!S38</f>
        <v>103.09214718741782</v>
      </c>
      <c r="T10" s="38">
        <f>'SER_se-appl'!T38</f>
        <v>119.07500833142683</v>
      </c>
      <c r="U10" s="38">
        <f>'SER_se-appl'!U38</f>
        <v>116.85579359235282</v>
      </c>
      <c r="V10" s="38">
        <f>'SER_se-appl'!V38</f>
        <v>123.88890203791379</v>
      </c>
      <c r="W10" s="38">
        <f>'SER_se-appl'!W38</f>
        <v>121.4238670200067</v>
      </c>
      <c r="X10" s="38">
        <f>'SER_se-appl'!X38</f>
        <v>134.19545098666117</v>
      </c>
      <c r="Y10" s="38">
        <f>'SER_se-appl'!Y38</f>
        <v>124.24121918035269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2383.115566181531</v>
      </c>
      <c r="C12" s="204">
        <f>'SER_se-appl'!C46</f>
        <v>2399.3172010360108</v>
      </c>
      <c r="D12" s="204">
        <f>'SER_se-appl'!D46</f>
        <v>2410.4325659670349</v>
      </c>
      <c r="E12" s="204">
        <f>'SER_se-appl'!E46</f>
        <v>2418.5456081101879</v>
      </c>
      <c r="F12" s="204">
        <f>'SER_se-appl'!F46</f>
        <v>2431.4174945659324</v>
      </c>
      <c r="G12" s="204">
        <f>'SER_se-appl'!G46</f>
        <v>2441.4377378672521</v>
      </c>
      <c r="H12" s="204">
        <f>'SER_se-appl'!H46</f>
        <v>2458.3519851083811</v>
      </c>
      <c r="I12" s="204">
        <f>'SER_se-appl'!I46</f>
        <v>2470.4634385949607</v>
      </c>
      <c r="J12" s="204">
        <f>'SER_se-appl'!J46</f>
        <v>2480.4804570722386</v>
      </c>
      <c r="K12" s="204">
        <f>'SER_se-appl'!K46</f>
        <v>2485.5784717977335</v>
      </c>
      <c r="L12" s="204">
        <f>'SER_se-appl'!L46</f>
        <v>2492.9002610782254</v>
      </c>
      <c r="M12" s="204">
        <f>'SER_se-appl'!M46</f>
        <v>2503.7259563623261</v>
      </c>
      <c r="N12" s="204">
        <f>'SER_se-appl'!N46</f>
        <v>2511.6712247382061</v>
      </c>
      <c r="O12" s="204">
        <f>'SER_se-appl'!O46</f>
        <v>2519.1727290835624</v>
      </c>
      <c r="P12" s="204">
        <f>'SER_se-appl'!P46</f>
        <v>2528.9404772788203</v>
      </c>
      <c r="Q12" s="204">
        <f>'SER_se-appl'!Q46</f>
        <v>2538.6072647421884</v>
      </c>
      <c r="R12" s="204">
        <f>'SER_se-appl'!R46</f>
        <v>2515.3138079984801</v>
      </c>
      <c r="S12" s="204">
        <f>'SER_se-appl'!S46</f>
        <v>2542.013947347371</v>
      </c>
      <c r="T12" s="204">
        <f>'SER_se-appl'!T46</f>
        <v>2530.3307555708611</v>
      </c>
      <c r="U12" s="204">
        <f>'SER_se-appl'!U46</f>
        <v>2503.0721270826925</v>
      </c>
      <c r="V12" s="204">
        <f>'SER_se-appl'!V46</f>
        <v>2443.3715439356288</v>
      </c>
      <c r="W12" s="204">
        <f>'SER_se-appl'!W46</f>
        <v>2519.7208864796717</v>
      </c>
      <c r="X12" s="204">
        <f>'SER_se-appl'!X46</f>
        <v>2518.6394529579275</v>
      </c>
      <c r="Y12" s="204">
        <f>'SER_se-appl'!Y46</f>
        <v>2518.0987361970556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37.86820121460844</v>
      </c>
      <c r="C14" s="59">
        <f>'SER_se-appl'!C54</f>
        <v>37.512628999983406</v>
      </c>
      <c r="D14" s="59">
        <f>'SER_se-appl'!D54</f>
        <v>36.992804834123483</v>
      </c>
      <c r="E14" s="59">
        <f>'SER_se-appl'!E54</f>
        <v>36.313613086881546</v>
      </c>
      <c r="F14" s="59">
        <f>'SER_se-appl'!F54</f>
        <v>35.454631115937254</v>
      </c>
      <c r="G14" s="59">
        <f>'SER_se-appl'!G54</f>
        <v>34.535427977371718</v>
      </c>
      <c r="H14" s="59">
        <f>'SER_se-appl'!H54</f>
        <v>33.526225958703556</v>
      </c>
      <c r="I14" s="59">
        <f>'SER_se-appl'!I54</f>
        <v>32.704808159592972</v>
      </c>
      <c r="J14" s="59">
        <f>'SER_se-appl'!J54</f>
        <v>31.963148196103234</v>
      </c>
      <c r="K14" s="59">
        <f>'SER_se-appl'!K54</f>
        <v>31.205342358059113</v>
      </c>
      <c r="L14" s="59">
        <f>'SER_se-appl'!L54</f>
        <v>30.344092896524614</v>
      </c>
      <c r="M14" s="59">
        <f>'SER_se-appl'!M54</f>
        <v>29.470230491468893</v>
      </c>
      <c r="N14" s="59">
        <f>'SER_se-appl'!N54</f>
        <v>28.398731609940629</v>
      </c>
      <c r="O14" s="59">
        <f>'SER_se-appl'!O54</f>
        <v>27.293103049265849</v>
      </c>
      <c r="P14" s="59">
        <f>'SER_se-appl'!P54</f>
        <v>26.099989045669499</v>
      </c>
      <c r="Q14" s="59">
        <f>'SER_se-appl'!Q54</f>
        <v>24.950264365367211</v>
      </c>
      <c r="R14" s="59">
        <f>'SER_se-appl'!R54</f>
        <v>23.536525407934576</v>
      </c>
      <c r="S14" s="59">
        <f>'SER_se-appl'!S54</f>
        <v>22.280346241213802</v>
      </c>
      <c r="T14" s="59">
        <f>'SER_se-appl'!T54</f>
        <v>20.80249151086166</v>
      </c>
      <c r="U14" s="59">
        <f>'SER_se-appl'!U54</f>
        <v>19.406861025527824</v>
      </c>
      <c r="V14" s="59">
        <f>'SER_se-appl'!V54</f>
        <v>18.048113860664113</v>
      </c>
      <c r="W14" s="59">
        <f>'SER_se-appl'!W54</f>
        <v>16.87107590249424</v>
      </c>
      <c r="X14" s="59">
        <f>'SER_se-appl'!X54</f>
        <v>15.760404130992434</v>
      </c>
      <c r="Y14" s="59">
        <f>'SER_se-appl'!Y54</f>
        <v>14.789393653646959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35.851939781681445</v>
      </c>
      <c r="D15" s="63">
        <f>'SER_se-appl'!D62</f>
        <v>34.798075153956631</v>
      </c>
      <c r="E15" s="63">
        <f>'SER_se-appl'!E62</f>
        <v>33.83842668212273</v>
      </c>
      <c r="F15" s="63">
        <f>'SER_se-appl'!F62</f>
        <v>32.955739530550566</v>
      </c>
      <c r="G15" s="63">
        <f>'SER_se-appl'!G62</f>
        <v>32.380978679925541</v>
      </c>
      <c r="H15" s="63">
        <f>'SER_se-appl'!H62</f>
        <v>31.908997260492754</v>
      </c>
      <c r="I15" s="63">
        <f>'SER_se-appl'!I62</f>
        <v>30.979193728205036</v>
      </c>
      <c r="J15" s="63">
        <f>'SER_se-appl'!J62</f>
        <v>30.144075150534857</v>
      </c>
      <c r="K15" s="63">
        <f>'SER_se-appl'!K62</f>
        <v>28.934086505540964</v>
      </c>
      <c r="L15" s="63">
        <f>'SER_se-appl'!L62</f>
        <v>28.086332130672403</v>
      </c>
      <c r="M15" s="63">
        <f>'SER_se-appl'!M62</f>
        <v>27.016927844525835</v>
      </c>
      <c r="N15" s="63">
        <f>'SER_se-appl'!N62</f>
        <v>25.923159226829355</v>
      </c>
      <c r="O15" s="63">
        <f>'SER_se-appl'!O62</f>
        <v>24.58900541158204</v>
      </c>
      <c r="P15" s="63">
        <f>'SER_se-appl'!P62</f>
        <v>23.088014104683129</v>
      </c>
      <c r="Q15" s="63">
        <f>'SER_se-appl'!Q62</f>
        <v>21.626209630811417</v>
      </c>
      <c r="R15" s="63">
        <f>'SER_se-appl'!R62</f>
        <v>19.971162477351331</v>
      </c>
      <c r="S15" s="63">
        <f>'SER_se-appl'!S62</f>
        <v>18.94570802490863</v>
      </c>
      <c r="T15" s="63">
        <f>'SER_se-appl'!T62</f>
        <v>17.317830559081628</v>
      </c>
      <c r="U15" s="63">
        <f>'SER_se-appl'!U62</f>
        <v>16.025702004230791</v>
      </c>
      <c r="V15" s="63">
        <f>'SER_se-appl'!V62</f>
        <v>14.934951954723706</v>
      </c>
      <c r="W15" s="63">
        <f>'SER_se-appl'!W62</f>
        <v>14.188204356987519</v>
      </c>
      <c r="X15" s="63">
        <f>'SER_se-appl'!X62</f>
        <v>13.441456759251334</v>
      </c>
      <c r="Y15" s="63">
        <f>'SER_se-appl'!Y62</f>
        <v>12.694709161515147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793.93297941546598</v>
      </c>
      <c r="C3" s="198">
        <f>'SER_se-appl'!C7</f>
        <v>799.87182460022836</v>
      </c>
      <c r="D3" s="198">
        <f>'SER_se-appl'!D7</f>
        <v>810.30670916818735</v>
      </c>
      <c r="E3" s="198">
        <f>'SER_se-appl'!E7</f>
        <v>820.49846063973234</v>
      </c>
      <c r="F3" s="198">
        <f>'SER_se-appl'!F7</f>
        <v>824.02458633153765</v>
      </c>
      <c r="G3" s="198">
        <f>'SER_se-appl'!G7</f>
        <v>823.95547724561072</v>
      </c>
      <c r="H3" s="198">
        <f>'SER_se-appl'!H7</f>
        <v>820.31578522439793</v>
      </c>
      <c r="I3" s="198">
        <f>'SER_se-appl'!I7</f>
        <v>815.21247692031466</v>
      </c>
      <c r="J3" s="198">
        <f>'SER_se-appl'!J7</f>
        <v>812.81725438724857</v>
      </c>
      <c r="K3" s="198">
        <f>'SER_se-appl'!K7</f>
        <v>809.72102772818005</v>
      </c>
      <c r="L3" s="198">
        <f>'SER_se-appl'!L7</f>
        <v>806.33538676021146</v>
      </c>
      <c r="M3" s="198">
        <f>'SER_se-appl'!M7</f>
        <v>790.77809324163934</v>
      </c>
      <c r="N3" s="198">
        <f>'SER_se-appl'!N7</f>
        <v>793.26079270398748</v>
      </c>
      <c r="O3" s="198">
        <f>'SER_se-appl'!O7</f>
        <v>798.02008899925943</v>
      </c>
      <c r="P3" s="198">
        <f>'SER_se-appl'!P7</f>
        <v>804.2653270132987</v>
      </c>
      <c r="Q3" s="198">
        <f>'SER_se-appl'!Q7</f>
        <v>815.47478459850254</v>
      </c>
      <c r="R3" s="198">
        <f>'SER_se-appl'!R7</f>
        <v>826.35733472099548</v>
      </c>
      <c r="S3" s="198">
        <f>'SER_se-appl'!S7</f>
        <v>833.15210937924303</v>
      </c>
      <c r="T3" s="198">
        <f>'SER_se-appl'!T7</f>
        <v>836.99010626246093</v>
      </c>
      <c r="U3" s="198">
        <f>'SER_se-appl'!U7</f>
        <v>838.95967209190417</v>
      </c>
      <c r="V3" s="198">
        <f>'SER_se-appl'!V7</f>
        <v>838.98175751680276</v>
      </c>
      <c r="W3" s="198">
        <f>'SER_se-appl'!W7</f>
        <v>841.41279717622785</v>
      </c>
      <c r="X3" s="198">
        <f>'SER_se-appl'!X7</f>
        <v>836.38113479513379</v>
      </c>
      <c r="Y3" s="198">
        <f>'SER_se-appl'!Y7</f>
        <v>826.20181530281957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1054.0457249545514</v>
      </c>
      <c r="C5" s="59">
        <f>'SER_se-appl'!C15</f>
        <v>1061.9302876827235</v>
      </c>
      <c r="D5" s="59">
        <f>'SER_se-appl'!D15</f>
        <v>1075.7839072632444</v>
      </c>
      <c r="E5" s="59">
        <f>'SER_se-appl'!E15</f>
        <v>1089.3147371278635</v>
      </c>
      <c r="F5" s="59">
        <f>'SER_se-appl'!F15</f>
        <v>1093.9961117620755</v>
      </c>
      <c r="G5" s="59">
        <f>'SER_se-appl'!G15</f>
        <v>1093.9043607724261</v>
      </c>
      <c r="H5" s="59">
        <f>'SER_se-appl'!H15</f>
        <v>1089.0722125753132</v>
      </c>
      <c r="I5" s="59">
        <f>'SER_se-appl'!I15</f>
        <v>1082.2969299752579</v>
      </c>
      <c r="J5" s="59">
        <f>'SER_se-appl'!J15</f>
        <v>1079.1169712926599</v>
      </c>
      <c r="K5" s="59">
        <f>'SER_se-appl'!K15</f>
        <v>1075.0063416071612</v>
      </c>
      <c r="L5" s="59">
        <f>'SER_se-appl'!L15</f>
        <v>1070.5114780846191</v>
      </c>
      <c r="M5" s="59">
        <f>'SER_se-appl'!M15</f>
        <v>1049.8572173972907</v>
      </c>
      <c r="N5" s="59">
        <f>'SER_se-appl'!N15</f>
        <v>1053.1533126880563</v>
      </c>
      <c r="O5" s="59">
        <f>'SER_se-appl'!O15</f>
        <v>1059.4718761485603</v>
      </c>
      <c r="P5" s="59">
        <f>'SER_se-appl'!P15</f>
        <v>1067.7632138315826</v>
      </c>
      <c r="Q5" s="59">
        <f>'SER_se-appl'!Q15</f>
        <v>1082.6451763562313</v>
      </c>
      <c r="R5" s="59">
        <f>'SER_se-appl'!R15</f>
        <v>1097.0931281741075</v>
      </c>
      <c r="S5" s="59">
        <f>'SER_se-appl'!S15</f>
        <v>1106.1140447580592</v>
      </c>
      <c r="T5" s="59">
        <f>'SER_se-appl'!T15</f>
        <v>1111.2094675607786</v>
      </c>
      <c r="U5" s="59">
        <f>'SER_se-appl'!U15</f>
        <v>1113.8243135192747</v>
      </c>
      <c r="V5" s="59">
        <f>'SER_se-appl'!V15</f>
        <v>1113.8536346941114</v>
      </c>
      <c r="W5" s="59">
        <f>'SER_se-appl'!W15</f>
        <v>1117.0811451095353</v>
      </c>
      <c r="X5" s="59">
        <f>'SER_se-appl'!X15</f>
        <v>1110.4009814688818</v>
      </c>
      <c r="Y5" s="59">
        <f>'SER_se-appl'!Y15</f>
        <v>1096.8866566177844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2.089582382362163E-2</v>
      </c>
      <c r="C6" s="201">
        <f>'SER_se-appl'!C71</f>
        <v>2.1214101850399403E-2</v>
      </c>
      <c r="D6" s="201">
        <f>'SER_se-appl'!D71</f>
        <v>2.1681053811860564E-2</v>
      </c>
      <c r="E6" s="201">
        <f>'SER_se-appl'!E71</f>
        <v>2.2192746047838347E-2</v>
      </c>
      <c r="F6" s="201">
        <f>'SER_se-appl'!F71</f>
        <v>2.2560043928124034E-2</v>
      </c>
      <c r="G6" s="201">
        <f>'SER_se-appl'!G71</f>
        <v>2.2854120848499283E-2</v>
      </c>
      <c r="H6" s="201">
        <f>'SER_se-appl'!H71</f>
        <v>2.3075639774110344E-2</v>
      </c>
      <c r="I6" s="201">
        <f>'SER_se-appl'!I71</f>
        <v>2.3308260713087125E-2</v>
      </c>
      <c r="J6" s="201">
        <f>'SER_se-appl'!J71</f>
        <v>2.3660909554240498E-2</v>
      </c>
      <c r="K6" s="201">
        <f>'SER_se-appl'!K71</f>
        <v>2.4089234795277418E-2</v>
      </c>
      <c r="L6" s="201">
        <f>'SER_se-appl'!L71</f>
        <v>2.4574919709324558E-2</v>
      </c>
      <c r="M6" s="201">
        <f>'SER_se-appl'!M71</f>
        <v>2.4908959561505802E-2</v>
      </c>
      <c r="N6" s="201">
        <f>'SER_se-appl'!N71</f>
        <v>2.5396278174343173E-2</v>
      </c>
      <c r="O6" s="201">
        <f>'SER_se-appl'!O71</f>
        <v>2.5988017472057034E-2</v>
      </c>
      <c r="P6" s="201">
        <f>'SER_se-appl'!P71</f>
        <v>2.665593183939088E-2</v>
      </c>
      <c r="Q6" s="201">
        <f>'SER_se-appl'!Q71</f>
        <v>2.7436981775341488E-2</v>
      </c>
      <c r="R6" s="201">
        <f>'SER_se-appl'!R71</f>
        <v>2.8027151266915677E-2</v>
      </c>
      <c r="S6" s="201">
        <f>'SER_se-appl'!S71</f>
        <v>2.8702251927668013E-2</v>
      </c>
      <c r="T6" s="201">
        <f>'SER_se-appl'!T71</f>
        <v>2.9343303823611909E-2</v>
      </c>
      <c r="U6" s="201">
        <f>'SER_se-appl'!U71</f>
        <v>2.9938129374890043E-2</v>
      </c>
      <c r="V6" s="201">
        <f>'SER_se-appl'!V71</f>
        <v>3.0495797697103168E-2</v>
      </c>
      <c r="W6" s="201">
        <f>'SER_se-appl'!W71</f>
        <v>3.1039199331551325E-2</v>
      </c>
      <c r="X6" s="201">
        <f>'SER_se-appl'!X71</f>
        <v>3.1425331546890069E-2</v>
      </c>
      <c r="Y6" s="201">
        <f>'SER_se-appl'!Y71</f>
        <v>3.1698478663693019E-2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1716.8734983365403</v>
      </c>
      <c r="C8" s="34">
        <f>'SER_se-appl'!C23</f>
        <v>1745.0622597270037</v>
      </c>
      <c r="D8" s="34">
        <f>'SER_se-appl'!D23</f>
        <v>1787.3927756954126</v>
      </c>
      <c r="E8" s="34">
        <f>'SER_se-appl'!E23</f>
        <v>1831.7155788716984</v>
      </c>
      <c r="F8" s="34">
        <f>'SER_se-appl'!F23</f>
        <v>1861.9181232214805</v>
      </c>
      <c r="G8" s="34">
        <f>'SER_se-appl'!G23</f>
        <v>1885.4843731497913</v>
      </c>
      <c r="H8" s="34">
        <f>'SER_se-appl'!H23</f>
        <v>1902.3094763199097</v>
      </c>
      <c r="I8" s="34">
        <f>'SER_se-appl'!I23</f>
        <v>1918.6172896212595</v>
      </c>
      <c r="J8" s="34">
        <f>'SER_se-appl'!J23</f>
        <v>1945.3488050022879</v>
      </c>
      <c r="K8" s="34">
        <f>'SER_se-appl'!K23</f>
        <v>1975.3740074499258</v>
      </c>
      <c r="L8" s="34">
        <f>'SER_se-appl'!L23</f>
        <v>2010.2838978165328</v>
      </c>
      <c r="M8" s="34">
        <f>'SER_se-appl'!M23</f>
        <v>1998.2481730254901</v>
      </c>
      <c r="N8" s="34">
        <f>'SER_se-appl'!N23</f>
        <v>2040.029693560821</v>
      </c>
      <c r="O8" s="34">
        <f>'SER_se-appl'!O23</f>
        <v>2092.6525179634828</v>
      </c>
      <c r="P8" s="34">
        <f>'SER_se-appl'!P23</f>
        <v>2152.931988568525</v>
      </c>
      <c r="Q8" s="34">
        <f>'SER_se-appl'!Q23</f>
        <v>2227.8153428716159</v>
      </c>
      <c r="R8" s="34">
        <f>'SER_se-appl'!R23</f>
        <v>2303.1503259302626</v>
      </c>
      <c r="S8" s="34">
        <f>'SER_se-appl'!S23</f>
        <v>2368.5572738936007</v>
      </c>
      <c r="T8" s="34">
        <f>'SER_se-appl'!T23</f>
        <v>2429.4011096641193</v>
      </c>
      <c r="U8" s="34">
        <f>'SER_se-appl'!U23</f>
        <v>2485.4399393955532</v>
      </c>
      <c r="V8" s="34">
        <f>'SER_se-appl'!V23</f>
        <v>2536.235193789445</v>
      </c>
      <c r="W8" s="34">
        <f>'SER_se-appl'!W23</f>
        <v>2581.0655826303296</v>
      </c>
      <c r="X8" s="34">
        <f>'SER_se-appl'!X23</f>
        <v>2615.7542187096005</v>
      </c>
      <c r="Y8" s="34">
        <f>'SER_se-appl'!Y23</f>
        <v>2634.7300305066469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184.22355131457562</v>
      </c>
      <c r="D9" s="36">
        <f>'SER_se-appl'!D31</f>
        <v>201.6520516041503</v>
      </c>
      <c r="E9" s="36">
        <f>'SER_se-appl'!E31</f>
        <v>207.00031714401075</v>
      </c>
      <c r="F9" s="36">
        <f>'SER_se-appl'!F31</f>
        <v>196.3067275985818</v>
      </c>
      <c r="G9" s="36">
        <f>'SER_se-appl'!G31</f>
        <v>193.16928245451959</v>
      </c>
      <c r="H9" s="36">
        <f>'SER_se-appl'!H31</f>
        <v>190.00068538288065</v>
      </c>
      <c r="I9" s="36">
        <f>'SER_se-appl'!I31</f>
        <v>193.13119804887697</v>
      </c>
      <c r="J9" s="36">
        <f>'SER_se-appl'!J31</f>
        <v>207.27954065146287</v>
      </c>
      <c r="K9" s="36">
        <f>'SER_se-appl'!K31</f>
        <v>214.37632475873443</v>
      </c>
      <c r="L9" s="36">
        <f>'SER_se-appl'!L31</f>
        <v>223.14421885873981</v>
      </c>
      <c r="M9" s="36">
        <f>'SER_se-appl'!M31</f>
        <v>172.18782652353298</v>
      </c>
      <c r="N9" s="36">
        <f>'SER_se-appl'!N31</f>
        <v>243.43357213948116</v>
      </c>
      <c r="O9" s="36">
        <f>'SER_se-appl'!O31</f>
        <v>259.62314154667251</v>
      </c>
      <c r="P9" s="36">
        <f>'SER_se-appl'!P31</f>
        <v>256.58619820362401</v>
      </c>
      <c r="Q9" s="36">
        <f>'SER_se-appl'!Q31</f>
        <v>268.05263675761057</v>
      </c>
      <c r="R9" s="36">
        <f>'SER_se-appl'!R31</f>
        <v>265.33566844152733</v>
      </c>
      <c r="S9" s="36">
        <f>'SER_se-appl'!S31</f>
        <v>258.53814601221529</v>
      </c>
      <c r="T9" s="36">
        <f>'SER_se-appl'!T31</f>
        <v>268.12337642198145</v>
      </c>
      <c r="U9" s="36">
        <f>'SER_se-appl'!U31</f>
        <v>270.41515449016833</v>
      </c>
      <c r="V9" s="36">
        <f>'SER_se-appl'!V31</f>
        <v>273.93947325263161</v>
      </c>
      <c r="W9" s="36">
        <f>'SER_se-appl'!W31</f>
        <v>217.01821536441776</v>
      </c>
      <c r="X9" s="36">
        <f>'SER_se-appl'!X31</f>
        <v>278.12220821875235</v>
      </c>
      <c r="Y9" s="36">
        <f>'SER_se-appl'!Y31</f>
        <v>278.59895334371913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156.03478992411215</v>
      </c>
      <c r="D10" s="38">
        <f>'SER_se-appl'!D39</f>
        <v>159.32153563574138</v>
      </c>
      <c r="E10" s="38">
        <f>'SER_se-appl'!E39</f>
        <v>162.67751396772496</v>
      </c>
      <c r="F10" s="38">
        <f>'SER_se-appl'!F39</f>
        <v>166.1041832487997</v>
      </c>
      <c r="G10" s="38">
        <f>'SER_se-appl'!G39</f>
        <v>169.60303252620906</v>
      </c>
      <c r="H10" s="38">
        <f>'SER_se-appl'!H39</f>
        <v>173.17558221276249</v>
      </c>
      <c r="I10" s="38">
        <f>'SER_se-appl'!I39</f>
        <v>176.82338474752737</v>
      </c>
      <c r="J10" s="38">
        <f>'SER_se-appl'!J39</f>
        <v>180.54802527043466</v>
      </c>
      <c r="K10" s="38">
        <f>'SER_se-appl'!K39</f>
        <v>184.35112231109656</v>
      </c>
      <c r="L10" s="38">
        <f>'SER_se-appl'!L39</f>
        <v>188.23432849213259</v>
      </c>
      <c r="M10" s="38">
        <f>'SER_se-appl'!M39</f>
        <v>184.22355131457539</v>
      </c>
      <c r="N10" s="38">
        <f>'SER_se-appl'!N39</f>
        <v>201.6520516041503</v>
      </c>
      <c r="O10" s="38">
        <f>'SER_se-appl'!O39</f>
        <v>207.00031714401075</v>
      </c>
      <c r="P10" s="38">
        <f>'SER_se-appl'!P39</f>
        <v>196.3067275985818</v>
      </c>
      <c r="Q10" s="38">
        <f>'SER_se-appl'!Q39</f>
        <v>193.16928245451982</v>
      </c>
      <c r="R10" s="38">
        <f>'SER_se-appl'!R39</f>
        <v>190.00068538288087</v>
      </c>
      <c r="S10" s="38">
        <f>'SER_se-appl'!S39</f>
        <v>193.1311980488772</v>
      </c>
      <c r="T10" s="38">
        <f>'SER_se-appl'!T39</f>
        <v>207.27954065146287</v>
      </c>
      <c r="U10" s="38">
        <f>'SER_se-appl'!U39</f>
        <v>214.37632475873443</v>
      </c>
      <c r="V10" s="38">
        <f>'SER_se-appl'!V39</f>
        <v>223.14421885873981</v>
      </c>
      <c r="W10" s="38">
        <f>'SER_se-appl'!W39</f>
        <v>172.1878265235332</v>
      </c>
      <c r="X10" s="38">
        <f>'SER_se-appl'!X39</f>
        <v>243.43357213948138</v>
      </c>
      <c r="Y10" s="38">
        <f>'SER_se-appl'!Y39</f>
        <v>259.62314154667274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8760</v>
      </c>
      <c r="C12" s="204">
        <f>'SER_se-appl'!C47</f>
        <v>8759.9999999999982</v>
      </c>
      <c r="D12" s="204">
        <f>'SER_se-appl'!D47</f>
        <v>8759.9999999999982</v>
      </c>
      <c r="E12" s="204">
        <f>'SER_se-appl'!E47</f>
        <v>8760.0000000000018</v>
      </c>
      <c r="F12" s="204">
        <f>'SER_se-appl'!F47</f>
        <v>8760</v>
      </c>
      <c r="G12" s="204">
        <f>'SER_se-appl'!G47</f>
        <v>8760</v>
      </c>
      <c r="H12" s="204">
        <f>'SER_se-appl'!H47</f>
        <v>8760.0000000000036</v>
      </c>
      <c r="I12" s="204">
        <f>'SER_se-appl'!I47</f>
        <v>8760.0000000000018</v>
      </c>
      <c r="J12" s="204">
        <f>'SER_se-appl'!J47</f>
        <v>8760</v>
      </c>
      <c r="K12" s="204">
        <f>'SER_se-appl'!K47</f>
        <v>8760.0000000000018</v>
      </c>
      <c r="L12" s="204">
        <f>'SER_se-appl'!L47</f>
        <v>8759.9999999999964</v>
      </c>
      <c r="M12" s="204">
        <f>'SER_se-appl'!M47</f>
        <v>8759.9999999999982</v>
      </c>
      <c r="N12" s="204">
        <f>'SER_se-appl'!N47</f>
        <v>8760</v>
      </c>
      <c r="O12" s="204">
        <f>'SER_se-appl'!O47</f>
        <v>8759.9999999999982</v>
      </c>
      <c r="P12" s="204">
        <f>'SER_se-appl'!P47</f>
        <v>8760</v>
      </c>
      <c r="Q12" s="204">
        <f>'SER_se-appl'!Q47</f>
        <v>8759.9999999999982</v>
      </c>
      <c r="R12" s="204">
        <f>'SER_se-appl'!R47</f>
        <v>8759.9999999999964</v>
      </c>
      <c r="S12" s="204">
        <f>'SER_se-appl'!S47</f>
        <v>8759.9999999999982</v>
      </c>
      <c r="T12" s="204">
        <f>'SER_se-appl'!T47</f>
        <v>8760</v>
      </c>
      <c r="U12" s="204">
        <f>'SER_se-appl'!U47</f>
        <v>8760</v>
      </c>
      <c r="V12" s="204">
        <f>'SER_se-appl'!V47</f>
        <v>8760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613.9332489993028</v>
      </c>
      <c r="C14" s="59">
        <f>'SER_se-appl'!C55</f>
        <v>608.53432693504647</v>
      </c>
      <c r="D14" s="59">
        <f>'SER_se-appl'!D55</f>
        <v>601.87325465981814</v>
      </c>
      <c r="E14" s="59">
        <f>'SER_se-appl'!E55</f>
        <v>594.69644179084855</v>
      </c>
      <c r="F14" s="59">
        <f>'SER_se-appl'!F55</f>
        <v>587.56402771849571</v>
      </c>
      <c r="G14" s="59">
        <f>'SER_se-appl'!G55</f>
        <v>580.17153382449237</v>
      </c>
      <c r="H14" s="59">
        <f>'SER_se-appl'!H55</f>
        <v>572.50001965093759</v>
      </c>
      <c r="I14" s="59">
        <f>'SER_se-appl'!I55</f>
        <v>564.10256273094797</v>
      </c>
      <c r="J14" s="59">
        <f>'SER_se-appl'!J55</f>
        <v>554.71644391885332</v>
      </c>
      <c r="K14" s="59">
        <f>'SER_se-appl'!K55</f>
        <v>544.20395203788348</v>
      </c>
      <c r="L14" s="59">
        <f>'SER_se-appl'!L55</f>
        <v>532.51756095114422</v>
      </c>
      <c r="M14" s="59">
        <f>'SER_se-appl'!M55</f>
        <v>525.38880383797982</v>
      </c>
      <c r="N14" s="59">
        <f>'SER_se-appl'!N55</f>
        <v>516.24410958930878</v>
      </c>
      <c r="O14" s="59">
        <f>'SER_se-appl'!O55</f>
        <v>506.28179645401036</v>
      </c>
      <c r="P14" s="59">
        <f>'SER_se-appl'!P55</f>
        <v>495.95770767544479</v>
      </c>
      <c r="Q14" s="59">
        <f>'SER_se-appl'!Q55</f>
        <v>485.96719643770842</v>
      </c>
      <c r="R14" s="59">
        <f>'SER_se-appl'!R55</f>
        <v>476.34455980678638</v>
      </c>
      <c r="S14" s="59">
        <f>'SER_se-appl'!S55</f>
        <v>466.9990702567016</v>
      </c>
      <c r="T14" s="59">
        <f>'SER_se-appl'!T55</f>
        <v>457.40057627388285</v>
      </c>
      <c r="U14" s="59">
        <f>'SER_se-appl'!U55</f>
        <v>448.13970189525139</v>
      </c>
      <c r="V14" s="59">
        <f>'SER_se-appl'!V55</f>
        <v>439.17600284927755</v>
      </c>
      <c r="W14" s="59">
        <f>'SER_se-appl'!W55</f>
        <v>432.7984351219518</v>
      </c>
      <c r="X14" s="59">
        <f>'SER_se-appl'!X55</f>
        <v>424.50509054962464</v>
      </c>
      <c r="Y14" s="59">
        <f>'SER_se-appl'!Y55</f>
        <v>416.31842500647326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562.79182288786353</v>
      </c>
      <c r="D15" s="63">
        <f>'SER_se-appl'!D63</f>
        <v>553.75785517984582</v>
      </c>
      <c r="E15" s="63">
        <f>'SER_se-appl'!E63</f>
        <v>547.844400040501</v>
      </c>
      <c r="F15" s="63">
        <f>'SER_se-appl'!F63</f>
        <v>543.3245046324829</v>
      </c>
      <c r="G15" s="63">
        <f>'SER_se-appl'!G63</f>
        <v>538.55969483033266</v>
      </c>
      <c r="H15" s="63">
        <f>'SER_se-appl'!H63</f>
        <v>534.13543974119943</v>
      </c>
      <c r="I15" s="63">
        <f>'SER_se-appl'!I63</f>
        <v>527.01207016428941</v>
      </c>
      <c r="J15" s="63">
        <f>'SER_se-appl'!J63</f>
        <v>519.41680656811297</v>
      </c>
      <c r="K15" s="63">
        <f>'SER_se-appl'!K63</f>
        <v>508.77191739512051</v>
      </c>
      <c r="L15" s="63">
        <f>'SER_se-appl'!L63</f>
        <v>497.74289430346698</v>
      </c>
      <c r="M15" s="63">
        <f>'SER_se-appl'!M63</f>
        <v>482.17838189931672</v>
      </c>
      <c r="N15" s="63">
        <f>'SER_se-appl'!N63</f>
        <v>472.25410147547302</v>
      </c>
      <c r="O15" s="63">
        <f>'SER_se-appl'!O63</f>
        <v>461.13966305632766</v>
      </c>
      <c r="P15" s="63">
        <f>'SER_se-appl'!P63</f>
        <v>447.99601076096423</v>
      </c>
      <c r="Q15" s="63">
        <f>'SER_se-appl'!Q63</f>
        <v>443.62612422827834</v>
      </c>
      <c r="R15" s="63">
        <f>'SER_se-appl'!R63</f>
        <v>436.93353455620672</v>
      </c>
      <c r="S15" s="63">
        <f>'SER_se-appl'!S63</f>
        <v>428.57655935911509</v>
      </c>
      <c r="T15" s="63">
        <f>'SER_se-appl'!T63</f>
        <v>420.55228969421233</v>
      </c>
      <c r="U15" s="63">
        <f>'SER_se-appl'!U63</f>
        <v>413.00754745302999</v>
      </c>
      <c r="V15" s="63">
        <f>'SER_se-appl'!V63</f>
        <v>405.55590327143329</v>
      </c>
      <c r="W15" s="63">
        <f>'SER_se-appl'!W63</f>
        <v>397.44478520600461</v>
      </c>
      <c r="X15" s="63">
        <f>'SER_se-appl'!X63</f>
        <v>389.33366714057593</v>
      </c>
      <c r="Y15" s="63">
        <f>'SER_se-appl'!Y63</f>
        <v>381.2225490751473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411.30325973125349</v>
      </c>
      <c r="C3" s="198">
        <f>'SER_se-appl'!C8</f>
        <v>447.38216861684958</v>
      </c>
      <c r="D3" s="198">
        <f>'SER_se-appl'!D8</f>
        <v>486.18981593005054</v>
      </c>
      <c r="E3" s="198">
        <f>'SER_se-appl'!E8</f>
        <v>530.52395197635349</v>
      </c>
      <c r="F3" s="198">
        <f>'SER_se-appl'!F8</f>
        <v>580.538666496107</v>
      </c>
      <c r="G3" s="198">
        <f>'SER_se-appl'!G8</f>
        <v>632.01427452153132</v>
      </c>
      <c r="H3" s="198">
        <f>'SER_se-appl'!H8</f>
        <v>696.69817411590964</v>
      </c>
      <c r="I3" s="198">
        <f>'SER_se-appl'!I8</f>
        <v>754.680950018261</v>
      </c>
      <c r="J3" s="198">
        <f>'SER_se-appl'!J8</f>
        <v>799.144883831946</v>
      </c>
      <c r="K3" s="198">
        <f>'SER_se-appl'!K8</f>
        <v>824.89198230816839</v>
      </c>
      <c r="L3" s="198">
        <f>'SER_se-appl'!L8</f>
        <v>858.56543560803073</v>
      </c>
      <c r="M3" s="198">
        <f>'SER_se-appl'!M8</f>
        <v>877.99657197213719</v>
      </c>
      <c r="N3" s="198">
        <f>'SER_se-appl'!N8</f>
        <v>901.06558014552434</v>
      </c>
      <c r="O3" s="198">
        <f>'SER_se-appl'!O8</f>
        <v>922.11180721547703</v>
      </c>
      <c r="P3" s="198">
        <f>'SER_se-appl'!P8</f>
        <v>943.35767119539548</v>
      </c>
      <c r="Q3" s="198">
        <f>'SER_se-appl'!Q8</f>
        <v>963.75168743589438</v>
      </c>
      <c r="R3" s="198">
        <f>'SER_se-appl'!R8</f>
        <v>985.39697132755316</v>
      </c>
      <c r="S3" s="198">
        <f>'SER_se-appl'!S8</f>
        <v>1022.9499241169709</v>
      </c>
      <c r="T3" s="198">
        <f>'SER_se-appl'!T8</f>
        <v>1044.2334380694583</v>
      </c>
      <c r="U3" s="198">
        <f>'SER_se-appl'!U8</f>
        <v>1055.8562753309736</v>
      </c>
      <c r="V3" s="198">
        <f>'SER_se-appl'!V8</f>
        <v>1044.0586212043311</v>
      </c>
      <c r="W3" s="198">
        <f>'SER_se-appl'!W8</f>
        <v>1083.9165307898104</v>
      </c>
      <c r="X3" s="198">
        <f>'SER_se-appl'!X8</f>
        <v>1083.7764258357779</v>
      </c>
      <c r="Y3" s="198">
        <f>'SER_se-appl'!Y8</f>
        <v>1083.9252885433816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7083.5338809354171</v>
      </c>
      <c r="C5" s="59">
        <f>'SER_se-appl'!C16</f>
        <v>7668.2605383768287</v>
      </c>
      <c r="D5" s="59">
        <f>'SER_se-appl'!D16</f>
        <v>8297.258473404665</v>
      </c>
      <c r="E5" s="59">
        <f>'SER_se-appl'!E16</f>
        <v>9017.6972878755078</v>
      </c>
      <c r="F5" s="59">
        <f>'SER_se-appl'!F16</f>
        <v>9831.336775712849</v>
      </c>
      <c r="G5" s="59">
        <f>'SER_se-appl'!G16</f>
        <v>10666.210451224248</v>
      </c>
      <c r="H5" s="59">
        <f>'SER_se-appl'!H16</f>
        <v>11719.96992564213</v>
      </c>
      <c r="I5" s="59">
        <f>'SER_se-appl'!I16</f>
        <v>12656.941285321558</v>
      </c>
      <c r="J5" s="59">
        <f>'SER_se-appl'!J16</f>
        <v>13364.407892970603</v>
      </c>
      <c r="K5" s="59">
        <f>'SER_se-appl'!K16</f>
        <v>13757.744077152936</v>
      </c>
      <c r="L5" s="59">
        <f>'SER_se-appl'!L16</f>
        <v>14282.680616389527</v>
      </c>
      <c r="M5" s="59">
        <f>'SER_se-appl'!M16</f>
        <v>14582.192750735205</v>
      </c>
      <c r="N5" s="59">
        <f>'SER_se-appl'!N16</f>
        <v>14942.14575400612</v>
      </c>
      <c r="O5" s="59">
        <f>'SER_se-appl'!O16</f>
        <v>15268.509579621437</v>
      </c>
      <c r="P5" s="59">
        <f>'SER_se-appl'!P16</f>
        <v>15598.158704092781</v>
      </c>
      <c r="Q5" s="59">
        <f>'SER_se-appl'!Q16</f>
        <v>15913.69909594158</v>
      </c>
      <c r="R5" s="59">
        <f>'SER_se-appl'!R16</f>
        <v>16406.496044383504</v>
      </c>
      <c r="S5" s="59">
        <f>'SER_se-appl'!S16</f>
        <v>16828.794711981034</v>
      </c>
      <c r="T5" s="59">
        <f>'SER_se-appl'!T16</f>
        <v>17190.645131212896</v>
      </c>
      <c r="U5" s="59">
        <f>'SER_se-appl'!U16</f>
        <v>17480.651095795616</v>
      </c>
      <c r="V5" s="59">
        <f>'SER_se-appl'!V16</f>
        <v>17707.674716170743</v>
      </c>
      <c r="W5" s="59">
        <f>'SER_se-appl'!W16</f>
        <v>17826.642994029098</v>
      </c>
      <c r="X5" s="59">
        <f>'SER_se-appl'!X16</f>
        <v>17884.533047654968</v>
      </c>
      <c r="Y5" s="59">
        <f>'SER_se-appl'!Y16</f>
        <v>17917.243606791184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51.031266974337655</v>
      </c>
      <c r="C6" s="201">
        <f>'SER_se-appl'!C72</f>
        <v>54.428231101017197</v>
      </c>
      <c r="D6" s="201">
        <f>'SER_se-appl'!D72</f>
        <v>58.536371160654603</v>
      </c>
      <c r="E6" s="201">
        <f>'SER_se-appl'!E72</f>
        <v>63.483648338609783</v>
      </c>
      <c r="F6" s="201">
        <f>'SER_se-appl'!F72</f>
        <v>68.532158370619968</v>
      </c>
      <c r="G6" s="201">
        <f>'SER_se-appl'!G72</f>
        <v>73.915390941823517</v>
      </c>
      <c r="H6" s="201">
        <f>'SER_se-appl'!H72</f>
        <v>79.611486628759081</v>
      </c>
      <c r="I6" s="201">
        <f>'SER_se-appl'!I72</f>
        <v>84.420730449046204</v>
      </c>
      <c r="J6" s="201">
        <f>'SER_se-appl'!J72</f>
        <v>88.516347073108022</v>
      </c>
      <c r="K6" s="201">
        <f>'SER_se-appl'!K72</f>
        <v>91.977713842654367</v>
      </c>
      <c r="L6" s="201">
        <f>'SER_se-appl'!L72</f>
        <v>95.203436684316046</v>
      </c>
      <c r="M6" s="201">
        <f>'SER_se-appl'!M72</f>
        <v>97.941130578153633</v>
      </c>
      <c r="N6" s="201">
        <f>'SER_se-appl'!N72</f>
        <v>100.58074633079849</v>
      </c>
      <c r="O6" s="201">
        <f>'SER_se-appl'!O72</f>
        <v>103.36860245367546</v>
      </c>
      <c r="P6" s="201">
        <f>'SER_se-appl'!P72</f>
        <v>106.2259404428108</v>
      </c>
      <c r="Q6" s="201">
        <f>'SER_se-appl'!Q72</f>
        <v>109.02200715099242</v>
      </c>
      <c r="R6" s="201">
        <f>'SER_se-appl'!R72</f>
        <v>112.66848644533265</v>
      </c>
      <c r="S6" s="201">
        <f>'SER_se-appl'!S72</f>
        <v>116.33073788555501</v>
      </c>
      <c r="T6" s="201">
        <f>'SER_se-appl'!T72</f>
        <v>119.9253469066996</v>
      </c>
      <c r="U6" s="201">
        <f>'SER_se-appl'!U72</f>
        <v>123.40172142056831</v>
      </c>
      <c r="V6" s="201">
        <f>'SER_se-appl'!V72</f>
        <v>126.66569142133942</v>
      </c>
      <c r="W6" s="201">
        <f>'SER_se-appl'!W72</f>
        <v>129.64631902452274</v>
      </c>
      <c r="X6" s="201">
        <f>'SER_se-appl'!X72</f>
        <v>132.08124215458929</v>
      </c>
      <c r="Y6" s="201">
        <f>'SER_se-appl'!Y72</f>
        <v>134.06206595382352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166.71249278115292</v>
      </c>
      <c r="C8" s="34">
        <f>'SER_se-appl'!C24</f>
        <v>180.58717566617</v>
      </c>
      <c r="D8" s="34">
        <f>'SER_se-appl'!D24</f>
        <v>195.65723843600983</v>
      </c>
      <c r="E8" s="34">
        <f>'SER_se-appl'!E24</f>
        <v>213.09582842721034</v>
      </c>
      <c r="F8" s="34">
        <f>'SER_se-appl'!F24</f>
        <v>232.98824232058232</v>
      </c>
      <c r="G8" s="34">
        <f>'SER_se-appl'!G24</f>
        <v>253.67737850563961</v>
      </c>
      <c r="H8" s="34">
        <f>'SER_se-appl'!H24</f>
        <v>280.05005498502533</v>
      </c>
      <c r="I8" s="34">
        <f>'SER_se-appl'!I24</f>
        <v>303.92255499120728</v>
      </c>
      <c r="J8" s="34">
        <f>'SER_se-appl'!J24</f>
        <v>322.41049876950746</v>
      </c>
      <c r="K8" s="34">
        <f>'SER_se-appl'!K24</f>
        <v>333.34279369971534</v>
      </c>
      <c r="L8" s="34">
        <f>'SER_se-appl'!L24</f>
        <v>348.12162379028263</v>
      </c>
      <c r="M8" s="34">
        <f>'SER_se-appl'!M24</f>
        <v>357.65167386752171</v>
      </c>
      <c r="N8" s="34">
        <f>'SER_se-appl'!N24</f>
        <v>369.60047592212788</v>
      </c>
      <c r="O8" s="34">
        <f>'SER_se-appl'!O24</f>
        <v>381.58424786389639</v>
      </c>
      <c r="P8" s="34">
        <f>'SER_se-appl'!P24</f>
        <v>394.77655752564846</v>
      </c>
      <c r="Q8" s="34">
        <f>'SER_se-appl'!Q24</f>
        <v>408.89976998872146</v>
      </c>
      <c r="R8" s="34">
        <f>'SER_se-appl'!R24</f>
        <v>427.91850615679095</v>
      </c>
      <c r="S8" s="34">
        <f>'SER_se-appl'!S24</f>
        <v>445.68278116902536</v>
      </c>
      <c r="T8" s="34">
        <f>'SER_se-appl'!T24</f>
        <v>462.74276497711691</v>
      </c>
      <c r="U8" s="34">
        <f>'SER_se-appl'!U24</f>
        <v>478.78375756028009</v>
      </c>
      <c r="V8" s="34">
        <f>'SER_se-appl'!V24</f>
        <v>493.5739770088606</v>
      </c>
      <c r="W8" s="34">
        <f>'SER_se-appl'!W24</f>
        <v>506.8806636225857</v>
      </c>
      <c r="X8" s="34">
        <f>'SER_se-appl'!X24</f>
        <v>517.83571437329442</v>
      </c>
      <c r="Y8" s="34">
        <f>'SER_se-appl'!Y24</f>
        <v>526.81012223527443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18.623063882741292</v>
      </c>
      <c r="D9" s="36">
        <f>'SER_se-appl'!D32</f>
        <v>20.352786090306466</v>
      </c>
      <c r="E9" s="36">
        <f>'SER_se-appl'!E32</f>
        <v>23.315785964728576</v>
      </c>
      <c r="F9" s="36">
        <f>'SER_se-appl'!F32</f>
        <v>26.430979405109497</v>
      </c>
      <c r="G9" s="36">
        <f>'SER_se-appl'!G32</f>
        <v>27.963496125384211</v>
      </c>
      <c r="H9" s="36">
        <f>'SER_se-appl'!H32</f>
        <v>34.465630881454786</v>
      </c>
      <c r="I9" s="36">
        <f>'SER_se-appl'!I32</f>
        <v>32.876166513097417</v>
      </c>
      <c r="J9" s="36">
        <f>'SER_se-appl'!J32</f>
        <v>28.504806167519291</v>
      </c>
      <c r="K9" s="36">
        <f>'SER_se-appl'!K32</f>
        <v>22.076369629941269</v>
      </c>
      <c r="L9" s="36">
        <f>'SER_se-appl'!L32</f>
        <v>27.176963965991149</v>
      </c>
      <c r="M9" s="36">
        <f>'SER_se-appl'!M32</f>
        <v>23.323364258506274</v>
      </c>
      <c r="N9" s="36">
        <f>'SER_se-appl'!N32</f>
        <v>27.294298240953935</v>
      </c>
      <c r="O9" s="36">
        <f>'SER_se-appl'!O32</f>
        <v>29.056119465398979</v>
      </c>
      <c r="P9" s="36">
        <f>'SER_se-appl'!P32</f>
        <v>32.18583365264891</v>
      </c>
      <c r="Q9" s="36">
        <f>'SER_se-appl'!Q32</f>
        <v>35.254105744939466</v>
      </c>
      <c r="R9" s="36">
        <f>'SER_se-appl'!R32</f>
        <v>37.641800050810787</v>
      </c>
      <c r="S9" s="36">
        <f>'SER_se-appl'!S32</f>
        <v>38.117061102540902</v>
      </c>
      <c r="T9" s="36">
        <f>'SER_se-appl'!T32</f>
        <v>40.375769772820092</v>
      </c>
      <c r="U9" s="36">
        <f>'SER_se-appl'!U32</f>
        <v>42.471971988272685</v>
      </c>
      <c r="V9" s="36">
        <f>'SER_se-appl'!V32</f>
        <v>42.753715573964712</v>
      </c>
      <c r="W9" s="36">
        <f>'SER_se-appl'!W32</f>
        <v>47.772317495179891</v>
      </c>
      <c r="X9" s="36">
        <f>'SER_se-appl'!X32</f>
        <v>43.831217263806138</v>
      </c>
      <c r="Y9" s="36">
        <f>'SER_se-appl'!Y32</f>
        <v>37.479214029499303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4.7483809977242117</v>
      </c>
      <c r="D10" s="38">
        <f>'SER_se-appl'!D40</f>
        <v>5.28272332046663</v>
      </c>
      <c r="E10" s="38">
        <f>'SER_se-appl'!E40</f>
        <v>5.8771959735280745</v>
      </c>
      <c r="F10" s="38">
        <f>'SER_se-appl'!F40</f>
        <v>6.5385655117375165</v>
      </c>
      <c r="G10" s="38">
        <f>'SER_se-appl'!G40</f>
        <v>7.2743599403268888</v>
      </c>
      <c r="H10" s="38">
        <f>'SER_se-appl'!H40</f>
        <v>8.09295440206904</v>
      </c>
      <c r="I10" s="38">
        <f>'SER_se-appl'!I40</f>
        <v>9.0036665069154651</v>
      </c>
      <c r="J10" s="38">
        <f>'SER_se-appl'!J40</f>
        <v>10.016862389219114</v>
      </c>
      <c r="K10" s="38">
        <f>'SER_se-appl'!K40</f>
        <v>11.14407469973338</v>
      </c>
      <c r="L10" s="38">
        <f>'SER_se-appl'!L40</f>
        <v>12.398133875423866</v>
      </c>
      <c r="M10" s="38">
        <f>'SER_se-appl'!M40</f>
        <v>13.793314181267192</v>
      </c>
      <c r="N10" s="38">
        <f>'SER_se-appl'!N40</f>
        <v>15.345496186347759</v>
      </c>
      <c r="O10" s="38">
        <f>'SER_se-appl'!O40</f>
        <v>17.072347523630469</v>
      </c>
      <c r="P10" s="38">
        <f>'SER_se-appl'!P40</f>
        <v>18.993523990896847</v>
      </c>
      <c r="Q10" s="38">
        <f>'SER_se-appl'!Q40</f>
        <v>21.130893281866463</v>
      </c>
      <c r="R10" s="38">
        <f>'SER_se-appl'!R40</f>
        <v>18.623063882741292</v>
      </c>
      <c r="S10" s="38">
        <f>'SER_se-appl'!S40</f>
        <v>20.352786090306495</v>
      </c>
      <c r="T10" s="38">
        <f>'SER_se-appl'!T40</f>
        <v>23.315785964728548</v>
      </c>
      <c r="U10" s="38">
        <f>'SER_se-appl'!U40</f>
        <v>26.430979405109497</v>
      </c>
      <c r="V10" s="38">
        <f>'SER_se-appl'!V40</f>
        <v>27.963496125384211</v>
      </c>
      <c r="W10" s="38">
        <f>'SER_se-appl'!W40</f>
        <v>34.465630881454842</v>
      </c>
      <c r="X10" s="38">
        <f>'SER_se-appl'!X40</f>
        <v>32.87616651309736</v>
      </c>
      <c r="Y10" s="38">
        <f>'SER_se-appl'!Y40</f>
        <v>28.504806167519291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675.29244457327252</v>
      </c>
      <c r="C12" s="204">
        <f>'SER_se-appl'!C48</f>
        <v>678.5182369553803</v>
      </c>
      <c r="D12" s="204">
        <f>'SER_se-appl'!D48</f>
        <v>681.4766078929066</v>
      </c>
      <c r="E12" s="204">
        <f>'SER_se-appl'!E48</f>
        <v>684.20943446179808</v>
      </c>
      <c r="F12" s="204">
        <f>'SER_se-appl'!F48</f>
        <v>686.74940604505696</v>
      </c>
      <c r="G12" s="204">
        <f>'SER_se-appl'!G48</f>
        <v>689.12253759644818</v>
      </c>
      <c r="H12" s="204">
        <f>'SER_se-appl'!H48</f>
        <v>691.34987686618081</v>
      </c>
      <c r="I12" s="204">
        <f>'SER_se-appl'!I48</f>
        <v>693.4486975057016</v>
      </c>
      <c r="J12" s="204">
        <f>'SER_se-appl'!J48</f>
        <v>695.43335353106136</v>
      </c>
      <c r="K12" s="204">
        <f>'SER_se-appl'!K48</f>
        <v>697.31590444218386</v>
      </c>
      <c r="L12" s="204">
        <f>'SER_se-appl'!L48</f>
        <v>699.10658120180676</v>
      </c>
      <c r="M12" s="204">
        <f>'SER_se-appl'!M48</f>
        <v>700.24449042625179</v>
      </c>
      <c r="N12" s="204">
        <f>'SER_se-appl'!N48</f>
        <v>701.33117890934977</v>
      </c>
      <c r="O12" s="204">
        <f>'SER_se-appl'!O48</f>
        <v>702.37112941457713</v>
      </c>
      <c r="P12" s="204">
        <f>'SER_se-appl'!P48</f>
        <v>703.36825801905184</v>
      </c>
      <c r="Q12" s="204">
        <f>'SER_se-appl'!Q48</f>
        <v>704.326005996802</v>
      </c>
      <c r="R12" s="204">
        <f>'SER_se-appl'!R48</f>
        <v>698.51397553365109</v>
      </c>
      <c r="S12" s="204">
        <f>'SER_se-appl'!S48</f>
        <v>706.93759244745718</v>
      </c>
      <c r="T12" s="204">
        <f>'SER_se-appl'!T48</f>
        <v>706.4560283835574</v>
      </c>
      <c r="U12" s="204">
        <f>'SER_se-appl'!U48</f>
        <v>702.46859884141679</v>
      </c>
      <c r="V12" s="204">
        <f>'SER_se-appl'!V48</f>
        <v>685.71407365631489</v>
      </c>
      <c r="W12" s="204">
        <f>'SER_se-appl'!W48</f>
        <v>707.14094949384264</v>
      </c>
      <c r="X12" s="204">
        <f>'SER_se-appl'!X48</f>
        <v>704.76091262124305</v>
      </c>
      <c r="Y12" s="204">
        <f>'SER_se-appl'!Y48</f>
        <v>703.5708941849432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42.489520507824956</v>
      </c>
      <c r="C14" s="59">
        <f>'SER_se-appl'!C56</f>
        <v>42.462929663135263</v>
      </c>
      <c r="D14" s="59">
        <f>'SER_se-appl'!D56</f>
        <v>42.407112252677038</v>
      </c>
      <c r="E14" s="59">
        <f>'SER_se-appl'!E56</f>
        <v>42.317568365519598</v>
      </c>
      <c r="F14" s="59">
        <f>'SER_se-appl'!F56</f>
        <v>42.196707772855468</v>
      </c>
      <c r="G14" s="59">
        <f>'SER_se-appl'!G56</f>
        <v>42.046360278778749</v>
      </c>
      <c r="H14" s="59">
        <f>'SER_se-appl'!H56</f>
        <v>41.84955409585195</v>
      </c>
      <c r="I14" s="59">
        <f>'SER_se-appl'!I56</f>
        <v>41.645284555099025</v>
      </c>
      <c r="J14" s="59">
        <f>'SER_se-appl'!J56</f>
        <v>41.451528234894333</v>
      </c>
      <c r="K14" s="59">
        <f>'SER_se-appl'!K56</f>
        <v>41.272060885006873</v>
      </c>
      <c r="L14" s="59">
        <f>'SER_se-appl'!L56</f>
        <v>41.027846707373108</v>
      </c>
      <c r="M14" s="59">
        <f>'SER_se-appl'!M56</f>
        <v>40.772052296158456</v>
      </c>
      <c r="N14" s="59">
        <f>'SER_se-appl'!N56</f>
        <v>40.427831475937602</v>
      </c>
      <c r="O14" s="59">
        <f>'SER_se-appl'!O56</f>
        <v>40.013469279967275</v>
      </c>
      <c r="P14" s="59">
        <f>'SER_se-appl'!P56</f>
        <v>39.511360051006513</v>
      </c>
      <c r="Q14" s="59">
        <f>'SER_se-appl'!Q56</f>
        <v>38.918337118117044</v>
      </c>
      <c r="R14" s="59">
        <f>'SER_se-appl'!R56</f>
        <v>38.340234900642749</v>
      </c>
      <c r="S14" s="59">
        <f>'SER_se-appl'!S56</f>
        <v>37.759580183553709</v>
      </c>
      <c r="T14" s="59">
        <f>'SER_se-appl'!T56</f>
        <v>37.149462795086578</v>
      </c>
      <c r="U14" s="59">
        <f>'SER_se-appl'!U56</f>
        <v>36.51053491219313</v>
      </c>
      <c r="V14" s="59">
        <f>'SER_se-appl'!V56</f>
        <v>35.876435024962539</v>
      </c>
      <c r="W14" s="59">
        <f>'SER_se-appl'!W56</f>
        <v>35.169309609534636</v>
      </c>
      <c r="X14" s="59">
        <f>'SER_se-appl'!X56</f>
        <v>34.537079137732995</v>
      </c>
      <c r="Y14" s="59">
        <f>'SER_se-appl'!Y56</f>
        <v>34.010818795143251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42.231670050385432</v>
      </c>
      <c r="D15" s="63">
        <f>'SER_se-appl'!D64</f>
        <v>41.933242559673452</v>
      </c>
      <c r="E15" s="63">
        <f>'SER_se-appl'!E64</f>
        <v>41.609493876131651</v>
      </c>
      <c r="F15" s="63">
        <f>'SER_se-appl'!F64</f>
        <v>41.294724062668429</v>
      </c>
      <c r="G15" s="63">
        <f>'SER_se-appl'!G64</f>
        <v>40.908967042170985</v>
      </c>
      <c r="H15" s="63">
        <f>'SER_se-appl'!H64</f>
        <v>40.55127356468963</v>
      </c>
      <c r="I15" s="63">
        <f>'SER_se-appl'!I64</f>
        <v>40.136456659110294</v>
      </c>
      <c r="J15" s="63">
        <f>'SER_se-appl'!J64</f>
        <v>39.750429485500412</v>
      </c>
      <c r="K15" s="63">
        <f>'SER_se-appl'!K64</f>
        <v>39.265630590897793</v>
      </c>
      <c r="L15" s="63">
        <f>'SER_se-appl'!L64</f>
        <v>38.699219828649234</v>
      </c>
      <c r="M15" s="63">
        <f>'SER_se-appl'!M64</f>
        <v>37.969798452147437</v>
      </c>
      <c r="N15" s="63">
        <f>'SER_se-appl'!N64</f>
        <v>37.076453450085829</v>
      </c>
      <c r="O15" s="63">
        <f>'SER_se-appl'!O64</f>
        <v>36.19752758415656</v>
      </c>
      <c r="P15" s="63">
        <f>'SER_se-appl'!P64</f>
        <v>35.315998456509391</v>
      </c>
      <c r="Q15" s="63">
        <f>'SER_se-appl'!Q64</f>
        <v>34.418173136372928</v>
      </c>
      <c r="R15" s="63">
        <f>'SER_se-appl'!R64</f>
        <v>33.985623321367989</v>
      </c>
      <c r="S15" s="63">
        <f>'SER_se-appl'!S64</f>
        <v>33.469447711498894</v>
      </c>
      <c r="T15" s="63">
        <f>'SER_se-appl'!T64</f>
        <v>32.990292941612353</v>
      </c>
      <c r="U15" s="63">
        <f>'SER_se-appl'!U64</f>
        <v>32.526532231755894</v>
      </c>
      <c r="V15" s="63">
        <f>'SER_se-appl'!V64</f>
        <v>32.066952388746692</v>
      </c>
      <c r="W15" s="63">
        <f>'SER_se-appl'!W64</f>
        <v>31.746282864859225</v>
      </c>
      <c r="X15" s="63">
        <f>'SER_se-appl'!X64</f>
        <v>31.425613340971758</v>
      </c>
      <c r="Y15" s="63">
        <f>'SER_se-appl'!Y64</f>
        <v>31.10494381708429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1136.7080369650726</v>
      </c>
      <c r="C3" s="198">
        <f>'SER_se-appl'!C9</f>
        <v>1248.5887229346224</v>
      </c>
      <c r="D3" s="198">
        <f>'SER_se-appl'!D9</f>
        <v>1359.8394977798748</v>
      </c>
      <c r="E3" s="198">
        <f>'SER_se-appl'!E9</f>
        <v>1476.7823762430737</v>
      </c>
      <c r="F3" s="198">
        <f>'SER_se-appl'!F9</f>
        <v>1596.1936508482788</v>
      </c>
      <c r="G3" s="198">
        <f>'SER_se-appl'!G9</f>
        <v>1717.7821102900739</v>
      </c>
      <c r="H3" s="198">
        <f>'SER_se-appl'!H9</f>
        <v>1800.24197576191</v>
      </c>
      <c r="I3" s="198">
        <f>'SER_se-appl'!I9</f>
        <v>1874.7354073016807</v>
      </c>
      <c r="J3" s="198">
        <f>'SER_se-appl'!J9</f>
        <v>1929.458803064281</v>
      </c>
      <c r="K3" s="198">
        <f>'SER_se-appl'!K9</f>
        <v>1967.0886318180617</v>
      </c>
      <c r="L3" s="198">
        <f>'SER_se-appl'!L9</f>
        <v>1999.5508646619642</v>
      </c>
      <c r="M3" s="198">
        <f>'SER_se-appl'!M9</f>
        <v>1965.7330933864228</v>
      </c>
      <c r="N3" s="198">
        <f>'SER_se-appl'!N9</f>
        <v>1957.8625815020755</v>
      </c>
      <c r="O3" s="198">
        <f>'SER_se-appl'!O9</f>
        <v>2013.9360403279568</v>
      </c>
      <c r="P3" s="198">
        <f>'SER_se-appl'!P9</f>
        <v>2054.0416316437536</v>
      </c>
      <c r="Q3" s="198">
        <f>'SER_se-appl'!Q9</f>
        <v>2157.1231402113385</v>
      </c>
      <c r="R3" s="198">
        <f>'SER_se-appl'!R9</f>
        <v>2234.0680303759677</v>
      </c>
      <c r="S3" s="198">
        <f>'SER_se-appl'!S9</f>
        <v>2303.0107826657054</v>
      </c>
      <c r="T3" s="198">
        <f>'SER_se-appl'!T9</f>
        <v>2381.0501225454377</v>
      </c>
      <c r="U3" s="198">
        <f>'SER_se-appl'!U9</f>
        <v>2420.8771433853108</v>
      </c>
      <c r="V3" s="198">
        <f>'SER_se-appl'!V9</f>
        <v>2435.0031089109034</v>
      </c>
      <c r="W3" s="198">
        <f>'SER_se-appl'!W9</f>
        <v>2490.9243231737091</v>
      </c>
      <c r="X3" s="198">
        <f>'SER_se-appl'!X9</f>
        <v>2516.6715939914093</v>
      </c>
      <c r="Y3" s="198">
        <f>'SER_se-appl'!Y9</f>
        <v>2568.2610095618634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5926.0065148476751</v>
      </c>
      <c r="C5" s="59">
        <f>'SER_se-appl'!C17</f>
        <v>6231.4128087550262</v>
      </c>
      <c r="D5" s="59">
        <f>'SER_se-appl'!D17</f>
        <v>6486.5582427628478</v>
      </c>
      <c r="E5" s="59">
        <f>'SER_se-appl'!E17</f>
        <v>6791.8228094157521</v>
      </c>
      <c r="F5" s="59">
        <f>'SER_se-appl'!F17</f>
        <v>7124.2897753684829</v>
      </c>
      <c r="G5" s="59">
        <f>'SER_se-appl'!G17</f>
        <v>7498.9170116710775</v>
      </c>
      <c r="H5" s="59">
        <f>'SER_se-appl'!H17</f>
        <v>7672.8406330365451</v>
      </c>
      <c r="I5" s="59">
        <f>'SER_se-appl'!I17</f>
        <v>7811.2646899031079</v>
      </c>
      <c r="J5" s="59">
        <f>'SER_se-appl'!J17</f>
        <v>7874.9063805744718</v>
      </c>
      <c r="K5" s="59">
        <f>'SER_se-appl'!K17</f>
        <v>7830.2646119843293</v>
      </c>
      <c r="L5" s="59">
        <f>'SER_se-appl'!L17</f>
        <v>7768.2611655350274</v>
      </c>
      <c r="M5" s="59">
        <f>'SER_se-appl'!M17</f>
        <v>7479.4600311767217</v>
      </c>
      <c r="N5" s="59">
        <f>'SER_se-appl'!N17</f>
        <v>7327.9044800490592</v>
      </c>
      <c r="O5" s="59">
        <f>'SER_se-appl'!O17</f>
        <v>7345.4785859759813</v>
      </c>
      <c r="P5" s="59">
        <f>'SER_se-appl'!P17</f>
        <v>7435.9909636882649</v>
      </c>
      <c r="Q5" s="59">
        <f>'SER_se-appl'!Q17</f>
        <v>7802.5200913289045</v>
      </c>
      <c r="R5" s="59">
        <f>'SER_se-appl'!R17</f>
        <v>7985.6561929363625</v>
      </c>
      <c r="S5" s="59">
        <f>'SER_se-appl'!S17</f>
        <v>8100.6427263583328</v>
      </c>
      <c r="T5" s="59">
        <f>'SER_se-appl'!T17</f>
        <v>8254.2259575986609</v>
      </c>
      <c r="U5" s="59">
        <f>'SER_se-appl'!U17</f>
        <v>8310.6216548338271</v>
      </c>
      <c r="V5" s="59">
        <f>'SER_se-appl'!V17</f>
        <v>8317.4246106868432</v>
      </c>
      <c r="W5" s="59">
        <f>'SER_se-appl'!W17</f>
        <v>8357.8961268431121</v>
      </c>
      <c r="X5" s="59">
        <f>'SER_se-appl'!X17</f>
        <v>8388.1685625332611</v>
      </c>
      <c r="Y5" s="59">
        <f>'SER_se-appl'!Y17</f>
        <v>8444.0970649600458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0.20806209131764394</v>
      </c>
      <c r="C6" s="201">
        <f>'SER_se-appl'!C73</f>
        <v>0.22288945671710558</v>
      </c>
      <c r="D6" s="201">
        <f>'SER_se-appl'!D73</f>
        <v>0.23739245751444538</v>
      </c>
      <c r="E6" s="201">
        <f>'SER_se-appl'!E73</f>
        <v>0.25638370572552649</v>
      </c>
      <c r="F6" s="201">
        <f>'SER_se-appl'!F73</f>
        <v>0.27996591645308794</v>
      </c>
      <c r="G6" s="201">
        <f>'SER_se-appl'!G73</f>
        <v>0.30845835338998717</v>
      </c>
      <c r="H6" s="201">
        <f>'SER_se-appl'!H73</f>
        <v>0.33155537427056742</v>
      </c>
      <c r="I6" s="201">
        <f>'SER_se-appl'!I73</f>
        <v>0.35523502150175362</v>
      </c>
      <c r="J6" s="201">
        <f>'SER_se-appl'!J73</f>
        <v>0.37930282444711055</v>
      </c>
      <c r="K6" s="201">
        <f>'SER_se-appl'!K73</f>
        <v>0.40224856645235407</v>
      </c>
      <c r="L6" s="201">
        <f>'SER_se-appl'!L73</f>
        <v>0.43082190469936471</v>
      </c>
      <c r="M6" s="201">
        <f>'SER_se-appl'!M73</f>
        <v>0.45623414749549501</v>
      </c>
      <c r="N6" s="201">
        <f>'SER_se-appl'!N73</f>
        <v>0.4798041849633623</v>
      </c>
      <c r="O6" s="201">
        <f>'SER_se-appl'!O73</f>
        <v>0.51418909461305029</v>
      </c>
      <c r="P6" s="201">
        <f>'SER_se-appl'!P73</f>
        <v>0.54511816485609643</v>
      </c>
      <c r="Q6" s="201">
        <f>'SER_se-appl'!Q73</f>
        <v>0.5918346373595097</v>
      </c>
      <c r="R6" s="201">
        <f>'SER_se-appl'!R73</f>
        <v>0.61401936371471855</v>
      </c>
      <c r="S6" s="201">
        <f>'SER_se-appl'!S73</f>
        <v>0.6353082196290657</v>
      </c>
      <c r="T6" s="201">
        <f>'SER_se-appl'!T73</f>
        <v>0.66010878084680136</v>
      </c>
      <c r="U6" s="201">
        <f>'SER_se-appl'!U73</f>
        <v>0.68027827421006781</v>
      </c>
      <c r="V6" s="201">
        <f>'SER_se-appl'!V73</f>
        <v>0.69992292762795461</v>
      </c>
      <c r="W6" s="201">
        <f>'SER_se-appl'!W73</f>
        <v>0.72035315265713673</v>
      </c>
      <c r="X6" s="201">
        <f>'SER_se-appl'!X73</f>
        <v>0.73812538258719163</v>
      </c>
      <c r="Y6" s="201">
        <f>'SER_se-appl'!Y73</f>
        <v>0.76112635965953768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17095.104438424954</v>
      </c>
      <c r="C8" s="34">
        <f>'SER_se-appl'!C25</f>
        <v>18334.784180399016</v>
      </c>
      <c r="D8" s="34">
        <f>'SER_se-appl'!D25</f>
        <v>19570.70755176025</v>
      </c>
      <c r="E8" s="34">
        <f>'SER_se-appl'!E25</f>
        <v>21161.059876681946</v>
      </c>
      <c r="F8" s="34">
        <f>'SER_se-appl'!F25</f>
        <v>23106.054907919737</v>
      </c>
      <c r="G8" s="34">
        <f>'SER_se-appl'!G25</f>
        <v>25448.076035815968</v>
      </c>
      <c r="H8" s="34">
        <f>'SER_se-appl'!H25</f>
        <v>27332.760286340166</v>
      </c>
      <c r="I8" s="34">
        <f>'SER_se-appl'!I25</f>
        <v>29241.137402824828</v>
      </c>
      <c r="J8" s="34">
        <f>'SER_se-appl'!J25</f>
        <v>31185.457794032154</v>
      </c>
      <c r="K8" s="34">
        <f>'SER_se-appl'!K25</f>
        <v>32985.330146715598</v>
      </c>
      <c r="L8" s="34">
        <f>'SER_se-appl'!L25</f>
        <v>35242.204169446937</v>
      </c>
      <c r="M8" s="34">
        <f>'SER_se-appl'!M25</f>
        <v>36600.045435603184</v>
      </c>
      <c r="N8" s="34">
        <f>'SER_se-appl'!N25</f>
        <v>38541.662589318468</v>
      </c>
      <c r="O8" s="34">
        <f>'SER_se-appl'!O25</f>
        <v>41404.432050591233</v>
      </c>
      <c r="P8" s="34">
        <f>'SER_se-appl'!P25</f>
        <v>44027.811210642663</v>
      </c>
      <c r="Q8" s="34">
        <f>'SER_se-appl'!Q25</f>
        <v>48055.514864880366</v>
      </c>
      <c r="R8" s="34">
        <f>'SER_se-appl'!R25</f>
        <v>50457.46120250177</v>
      </c>
      <c r="S8" s="34">
        <f>'SER_se-appl'!S25</f>
        <v>52426.684448277549</v>
      </c>
      <c r="T8" s="34">
        <f>'SER_se-appl'!T25</f>
        <v>54651.957882050454</v>
      </c>
      <c r="U8" s="34">
        <f>'SER_se-appl'!U25</f>
        <v>56476.166945918027</v>
      </c>
      <c r="V8" s="34">
        <f>'SER_se-appl'!V25</f>
        <v>58210.287844308019</v>
      </c>
      <c r="W8" s="34">
        <f>'SER_se-appl'!W25</f>
        <v>59900.988740151945</v>
      </c>
      <c r="X8" s="34">
        <f>'SER_se-appl'!X25</f>
        <v>61439.433997957516</v>
      </c>
      <c r="Y8" s="34">
        <f>'SER_se-appl'!Y25</f>
        <v>63263.682086487643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4658.7006296590516</v>
      </c>
      <c r="D9" s="36">
        <f>'SER_se-appl'!D33</f>
        <v>4654.944259046224</v>
      </c>
      <c r="E9" s="36">
        <f>'SER_se-appl'!E33</f>
        <v>5009.3732126066861</v>
      </c>
      <c r="F9" s="36">
        <f>'SER_se-appl'!F33</f>
        <v>5364.0159189227816</v>
      </c>
      <c r="G9" s="36">
        <f>'SER_se-appl'!G33</f>
        <v>5761.0420155812208</v>
      </c>
      <c r="H9" s="36">
        <f>'SER_se-appl'!H33</f>
        <v>6543.3848801832501</v>
      </c>
      <c r="I9" s="36">
        <f>'SER_se-appl'!I33</f>
        <v>6563.3213755308861</v>
      </c>
      <c r="J9" s="36">
        <f>'SER_se-appl'!J33</f>
        <v>6953.693603814012</v>
      </c>
      <c r="K9" s="36">
        <f>'SER_se-appl'!K33</f>
        <v>7163.8882716062253</v>
      </c>
      <c r="L9" s="36">
        <f>'SER_se-appl'!L33</f>
        <v>8017.91603831256</v>
      </c>
      <c r="M9" s="36">
        <f>'SER_se-appl'!M33</f>
        <v>7901.2261463394971</v>
      </c>
      <c r="N9" s="36">
        <f>'SER_se-appl'!N33</f>
        <v>8504.9385292461702</v>
      </c>
      <c r="O9" s="36">
        <f>'SER_se-appl'!O33</f>
        <v>9816.4630650867766</v>
      </c>
      <c r="P9" s="36">
        <f>'SER_se-appl'!P33</f>
        <v>9787.2674316576522</v>
      </c>
      <c r="Q9" s="36">
        <f>'SER_se-appl'!Q33</f>
        <v>12045.619692550266</v>
      </c>
      <c r="R9" s="36">
        <f>'SER_se-appl'!R33</f>
        <v>10303.172483960901</v>
      </c>
      <c r="S9" s="36">
        <f>'SER_se-appl'!S33</f>
        <v>10474.161775021945</v>
      </c>
      <c r="T9" s="36">
        <f>'SER_se-appl'!T33</f>
        <v>12041.736498859682</v>
      </c>
      <c r="U9" s="36">
        <f>'SER_se-appl'!U33</f>
        <v>11611.476495525225</v>
      </c>
      <c r="V9" s="36">
        <f>'SER_se-appl'!V33</f>
        <v>13779.740590940259</v>
      </c>
      <c r="W9" s="36">
        <f>'SER_se-appl'!W33</f>
        <v>11993.873379804827</v>
      </c>
      <c r="X9" s="36">
        <f>'SER_se-appl'!X33</f>
        <v>12012.607032827516</v>
      </c>
      <c r="Y9" s="36">
        <f>'SER_se-appl'!Y33</f>
        <v>13865.984587389808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3419.0208876849902</v>
      </c>
      <c r="D10" s="38">
        <f>'SER_se-appl'!D41</f>
        <v>3419.0208876849902</v>
      </c>
      <c r="E10" s="38">
        <f>'SER_se-appl'!E41</f>
        <v>3419.0208876849902</v>
      </c>
      <c r="F10" s="38">
        <f>'SER_se-appl'!F41</f>
        <v>3419.0208876849902</v>
      </c>
      <c r="G10" s="38">
        <f>'SER_se-appl'!G41</f>
        <v>3419.0208876849902</v>
      </c>
      <c r="H10" s="38">
        <f>'SER_se-appl'!H41</f>
        <v>4658.7006296590516</v>
      </c>
      <c r="I10" s="38">
        <f>'SER_se-appl'!I41</f>
        <v>4654.944259046224</v>
      </c>
      <c r="J10" s="38">
        <f>'SER_se-appl'!J41</f>
        <v>5009.3732126066825</v>
      </c>
      <c r="K10" s="38">
        <f>'SER_se-appl'!K41</f>
        <v>5364.0159189227852</v>
      </c>
      <c r="L10" s="38">
        <f>'SER_se-appl'!L41</f>
        <v>5761.0420155812171</v>
      </c>
      <c r="M10" s="38">
        <f>'SER_se-appl'!M41</f>
        <v>6543.3848801832501</v>
      </c>
      <c r="N10" s="38">
        <f>'SER_se-appl'!N41</f>
        <v>6563.3213755308825</v>
      </c>
      <c r="O10" s="38">
        <f>'SER_se-appl'!O41</f>
        <v>6953.693603814012</v>
      </c>
      <c r="P10" s="38">
        <f>'SER_se-appl'!P41</f>
        <v>7163.8882716062217</v>
      </c>
      <c r="Q10" s="38">
        <f>'SER_se-appl'!Q41</f>
        <v>8017.9160383125636</v>
      </c>
      <c r="R10" s="38">
        <f>'SER_se-appl'!R41</f>
        <v>7901.2261463394971</v>
      </c>
      <c r="S10" s="38">
        <f>'SER_se-appl'!S41</f>
        <v>8504.9385292461666</v>
      </c>
      <c r="T10" s="38">
        <f>'SER_se-appl'!T41</f>
        <v>9816.4630650867766</v>
      </c>
      <c r="U10" s="38">
        <f>'SER_se-appl'!U41</f>
        <v>9787.2674316576449</v>
      </c>
      <c r="V10" s="38">
        <f>'SER_se-appl'!V41</f>
        <v>12045.619692550266</v>
      </c>
      <c r="W10" s="38">
        <f>'SER_se-appl'!W41</f>
        <v>10303.172483960901</v>
      </c>
      <c r="X10" s="38">
        <f>'SER_se-appl'!X41</f>
        <v>10474.161775021945</v>
      </c>
      <c r="Y10" s="38">
        <f>'SER_se-appl'!Y41</f>
        <v>12041.736498859689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2230.8302288870509</v>
      </c>
      <c r="C12" s="204">
        <f>'SER_se-appl'!C49</f>
        <v>2330.3041049258982</v>
      </c>
      <c r="D12" s="204">
        <f>'SER_se-appl'!D49</f>
        <v>2438.1085881445538</v>
      </c>
      <c r="E12" s="204">
        <f>'SER_se-appl'!E49</f>
        <v>2528.7731316984077</v>
      </c>
      <c r="F12" s="204">
        <f>'SER_se-appl'!F49</f>
        <v>2605.6958299966577</v>
      </c>
      <c r="G12" s="204">
        <f>'SER_se-appl'!G49</f>
        <v>2664.0921497838599</v>
      </c>
      <c r="H12" s="204">
        <f>'SER_se-appl'!H49</f>
        <v>2728.6913907692124</v>
      </c>
      <c r="I12" s="204">
        <f>'SER_se-appl'!I49</f>
        <v>2791.2474679166194</v>
      </c>
      <c r="J12" s="204">
        <f>'SER_se-appl'!J49</f>
        <v>2849.5076379562784</v>
      </c>
      <c r="K12" s="204">
        <f>'SER_se-appl'!K49</f>
        <v>2921.6433826553093</v>
      </c>
      <c r="L12" s="204">
        <f>'SER_se-appl'!L49</f>
        <v>2993.5626597097043</v>
      </c>
      <c r="M12" s="204">
        <f>'SER_se-appl'!M49</f>
        <v>3056.5676908213077</v>
      </c>
      <c r="N12" s="204">
        <f>'SER_se-appl'!N49</f>
        <v>3107.2923896405232</v>
      </c>
      <c r="O12" s="204">
        <f>'SER_se-appl'!O49</f>
        <v>3188.6385447684329</v>
      </c>
      <c r="P12" s="204">
        <f>'SER_se-appl'!P49</f>
        <v>3212.5515338399646</v>
      </c>
      <c r="Q12" s="204">
        <f>'SER_se-appl'!Q49</f>
        <v>3215.2870901976821</v>
      </c>
      <c r="R12" s="204">
        <f>'SER_se-appl'!R49</f>
        <v>3253.6100434995969</v>
      </c>
      <c r="S12" s="204">
        <f>'SER_se-appl'!S49</f>
        <v>3306.4062083926742</v>
      </c>
      <c r="T12" s="204">
        <f>'SER_se-appl'!T49</f>
        <v>3354.840667974584</v>
      </c>
      <c r="U12" s="204">
        <f>'SER_se-appl'!U49</f>
        <v>3387.8092815349232</v>
      </c>
      <c r="V12" s="204">
        <f>'SER_se-appl'!V49</f>
        <v>3404.7902424324166</v>
      </c>
      <c r="W12" s="204">
        <f>'SER_se-appl'!W49</f>
        <v>3466.1174820621254</v>
      </c>
      <c r="X12" s="204">
        <f>'SER_se-appl'!X49</f>
        <v>3489.3064463264395</v>
      </c>
      <c r="Y12" s="204">
        <f>'SER_se-appl'!Y49</f>
        <v>3537.2491944875337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346.64933087672108</v>
      </c>
      <c r="C14" s="59">
        <f>'SER_se-appl'!C57</f>
        <v>339.86834791416743</v>
      </c>
      <c r="D14" s="59">
        <f>'SER_se-appl'!D57</f>
        <v>331.44219367681609</v>
      </c>
      <c r="E14" s="59">
        <f>'SER_se-appl'!E57</f>
        <v>320.95853652868686</v>
      </c>
      <c r="F14" s="59">
        <f>'SER_se-appl'!F57</f>
        <v>308.32999418375789</v>
      </c>
      <c r="G14" s="59">
        <f>'SER_se-appl'!G57</f>
        <v>294.67520456623123</v>
      </c>
      <c r="H14" s="59">
        <f>'SER_se-appl'!H57</f>
        <v>280.71956701976887</v>
      </c>
      <c r="I14" s="59">
        <f>'SER_se-appl'!I57</f>
        <v>267.13272408988109</v>
      </c>
      <c r="J14" s="59">
        <f>'SER_se-appl'!J57</f>
        <v>252.51854350143492</v>
      </c>
      <c r="K14" s="59">
        <f>'SER_se-appl'!K57</f>
        <v>237.38627375127246</v>
      </c>
      <c r="L14" s="59">
        <f>'SER_se-appl'!L57</f>
        <v>220.42495208826026</v>
      </c>
      <c r="M14" s="59">
        <f>'SER_se-appl'!M57</f>
        <v>204.35657776263241</v>
      </c>
      <c r="N14" s="59">
        <f>'SER_se-appl'!N57</f>
        <v>190.12943365032552</v>
      </c>
      <c r="O14" s="59">
        <f>'SER_se-appl'!O57</f>
        <v>177.40802668179799</v>
      </c>
      <c r="P14" s="59">
        <f>'SER_se-appl'!P57</f>
        <v>168.89304190281422</v>
      </c>
      <c r="Q14" s="59">
        <f>'SER_se-appl'!Q57</f>
        <v>162.36471741625422</v>
      </c>
      <c r="R14" s="59">
        <f>'SER_se-appl'!R57</f>
        <v>158.26512080913852</v>
      </c>
      <c r="S14" s="59">
        <f>'SER_se-appl'!S57</f>
        <v>154.51373306565213</v>
      </c>
      <c r="T14" s="59">
        <f>'SER_se-appl'!T57</f>
        <v>151.03257554675139</v>
      </c>
      <c r="U14" s="59">
        <f>'SER_se-appl'!U57</f>
        <v>147.15272130263614</v>
      </c>
      <c r="V14" s="59">
        <f>'SER_se-appl'!V57</f>
        <v>142.8858182755086</v>
      </c>
      <c r="W14" s="59">
        <f>'SER_se-appl'!W57</f>
        <v>139.52851701829707</v>
      </c>
      <c r="X14" s="59">
        <f>'SER_se-appl'!X57</f>
        <v>136.52743875882899</v>
      </c>
      <c r="Y14" s="59">
        <f>'SER_se-appl'!Y57</f>
        <v>133.47463799872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319.96209144393458</v>
      </c>
      <c r="D15" s="63">
        <f>'SER_se-appl'!D65</f>
        <v>309.42298270881486</v>
      </c>
      <c r="E15" s="63">
        <f>'SER_se-appl'!E65</f>
        <v>297.53540140940277</v>
      </c>
      <c r="F15" s="63">
        <f>'SER_se-appl'!F65</f>
        <v>282.93507921338318</v>
      </c>
      <c r="G15" s="63">
        <f>'SER_se-appl'!G65</f>
        <v>270.75458485694827</v>
      </c>
      <c r="H15" s="63">
        <f>'SER_se-appl'!H65</f>
        <v>254.38381643779087</v>
      </c>
      <c r="I15" s="63">
        <f>'SER_se-appl'!I65</f>
        <v>240.54449013114456</v>
      </c>
      <c r="J15" s="63">
        <f>'SER_se-appl'!J65</f>
        <v>223.4938219655514</v>
      </c>
      <c r="K15" s="63">
        <f>'SER_se-appl'!K65</f>
        <v>205.61829616612022</v>
      </c>
      <c r="L15" s="63">
        <f>'SER_se-appl'!L65</f>
        <v>186.80977521661097</v>
      </c>
      <c r="M15" s="63">
        <f>'SER_se-appl'!M65</f>
        <v>174.11602432381943</v>
      </c>
      <c r="N15" s="63">
        <f>'SER_se-appl'!N65</f>
        <v>167.81017732326382</v>
      </c>
      <c r="O15" s="63">
        <f>'SER_se-appl'!O65</f>
        <v>160.10671621742924</v>
      </c>
      <c r="P15" s="63">
        <f>'SER_se-appl'!P65</f>
        <v>159.75234037102359</v>
      </c>
      <c r="Q15" s="63">
        <f>'SER_se-appl'!Q65</f>
        <v>154.77445478512817</v>
      </c>
      <c r="R15" s="63">
        <f>'SER_se-appl'!R65</f>
        <v>151.29963008172604</v>
      </c>
      <c r="S15" s="63">
        <f>'SER_se-appl'!S65</f>
        <v>147.23868212690448</v>
      </c>
      <c r="T15" s="63">
        <f>'SER_se-appl'!T65</f>
        <v>143.27376268567477</v>
      </c>
      <c r="U15" s="63">
        <f>'SER_se-appl'!U65</f>
        <v>139.51150621575613</v>
      </c>
      <c r="V15" s="63">
        <f>'SER_se-appl'!V65</f>
        <v>135.79045004277606</v>
      </c>
      <c r="W15" s="63">
        <f>'SER_se-appl'!W65</f>
        <v>133.34622194200608</v>
      </c>
      <c r="X15" s="63">
        <f>'SER_se-appl'!X65</f>
        <v>130.90199384123611</v>
      </c>
      <c r="Y15" s="63">
        <f>'SER_se-appl'!Y65</f>
        <v>128.45776574046616</v>
      </c>
      <c r="DA15" s="105" t="s">
        <v>957</v>
      </c>
    </row>
    <row r="17" spans="1:105" ht="12" customHeight="1" x14ac:dyDescent="0.25">
      <c r="A17" s="197" t="s">
        <v>184</v>
      </c>
      <c r="B17" s="198">
        <v>391.12854686156481</v>
      </c>
      <c r="C17" s="198">
        <v>472.86937098284602</v>
      </c>
      <c r="D17" s="198">
        <v>555.08106102545742</v>
      </c>
      <c r="E17" s="198">
        <v>635.27333594115964</v>
      </c>
      <c r="F17" s="198">
        <v>711.93580580607215</v>
      </c>
      <c r="G17" s="198">
        <v>782.2570937231294</v>
      </c>
      <c r="H17" s="198">
        <v>843.21747092115038</v>
      </c>
      <c r="I17" s="198">
        <v>898.3988931391599</v>
      </c>
      <c r="J17" s="198">
        <v>949.74608195060136</v>
      </c>
      <c r="K17" s="198">
        <v>997.96458331006465</v>
      </c>
      <c r="L17" s="198">
        <v>1043.0094582975059</v>
      </c>
      <c r="M17" s="198">
        <v>1047.889939810834</v>
      </c>
      <c r="N17" s="198">
        <v>1062.1926053310403</v>
      </c>
      <c r="O17" s="198">
        <v>1128.740326741188</v>
      </c>
      <c r="P17" s="198">
        <v>1151.9776440240769</v>
      </c>
      <c r="Q17" s="198">
        <v>1196.8701633705944</v>
      </c>
      <c r="R17" s="198">
        <v>1265.3955288048151</v>
      </c>
      <c r="S17" s="198">
        <v>1310.4858125537398</v>
      </c>
      <c r="T17" s="198">
        <v>1377.8245915735154</v>
      </c>
      <c r="U17" s="198">
        <v>1419.9104830689305</v>
      </c>
      <c r="V17" s="198">
        <v>1460.7799918761682</v>
      </c>
      <c r="W17" s="198">
        <v>1501.1517813499388</v>
      </c>
      <c r="X17" s="198">
        <v>1541.2792602751597</v>
      </c>
      <c r="Y17" s="198">
        <v>1608.764335277634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32722.085835267098</v>
      </c>
      <c r="C3" s="219">
        <v>36228.450707552744</v>
      </c>
      <c r="D3" s="219">
        <v>30146.032664489041</v>
      </c>
      <c r="E3" s="219">
        <v>27633.09500582327</v>
      </c>
      <c r="F3" s="219">
        <v>32020.298604215888</v>
      </c>
      <c r="G3" s="219">
        <v>24757.429539511089</v>
      </c>
      <c r="H3" s="219">
        <v>25406.730825022671</v>
      </c>
      <c r="I3" s="219">
        <v>30305.817977351191</v>
      </c>
      <c r="J3" s="219">
        <v>31162.217657946971</v>
      </c>
      <c r="K3" s="219">
        <v>23491.327645757749</v>
      </c>
      <c r="L3" s="219">
        <v>28327.24303961897</v>
      </c>
      <c r="M3" s="219">
        <v>35125.268140966517</v>
      </c>
      <c r="N3" s="219">
        <v>34786.726769022549</v>
      </c>
      <c r="O3" s="219">
        <v>35593.290901537177</v>
      </c>
      <c r="P3" s="219">
        <v>35927.577062686083</v>
      </c>
      <c r="Q3" s="219">
        <v>28203.506560000009</v>
      </c>
      <c r="R3" s="219">
        <v>29727.155445378321</v>
      </c>
      <c r="S3" s="219">
        <v>35985.575957007677</v>
      </c>
      <c r="T3" s="219">
        <v>31426.260173015351</v>
      </c>
      <c r="U3" s="219">
        <v>35504.644075081051</v>
      </c>
      <c r="V3" s="219">
        <v>29558.469432035741</v>
      </c>
      <c r="W3" s="219">
        <v>31960.122029177011</v>
      </c>
      <c r="X3" s="219">
        <v>42804.3153526971</v>
      </c>
      <c r="Y3" s="219">
        <v>39204</v>
      </c>
      <c r="DA3" s="210" t="s">
        <v>974</v>
      </c>
    </row>
    <row r="5" spans="1:105" x14ac:dyDescent="0.25">
      <c r="A5" s="218" t="s">
        <v>120</v>
      </c>
      <c r="B5" s="219">
        <v>30086.93817129323</v>
      </c>
      <c r="C5" s="219">
        <v>34669.732992425423</v>
      </c>
      <c r="D5" s="219">
        <v>30268.128684895601</v>
      </c>
      <c r="E5" s="219">
        <v>32488.439516246312</v>
      </c>
      <c r="F5" s="219">
        <v>30919.423392163098</v>
      </c>
      <c r="G5" s="219">
        <v>27511.247176392138</v>
      </c>
      <c r="H5" s="219">
        <v>29179.93014584999</v>
      </c>
      <c r="I5" s="219">
        <v>24780.4633464299</v>
      </c>
      <c r="J5" s="219">
        <v>29132.061425909858</v>
      </c>
      <c r="K5" s="219">
        <v>25599.4429213925</v>
      </c>
      <c r="L5" s="219">
        <v>28911.761199433091</v>
      </c>
      <c r="M5" s="219">
        <v>30582.60482630102</v>
      </c>
      <c r="N5" s="219">
        <v>30703.187069856111</v>
      </c>
      <c r="O5" s="219">
        <v>31620.139785655771</v>
      </c>
      <c r="P5" s="219">
        <v>32958.511618173827</v>
      </c>
      <c r="Q5" s="219">
        <v>31086.926337778848</v>
      </c>
      <c r="R5" s="219">
        <v>31219.257907481679</v>
      </c>
      <c r="S5" s="219">
        <v>32469.565240016451</v>
      </c>
      <c r="T5" s="219">
        <v>31844.962107686231</v>
      </c>
      <c r="U5" s="219">
        <v>31987.417572508901</v>
      </c>
      <c r="V5" s="219">
        <v>30252.230559988879</v>
      </c>
      <c r="W5" s="219">
        <v>32568.443694572881</v>
      </c>
      <c r="X5" s="219">
        <v>38268.09898450919</v>
      </c>
      <c r="Y5" s="219">
        <v>36857.129167020801</v>
      </c>
      <c r="DA5" s="210" t="s">
        <v>975</v>
      </c>
    </row>
    <row r="6" spans="1:105" x14ac:dyDescent="0.25">
      <c r="A6" s="220" t="s">
        <v>119</v>
      </c>
      <c r="B6" s="221">
        <v>37608.672714116532</v>
      </c>
      <c r="C6" s="221">
        <v>37608.672714116532</v>
      </c>
      <c r="D6" s="221">
        <v>35728.239078410697</v>
      </c>
      <c r="E6" s="221">
        <v>35728.239078410697</v>
      </c>
      <c r="F6" s="221">
        <v>33847.805442704877</v>
      </c>
      <c r="G6" s="221">
        <v>31967.37180699905</v>
      </c>
      <c r="H6" s="221">
        <v>31967.37180699905</v>
      </c>
      <c r="I6" s="221">
        <v>30086.938171293219</v>
      </c>
      <c r="J6" s="221">
        <v>31967.37180699905</v>
      </c>
      <c r="K6" s="221">
        <v>31967.37180699905</v>
      </c>
      <c r="L6" s="221">
        <v>31967.37180699905</v>
      </c>
      <c r="M6" s="221">
        <v>33847.805442704877</v>
      </c>
      <c r="N6" s="221">
        <v>33847.805442704877</v>
      </c>
      <c r="O6" s="221">
        <v>33847.805442704877</v>
      </c>
      <c r="P6" s="221">
        <v>35728.239078410697</v>
      </c>
      <c r="Q6" s="221">
        <v>35728.239078410697</v>
      </c>
      <c r="R6" s="221">
        <v>33847.805442704877</v>
      </c>
      <c r="S6" s="221">
        <v>35728.239078410697</v>
      </c>
      <c r="T6" s="221">
        <v>35728.239078410697</v>
      </c>
      <c r="U6" s="221">
        <v>33847.805442704877</v>
      </c>
      <c r="V6" s="221">
        <v>31967.37180699905</v>
      </c>
      <c r="W6" s="221">
        <v>35728.239078410697</v>
      </c>
      <c r="X6" s="221">
        <v>41369.539985528187</v>
      </c>
      <c r="Y6" s="221">
        <v>39489.106349822359</v>
      </c>
      <c r="DA6" s="211" t="s">
        <v>976</v>
      </c>
    </row>
    <row r="7" spans="1:105" x14ac:dyDescent="0.25">
      <c r="A7" s="224" t="s">
        <v>118</v>
      </c>
      <c r="B7" s="225"/>
      <c r="C7" s="225">
        <v>1880.4336357058271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0</v>
      </c>
      <c r="J7" s="225">
        <v>3760.8672714116528</v>
      </c>
      <c r="K7" s="225">
        <v>0</v>
      </c>
      <c r="L7" s="225">
        <v>1880.4336357058271</v>
      </c>
      <c r="M7" s="225">
        <v>3760.8672714116528</v>
      </c>
      <c r="N7" s="225">
        <v>0</v>
      </c>
      <c r="O7" s="225">
        <v>1880.4336357058271</v>
      </c>
      <c r="P7" s="225">
        <v>3760.8672714116528</v>
      </c>
      <c r="Q7" s="225">
        <v>0</v>
      </c>
      <c r="R7" s="225">
        <v>0</v>
      </c>
      <c r="S7" s="225">
        <v>3760.8672714116528</v>
      </c>
      <c r="T7" s="225">
        <v>0</v>
      </c>
      <c r="U7" s="225">
        <v>0</v>
      </c>
      <c r="V7" s="225">
        <v>0</v>
      </c>
      <c r="W7" s="225">
        <v>3760.8672714116528</v>
      </c>
      <c r="X7" s="225">
        <v>7521.7345428233066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1880.4336357058273</v>
      </c>
      <c r="D8" s="227">
        <f t="shared" ref="D8" si="1">IF(C6=0,0,C6+D7-D6)</f>
        <v>1880.4336357058346</v>
      </c>
      <c r="E8" s="227">
        <f t="shared" ref="E8" si="2">IF(D6=0,0,D6+E7-E6)</f>
        <v>0</v>
      </c>
      <c r="F8" s="227">
        <f t="shared" ref="F8" si="3">IF(E6=0,0,E6+F7-F6)</f>
        <v>1880.4336357058201</v>
      </c>
      <c r="G8" s="227">
        <f t="shared" ref="G8" si="4">IF(F6=0,0,F6+G7-G6)</f>
        <v>1880.4336357058273</v>
      </c>
      <c r="H8" s="227">
        <f t="shared" ref="H8" si="5">IF(G6=0,0,G6+H7-H6)</f>
        <v>0</v>
      </c>
      <c r="I8" s="227">
        <f t="shared" ref="I8" si="6">IF(H6=0,0,H6+I7-I6)</f>
        <v>1880.433635705831</v>
      </c>
      <c r="J8" s="227">
        <f t="shared" ref="J8" si="7">IF(I6=0,0,I6+J7-J6)</f>
        <v>1880.4336357058201</v>
      </c>
      <c r="K8" s="227">
        <f t="shared" ref="K8" si="8">IF(J6=0,0,J6+K7-K6)</f>
        <v>0</v>
      </c>
      <c r="L8" s="227">
        <f t="shared" ref="L8" si="9">IF(K6=0,0,K6+L7-L6)</f>
        <v>1880.4336357058273</v>
      </c>
      <c r="M8" s="227">
        <f t="shared" ref="M8" si="10">IF(L6=0,0,L6+M7-M6)</f>
        <v>1880.4336357058273</v>
      </c>
      <c r="N8" s="227">
        <f t="shared" ref="N8" si="11">IF(M6=0,0,M6+N7-N6)</f>
        <v>0</v>
      </c>
      <c r="O8" s="227">
        <f t="shared" ref="O8" si="12">IF(N6=0,0,N6+O7-O6)</f>
        <v>1880.4336357058273</v>
      </c>
      <c r="P8" s="227">
        <f t="shared" ref="P8" si="13">IF(O6=0,0,O6+P7-P6)</f>
        <v>1880.4336357058346</v>
      </c>
      <c r="Q8" s="227">
        <f t="shared" ref="Q8" si="14">IF(P6=0,0,P6+Q7-Q6)</f>
        <v>0</v>
      </c>
      <c r="R8" s="227">
        <f t="shared" ref="R8" si="15">IF(Q6=0,0,Q6+R7-R6)</f>
        <v>1880.4336357058201</v>
      </c>
      <c r="S8" s="227">
        <f t="shared" ref="S8" si="16">IF(R6=0,0,R6+S7-S6)</f>
        <v>1880.4336357058346</v>
      </c>
      <c r="T8" s="227">
        <f t="shared" ref="T8" si="17">IF(S6=0,0,S6+T7-T6)</f>
        <v>0</v>
      </c>
      <c r="U8" s="227">
        <f t="shared" ref="U8" si="18">IF(T6=0,0,T6+U7-U6)</f>
        <v>1880.4336357058201</v>
      </c>
      <c r="V8" s="227">
        <f t="shared" ref="V8" si="19">IF(U6=0,0,U6+V7-V6)</f>
        <v>1880.4336357058273</v>
      </c>
      <c r="W8" s="227">
        <f t="shared" ref="W8" si="20">IF(V6=0,0,V6+W7-W6)</f>
        <v>7.2759576141834259E-12</v>
      </c>
      <c r="X8" s="227">
        <f t="shared" ref="X8" si="21">IF(W6=0,0,W6+X7-X6)</f>
        <v>1880.4336357058201</v>
      </c>
      <c r="Y8" s="227">
        <f t="shared" ref="Y8" si="22">IF(X6=0,0,X6+Y7-Y6)</f>
        <v>1880.4336357058273</v>
      </c>
      <c r="DA8" s="213" t="s">
        <v>978</v>
      </c>
    </row>
    <row r="9" spans="1:105" x14ac:dyDescent="0.25">
      <c r="A9" s="222" t="s">
        <v>116</v>
      </c>
      <c r="B9" s="223">
        <f>B6-B5</f>
        <v>7521.734542823302</v>
      </c>
      <c r="C9" s="223">
        <f t="shared" ref="C9:W9" si="23">C6-C5</f>
        <v>2938.9397216911093</v>
      </c>
      <c r="D9" s="223">
        <f t="shared" si="23"/>
        <v>5460.1103935150968</v>
      </c>
      <c r="E9" s="223">
        <f t="shared" si="23"/>
        <v>3239.7995621643859</v>
      </c>
      <c r="F9" s="223">
        <f t="shared" si="23"/>
        <v>2928.3820505417789</v>
      </c>
      <c r="G9" s="223">
        <f t="shared" si="23"/>
        <v>4456.1246306069115</v>
      </c>
      <c r="H9" s="223">
        <f t="shared" si="23"/>
        <v>2787.4416611490597</v>
      </c>
      <c r="I9" s="223">
        <f t="shared" si="23"/>
        <v>5306.4748248633186</v>
      </c>
      <c r="J9" s="223">
        <f t="shared" si="23"/>
        <v>2835.3103810891917</v>
      </c>
      <c r="K9" s="223">
        <f t="shared" si="23"/>
        <v>6367.9288856065505</v>
      </c>
      <c r="L9" s="223">
        <f t="shared" si="23"/>
        <v>3055.6106075659591</v>
      </c>
      <c r="M9" s="223">
        <f t="shared" si="23"/>
        <v>3265.2006164038576</v>
      </c>
      <c r="N9" s="223">
        <f t="shared" si="23"/>
        <v>3144.6183728487667</v>
      </c>
      <c r="O9" s="223">
        <f t="shared" si="23"/>
        <v>2227.6656570491068</v>
      </c>
      <c r="P9" s="223">
        <f t="shared" si="23"/>
        <v>2769.7274602368707</v>
      </c>
      <c r="Q9" s="223">
        <f t="shared" si="23"/>
        <v>4641.312740631849</v>
      </c>
      <c r="R9" s="223">
        <f t="shared" si="23"/>
        <v>2628.5475352231988</v>
      </c>
      <c r="S9" s="223">
        <f t="shared" si="23"/>
        <v>3258.6738383942466</v>
      </c>
      <c r="T9" s="223">
        <f t="shared" si="23"/>
        <v>3883.2769707244661</v>
      </c>
      <c r="U9" s="223">
        <f t="shared" si="23"/>
        <v>1860.3878701959766</v>
      </c>
      <c r="V9" s="223">
        <f t="shared" si="23"/>
        <v>1715.1412470101714</v>
      </c>
      <c r="W9" s="223">
        <f t="shared" si="23"/>
        <v>3159.7953838378162</v>
      </c>
      <c r="X9" s="223">
        <f t="shared" ref="X9:Y9" si="24">X6-X5</f>
        <v>3101.4410010189968</v>
      </c>
      <c r="Y9" s="223">
        <f t="shared" si="24"/>
        <v>2631.9771828015582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3383.9294454535143</v>
      </c>
      <c r="C12" s="229">
        <f t="shared" ref="C12:W12" si="25">SUM(C13,C14,C18,C19,C26,C27)</f>
        <v>3807.410119092322</v>
      </c>
      <c r="D12" s="229">
        <f t="shared" si="25"/>
        <v>3444.787459238883</v>
      </c>
      <c r="E12" s="229">
        <f t="shared" si="25"/>
        <v>3883.5988983301413</v>
      </c>
      <c r="F12" s="229">
        <f t="shared" si="25"/>
        <v>3627.0388463887598</v>
      </c>
      <c r="G12" s="229">
        <f t="shared" si="25"/>
        <v>3694.596367114334</v>
      </c>
      <c r="H12" s="229">
        <f t="shared" si="25"/>
        <v>3795.0608280480074</v>
      </c>
      <c r="I12" s="229">
        <f t="shared" si="25"/>
        <v>2919.5027078504936</v>
      </c>
      <c r="J12" s="229">
        <f t="shared" si="25"/>
        <v>3597.6986274087299</v>
      </c>
      <c r="K12" s="229">
        <f t="shared" si="25"/>
        <v>3528.4634779437324</v>
      </c>
      <c r="L12" s="229">
        <f t="shared" si="25"/>
        <v>3714.4724143359513</v>
      </c>
      <c r="M12" s="229">
        <f t="shared" si="25"/>
        <v>3548.2339428645655</v>
      </c>
      <c r="N12" s="229">
        <f t="shared" si="25"/>
        <v>3632.5606405487783</v>
      </c>
      <c r="O12" s="229">
        <f t="shared" si="25"/>
        <v>3727.850914133579</v>
      </c>
      <c r="P12" s="229">
        <f t="shared" si="25"/>
        <v>3764.2790576894017</v>
      </c>
      <c r="Q12" s="229">
        <f t="shared" si="25"/>
        <v>3627.1382321735496</v>
      </c>
      <c r="R12" s="229">
        <f t="shared" si="25"/>
        <v>3696.7503224983657</v>
      </c>
      <c r="S12" s="229">
        <f t="shared" si="25"/>
        <v>3547.620162998126</v>
      </c>
      <c r="T12" s="229">
        <f t="shared" si="25"/>
        <v>3663.4292777300088</v>
      </c>
      <c r="U12" s="229">
        <f t="shared" si="25"/>
        <v>3656.4988822012033</v>
      </c>
      <c r="V12" s="229">
        <f t="shared" si="25"/>
        <v>3661.2091143594153</v>
      </c>
      <c r="W12" s="229">
        <f t="shared" si="25"/>
        <v>3765.3332760103176</v>
      </c>
      <c r="X12" s="229">
        <f t="shared" ref="X12:Y12" si="26">SUM(X13,X14,X18,X19,X26,X27)</f>
        <v>3785.7295786758377</v>
      </c>
      <c r="Y12" s="229">
        <f t="shared" si="26"/>
        <v>3736.535769561478</v>
      </c>
      <c r="DA12" s="210" t="s">
        <v>980</v>
      </c>
    </row>
    <row r="13" spans="1:105" x14ac:dyDescent="0.25">
      <c r="A13" s="58" t="s">
        <v>29</v>
      </c>
      <c r="B13" s="59">
        <v>31.924075666380048</v>
      </c>
      <c r="C13" s="59">
        <v>34.88073946689596</v>
      </c>
      <c r="D13" s="59">
        <v>29.093809114359416</v>
      </c>
      <c r="E13" s="59">
        <v>31.905331040412726</v>
      </c>
      <c r="F13" s="59">
        <v>30.896646603611348</v>
      </c>
      <c r="G13" s="59">
        <v>15.315907136715389</v>
      </c>
      <c r="H13" s="59">
        <v>8.1661220980223561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2633.6599435930329</v>
      </c>
      <c r="C14" s="55">
        <f t="shared" ref="C14:W14" si="27">SUM(C15:C17)</f>
        <v>3018.099451946769</v>
      </c>
      <c r="D14" s="55">
        <f t="shared" si="27"/>
        <v>2710.6093985967191</v>
      </c>
      <c r="E14" s="55">
        <f t="shared" si="27"/>
        <v>3063.6686509363171</v>
      </c>
      <c r="F14" s="55">
        <f t="shared" si="27"/>
        <v>2826.7344098831436</v>
      </c>
      <c r="G14" s="55">
        <f t="shared" si="27"/>
        <v>2905.133417807247</v>
      </c>
      <c r="H14" s="55">
        <f t="shared" si="27"/>
        <v>2941.9547053643091</v>
      </c>
      <c r="I14" s="55">
        <f t="shared" si="27"/>
        <v>2099.8117273756279</v>
      </c>
      <c r="J14" s="55">
        <f t="shared" si="27"/>
        <v>2654.1996161872376</v>
      </c>
      <c r="K14" s="55">
        <f t="shared" si="27"/>
        <v>2434.3634121219397</v>
      </c>
      <c r="L14" s="55">
        <f t="shared" si="27"/>
        <v>2427.2594306730107</v>
      </c>
      <c r="M14" s="55">
        <f t="shared" si="27"/>
        <v>2221.3309334062678</v>
      </c>
      <c r="N14" s="55">
        <f t="shared" si="27"/>
        <v>2315.1970979864391</v>
      </c>
      <c r="O14" s="55">
        <f t="shared" si="27"/>
        <v>2471.1859958188757</v>
      </c>
      <c r="P14" s="55">
        <f t="shared" si="27"/>
        <v>2250.1830989619725</v>
      </c>
      <c r="Q14" s="55">
        <f t="shared" si="27"/>
        <v>2176.0108031107811</v>
      </c>
      <c r="R14" s="55">
        <f t="shared" si="27"/>
        <v>2198.8805030658641</v>
      </c>
      <c r="S14" s="55">
        <f t="shared" si="27"/>
        <v>2129.6904983377653</v>
      </c>
      <c r="T14" s="55">
        <f t="shared" si="27"/>
        <v>2194.3498710232161</v>
      </c>
      <c r="U14" s="55">
        <f t="shared" si="27"/>
        <v>2189.0191745485808</v>
      </c>
      <c r="V14" s="55">
        <f t="shared" si="27"/>
        <v>2186.1571797076526</v>
      </c>
      <c r="W14" s="55">
        <f t="shared" si="27"/>
        <v>2227.2613929492686</v>
      </c>
      <c r="X14" s="55">
        <f t="shared" ref="X14:Y14" si="28">SUM(X15:X17)</f>
        <v>2223.6426483233013</v>
      </c>
      <c r="Y14" s="55">
        <f t="shared" si="28"/>
        <v>2182.5363714531377</v>
      </c>
      <c r="DA14" s="10"/>
    </row>
    <row r="15" spans="1:105" x14ac:dyDescent="0.25">
      <c r="A15" s="61" t="s">
        <v>52</v>
      </c>
      <c r="B15" s="55">
        <v>121.1898542898397</v>
      </c>
      <c r="C15" s="55">
        <v>124.86225858860234</v>
      </c>
      <c r="D15" s="55">
        <v>110.17259480894518</v>
      </c>
      <c r="E15" s="55">
        <v>204.03410201797104</v>
      </c>
      <c r="F15" s="55">
        <v>202.45902988135992</v>
      </c>
      <c r="G15" s="55">
        <v>302.99429442862015</v>
      </c>
      <c r="H15" s="55">
        <v>233.17985435936899</v>
      </c>
      <c r="I15" s="55">
        <v>217.9006157975123</v>
      </c>
      <c r="J15" s="55">
        <v>237.68971013249967</v>
      </c>
      <c r="K15" s="55">
        <v>222.17703610654669</v>
      </c>
      <c r="L15" s="55">
        <v>197.75542872902827</v>
      </c>
      <c r="M15" s="55">
        <v>198.35110609470351</v>
      </c>
      <c r="N15" s="55">
        <v>207.88147809944078</v>
      </c>
      <c r="O15" s="55">
        <v>250.76819870536514</v>
      </c>
      <c r="P15" s="55">
        <v>215.97629886458716</v>
      </c>
      <c r="Q15" s="55">
        <v>181.3964987380439</v>
      </c>
      <c r="R15" s="55">
        <v>227.97039096304985</v>
      </c>
      <c r="S15" s="55">
        <v>149.37913148679064</v>
      </c>
      <c r="T15" s="55">
        <v>206.78976784178849</v>
      </c>
      <c r="U15" s="55">
        <v>210.90498710232151</v>
      </c>
      <c r="V15" s="55">
        <v>202.67454858125541</v>
      </c>
      <c r="W15" s="55">
        <v>194.44411006018919</v>
      </c>
      <c r="X15" s="55">
        <v>175.92562338779021</v>
      </c>
      <c r="Y15" s="55">
        <v>179.01203783318999</v>
      </c>
      <c r="DA15" s="10" t="s">
        <v>982</v>
      </c>
    </row>
    <row r="16" spans="1:105" x14ac:dyDescent="0.25">
      <c r="A16" s="61" t="s">
        <v>165</v>
      </c>
      <c r="B16" s="55">
        <v>2507.6454117451535</v>
      </c>
      <c r="C16" s="55">
        <v>2887.4475974854236</v>
      </c>
      <c r="D16" s="55">
        <v>2595.6121262297343</v>
      </c>
      <c r="E16" s="55">
        <v>2692.5600863216132</v>
      </c>
      <c r="F16" s="55">
        <v>2480.0831186088344</v>
      </c>
      <c r="G16" s="55">
        <v>2429.0557183915244</v>
      </c>
      <c r="H16" s="55">
        <v>2555.2363299387321</v>
      </c>
      <c r="I16" s="55">
        <v>1761.642237975364</v>
      </c>
      <c r="J16" s="55">
        <v>2291.0413763900774</v>
      </c>
      <c r="K16" s="55">
        <v>2086.7271326791933</v>
      </c>
      <c r="L16" s="55">
        <v>2103.0810440763985</v>
      </c>
      <c r="M16" s="55">
        <v>1902.6443157036535</v>
      </c>
      <c r="N16" s="55">
        <v>1999.4601598698014</v>
      </c>
      <c r="O16" s="55">
        <v>2116.569731765273</v>
      </c>
      <c r="P16" s="55">
        <v>1941.6461810088213</v>
      </c>
      <c r="Q16" s="55">
        <v>1911.8054479668899</v>
      </c>
      <c r="R16" s="55">
        <v>1896.1801894888849</v>
      </c>
      <c r="S16" s="55">
        <v>1917.6997589403986</v>
      </c>
      <c r="T16" s="55">
        <v>1874.4552880481513</v>
      </c>
      <c r="U16" s="55">
        <v>1865.0094582975062</v>
      </c>
      <c r="V16" s="55">
        <v>1880.4764402407566</v>
      </c>
      <c r="W16" s="55">
        <v>1900.5250214961304</v>
      </c>
      <c r="X16" s="55">
        <v>1915.4247635425622</v>
      </c>
      <c r="Y16" s="55">
        <v>1872.2419604471188</v>
      </c>
      <c r="DA16" s="10" t="s">
        <v>983</v>
      </c>
    </row>
    <row r="17" spans="1:105" x14ac:dyDescent="0.25">
      <c r="A17" s="61" t="s">
        <v>113</v>
      </c>
      <c r="B17" s="55">
        <v>4.8246775580395527</v>
      </c>
      <c r="C17" s="55">
        <v>5.7895958727429058</v>
      </c>
      <c r="D17" s="55">
        <v>4.8246775580395527</v>
      </c>
      <c r="E17" s="55">
        <v>167.07446259673262</v>
      </c>
      <c r="F17" s="55">
        <v>144.19226139294923</v>
      </c>
      <c r="G17" s="55">
        <v>173.08340498710234</v>
      </c>
      <c r="H17" s="55">
        <v>153.53852106620803</v>
      </c>
      <c r="I17" s="55">
        <v>120.26887360275148</v>
      </c>
      <c r="J17" s="55">
        <v>125.46852966466035</v>
      </c>
      <c r="K17" s="55">
        <v>125.45924333619946</v>
      </c>
      <c r="L17" s="55">
        <v>126.42295786758382</v>
      </c>
      <c r="M17" s="55">
        <v>120.33551160791062</v>
      </c>
      <c r="N17" s="55">
        <v>107.85546001719692</v>
      </c>
      <c r="O17" s="55">
        <v>103.8480653482373</v>
      </c>
      <c r="P17" s="55">
        <v>92.560619088564053</v>
      </c>
      <c r="Q17" s="55">
        <v>82.808856405846939</v>
      </c>
      <c r="R17" s="55">
        <v>74.729922613929489</v>
      </c>
      <c r="S17" s="55">
        <v>62.61160791057609</v>
      </c>
      <c r="T17" s="55">
        <v>113.10481513327599</v>
      </c>
      <c r="U17" s="55">
        <v>113.10472914875319</v>
      </c>
      <c r="V17" s="55">
        <v>103.00619088564056</v>
      </c>
      <c r="W17" s="55">
        <v>132.29226139294926</v>
      </c>
      <c r="X17" s="55">
        <v>132.29226139294926</v>
      </c>
      <c r="Y17" s="55">
        <v>131.2823731728289</v>
      </c>
      <c r="DA17" s="10" t="s">
        <v>984</v>
      </c>
    </row>
    <row r="18" spans="1:105" x14ac:dyDescent="0.25">
      <c r="A18" s="60" t="s">
        <v>149</v>
      </c>
      <c r="B18" s="55">
        <v>258.06104901117794</v>
      </c>
      <c r="C18" s="55">
        <v>236.54342218400691</v>
      </c>
      <c r="D18" s="55">
        <v>236.52192605331044</v>
      </c>
      <c r="E18" s="55">
        <v>104.92451657349065</v>
      </c>
      <c r="F18" s="55">
        <v>107.26883479769276</v>
      </c>
      <c r="G18" s="55">
        <v>86.690234452705965</v>
      </c>
      <c r="H18" s="55">
        <v>105.89112161446272</v>
      </c>
      <c r="I18" s="55">
        <v>65.784863790236216</v>
      </c>
      <c r="J18" s="55">
        <v>108.43167205987821</v>
      </c>
      <c r="K18" s="55">
        <v>210.09932177290162</v>
      </c>
      <c r="L18" s="55">
        <v>329.99097162510748</v>
      </c>
      <c r="M18" s="55">
        <v>389.65924333619938</v>
      </c>
      <c r="N18" s="55">
        <v>320.24840928632852</v>
      </c>
      <c r="O18" s="55">
        <v>310.25726569217539</v>
      </c>
      <c r="P18" s="55">
        <v>367.47532244196037</v>
      </c>
      <c r="Q18" s="55">
        <v>317.58383490971619</v>
      </c>
      <c r="R18" s="55">
        <v>332.84419604471191</v>
      </c>
      <c r="S18" s="55">
        <v>253.61418744625959</v>
      </c>
      <c r="T18" s="55">
        <v>255.64415305245052</v>
      </c>
      <c r="U18" s="55">
        <v>257.67411865864142</v>
      </c>
      <c r="V18" s="55">
        <v>247.67841788478071</v>
      </c>
      <c r="W18" s="55">
        <v>253.80980139995975</v>
      </c>
      <c r="X18" s="55">
        <v>347.34619711547498</v>
      </c>
      <c r="Y18" s="55">
        <v>354.22744154244663</v>
      </c>
      <c r="DA18" s="10" t="s">
        <v>985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9">SUM(C20:C25)</f>
        <v>0</v>
      </c>
      <c r="D19" s="55">
        <f t="shared" si="29"/>
        <v>0</v>
      </c>
      <c r="E19" s="55">
        <f t="shared" si="29"/>
        <v>154.85064488392084</v>
      </c>
      <c r="F19" s="55">
        <f t="shared" si="29"/>
        <v>168.78667239896811</v>
      </c>
      <c r="G19" s="55">
        <f t="shared" si="29"/>
        <v>184.91530524505583</v>
      </c>
      <c r="H19" s="55">
        <f t="shared" si="29"/>
        <v>222.84213241616513</v>
      </c>
      <c r="I19" s="55">
        <f t="shared" si="29"/>
        <v>356.79337919174543</v>
      </c>
      <c r="J19" s="55">
        <f t="shared" si="29"/>
        <v>345.70593293207213</v>
      </c>
      <c r="K19" s="55">
        <f t="shared" si="29"/>
        <v>404.05674978503868</v>
      </c>
      <c r="L19" s="55">
        <f t="shared" si="29"/>
        <v>451.9769561478933</v>
      </c>
      <c r="M19" s="55">
        <f t="shared" si="29"/>
        <v>453.15090283748918</v>
      </c>
      <c r="N19" s="55">
        <f t="shared" si="29"/>
        <v>507.26130696474638</v>
      </c>
      <c r="O19" s="55">
        <f t="shared" si="29"/>
        <v>561.7988822012037</v>
      </c>
      <c r="P19" s="55">
        <f t="shared" si="29"/>
        <v>608.61547721410147</v>
      </c>
      <c r="Q19" s="55">
        <f t="shared" si="29"/>
        <v>657.27532244196027</v>
      </c>
      <c r="R19" s="55">
        <f t="shared" si="29"/>
        <v>695.80808254514181</v>
      </c>
      <c r="S19" s="55">
        <f t="shared" si="29"/>
        <v>726.65425623387785</v>
      </c>
      <c r="T19" s="55">
        <f t="shared" si="29"/>
        <v>763.47824591573522</v>
      </c>
      <c r="U19" s="55">
        <f t="shared" si="29"/>
        <v>768.70498710232152</v>
      </c>
      <c r="V19" s="55">
        <f t="shared" si="29"/>
        <v>817.74325021496122</v>
      </c>
      <c r="W19" s="55">
        <f t="shared" si="29"/>
        <v>836.88460960605903</v>
      </c>
      <c r="X19" s="55">
        <f t="shared" ref="X19:Y19" si="30">SUM(X20:X25)</f>
        <v>831.16377708916798</v>
      </c>
      <c r="Y19" s="55">
        <f t="shared" si="30"/>
        <v>811.12191357363236</v>
      </c>
      <c r="DA19" s="10"/>
    </row>
    <row r="20" spans="1:105" x14ac:dyDescent="0.25">
      <c r="A20" s="61" t="s">
        <v>164</v>
      </c>
      <c r="B20" s="55">
        <v>0</v>
      </c>
      <c r="C20" s="55">
        <v>0</v>
      </c>
      <c r="D20" s="55">
        <v>0</v>
      </c>
      <c r="E20" s="55">
        <v>110.4423043852106</v>
      </c>
      <c r="F20" s="55">
        <v>113.64290627687009</v>
      </c>
      <c r="G20" s="55">
        <v>113.5234737747205</v>
      </c>
      <c r="H20" s="55">
        <v>109.58245915735171</v>
      </c>
      <c r="I20" s="55">
        <v>104.59062768701629</v>
      </c>
      <c r="J20" s="55">
        <v>110.8722269991401</v>
      </c>
      <c r="K20" s="55">
        <v>113.6190025795357</v>
      </c>
      <c r="L20" s="55">
        <v>130.33817712811691</v>
      </c>
      <c r="M20" s="55">
        <v>105.6415305245056</v>
      </c>
      <c r="N20" s="55">
        <v>112.61582115219259</v>
      </c>
      <c r="O20" s="55">
        <v>117.1539122957868</v>
      </c>
      <c r="P20" s="55">
        <v>97.616337059329311</v>
      </c>
      <c r="Q20" s="55">
        <v>104.59062768701629</v>
      </c>
      <c r="R20" s="55">
        <v>106.47747205503011</v>
      </c>
      <c r="S20" s="55">
        <v>105.7609630266552</v>
      </c>
      <c r="T20" s="55">
        <v>97.25803955288049</v>
      </c>
      <c r="U20" s="55">
        <v>101.31840068787621</v>
      </c>
      <c r="V20" s="55">
        <v>99.527085124677555</v>
      </c>
      <c r="W20" s="55">
        <v>114.5265692175408</v>
      </c>
      <c r="X20" s="55">
        <v>100.6735167669819</v>
      </c>
      <c r="Y20" s="55">
        <v>98.523903697334475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7.3803095442820288</v>
      </c>
      <c r="F21" s="55">
        <v>11.631814273430781</v>
      </c>
      <c r="G21" s="55">
        <v>26.488048151332759</v>
      </c>
      <c r="H21" s="55">
        <v>58.947205503009457</v>
      </c>
      <c r="I21" s="55">
        <v>156.46792777300081</v>
      </c>
      <c r="J21" s="55">
        <v>155.1304385210662</v>
      </c>
      <c r="K21" s="55">
        <v>232.61203783318999</v>
      </c>
      <c r="L21" s="55">
        <v>283.36680997420461</v>
      </c>
      <c r="M21" s="55">
        <v>334.21702493551157</v>
      </c>
      <c r="N21" s="55">
        <v>385.33009458297511</v>
      </c>
      <c r="O21" s="55">
        <v>435.58323301805672</v>
      </c>
      <c r="P21" s="55">
        <v>501.45692175408419</v>
      </c>
      <c r="Q21" s="55">
        <v>543.23112639724843</v>
      </c>
      <c r="R21" s="55">
        <v>580.51496130696466</v>
      </c>
      <c r="S21" s="55">
        <v>611.30214961306967</v>
      </c>
      <c r="T21" s="55">
        <v>560.35631986242481</v>
      </c>
      <c r="U21" s="55">
        <v>560.66689595872731</v>
      </c>
      <c r="V21" s="55">
        <v>563.318056749785</v>
      </c>
      <c r="W21" s="55">
        <v>593.02803179006594</v>
      </c>
      <c r="X21" s="55">
        <v>609.3788243806556</v>
      </c>
      <c r="Y21" s="55">
        <v>583.83833661748452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36.024849527085131</v>
      </c>
      <c r="F22" s="55">
        <v>42.53267411865864</v>
      </c>
      <c r="G22" s="55">
        <v>43.996130696474637</v>
      </c>
      <c r="H22" s="55">
        <v>53.524247635425624</v>
      </c>
      <c r="I22" s="55">
        <v>94.946603611349957</v>
      </c>
      <c r="J22" s="55">
        <v>78.986758383490965</v>
      </c>
      <c r="K22" s="55">
        <v>57.133018056749776</v>
      </c>
      <c r="L22" s="55">
        <v>37.531556319862418</v>
      </c>
      <c r="M22" s="55">
        <v>12.480309544282029</v>
      </c>
      <c r="N22" s="55">
        <v>8.4794496990541681</v>
      </c>
      <c r="O22" s="55">
        <v>8.2257953568357696</v>
      </c>
      <c r="P22" s="55">
        <v>8.6345657781599314</v>
      </c>
      <c r="Q22" s="55">
        <v>8.4742906276870151</v>
      </c>
      <c r="R22" s="55">
        <v>7.8363714531384341</v>
      </c>
      <c r="S22" s="55">
        <v>8.587962166809973</v>
      </c>
      <c r="T22" s="55">
        <v>104.81298366294065</v>
      </c>
      <c r="U22" s="55">
        <v>105.64488392089422</v>
      </c>
      <c r="V22" s="55">
        <v>153.77549441100601</v>
      </c>
      <c r="W22" s="55">
        <v>128.2552020636285</v>
      </c>
      <c r="X22" s="55">
        <v>119.86947549441101</v>
      </c>
      <c r="Y22" s="55">
        <v>127.61324161650899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1.0031814273430779</v>
      </c>
      <c r="F23" s="55">
        <v>0.9792777300085983</v>
      </c>
      <c r="G23" s="55">
        <v>0.90765262252794487</v>
      </c>
      <c r="H23" s="55">
        <v>0.78822012037833178</v>
      </c>
      <c r="I23" s="55">
        <v>0.78822012037833178</v>
      </c>
      <c r="J23" s="55">
        <v>0.7165090283748925</v>
      </c>
      <c r="K23" s="55">
        <v>0.69269131556319852</v>
      </c>
      <c r="L23" s="55">
        <v>0.74041272570937233</v>
      </c>
      <c r="M23" s="55">
        <v>0.81203783319002576</v>
      </c>
      <c r="N23" s="55">
        <v>0.83594153052450548</v>
      </c>
      <c r="O23" s="55">
        <v>0.83594153052450548</v>
      </c>
      <c r="P23" s="55">
        <v>0.90765262252794487</v>
      </c>
      <c r="Q23" s="55">
        <v>0.9792777300085983</v>
      </c>
      <c r="R23" s="55">
        <v>0.9792777300085983</v>
      </c>
      <c r="S23" s="55">
        <v>1.0031814273430779</v>
      </c>
      <c r="T23" s="55">
        <v>1.050902837489252</v>
      </c>
      <c r="U23" s="55">
        <v>1.0748065348237319</v>
      </c>
      <c r="V23" s="55">
        <v>1.1226139294926909</v>
      </c>
      <c r="W23" s="55">
        <v>1.0748065348237319</v>
      </c>
      <c r="X23" s="55">
        <v>1.241960447119518</v>
      </c>
      <c r="Y23" s="55">
        <v>1.146431642304385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 s="55">
        <v>0</v>
      </c>
      <c r="Y26" s="55">
        <v>0</v>
      </c>
      <c r="DA26" s="10" t="s">
        <v>992</v>
      </c>
    </row>
    <row r="27" spans="1:105" x14ac:dyDescent="0.25">
      <c r="A27" s="62" t="s">
        <v>24</v>
      </c>
      <c r="B27" s="63">
        <v>460.28437718292349</v>
      </c>
      <c r="C27" s="63">
        <v>517.88650549465012</v>
      </c>
      <c r="D27" s="63">
        <v>468.56232547449429</v>
      </c>
      <c r="E27" s="63">
        <v>528.24975489600024</v>
      </c>
      <c r="F27" s="63">
        <v>493.35228270534378</v>
      </c>
      <c r="G27" s="63">
        <v>502.54150247260924</v>
      </c>
      <c r="H27" s="63">
        <v>516.20674655504808</v>
      </c>
      <c r="I27" s="63">
        <v>397.11273749288432</v>
      </c>
      <c r="J27" s="63">
        <v>489.36140622954196</v>
      </c>
      <c r="K27" s="63">
        <v>479.94399426385246</v>
      </c>
      <c r="L27" s="63">
        <v>505.24505588993969</v>
      </c>
      <c r="M27" s="63">
        <v>484.09286328460871</v>
      </c>
      <c r="N27" s="63">
        <v>489.85382631126402</v>
      </c>
      <c r="O27" s="63">
        <v>384.60877042132421</v>
      </c>
      <c r="P27" s="63">
        <v>538.00515907136707</v>
      </c>
      <c r="Q27" s="63">
        <v>476.26827171109198</v>
      </c>
      <c r="R27" s="63">
        <v>469.2175408426483</v>
      </c>
      <c r="S27" s="63">
        <v>437.6612209802235</v>
      </c>
      <c r="T27" s="63">
        <v>449.95700773860693</v>
      </c>
      <c r="U27" s="63">
        <v>441.10060189165949</v>
      </c>
      <c r="V27" s="63">
        <v>409.63026655202066</v>
      </c>
      <c r="W27" s="63">
        <v>447.37747205503007</v>
      </c>
      <c r="X27" s="63">
        <v>383.57695614789333</v>
      </c>
      <c r="Y27" s="63">
        <v>388.65004299226138</v>
      </c>
      <c r="DA27" s="11" t="s">
        <v>993</v>
      </c>
    </row>
    <row r="29" spans="1:105" x14ac:dyDescent="0.25">
      <c r="A29" s="218" t="s">
        <v>84</v>
      </c>
      <c r="B29" s="219">
        <v>8855.4698102620387</v>
      </c>
      <c r="C29" s="219">
        <v>10007.239008357996</v>
      </c>
      <c r="D29" s="219">
        <v>9036.4669716277185</v>
      </c>
      <c r="E29" s="219">
        <v>9755.1216440222706</v>
      </c>
      <c r="F29" s="219">
        <v>9027.4381500906147</v>
      </c>
      <c r="G29" s="219">
        <v>9106.5964326021003</v>
      </c>
      <c r="H29" s="219">
        <v>9272.3446299793195</v>
      </c>
      <c r="I29" s="219">
        <v>6546.1241932555249</v>
      </c>
      <c r="J29" s="219">
        <v>8356.0773028795156</v>
      </c>
      <c r="K29" s="219">
        <v>7919.9928253981734</v>
      </c>
      <c r="L29" s="219">
        <v>8190.9346570069483</v>
      </c>
      <c r="M29" s="219">
        <v>7692.5021255314496</v>
      </c>
      <c r="N29" s="219">
        <v>7818.8013504028304</v>
      </c>
      <c r="O29" s="219">
        <v>8259.6774303878428</v>
      </c>
      <c r="P29" s="219">
        <v>7726.0654492523963</v>
      </c>
      <c r="Q29" s="219">
        <v>7396.6524921131759</v>
      </c>
      <c r="R29" s="219">
        <v>7483.621417407745</v>
      </c>
      <c r="S29" s="219">
        <v>7121.5004352164733</v>
      </c>
      <c r="T29" s="219">
        <v>7290.2810694600003</v>
      </c>
      <c r="U29" s="219">
        <v>7276.6157504399998</v>
      </c>
      <c r="V29" s="219">
        <v>7250.0787727200004</v>
      </c>
      <c r="W29" s="219">
        <v>7389.9076141972573</v>
      </c>
      <c r="X29" s="219">
        <v>7606.9072047046029</v>
      </c>
      <c r="Y29" s="219">
        <v>7494.3224612722015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103.41423411970867</v>
      </c>
      <c r="C31" s="59">
        <f t="shared" si="31"/>
        <v>105.09447808924853</v>
      </c>
      <c r="D31" s="59">
        <f t="shared" si="31"/>
        <v>114.27001017273894</v>
      </c>
      <c r="E31" s="59">
        <f t="shared" si="31"/>
        <v>140.54158238560427</v>
      </c>
      <c r="F31" s="59">
        <f t="shared" si="31"/>
        <v>113.27311126046817</v>
      </c>
      <c r="G31" s="59">
        <f t="shared" si="31"/>
        <v>149.23182397502222</v>
      </c>
      <c r="H31" s="59">
        <f t="shared" si="31"/>
        <v>149.37226100377757</v>
      </c>
      <c r="I31" s="59">
        <f t="shared" si="31"/>
        <v>96.334727214172545</v>
      </c>
      <c r="J31" s="59">
        <f t="shared" si="31"/>
        <v>115.4506610183838</v>
      </c>
      <c r="K31" s="59">
        <f t="shared" si="31"/>
        <v>150.20281233789402</v>
      </c>
      <c r="L31" s="59">
        <f t="shared" si="31"/>
        <v>131.12721238494075</v>
      </c>
      <c r="M31" s="59">
        <f t="shared" si="31"/>
        <v>101.01656530064375</v>
      </c>
      <c r="N31" s="59">
        <f t="shared" si="31"/>
        <v>104.42375520606785</v>
      </c>
      <c r="O31" s="59">
        <f t="shared" si="31"/>
        <v>104.73465138264535</v>
      </c>
      <c r="P31" s="59">
        <f t="shared" si="31"/>
        <v>104.77408624359846</v>
      </c>
      <c r="Q31" s="59">
        <f t="shared" si="31"/>
        <v>128.60593148079627</v>
      </c>
      <c r="R31" s="59">
        <f t="shared" si="31"/>
        <v>124.35600605281253</v>
      </c>
      <c r="S31" s="59">
        <f t="shared" si="31"/>
        <v>98.58450417012925</v>
      </c>
      <c r="T31" s="59">
        <f t="shared" si="31"/>
        <v>116.57223155288676</v>
      </c>
      <c r="U31" s="59">
        <f t="shared" si="31"/>
        <v>102.98649592061447</v>
      </c>
      <c r="V31" s="59">
        <f t="shared" si="31"/>
        <v>123.8632846933327</v>
      </c>
      <c r="W31" s="59">
        <f t="shared" si="31"/>
        <v>117.81348245707173</v>
      </c>
      <c r="X31" s="59">
        <f t="shared" si="31"/>
        <v>88.44270834569717</v>
      </c>
      <c r="Y31" s="59">
        <f t="shared" si="31"/>
        <v>95.310064523045554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112.47171201628666</v>
      </c>
      <c r="C32" s="55">
        <f t="shared" si="32"/>
        <v>109.81942433546165</v>
      </c>
      <c r="D32" s="55">
        <f t="shared" si="32"/>
        <v>113.80906613357637</v>
      </c>
      <c r="E32" s="55">
        <f t="shared" si="32"/>
        <v>119.5378711984025</v>
      </c>
      <c r="F32" s="55">
        <f t="shared" si="32"/>
        <v>117.30616060932354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117.81469406104159</v>
      </c>
      <c r="J32" s="55">
        <f t="shared" si="32"/>
        <v>123.49619118298854</v>
      </c>
      <c r="K32" s="55">
        <f t="shared" si="32"/>
        <v>137.83360398812144</v>
      </c>
      <c r="L32" s="55">
        <f t="shared" si="32"/>
        <v>128.47617233393535</v>
      </c>
      <c r="M32" s="55">
        <f t="shared" si="32"/>
        <v>116.02131221383362</v>
      </c>
      <c r="N32" s="55">
        <f t="shared" si="32"/>
        <v>118.31216844961243</v>
      </c>
      <c r="O32" s="55">
        <f t="shared" si="32"/>
        <v>117.89482713876835</v>
      </c>
      <c r="P32" s="55">
        <f t="shared" si="32"/>
        <v>114.21265320772922</v>
      </c>
      <c r="Q32" s="55">
        <f t="shared" si="32"/>
        <v>116.67728719019789</v>
      </c>
      <c r="R32" s="55">
        <f t="shared" si="32"/>
        <v>118.41249825520168</v>
      </c>
      <c r="S32" s="55">
        <f t="shared" si="32"/>
        <v>109.25986032686185</v>
      </c>
      <c r="T32" s="55">
        <f t="shared" si="32"/>
        <v>115.03952384499112</v>
      </c>
      <c r="U32" s="55">
        <f t="shared" si="32"/>
        <v>114.31053707016741</v>
      </c>
      <c r="V32" s="55">
        <f t="shared" si="32"/>
        <v>121.0227823399466</v>
      </c>
      <c r="W32" s="55">
        <f t="shared" si="32"/>
        <v>115.6129323010225</v>
      </c>
      <c r="X32" s="55">
        <f t="shared" si="32"/>
        <v>98.926512660278462</v>
      </c>
      <c r="Y32" s="55">
        <f t="shared" si="32"/>
        <v>101.37891512464496</v>
      </c>
      <c r="DA32" s="216"/>
    </row>
    <row r="33" spans="1:105" x14ac:dyDescent="0.25">
      <c r="A33" s="35" t="s">
        <v>111</v>
      </c>
      <c r="B33" s="55">
        <f>IF(AGR_ued!B$5=0,"",AGR_ued!B$5/B$5*1000)</f>
        <v>43.862634197240425</v>
      </c>
      <c r="C33" s="55">
        <f>IF(AGR_ued!C$5=0,"",AGR_ued!C$5/C$5*1000)</f>
        <v>42.76589700957777</v>
      </c>
      <c r="D33" s="55">
        <f>IF(AGR_ued!D$5=0,"",AGR_ued!D$5/D$5*1000)</f>
        <v>44.358304677109693</v>
      </c>
      <c r="E33" s="55">
        <f>IF(AGR_ued!E$5=0,"",AGR_ued!E$5/E$5*1000)</f>
        <v>45.871884254053327</v>
      </c>
      <c r="F33" s="55">
        <f>IF(AGR_ued!F$5=0,"",AGR_ued!F$5/F$5*1000)</f>
        <v>45.022906456172699</v>
      </c>
      <c r="G33" s="55">
        <f>IF(AGR_ued!G$5=0,"",AGR_ued!G$5/G$5*1000)</f>
        <v>51.438943489953729</v>
      </c>
      <c r="H33" s="55">
        <f>IF(AGR_ued!H$5=0,"",AGR_ued!H$5/H$5*1000)</f>
        <v>50.03403832692176</v>
      </c>
      <c r="I33" s="55">
        <f>IF(AGR_ued!I$5=0,"",AGR_ued!I$5/I$5*1000)</f>
        <v>45.430269360854084</v>
      </c>
      <c r="J33" s="55">
        <f>IF(AGR_ued!J$5=0,"",AGR_ued!J$5/J$5*1000)</f>
        <v>47.70765996079237</v>
      </c>
      <c r="K33" s="55">
        <f>IF(AGR_ued!K$5=0,"",AGR_ued!K$5/K$5*1000)</f>
        <v>53.583086978135483</v>
      </c>
      <c r="L33" s="55">
        <f>IF(AGR_ued!L$5=0,"",AGR_ued!L$5/L$5*1000)</f>
        <v>50.200193320595247</v>
      </c>
      <c r="M33" s="55">
        <f>IF(AGR_ued!M$5=0,"",AGR_ued!M$5/M$5*1000)</f>
        <v>45.602046583047148</v>
      </c>
      <c r="N33" s="55">
        <f>IF(AGR_ued!N$5=0,"",AGR_ued!N$5/N$5*1000)</f>
        <v>46.419057399225707</v>
      </c>
      <c r="O33" s="55">
        <f>IF(AGR_ued!O$5=0,"",AGR_ued!O$5/O$5*1000)</f>
        <v>45.601403376891859</v>
      </c>
      <c r="P33" s="55">
        <f>IF(AGR_ued!P$5=0,"",AGR_ued!P$5/P$5*1000)</f>
        <v>45.260037185085636</v>
      </c>
      <c r="Q33" s="55">
        <f>IF(AGR_ued!Q$5=0,"",AGR_ued!Q$5/Q$5*1000)</f>
        <v>46.008574220691628</v>
      </c>
      <c r="R33" s="55">
        <f>IF(AGR_ued!R$5=0,"",AGR_ued!R$5/R$5*1000)</f>
        <v>46.654141712281081</v>
      </c>
      <c r="S33" s="55">
        <f>IF(AGR_ued!S$5=0,"",AGR_ued!S$5/S$5*1000)</f>
        <v>42.982098344797279</v>
      </c>
      <c r="T33" s="55">
        <f>IF(AGR_ued!T$5=0,"",AGR_ued!T$5/T$5*1000)</f>
        <v>45.06463167823059</v>
      </c>
      <c r="U33" s="55">
        <f>IF(AGR_ued!U$5=0,"",AGR_ued!U$5/U$5*1000)</f>
        <v>44.729698435379774</v>
      </c>
      <c r="V33" s="55">
        <f>IF(AGR_ued!V$5=0,"",AGR_ued!V$5/V$5*1000)</f>
        <v>47.173820410244033</v>
      </c>
      <c r="W33" s="55">
        <f>IF(AGR_ued!W$5=0,"",AGR_ued!W$5/W$5*1000)</f>
        <v>45.17626584876573</v>
      </c>
      <c r="X33" s="55">
        <f>IF(AGR_ued!X$5=0,"",AGR_ued!X$5/X$5*1000)</f>
        <v>38.524903860950289</v>
      </c>
      <c r="Y33" s="55">
        <f>IF(AGR_ued!Y$5=0,"",AGR_ued!Y$5/Y$5*1000)</f>
        <v>39.516044854419562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2.6169191624724397</v>
      </c>
      <c r="C34" s="217">
        <f t="shared" si="33"/>
        <v>2.628358567987338</v>
      </c>
      <c r="D34" s="217">
        <f t="shared" si="33"/>
        <v>2.6232291769966856</v>
      </c>
      <c r="E34" s="217">
        <f t="shared" si="33"/>
        <v>2.5118767152335812</v>
      </c>
      <c r="F34" s="217">
        <f t="shared" si="33"/>
        <v>2.488927891985147</v>
      </c>
      <c r="G34" s="217">
        <f t="shared" si="33"/>
        <v>2.4648420362397561</v>
      </c>
      <c r="H34" s="217">
        <f t="shared" si="33"/>
        <v>2.4432664060218916</v>
      </c>
      <c r="I34" s="217">
        <f t="shared" si="33"/>
        <v>2.2422052138034014</v>
      </c>
      <c r="J34" s="217">
        <f t="shared" si="33"/>
        <v>2.3226173641170287</v>
      </c>
      <c r="K34" s="217">
        <f t="shared" si="33"/>
        <v>2.2446010494102304</v>
      </c>
      <c r="L34" s="217">
        <f t="shared" si="33"/>
        <v>2.2051407961448732</v>
      </c>
      <c r="M34" s="217">
        <f t="shared" si="33"/>
        <v>2.1679805360638444</v>
      </c>
      <c r="N34" s="217">
        <f t="shared" si="33"/>
        <v>2.1524214250203482</v>
      </c>
      <c r="O34" s="217">
        <f t="shared" si="33"/>
        <v>2.2156673162739779</v>
      </c>
      <c r="P34" s="217">
        <f t="shared" si="33"/>
        <v>2.0524688342300603</v>
      </c>
      <c r="Q34" s="217">
        <f t="shared" si="33"/>
        <v>2.0392529919326394</v>
      </c>
      <c r="R34" s="217">
        <f t="shared" si="33"/>
        <v>2.0243783768307368</v>
      </c>
      <c r="S34" s="217">
        <f t="shared" si="33"/>
        <v>2.0074021761106544</v>
      </c>
      <c r="T34" s="217">
        <f t="shared" si="33"/>
        <v>1.9900155064484601</v>
      </c>
      <c r="U34" s="217">
        <f t="shared" si="33"/>
        <v>1.9900500409997377</v>
      </c>
      <c r="V34" s="217">
        <f t="shared" si="33"/>
        <v>1.9802416486632486</v>
      </c>
      <c r="W34" s="217">
        <f t="shared" si="33"/>
        <v>1.9626171370486165</v>
      </c>
      <c r="X34" s="217">
        <f t="shared" si="33"/>
        <v>2.0093635973241719</v>
      </c>
      <c r="Y34" s="217">
        <f t="shared" si="33"/>
        <v>2.0056873327220255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3383.9294454535134</v>
      </c>
      <c r="C5" s="80">
        <f t="shared" ref="C5:W5" si="1">SUM(C6:C9,C16:C17,C25:C27)</f>
        <v>3807.4101190923216</v>
      </c>
      <c r="D5" s="80">
        <f t="shared" si="1"/>
        <v>3444.7874592388825</v>
      </c>
      <c r="E5" s="80">
        <f t="shared" si="1"/>
        <v>3883.5988983301418</v>
      </c>
      <c r="F5" s="80">
        <f t="shared" si="1"/>
        <v>3627.0388463887593</v>
      </c>
      <c r="G5" s="80">
        <f t="shared" si="1"/>
        <v>3694.5963671143327</v>
      </c>
      <c r="H5" s="80">
        <f t="shared" si="1"/>
        <v>3795.0608280480064</v>
      </c>
      <c r="I5" s="80">
        <f t="shared" si="1"/>
        <v>2919.5027078504932</v>
      </c>
      <c r="J5" s="80">
        <f t="shared" si="1"/>
        <v>3597.6986274087294</v>
      </c>
      <c r="K5" s="80">
        <f t="shared" si="1"/>
        <v>3528.463477943732</v>
      </c>
      <c r="L5" s="80">
        <f t="shared" si="1"/>
        <v>3714.4724143359495</v>
      </c>
      <c r="M5" s="80">
        <f t="shared" si="1"/>
        <v>3548.2339428645641</v>
      </c>
      <c r="N5" s="80">
        <f t="shared" si="1"/>
        <v>3632.5606405487774</v>
      </c>
      <c r="O5" s="80">
        <f t="shared" si="1"/>
        <v>3727.8509141335785</v>
      </c>
      <c r="P5" s="80">
        <f t="shared" si="1"/>
        <v>3764.2790576894008</v>
      </c>
      <c r="Q5" s="80">
        <f t="shared" si="1"/>
        <v>3627.1382321735482</v>
      </c>
      <c r="R5" s="80">
        <f t="shared" si="1"/>
        <v>3696.7503224983666</v>
      </c>
      <c r="S5" s="80">
        <f t="shared" si="1"/>
        <v>3547.6201629981251</v>
      </c>
      <c r="T5" s="80">
        <f t="shared" si="1"/>
        <v>3663.429277730007</v>
      </c>
      <c r="U5" s="80">
        <f t="shared" si="1"/>
        <v>3656.4988822012028</v>
      </c>
      <c r="V5" s="80">
        <f t="shared" si="1"/>
        <v>3661.2091143594148</v>
      </c>
      <c r="W5" s="80">
        <f t="shared" si="1"/>
        <v>3765.3332760103176</v>
      </c>
      <c r="X5" s="80">
        <f t="shared" ref="X5:Y5" si="2">SUM(X6:X9,X16:X17,X25:X27)</f>
        <v>3785.7295786758377</v>
      </c>
      <c r="Y5" s="80">
        <f t="shared" si="2"/>
        <v>3736.535769561478</v>
      </c>
      <c r="DA5" s="103"/>
    </row>
    <row r="6" spans="1:105" x14ac:dyDescent="0.25">
      <c r="A6" s="238" t="s">
        <v>125</v>
      </c>
      <c r="B6" s="239">
        <v>79.837732152251334</v>
      </c>
      <c r="C6" s="239">
        <v>89.852485292734187</v>
      </c>
      <c r="D6" s="239">
        <v>81.325811394193806</v>
      </c>
      <c r="E6" s="239">
        <v>90.123023337676415</v>
      </c>
      <c r="F6" s="239">
        <v>84.121506340184922</v>
      </c>
      <c r="G6" s="239">
        <v>85.165484941718418</v>
      </c>
      <c r="H6" s="239">
        <v>88.08610173593803</v>
      </c>
      <c r="I6" s="239">
        <v>67.560479033358476</v>
      </c>
      <c r="J6" s="239">
        <v>83.587834037152049</v>
      </c>
      <c r="K6" s="239">
        <v>82.115289510965724</v>
      </c>
      <c r="L6" s="239">
        <v>86.685626304040639</v>
      </c>
      <c r="M6" s="239">
        <v>83.142050042060475</v>
      </c>
      <c r="N6" s="239">
        <v>84.375505395281266</v>
      </c>
      <c r="O6" s="239">
        <v>69.9958685893439</v>
      </c>
      <c r="P6" s="239">
        <v>91.574763056065223</v>
      </c>
      <c r="Q6" s="239">
        <v>82.909724756321594</v>
      </c>
      <c r="R6" s="239">
        <v>82.238255706995403</v>
      </c>
      <c r="S6" s="239">
        <v>77.419174478356794</v>
      </c>
      <c r="T6" s="239">
        <v>79.34126749383141</v>
      </c>
      <c r="U6" s="239">
        <v>78.056451007252292</v>
      </c>
      <c r="V6" s="239">
        <v>73.649714142581573</v>
      </c>
      <c r="W6" s="239">
        <v>79.414296923952278</v>
      </c>
      <c r="X6" s="239">
        <v>70.252328498866319</v>
      </c>
      <c r="Y6" s="239">
        <v>70.860411142181263</v>
      </c>
      <c r="DA6" s="267" t="s">
        <v>995</v>
      </c>
    </row>
    <row r="7" spans="1:105" x14ac:dyDescent="0.25">
      <c r="A7" s="240" t="s">
        <v>124</v>
      </c>
      <c r="B7" s="241">
        <v>51.894525898963337</v>
      </c>
      <c r="C7" s="241">
        <v>58.404115440277202</v>
      </c>
      <c r="D7" s="241">
        <v>52.861777406225983</v>
      </c>
      <c r="E7" s="241">
        <v>58.579965169489633</v>
      </c>
      <c r="F7" s="241">
        <v>54.678979121120193</v>
      </c>
      <c r="G7" s="241">
        <v>55.35756521211696</v>
      </c>
      <c r="H7" s="241">
        <v>57.255966128359702</v>
      </c>
      <c r="I7" s="241">
        <v>43.914311371683013</v>
      </c>
      <c r="J7" s="241">
        <v>54.332092124148808</v>
      </c>
      <c r="K7" s="241">
        <v>53.374938182127707</v>
      </c>
      <c r="L7" s="241">
        <v>56.345657097626393</v>
      </c>
      <c r="M7" s="241">
        <v>54.042332527339298</v>
      </c>
      <c r="N7" s="241">
        <v>54.844078506932817</v>
      </c>
      <c r="O7" s="241">
        <v>45.497314583073518</v>
      </c>
      <c r="P7" s="241">
        <v>59.523595986442352</v>
      </c>
      <c r="Q7" s="241">
        <v>53.891321091609008</v>
      </c>
      <c r="R7" s="241">
        <v>53.454866209546992</v>
      </c>
      <c r="S7" s="241">
        <v>50.322463410931903</v>
      </c>
      <c r="T7" s="241">
        <v>51.571823870990393</v>
      </c>
      <c r="U7" s="241">
        <v>50.73669315471399</v>
      </c>
      <c r="V7" s="241">
        <v>47.872314192678019</v>
      </c>
      <c r="W7" s="241">
        <v>51.619293000568959</v>
      </c>
      <c r="X7" s="241">
        <v>45.664013524263098</v>
      </c>
      <c r="Y7" s="241">
        <v>46.059267242417803</v>
      </c>
      <c r="DA7" s="268" t="s">
        <v>996</v>
      </c>
    </row>
    <row r="8" spans="1:105" x14ac:dyDescent="0.25">
      <c r="A8" s="240" t="s">
        <v>123</v>
      </c>
      <c r="B8" s="241">
        <v>71.853958937026178</v>
      </c>
      <c r="C8" s="241">
        <v>80.867236763460767</v>
      </c>
      <c r="D8" s="241">
        <v>73.19323025477442</v>
      </c>
      <c r="E8" s="241">
        <v>81.110721003908736</v>
      </c>
      <c r="F8" s="241">
        <v>75.70935570616642</v>
      </c>
      <c r="G8" s="241">
        <v>76.648936447546561</v>
      </c>
      <c r="H8" s="241">
        <v>79.277491562344238</v>
      </c>
      <c r="I8" s="241">
        <v>60.804431130022643</v>
      </c>
      <c r="J8" s="241">
        <v>75.229050633436813</v>
      </c>
      <c r="K8" s="241">
        <v>73.903760559869127</v>
      </c>
      <c r="L8" s="241">
        <v>78.017063673636571</v>
      </c>
      <c r="M8" s="241">
        <v>74.827845037854416</v>
      </c>
      <c r="N8" s="241">
        <v>75.937954855753119</v>
      </c>
      <c r="O8" s="241">
        <v>62.996281730409507</v>
      </c>
      <c r="P8" s="241">
        <v>82.417286750458672</v>
      </c>
      <c r="Q8" s="241">
        <v>74.618752280689421</v>
      </c>
      <c r="R8" s="241">
        <v>74.014430136295857</v>
      </c>
      <c r="S8" s="241">
        <v>69.677257030521105</v>
      </c>
      <c r="T8" s="241">
        <v>71.407140744448256</v>
      </c>
      <c r="U8" s="241">
        <v>70.250805906527063</v>
      </c>
      <c r="V8" s="241">
        <v>66.284742728323437</v>
      </c>
      <c r="W8" s="241">
        <v>71.472867231557032</v>
      </c>
      <c r="X8" s="241">
        <v>63.227095648979677</v>
      </c>
      <c r="Y8" s="241">
        <v>63.774370027963123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667.04749017604206</v>
      </c>
      <c r="C9" s="243">
        <f t="shared" ref="C9:W9" si="4">SUM(C10:C15)</f>
        <v>749.68866530511343</v>
      </c>
      <c r="D9" s="243">
        <f t="shared" si="4"/>
        <v>679.33286700505391</v>
      </c>
      <c r="E9" s="243">
        <f t="shared" si="4"/>
        <v>734.84376391432534</v>
      </c>
      <c r="F9" s="243">
        <f t="shared" si="4"/>
        <v>685.80806115238045</v>
      </c>
      <c r="G9" s="243">
        <f t="shared" si="4"/>
        <v>689.12616359790979</v>
      </c>
      <c r="H9" s="243">
        <f t="shared" si="4"/>
        <v>719.81212959801962</v>
      </c>
      <c r="I9" s="243">
        <f t="shared" si="4"/>
        <v>552.93742042514737</v>
      </c>
      <c r="J9" s="243">
        <f t="shared" si="4"/>
        <v>686.76088689314702</v>
      </c>
      <c r="K9" s="243">
        <f t="shared" si="4"/>
        <v>681.59603350914801</v>
      </c>
      <c r="L9" s="243">
        <f t="shared" si="4"/>
        <v>726.6842739649361</v>
      </c>
      <c r="M9" s="243">
        <f t="shared" si="4"/>
        <v>701.96352151686574</v>
      </c>
      <c r="N9" s="243">
        <f t="shared" si="4"/>
        <v>717.47885191837759</v>
      </c>
      <c r="O9" s="243">
        <f t="shared" si="4"/>
        <v>748.87882101577998</v>
      </c>
      <c r="P9" s="243">
        <f t="shared" si="4"/>
        <v>751.32300580349192</v>
      </c>
      <c r="Q9" s="243">
        <f t="shared" si="4"/>
        <v>729.50871545466975</v>
      </c>
      <c r="R9" s="243">
        <f t="shared" si="4"/>
        <v>745.4355597297498</v>
      </c>
      <c r="S9" s="243">
        <f t="shared" si="4"/>
        <v>719.75605325993104</v>
      </c>
      <c r="T9" s="243">
        <f t="shared" si="4"/>
        <v>734.25465476397835</v>
      </c>
      <c r="U9" s="243">
        <f t="shared" si="4"/>
        <v>733.43703590599068</v>
      </c>
      <c r="V9" s="243">
        <f t="shared" si="4"/>
        <v>738.97431574492214</v>
      </c>
      <c r="W9" s="243">
        <f t="shared" si="4"/>
        <v>756.08330155384078</v>
      </c>
      <c r="X9" s="243">
        <f t="shared" ref="X9:Y9" si="5">SUM(X10:X15)</f>
        <v>777.39789088440659</v>
      </c>
      <c r="Y9" s="243">
        <f t="shared" si="5"/>
        <v>765.0791117993474</v>
      </c>
      <c r="DA9" s="269"/>
    </row>
    <row r="10" spans="1:105" x14ac:dyDescent="0.25">
      <c r="A10" s="253" t="s">
        <v>166</v>
      </c>
      <c r="B10" s="254">
        <v>514.70352071883337</v>
      </c>
      <c r="C10" s="254">
        <v>597.76177713007701</v>
      </c>
      <c r="D10" s="254">
        <v>534.27486526693701</v>
      </c>
      <c r="E10" s="254">
        <v>612.39699646976135</v>
      </c>
      <c r="F10" s="254">
        <v>565.44704562997788</v>
      </c>
      <c r="G10" s="254">
        <v>565.29452072021809</v>
      </c>
      <c r="H10" s="254">
        <v>578.48177576682269</v>
      </c>
      <c r="I10" s="254">
        <v>403.11901183547911</v>
      </c>
      <c r="J10" s="254">
        <v>510.9487212475712</v>
      </c>
      <c r="K10" s="254">
        <v>437.4709382675498</v>
      </c>
      <c r="L10" s="254">
        <v>415.65133265204059</v>
      </c>
      <c r="M10" s="254">
        <v>352.58961473626613</v>
      </c>
      <c r="N10" s="254">
        <v>375.76020488393277</v>
      </c>
      <c r="O10" s="254">
        <v>414.57414478316048</v>
      </c>
      <c r="P10" s="254">
        <v>341.08811120803938</v>
      </c>
      <c r="Q10" s="254">
        <v>339.92320891849891</v>
      </c>
      <c r="R10" s="254">
        <v>334.30756350542202</v>
      </c>
      <c r="S10" s="254">
        <v>342.61184387320048</v>
      </c>
      <c r="T10" s="254">
        <v>363.00205860616597</v>
      </c>
      <c r="U10" s="254">
        <v>362.15505950471351</v>
      </c>
      <c r="V10" s="254">
        <v>380.18890608464329</v>
      </c>
      <c r="W10" s="254">
        <v>373.34542352548732</v>
      </c>
      <c r="X10" s="254">
        <v>369.50989917587412</v>
      </c>
      <c r="Y10" s="254">
        <v>362.48927014244782</v>
      </c>
      <c r="DA10" s="270" t="s">
        <v>998</v>
      </c>
    </row>
    <row r="11" spans="1:105" x14ac:dyDescent="0.25">
      <c r="A11" s="253" t="s">
        <v>169</v>
      </c>
      <c r="B11" s="255">
        <v>91.248253034650332</v>
      </c>
      <c r="C11" s="255">
        <v>83.302809143622554</v>
      </c>
      <c r="D11" s="255">
        <v>83.124733233671648</v>
      </c>
      <c r="E11" s="255">
        <v>44.41538149749222</v>
      </c>
      <c r="F11" s="255">
        <v>47.22729574934587</v>
      </c>
      <c r="G11" s="255">
        <v>46.742703992264367</v>
      </c>
      <c r="H11" s="255">
        <v>65.242142578657877</v>
      </c>
      <c r="I11" s="255">
        <v>90.188213522289288</v>
      </c>
      <c r="J11" s="255">
        <v>104.1069088741606</v>
      </c>
      <c r="K11" s="255">
        <v>174.4845401189967</v>
      </c>
      <c r="L11" s="255">
        <v>238.92759632043101</v>
      </c>
      <c r="M11" s="255">
        <v>280.67643342786738</v>
      </c>
      <c r="N11" s="255">
        <v>273.4184123678512</v>
      </c>
      <c r="O11" s="255">
        <v>299.33974736400609</v>
      </c>
      <c r="P11" s="255">
        <v>329.75909735366997</v>
      </c>
      <c r="Q11" s="255">
        <v>327.49329666595929</v>
      </c>
      <c r="R11" s="255">
        <v>352.72355374636538</v>
      </c>
      <c r="S11" s="255">
        <v>326.20051403337283</v>
      </c>
      <c r="T11" s="255">
        <v>317.59290738979257</v>
      </c>
      <c r="U11" s="255">
        <v>320.0432856927543</v>
      </c>
      <c r="V11" s="255">
        <v>316.96495818040597</v>
      </c>
      <c r="W11" s="255">
        <v>332.01050287919293</v>
      </c>
      <c r="X11" s="255">
        <v>375.08576522738099</v>
      </c>
      <c r="Y11" s="255">
        <v>367.7923669113909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0.39674773869393237</v>
      </c>
      <c r="F12" s="255">
        <v>0.38896876793497842</v>
      </c>
      <c r="G12" s="255">
        <v>0.37486112075986072</v>
      </c>
      <c r="H12" s="255">
        <v>0.31197337643715478</v>
      </c>
      <c r="I12" s="255">
        <v>0.31985274074282671</v>
      </c>
      <c r="J12" s="255">
        <v>0.28302072691753372</v>
      </c>
      <c r="K12" s="255">
        <v>0.27300841285845429</v>
      </c>
      <c r="L12" s="255">
        <v>0.28842062193704349</v>
      </c>
      <c r="M12" s="255">
        <v>0.31486027767209368</v>
      </c>
      <c r="N12" s="255">
        <v>0.32393533087382592</v>
      </c>
      <c r="O12" s="255">
        <v>0.33550139338237189</v>
      </c>
      <c r="P12" s="255">
        <v>0.34445345021398249</v>
      </c>
      <c r="Q12" s="255">
        <v>0.37256194021668482</v>
      </c>
      <c r="R12" s="255">
        <v>0.37818016960036832</v>
      </c>
      <c r="S12" s="255">
        <v>0.37834676401261869</v>
      </c>
      <c r="T12" s="255">
        <v>0.40901849768561582</v>
      </c>
      <c r="U12" s="255">
        <v>0.42034385267841862</v>
      </c>
      <c r="V12" s="255">
        <v>0.43875563993632433</v>
      </c>
      <c r="W12" s="255">
        <v>0.42138771337179443</v>
      </c>
      <c r="X12" s="255">
        <v>0.48691282680312847</v>
      </c>
      <c r="Y12" s="255">
        <v>0.44948746350424462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1002</v>
      </c>
    </row>
    <row r="15" spans="1:105" x14ac:dyDescent="0.25">
      <c r="A15" s="253" t="s">
        <v>24</v>
      </c>
      <c r="B15" s="255">
        <v>61.09571642255834</v>
      </c>
      <c r="C15" s="255">
        <v>68.624079031413856</v>
      </c>
      <c r="D15" s="255">
        <v>61.933268504445167</v>
      </c>
      <c r="E15" s="255">
        <v>77.634638208377709</v>
      </c>
      <c r="F15" s="255">
        <v>72.744751005121628</v>
      </c>
      <c r="G15" s="255">
        <v>76.714077764667465</v>
      </c>
      <c r="H15" s="255">
        <v>75.776237876101888</v>
      </c>
      <c r="I15" s="255">
        <v>59.310342326636139</v>
      </c>
      <c r="J15" s="255">
        <v>71.422236044497566</v>
      </c>
      <c r="K15" s="255">
        <v>69.367546709743152</v>
      </c>
      <c r="L15" s="255">
        <v>71.816924370527445</v>
      </c>
      <c r="M15" s="255">
        <v>68.382613075060149</v>
      </c>
      <c r="N15" s="255">
        <v>67.976299335719773</v>
      </c>
      <c r="O15" s="255">
        <v>34.629427475231061</v>
      </c>
      <c r="P15" s="255">
        <v>80.131343791568639</v>
      </c>
      <c r="Q15" s="255">
        <v>61.719647929994878</v>
      </c>
      <c r="R15" s="255">
        <v>58.026262308361993</v>
      </c>
      <c r="S15" s="255">
        <v>50.565348589345128</v>
      </c>
      <c r="T15" s="255">
        <v>53.250670270334233</v>
      </c>
      <c r="U15" s="255">
        <v>50.81834685584446</v>
      </c>
      <c r="V15" s="255">
        <v>41.381695839936611</v>
      </c>
      <c r="W15" s="255">
        <v>50.305987435788651</v>
      </c>
      <c r="X15" s="255">
        <v>32.315313654348337</v>
      </c>
      <c r="Y15" s="255">
        <v>34.347987282004361</v>
      </c>
      <c r="DA15" s="271" t="s">
        <v>1003</v>
      </c>
    </row>
    <row r="16" spans="1:105" x14ac:dyDescent="0.25">
      <c r="A16" s="256" t="s">
        <v>168</v>
      </c>
      <c r="B16" s="257">
        <v>882.43468789224551</v>
      </c>
      <c r="C16" s="257">
        <v>998.24531075914717</v>
      </c>
      <c r="D16" s="257">
        <v>902.05641487323373</v>
      </c>
      <c r="E16" s="257">
        <v>989.91193879728257</v>
      </c>
      <c r="F16" s="257">
        <v>921.88411625864921</v>
      </c>
      <c r="G16" s="257">
        <v>926.30491893450846</v>
      </c>
      <c r="H16" s="257">
        <v>962.28025593804387</v>
      </c>
      <c r="I16" s="257">
        <v>724.04293933864176</v>
      </c>
      <c r="J16" s="257">
        <v>902.97193514448554</v>
      </c>
      <c r="K16" s="257">
        <v>867.23871282323068</v>
      </c>
      <c r="L16" s="257">
        <v>900.53669290530445</v>
      </c>
      <c r="M16" s="257">
        <v>843.66415460355154</v>
      </c>
      <c r="N16" s="257">
        <v>870.90761118406988</v>
      </c>
      <c r="O16" s="257">
        <v>915.8471850752984</v>
      </c>
      <c r="P16" s="257">
        <v>882.01033077356499</v>
      </c>
      <c r="Q16" s="257">
        <v>861.28894816463412</v>
      </c>
      <c r="R16" s="257">
        <v>870.97880862293209</v>
      </c>
      <c r="S16" s="257">
        <v>853.79343651033207</v>
      </c>
      <c r="T16" s="257">
        <v>877.90081893870354</v>
      </c>
      <c r="U16" s="257">
        <v>876.25507820296605</v>
      </c>
      <c r="V16" s="257">
        <v>890.39237125713578</v>
      </c>
      <c r="W16" s="257">
        <v>902.9942052856693</v>
      </c>
      <c r="X16" s="257">
        <v>916.64962228982836</v>
      </c>
      <c r="Y16" s="257">
        <v>901.99020163074954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1265.6914273772713</v>
      </c>
      <c r="C17" s="257">
        <f t="shared" ref="C17:W17" si="7">SUM(C18:C24)</f>
        <v>1418.3925609999092</v>
      </c>
      <c r="D17" s="257">
        <f t="shared" si="7"/>
        <v>1283.4314627814501</v>
      </c>
      <c r="E17" s="257">
        <f t="shared" si="7"/>
        <v>1518.0082502361756</v>
      </c>
      <c r="F17" s="257">
        <f t="shared" si="7"/>
        <v>1421.5914216088067</v>
      </c>
      <c r="G17" s="257">
        <f t="shared" si="7"/>
        <v>1475.3406501294035</v>
      </c>
      <c r="H17" s="257">
        <f t="shared" si="7"/>
        <v>1487.6277632745316</v>
      </c>
      <c r="I17" s="257">
        <f t="shared" si="7"/>
        <v>1165.5890681510955</v>
      </c>
      <c r="J17" s="257">
        <f t="shared" si="7"/>
        <v>1416.5130527273457</v>
      </c>
      <c r="K17" s="257">
        <f t="shared" si="7"/>
        <v>1402.4051380584187</v>
      </c>
      <c r="L17" s="257">
        <f t="shared" si="7"/>
        <v>1480.7776855784132</v>
      </c>
      <c r="M17" s="257">
        <f t="shared" si="7"/>
        <v>1424.7789183615394</v>
      </c>
      <c r="N17" s="257">
        <f t="shared" si="7"/>
        <v>1454.9444950761911</v>
      </c>
      <c r="O17" s="257">
        <f t="shared" si="7"/>
        <v>1537.1578960647887</v>
      </c>
      <c r="P17" s="257">
        <f t="shared" si="7"/>
        <v>1503.5862703421496</v>
      </c>
      <c r="Q17" s="257">
        <f t="shared" si="7"/>
        <v>1456.2880956373833</v>
      </c>
      <c r="R17" s="257">
        <f t="shared" si="7"/>
        <v>1501.7788390357582</v>
      </c>
      <c r="S17" s="257">
        <f t="shared" si="7"/>
        <v>1422.9112767307333</v>
      </c>
      <c r="T17" s="257">
        <f t="shared" si="7"/>
        <v>1485.8715080149116</v>
      </c>
      <c r="U17" s="257">
        <f t="shared" si="7"/>
        <v>1488.1447973102511</v>
      </c>
      <c r="V17" s="257">
        <f t="shared" si="7"/>
        <v>1492.4975422220407</v>
      </c>
      <c r="W17" s="257">
        <f t="shared" si="7"/>
        <v>1535.6664226998332</v>
      </c>
      <c r="X17" s="257">
        <f t="shared" ref="X17:Y17" si="8">SUM(X18:X24)</f>
        <v>1564.2785589782161</v>
      </c>
      <c r="Y17" s="257">
        <f t="shared" si="8"/>
        <v>1541.8394662386454</v>
      </c>
      <c r="DA17" s="272"/>
    </row>
    <row r="18" spans="1:105" x14ac:dyDescent="0.25">
      <c r="A18" s="61" t="s">
        <v>29</v>
      </c>
      <c r="B18" s="55">
        <v>31.924075666368651</v>
      </c>
      <c r="C18" s="55">
        <v>34.88073946689056</v>
      </c>
      <c r="D18" s="55">
        <v>29.093809114348911</v>
      </c>
      <c r="E18" s="55">
        <v>31.905331040403791</v>
      </c>
      <c r="F18" s="55">
        <v>30.896646603602768</v>
      </c>
      <c r="G18" s="55">
        <v>15.315907136711431</v>
      </c>
      <c r="H18" s="55">
        <v>8.1661220980200699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121.1898542897964</v>
      </c>
      <c r="C19" s="55">
        <v>124.862258588583</v>
      </c>
      <c r="D19" s="55">
        <v>110.1725948089054</v>
      </c>
      <c r="E19" s="55">
        <v>204.03410201791391</v>
      </c>
      <c r="F19" s="55">
        <v>202.45902988130371</v>
      </c>
      <c r="G19" s="55">
        <v>302.99429442854188</v>
      </c>
      <c r="H19" s="55">
        <v>233.1798543593037</v>
      </c>
      <c r="I19" s="55">
        <v>217.9006157974537</v>
      </c>
      <c r="J19" s="55">
        <v>237.68971013243251</v>
      </c>
      <c r="K19" s="55">
        <v>222.17703610648309</v>
      </c>
      <c r="L19" s="55">
        <v>197.75542872896989</v>
      </c>
      <c r="M19" s="55">
        <v>198.35110609464559</v>
      </c>
      <c r="N19" s="55">
        <v>207.88147809937331</v>
      </c>
      <c r="O19" s="55">
        <v>250.76819870531261</v>
      </c>
      <c r="P19" s="55">
        <v>215.9762988645453</v>
      </c>
      <c r="Q19" s="55">
        <v>181.39649873800991</v>
      </c>
      <c r="R19" s="55">
        <v>227.9703909629938</v>
      </c>
      <c r="S19" s="55">
        <v>149.3791314867413</v>
      </c>
      <c r="T19" s="55">
        <v>206.78976784172309</v>
      </c>
      <c r="U19" s="55">
        <v>210.90498710228809</v>
      </c>
      <c r="V19" s="55">
        <v>202.6745485811976</v>
      </c>
      <c r="W19" s="55">
        <v>194.44411006015429</v>
      </c>
      <c r="X19" s="55">
        <v>175.9256233877455</v>
      </c>
      <c r="Y19" s="55">
        <v>179.0120378331516</v>
      </c>
      <c r="DA19" s="101" t="s">
        <v>1006</v>
      </c>
    </row>
    <row r="20" spans="1:105" x14ac:dyDescent="0.25">
      <c r="A20" s="61" t="s">
        <v>166</v>
      </c>
      <c r="B20" s="55">
        <v>940.94002388661056</v>
      </c>
      <c r="C20" s="55">
        <v>1099.619354031337</v>
      </c>
      <c r="D20" s="55">
        <v>985.94318848058435</v>
      </c>
      <c r="E20" s="55">
        <v>936.05617188708413</v>
      </c>
      <c r="F20" s="55">
        <v>858.13691517032373</v>
      </c>
      <c r="G20" s="55">
        <v>803.45519968887777</v>
      </c>
      <c r="H20" s="55">
        <v>883.08837531099766</v>
      </c>
      <c r="I20" s="55">
        <v>590.29600564339046</v>
      </c>
      <c r="J20" s="55">
        <v>782.59389592298908</v>
      </c>
      <c r="K20" s="55">
        <v>672.50335364655587</v>
      </c>
      <c r="L20" s="55">
        <v>651.37894447129122</v>
      </c>
      <c r="M20" s="55">
        <v>556.75375773533017</v>
      </c>
      <c r="N20" s="55">
        <v>593.91963810655886</v>
      </c>
      <c r="O20" s="55">
        <v>618.38652823225561</v>
      </c>
      <c r="P20" s="55">
        <v>557.69666931517622</v>
      </c>
      <c r="Q20" s="55">
        <v>553.56373237586729</v>
      </c>
      <c r="R20" s="55">
        <v>531.36435223829665</v>
      </c>
      <c r="S20" s="55">
        <v>565.81891661775012</v>
      </c>
      <c r="T20" s="55">
        <v>569.6694356224059</v>
      </c>
      <c r="U20" s="55">
        <v>563.86448876470638</v>
      </c>
      <c r="V20" s="55">
        <v>592.57434288704928</v>
      </c>
      <c r="W20" s="55">
        <v>578.9227328970635</v>
      </c>
      <c r="X20" s="55">
        <v>572.99285354173378</v>
      </c>
      <c r="Y20" s="55">
        <v>562.0507961082036</v>
      </c>
      <c r="DA20" s="101" t="s">
        <v>1007</v>
      </c>
    </row>
    <row r="21" spans="1:105" x14ac:dyDescent="0.25">
      <c r="A21" s="61" t="s">
        <v>129</v>
      </c>
      <c r="B21" s="55">
        <v>4.8246775580378296</v>
      </c>
      <c r="C21" s="55">
        <v>5.7895958727420096</v>
      </c>
      <c r="D21" s="55">
        <v>4.8246775580378092</v>
      </c>
      <c r="E21" s="55">
        <v>167.07446259668581</v>
      </c>
      <c r="F21" s="55">
        <v>144.19226139290919</v>
      </c>
      <c r="G21" s="55">
        <v>173.08340498705761</v>
      </c>
      <c r="H21" s="55">
        <v>153.53852106616509</v>
      </c>
      <c r="I21" s="55">
        <v>120.2688736027191</v>
      </c>
      <c r="J21" s="55">
        <v>125.4685296646249</v>
      </c>
      <c r="K21" s="55">
        <v>125.4592433361636</v>
      </c>
      <c r="L21" s="55">
        <v>126.4229578675465</v>
      </c>
      <c r="M21" s="55">
        <v>120.3355116078755</v>
      </c>
      <c r="N21" s="55">
        <v>107.8554600171619</v>
      </c>
      <c r="O21" s="55">
        <v>103.8480653482156</v>
      </c>
      <c r="P21" s="55">
        <v>92.560619088546119</v>
      </c>
      <c r="Q21" s="55">
        <v>82.80885640583142</v>
      </c>
      <c r="R21" s="55">
        <v>74.729922613911114</v>
      </c>
      <c r="S21" s="55">
        <v>62.611607910555392</v>
      </c>
      <c r="T21" s="55">
        <v>113.10481513324019</v>
      </c>
      <c r="U21" s="55">
        <v>113.1047291487352</v>
      </c>
      <c r="V21" s="55">
        <v>103.0061908856112</v>
      </c>
      <c r="W21" s="55">
        <v>132.29226139292561</v>
      </c>
      <c r="X21" s="55">
        <v>132.29226139291569</v>
      </c>
      <c r="Y21" s="55">
        <v>131.28237317280079</v>
      </c>
      <c r="DA21" s="101" t="s">
        <v>1008</v>
      </c>
    </row>
    <row r="22" spans="1:105" x14ac:dyDescent="0.25">
      <c r="A22" s="61" t="s">
        <v>169</v>
      </c>
      <c r="B22" s="55">
        <v>166.81279597645801</v>
      </c>
      <c r="C22" s="55">
        <v>153.24061304035661</v>
      </c>
      <c r="D22" s="55">
        <v>153.39719281957389</v>
      </c>
      <c r="E22" s="55">
        <v>67.889444620259312</v>
      </c>
      <c r="F22" s="55">
        <v>71.673353321755528</v>
      </c>
      <c r="G22" s="55">
        <v>66.435578611755815</v>
      </c>
      <c r="H22" s="55">
        <v>99.596184538783206</v>
      </c>
      <c r="I22" s="55">
        <v>132.0645780409086</v>
      </c>
      <c r="J22" s="55">
        <v>159.45520170673339</v>
      </c>
      <c r="K22" s="55">
        <v>268.22681948700841</v>
      </c>
      <c r="L22" s="55">
        <v>374.43018527875518</v>
      </c>
      <c r="M22" s="55">
        <v>443.1998348436955</v>
      </c>
      <c r="N22" s="55">
        <v>432.16009150129048</v>
      </c>
      <c r="O22" s="55">
        <v>446.50075134610051</v>
      </c>
      <c r="P22" s="55">
        <v>539.17314684225778</v>
      </c>
      <c r="Q22" s="55">
        <v>533.32166464088641</v>
      </c>
      <c r="R22" s="55">
        <v>560.63560360514452</v>
      </c>
      <c r="S22" s="55">
        <v>538.71582302573631</v>
      </c>
      <c r="T22" s="55">
        <v>498.40756552488892</v>
      </c>
      <c r="U22" s="55">
        <v>498.29772892451609</v>
      </c>
      <c r="V22" s="55">
        <v>494.03151645397719</v>
      </c>
      <c r="W22" s="55">
        <v>514.82733031071746</v>
      </c>
      <c r="X22" s="55">
        <v>581.63925626854871</v>
      </c>
      <c r="Y22" s="55">
        <v>570.27341124837608</v>
      </c>
      <c r="DA22" s="101" t="s">
        <v>1009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110.4423043851797</v>
      </c>
      <c r="F23" s="55">
        <v>113.6429062768385</v>
      </c>
      <c r="G23" s="55">
        <v>113.5234737746912</v>
      </c>
      <c r="H23" s="55">
        <v>109.582459157321</v>
      </c>
      <c r="I23" s="55">
        <v>104.5906276869882</v>
      </c>
      <c r="J23" s="55">
        <v>110.8722269991088</v>
      </c>
      <c r="K23" s="55">
        <v>113.6190025795032</v>
      </c>
      <c r="L23" s="55">
        <v>130.3381771280784</v>
      </c>
      <c r="M23" s="55">
        <v>105.6415305244747</v>
      </c>
      <c r="N23" s="55">
        <v>112.615821152156</v>
      </c>
      <c r="O23" s="55">
        <v>117.1539122957623</v>
      </c>
      <c r="P23" s="55">
        <v>97.616337059310439</v>
      </c>
      <c r="Q23" s="55">
        <v>104.5906276869967</v>
      </c>
      <c r="R23" s="55">
        <v>106.4774720550039</v>
      </c>
      <c r="S23" s="55">
        <v>105.7609630266202</v>
      </c>
      <c r="T23" s="55">
        <v>97.258039552849738</v>
      </c>
      <c r="U23" s="55">
        <v>101.31840068786011</v>
      </c>
      <c r="V23" s="55">
        <v>99.527085124649162</v>
      </c>
      <c r="W23" s="55">
        <v>114.5265692175203</v>
      </c>
      <c r="X23" s="55">
        <v>100.6735167669563</v>
      </c>
      <c r="Y23" s="55">
        <v>98.523903697313372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0.60643368864895664</v>
      </c>
      <c r="F24" s="55">
        <v>0.59030896207343764</v>
      </c>
      <c r="G24" s="55">
        <v>0.53279150176793544</v>
      </c>
      <c r="H24" s="55">
        <v>0.47624674394102823</v>
      </c>
      <c r="I24" s="55">
        <v>0.46836737963536629</v>
      </c>
      <c r="J24" s="55">
        <v>0.43348830145722173</v>
      </c>
      <c r="K24" s="55">
        <v>0.41968290270460878</v>
      </c>
      <c r="L24" s="55">
        <v>0.45199210377217691</v>
      </c>
      <c r="M24" s="55">
        <v>0.49717755551776582</v>
      </c>
      <c r="N24" s="55">
        <v>0.51200619965048788</v>
      </c>
      <c r="O24" s="55">
        <v>0.50044013714199276</v>
      </c>
      <c r="P24" s="55">
        <v>0.56319917231384042</v>
      </c>
      <c r="Q24" s="55">
        <v>0.60671578979177854</v>
      </c>
      <c r="R24" s="55">
        <v>0.6010975604080514</v>
      </c>
      <c r="S24" s="55">
        <v>0.62483466333020377</v>
      </c>
      <c r="T24" s="55">
        <v>0.64188433980338666</v>
      </c>
      <c r="U24" s="55">
        <v>0.6544626821451841</v>
      </c>
      <c r="V24" s="55">
        <v>0.68385828955611394</v>
      </c>
      <c r="W24" s="55">
        <v>0.65341882145179098</v>
      </c>
      <c r="X24" s="55">
        <v>0.75504762031612904</v>
      </c>
      <c r="Y24" s="55">
        <v>0.69694417879993975</v>
      </c>
      <c r="DA24" s="101" t="s">
        <v>1011</v>
      </c>
    </row>
    <row r="25" spans="1:105" x14ac:dyDescent="0.25">
      <c r="A25" s="256" t="s">
        <v>167</v>
      </c>
      <c r="B25" s="257">
        <v>169.567179246698</v>
      </c>
      <c r="C25" s="257">
        <v>191.82115556448031</v>
      </c>
      <c r="D25" s="257">
        <v>173.3376576081757</v>
      </c>
      <c r="E25" s="257">
        <v>190.21982869397601</v>
      </c>
      <c r="F25" s="257">
        <v>177.14771566799811</v>
      </c>
      <c r="G25" s="257">
        <v>177.9972097439192</v>
      </c>
      <c r="H25" s="257">
        <v>184.91017055772139</v>
      </c>
      <c r="I25" s="257">
        <v>139.13088476881541</v>
      </c>
      <c r="J25" s="257">
        <v>173.51358245799111</v>
      </c>
      <c r="K25" s="257">
        <v>166.64714599810631</v>
      </c>
      <c r="L25" s="257">
        <v>173.0456303670928</v>
      </c>
      <c r="M25" s="257">
        <v>162.11709817230491</v>
      </c>
      <c r="N25" s="257">
        <v>167.3521553937324</v>
      </c>
      <c r="O25" s="257">
        <v>175.98766903099161</v>
      </c>
      <c r="P25" s="257">
        <v>169.48563548986789</v>
      </c>
      <c r="Q25" s="257">
        <v>165.50384913525329</v>
      </c>
      <c r="R25" s="257">
        <v>167.36583657494961</v>
      </c>
      <c r="S25" s="257">
        <v>164.0635241053447</v>
      </c>
      <c r="T25" s="257">
        <v>168.69595854325689</v>
      </c>
      <c r="U25" s="257">
        <v>168.3797157457339</v>
      </c>
      <c r="V25" s="257">
        <v>171.0963144224082</v>
      </c>
      <c r="W25" s="257">
        <v>173.51786185121281</v>
      </c>
      <c r="X25" s="257">
        <v>176.1418640290548</v>
      </c>
      <c r="Y25" s="257">
        <v>173.32493418182949</v>
      </c>
      <c r="DA25" s="272" t="s">
        <v>1012</v>
      </c>
    </row>
    <row r="26" spans="1:105" x14ac:dyDescent="0.25">
      <c r="A26" s="256" t="s">
        <v>170</v>
      </c>
      <c r="B26" s="257">
        <v>79.837732152251334</v>
      </c>
      <c r="C26" s="257">
        <v>89.852485292734187</v>
      </c>
      <c r="D26" s="257">
        <v>81.325811394193806</v>
      </c>
      <c r="E26" s="257">
        <v>90.123023337676415</v>
      </c>
      <c r="F26" s="257">
        <v>84.121506340184922</v>
      </c>
      <c r="G26" s="257">
        <v>85.165484941718418</v>
      </c>
      <c r="H26" s="257">
        <v>88.08610173593803</v>
      </c>
      <c r="I26" s="257">
        <v>67.560479033358476</v>
      </c>
      <c r="J26" s="257">
        <v>83.587834037152049</v>
      </c>
      <c r="K26" s="257">
        <v>82.115289510965724</v>
      </c>
      <c r="L26" s="257">
        <v>86.685626304040639</v>
      </c>
      <c r="M26" s="257">
        <v>83.142050042060475</v>
      </c>
      <c r="N26" s="257">
        <v>84.375505395281266</v>
      </c>
      <c r="O26" s="257">
        <v>69.9958685893439</v>
      </c>
      <c r="P26" s="257">
        <v>91.574763056065223</v>
      </c>
      <c r="Q26" s="257">
        <v>82.909724756321594</v>
      </c>
      <c r="R26" s="257">
        <v>82.238255706995403</v>
      </c>
      <c r="S26" s="257">
        <v>77.419174478356794</v>
      </c>
      <c r="T26" s="257">
        <v>79.34126749383141</v>
      </c>
      <c r="U26" s="257">
        <v>78.056451007252292</v>
      </c>
      <c r="V26" s="257">
        <v>73.649714142581573</v>
      </c>
      <c r="W26" s="257">
        <v>79.414296923952278</v>
      </c>
      <c r="X26" s="257">
        <v>70.252328498866319</v>
      </c>
      <c r="Y26" s="257">
        <v>70.860411142181263</v>
      </c>
      <c r="DA26" s="272" t="s">
        <v>1013</v>
      </c>
    </row>
    <row r="27" spans="1:105" x14ac:dyDescent="0.25">
      <c r="A27" s="128" t="s">
        <v>33</v>
      </c>
      <c r="B27" s="258">
        <v>115.7647116207644</v>
      </c>
      <c r="C27" s="258">
        <v>130.28610367446461</v>
      </c>
      <c r="D27" s="258">
        <v>117.9224265215811</v>
      </c>
      <c r="E27" s="258">
        <v>130.67838383963081</v>
      </c>
      <c r="F27" s="258">
        <v>121.9761841932681</v>
      </c>
      <c r="G27" s="258">
        <v>123.4899531654917</v>
      </c>
      <c r="H27" s="258">
        <v>127.72484751711021</v>
      </c>
      <c r="I27" s="258">
        <v>97.962694598369822</v>
      </c>
      <c r="J27" s="258">
        <v>121.20235935387041</v>
      </c>
      <c r="K27" s="258">
        <v>119.06716979090029</v>
      </c>
      <c r="L27" s="258">
        <v>125.6941581408589</v>
      </c>
      <c r="M27" s="258">
        <v>120.5559725609877</v>
      </c>
      <c r="N27" s="258">
        <v>122.3444828231578</v>
      </c>
      <c r="O27" s="258">
        <v>101.4940094545486</v>
      </c>
      <c r="P27" s="258">
        <v>132.78340643129451</v>
      </c>
      <c r="Q27" s="258">
        <v>120.2191008966663</v>
      </c>
      <c r="R27" s="258">
        <v>119.2454707751433</v>
      </c>
      <c r="S27" s="258">
        <v>112.2578029936174</v>
      </c>
      <c r="T27" s="258">
        <v>115.0448378660555</v>
      </c>
      <c r="U27" s="258">
        <v>113.1818539605158</v>
      </c>
      <c r="V27" s="258">
        <v>106.79208550674331</v>
      </c>
      <c r="W27" s="258">
        <v>115.1507305397308</v>
      </c>
      <c r="X27" s="258">
        <v>101.8658763233562</v>
      </c>
      <c r="Y27" s="258">
        <v>102.7475961561628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1.0000000000000002</v>
      </c>
      <c r="C31" s="235">
        <f t="shared" si="9"/>
        <v>0.99999999999999989</v>
      </c>
      <c r="D31" s="235">
        <f t="shared" si="9"/>
        <v>1</v>
      </c>
      <c r="E31" s="235">
        <f t="shared" si="9"/>
        <v>0.99999999999999989</v>
      </c>
      <c r="F31" s="235">
        <f t="shared" si="9"/>
        <v>0.99999999999999978</v>
      </c>
      <c r="G31" s="235">
        <f t="shared" si="9"/>
        <v>1</v>
      </c>
      <c r="H31" s="235">
        <f t="shared" si="9"/>
        <v>1</v>
      </c>
      <c r="I31" s="235">
        <f t="shared" si="9"/>
        <v>0.99999999999999978</v>
      </c>
      <c r="J31" s="235">
        <f t="shared" si="9"/>
        <v>1.0000000000000002</v>
      </c>
      <c r="K31" s="235">
        <f t="shared" si="9"/>
        <v>1</v>
      </c>
      <c r="L31" s="235">
        <f t="shared" si="9"/>
        <v>1</v>
      </c>
      <c r="M31" s="235">
        <f t="shared" si="9"/>
        <v>0.99999999999999989</v>
      </c>
      <c r="N31" s="235">
        <f t="shared" si="9"/>
        <v>0.99999999999999978</v>
      </c>
      <c r="O31" s="235">
        <f t="shared" si="9"/>
        <v>0.99999999999999978</v>
      </c>
      <c r="P31" s="235">
        <f t="shared" si="9"/>
        <v>0.99999999999999989</v>
      </c>
      <c r="Q31" s="235">
        <f t="shared" si="9"/>
        <v>1</v>
      </c>
      <c r="R31" s="235">
        <f t="shared" ref="R31:W31" si="10">SUM(R32:R40)</f>
        <v>0.99999999999999989</v>
      </c>
      <c r="S31" s="235">
        <f t="shared" si="10"/>
        <v>0.99999999999999989</v>
      </c>
      <c r="T31" s="235">
        <f t="shared" si="10"/>
        <v>1</v>
      </c>
      <c r="U31" s="235">
        <f t="shared" si="10"/>
        <v>1.0000000000000002</v>
      </c>
      <c r="V31" s="235">
        <f t="shared" si="10"/>
        <v>0.99999999999999989</v>
      </c>
      <c r="W31" s="235">
        <f t="shared" si="10"/>
        <v>0.99999999999999989</v>
      </c>
      <c r="X31" s="235">
        <f t="shared" ref="X31:Y31" si="11">SUM(X32:X40)</f>
        <v>0.99999999999999989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2.3593202352229156E-2</v>
      </c>
      <c r="C32" s="244">
        <f t="shared" si="12"/>
        <v>2.3599371352764811E-2</v>
      </c>
      <c r="D32" s="244">
        <f t="shared" si="12"/>
        <v>2.3608368399065917E-2</v>
      </c>
      <c r="E32" s="244">
        <f t="shared" si="12"/>
        <v>2.320605852896581E-2</v>
      </c>
      <c r="F32" s="244">
        <f t="shared" si="12"/>
        <v>2.3192888166593536E-2</v>
      </c>
      <c r="G32" s="244">
        <f t="shared" si="12"/>
        <v>2.3051363797078863E-2</v>
      </c>
      <c r="H32" s="244">
        <f t="shared" si="12"/>
        <v>2.3210721969177291E-2</v>
      </c>
      <c r="I32" s="244">
        <f t="shared" si="12"/>
        <v>2.3141091409742316E-2</v>
      </c>
      <c r="J32" s="244">
        <f t="shared" si="12"/>
        <v>2.3233695396369772E-2</v>
      </c>
      <c r="K32" s="244">
        <f t="shared" si="12"/>
        <v>2.3272251512383432E-2</v>
      </c>
      <c r="L32" s="244">
        <f t="shared" si="12"/>
        <v>2.3337264794181481E-2</v>
      </c>
      <c r="M32" s="244">
        <f t="shared" si="12"/>
        <v>2.3431952735038137E-2</v>
      </c>
      <c r="N32" s="244">
        <f t="shared" si="12"/>
        <v>2.3227555915634902E-2</v>
      </c>
      <c r="O32" s="244">
        <f t="shared" si="12"/>
        <v>1.8776466710072881E-2</v>
      </c>
      <c r="P32" s="244">
        <f t="shared" si="12"/>
        <v>2.4327304552249608E-2</v>
      </c>
      <c r="Q32" s="244">
        <f t="shared" si="12"/>
        <v>2.2858165156456767E-2</v>
      </c>
      <c r="R32" s="244">
        <f t="shared" si="12"/>
        <v>2.2246094145578245E-2</v>
      </c>
      <c r="S32" s="244">
        <f t="shared" si="12"/>
        <v>2.1822847689795845E-2</v>
      </c>
      <c r="T32" s="244">
        <f t="shared" si="12"/>
        <v>2.1657649562432421E-2</v>
      </c>
      <c r="U32" s="244">
        <f t="shared" si="12"/>
        <v>2.1347319805623054E-2</v>
      </c>
      <c r="V32" s="244">
        <f t="shared" si="12"/>
        <v>2.0116227137566198E-2</v>
      </c>
      <c r="W32" s="244">
        <f t="shared" si="12"/>
        <v>2.1090907790265595E-2</v>
      </c>
      <c r="X32" s="244">
        <f t="shared" si="12"/>
        <v>1.8557143884386743E-2</v>
      </c>
      <c r="Y32" s="244">
        <f t="shared" si="12"/>
        <v>1.896419986647083E-2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1.5335581528948943E-2</v>
      </c>
      <c r="C33" s="245">
        <f t="shared" si="13"/>
        <v>1.5339591379297121E-2</v>
      </c>
      <c r="D33" s="245">
        <f t="shared" si="13"/>
        <v>1.5345439459392849E-2</v>
      </c>
      <c r="E33" s="245">
        <f t="shared" si="13"/>
        <v>1.5083938043827768E-2</v>
      </c>
      <c r="F33" s="245">
        <f t="shared" si="13"/>
        <v>1.5075377308285795E-2</v>
      </c>
      <c r="G33" s="245">
        <f t="shared" si="13"/>
        <v>1.4983386468101259E-2</v>
      </c>
      <c r="H33" s="245">
        <f t="shared" si="13"/>
        <v>1.5086969279965235E-2</v>
      </c>
      <c r="I33" s="245">
        <f t="shared" si="13"/>
        <v>1.5041709416332507E-2</v>
      </c>
      <c r="J33" s="245">
        <f t="shared" si="13"/>
        <v>1.5101902007640345E-2</v>
      </c>
      <c r="K33" s="245">
        <f t="shared" si="13"/>
        <v>1.5126963483049228E-2</v>
      </c>
      <c r="L33" s="245">
        <f t="shared" si="13"/>
        <v>1.5169222116217957E-2</v>
      </c>
      <c r="M33" s="245">
        <f t="shared" si="13"/>
        <v>1.5230769277774786E-2</v>
      </c>
      <c r="N33" s="245">
        <f t="shared" si="13"/>
        <v>1.5097911345162685E-2</v>
      </c>
      <c r="O33" s="245">
        <f t="shared" si="13"/>
        <v>1.2204703361547369E-2</v>
      </c>
      <c r="P33" s="245">
        <f t="shared" si="13"/>
        <v>1.5812747958962235E-2</v>
      </c>
      <c r="Q33" s="245">
        <f t="shared" si="13"/>
        <v>1.4857807351696891E-2</v>
      </c>
      <c r="R33" s="245">
        <f t="shared" si="13"/>
        <v>1.4459961194625854E-2</v>
      </c>
      <c r="S33" s="245">
        <f t="shared" si="13"/>
        <v>1.4184850998367296E-2</v>
      </c>
      <c r="T33" s="245">
        <f t="shared" si="13"/>
        <v>1.4077472215581067E-2</v>
      </c>
      <c r="U33" s="245">
        <f t="shared" si="13"/>
        <v>1.3875757873654984E-2</v>
      </c>
      <c r="V33" s="245">
        <f t="shared" si="13"/>
        <v>1.3075547639418029E-2</v>
      </c>
      <c r="W33" s="245">
        <f t="shared" si="13"/>
        <v>1.370909006367263E-2</v>
      </c>
      <c r="X33" s="245">
        <f t="shared" si="13"/>
        <v>1.206214352485138E-2</v>
      </c>
      <c r="Y33" s="245">
        <f t="shared" si="13"/>
        <v>1.2326729913206035E-2</v>
      </c>
      <c r="DA33" s="276"/>
    </row>
    <row r="34" spans="1:105" x14ac:dyDescent="0.25">
      <c r="A34" s="240" t="s">
        <v>123</v>
      </c>
      <c r="B34" s="245">
        <f t="shared" ref="B34:Y34" si="14">IF(B$8=0,0,B$8/B$5)</f>
        <v>2.1233882117006234E-2</v>
      </c>
      <c r="C34" s="245">
        <f t="shared" si="14"/>
        <v>2.1239434217488327E-2</v>
      </c>
      <c r="D34" s="245">
        <f t="shared" si="14"/>
        <v>2.1247531559159323E-2</v>
      </c>
      <c r="E34" s="245">
        <f t="shared" si="14"/>
        <v>2.088545267606922E-2</v>
      </c>
      <c r="F34" s="245">
        <f t="shared" si="14"/>
        <v>2.0873599349934178E-2</v>
      </c>
      <c r="G34" s="245">
        <f t="shared" si="14"/>
        <v>2.0746227417370974E-2</v>
      </c>
      <c r="H34" s="245">
        <f t="shared" si="14"/>
        <v>2.0889649772259565E-2</v>
      </c>
      <c r="I34" s="245">
        <f t="shared" si="14"/>
        <v>2.0826982268768088E-2</v>
      </c>
      <c r="J34" s="245">
        <f t="shared" si="14"/>
        <v>2.0910325856732786E-2</v>
      </c>
      <c r="K34" s="245">
        <f t="shared" si="14"/>
        <v>2.0945026361145081E-2</v>
      </c>
      <c r="L34" s="245">
        <f t="shared" si="14"/>
        <v>2.1003538314763332E-2</v>
      </c>
      <c r="M34" s="245">
        <f t="shared" si="14"/>
        <v>2.1088757461534321E-2</v>
      </c>
      <c r="N34" s="245">
        <f t="shared" si="14"/>
        <v>2.0904800324071406E-2</v>
      </c>
      <c r="O34" s="245">
        <f t="shared" si="14"/>
        <v>1.6898820039065593E-2</v>
      </c>
      <c r="P34" s="245">
        <f t="shared" si="14"/>
        <v>2.1894574097024638E-2</v>
      </c>
      <c r="Q34" s="245">
        <f t="shared" si="14"/>
        <v>2.0572348640811085E-2</v>
      </c>
      <c r="R34" s="245">
        <f t="shared" si="14"/>
        <v>2.002148473102042E-2</v>
      </c>
      <c r="S34" s="245">
        <f t="shared" si="14"/>
        <v>1.9640562920816257E-2</v>
      </c>
      <c r="T34" s="245">
        <f t="shared" si="14"/>
        <v>1.9491884606189176E-2</v>
      </c>
      <c r="U34" s="245">
        <f t="shared" si="14"/>
        <v>1.9212587825060749E-2</v>
      </c>
      <c r="V34" s="245">
        <f t="shared" si="14"/>
        <v>1.8104604423809584E-2</v>
      </c>
      <c r="W34" s="245">
        <f t="shared" si="14"/>
        <v>1.8981817011239029E-2</v>
      </c>
      <c r="X34" s="245">
        <f t="shared" si="14"/>
        <v>1.6701429495948064E-2</v>
      </c>
      <c r="Y34" s="245">
        <f t="shared" si="14"/>
        <v>1.7067779879823743E-2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0.19712216254161427</v>
      </c>
      <c r="C35" s="246">
        <f t="shared" si="15"/>
        <v>0.19690252477551265</v>
      </c>
      <c r="D35" s="246">
        <f t="shared" si="15"/>
        <v>0.1972060323150244</v>
      </c>
      <c r="E35" s="246">
        <f t="shared" si="15"/>
        <v>0.18921721402029731</v>
      </c>
      <c r="F35" s="246">
        <f t="shared" si="15"/>
        <v>0.1890820832633765</v>
      </c>
      <c r="G35" s="246">
        <f t="shared" si="15"/>
        <v>0.18652271997337352</v>
      </c>
      <c r="H35" s="246">
        <f t="shared" si="15"/>
        <v>0.18967077530829876</v>
      </c>
      <c r="I35" s="246">
        <f t="shared" si="15"/>
        <v>0.18939438519385784</v>
      </c>
      <c r="J35" s="246">
        <f t="shared" si="15"/>
        <v>0.19088894263158221</v>
      </c>
      <c r="K35" s="246">
        <f t="shared" si="15"/>
        <v>0.19317077752675477</v>
      </c>
      <c r="L35" s="246">
        <f t="shared" si="15"/>
        <v>0.1956359323494527</v>
      </c>
      <c r="M35" s="246">
        <f t="shared" si="15"/>
        <v>0.19783462218676476</v>
      </c>
      <c r="N35" s="246">
        <f t="shared" si="15"/>
        <v>0.19751324834318162</v>
      </c>
      <c r="O35" s="246">
        <f t="shared" si="15"/>
        <v>0.20088754573755085</v>
      </c>
      <c r="P35" s="246">
        <f t="shared" si="15"/>
        <v>0.19959280231064241</v>
      </c>
      <c r="Q35" s="246">
        <f t="shared" si="15"/>
        <v>0.20112514846656795</v>
      </c>
      <c r="R35" s="246">
        <f t="shared" si="15"/>
        <v>0.20164617426095569</v>
      </c>
      <c r="S35" s="246">
        <f t="shared" si="15"/>
        <v>0.20288419283637707</v>
      </c>
      <c r="T35" s="246">
        <f t="shared" si="15"/>
        <v>0.20042823242897403</v>
      </c>
      <c r="U35" s="246">
        <f t="shared" si="15"/>
        <v>0.20058450980968534</v>
      </c>
      <c r="V35" s="246">
        <f t="shared" si="15"/>
        <v>0.20183887143911941</v>
      </c>
      <c r="W35" s="246">
        <f t="shared" si="15"/>
        <v>0.20080116317219432</v>
      </c>
      <c r="X35" s="246">
        <f t="shared" si="15"/>
        <v>0.20534955673097038</v>
      </c>
      <c r="Y35" s="246">
        <f t="shared" si="15"/>
        <v>0.20475626595945515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0.26077218869850932</v>
      </c>
      <c r="C36" s="259">
        <f t="shared" si="16"/>
        <v>0.26218486570528071</v>
      </c>
      <c r="D36" s="259">
        <f t="shared" si="16"/>
        <v>0.26186126881469224</v>
      </c>
      <c r="E36" s="259">
        <f t="shared" si="16"/>
        <v>0.25489551437016883</v>
      </c>
      <c r="F36" s="259">
        <f t="shared" si="16"/>
        <v>0.25416990423924407</v>
      </c>
      <c r="G36" s="259">
        <f t="shared" si="16"/>
        <v>0.2507188409482467</v>
      </c>
      <c r="H36" s="259">
        <f t="shared" si="16"/>
        <v>0.25356122063344994</v>
      </c>
      <c r="I36" s="259">
        <f t="shared" si="16"/>
        <v>0.24800214686963729</v>
      </c>
      <c r="J36" s="259">
        <f t="shared" si="16"/>
        <v>0.25098598539223899</v>
      </c>
      <c r="K36" s="259">
        <f t="shared" si="16"/>
        <v>0.24578367276416527</v>
      </c>
      <c r="L36" s="259">
        <f t="shared" si="16"/>
        <v>0.24244000020829254</v>
      </c>
      <c r="M36" s="259">
        <f t="shared" si="16"/>
        <v>0.23777016064573342</v>
      </c>
      <c r="N36" s="259">
        <f t="shared" si="16"/>
        <v>0.23975032968823345</v>
      </c>
      <c r="O36" s="259">
        <f t="shared" si="16"/>
        <v>0.24567698820867631</v>
      </c>
      <c r="P36" s="259">
        <f t="shared" si="16"/>
        <v>0.23431055914195767</v>
      </c>
      <c r="Q36" s="259">
        <f t="shared" si="16"/>
        <v>0.23745688557574221</v>
      </c>
      <c r="R36" s="259">
        <f t="shared" si="16"/>
        <v>0.23560660922166374</v>
      </c>
      <c r="S36" s="259">
        <f t="shared" si="16"/>
        <v>0.24066653059858126</v>
      </c>
      <c r="T36" s="259">
        <f t="shared" si="16"/>
        <v>0.23963907922979819</v>
      </c>
      <c r="U36" s="259">
        <f t="shared" si="16"/>
        <v>0.23964319597315528</v>
      </c>
      <c r="V36" s="259">
        <f t="shared" si="16"/>
        <v>0.24319626206680733</v>
      </c>
      <c r="W36" s="259">
        <f t="shared" si="16"/>
        <v>0.2398178697856107</v>
      </c>
      <c r="X36" s="259">
        <f t="shared" si="16"/>
        <v>0.2421328843594929</v>
      </c>
      <c r="Y36" s="259">
        <f t="shared" si="16"/>
        <v>0.24139744866850496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0.37403008773654961</v>
      </c>
      <c r="C37" s="259">
        <f t="shared" si="17"/>
        <v>0.37253474583348822</v>
      </c>
      <c r="D37" s="259">
        <f t="shared" si="17"/>
        <v>0.37257203179235365</v>
      </c>
      <c r="E37" s="259">
        <f t="shared" si="17"/>
        <v>0.39087668164930323</v>
      </c>
      <c r="F37" s="259">
        <f t="shared" si="17"/>
        <v>0.39194270638270284</v>
      </c>
      <c r="G37" s="259">
        <f t="shared" si="17"/>
        <v>0.39932390538285495</v>
      </c>
      <c r="H37" s="259">
        <f t="shared" si="17"/>
        <v>0.39199049255811125</v>
      </c>
      <c r="I37" s="259">
        <f t="shared" si="17"/>
        <v>0.39924233158504918</v>
      </c>
      <c r="J37" s="259">
        <f t="shared" si="17"/>
        <v>0.3937275462529779</v>
      </c>
      <c r="K37" s="259">
        <f t="shared" si="17"/>
        <v>0.39745491113193909</v>
      </c>
      <c r="L37" s="259">
        <f t="shared" si="17"/>
        <v>0.3986508770029828</v>
      </c>
      <c r="M37" s="259">
        <f t="shared" si="17"/>
        <v>0.40154593561305185</v>
      </c>
      <c r="N37" s="259">
        <f t="shared" si="17"/>
        <v>0.40052861852745009</v>
      </c>
      <c r="O37" s="259">
        <f t="shared" si="17"/>
        <v>0.41234425181460149</v>
      </c>
      <c r="P37" s="259">
        <f t="shared" si="17"/>
        <v>0.39943538916721139</v>
      </c>
      <c r="Q37" s="259">
        <f t="shared" si="17"/>
        <v>0.40149782071159401</v>
      </c>
      <c r="R37" s="259">
        <f t="shared" si="17"/>
        <v>0.40624297234680817</v>
      </c>
      <c r="S37" s="259">
        <f t="shared" si="17"/>
        <v>0.4010889586128123</v>
      </c>
      <c r="T37" s="259">
        <f t="shared" si="17"/>
        <v>0.40559579436882459</v>
      </c>
      <c r="U37" s="259">
        <f t="shared" si="17"/>
        <v>0.40698625796225918</v>
      </c>
      <c r="V37" s="259">
        <f t="shared" si="17"/>
        <v>0.40765154231928546</v>
      </c>
      <c r="W37" s="259">
        <f t="shared" si="17"/>
        <v>0.40784342583533506</v>
      </c>
      <c r="X37" s="259">
        <f t="shared" si="17"/>
        <v>0.41320398788900425</v>
      </c>
      <c r="Y37" s="259">
        <f t="shared" si="17"/>
        <v>0.4126387545380294</v>
      </c>
      <c r="DA37" s="278"/>
    </row>
    <row r="38" spans="1:105" x14ac:dyDescent="0.25">
      <c r="A38" s="127" t="s">
        <v>167</v>
      </c>
      <c r="B38" s="259">
        <f t="shared" ref="B38:Y38" si="18">IF(B$25=0,0,B$25/B$5)</f>
        <v>5.01095492621811E-2</v>
      </c>
      <c r="C38" s="259">
        <f t="shared" si="18"/>
        <v>5.0381006921894206E-2</v>
      </c>
      <c r="D38" s="259">
        <f t="shared" si="18"/>
        <v>5.0318825082600084E-2</v>
      </c>
      <c r="E38" s="259">
        <f t="shared" si="18"/>
        <v>4.8980297315401489E-2</v>
      </c>
      <c r="F38" s="259">
        <f t="shared" si="18"/>
        <v>4.8840865281708862E-2</v>
      </c>
      <c r="G38" s="259">
        <f t="shared" si="18"/>
        <v>4.8177714710130583E-2</v>
      </c>
      <c r="H38" s="259">
        <f t="shared" si="18"/>
        <v>4.8723901654253624E-2</v>
      </c>
      <c r="I38" s="259">
        <f t="shared" si="18"/>
        <v>4.7655679302743864E-2</v>
      </c>
      <c r="J38" s="259">
        <f t="shared" si="18"/>
        <v>4.8229048741352087E-2</v>
      </c>
      <c r="K38" s="259">
        <f t="shared" si="18"/>
        <v>4.7229381015223823E-2</v>
      </c>
      <c r="L38" s="259">
        <f t="shared" si="18"/>
        <v>4.6586866468364616E-2</v>
      </c>
      <c r="M38" s="259">
        <f t="shared" si="18"/>
        <v>4.5689517879259213E-2</v>
      </c>
      <c r="N38" s="259">
        <f t="shared" si="18"/>
        <v>4.6070023862960267E-2</v>
      </c>
      <c r="O38" s="259">
        <f t="shared" si="18"/>
        <v>4.720888068880684E-2</v>
      </c>
      <c r="P38" s="259">
        <f t="shared" si="18"/>
        <v>4.5024726618940407E-2</v>
      </c>
      <c r="Q38" s="259">
        <f t="shared" si="18"/>
        <v>4.5629319463812046E-2</v>
      </c>
      <c r="R38" s="259">
        <f t="shared" si="18"/>
        <v>4.5273773442681173E-2</v>
      </c>
      <c r="S38" s="259">
        <f t="shared" si="18"/>
        <v>4.6246079503250194E-2</v>
      </c>
      <c r="T38" s="259">
        <f t="shared" si="18"/>
        <v>4.6048646160241152E-2</v>
      </c>
      <c r="U38" s="259">
        <f t="shared" si="18"/>
        <v>4.6049437226785027E-2</v>
      </c>
      <c r="V38" s="259">
        <f t="shared" si="18"/>
        <v>4.6732188486956761E-2</v>
      </c>
      <c r="W38" s="259">
        <f t="shared" si="18"/>
        <v>4.6083002255531906E-2</v>
      </c>
      <c r="X38" s="259">
        <f t="shared" si="18"/>
        <v>4.6527851598598659E-2</v>
      </c>
      <c r="Y38" s="259">
        <f t="shared" si="18"/>
        <v>4.6386531501656413E-2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2.3593202352229156E-2</v>
      </c>
      <c r="C39" s="259">
        <f t="shared" si="19"/>
        <v>2.3599371352764811E-2</v>
      </c>
      <c r="D39" s="259">
        <f t="shared" si="19"/>
        <v>2.3608368399065917E-2</v>
      </c>
      <c r="E39" s="259">
        <f t="shared" si="19"/>
        <v>2.320605852896581E-2</v>
      </c>
      <c r="F39" s="259">
        <f t="shared" si="19"/>
        <v>2.3192888166593536E-2</v>
      </c>
      <c r="G39" s="259">
        <f t="shared" si="19"/>
        <v>2.3051363797078863E-2</v>
      </c>
      <c r="H39" s="259">
        <f t="shared" si="19"/>
        <v>2.3210721969177291E-2</v>
      </c>
      <c r="I39" s="259">
        <f t="shared" si="19"/>
        <v>2.3141091409742316E-2</v>
      </c>
      <c r="J39" s="259">
        <f t="shared" si="19"/>
        <v>2.3233695396369772E-2</v>
      </c>
      <c r="K39" s="259">
        <f t="shared" si="19"/>
        <v>2.3272251512383432E-2</v>
      </c>
      <c r="L39" s="259">
        <f t="shared" si="19"/>
        <v>2.3337264794181481E-2</v>
      </c>
      <c r="M39" s="259">
        <f t="shared" si="19"/>
        <v>2.3431952735038137E-2</v>
      </c>
      <c r="N39" s="259">
        <f t="shared" si="19"/>
        <v>2.3227555915634902E-2</v>
      </c>
      <c r="O39" s="259">
        <f t="shared" si="19"/>
        <v>1.8776466710072881E-2</v>
      </c>
      <c r="P39" s="259">
        <f t="shared" si="19"/>
        <v>2.4327304552249608E-2</v>
      </c>
      <c r="Q39" s="259">
        <f t="shared" si="19"/>
        <v>2.2858165156456767E-2</v>
      </c>
      <c r="R39" s="259">
        <f t="shared" si="19"/>
        <v>2.2246094145578245E-2</v>
      </c>
      <c r="S39" s="259">
        <f t="shared" si="19"/>
        <v>2.1822847689795845E-2</v>
      </c>
      <c r="T39" s="259">
        <f t="shared" si="19"/>
        <v>2.1657649562432421E-2</v>
      </c>
      <c r="U39" s="259">
        <f t="shared" si="19"/>
        <v>2.1347319805623054E-2</v>
      </c>
      <c r="V39" s="259">
        <f t="shared" si="19"/>
        <v>2.0116227137566198E-2</v>
      </c>
      <c r="W39" s="259">
        <f t="shared" si="19"/>
        <v>2.1090907790265595E-2</v>
      </c>
      <c r="X39" s="259">
        <f t="shared" si="19"/>
        <v>1.8557143884386743E-2</v>
      </c>
      <c r="Y39" s="259">
        <f t="shared" si="19"/>
        <v>1.896419986647083E-2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3.4210143410732266E-2</v>
      </c>
      <c r="C40" s="261">
        <f t="shared" si="20"/>
        <v>3.4219088461508985E-2</v>
      </c>
      <c r="D40" s="261">
        <f t="shared" si="20"/>
        <v>3.4232134178645603E-2</v>
      </c>
      <c r="E40" s="261">
        <f t="shared" si="20"/>
        <v>3.3648784867000431E-2</v>
      </c>
      <c r="F40" s="261">
        <f t="shared" si="20"/>
        <v>3.3629687841560611E-2</v>
      </c>
      <c r="G40" s="261">
        <f t="shared" si="20"/>
        <v>3.3424477505764348E-2</v>
      </c>
      <c r="H40" s="261">
        <f t="shared" si="20"/>
        <v>3.3655546855307091E-2</v>
      </c>
      <c r="I40" s="261">
        <f t="shared" si="20"/>
        <v>3.3554582544126368E-2</v>
      </c>
      <c r="J40" s="261">
        <f t="shared" si="20"/>
        <v>3.3688858324736157E-2</v>
      </c>
      <c r="K40" s="261">
        <f t="shared" si="20"/>
        <v>3.3744764692955974E-2</v>
      </c>
      <c r="L40" s="261">
        <f t="shared" si="20"/>
        <v>3.3839033951563138E-2</v>
      </c>
      <c r="M40" s="261">
        <f t="shared" si="20"/>
        <v>3.3976331465805303E-2</v>
      </c>
      <c r="N40" s="261">
        <f t="shared" si="20"/>
        <v>3.3679956077670603E-2</v>
      </c>
      <c r="O40" s="261">
        <f t="shared" si="20"/>
        <v>2.7225876729605667E-2</v>
      </c>
      <c r="P40" s="261">
        <f t="shared" si="20"/>
        <v>3.5274591600761913E-2</v>
      </c>
      <c r="Q40" s="261">
        <f t="shared" si="20"/>
        <v>3.3144339476862308E-2</v>
      </c>
      <c r="R40" s="261">
        <f t="shared" si="20"/>
        <v>3.2256836511088446E-2</v>
      </c>
      <c r="S40" s="261">
        <f t="shared" si="20"/>
        <v>3.1643129150203987E-2</v>
      </c>
      <c r="T40" s="261">
        <f t="shared" si="20"/>
        <v>3.1403591865526999E-2</v>
      </c>
      <c r="U40" s="261">
        <f t="shared" si="20"/>
        <v>3.095361371815342E-2</v>
      </c>
      <c r="V40" s="261">
        <f t="shared" si="20"/>
        <v>2.9168529349470996E-2</v>
      </c>
      <c r="W40" s="261">
        <f t="shared" si="20"/>
        <v>3.0581816295885109E-2</v>
      </c>
      <c r="X40" s="261">
        <f t="shared" si="20"/>
        <v>2.6907858632360785E-2</v>
      </c>
      <c r="Y40" s="261">
        <f t="shared" si="20"/>
        <v>2.7498089806382697E-2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112.47171201628663</v>
      </c>
      <c r="C44" s="236">
        <f t="shared" si="21"/>
        <v>109.81942433546163</v>
      </c>
      <c r="D44" s="236">
        <f t="shared" si="21"/>
        <v>113.80906613357635</v>
      </c>
      <c r="E44" s="236">
        <f t="shared" si="21"/>
        <v>119.5378711984025</v>
      </c>
      <c r="F44" s="236">
        <f t="shared" si="21"/>
        <v>117.3061606093235</v>
      </c>
      <c r="G44" s="236">
        <f t="shared" si="21"/>
        <v>134.29403412451356</v>
      </c>
      <c r="H44" s="236">
        <f t="shared" si="21"/>
        <v>130.05722800154629</v>
      </c>
      <c r="I44" s="236">
        <f t="shared" si="21"/>
        <v>117.81469406104156</v>
      </c>
      <c r="J44" s="236">
        <f t="shared" si="21"/>
        <v>123.49619118298855</v>
      </c>
      <c r="K44" s="236">
        <f t="shared" si="21"/>
        <v>137.83360398812144</v>
      </c>
      <c r="L44" s="236">
        <f t="shared" si="21"/>
        <v>128.4761723339353</v>
      </c>
      <c r="M44" s="236">
        <f t="shared" si="21"/>
        <v>116.02131221383357</v>
      </c>
      <c r="N44" s="236">
        <f t="shared" si="21"/>
        <v>118.3121684496124</v>
      </c>
      <c r="O44" s="236">
        <f t="shared" si="21"/>
        <v>117.89482713876833</v>
      </c>
      <c r="P44" s="236">
        <f t="shared" si="21"/>
        <v>114.21265320772919</v>
      </c>
      <c r="Q44" s="236">
        <f t="shared" si="21"/>
        <v>116.67728719019786</v>
      </c>
      <c r="R44" s="236">
        <f t="shared" si="21"/>
        <v>118.41249825520173</v>
      </c>
      <c r="S44" s="236">
        <f t="shared" si="21"/>
        <v>109.25986032686181</v>
      </c>
      <c r="T44" s="236">
        <f t="shared" si="21"/>
        <v>115.03952384499107</v>
      </c>
      <c r="U44" s="236">
        <f t="shared" si="21"/>
        <v>114.31053707016741</v>
      </c>
      <c r="V44" s="236">
        <f t="shared" si="21"/>
        <v>121.02278233994657</v>
      </c>
      <c r="W44" s="236">
        <f t="shared" si="21"/>
        <v>115.61293230102251</v>
      </c>
      <c r="X44" s="236">
        <f t="shared" si="21"/>
        <v>98.926512660278462</v>
      </c>
      <c r="Y44" s="236">
        <f t="shared" si="21"/>
        <v>101.37891512464498</v>
      </c>
      <c r="DA44" s="280"/>
    </row>
    <row r="45" spans="1:105" x14ac:dyDescent="0.25">
      <c r="A45" s="238" t="s">
        <v>125</v>
      </c>
      <c r="B45" s="247">
        <f>IF(B$6=0,0,B$6/AGR!B$5*1000)</f>
        <v>2.6535678605018935</v>
      </c>
      <c r="C45" s="247">
        <f>IF(C$6=0,0,C$6/AGR!C$5*1000)</f>
        <v>2.5916693766394157</v>
      </c>
      <c r="D45" s="247">
        <f>IF(D$6=0,0,D$6/AGR!D$5*1000)</f>
        <v>2.6868463604351267</v>
      </c>
      <c r="E45" s="247">
        <f>IF(E$6=0,0,E$6/AGR!E$5*1000)</f>
        <v>2.7740028354581048</v>
      </c>
      <c r="F45" s="247">
        <f>IF(F$6=0,0,F$6/AGR!F$5*1000)</f>
        <v>2.7206686642645006</v>
      </c>
      <c r="G45" s="247">
        <f>IF(G$6=0,0,G$6/AGR!G$5*1000)</f>
        <v>3.0956606363814849</v>
      </c>
      <c r="H45" s="247">
        <f>IF(H$6=0,0,H$6/AGR!H$5*1000)</f>
        <v>3.0187221592257907</v>
      </c>
      <c r="I45" s="247">
        <f>IF(I$6=0,0,I$6/AGR!I$5*1000)</f>
        <v>2.7263606046773883</v>
      </c>
      <c r="J45" s="247">
        <f>IF(J$6=0,0,J$6/AGR!J$5*1000)</f>
        <v>2.8692728885574019</v>
      </c>
      <c r="K45" s="247">
        <f>IF(K$6=0,0,K$6/AGR!K$5*1000)</f>
        <v>3.2076982988698179</v>
      </c>
      <c r="L45" s="247">
        <f>IF(L$6=0,0,L$6/AGR!L$5*1000)</f>
        <v>2.9982824534999408</v>
      </c>
      <c r="M45" s="247">
        <f>IF(M$6=0,0,M$6/AGR!M$5*1000)</f>
        <v>2.718605904051651</v>
      </c>
      <c r="N45" s="247">
        <f>IF(N$6=0,0,N$6/AGR!N$5*1000)</f>
        <v>2.7481025081633872</v>
      </c>
      <c r="O45" s="247">
        <f>IF(O$6=0,0,O$6/AGR!O$5*1000)</f>
        <v>2.2136482970608804</v>
      </c>
      <c r="P45" s="247">
        <f>IF(P$6=0,0,P$6/AGR!P$5*1000)</f>
        <v>2.778485998304896</v>
      </c>
      <c r="Q45" s="247">
        <f>IF(Q$6=0,0,Q$6/AGR!Q$5*1000)</f>
        <v>2.6670287006008802</v>
      </c>
      <c r="R45" s="247">
        <f>IF(R$6=0,0,R$6/AGR!R$5*1000)</f>
        <v>2.634215584198337</v>
      </c>
      <c r="S45" s="247">
        <f>IF(S$6=0,0,S$6/AGR!S$5*1000)</f>
        <v>2.3843612905214733</v>
      </c>
      <c r="T45" s="247">
        <f>IF(T$6=0,0,T$6/AGR!T$5*1000)</f>
        <v>2.4914856932639049</v>
      </c>
      <c r="U45" s="247">
        <f>IF(U$6=0,0,U$6/AGR!U$5*1000)</f>
        <v>2.4402235919893931</v>
      </c>
      <c r="V45" s="247">
        <f>IF(V$6=0,0,V$6/AGR!V$5*1000)</f>
        <v>2.4345217783706015</v>
      </c>
      <c r="W45" s="247">
        <f>IF(W$6=0,0,W$6/AGR!W$5*1000)</f>
        <v>2.4383816945230845</v>
      </c>
      <c r="X45" s="247">
        <f>IF(X$6=0,0,X$6/AGR!X$5*1000)</f>
        <v>1.8357935294173942</v>
      </c>
      <c r="Y45" s="247">
        <f>IF(Y$6=0,0,Y$6/AGR!Y$5*1000)</f>
        <v>1.9225700086697495</v>
      </c>
      <c r="DA45" s="281"/>
    </row>
    <row r="46" spans="1:105" x14ac:dyDescent="0.25">
      <c r="A46" s="240" t="s">
        <v>124</v>
      </c>
      <c r="B46" s="248">
        <f>IF(B$7=0,0,B$7/AGR!B$5*1000)</f>
        <v>1.7248191093262299</v>
      </c>
      <c r="C46" s="248">
        <f>IF(C$7=0,0,C$7/AGR!C$5*1000)</f>
        <v>1.6845850948156198</v>
      </c>
      <c r="D46" s="248">
        <f>IF(D$7=0,0,D$7/AGR!D$5*1000)</f>
        <v>1.7464501342828327</v>
      </c>
      <c r="E46" s="248">
        <f>IF(E$7=0,0,E$7/AGR!E$5*1000)</f>
        <v>1.8031018430477672</v>
      </c>
      <c r="F46" s="248">
        <f>IF(F$7=0,0,F$7/AGR!F$5*1000)</f>
        <v>1.7684346317719251</v>
      </c>
      <c r="G46" s="248">
        <f>IF(G$7=0,0,G$7/AGR!G$5*1000)</f>
        <v>2.0121794136479645</v>
      </c>
      <c r="H46" s="248">
        <f>IF(H$7=0,0,H$7/AGR!H$5*1000)</f>
        <v>1.9621694034967634</v>
      </c>
      <c r="I46" s="248">
        <f>IF(I$7=0,0,I$7/AGR!I$5*1000)</f>
        <v>1.7721343930403024</v>
      </c>
      <c r="J46" s="248">
        <f>IF(J$7=0,0,J$7/AGR!J$5*1000)</f>
        <v>1.8650273775623107</v>
      </c>
      <c r="K46" s="248">
        <f>IF(K$7=0,0,K$7/AGR!K$5*1000)</f>
        <v>2.0850038942653812</v>
      </c>
      <c r="L46" s="248">
        <f>IF(L$7=0,0,L$7/AGR!L$5*1000)</f>
        <v>1.9488835947749608</v>
      </c>
      <c r="M46" s="248">
        <f>IF(M$7=0,0,M$7/AGR!M$5*1000)</f>
        <v>1.767093837633573</v>
      </c>
      <c r="N46" s="248">
        <f>IF(N$7=0,0,N$7/AGR!N$5*1000)</f>
        <v>1.7862666303062016</v>
      </c>
      <c r="O46" s="248">
        <f>IF(O$7=0,0,O$7/AGR!O$5*1000)</f>
        <v>1.438871393089572</v>
      </c>
      <c r="P46" s="248">
        <f>IF(P$7=0,0,P$7/AGR!P$5*1000)</f>
        <v>1.8060158988981811</v>
      </c>
      <c r="Q46" s="248">
        <f>IF(Q$7=0,0,Q$7/AGR!Q$5*1000)</f>
        <v>1.7335686553905709</v>
      </c>
      <c r="R46" s="248">
        <f>IF(R$7=0,0,R$7/AGR!R$5*1000)</f>
        <v>1.7122401297289185</v>
      </c>
      <c r="S46" s="248">
        <f>IF(S$7=0,0,S$7/AGR!S$5*1000)</f>
        <v>1.5498348388389571</v>
      </c>
      <c r="T46" s="248">
        <f>IF(T$7=0,0,T$7/AGR!T$5*1000)</f>
        <v>1.6194657006215374</v>
      </c>
      <c r="U46" s="248">
        <f>IF(U$7=0,0,U$7/AGR!U$5*1000)</f>
        <v>1.5861453347931054</v>
      </c>
      <c r="V46" s="248">
        <f>IF(V$7=0,0,V$7/AGR!V$5*1000)</f>
        <v>1.5824391559408906</v>
      </c>
      <c r="W46" s="248">
        <f>IF(W$7=0,0,W$7/AGR!W$5*1000)</f>
        <v>1.584948101440004</v>
      </c>
      <c r="X46" s="248">
        <f>IF(X$7=0,0,X$7/AGR!X$5*1000)</f>
        <v>1.1932657941213058</v>
      </c>
      <c r="Y46" s="248">
        <f>IF(Y$7=0,0,Y$7/AGR!Y$5*1000)</f>
        <v>1.2496705056353368</v>
      </c>
      <c r="DA46" s="282"/>
    </row>
    <row r="47" spans="1:105" x14ac:dyDescent="0.25">
      <c r="A47" s="240" t="s">
        <v>123</v>
      </c>
      <c r="B47" s="248">
        <f>IF(B$8=0,0,B$8/AGR!B$5*1000)</f>
        <v>2.3882110744517036</v>
      </c>
      <c r="C47" s="248">
        <f>IF(C$8=0,0,C$8/AGR!C$5*1000)</f>
        <v>2.332502438975474</v>
      </c>
      <c r="D47" s="248">
        <f>IF(D$8=0,0,D$8/AGR!D$5*1000)</f>
        <v>2.4181617243916138</v>
      </c>
      <c r="E47" s="248">
        <f>IF(E$8=0,0,E$8/AGR!E$5*1000)</f>
        <v>2.4966025519122934</v>
      </c>
      <c r="F47" s="248">
        <f>IF(F$8=0,0,F$8/AGR!F$5*1000)</f>
        <v>2.4486017978380499</v>
      </c>
      <c r="G47" s="248">
        <f>IF(G$8=0,0,G$8/AGR!G$5*1000)</f>
        <v>2.7860945727433362</v>
      </c>
      <c r="H47" s="248">
        <f>IF(H$8=0,0,H$8/AGR!H$5*1000)</f>
        <v>2.7168499433032123</v>
      </c>
      <c r="I47" s="248">
        <f>IF(I$8=0,0,I$8/AGR!I$5*1000)</f>
        <v>2.45372454420965</v>
      </c>
      <c r="J47" s="248">
        <f>IF(J$8=0,0,J$8/AGR!J$5*1000)</f>
        <v>2.5823455997016609</v>
      </c>
      <c r="K47" s="248">
        <f>IF(K$8=0,0,K$8/AGR!K$5*1000)</f>
        <v>2.8869284689828354</v>
      </c>
      <c r="L47" s="248">
        <f>IF(L$8=0,0,L$8/AGR!L$5*1000)</f>
        <v>2.6984542081499465</v>
      </c>
      <c r="M47" s="248">
        <f>IF(M$8=0,0,M$8/AGR!M$5*1000)</f>
        <v>2.4467453136464856</v>
      </c>
      <c r="N47" s="248">
        <f>IF(N$8=0,0,N$8/AGR!N$5*1000)</f>
        <v>2.4732922573470479</v>
      </c>
      <c r="O47" s="248">
        <f>IF(O$8=0,0,O$8/AGR!O$5*1000)</f>
        <v>1.9922834673547924</v>
      </c>
      <c r="P47" s="248">
        <f>IF(P$8=0,0,P$8/AGR!P$5*1000)</f>
        <v>2.5006373984744057</v>
      </c>
      <c r="Q47" s="248">
        <f>IF(Q$8=0,0,Q$8/AGR!Q$5*1000)</f>
        <v>2.4003258305407917</v>
      </c>
      <c r="R47" s="248">
        <f>IF(R$8=0,0,R$8/AGR!R$5*1000)</f>
        <v>2.3707940257785034</v>
      </c>
      <c r="S47" s="248">
        <f>IF(S$8=0,0,S$8/AGR!S$5*1000)</f>
        <v>2.1459251614693255</v>
      </c>
      <c r="T47" s="248">
        <f>IF(T$8=0,0,T$8/AGR!T$5*1000)</f>
        <v>2.2423371239375141</v>
      </c>
      <c r="U47" s="248">
        <f>IF(U$8=0,0,U$8/AGR!U$5*1000)</f>
        <v>2.1962012327904534</v>
      </c>
      <c r="V47" s="248">
        <f>IF(V$8=0,0,V$8/AGR!V$5*1000)</f>
        <v>2.1910696005335417</v>
      </c>
      <c r="W47" s="248">
        <f>IF(W$8=0,0,W$8/AGR!W$5*1000)</f>
        <v>2.1945435250707752</v>
      </c>
      <c r="X47" s="248">
        <f>IF(X$8=0,0,X$8/AGR!X$5*1000)</f>
        <v>1.6522141764756544</v>
      </c>
      <c r="Y47" s="248">
        <f>IF(Y$8=0,0,Y$8/AGR!Y$5*1000)</f>
        <v>1.7303130078027742</v>
      </c>
      <c r="DA47" s="282"/>
    </row>
    <row r="48" spans="1:105" x14ac:dyDescent="0.25">
      <c r="A48" s="242" t="s">
        <v>122</v>
      </c>
      <c r="B48" s="249">
        <f>IF(B$9=0,0,B$9/AGR!B$5*1000)</f>
        <v>22.170667097408078</v>
      </c>
      <c r="C48" s="249">
        <f>IF(C$9=0,0,C$9/AGR!C$5*1000)</f>
        <v>21.623721921045775</v>
      </c>
      <c r="D48" s="249">
        <f>IF(D$9=0,0,D$9/AGR!D$5*1000)</f>
        <v>22.443834373680808</v>
      </c>
      <c r="E48" s="249">
        <f>IF(E$9=0,0,E$9/AGR!E$5*1000)</f>
        <v>22.618622958078859</v>
      </c>
      <c r="F48" s="249">
        <f>IF(F$9=0,0,F$9/AGR!F$5*1000)</f>
        <v>22.180493227639129</v>
      </c>
      <c r="G48" s="249">
        <f>IF(G$9=0,0,G$9/AGR!G$5*1000)</f>
        <v>25.048888521101308</v>
      </c>
      <c r="H48" s="249">
        <f>IF(H$9=0,0,H$9/AGR!H$5*1000)</f>
        <v>24.668055269501469</v>
      </c>
      <c r="I48" s="249">
        <f>IF(I$9=0,0,I$9/AGR!I$5*1000)</f>
        <v>22.313441548493426</v>
      </c>
      <c r="J48" s="249">
        <f>IF(J$9=0,0,J$9/AGR!J$5*1000)</f>
        <v>23.574057353948408</v>
      </c>
      <c r="K48" s="249">
        <f>IF(K$9=0,0,K$9/AGR!K$5*1000)</f>
        <v>26.625424451700219</v>
      </c>
      <c r="L48" s="249">
        <f>IF(L$9=0,0,L$9/AGR!L$5*1000)</f>
        <v>25.134555759238395</v>
      </c>
      <c r="M48" s="249">
        <f>IF(M$9=0,0,M$9/AGR!M$5*1000)</f>
        <v>22.953032467436444</v>
      </c>
      <c r="N48" s="249">
        <f>IF(N$9=0,0,N$9/AGR!N$5*1000)</f>
        <v>23.368220709008632</v>
      </c>
      <c r="O48" s="249">
        <f>IF(O$9=0,0,O$9/AGR!O$5*1000)</f>
        <v>23.683602479059978</v>
      </c>
      <c r="P48" s="249">
        <f>IF(P$9=0,0,P$9/AGR!P$5*1000)</f>
        <v>22.796023513064252</v>
      </c>
      <c r="Q48" s="249">
        <f>IF(Q$9=0,0,Q$9/AGR!Q$5*1000)</f>
        <v>23.46673670880493</v>
      </c>
      <c r="R48" s="249">
        <f>IF(R$9=0,0,R$9/AGR!R$5*1000)</f>
        <v>23.877427257843518</v>
      </c>
      <c r="S48" s="249">
        <f>IF(S$9=0,0,S$9/AGR!S$5*1000)</f>
        <v>22.16709857183066</v>
      </c>
      <c r="T48" s="249">
        <f>IF(T$9=0,0,T$9/AGR!T$5*1000)</f>
        <v>23.05716842372237</v>
      </c>
      <c r="U48" s="249">
        <f>IF(U$9=0,0,U$9/AGR!U$5*1000)</f>
        <v>22.928923044301392</v>
      </c>
      <c r="V48" s="249">
        <f>IF(V$9=0,0,V$9/AGR!V$5*1000)</f>
        <v>24.427101805917008</v>
      </c>
      <c r="W48" s="249">
        <f>IF(W$9=0,0,W$9/AGR!W$5*1000)</f>
        <v>23.215211283793476</v>
      </c>
      <c r="X48" s="249">
        <f>IF(X$9=0,0,X$9/AGR!X$5*1000)</f>
        <v>20.314515523728911</v>
      </c>
      <c r="Y48" s="249">
        <f>IF(Y$9=0,0,Y$9/AGR!Y$5*1000)</f>
        <v>20.757968107942833</v>
      </c>
      <c r="DA48" s="283"/>
    </row>
    <row r="49" spans="1:105" x14ac:dyDescent="0.25">
      <c r="A49" s="127" t="s">
        <v>168</v>
      </c>
      <c r="B49" s="262">
        <f>IF(B$16=0,0,B$16/AGR!B$5*1000)</f>
        <v>29.329494509155488</v>
      </c>
      <c r="C49" s="262">
        <f>IF(C$16=0,0,C$16/AGR!C$5*1000)</f>
        <v>28.792991021224246</v>
      </c>
      <c r="D49" s="262">
        <f>IF(D$16=0,0,D$16/AGR!D$5*1000)</f>
        <v>29.802186460353525</v>
      </c>
      <c r="E49" s="262">
        <f>IF(E$16=0,0,E$16/AGR!E$5*1000)</f>
        <v>30.469667165831797</v>
      </c>
      <c r="F49" s="262">
        <f>IF(F$16=0,0,F$16/AGR!F$5*1000)</f>
        <v>29.815695608745145</v>
      </c>
      <c r="G49" s="262">
        <f>IF(G$16=0,0,G$16/AGR!G$5*1000)</f>
        <v>33.67004458196233</v>
      </c>
      <c r="H49" s="262">
        <f>IF(H$16=0,0,H$16/AGR!H$5*1000)</f>
        <v>32.977469484274991</v>
      </c>
      <c r="I49" s="262">
        <f>IF(I$16=0,0,I$16/AGR!I$5*1000)</f>
        <v>29.218297059927817</v>
      </c>
      <c r="J49" s="262">
        <f>IF(J$16=0,0,J$16/AGR!J$5*1000)</f>
        <v>30.995813236250711</v>
      </c>
      <c r="K49" s="262">
        <f>IF(K$16=0,0,K$16/AGR!K$5*1000)</f>
        <v>33.877249418521977</v>
      </c>
      <c r="L49" s="262">
        <f>IF(L$16=0,0,L$16/AGR!L$5*1000)</f>
        <v>31.147763247399897</v>
      </c>
      <c r="M49" s="262">
        <f>IF(M$16=0,0,M$16/AGR!M$5*1000)</f>
        <v>27.586406043412005</v>
      </c>
      <c r="N49" s="262">
        <f>IF(N$16=0,0,N$16/AGR!N$5*1000)</f>
        <v>28.365381391924384</v>
      </c>
      <c r="O49" s="262">
        <f>IF(O$16=0,0,O$16/AGR!O$5*1000)</f>
        <v>28.964046056835123</v>
      </c>
      <c r="P49" s="262">
        <f>IF(P$16=0,0,P$16/AGR!P$5*1000)</f>
        <v>26.761230634189531</v>
      </c>
      <c r="Q49" s="262">
        <f>IF(Q$16=0,0,Q$16/AGR!Q$5*1000)</f>
        <v>27.705825233610824</v>
      </c>
      <c r="R49" s="262">
        <f>IF(R$16=0,0,R$16/AGR!R$5*1000)</f>
        <v>27.898767203374248</v>
      </c>
      <c r="S49" s="262">
        <f>IF(S$16=0,0,S$16/AGR!S$5*1000)</f>
        <v>26.295191518551405</v>
      </c>
      <c r="T49" s="262">
        <f>IF(T$16=0,0,T$16/AGR!T$5*1000)</f>
        <v>27.567965569248074</v>
      </c>
      <c r="U49" s="262">
        <f>IF(U$16=0,0,U$16/AGR!U$5*1000)</f>
        <v>27.393742436902755</v>
      </c>
      <c r="V49" s="262">
        <f>IF(V$16=0,0,V$16/AGR!V$5*1000)</f>
        <v>29.432288289999835</v>
      </c>
      <c r="W49" s="262">
        <f>IF(W$16=0,0,W$16/AGR!W$5*1000)</f>
        <v>27.72604714409924</v>
      </c>
      <c r="X49" s="262">
        <f>IF(X$16=0,0,X$16/AGR!X$5*1000)</f>
        <v>23.953361850059114</v>
      </c>
      <c r="Y49" s="262">
        <f>IF(Y$16=0,0,Y$16/AGR!Y$5*1000)</f>
        <v>24.472611459870201</v>
      </c>
      <c r="DA49" s="284"/>
    </row>
    <row r="50" spans="1:105" x14ac:dyDescent="0.25">
      <c r="A50" s="127" t="s">
        <v>121</v>
      </c>
      <c r="B50" s="262">
        <f>IF(B$17=0,0,B$17/AGR!B$5*1000)</f>
        <v>42.067804313331628</v>
      </c>
      <c r="C50" s="262">
        <f>IF(C$17=0,0,C$17/AGR!C$5*1000)</f>
        <v>40.911551332391198</v>
      </c>
      <c r="D50" s="262">
        <f>IF(D$17=0,0,D$17/AGR!D$5*1000)</f>
        <v>42.402075005776886</v>
      </c>
      <c r="E50" s="262">
        <f>IF(E$17=0,0,E$17/AGR!E$5*1000)</f>
        <v>46.724566425453389</v>
      </c>
      <c r="F50" s="262">
        <f>IF(F$17=0,0,F$17/AGR!F$5*1000)</f>
        <v>45.977294064582274</v>
      </c>
      <c r="G50" s="262">
        <f>IF(G$17=0,0,G$17/AGR!G$5*1000)</f>
        <v>53.626818176219146</v>
      </c>
      <c r="H50" s="262">
        <f>IF(H$17=0,0,H$17/AGR!H$5*1000)</f>
        <v>50.981196865068718</v>
      </c>
      <c r="I50" s="262">
        <f>IF(I$17=0,0,I$17/AGR!I$5*1000)</f>
        <v>47.036613151909485</v>
      </c>
      <c r="J50" s="262">
        <f>IF(J$17=0,0,J$17/AGR!J$5*1000)</f>
        <v>48.623852326066725</v>
      </c>
      <c r="K50" s="262">
        <f>IF(K$17=0,0,K$17/AGR!K$5*1000)</f>
        <v>54.782642824093692</v>
      </c>
      <c r="L50" s="262">
        <f>IF(L$17=0,0,L$17/AGR!L$5*1000)</f>
        <v>51.217138774909657</v>
      </c>
      <c r="M50" s="262">
        <f>IF(M$17=0,0,M$17/AGR!M$5*1000)</f>
        <v>46.5878863639578</v>
      </c>
      <c r="N50" s="262">
        <f>IF(N$17=0,0,N$17/AGR!N$5*1000)</f>
        <v>47.387409384110221</v>
      </c>
      <c r="O50" s="262">
        <f>IF(O$17=0,0,O$17/AGR!O$5*1000)</f>
        <v>48.613254289347211</v>
      </c>
      <c r="P50" s="262">
        <f>IF(P$17=0,0,P$17/AGR!P$5*1000)</f>
        <v>45.620575581849067</v>
      </c>
      <c r="Q50" s="262">
        <f>IF(Q$17=0,0,Q$17/AGR!Q$5*1000)</f>
        <v>46.845676533405218</v>
      </c>
      <c r="R50" s="262">
        <f>IF(R$17=0,0,R$17/AGR!R$5*1000)</f>
        <v>48.104245254204386</v>
      </c>
      <c r="S50" s="262">
        <f>IF(S$17=0,0,S$17/AGR!S$5*1000)</f>
        <v>43.82292359668233</v>
      </c>
      <c r="T50" s="262">
        <f>IF(T$17=0,0,T$17/AGR!T$5*1000)</f>
        <v>46.659547057720488</v>
      </c>
      <c r="U50" s="262">
        <f>IF(U$17=0,0,U$17/AGR!U$5*1000)</f>
        <v>46.522817727843545</v>
      </c>
      <c r="V50" s="262">
        <f>IF(V$17=0,0,V$17/AGR!V$5*1000)</f>
        <v>49.335123876650414</v>
      </c>
      <c r="W50" s="262">
        <f>IF(W$17=0,0,W$17/AGR!W$5*1000)</f>
        <v>47.151974380517686</v>
      </c>
      <c r="X50" s="262">
        <f>IF(X$17=0,0,X$17/AGR!X$5*1000)</f>
        <v>40.876829539179127</v>
      </c>
      <c r="Y50" s="262">
        <f>IF(Y$17=0,0,Y$17/AGR!Y$5*1000)</f>
        <v>41.832869273450086</v>
      </c>
      <c r="DA50" s="284"/>
    </row>
    <row r="51" spans="1:105" x14ac:dyDescent="0.25">
      <c r="A51" s="127" t="s">
        <v>167</v>
      </c>
      <c r="B51" s="262">
        <f>IF(B$25=0,0,B$25/AGR!B$5*1000)</f>
        <v>5.6359067938819605</v>
      </c>
      <c r="C51" s="262">
        <f>IF(C$25=0,0,C$25/AGR!C$5*1000)</f>
        <v>5.5328131776033294</v>
      </c>
      <c r="D51" s="262">
        <f>IF(D$25=0,0,D$25/AGR!D$5*1000)</f>
        <v>5.7267384915894937</v>
      </c>
      <c r="E51" s="262">
        <f>IF(E$25=0,0,E$25/AGR!E$5*1000)</f>
        <v>5.8550004717479229</v>
      </c>
      <c r="F51" s="262">
        <f>IF(F$25=0,0,F$25/AGR!F$5*1000)</f>
        <v>5.7293343870344726</v>
      </c>
      <c r="G51" s="262">
        <f>IF(G$25=0,0,G$25/AGR!G$5*1000)</f>
        <v>6.4699796633233548</v>
      </c>
      <c r="H51" s="262">
        <f>IF(H$25=0,0,H$25/AGR!H$5*1000)</f>
        <v>6.336895586572183</v>
      </c>
      <c r="I51" s="262">
        <f>IF(I$25=0,0,I$25/AGR!I$5*1000)</f>
        <v>5.6145392773238791</v>
      </c>
      <c r="J51" s="262">
        <f>IF(J$25=0,0,J$25/AGR!J$5*1000)</f>
        <v>5.9561038239356892</v>
      </c>
      <c r="K51" s="262">
        <f>IF(K$25=0,0,K$25/AGR!K$5*1000)</f>
        <v>6.5097957994564606</v>
      </c>
      <c r="L51" s="262">
        <f>IF(L$25=0,0,L$25/AGR!L$5*1000)</f>
        <v>5.9853022848876432</v>
      </c>
      <c r="M51" s="262">
        <f>IF(M$25=0,0,M$25/AGR!M$5*1000)</f>
        <v>5.3009578187690645</v>
      </c>
      <c r="N51" s="262">
        <f>IF(N$25=0,0,N$25/AGR!N$5*1000)</f>
        <v>5.4506444237522178</v>
      </c>
      <c r="O51" s="262">
        <f>IF(O$25=0,0,O$25/AGR!O$5*1000)</f>
        <v>5.5656828282216209</v>
      </c>
      <c r="P51" s="262">
        <f>IF(P$25=0,0,P$25/AGR!P$5*1000)</f>
        <v>5.1423934871018551</v>
      </c>
      <c r="Q51" s="262">
        <f>IF(Q$25=0,0,Q$25/AGR!Q$5*1000)</f>
        <v>5.3239052113724821</v>
      </c>
      <c r="R51" s="262">
        <f>IF(R$25=0,0,R$25/AGR!R$5*1000)</f>
        <v>5.3609806187878828</v>
      </c>
      <c r="S51" s="262">
        <f>IF(S$25=0,0,S$25/AGR!S$5*1000)</f>
        <v>5.0528401871900632</v>
      </c>
      <c r="T51" s="262">
        <f>IF(T$25=0,0,T$25/AGR!T$5*1000)</f>
        <v>5.2974143279806176</v>
      </c>
      <c r="U51" s="262">
        <f>IF(U$25=0,0,U$25/AGR!U$5*1000)</f>
        <v>5.263935901172756</v>
      </c>
      <c r="V51" s="262">
        <f>IF(V$25=0,0,V$25/AGR!V$5*1000)</f>
        <v>5.6556594755263259</v>
      </c>
      <c r="W51" s="262">
        <f>IF(W$25=0,0,W$25/AGR!W$5*1000)</f>
        <v>5.3277910199966776</v>
      </c>
      <c r="X51" s="262">
        <f>IF(X$25=0,0,X$25/AGR!X$5*1000)</f>
        <v>4.6028381002243277</v>
      </c>
      <c r="Y51" s="262">
        <f>IF(Y$25=0,0,Y$25/AGR!Y$5*1000)</f>
        <v>4.7026162400330955</v>
      </c>
      <c r="DA51" s="284"/>
    </row>
    <row r="52" spans="1:105" x14ac:dyDescent="0.25">
      <c r="A52" s="127" t="s">
        <v>170</v>
      </c>
      <c r="B52" s="262">
        <f>IF(B$26=0,0,B$26/AGR!B$5*1000)</f>
        <v>2.6535678605018935</v>
      </c>
      <c r="C52" s="262">
        <f>IF(C$26=0,0,C$26/AGR!C$5*1000)</f>
        <v>2.5916693766394157</v>
      </c>
      <c r="D52" s="262">
        <f>IF(D$26=0,0,D$26/AGR!D$5*1000)</f>
        <v>2.6868463604351267</v>
      </c>
      <c r="E52" s="262">
        <f>IF(E$26=0,0,E$26/AGR!E$5*1000)</f>
        <v>2.7740028354581048</v>
      </c>
      <c r="F52" s="262">
        <f>IF(F$26=0,0,F$26/AGR!F$5*1000)</f>
        <v>2.7206686642645006</v>
      </c>
      <c r="G52" s="262">
        <f>IF(G$26=0,0,G$26/AGR!G$5*1000)</f>
        <v>3.0956606363814849</v>
      </c>
      <c r="H52" s="262">
        <f>IF(H$26=0,0,H$26/AGR!H$5*1000)</f>
        <v>3.0187221592257907</v>
      </c>
      <c r="I52" s="262">
        <f>IF(I$26=0,0,I$26/AGR!I$5*1000)</f>
        <v>2.7263606046773883</v>
      </c>
      <c r="J52" s="262">
        <f>IF(J$26=0,0,J$26/AGR!J$5*1000)</f>
        <v>2.8692728885574019</v>
      </c>
      <c r="K52" s="262">
        <f>IF(K$26=0,0,K$26/AGR!K$5*1000)</f>
        <v>3.2076982988698179</v>
      </c>
      <c r="L52" s="262">
        <f>IF(L$26=0,0,L$26/AGR!L$5*1000)</f>
        <v>2.9982824534999408</v>
      </c>
      <c r="M52" s="262">
        <f>IF(M$26=0,0,M$26/AGR!M$5*1000)</f>
        <v>2.718605904051651</v>
      </c>
      <c r="N52" s="262">
        <f>IF(N$26=0,0,N$26/AGR!N$5*1000)</f>
        <v>2.7481025081633872</v>
      </c>
      <c r="O52" s="262">
        <f>IF(O$26=0,0,O$26/AGR!O$5*1000)</f>
        <v>2.2136482970608804</v>
      </c>
      <c r="P52" s="262">
        <f>IF(P$26=0,0,P$26/AGR!P$5*1000)</f>
        <v>2.778485998304896</v>
      </c>
      <c r="Q52" s="262">
        <f>IF(Q$26=0,0,Q$26/AGR!Q$5*1000)</f>
        <v>2.6670287006008802</v>
      </c>
      <c r="R52" s="262">
        <f>IF(R$26=0,0,R$26/AGR!R$5*1000)</f>
        <v>2.634215584198337</v>
      </c>
      <c r="S52" s="262">
        <f>IF(S$26=0,0,S$26/AGR!S$5*1000)</f>
        <v>2.3843612905214733</v>
      </c>
      <c r="T52" s="262">
        <f>IF(T$26=0,0,T$26/AGR!T$5*1000)</f>
        <v>2.4914856932639049</v>
      </c>
      <c r="U52" s="262">
        <f>IF(U$26=0,0,U$26/AGR!U$5*1000)</f>
        <v>2.4402235919893931</v>
      </c>
      <c r="V52" s="262">
        <f>IF(V$26=0,0,V$26/AGR!V$5*1000)</f>
        <v>2.4345217783706015</v>
      </c>
      <c r="W52" s="262">
        <f>IF(W$26=0,0,W$26/AGR!W$5*1000)</f>
        <v>2.4383816945230845</v>
      </c>
      <c r="X52" s="262">
        <f>IF(X$26=0,0,X$26/AGR!X$5*1000)</f>
        <v>1.8357935294173942</v>
      </c>
      <c r="Y52" s="262">
        <f>IF(Y$26=0,0,Y$26/AGR!Y$5*1000)</f>
        <v>1.9225700086697495</v>
      </c>
      <c r="DA52" s="284"/>
    </row>
    <row r="53" spans="1:105" x14ac:dyDescent="0.25">
      <c r="A53" s="260" t="s">
        <v>33</v>
      </c>
      <c r="B53" s="263">
        <f>IF(B$27=0,0,B$27/AGR!B$5*1000)</f>
        <v>3.8476733977277449</v>
      </c>
      <c r="C53" s="263">
        <f>IF(C$27=0,0,C$27/AGR!C$5*1000)</f>
        <v>3.7579205961271542</v>
      </c>
      <c r="D53" s="263">
        <f>IF(D$27=0,0,D$27/AGR!D$5*1000)</f>
        <v>3.8959272226309367</v>
      </c>
      <c r="E53" s="263">
        <f>IF(E$27=0,0,E$27/AGR!E$5*1000)</f>
        <v>4.022304111414253</v>
      </c>
      <c r="F53" s="263">
        <f>IF(F$27=0,0,F$27/AGR!F$5*1000)</f>
        <v>3.9449695631835247</v>
      </c>
      <c r="G53" s="263">
        <f>IF(G$27=0,0,G$27/AGR!G$5*1000)</f>
        <v>4.4887079227531528</v>
      </c>
      <c r="H53" s="263">
        <f>IF(H$27=0,0,H$27/AGR!H$5*1000)</f>
        <v>4.3771471308773986</v>
      </c>
      <c r="I53" s="263">
        <f>IF(I$27=0,0,I$27/AGR!I$5*1000)</f>
        <v>3.9532228767822137</v>
      </c>
      <c r="J53" s="263">
        <f>IF(J$27=0,0,J$27/AGR!J$5*1000)</f>
        <v>4.160445688408231</v>
      </c>
      <c r="K53" s="263">
        <f>IF(K$27=0,0,K$27/AGR!K$5*1000)</f>
        <v>4.6511625333612354</v>
      </c>
      <c r="L53" s="263">
        <f>IF(L$27=0,0,L$27/AGR!L$5*1000)</f>
        <v>4.3475095575749139</v>
      </c>
      <c r="M53" s="263">
        <f>IF(M$27=0,0,M$27/AGR!M$5*1000)</f>
        <v>3.9419785608748947</v>
      </c>
      <c r="N53" s="263">
        <f>IF(N$27=0,0,N$27/AGR!N$5*1000)</f>
        <v>3.9847486368369109</v>
      </c>
      <c r="O53" s="263">
        <f>IF(O$27=0,0,O$27/AGR!O$5*1000)</f>
        <v>3.2097900307382754</v>
      </c>
      <c r="P53" s="263">
        <f>IF(P$27=0,0,P$27/AGR!P$5*1000)</f>
        <v>4.028804697542097</v>
      </c>
      <c r="Q53" s="263">
        <f>IF(Q$27=0,0,Q$27/AGR!Q$5*1000)</f>
        <v>3.8671916158712758</v>
      </c>
      <c r="R53" s="263">
        <f>IF(R$27=0,0,R$27/AGR!R$5*1000)</f>
        <v>3.8196125970875876</v>
      </c>
      <c r="S53" s="263">
        <f>IF(S$27=0,0,S$27/AGR!S$5*1000)</f>
        <v>3.457323871256138</v>
      </c>
      <c r="T53" s="263">
        <f>IF(T$27=0,0,T$27/AGR!T$5*1000)</f>
        <v>3.6126542552326608</v>
      </c>
      <c r="U53" s="263">
        <f>IF(U$27=0,0,U$27/AGR!U$5*1000)</f>
        <v>3.5383242083846187</v>
      </c>
      <c r="V53" s="263">
        <f>IF(V$27=0,0,V$27/AGR!V$5*1000)</f>
        <v>3.5300565786373728</v>
      </c>
      <c r="W53" s="263">
        <f>IF(W$27=0,0,W$27/AGR!W$5*1000)</f>
        <v>3.5356534570584719</v>
      </c>
      <c r="X53" s="263">
        <f>IF(X$27=0,0,X$27/AGR!X$5*1000)</f>
        <v>2.6619006176552227</v>
      </c>
      <c r="Y53" s="263">
        <f>IF(Y$27=0,0,Y$27/AGR!Y$5*1000)</f>
        <v>2.7877265125711359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1319.6923631224247</v>
      </c>
      <c r="C5" s="80">
        <f t="shared" ref="C5:W5" si="1">SUM(C6:C9,C16:C17,C25:C27)</f>
        <v>1482.6822305036262</v>
      </c>
      <c r="D5" s="80">
        <f t="shared" si="1"/>
        <v>1342.6428742105627</v>
      </c>
      <c r="E5" s="80">
        <f t="shared" si="1"/>
        <v>1490.3059370840631</v>
      </c>
      <c r="F5" s="80">
        <f t="shared" si="1"/>
        <v>1392.082307064157</v>
      </c>
      <c r="G5" s="80">
        <f t="shared" si="1"/>
        <v>1415.1494888445843</v>
      </c>
      <c r="H5" s="80">
        <f t="shared" si="1"/>
        <v>1459.989743294358</v>
      </c>
      <c r="I5" s="80">
        <f t="shared" si="1"/>
        <v>1125.7831247150821</v>
      </c>
      <c r="J5" s="80">
        <f t="shared" si="1"/>
        <v>1389.8224804642236</v>
      </c>
      <c r="K5" s="80">
        <f t="shared" si="1"/>
        <v>1371.6971766487891</v>
      </c>
      <c r="L5" s="80">
        <f t="shared" si="1"/>
        <v>1451.376001450426</v>
      </c>
      <c r="M5" s="80">
        <f t="shared" si="1"/>
        <v>1394.6293699199016</v>
      </c>
      <c r="N5" s="80">
        <f t="shared" si="1"/>
        <v>1425.2130029348154</v>
      </c>
      <c r="O5" s="80">
        <f t="shared" si="1"/>
        <v>1441.9227491993956</v>
      </c>
      <c r="P5" s="80">
        <f t="shared" si="1"/>
        <v>1491.7034614036245</v>
      </c>
      <c r="Q5" s="80">
        <f t="shared" si="1"/>
        <v>1430.2651577048716</v>
      </c>
      <c r="R5" s="80">
        <f t="shared" si="1"/>
        <v>1456.5076825679021</v>
      </c>
      <c r="S5" s="80">
        <f t="shared" si="1"/>
        <v>1395.6100463591983</v>
      </c>
      <c r="T5" s="80">
        <f t="shared" si="1"/>
        <v>1435.0814881900897</v>
      </c>
      <c r="U5" s="80">
        <f t="shared" si="1"/>
        <v>1430.7875417448909</v>
      </c>
      <c r="V5" s="80">
        <f t="shared" si="1"/>
        <v>1427.1132914462116</v>
      </c>
      <c r="W5" s="80">
        <f t="shared" si="1"/>
        <v>1471.3206706265826</v>
      </c>
      <c r="X5" s="80">
        <f t="shared" ref="X5:Y5" si="2">SUM(X6:X9,X16:X17,X25:X27)</f>
        <v>1474.274834319546</v>
      </c>
      <c r="Y5" s="80">
        <f t="shared" si="2"/>
        <v>1456.4479693691296</v>
      </c>
      <c r="DA5" s="103"/>
    </row>
    <row r="6" spans="1:105" x14ac:dyDescent="0.25">
      <c r="A6" s="238" t="s">
        <v>125</v>
      </c>
      <c r="B6" s="239">
        <v>37.746603591129663</v>
      </c>
      <c r="C6" s="239">
        <v>42.481494057907121</v>
      </c>
      <c r="D6" s="239">
        <v>38.450154853716548</v>
      </c>
      <c r="E6" s="239">
        <v>42.609402154285398</v>
      </c>
      <c r="F6" s="239">
        <v>39.771935746575693</v>
      </c>
      <c r="G6" s="239">
        <v>40.265519987602957</v>
      </c>
      <c r="H6" s="239">
        <v>41.646362872302738</v>
      </c>
      <c r="I6" s="239">
        <v>31.942022296372269</v>
      </c>
      <c r="J6" s="239">
        <v>39.519620001537596</v>
      </c>
      <c r="K6" s="239">
        <v>38.823413420991891</v>
      </c>
      <c r="L6" s="239">
        <v>40.984229949161389</v>
      </c>
      <c r="M6" s="239">
        <v>39.308857104140877</v>
      </c>
      <c r="N6" s="239">
        <v>39.892024348628659</v>
      </c>
      <c r="O6" s="239">
        <v>33.09345385237453</v>
      </c>
      <c r="P6" s="239">
        <v>43.295772397906788</v>
      </c>
      <c r="Q6" s="239">
        <v>39.199015676678258</v>
      </c>
      <c r="R6" s="239">
        <v>38.881550797035963</v>
      </c>
      <c r="S6" s="239">
        <v>36.603130006425538</v>
      </c>
      <c r="T6" s="239">
        <v>37.511879305341509</v>
      </c>
      <c r="U6" s="239">
        <v>36.904428951995243</v>
      </c>
      <c r="V6" s="239">
        <v>34.820961084396842</v>
      </c>
      <c r="W6" s="239">
        <v>37.546407001393817</v>
      </c>
      <c r="X6" s="239">
        <v>33.214705925558413</v>
      </c>
      <c r="Y6" s="239">
        <v>33.502202249277673</v>
      </c>
      <c r="DA6" s="267" t="s">
        <v>1016</v>
      </c>
    </row>
    <row r="7" spans="1:105" x14ac:dyDescent="0.25">
      <c r="A7" s="240" t="s">
        <v>124</v>
      </c>
      <c r="B7" s="241">
        <v>24.329880751084829</v>
      </c>
      <c r="C7" s="241">
        <v>27.381792962153689</v>
      </c>
      <c r="D7" s="241">
        <v>24.783360447070979</v>
      </c>
      <c r="E7" s="241">
        <v>27.464237167351339</v>
      </c>
      <c r="F7" s="241">
        <v>25.635325086079771</v>
      </c>
      <c r="G7" s="241">
        <v>25.953468828358879</v>
      </c>
      <c r="H7" s="241">
        <v>26.843502355206439</v>
      </c>
      <c r="I7" s="241">
        <v>20.58849060533376</v>
      </c>
      <c r="J7" s="241">
        <v>25.47269291776885</v>
      </c>
      <c r="K7" s="241">
        <v>25.023947296407101</v>
      </c>
      <c r="L7" s="241">
        <v>26.416719187218781</v>
      </c>
      <c r="M7" s="241">
        <v>25.336843975809479</v>
      </c>
      <c r="N7" s="241">
        <v>25.712729172528491</v>
      </c>
      <c r="O7" s="241">
        <v>21.33065519195512</v>
      </c>
      <c r="P7" s="241">
        <v>27.9066426976419</v>
      </c>
      <c r="Q7" s="241">
        <v>25.26604478919543</v>
      </c>
      <c r="R7" s="241">
        <v>25.06142021560413</v>
      </c>
      <c r="S7" s="241">
        <v>23.592845539673011</v>
      </c>
      <c r="T7" s="241">
        <v>24.178587301097419</v>
      </c>
      <c r="U7" s="241">
        <v>23.78705022880327</v>
      </c>
      <c r="V7" s="241">
        <v>22.444134047086241</v>
      </c>
      <c r="W7" s="241">
        <v>24.200842408779739</v>
      </c>
      <c r="X7" s="241">
        <v>21.408809203196508</v>
      </c>
      <c r="Y7" s="241">
        <v>21.59411730000522</v>
      </c>
      <c r="DA7" s="268" t="s">
        <v>1017</v>
      </c>
    </row>
    <row r="8" spans="1:105" x14ac:dyDescent="0.25">
      <c r="A8" s="240" t="s">
        <v>123</v>
      </c>
      <c r="B8" s="241">
        <v>48.349123239851977</v>
      </c>
      <c r="C8" s="241">
        <v>54.413981556249517</v>
      </c>
      <c r="D8" s="241">
        <v>49.25029270847039</v>
      </c>
      <c r="E8" s="241">
        <v>54.577817338195771</v>
      </c>
      <c r="F8" s="241">
        <v>50.943344300003403</v>
      </c>
      <c r="G8" s="241">
        <v>51.575569799207891</v>
      </c>
      <c r="H8" s="241">
        <v>53.344273111707039</v>
      </c>
      <c r="I8" s="241">
        <v>40.914112148101331</v>
      </c>
      <c r="J8" s="241">
        <v>50.620156413105171</v>
      </c>
      <c r="K8" s="241">
        <v>49.728394650171069</v>
      </c>
      <c r="L8" s="241">
        <v>52.49615584402131</v>
      </c>
      <c r="M8" s="241">
        <v>50.350193016901308</v>
      </c>
      <c r="N8" s="241">
        <v>51.097164195516463</v>
      </c>
      <c r="O8" s="241">
        <v>42.388965536406978</v>
      </c>
      <c r="P8" s="241">
        <v>55.456979867796619</v>
      </c>
      <c r="Q8" s="241">
        <v>50.209498591231743</v>
      </c>
      <c r="R8" s="241">
        <v>49.802862043042893</v>
      </c>
      <c r="S8" s="241">
        <v>46.88446311129497</v>
      </c>
      <c r="T8" s="241">
        <v>48.048468019480737</v>
      </c>
      <c r="U8" s="241">
        <v>47.27039292922462</v>
      </c>
      <c r="V8" s="241">
        <v>44.601706607458233</v>
      </c>
      <c r="W8" s="241">
        <v>48.092694086803341</v>
      </c>
      <c r="X8" s="241">
        <v>42.544275706639937</v>
      </c>
      <c r="Y8" s="241">
        <v>42.912525929549361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424.4158875536088</v>
      </c>
      <c r="C9" s="243">
        <f t="shared" ref="C9:W9" si="4">SUM(C10:C15)</f>
        <v>475.71136066996229</v>
      </c>
      <c r="D9" s="243">
        <f t="shared" si="4"/>
        <v>431.51588371209311</v>
      </c>
      <c r="E9" s="243">
        <f t="shared" si="4"/>
        <v>466.29005981490286</v>
      </c>
      <c r="F9" s="243">
        <f t="shared" si="4"/>
        <v>435.62814254780903</v>
      </c>
      <c r="G9" s="243">
        <f t="shared" si="4"/>
        <v>438.52402888911325</v>
      </c>
      <c r="H9" s="243">
        <f t="shared" si="4"/>
        <v>458.11778431692704</v>
      </c>
      <c r="I9" s="243">
        <f t="shared" si="4"/>
        <v>354.83710898843657</v>
      </c>
      <c r="J9" s="243">
        <f t="shared" si="4"/>
        <v>439.65309871219551</v>
      </c>
      <c r="K9" s="243">
        <f t="shared" si="4"/>
        <v>440.71197226514175</v>
      </c>
      <c r="L9" s="243">
        <f t="shared" si="4"/>
        <v>472.87691909799827</v>
      </c>
      <c r="M9" s="243">
        <f t="shared" si="4"/>
        <v>459.8736375720519</v>
      </c>
      <c r="N9" s="243">
        <f t="shared" si="4"/>
        <v>468.70156643103974</v>
      </c>
      <c r="O9" s="243">
        <f t="shared" si="4"/>
        <v>481.72339122409664</v>
      </c>
      <c r="P9" s="243">
        <f t="shared" si="4"/>
        <v>495.76527528136455</v>
      </c>
      <c r="Q9" s="243">
        <f t="shared" si="4"/>
        <v>478.13502411832496</v>
      </c>
      <c r="R9" s="243">
        <f t="shared" si="4"/>
        <v>488.60426501869784</v>
      </c>
      <c r="S9" s="243">
        <f t="shared" si="4"/>
        <v>469.55608575931348</v>
      </c>
      <c r="T9" s="243">
        <f t="shared" si="4"/>
        <v>478.39826694602738</v>
      </c>
      <c r="U9" s="243">
        <f t="shared" si="4"/>
        <v>477.50359121825932</v>
      </c>
      <c r="V9" s="243">
        <f t="shared" si="4"/>
        <v>478.47153478900339</v>
      </c>
      <c r="W9" s="243">
        <f t="shared" si="4"/>
        <v>491.90147216900044</v>
      </c>
      <c r="X9" s="243">
        <f t="shared" ref="X9:Y9" si="5">SUM(X10:X15)</f>
        <v>503.51597010877128</v>
      </c>
      <c r="Y9" s="243">
        <f t="shared" si="5"/>
        <v>496.03240852252003</v>
      </c>
      <c r="DA9" s="269"/>
    </row>
    <row r="10" spans="1:105" x14ac:dyDescent="0.25">
      <c r="A10" s="253" t="s">
        <v>166</v>
      </c>
      <c r="B10" s="254">
        <v>311.89463309388549</v>
      </c>
      <c r="C10" s="254">
        <v>362.2254028788351</v>
      </c>
      <c r="D10" s="254">
        <v>323.75427088781328</v>
      </c>
      <c r="E10" s="254">
        <v>371.09389936750188</v>
      </c>
      <c r="F10" s="254">
        <v>342.64366131492511</v>
      </c>
      <c r="G10" s="254">
        <v>342.55123587221431</v>
      </c>
      <c r="H10" s="254">
        <v>350.54231016782433</v>
      </c>
      <c r="I10" s="254">
        <v>244.27782447262331</v>
      </c>
      <c r="J10" s="254">
        <v>309.6193391503063</v>
      </c>
      <c r="K10" s="254">
        <v>265.09404402292961</v>
      </c>
      <c r="L10" s="254">
        <v>251.87202860287161</v>
      </c>
      <c r="M10" s="254">
        <v>213.6585511738821</v>
      </c>
      <c r="N10" s="254">
        <v>227.69922201013819</v>
      </c>
      <c r="O10" s="254">
        <v>251.2192856127551</v>
      </c>
      <c r="P10" s="254">
        <v>206.68899087642319</v>
      </c>
      <c r="Q10" s="254">
        <v>205.98309562301779</v>
      </c>
      <c r="R10" s="254">
        <v>202.58018580174661</v>
      </c>
      <c r="S10" s="254">
        <v>207.61232639173079</v>
      </c>
      <c r="T10" s="254">
        <v>219.96817453895551</v>
      </c>
      <c r="U10" s="254">
        <v>219.45491892024631</v>
      </c>
      <c r="V10" s="254">
        <v>230.3828798451361</v>
      </c>
      <c r="W10" s="254">
        <v>226.2359381671553</v>
      </c>
      <c r="X10" s="254">
        <v>223.91172740971851</v>
      </c>
      <c r="Y10" s="254">
        <v>219.65744037198729</v>
      </c>
      <c r="DA10" s="270" t="s">
        <v>1019</v>
      </c>
    </row>
    <row r="11" spans="1:105" x14ac:dyDescent="0.25">
      <c r="A11" s="253" t="s">
        <v>169</v>
      </c>
      <c r="B11" s="255">
        <v>61.343771654823442</v>
      </c>
      <c r="C11" s="255">
        <v>56.002261219962463</v>
      </c>
      <c r="D11" s="255">
        <v>55.882545525755091</v>
      </c>
      <c r="E11" s="255">
        <v>29.859278725143358</v>
      </c>
      <c r="F11" s="255">
        <v>31.74965382868811</v>
      </c>
      <c r="G11" s="255">
        <v>31.42387568934193</v>
      </c>
      <c r="H11" s="255">
        <v>43.860555830004103</v>
      </c>
      <c r="I11" s="255">
        <v>60.631135306961824</v>
      </c>
      <c r="J11" s="255">
        <v>69.988303701999655</v>
      </c>
      <c r="K11" s="255">
        <v>117.30131186502921</v>
      </c>
      <c r="L11" s="255">
        <v>160.6246631938329</v>
      </c>
      <c r="M11" s="255">
        <v>188.69129510404039</v>
      </c>
      <c r="N11" s="255">
        <v>183.81192074053931</v>
      </c>
      <c r="O11" s="255">
        <v>201.23814428027629</v>
      </c>
      <c r="P11" s="255">
        <v>221.6882635712779</v>
      </c>
      <c r="Q11" s="255">
        <v>220.1650260803697</v>
      </c>
      <c r="R11" s="255">
        <v>237.12665633256961</v>
      </c>
      <c r="S11" s="255">
        <v>219.2959227279735</v>
      </c>
      <c r="T11" s="255">
        <v>213.50925790012391</v>
      </c>
      <c r="U11" s="255">
        <v>215.15658200864951</v>
      </c>
      <c r="V11" s="255">
        <v>213.08710436150429</v>
      </c>
      <c r="W11" s="255">
        <v>223.20182357782011</v>
      </c>
      <c r="X11" s="255">
        <v>252.16017587038891</v>
      </c>
      <c r="Y11" s="255">
        <v>247.25701831937391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0.30539351620606831</v>
      </c>
      <c r="F12" s="255">
        <v>0.29940571337608463</v>
      </c>
      <c r="G12" s="255">
        <v>0.28854646061666961</v>
      </c>
      <c r="H12" s="255">
        <v>0.2401391037702193</v>
      </c>
      <c r="I12" s="255">
        <v>0.24620418375958261</v>
      </c>
      <c r="J12" s="255">
        <v>0.21785302478868271</v>
      </c>
      <c r="K12" s="255">
        <v>0.21014612315408879</v>
      </c>
      <c r="L12" s="255">
        <v>0.22200955239128589</v>
      </c>
      <c r="M12" s="255">
        <v>0.24236127376160971</v>
      </c>
      <c r="N12" s="255">
        <v>0.24934672606981331</v>
      </c>
      <c r="O12" s="255">
        <v>0.25824961360679538</v>
      </c>
      <c r="P12" s="255">
        <v>0.26514039040638587</v>
      </c>
      <c r="Q12" s="255">
        <v>0.28677668410128337</v>
      </c>
      <c r="R12" s="255">
        <v>0.29110127289915172</v>
      </c>
      <c r="S12" s="255">
        <v>0.29122950766491229</v>
      </c>
      <c r="T12" s="255">
        <v>0.31483883843354632</v>
      </c>
      <c r="U12" s="255">
        <v>0.32355644321415522</v>
      </c>
      <c r="V12" s="255">
        <v>0.33772877465286721</v>
      </c>
      <c r="W12" s="255">
        <v>0.32435994694332271</v>
      </c>
      <c r="X12" s="255">
        <v>0.37479739834877068</v>
      </c>
      <c r="Y12" s="255">
        <v>0.345989513190406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1023</v>
      </c>
    </row>
    <row r="15" spans="1:105" x14ac:dyDescent="0.25">
      <c r="A15" s="253" t="s">
        <v>24</v>
      </c>
      <c r="B15" s="255">
        <v>51.177482804899853</v>
      </c>
      <c r="C15" s="255">
        <v>57.483696571164749</v>
      </c>
      <c r="D15" s="255">
        <v>51.879067298524753</v>
      </c>
      <c r="E15" s="255">
        <v>65.031488206051534</v>
      </c>
      <c r="F15" s="255">
        <v>60.935421690819737</v>
      </c>
      <c r="G15" s="255">
        <v>64.260370866940391</v>
      </c>
      <c r="H15" s="255">
        <v>63.474779215328411</v>
      </c>
      <c r="I15" s="255">
        <v>49.681945025091863</v>
      </c>
      <c r="J15" s="255">
        <v>59.827602835100897</v>
      </c>
      <c r="K15" s="255">
        <v>58.106470254028849</v>
      </c>
      <c r="L15" s="255">
        <v>60.158217748902473</v>
      </c>
      <c r="M15" s="255">
        <v>57.281430020367779</v>
      </c>
      <c r="N15" s="255">
        <v>56.941076954292463</v>
      </c>
      <c r="O15" s="255">
        <v>29.007711717458449</v>
      </c>
      <c r="P15" s="255">
        <v>67.122880443257102</v>
      </c>
      <c r="Q15" s="255">
        <v>51.700125730836277</v>
      </c>
      <c r="R15" s="255">
        <v>48.6063216114825</v>
      </c>
      <c r="S15" s="255">
        <v>42.356607131944237</v>
      </c>
      <c r="T15" s="255">
        <v>44.605995668514403</v>
      </c>
      <c r="U15" s="255">
        <v>42.568533846149343</v>
      </c>
      <c r="V15" s="255">
        <v>34.663821807710121</v>
      </c>
      <c r="W15" s="255">
        <v>42.139350477081699</v>
      </c>
      <c r="X15" s="255">
        <v>27.069269430315071</v>
      </c>
      <c r="Y15" s="255">
        <v>28.771960317968361</v>
      </c>
      <c r="DA15" s="271" t="s">
        <v>1024</v>
      </c>
    </row>
    <row r="16" spans="1:105" x14ac:dyDescent="0.25">
      <c r="A16" s="256" t="s">
        <v>168</v>
      </c>
      <c r="B16" s="257">
        <v>298.54532698389511</v>
      </c>
      <c r="C16" s="257">
        <v>337.72637998011362</v>
      </c>
      <c r="D16" s="257">
        <v>305.18375017589352</v>
      </c>
      <c r="E16" s="257">
        <v>334.90703335721997</v>
      </c>
      <c r="F16" s="257">
        <v>311.89185863385433</v>
      </c>
      <c r="G16" s="257">
        <v>313.38750471226052</v>
      </c>
      <c r="H16" s="257">
        <v>325.55868168030349</v>
      </c>
      <c r="I16" s="257">
        <v>244.95822641735339</v>
      </c>
      <c r="J16" s="257">
        <v>305.4934890183161</v>
      </c>
      <c r="K16" s="257">
        <v>293.40422429599602</v>
      </c>
      <c r="L16" s="257">
        <v>304.6695977994454</v>
      </c>
      <c r="M16" s="257">
        <v>285.42847913461088</v>
      </c>
      <c r="N16" s="257">
        <v>294.64548608662631</v>
      </c>
      <c r="O16" s="257">
        <v>309.84944391598128</v>
      </c>
      <c r="P16" s="257">
        <v>298.40175847226158</v>
      </c>
      <c r="Q16" s="257">
        <v>291.39129975908708</v>
      </c>
      <c r="R16" s="257">
        <v>294.66957360602822</v>
      </c>
      <c r="S16" s="257">
        <v>288.85541805764319</v>
      </c>
      <c r="T16" s="257">
        <v>297.01142831942798</v>
      </c>
      <c r="U16" s="257">
        <v>296.45464127011672</v>
      </c>
      <c r="V16" s="257">
        <v>301.23757063070821</v>
      </c>
      <c r="W16" s="257">
        <v>305.50102345307141</v>
      </c>
      <c r="X16" s="257">
        <v>310.12092449565807</v>
      </c>
      <c r="Y16" s="257">
        <v>305.16134890994232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351.67073813842035</v>
      </c>
      <c r="C17" s="257">
        <f t="shared" ref="C17:W17" si="7">SUM(C18:C24)</f>
        <v>393.21102842396846</v>
      </c>
      <c r="D17" s="257">
        <f t="shared" si="7"/>
        <v>356.17074789637263</v>
      </c>
      <c r="E17" s="257">
        <f t="shared" si="7"/>
        <v>412.76028166013771</v>
      </c>
      <c r="F17" s="257">
        <f t="shared" si="7"/>
        <v>386.71237397637231</v>
      </c>
      <c r="G17" s="257">
        <f t="shared" si="7"/>
        <v>402.50748093861984</v>
      </c>
      <c r="H17" s="257">
        <f t="shared" si="7"/>
        <v>406.44991080061021</v>
      </c>
      <c r="I17" s="257">
        <f t="shared" si="7"/>
        <v>319.64488538977832</v>
      </c>
      <c r="J17" s="257">
        <f t="shared" si="7"/>
        <v>389.05627607857707</v>
      </c>
      <c r="K17" s="257">
        <f t="shared" si="7"/>
        <v>387.36677294047365</v>
      </c>
      <c r="L17" s="257">
        <f t="shared" si="7"/>
        <v>410.37023388538648</v>
      </c>
      <c r="M17" s="257">
        <f t="shared" si="7"/>
        <v>397.55069842335632</v>
      </c>
      <c r="N17" s="257">
        <f t="shared" si="7"/>
        <v>405.68395614274249</v>
      </c>
      <c r="O17" s="257">
        <f t="shared" si="7"/>
        <v>429.02803274052189</v>
      </c>
      <c r="P17" s="257">
        <f t="shared" si="7"/>
        <v>422.3723432758074</v>
      </c>
      <c r="Q17" s="257">
        <f t="shared" si="7"/>
        <v>408.7564758447167</v>
      </c>
      <c r="R17" s="257">
        <f t="shared" si="7"/>
        <v>422.53384195681753</v>
      </c>
      <c r="S17" s="257">
        <f t="shared" si="7"/>
        <v>399.64873658700446</v>
      </c>
      <c r="T17" s="257">
        <f t="shared" si="7"/>
        <v>416.09188059738591</v>
      </c>
      <c r="U17" s="257">
        <f t="shared" si="7"/>
        <v>416.62176090750921</v>
      </c>
      <c r="V17" s="257">
        <f t="shared" si="7"/>
        <v>417.86313284017911</v>
      </c>
      <c r="W17" s="257">
        <f t="shared" si="7"/>
        <v>429.008890775824</v>
      </c>
      <c r="X17" s="257">
        <f t="shared" ref="X17:Y17" si="8">SUM(X18:X24)</f>
        <v>438.62133923991638</v>
      </c>
      <c r="Y17" s="257">
        <f t="shared" si="8"/>
        <v>432.34408941090089</v>
      </c>
      <c r="DA17" s="272"/>
    </row>
    <row r="18" spans="1:105" x14ac:dyDescent="0.25">
      <c r="A18" s="61" t="s">
        <v>29</v>
      </c>
      <c r="B18" s="55">
        <v>7.8953508292146974</v>
      </c>
      <c r="C18" s="55">
        <v>8.6265825877508444</v>
      </c>
      <c r="D18" s="55">
        <v>7.1953791964595251</v>
      </c>
      <c r="E18" s="55">
        <v>7.8907149738276328</v>
      </c>
      <c r="F18" s="55">
        <v>7.6412506639524782</v>
      </c>
      <c r="G18" s="55">
        <v>3.78787662877899</v>
      </c>
      <c r="H18" s="55">
        <v>2.019616779257094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34.787335684583262</v>
      </c>
      <c r="C19" s="55">
        <v>35.841492914658843</v>
      </c>
      <c r="D19" s="55">
        <v>31.62485062234828</v>
      </c>
      <c r="E19" s="55">
        <v>58.567632081040273</v>
      </c>
      <c r="F19" s="55">
        <v>58.115510379394607</v>
      </c>
      <c r="G19" s="55">
        <v>86.973982208068279</v>
      </c>
      <c r="H19" s="55">
        <v>66.93386930792191</v>
      </c>
      <c r="I19" s="55">
        <v>62.547990605692469</v>
      </c>
      <c r="J19" s="55">
        <v>68.228415518809598</v>
      </c>
      <c r="K19" s="55">
        <v>63.775529574943491</v>
      </c>
      <c r="L19" s="55">
        <v>56.765349896311953</v>
      </c>
      <c r="M19" s="55">
        <v>56.936338042150624</v>
      </c>
      <c r="N19" s="55">
        <v>59.672014655265642</v>
      </c>
      <c r="O19" s="55">
        <v>71.982572786329882</v>
      </c>
      <c r="P19" s="55">
        <v>61.995618796179969</v>
      </c>
      <c r="Q19" s="55">
        <v>52.069547657988473</v>
      </c>
      <c r="R19" s="55">
        <v>65.438501952576885</v>
      </c>
      <c r="S19" s="55">
        <v>42.879018394349927</v>
      </c>
      <c r="T19" s="55">
        <v>59.358641135462868</v>
      </c>
      <c r="U19" s="55">
        <v>60.539907625730351</v>
      </c>
      <c r="V19" s="55">
        <v>58.177374645206697</v>
      </c>
      <c r="W19" s="55">
        <v>55.814841664696623</v>
      </c>
      <c r="X19" s="55">
        <v>50.499142458531253</v>
      </c>
      <c r="Y19" s="55">
        <v>51.385092326226811</v>
      </c>
      <c r="DA19" s="101" t="s">
        <v>1027</v>
      </c>
    </row>
    <row r="20" spans="1:105" x14ac:dyDescent="0.25">
      <c r="A20" s="61" t="s">
        <v>166</v>
      </c>
      <c r="B20" s="55">
        <v>258.18901825172009</v>
      </c>
      <c r="C20" s="55">
        <v>301.72979601317769</v>
      </c>
      <c r="D20" s="55">
        <v>270.53765109735502</v>
      </c>
      <c r="E20" s="55">
        <v>256.84891482213487</v>
      </c>
      <c r="F20" s="55">
        <v>235.46827856063771</v>
      </c>
      <c r="G20" s="55">
        <v>220.46390200307741</v>
      </c>
      <c r="H20" s="55">
        <v>242.31482864260539</v>
      </c>
      <c r="I20" s="55">
        <v>161.97413470143229</v>
      </c>
      <c r="J20" s="55">
        <v>214.73966942498191</v>
      </c>
      <c r="K20" s="55">
        <v>184.53140077068019</v>
      </c>
      <c r="L20" s="55">
        <v>178.73497344518421</v>
      </c>
      <c r="M20" s="55">
        <v>152.7703174150061</v>
      </c>
      <c r="N20" s="55">
        <v>162.96844048545671</v>
      </c>
      <c r="O20" s="55">
        <v>169.6820270912568</v>
      </c>
      <c r="P20" s="55">
        <v>153.02904741789521</v>
      </c>
      <c r="Q20" s="55">
        <v>151.89499115100489</v>
      </c>
      <c r="R20" s="55">
        <v>145.8035974191906</v>
      </c>
      <c r="S20" s="55">
        <v>155.2577495708625</v>
      </c>
      <c r="T20" s="55">
        <v>156.31431183448609</v>
      </c>
      <c r="U20" s="55">
        <v>154.72146479626349</v>
      </c>
      <c r="V20" s="55">
        <v>162.59929851767299</v>
      </c>
      <c r="W20" s="55">
        <v>158.85336818057161</v>
      </c>
      <c r="X20" s="55">
        <v>157.22624031881941</v>
      </c>
      <c r="Y20" s="55">
        <v>154.22379702307379</v>
      </c>
      <c r="DA20" s="101" t="s">
        <v>1028</v>
      </c>
    </row>
    <row r="21" spans="1:105" x14ac:dyDescent="0.25">
      <c r="A21" s="61" t="s">
        <v>129</v>
      </c>
      <c r="B21" s="55">
        <v>1.234093696582093</v>
      </c>
      <c r="C21" s="55">
        <v>1.4809080371402921</v>
      </c>
      <c r="D21" s="55">
        <v>1.2340936965820879</v>
      </c>
      <c r="E21" s="55">
        <v>42.735610550161873</v>
      </c>
      <c r="F21" s="55">
        <v>36.882622463432917</v>
      </c>
      <c r="G21" s="55">
        <v>44.272624752225703</v>
      </c>
      <c r="H21" s="55">
        <v>39.273281737681998</v>
      </c>
      <c r="I21" s="55">
        <v>30.763311542109982</v>
      </c>
      <c r="J21" s="55">
        <v>32.093320168220643</v>
      </c>
      <c r="K21" s="55">
        <v>32.090944838619713</v>
      </c>
      <c r="L21" s="55">
        <v>32.337451266080947</v>
      </c>
      <c r="M21" s="55">
        <v>30.78035673137434</v>
      </c>
      <c r="N21" s="55">
        <v>27.588111692022402</v>
      </c>
      <c r="O21" s="55">
        <v>26.56306899410691</v>
      </c>
      <c r="P21" s="55">
        <v>23.675877858118891</v>
      </c>
      <c r="Q21" s="55">
        <v>21.18149585796775</v>
      </c>
      <c r="R21" s="55">
        <v>19.11500309284963</v>
      </c>
      <c r="S21" s="55">
        <v>16.015285938965562</v>
      </c>
      <c r="T21" s="55">
        <v>28.93083273025648</v>
      </c>
      <c r="U21" s="55">
        <v>28.93081073646842</v>
      </c>
      <c r="V21" s="55">
        <v>26.347727770757679</v>
      </c>
      <c r="W21" s="55">
        <v>33.838747548965223</v>
      </c>
      <c r="X21" s="55">
        <v>33.838747548962672</v>
      </c>
      <c r="Y21" s="55">
        <v>33.580430454876257</v>
      </c>
      <c r="DA21" s="101" t="s">
        <v>1029</v>
      </c>
    </row>
    <row r="22" spans="1:105" x14ac:dyDescent="0.25">
      <c r="A22" s="61" t="s">
        <v>169</v>
      </c>
      <c r="B22" s="55">
        <v>49.564939676320179</v>
      </c>
      <c r="C22" s="55">
        <v>45.532248871240782</v>
      </c>
      <c r="D22" s="55">
        <v>45.578773283627783</v>
      </c>
      <c r="E22" s="55">
        <v>20.171931101358201</v>
      </c>
      <c r="F22" s="55">
        <v>21.296240573137759</v>
      </c>
      <c r="G22" s="55">
        <v>19.739945170140441</v>
      </c>
      <c r="H22" s="55">
        <v>29.592926908035999</v>
      </c>
      <c r="I22" s="55">
        <v>39.240232175594649</v>
      </c>
      <c r="J22" s="55">
        <v>47.378784147860593</v>
      </c>
      <c r="K22" s="55">
        <v>79.697999482731802</v>
      </c>
      <c r="L22" s="55">
        <v>111.25411235810741</v>
      </c>
      <c r="M22" s="55">
        <v>131.68757798222521</v>
      </c>
      <c r="N22" s="55">
        <v>128.40734873119351</v>
      </c>
      <c r="O22" s="55">
        <v>132.6683764057548</v>
      </c>
      <c r="P22" s="55">
        <v>160.20404395175871</v>
      </c>
      <c r="Q22" s="55">
        <v>158.4653981804297</v>
      </c>
      <c r="R22" s="55">
        <v>166.58116489461631</v>
      </c>
      <c r="S22" s="55">
        <v>160.0681597274955</v>
      </c>
      <c r="T22" s="55">
        <v>148.09140255013219</v>
      </c>
      <c r="U22" s="55">
        <v>148.05876689745421</v>
      </c>
      <c r="V22" s="55">
        <v>146.79115093004091</v>
      </c>
      <c r="W22" s="55">
        <v>152.97019285123011</v>
      </c>
      <c r="X22" s="55">
        <v>172.82196177803371</v>
      </c>
      <c r="Y22" s="55">
        <v>169.44483822166839</v>
      </c>
      <c r="DA22" s="101" t="s">
        <v>1030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26.432270181347601</v>
      </c>
      <c r="F23" s="55">
        <v>27.19827352050476</v>
      </c>
      <c r="G23" s="55">
        <v>27.169689617056111</v>
      </c>
      <c r="H23" s="55">
        <v>26.22648253952481</v>
      </c>
      <c r="I23" s="55">
        <v>25.03178238492265</v>
      </c>
      <c r="J23" s="55">
        <v>26.535164002258949</v>
      </c>
      <c r="K23" s="55">
        <v>27.192552624061889</v>
      </c>
      <c r="L23" s="55">
        <v>31.193969846721298</v>
      </c>
      <c r="M23" s="55">
        <v>25.283296040757939</v>
      </c>
      <c r="N23" s="55">
        <v>26.952460182346151</v>
      </c>
      <c r="O23" s="55">
        <v>28.03856619836186</v>
      </c>
      <c r="P23" s="55">
        <v>23.362618243335302</v>
      </c>
      <c r="Q23" s="55">
        <v>25.031782384924689</v>
      </c>
      <c r="R23" s="55">
        <v>25.483362786139271</v>
      </c>
      <c r="S23" s="55">
        <v>25.311879944206151</v>
      </c>
      <c r="T23" s="55">
        <v>23.276866532984862</v>
      </c>
      <c r="U23" s="55">
        <v>24.248636935204392</v>
      </c>
      <c r="V23" s="55">
        <v>23.81991954099183</v>
      </c>
      <c r="W23" s="55">
        <v>27.4097614800088</v>
      </c>
      <c r="X23" s="55">
        <v>24.094296203834951</v>
      </c>
      <c r="Y23" s="55">
        <v>23.57982709927882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0.1132079502673011</v>
      </c>
      <c r="F24" s="55">
        <v>0.1101978153120647</v>
      </c>
      <c r="G24" s="55">
        <v>9.9460559272953081E-2</v>
      </c>
      <c r="H24" s="55">
        <v>8.8904885583045989E-2</v>
      </c>
      <c r="I24" s="55">
        <v>8.743398002626436E-2</v>
      </c>
      <c r="J24" s="55">
        <v>8.0922816445366405E-2</v>
      </c>
      <c r="K24" s="55">
        <v>7.8345649436574516E-2</v>
      </c>
      <c r="L24" s="55">
        <v>8.4377072980642773E-2</v>
      </c>
      <c r="M24" s="55">
        <v>9.2812211842100839E-2</v>
      </c>
      <c r="N24" s="55">
        <v>9.5580396458045641E-2</v>
      </c>
      <c r="O24" s="55">
        <v>9.3421264711642679E-2</v>
      </c>
      <c r="P24" s="55">
        <v>0.105137008519324</v>
      </c>
      <c r="Q24" s="55">
        <v>0.1132606124012569</v>
      </c>
      <c r="R24" s="55">
        <v>0.1122118114448321</v>
      </c>
      <c r="S24" s="55">
        <v>0.11664301112486231</v>
      </c>
      <c r="T24" s="55">
        <v>0.1198258140633827</v>
      </c>
      <c r="U24" s="55">
        <v>0.12217391638838331</v>
      </c>
      <c r="V24" s="55">
        <v>0.12766143550901049</v>
      </c>
      <c r="W24" s="55">
        <v>0.12197905035162521</v>
      </c>
      <c r="X24" s="55">
        <v>0.14095093173438841</v>
      </c>
      <c r="Y24" s="55">
        <v>0.1301042857768096</v>
      </c>
      <c r="DA24" s="101" t="s">
        <v>1032</v>
      </c>
    </row>
    <row r="25" spans="1:105" x14ac:dyDescent="0.25">
      <c r="A25" s="256" t="s">
        <v>167</v>
      </c>
      <c r="B25" s="257">
        <v>40.157580802270893</v>
      </c>
      <c r="C25" s="257">
        <v>45.427856902417602</v>
      </c>
      <c r="D25" s="257">
        <v>41.050520639666942</v>
      </c>
      <c r="E25" s="257">
        <v>45.048624237943258</v>
      </c>
      <c r="F25" s="257">
        <v>41.952833900277717</v>
      </c>
      <c r="G25" s="257">
        <v>42.154014501066158</v>
      </c>
      <c r="H25" s="257">
        <v>43.791169661023808</v>
      </c>
      <c r="I25" s="257">
        <v>32.949535234448632</v>
      </c>
      <c r="J25" s="257">
        <v>41.092183869561858</v>
      </c>
      <c r="K25" s="257">
        <v>39.466046794059082</v>
      </c>
      <c r="L25" s="257">
        <v>40.981361574909528</v>
      </c>
      <c r="M25" s="257">
        <v>38.393222663759019</v>
      </c>
      <c r="N25" s="257">
        <v>39.633009952242098</v>
      </c>
      <c r="O25" s="257">
        <v>41.678106994004096</v>
      </c>
      <c r="P25" s="257">
        <v>40.138269282091258</v>
      </c>
      <c r="Q25" s="257">
        <v>39.195286636610163</v>
      </c>
      <c r="R25" s="257">
        <v>39.636249984556372</v>
      </c>
      <c r="S25" s="257">
        <v>38.854183075018589</v>
      </c>
      <c r="T25" s="257">
        <v>39.951254814243782</v>
      </c>
      <c r="U25" s="257">
        <v>39.876360924098947</v>
      </c>
      <c r="V25" s="257">
        <v>40.519716739478618</v>
      </c>
      <c r="W25" s="257">
        <v>41.093197332661568</v>
      </c>
      <c r="X25" s="257">
        <v>41.714624073084721</v>
      </c>
      <c r="Y25" s="257">
        <v>41.047507426709977</v>
      </c>
      <c r="DA25" s="272" t="s">
        <v>1033</v>
      </c>
    </row>
    <row r="26" spans="1:105" x14ac:dyDescent="0.25">
      <c r="A26" s="256" t="s">
        <v>170</v>
      </c>
      <c r="B26" s="257">
        <v>37.430585770899746</v>
      </c>
      <c r="C26" s="257">
        <v>42.125835326390302</v>
      </c>
      <c r="D26" s="257">
        <v>38.128246841647652</v>
      </c>
      <c r="E26" s="257">
        <v>42.252672565155933</v>
      </c>
      <c r="F26" s="257">
        <v>39.438961670891963</v>
      </c>
      <c r="G26" s="257">
        <v>39.928413582090592</v>
      </c>
      <c r="H26" s="257">
        <v>41.297695931086842</v>
      </c>
      <c r="I26" s="257">
        <v>31.674600931282701</v>
      </c>
      <c r="J26" s="257">
        <v>39.188758335029021</v>
      </c>
      <c r="K26" s="257">
        <v>38.498380456010921</v>
      </c>
      <c r="L26" s="257">
        <v>40.64110644187506</v>
      </c>
      <c r="M26" s="257">
        <v>38.97975996278381</v>
      </c>
      <c r="N26" s="257">
        <v>39.558044880813057</v>
      </c>
      <c r="O26" s="257">
        <v>32.816392603007877</v>
      </c>
      <c r="P26" s="257">
        <v>42.933296457910657</v>
      </c>
      <c r="Q26" s="257">
        <v>38.870838137223757</v>
      </c>
      <c r="R26" s="257">
        <v>38.556031100929452</v>
      </c>
      <c r="S26" s="257">
        <v>36.296685445650787</v>
      </c>
      <c r="T26" s="257">
        <v>37.197826617072977</v>
      </c>
      <c r="U26" s="257">
        <v>36.595461890466581</v>
      </c>
      <c r="V26" s="257">
        <v>34.529436995517301</v>
      </c>
      <c r="W26" s="257">
        <v>37.232065244276541</v>
      </c>
      <c r="X26" s="257">
        <v>32.936629543379247</v>
      </c>
      <c r="Y26" s="257">
        <v>33.221718923084957</v>
      </c>
      <c r="DA26" s="272" t="s">
        <v>1034</v>
      </c>
    </row>
    <row r="27" spans="1:105" x14ac:dyDescent="0.25">
      <c r="A27" s="128" t="s">
        <v>33</v>
      </c>
      <c r="B27" s="258">
        <v>57.046636291263333</v>
      </c>
      <c r="C27" s="258">
        <v>64.202500624463866</v>
      </c>
      <c r="D27" s="258">
        <v>58.109916935630672</v>
      </c>
      <c r="E27" s="258">
        <v>64.395808788870823</v>
      </c>
      <c r="F27" s="258">
        <v>60.107531202292662</v>
      </c>
      <c r="G27" s="258">
        <v>60.853487606264281</v>
      </c>
      <c r="H27" s="258">
        <v>62.94036256519064</v>
      </c>
      <c r="I27" s="258">
        <v>48.274142703975123</v>
      </c>
      <c r="J27" s="258">
        <v>59.726205118132597</v>
      </c>
      <c r="K27" s="258">
        <v>58.674024529537661</v>
      </c>
      <c r="L27" s="258">
        <v>61.939677670409978</v>
      </c>
      <c r="M27" s="258">
        <v>59.407678066487939</v>
      </c>
      <c r="N27" s="258">
        <v>60.289021724678413</v>
      </c>
      <c r="O27" s="258">
        <v>50.014307141047283</v>
      </c>
      <c r="P27" s="258">
        <v>65.433123670843869</v>
      </c>
      <c r="Q27" s="258">
        <v>59.241674151803387</v>
      </c>
      <c r="R27" s="258">
        <v>58.761887845189563</v>
      </c>
      <c r="S27" s="258">
        <v>55.318498777174199</v>
      </c>
      <c r="T27" s="258">
        <v>56.691896270011974</v>
      </c>
      <c r="U27" s="258">
        <v>55.773853424417091</v>
      </c>
      <c r="V27" s="258">
        <v>52.625097712383983</v>
      </c>
      <c r="W27" s="258">
        <v>56.744078154771941</v>
      </c>
      <c r="X27" s="258">
        <v>50.197556023341647</v>
      </c>
      <c r="Y27" s="258">
        <v>50.63205069713905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1.0000000000000002</v>
      </c>
      <c r="D31" s="235">
        <f t="shared" si="9"/>
        <v>0.99999999999999989</v>
      </c>
      <c r="E31" s="235">
        <f t="shared" si="9"/>
        <v>0.99999999999999989</v>
      </c>
      <c r="F31" s="235">
        <f t="shared" si="9"/>
        <v>1</v>
      </c>
      <c r="G31" s="235">
        <f t="shared" si="9"/>
        <v>1</v>
      </c>
      <c r="H31" s="235">
        <f t="shared" si="9"/>
        <v>1</v>
      </c>
      <c r="I31" s="235">
        <f t="shared" si="9"/>
        <v>1</v>
      </c>
      <c r="J31" s="235">
        <f t="shared" si="9"/>
        <v>1</v>
      </c>
      <c r="K31" s="235">
        <f t="shared" si="9"/>
        <v>1</v>
      </c>
      <c r="L31" s="235">
        <f t="shared" si="9"/>
        <v>1.0000000000000002</v>
      </c>
      <c r="M31" s="235">
        <f t="shared" si="9"/>
        <v>0.99999999999999989</v>
      </c>
      <c r="N31" s="235">
        <f t="shared" si="9"/>
        <v>1.0000000000000002</v>
      </c>
      <c r="O31" s="235">
        <f t="shared" si="9"/>
        <v>0.99999999999999989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0.99999999999999978</v>
      </c>
      <c r="S31" s="235">
        <f t="shared" si="10"/>
        <v>0.99999999999999989</v>
      </c>
      <c r="T31" s="235">
        <f t="shared" si="10"/>
        <v>1</v>
      </c>
      <c r="U31" s="235">
        <f t="shared" si="10"/>
        <v>1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1.0000000000000002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2.8602577877938361E-2</v>
      </c>
      <c r="C32" s="244">
        <f t="shared" si="12"/>
        <v>2.8651786056326668E-2</v>
      </c>
      <c r="D32" s="244">
        <f t="shared" si="12"/>
        <v>2.8637663515939923E-2</v>
      </c>
      <c r="E32" s="244">
        <f t="shared" si="12"/>
        <v>2.8591043687080171E-2</v>
      </c>
      <c r="F32" s="244">
        <f t="shared" si="12"/>
        <v>2.8570103610075347E-2</v>
      </c>
      <c r="G32" s="244">
        <f t="shared" si="12"/>
        <v>2.8453191910119843E-2</v>
      </c>
      <c r="H32" s="244">
        <f t="shared" si="12"/>
        <v>2.8525106469810414E-2</v>
      </c>
      <c r="I32" s="244">
        <f t="shared" si="12"/>
        <v>2.8373157844639296E-2</v>
      </c>
      <c r="J32" s="244">
        <f t="shared" si="12"/>
        <v>2.843501278547271E-2</v>
      </c>
      <c r="K32" s="244">
        <f t="shared" si="12"/>
        <v>2.8303195546295335E-2</v>
      </c>
      <c r="L32" s="244">
        <f t="shared" si="12"/>
        <v>2.8238189075886596E-2</v>
      </c>
      <c r="M32" s="244">
        <f t="shared" si="12"/>
        <v>2.8185880745074599E-2</v>
      </c>
      <c r="N32" s="244">
        <f t="shared" si="12"/>
        <v>2.7990219192838214E-2</v>
      </c>
      <c r="O32" s="244">
        <f t="shared" si="12"/>
        <v>2.295092013129631E-2</v>
      </c>
      <c r="P32" s="244">
        <f t="shared" si="12"/>
        <v>2.9024382873770002E-2</v>
      </c>
      <c r="Q32" s="244">
        <f t="shared" si="12"/>
        <v>2.7406817166392015E-2</v>
      </c>
      <c r="R32" s="244">
        <f t="shared" si="12"/>
        <v>2.6695053697544307E-2</v>
      </c>
      <c r="S32" s="244">
        <f t="shared" si="12"/>
        <v>2.6227333417321017E-2</v>
      </c>
      <c r="T32" s="244">
        <f t="shared" si="12"/>
        <v>2.6139198097141589E-2</v>
      </c>
      <c r="U32" s="244">
        <f t="shared" si="12"/>
        <v>2.5793087984949267E-2</v>
      </c>
      <c r="V32" s="244">
        <f t="shared" si="12"/>
        <v>2.4399577309738241E-2</v>
      </c>
      <c r="W32" s="244">
        <f t="shared" si="12"/>
        <v>2.55188469454481E-2</v>
      </c>
      <c r="X32" s="244">
        <f t="shared" si="12"/>
        <v>2.2529521058323371E-2</v>
      </c>
      <c r="Y32" s="244">
        <f t="shared" si="12"/>
        <v>2.3002677029231179E-2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1.8436024509166461E-2</v>
      </c>
      <c r="C33" s="245">
        <f t="shared" si="13"/>
        <v>1.846774204129556E-2</v>
      </c>
      <c r="D33" s="245">
        <f t="shared" si="13"/>
        <v>1.8458639242876045E-2</v>
      </c>
      <c r="E33" s="245">
        <f t="shared" si="13"/>
        <v>1.8428590052514952E-2</v>
      </c>
      <c r="F33" s="245">
        <f t="shared" si="13"/>
        <v>1.8415092955346577E-2</v>
      </c>
      <c r="G33" s="245">
        <f t="shared" si="13"/>
        <v>1.833973656701731E-2</v>
      </c>
      <c r="H33" s="245">
        <f t="shared" si="13"/>
        <v>1.8386089682134395E-2</v>
      </c>
      <c r="I33" s="245">
        <f t="shared" si="13"/>
        <v>1.8288149958318466E-2</v>
      </c>
      <c r="J33" s="245">
        <f t="shared" si="13"/>
        <v>1.8328019064176131E-2</v>
      </c>
      <c r="K33" s="245">
        <f t="shared" si="13"/>
        <v>1.8243055189151463E-2</v>
      </c>
      <c r="L33" s="245">
        <f t="shared" si="13"/>
        <v>1.8201154739240111E-2</v>
      </c>
      <c r="M33" s="245">
        <f t="shared" si="13"/>
        <v>1.8167438978618857E-2</v>
      </c>
      <c r="N33" s="245">
        <f t="shared" si="13"/>
        <v>1.8041323731667152E-2</v>
      </c>
      <c r="O33" s="245">
        <f t="shared" si="13"/>
        <v>1.4793202481754742E-2</v>
      </c>
      <c r="P33" s="245">
        <f t="shared" si="13"/>
        <v>1.8707902354388205E-2</v>
      </c>
      <c r="Q33" s="245">
        <f t="shared" si="13"/>
        <v>1.7665287204324778E-2</v>
      </c>
      <c r="R33" s="245">
        <f t="shared" si="13"/>
        <v>1.7206514263913449E-2</v>
      </c>
      <c r="S33" s="245">
        <f t="shared" si="13"/>
        <v>1.6905041348205335E-2</v>
      </c>
      <c r="T33" s="245">
        <f t="shared" si="13"/>
        <v>1.6848233009814105E-2</v>
      </c>
      <c r="U33" s="245">
        <f t="shared" si="13"/>
        <v>1.6625144918297377E-2</v>
      </c>
      <c r="V33" s="245">
        <f t="shared" si="13"/>
        <v>1.5726946263909958E-2</v>
      </c>
      <c r="W33" s="245">
        <f t="shared" si="13"/>
        <v>1.64483806228818E-2</v>
      </c>
      <c r="X33" s="245">
        <f t="shared" si="13"/>
        <v>1.4521586277417385E-2</v>
      </c>
      <c r="Y33" s="245">
        <f t="shared" si="13"/>
        <v>1.4826562811824207E-2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3.6636662142574467E-2</v>
      </c>
      <c r="C34" s="245">
        <f t="shared" si="14"/>
        <v>3.6699692244754688E-2</v>
      </c>
      <c r="D34" s="245">
        <f t="shared" si="14"/>
        <v>3.6681602870330066E-2</v>
      </c>
      <c r="E34" s="245">
        <f t="shared" si="14"/>
        <v>3.6621888150685948E-2</v>
      </c>
      <c r="F34" s="245">
        <f t="shared" si="14"/>
        <v>3.6595066284148652E-2</v>
      </c>
      <c r="G34" s="245">
        <f t="shared" si="14"/>
        <v>3.6445315640340849E-2</v>
      </c>
      <c r="H34" s="245">
        <f t="shared" si="14"/>
        <v>3.653743004477529E-2</v>
      </c>
      <c r="I34" s="245">
        <f t="shared" si="14"/>
        <v>3.6342801068772503E-2</v>
      </c>
      <c r="J34" s="245">
        <f t="shared" si="14"/>
        <v>3.6422030241011212E-2</v>
      </c>
      <c r="K34" s="245">
        <f t="shared" si="14"/>
        <v>3.6253187289969603E-2</v>
      </c>
      <c r="L34" s="245">
        <f t="shared" si="14"/>
        <v>3.616992136535227E-2</v>
      </c>
      <c r="M34" s="245">
        <f t="shared" si="14"/>
        <v>3.6102920319104635E-2</v>
      </c>
      <c r="N34" s="245">
        <f t="shared" si="14"/>
        <v>3.5852300035360732E-2</v>
      </c>
      <c r="O34" s="245">
        <f t="shared" si="14"/>
        <v>2.9397528792678228E-2</v>
      </c>
      <c r="P34" s="245">
        <f t="shared" si="14"/>
        <v>3.7176946559884058E-2</v>
      </c>
      <c r="Q34" s="245">
        <f t="shared" si="14"/>
        <v>3.5105028127653121E-2</v>
      </c>
      <c r="R34" s="245">
        <f t="shared" si="14"/>
        <v>3.419333975309883E-2</v>
      </c>
      <c r="S34" s="245">
        <f t="shared" si="14"/>
        <v>3.359424305779752E-2</v>
      </c>
      <c r="T34" s="245">
        <f t="shared" si="14"/>
        <v>3.3481351696675411E-2</v>
      </c>
      <c r="U34" s="245">
        <f t="shared" si="14"/>
        <v>3.3038023850540991E-2</v>
      </c>
      <c r="V34" s="245">
        <f t="shared" si="14"/>
        <v>3.1253094533412719E-2</v>
      </c>
      <c r="W34" s="245">
        <f t="shared" si="14"/>
        <v>3.2686752145147525E-2</v>
      </c>
      <c r="X34" s="245">
        <f t="shared" si="14"/>
        <v>2.8857764316567419E-2</v>
      </c>
      <c r="Y34" s="245">
        <f t="shared" si="14"/>
        <v>2.9463823515876928E-2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0.3216021395694299</v>
      </c>
      <c r="C35" s="246">
        <f t="shared" si="15"/>
        <v>0.32084512168758933</v>
      </c>
      <c r="D35" s="246">
        <f t="shared" si="15"/>
        <v>0.32139289754605271</v>
      </c>
      <c r="E35" s="246">
        <f t="shared" si="15"/>
        <v>0.31288210575557884</v>
      </c>
      <c r="F35" s="246">
        <f t="shared" si="15"/>
        <v>0.31293274854310194</v>
      </c>
      <c r="G35" s="246">
        <f t="shared" si="15"/>
        <v>0.30987823713744295</v>
      </c>
      <c r="H35" s="246">
        <f t="shared" si="15"/>
        <v>0.31378150868595722</v>
      </c>
      <c r="I35" s="246">
        <f t="shared" si="15"/>
        <v>0.31519135542046806</v>
      </c>
      <c r="J35" s="246">
        <f t="shared" si="15"/>
        <v>0.31633759339203099</v>
      </c>
      <c r="K35" s="246">
        <f t="shared" si="15"/>
        <v>0.32128955265611236</v>
      </c>
      <c r="L35" s="246">
        <f t="shared" si="15"/>
        <v>0.32581282770655634</v>
      </c>
      <c r="M35" s="246">
        <f t="shared" si="15"/>
        <v>0.32974613004060288</v>
      </c>
      <c r="N35" s="246">
        <f t="shared" si="15"/>
        <v>0.3288642227273284</v>
      </c>
      <c r="O35" s="246">
        <f t="shared" si="15"/>
        <v>0.33408404957308968</v>
      </c>
      <c r="P35" s="246">
        <f t="shared" si="15"/>
        <v>0.33234841113452412</v>
      </c>
      <c r="Q35" s="246">
        <f t="shared" si="15"/>
        <v>0.334298169498572</v>
      </c>
      <c r="R35" s="246">
        <f t="shared" si="15"/>
        <v>0.33546288211625636</v>
      </c>
      <c r="S35" s="246">
        <f t="shared" si="15"/>
        <v>0.33645221097703421</v>
      </c>
      <c r="T35" s="246">
        <f t="shared" si="15"/>
        <v>0.33335965301132725</v>
      </c>
      <c r="U35" s="246">
        <f t="shared" si="15"/>
        <v>0.33373479799518557</v>
      </c>
      <c r="V35" s="246">
        <f t="shared" si="15"/>
        <v>0.33527228542881043</v>
      </c>
      <c r="W35" s="246">
        <f t="shared" si="15"/>
        <v>0.33432648775301804</v>
      </c>
      <c r="X35" s="246">
        <f t="shared" si="15"/>
        <v>0.34153467073265881</v>
      </c>
      <c r="Y35" s="246">
        <f t="shared" si="15"/>
        <v>0.34057681355920999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0.22622342549405189</v>
      </c>
      <c r="C36" s="259">
        <f t="shared" si="16"/>
        <v>0.22778068896488851</v>
      </c>
      <c r="D36" s="259">
        <f t="shared" si="16"/>
        <v>0.22730076332124671</v>
      </c>
      <c r="E36" s="259">
        <f t="shared" si="16"/>
        <v>0.22472367922823958</v>
      </c>
      <c r="F36" s="259">
        <f t="shared" si="16"/>
        <v>0.22404699567773484</v>
      </c>
      <c r="G36" s="259">
        <f t="shared" si="16"/>
        <v>0.22145187288173315</v>
      </c>
      <c r="H36" s="259">
        <f t="shared" si="16"/>
        <v>0.22298696492600323</v>
      </c>
      <c r="I36" s="259">
        <f t="shared" si="16"/>
        <v>0.21758917951390366</v>
      </c>
      <c r="J36" s="259">
        <f t="shared" si="16"/>
        <v>0.21980756054275091</v>
      </c>
      <c r="K36" s="259">
        <f t="shared" si="16"/>
        <v>0.21389868645265833</v>
      </c>
      <c r="L36" s="259">
        <f t="shared" si="16"/>
        <v>0.20991775907481949</v>
      </c>
      <c r="M36" s="259">
        <f t="shared" si="16"/>
        <v>0.20466260448179435</v>
      </c>
      <c r="N36" s="259">
        <f t="shared" si="16"/>
        <v>0.20673785987069221</v>
      </c>
      <c r="O36" s="259">
        <f t="shared" si="16"/>
        <v>0.21488629962182107</v>
      </c>
      <c r="P36" s="259">
        <f t="shared" si="16"/>
        <v>0.20004093721917038</v>
      </c>
      <c r="Q36" s="259">
        <f t="shared" si="16"/>
        <v>0.20373236262475902</v>
      </c>
      <c r="R36" s="259">
        <f t="shared" si="16"/>
        <v>0.20231240599192019</v>
      </c>
      <c r="S36" s="259">
        <f t="shared" si="16"/>
        <v>0.20697430404087128</v>
      </c>
      <c r="T36" s="259">
        <f t="shared" si="16"/>
        <v>0.20696485235414458</v>
      </c>
      <c r="U36" s="259">
        <f t="shared" si="16"/>
        <v>0.20719682875389092</v>
      </c>
      <c r="V36" s="259">
        <f t="shared" si="16"/>
        <v>0.21108174973651833</v>
      </c>
      <c r="W36" s="259">
        <f t="shared" si="16"/>
        <v>0.2076372809490738</v>
      </c>
      <c r="X36" s="259">
        <f t="shared" si="16"/>
        <v>0.21035489264035012</v>
      </c>
      <c r="Y36" s="259">
        <f t="shared" si="16"/>
        <v>0.20952437390683104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0.26647933106649091</v>
      </c>
      <c r="C37" s="259">
        <f t="shared" si="17"/>
        <v>0.26520249608063728</v>
      </c>
      <c r="D37" s="259">
        <f t="shared" si="17"/>
        <v>0.26527586355067895</v>
      </c>
      <c r="E37" s="259">
        <f t="shared" si="17"/>
        <v>0.27696345521359572</v>
      </c>
      <c r="F37" s="259">
        <f t="shared" si="17"/>
        <v>0.27779418789678639</v>
      </c>
      <c r="G37" s="259">
        <f t="shared" si="17"/>
        <v>0.28442753512016028</v>
      </c>
      <c r="H37" s="259">
        <f t="shared" si="17"/>
        <v>0.2783923056085903</v>
      </c>
      <c r="I37" s="259">
        <f t="shared" si="17"/>
        <v>0.28393113946407339</v>
      </c>
      <c r="J37" s="259">
        <f t="shared" si="17"/>
        <v>0.27993235218689644</v>
      </c>
      <c r="K37" s="259">
        <f t="shared" si="17"/>
        <v>0.28239962838361626</v>
      </c>
      <c r="L37" s="259">
        <f t="shared" si="17"/>
        <v>0.28274563826002697</v>
      </c>
      <c r="M37" s="259">
        <f t="shared" si="17"/>
        <v>0.28505831513227708</v>
      </c>
      <c r="N37" s="259">
        <f t="shared" si="17"/>
        <v>0.28464794757510159</v>
      </c>
      <c r="O37" s="259">
        <f t="shared" si="17"/>
        <v>0.29753884733334901</v>
      </c>
      <c r="P37" s="259">
        <f t="shared" si="17"/>
        <v>0.28314765917240309</v>
      </c>
      <c r="Q37" s="259">
        <f t="shared" si="17"/>
        <v>0.28579069667098866</v>
      </c>
      <c r="R37" s="259">
        <f t="shared" si="17"/>
        <v>0.29010066133799406</v>
      </c>
      <c r="S37" s="259">
        <f t="shared" si="17"/>
        <v>0.2863613210793296</v>
      </c>
      <c r="T37" s="259">
        <f t="shared" si="17"/>
        <v>0.28994303391242038</v>
      </c>
      <c r="U37" s="259">
        <f t="shared" si="17"/>
        <v>0.2911835256822447</v>
      </c>
      <c r="V37" s="259">
        <f t="shared" si="17"/>
        <v>0.29280305589244698</v>
      </c>
      <c r="W37" s="259">
        <f t="shared" si="17"/>
        <v>0.29158082214200426</v>
      </c>
      <c r="X37" s="259">
        <f t="shared" si="17"/>
        <v>0.29751666991071091</v>
      </c>
      <c r="Y37" s="259">
        <f t="shared" si="17"/>
        <v>0.29684829015771408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3.0429501544782047E-2</v>
      </c>
      <c r="C38" s="259">
        <f t="shared" si="18"/>
        <v>3.0638970352391028E-2</v>
      </c>
      <c r="D38" s="259">
        <f t="shared" si="18"/>
        <v>3.0574415153995085E-2</v>
      </c>
      <c r="E38" s="259">
        <f t="shared" si="18"/>
        <v>3.0227769424367675E-2</v>
      </c>
      <c r="F38" s="259">
        <f t="shared" si="18"/>
        <v>3.0136748155900693E-2</v>
      </c>
      <c r="G38" s="259">
        <f t="shared" si="18"/>
        <v>2.9787676025296313E-2</v>
      </c>
      <c r="H38" s="259">
        <f t="shared" si="18"/>
        <v>2.9994162535835558E-2</v>
      </c>
      <c r="I38" s="259">
        <f t="shared" si="18"/>
        <v>2.9268101920418853E-2</v>
      </c>
      <c r="J38" s="259">
        <f t="shared" si="18"/>
        <v>2.956649820186848E-2</v>
      </c>
      <c r="K38" s="259">
        <f t="shared" si="18"/>
        <v>2.8771690622327508E-2</v>
      </c>
      <c r="L38" s="259">
        <f t="shared" si="18"/>
        <v>2.8236212762202898E-2</v>
      </c>
      <c r="M38" s="259">
        <f t="shared" si="18"/>
        <v>2.7529337537158045E-2</v>
      </c>
      <c r="N38" s="259">
        <f t="shared" si="18"/>
        <v>2.7808481869467466E-2</v>
      </c>
      <c r="O38" s="259">
        <f t="shared" si="18"/>
        <v>2.8904535292993465E-2</v>
      </c>
      <c r="P38" s="259">
        <f t="shared" si="18"/>
        <v>2.6907673221005325E-2</v>
      </c>
      <c r="Q38" s="259">
        <f t="shared" si="18"/>
        <v>2.7404209929511491E-2</v>
      </c>
      <c r="R38" s="259">
        <f t="shared" si="18"/>
        <v>2.721321037914164E-2</v>
      </c>
      <c r="S38" s="259">
        <f t="shared" si="18"/>
        <v>2.7840286171899917E-2</v>
      </c>
      <c r="T38" s="259">
        <f t="shared" si="18"/>
        <v>2.7839014817639313E-2</v>
      </c>
      <c r="U38" s="259">
        <f t="shared" si="18"/>
        <v>2.7870218156546469E-2</v>
      </c>
      <c r="V38" s="259">
        <f t="shared" si="18"/>
        <v>2.8392782116419536E-2</v>
      </c>
      <c r="W38" s="259">
        <f t="shared" si="18"/>
        <v>2.7929463748484859E-2</v>
      </c>
      <c r="X38" s="259">
        <f t="shared" si="18"/>
        <v>2.8295011962500314E-2</v>
      </c>
      <c r="Y38" s="259">
        <f t="shared" si="18"/>
        <v>2.8183298195327902E-2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2.8363114629486874E-2</v>
      </c>
      <c r="C39" s="259">
        <f t="shared" si="19"/>
        <v>2.8411910832762403E-2</v>
      </c>
      <c r="D39" s="259">
        <f t="shared" si="19"/>
        <v>2.8397906527501602E-2</v>
      </c>
      <c r="E39" s="259">
        <f t="shared" si="19"/>
        <v>2.8351677003869175E-2</v>
      </c>
      <c r="F39" s="259">
        <f t="shared" si="19"/>
        <v>2.8330912238994744E-2</v>
      </c>
      <c r="G39" s="259">
        <f t="shared" si="19"/>
        <v>2.8214979333872792E-2</v>
      </c>
      <c r="H39" s="259">
        <f t="shared" si="19"/>
        <v>2.8286291818668308E-2</v>
      </c>
      <c r="I39" s="259">
        <f t="shared" si="19"/>
        <v>2.8135615320489939E-2</v>
      </c>
      <c r="J39" s="259">
        <f t="shared" si="19"/>
        <v>2.8196952406424832E-2</v>
      </c>
      <c r="K39" s="259">
        <f t="shared" si="19"/>
        <v>2.8066238752540707E-2</v>
      </c>
      <c r="L39" s="259">
        <f t="shared" si="19"/>
        <v>2.800177652190787E-2</v>
      </c>
      <c r="M39" s="259">
        <f t="shared" si="19"/>
        <v>2.7949906120952085E-2</v>
      </c>
      <c r="N39" s="259">
        <f t="shared" si="19"/>
        <v>2.7755882664103306E-2</v>
      </c>
      <c r="O39" s="259">
        <f t="shared" si="19"/>
        <v>2.2758773048853449E-2</v>
      </c>
      <c r="P39" s="259">
        <f t="shared" si="19"/>
        <v>2.8781388237520342E-2</v>
      </c>
      <c r="Q39" s="259">
        <f t="shared" si="19"/>
        <v>2.7177364929730441E-2</v>
      </c>
      <c r="R39" s="259">
        <f t="shared" si="19"/>
        <v>2.6471560406020708E-2</v>
      </c>
      <c r="S39" s="259">
        <f t="shared" si="19"/>
        <v>2.60077559203159E-2</v>
      </c>
      <c r="T39" s="259">
        <f t="shared" si="19"/>
        <v>2.5920358476637102E-2</v>
      </c>
      <c r="U39" s="259">
        <f t="shared" si="19"/>
        <v>2.5577146028149821E-2</v>
      </c>
      <c r="V39" s="259">
        <f t="shared" si="19"/>
        <v>2.4195301944476864E-2</v>
      </c>
      <c r="W39" s="259">
        <f t="shared" si="19"/>
        <v>2.5305200958279709E-2</v>
      </c>
      <c r="X39" s="259">
        <f t="shared" si="19"/>
        <v>2.234090196525752E-2</v>
      </c>
      <c r="Y39" s="259">
        <f t="shared" si="19"/>
        <v>2.2810096633575708E-2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4.322722316607909E-2</v>
      </c>
      <c r="C40" s="261">
        <f t="shared" si="20"/>
        <v>4.3301591739354731E-2</v>
      </c>
      <c r="D40" s="261">
        <f t="shared" si="20"/>
        <v>4.3280248271378725E-2</v>
      </c>
      <c r="E40" s="261">
        <f t="shared" si="20"/>
        <v>4.3209791484067929E-2</v>
      </c>
      <c r="F40" s="261">
        <f t="shared" si="20"/>
        <v>4.3178144637910754E-2</v>
      </c>
      <c r="G40" s="261">
        <f t="shared" si="20"/>
        <v>4.3001455384016597E-2</v>
      </c>
      <c r="H40" s="261">
        <f t="shared" si="20"/>
        <v>4.3110140228225444E-2</v>
      </c>
      <c r="I40" s="261">
        <f t="shared" si="20"/>
        <v>4.2880499488915813E-2</v>
      </c>
      <c r="J40" s="261">
        <f t="shared" si="20"/>
        <v>4.2973981179368362E-2</v>
      </c>
      <c r="K40" s="261">
        <f t="shared" si="20"/>
        <v>4.2774765107328513E-2</v>
      </c>
      <c r="L40" s="261">
        <f t="shared" si="20"/>
        <v>4.267652049400765E-2</v>
      </c>
      <c r="M40" s="261">
        <f t="shared" si="20"/>
        <v>4.2597466644417457E-2</v>
      </c>
      <c r="N40" s="261">
        <f t="shared" si="20"/>
        <v>4.2301762333441073E-2</v>
      </c>
      <c r="O40" s="261">
        <f t="shared" si="20"/>
        <v>3.4685843724164084E-2</v>
      </c>
      <c r="P40" s="261">
        <f t="shared" si="20"/>
        <v>4.3864699227334568E-2</v>
      </c>
      <c r="Q40" s="261">
        <f t="shared" si="20"/>
        <v>4.1420063848068386E-2</v>
      </c>
      <c r="R40" s="261">
        <f t="shared" si="20"/>
        <v>4.0344372054110393E-2</v>
      </c>
      <c r="S40" s="261">
        <f t="shared" si="20"/>
        <v>3.9637503987225146E-2</v>
      </c>
      <c r="T40" s="261">
        <f t="shared" si="20"/>
        <v>3.9504304624200279E-2</v>
      </c>
      <c r="U40" s="261">
        <f t="shared" si="20"/>
        <v>3.8981226630194939E-2</v>
      </c>
      <c r="V40" s="261">
        <f t="shared" si="20"/>
        <v>3.6875206774267116E-2</v>
      </c>
      <c r="W40" s="261">
        <f t="shared" si="20"/>
        <v>3.8566764735662062E-2</v>
      </c>
      <c r="X40" s="261">
        <f t="shared" si="20"/>
        <v>3.4048981136214275E-2</v>
      </c>
      <c r="Y40" s="261">
        <f t="shared" si="20"/>
        <v>3.4764064190408853E-2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0.38998814378222352</v>
      </c>
      <c r="C44" s="237">
        <f>IF(C$5=0,0,C$5/AGR_fec!C$5)</f>
        <v>0.38942015284055992</v>
      </c>
      <c r="D44" s="237">
        <f>IF(D$5=0,0,D$5/AGR_fec!D$5)</f>
        <v>0.38976072982662807</v>
      </c>
      <c r="E44" s="237">
        <f>IF(E$5=0,0,E$5/AGR_fec!E$5)</f>
        <v>0.38374352658428768</v>
      </c>
      <c r="F44" s="237">
        <f>IF(F$5=0,0,F$5/AGR_fec!F$5)</f>
        <v>0.38380683693260575</v>
      </c>
      <c r="G44" s="237">
        <f>IF(G$5=0,0,G$5/AGR_fec!G$5)</f>
        <v>0.38303223091996053</v>
      </c>
      <c r="H44" s="237">
        <f>IF(H$5=0,0,H$5/AGR_fec!H$5)</f>
        <v>0.38470786357469411</v>
      </c>
      <c r="I44" s="237">
        <f>IF(I$5=0,0,I$5/AGR_fec!I$5)</f>
        <v>0.38560783714564484</v>
      </c>
      <c r="J44" s="237">
        <f>IF(J$5=0,0,J$5/AGR_fec!J$5)</f>
        <v>0.38630875579071339</v>
      </c>
      <c r="K44" s="237">
        <f>IF(K$5=0,0,K$5/AGR_fec!K$5)</f>
        <v>0.38875198375247672</v>
      </c>
      <c r="L44" s="237">
        <f>IF(L$5=0,0,L$5/AGR_fec!L$5)</f>
        <v>0.39073543684127587</v>
      </c>
      <c r="M44" s="237">
        <f>IF(M$5=0,0,M$5/AGR_fec!M$5)</f>
        <v>0.39304887794235682</v>
      </c>
      <c r="N44" s="237">
        <f>IF(N$5=0,0,N$5/AGR_fec!N$5)</f>
        <v>0.3923438984130781</v>
      </c>
      <c r="O44" s="237">
        <f>IF(O$5=0,0,O$5/AGR_fec!O$5)</f>
        <v>0.38679732167736786</v>
      </c>
      <c r="P44" s="237">
        <f>IF(P$5=0,0,P$5/AGR_fec!P$5)</f>
        <v>0.3962786601478121</v>
      </c>
      <c r="Q44" s="237">
        <f>IF(Q$5=0,0,Q$5/AGR_fec!Q$5)</f>
        <v>0.39432331114874297</v>
      </c>
      <c r="R44" s="237">
        <f>IF(R$5=0,0,R$5/AGR_fec!R$5)</f>
        <v>0.39399676891988578</v>
      </c>
      <c r="S44" s="237">
        <f>IF(S$5=0,0,S$5/AGR_fec!S$5)</f>
        <v>0.3933933122027799</v>
      </c>
      <c r="T44" s="237">
        <f>IF(T$5=0,0,T$5/AGR_fec!T$5)</f>
        <v>0.39173172986140403</v>
      </c>
      <c r="U44" s="237">
        <f>IF(U$5=0,0,U$5/AGR_fec!U$5)</f>
        <v>0.39129987122642312</v>
      </c>
      <c r="V44" s="237">
        <f>IF(V$5=0,0,V$5/AGR_fec!V$5)</f>
        <v>0.38979289269466028</v>
      </c>
      <c r="W44" s="237">
        <f>IF(W$5=0,0,W$5/AGR_fec!W$5)</f>
        <v>0.39075443334608845</v>
      </c>
      <c r="X44" s="237">
        <f>IF(X$5=0,0,X$5/AGR_fec!X$5)</f>
        <v>0.38942951515179641</v>
      </c>
      <c r="Y44" s="237">
        <f>IF(Y$5=0,0,Y$5/AGR_fec!Y$5)</f>
        <v>0.38978563546310147</v>
      </c>
      <c r="DA44" s="286"/>
    </row>
    <row r="45" spans="1:105" x14ac:dyDescent="0.25">
      <c r="A45" s="238" t="s">
        <v>125</v>
      </c>
      <c r="B45" s="250">
        <f>IF(B$6=0,0,B$6/AGR_fec!B$6)</f>
        <v>0.47279153069060781</v>
      </c>
      <c r="C45" s="250">
        <f>IF(C$6=0,0,C$6/AGR_fec!C$6)</f>
        <v>0.47279153069060781</v>
      </c>
      <c r="D45" s="250">
        <f>IF(D$6=0,0,D$6/AGR_fec!D$6)</f>
        <v>0.47279153069060764</v>
      </c>
      <c r="E45" s="250">
        <f>IF(E$6=0,0,E$6/AGR_fec!E$6)</f>
        <v>0.47279153069060775</v>
      </c>
      <c r="F45" s="250">
        <f>IF(F$6=0,0,F$6/AGR_fec!F$6)</f>
        <v>0.47279153069060775</v>
      </c>
      <c r="G45" s="250">
        <f>IF(G$6=0,0,G$6/AGR_fec!G$6)</f>
        <v>0.47279153069060775</v>
      </c>
      <c r="H45" s="250">
        <f>IF(H$6=0,0,H$6/AGR_fec!H$6)</f>
        <v>0.4727915306906077</v>
      </c>
      <c r="I45" s="250">
        <f>IF(I$6=0,0,I$6/AGR_fec!I$6)</f>
        <v>0.47279153069060781</v>
      </c>
      <c r="J45" s="250">
        <f>IF(J$6=0,0,J$6/AGR_fec!J$6)</f>
        <v>0.4727915306906077</v>
      </c>
      <c r="K45" s="250">
        <f>IF(K$6=0,0,K$6/AGR_fec!K$6)</f>
        <v>0.47279153069060775</v>
      </c>
      <c r="L45" s="250">
        <f>IF(L$6=0,0,L$6/AGR_fec!L$6)</f>
        <v>0.47279153069060781</v>
      </c>
      <c r="M45" s="250">
        <f>IF(M$6=0,0,M$6/AGR_fec!M$6)</f>
        <v>0.4727915306906077</v>
      </c>
      <c r="N45" s="250">
        <f>IF(N$6=0,0,N$6/AGR_fec!N$6)</f>
        <v>0.4727915306906077</v>
      </c>
      <c r="O45" s="250">
        <f>IF(O$6=0,0,O$6/AGR_fec!O$6)</f>
        <v>0.4727915306906077</v>
      </c>
      <c r="P45" s="250">
        <f>IF(P$6=0,0,P$6/AGR_fec!P$6)</f>
        <v>0.4727915306906077</v>
      </c>
      <c r="Q45" s="250">
        <f>IF(Q$6=0,0,Q$6/AGR_fec!Q$6)</f>
        <v>0.4727915306906077</v>
      </c>
      <c r="R45" s="250">
        <f>IF(R$6=0,0,R$6/AGR_fec!R$6)</f>
        <v>0.47279153069060775</v>
      </c>
      <c r="S45" s="250">
        <f>IF(S$6=0,0,S$6/AGR_fec!S$6)</f>
        <v>0.4727915306906077</v>
      </c>
      <c r="T45" s="250">
        <f>IF(T$6=0,0,T$6/AGR_fec!T$6)</f>
        <v>0.4727915306906077</v>
      </c>
      <c r="U45" s="250">
        <f>IF(U$6=0,0,U$6/AGR_fec!U$6)</f>
        <v>0.47279153069060775</v>
      </c>
      <c r="V45" s="250">
        <f>IF(V$6=0,0,V$6/AGR_fec!V$6)</f>
        <v>0.47279153069060775</v>
      </c>
      <c r="W45" s="250">
        <f>IF(W$6=0,0,W$6/AGR_fec!W$6)</f>
        <v>0.4727915306906077</v>
      </c>
      <c r="X45" s="250">
        <f>IF(X$6=0,0,X$6/AGR_fec!X$6)</f>
        <v>0.47279153069060775</v>
      </c>
      <c r="Y45" s="250">
        <f>IF(Y$6=0,0,Y$6/AGR_fec!Y$6)</f>
        <v>0.4727915306906077</v>
      </c>
      <c r="DA45" s="287"/>
    </row>
    <row r="46" spans="1:105" x14ac:dyDescent="0.25">
      <c r="A46" s="240" t="s">
        <v>124</v>
      </c>
      <c r="B46" s="251">
        <f>IF(B$7=0,0,B$7/AGR_fec!B$7)</f>
        <v>0.46883327922590873</v>
      </c>
      <c r="C46" s="251">
        <f>IF(C$7=0,0,C$7/AGR_fec!C$7)</f>
        <v>0.46883327922590873</v>
      </c>
      <c r="D46" s="251">
        <f>IF(D$7=0,0,D$7/AGR_fec!D$7)</f>
        <v>0.46883327922590873</v>
      </c>
      <c r="E46" s="251">
        <f>IF(E$7=0,0,E$7/AGR_fec!E$7)</f>
        <v>0.46883327922590867</v>
      </c>
      <c r="F46" s="251">
        <f>IF(F$7=0,0,F$7/AGR_fec!F$7)</f>
        <v>0.46883327922590862</v>
      </c>
      <c r="G46" s="251">
        <f>IF(G$7=0,0,G$7/AGR_fec!G$7)</f>
        <v>0.46883327922590867</v>
      </c>
      <c r="H46" s="251">
        <f>IF(H$7=0,0,H$7/AGR_fec!H$7)</f>
        <v>0.46883327922590878</v>
      </c>
      <c r="I46" s="251">
        <f>IF(I$7=0,0,I$7/AGR_fec!I$7)</f>
        <v>0.46883327922590873</v>
      </c>
      <c r="J46" s="251">
        <f>IF(J$7=0,0,J$7/AGR_fec!J$7)</f>
        <v>0.46883327922590862</v>
      </c>
      <c r="K46" s="251">
        <f>IF(K$7=0,0,K$7/AGR_fec!K$7)</f>
        <v>0.46883327922590884</v>
      </c>
      <c r="L46" s="251">
        <f>IF(L$7=0,0,L$7/AGR_fec!L$7)</f>
        <v>0.46883327922590873</v>
      </c>
      <c r="M46" s="251">
        <f>IF(M$7=0,0,M$7/AGR_fec!M$7)</f>
        <v>0.46883327922590884</v>
      </c>
      <c r="N46" s="251">
        <f>IF(N$7=0,0,N$7/AGR_fec!N$7)</f>
        <v>0.46883327922590867</v>
      </c>
      <c r="O46" s="251">
        <f>IF(O$7=0,0,O$7/AGR_fec!O$7)</f>
        <v>0.46883327922590884</v>
      </c>
      <c r="P46" s="251">
        <f>IF(P$7=0,0,P$7/AGR_fec!P$7)</f>
        <v>0.46883327922590862</v>
      </c>
      <c r="Q46" s="251">
        <f>IF(Q$7=0,0,Q$7/AGR_fec!Q$7)</f>
        <v>0.46883327922590873</v>
      </c>
      <c r="R46" s="251">
        <f>IF(R$7=0,0,R$7/AGR_fec!R$7)</f>
        <v>0.46883327922590856</v>
      </c>
      <c r="S46" s="251">
        <f>IF(S$7=0,0,S$7/AGR_fec!S$7)</f>
        <v>0.46883327922590873</v>
      </c>
      <c r="T46" s="251">
        <f>IF(T$7=0,0,T$7/AGR_fec!T$7)</f>
        <v>0.46883327922590862</v>
      </c>
      <c r="U46" s="251">
        <f>IF(U$7=0,0,U$7/AGR_fec!U$7)</f>
        <v>0.46883327922590862</v>
      </c>
      <c r="V46" s="251">
        <f>IF(V$7=0,0,V$7/AGR_fec!V$7)</f>
        <v>0.46883327922590862</v>
      </c>
      <c r="W46" s="251">
        <f>IF(W$7=0,0,W$7/AGR_fec!W$7)</f>
        <v>0.46883327922590867</v>
      </c>
      <c r="X46" s="251">
        <f>IF(X$7=0,0,X$7/AGR_fec!X$7)</f>
        <v>0.46883327922590862</v>
      </c>
      <c r="Y46" s="251">
        <f>IF(Y$7=0,0,Y$7/AGR_fec!Y$7)</f>
        <v>0.46883327922590878</v>
      </c>
      <c r="DA46" s="288"/>
    </row>
    <row r="47" spans="1:105" x14ac:dyDescent="0.25">
      <c r="A47" s="240" t="s">
        <v>123</v>
      </c>
      <c r="B47" s="251">
        <f>IF(B$8=0,0,B$8/AGR_fec!B$8)</f>
        <v>0.67288043630589411</v>
      </c>
      <c r="C47" s="251">
        <f>IF(C$8=0,0,C$8/AGR_fec!C$8)</f>
        <v>0.67288043630589411</v>
      </c>
      <c r="D47" s="251">
        <f>IF(D$8=0,0,D$8/AGR_fec!D$8)</f>
        <v>0.67288043630589423</v>
      </c>
      <c r="E47" s="251">
        <f>IF(E$8=0,0,E$8/AGR_fec!E$8)</f>
        <v>0.67288043630589423</v>
      </c>
      <c r="F47" s="251">
        <f>IF(F$8=0,0,F$8/AGR_fec!F$8)</f>
        <v>0.67288043630589423</v>
      </c>
      <c r="G47" s="251">
        <f>IF(G$8=0,0,G$8/AGR_fec!G$8)</f>
        <v>0.67288043630589423</v>
      </c>
      <c r="H47" s="251">
        <f>IF(H$8=0,0,H$8/AGR_fec!H$8)</f>
        <v>0.67288043630589423</v>
      </c>
      <c r="I47" s="251">
        <f>IF(I$8=0,0,I$8/AGR_fec!I$8)</f>
        <v>0.67288043630589423</v>
      </c>
      <c r="J47" s="251">
        <f>IF(J$8=0,0,J$8/AGR_fec!J$8)</f>
        <v>0.67288043630589423</v>
      </c>
      <c r="K47" s="251">
        <f>IF(K$8=0,0,K$8/AGR_fec!K$8)</f>
        <v>0.67288043630589411</v>
      </c>
      <c r="L47" s="251">
        <f>IF(L$8=0,0,L$8/AGR_fec!L$8)</f>
        <v>0.67288043630589423</v>
      </c>
      <c r="M47" s="251">
        <f>IF(M$8=0,0,M$8/AGR_fec!M$8)</f>
        <v>0.672880436305894</v>
      </c>
      <c r="N47" s="251">
        <f>IF(N$8=0,0,N$8/AGR_fec!N$8)</f>
        <v>0.67288043630589434</v>
      </c>
      <c r="O47" s="251">
        <f>IF(O$8=0,0,O$8/AGR_fec!O$8)</f>
        <v>0.67288043630589411</v>
      </c>
      <c r="P47" s="251">
        <f>IF(P$8=0,0,P$8/AGR_fec!P$8)</f>
        <v>0.67288043630589411</v>
      </c>
      <c r="Q47" s="251">
        <f>IF(Q$8=0,0,Q$8/AGR_fec!Q$8)</f>
        <v>0.67288043630589434</v>
      </c>
      <c r="R47" s="251">
        <f>IF(R$8=0,0,R$8/AGR_fec!R$8)</f>
        <v>0.67288043630589434</v>
      </c>
      <c r="S47" s="251">
        <f>IF(S$8=0,0,S$8/AGR_fec!S$8)</f>
        <v>0.67288043630589411</v>
      </c>
      <c r="T47" s="251">
        <f>IF(T$8=0,0,T$8/AGR_fec!T$8)</f>
        <v>0.67288043630589423</v>
      </c>
      <c r="U47" s="251">
        <f>IF(U$8=0,0,U$8/AGR_fec!U$8)</f>
        <v>0.67288043630589423</v>
      </c>
      <c r="V47" s="251">
        <f>IF(V$8=0,0,V$8/AGR_fec!V$8)</f>
        <v>0.67288043630589434</v>
      </c>
      <c r="W47" s="251">
        <f>IF(W$8=0,0,W$8/AGR_fec!W$8)</f>
        <v>0.67288043630589411</v>
      </c>
      <c r="X47" s="251">
        <f>IF(X$8=0,0,X$8/AGR_fec!X$8)</f>
        <v>0.672880436305894</v>
      </c>
      <c r="Y47" s="251">
        <f>IF(Y$8=0,0,Y$8/AGR_fec!Y$8)</f>
        <v>0.67288043630589411</v>
      </c>
      <c r="DA47" s="288"/>
    </row>
    <row r="48" spans="1:105" x14ac:dyDescent="0.25">
      <c r="A48" s="242" t="s">
        <v>122</v>
      </c>
      <c r="B48" s="252">
        <f>IF(B$9=0,0,B$9/AGR_fec!B$9)</f>
        <v>0.63626037696596416</v>
      </c>
      <c r="C48" s="252">
        <f>IF(C$9=0,0,C$9/AGR_fec!C$9)</f>
        <v>0.63454522215078979</v>
      </c>
      <c r="D48" s="252">
        <f>IF(D$9=0,0,D$9/AGR_fec!D$9)</f>
        <v>0.63520536789939064</v>
      </c>
      <c r="E48" s="252">
        <f>IF(E$9=0,0,E$9/AGR_fec!E$9)</f>
        <v>0.63454312700579318</v>
      </c>
      <c r="F48" s="252">
        <f>IF(F$9=0,0,F$9/AGR_fec!F$9)</f>
        <v>0.63520417333067236</v>
      </c>
      <c r="G48" s="252">
        <f>IF(G$9=0,0,G$9/AGR_fec!G$9)</f>
        <v>0.63634796072694544</v>
      </c>
      <c r="H48" s="252">
        <f>IF(H$9=0,0,H$9/AGR_fec!H$9)</f>
        <v>0.63644076763858337</v>
      </c>
      <c r="I48" s="252">
        <f>IF(I$9=0,0,I$9/AGR_fec!I$9)</f>
        <v>0.64173104564998751</v>
      </c>
      <c r="J48" s="252">
        <f>IF(J$9=0,0,J$9/AGR_fec!J$9)</f>
        <v>0.64018366086797984</v>
      </c>
      <c r="K48" s="252">
        <f>IF(K$9=0,0,K$9/AGR_fec!K$9)</f>
        <v>0.6465882290954188</v>
      </c>
      <c r="L48" s="252">
        <f>IF(L$9=0,0,L$9/AGR_fec!L$9)</f>
        <v>0.65073228641358416</v>
      </c>
      <c r="M48" s="252">
        <f>IF(M$9=0,0,M$9/AGR_fec!M$9)</f>
        <v>0.65512469448314881</v>
      </c>
      <c r="N48" s="252">
        <f>IF(N$9=0,0,N$9/AGR_fec!N$9)</f>
        <v>0.65326185598061437</v>
      </c>
      <c r="O48" s="252">
        <f>IF(O$9=0,0,O$9/AGR_fec!O$9)</f>
        <v>0.64325946695980341</v>
      </c>
      <c r="P48" s="252">
        <f>IF(P$9=0,0,P$9/AGR_fec!P$9)</f>
        <v>0.65985637528984664</v>
      </c>
      <c r="Q48" s="252">
        <f>IF(Q$9=0,0,Q$9/AGR_fec!Q$9)</f>
        <v>0.65542057824535382</v>
      </c>
      <c r="R48" s="252">
        <f>IF(R$9=0,0,R$9/AGR_fec!R$9)</f>
        <v>0.65546143947819768</v>
      </c>
      <c r="S48" s="252">
        <f>IF(S$9=0,0,S$9/AGR_fec!S$9)</f>
        <v>0.65238226706478153</v>
      </c>
      <c r="T48" s="252">
        <f>IF(T$9=0,0,T$9/AGR_fec!T$9)</f>
        <v>0.65154270911609757</v>
      </c>
      <c r="U48" s="252">
        <f>IF(U$9=0,0,U$9/AGR_fec!U$9)</f>
        <v>0.65104919419349316</v>
      </c>
      <c r="V48" s="252">
        <f>IF(V$9=0,0,V$9/AGR_fec!V$9)</f>
        <v>0.64748060195661972</v>
      </c>
      <c r="W48" s="252">
        <f>IF(W$9=0,0,W$9/AGR_fec!W$9)</f>
        <v>0.65059163607777692</v>
      </c>
      <c r="X48" s="252">
        <f>IF(X$9=0,0,X$9/AGR_fec!X$9)</f>
        <v>0.64769402646043506</v>
      </c>
      <c r="Y48" s="252">
        <f>IF(Y$9=0,0,Y$9/AGR_fec!Y$9)</f>
        <v>0.64834132950764889</v>
      </c>
      <c r="DA48" s="289"/>
    </row>
    <row r="49" spans="1:105" x14ac:dyDescent="0.25">
      <c r="A49" s="127" t="s">
        <v>168</v>
      </c>
      <c r="B49" s="264">
        <f>IF(B$16=0,0,B$16/AGR_fec!B$16)</f>
        <v>0.33832002649056175</v>
      </c>
      <c r="C49" s="264">
        <f>IF(C$16=0,0,C$16/AGR_fec!C$16)</f>
        <v>0.33832002649056164</v>
      </c>
      <c r="D49" s="264">
        <f>IF(D$16=0,0,D$16/AGR_fec!D$16)</f>
        <v>0.33832002649056164</v>
      </c>
      <c r="E49" s="264">
        <f>IF(E$16=0,0,E$16/AGR_fec!E$16)</f>
        <v>0.33832002649056175</v>
      </c>
      <c r="F49" s="264">
        <f>IF(F$16=0,0,F$16/AGR_fec!F$16)</f>
        <v>0.33832002649056175</v>
      </c>
      <c r="G49" s="264">
        <f>IF(G$16=0,0,G$16/AGR_fec!G$16)</f>
        <v>0.3383200264905617</v>
      </c>
      <c r="H49" s="264">
        <f>IF(H$16=0,0,H$16/AGR_fec!H$16)</f>
        <v>0.3383200264905617</v>
      </c>
      <c r="I49" s="264">
        <f>IF(I$16=0,0,I$16/AGR_fec!I$16)</f>
        <v>0.33832002649056164</v>
      </c>
      <c r="J49" s="264">
        <f>IF(J$16=0,0,J$16/AGR_fec!J$16)</f>
        <v>0.3383200264905617</v>
      </c>
      <c r="K49" s="264">
        <f>IF(K$16=0,0,K$16/AGR_fec!K$16)</f>
        <v>0.3383200264905617</v>
      </c>
      <c r="L49" s="264">
        <f>IF(L$16=0,0,L$16/AGR_fec!L$16)</f>
        <v>0.33832002649056164</v>
      </c>
      <c r="M49" s="264">
        <f>IF(M$16=0,0,M$16/AGR_fec!M$16)</f>
        <v>0.3383200264905617</v>
      </c>
      <c r="N49" s="264">
        <f>IF(N$16=0,0,N$16/AGR_fec!N$16)</f>
        <v>0.3383200264905617</v>
      </c>
      <c r="O49" s="264">
        <f>IF(O$16=0,0,O$16/AGR_fec!O$16)</f>
        <v>0.33832002649056164</v>
      </c>
      <c r="P49" s="264">
        <f>IF(P$16=0,0,P$16/AGR_fec!P$16)</f>
        <v>0.3383200264905617</v>
      </c>
      <c r="Q49" s="264">
        <f>IF(Q$16=0,0,Q$16/AGR_fec!Q$16)</f>
        <v>0.33832002649056175</v>
      </c>
      <c r="R49" s="264">
        <f>IF(R$16=0,0,R$16/AGR_fec!R$16)</f>
        <v>0.33832002649056164</v>
      </c>
      <c r="S49" s="264">
        <f>IF(S$16=0,0,S$16/AGR_fec!S$16)</f>
        <v>0.33832002649056164</v>
      </c>
      <c r="T49" s="264">
        <f>IF(T$16=0,0,T$16/AGR_fec!T$16)</f>
        <v>0.3383200264905617</v>
      </c>
      <c r="U49" s="264">
        <f>IF(U$16=0,0,U$16/AGR_fec!U$16)</f>
        <v>0.33832002649056175</v>
      </c>
      <c r="V49" s="264">
        <f>IF(V$16=0,0,V$16/AGR_fec!V$16)</f>
        <v>0.3383200264905617</v>
      </c>
      <c r="W49" s="264">
        <f>IF(W$16=0,0,W$16/AGR_fec!W$16)</f>
        <v>0.33832002649056175</v>
      </c>
      <c r="X49" s="264">
        <f>IF(X$16=0,0,X$16/AGR_fec!X$16)</f>
        <v>0.33832002649056164</v>
      </c>
      <c r="Y49" s="264">
        <f>IF(Y$16=0,0,Y$16/AGR_fec!Y$16)</f>
        <v>0.33832002649056175</v>
      </c>
      <c r="DA49" s="290"/>
    </row>
    <row r="50" spans="1:105" x14ac:dyDescent="0.25">
      <c r="A50" s="127" t="s">
        <v>121</v>
      </c>
      <c r="B50" s="264">
        <f>IF(B$17=0,0,B$17/AGR_fec!B$17)</f>
        <v>0.27784871614967177</v>
      </c>
      <c r="C50" s="264">
        <f>IF(C$17=0,0,C$17/AGR_fec!C$17)</f>
        <v>0.27722299117725957</v>
      </c>
      <c r="D50" s="264">
        <f>IF(D$17=0,0,D$17/AGR_fec!D$17)</f>
        <v>0.27751442770810691</v>
      </c>
      <c r="E50" s="264">
        <f>IF(E$17=0,0,E$17/AGR_fec!E$17)</f>
        <v>0.27190911616977009</v>
      </c>
      <c r="F50" s="264">
        <f>IF(F$17=0,0,F$17/AGR_fec!F$17)</f>
        <v>0.27202779089559515</v>
      </c>
      <c r="G50" s="264">
        <f>IF(G$17=0,0,G$17/AGR_fec!G$17)</f>
        <v>0.27282341939355875</v>
      </c>
      <c r="H50" s="264">
        <f>IF(H$17=0,0,H$17/AGR_fec!H$17)</f>
        <v>0.2732201702836885</v>
      </c>
      <c r="I50" s="264">
        <f>IF(I$17=0,0,I$17/AGR_fec!I$17)</f>
        <v>0.27423462875884036</v>
      </c>
      <c r="J50" s="264">
        <f>IF(J$17=0,0,J$17/AGR_fec!J$17)</f>
        <v>0.27465774164910833</v>
      </c>
      <c r="K50" s="264">
        <f>IF(K$17=0,0,K$17/AGR_fec!K$17)</f>
        <v>0.27621602518996008</v>
      </c>
      <c r="L50" s="264">
        <f>IF(L$17=0,0,L$17/AGR_fec!L$17)</f>
        <v>0.27713156261204053</v>
      </c>
      <c r="M50" s="264">
        <f>IF(M$17=0,0,M$17/AGR_fec!M$17)</f>
        <v>0.27902623578999175</v>
      </c>
      <c r="N50" s="264">
        <f>IF(N$17=0,0,N$17/AGR_fec!N$17)</f>
        <v>0.27883122518807707</v>
      </c>
      <c r="O50" s="264">
        <f>IF(O$17=0,0,O$17/AGR_fec!O$17)</f>
        <v>0.27910472557104116</v>
      </c>
      <c r="P50" s="264">
        <f>IF(P$17=0,0,P$17/AGR_fec!P$17)</f>
        <v>0.28090994950339243</v>
      </c>
      <c r="Q50" s="264">
        <f>IF(Q$17=0,0,Q$17/AGR_fec!Q$17)</f>
        <v>0.28068379949628958</v>
      </c>
      <c r="R50" s="264">
        <f>IF(R$17=0,0,R$17/AGR_fec!R$17)</f>
        <v>0.28135557045677401</v>
      </c>
      <c r="S50" s="264">
        <f>IF(S$17=0,0,S$17/AGR_fec!S$17)</f>
        <v>0.28086694028121933</v>
      </c>
      <c r="T50" s="264">
        <f>IF(T$17=0,0,T$17/AGR_fec!T$17)</f>
        <v>0.280032208944685</v>
      </c>
      <c r="U50" s="264">
        <f>IF(U$17=0,0,U$17/AGR_fec!U$17)</f>
        <v>0.27996049958346303</v>
      </c>
      <c r="V50" s="264">
        <f>IF(V$17=0,0,V$17/AGR_fec!V$17)</f>
        <v>0.27997575943613384</v>
      </c>
      <c r="W50" s="264">
        <f>IF(W$17=0,0,W$17/AGR_fec!W$17)</f>
        <v>0.27936333336089331</v>
      </c>
      <c r="X50" s="264">
        <f>IF(X$17=0,0,X$17/AGR_fec!X$17)</f>
        <v>0.28039848575718063</v>
      </c>
      <c r="Y50" s="264">
        <f>IF(Y$17=0,0,Y$17/AGR_fec!Y$17)</f>
        <v>0.28040797948025986</v>
      </c>
      <c r="DA50" s="290"/>
    </row>
    <row r="51" spans="1:105" x14ac:dyDescent="0.25">
      <c r="A51" s="127" t="s">
        <v>167</v>
      </c>
      <c r="B51" s="264">
        <f>IF(B$25=0,0,B$25/AGR_fec!B$25)</f>
        <v>0.23682401854339324</v>
      </c>
      <c r="C51" s="264">
        <f>IF(C$25=0,0,C$25/AGR_fec!C$25)</f>
        <v>0.23682401854339324</v>
      </c>
      <c r="D51" s="264">
        <f>IF(D$25=0,0,D$25/AGR_fec!D$25)</f>
        <v>0.23682401854339319</v>
      </c>
      <c r="E51" s="264">
        <f>IF(E$25=0,0,E$25/AGR_fec!E$25)</f>
        <v>0.23682401854339322</v>
      </c>
      <c r="F51" s="264">
        <f>IF(F$25=0,0,F$25/AGR_fec!F$25)</f>
        <v>0.23682401854339313</v>
      </c>
      <c r="G51" s="264">
        <f>IF(G$25=0,0,G$25/AGR_fec!G$25)</f>
        <v>0.23682401854339313</v>
      </c>
      <c r="H51" s="264">
        <f>IF(H$25=0,0,H$25/AGR_fec!H$25)</f>
        <v>0.23682401854339319</v>
      </c>
      <c r="I51" s="264">
        <f>IF(I$25=0,0,I$25/AGR_fec!I$25)</f>
        <v>0.23682401854339313</v>
      </c>
      <c r="J51" s="264">
        <f>IF(J$25=0,0,J$25/AGR_fec!J$25)</f>
        <v>0.23682401854339313</v>
      </c>
      <c r="K51" s="264">
        <f>IF(K$25=0,0,K$25/AGR_fec!K$25)</f>
        <v>0.23682401854339319</v>
      </c>
      <c r="L51" s="264">
        <f>IF(L$25=0,0,L$25/AGR_fec!L$25)</f>
        <v>0.23682401854339308</v>
      </c>
      <c r="M51" s="264">
        <f>IF(M$25=0,0,M$25/AGR_fec!M$25)</f>
        <v>0.23682401854339311</v>
      </c>
      <c r="N51" s="264">
        <f>IF(N$25=0,0,N$25/AGR_fec!N$25)</f>
        <v>0.23682401854339316</v>
      </c>
      <c r="O51" s="264">
        <f>IF(O$25=0,0,O$25/AGR_fec!O$25)</f>
        <v>0.23682401854339316</v>
      </c>
      <c r="P51" s="264">
        <f>IF(P$25=0,0,P$25/AGR_fec!P$25)</f>
        <v>0.23682401854339322</v>
      </c>
      <c r="Q51" s="264">
        <f>IF(Q$25=0,0,Q$25/AGR_fec!Q$25)</f>
        <v>0.23682401854339313</v>
      </c>
      <c r="R51" s="264">
        <f>IF(R$25=0,0,R$25/AGR_fec!R$25)</f>
        <v>0.23682401854339313</v>
      </c>
      <c r="S51" s="264">
        <f>IF(S$25=0,0,S$25/AGR_fec!S$25)</f>
        <v>0.23682401854339319</v>
      </c>
      <c r="T51" s="264">
        <f>IF(T$25=0,0,T$25/AGR_fec!T$25)</f>
        <v>0.23682401854339333</v>
      </c>
      <c r="U51" s="264">
        <f>IF(U$25=0,0,U$25/AGR_fec!U$25)</f>
        <v>0.23682401854339311</v>
      </c>
      <c r="V51" s="264">
        <f>IF(V$25=0,0,V$25/AGR_fec!V$25)</f>
        <v>0.23682401854339311</v>
      </c>
      <c r="W51" s="264">
        <f>IF(W$25=0,0,W$25/AGR_fec!W$25)</f>
        <v>0.23682401854339322</v>
      </c>
      <c r="X51" s="264">
        <f>IF(X$25=0,0,X$25/AGR_fec!X$25)</f>
        <v>0.23682401854339322</v>
      </c>
      <c r="Y51" s="264">
        <f>IF(Y$25=0,0,Y$25/AGR_fec!Y$25)</f>
        <v>0.23682401854339311</v>
      </c>
      <c r="DA51" s="290"/>
    </row>
    <row r="52" spans="1:105" x14ac:dyDescent="0.25">
      <c r="A52" s="127" t="s">
        <v>170</v>
      </c>
      <c r="B52" s="264">
        <f>IF(B$26=0,0,B$26/AGR_fec!B$26)</f>
        <v>0.46883327922590856</v>
      </c>
      <c r="C52" s="264">
        <f>IF(C$26=0,0,C$26/AGR_fec!C$26)</f>
        <v>0.46883327922590867</v>
      </c>
      <c r="D52" s="264">
        <f>IF(D$26=0,0,D$26/AGR_fec!D$26)</f>
        <v>0.46883327922590867</v>
      </c>
      <c r="E52" s="264">
        <f>IF(E$26=0,0,E$26/AGR_fec!E$26)</f>
        <v>0.46883327922590873</v>
      </c>
      <c r="F52" s="264">
        <f>IF(F$26=0,0,F$26/AGR_fec!F$26)</f>
        <v>0.46883327922590867</v>
      </c>
      <c r="G52" s="264">
        <f>IF(G$26=0,0,G$26/AGR_fec!G$26)</f>
        <v>0.46883327922590867</v>
      </c>
      <c r="H52" s="264">
        <f>IF(H$26=0,0,H$26/AGR_fec!H$26)</f>
        <v>0.46883327922590878</v>
      </c>
      <c r="I52" s="264">
        <f>IF(I$26=0,0,I$26/AGR_fec!I$26)</f>
        <v>0.46883327922590862</v>
      </c>
      <c r="J52" s="264">
        <f>IF(J$26=0,0,J$26/AGR_fec!J$26)</f>
        <v>0.46883327922590867</v>
      </c>
      <c r="K52" s="264">
        <f>IF(K$26=0,0,K$26/AGR_fec!K$26)</f>
        <v>0.46883327922590867</v>
      </c>
      <c r="L52" s="264">
        <f>IF(L$26=0,0,L$26/AGR_fec!L$26)</f>
        <v>0.46883327922590867</v>
      </c>
      <c r="M52" s="264">
        <f>IF(M$26=0,0,M$26/AGR_fec!M$26)</f>
        <v>0.46883327922590867</v>
      </c>
      <c r="N52" s="264">
        <f>IF(N$26=0,0,N$26/AGR_fec!N$26)</f>
        <v>0.46883327922590856</v>
      </c>
      <c r="O52" s="264">
        <f>IF(O$26=0,0,O$26/AGR_fec!O$26)</f>
        <v>0.46883327922590867</v>
      </c>
      <c r="P52" s="264">
        <f>IF(P$26=0,0,P$26/AGR_fec!P$26)</f>
        <v>0.46883327922590873</v>
      </c>
      <c r="Q52" s="264">
        <f>IF(Q$26=0,0,Q$26/AGR_fec!Q$26)</f>
        <v>0.46883327922590867</v>
      </c>
      <c r="R52" s="264">
        <f>IF(R$26=0,0,R$26/AGR_fec!R$26)</f>
        <v>0.46883327922590867</v>
      </c>
      <c r="S52" s="264">
        <f>IF(S$26=0,0,S$26/AGR_fec!S$26)</f>
        <v>0.46883327922590862</v>
      </c>
      <c r="T52" s="264">
        <f>IF(T$26=0,0,T$26/AGR_fec!T$26)</f>
        <v>0.46883327922590873</v>
      </c>
      <c r="U52" s="264">
        <f>IF(U$26=0,0,U$26/AGR_fec!U$26)</f>
        <v>0.46883327922590878</v>
      </c>
      <c r="V52" s="264">
        <f>IF(V$26=0,0,V$26/AGR_fec!V$26)</f>
        <v>0.46883327922590867</v>
      </c>
      <c r="W52" s="264">
        <f>IF(W$26=0,0,W$26/AGR_fec!W$26)</f>
        <v>0.46883327922590867</v>
      </c>
      <c r="X52" s="264">
        <f>IF(X$26=0,0,X$26/AGR_fec!X$26)</f>
        <v>0.46883327922590856</v>
      </c>
      <c r="Y52" s="264">
        <f>IF(Y$26=0,0,Y$26/AGR_fec!Y$26)</f>
        <v>0.46883327922590867</v>
      </c>
      <c r="DA52" s="290"/>
    </row>
    <row r="53" spans="1:105" x14ac:dyDescent="0.25">
      <c r="A53" s="260" t="s">
        <v>33</v>
      </c>
      <c r="B53" s="265">
        <f>IF(B$27=0,0,B$27/AGR_fec!B$27)</f>
        <v>0.49278087849554175</v>
      </c>
      <c r="C53" s="265">
        <f>IF(C$27=0,0,C$27/AGR_fec!C$27)</f>
        <v>0.49278087849554147</v>
      </c>
      <c r="D53" s="265">
        <f>IF(D$27=0,0,D$27/AGR_fec!D$27)</f>
        <v>0.49278087849554147</v>
      </c>
      <c r="E53" s="265">
        <f>IF(E$27=0,0,E$27/AGR_fec!E$27)</f>
        <v>0.49278087849554136</v>
      </c>
      <c r="F53" s="265">
        <f>IF(F$27=0,0,F$27/AGR_fec!F$27)</f>
        <v>0.4927808784955417</v>
      </c>
      <c r="G53" s="265">
        <f>IF(G$27=0,0,G$27/AGR_fec!G$27)</f>
        <v>0.49278087849554153</v>
      </c>
      <c r="H53" s="265">
        <f>IF(H$27=0,0,H$27/AGR_fec!H$27)</f>
        <v>0.49278087849554142</v>
      </c>
      <c r="I53" s="265">
        <f>IF(I$27=0,0,I$27/AGR_fec!I$27)</f>
        <v>0.49278087849554153</v>
      </c>
      <c r="J53" s="265">
        <f>IF(J$27=0,0,J$27/AGR_fec!J$27)</f>
        <v>0.4927808784955417</v>
      </c>
      <c r="K53" s="265">
        <f>IF(K$27=0,0,K$27/AGR_fec!K$27)</f>
        <v>0.49278087849554164</v>
      </c>
      <c r="L53" s="265">
        <f>IF(L$27=0,0,L$27/AGR_fec!L$27)</f>
        <v>0.49278087849554159</v>
      </c>
      <c r="M53" s="265">
        <f>IF(M$27=0,0,M$27/AGR_fec!M$27)</f>
        <v>0.4927808784955417</v>
      </c>
      <c r="N53" s="265">
        <f>IF(N$27=0,0,N$27/AGR_fec!N$27)</f>
        <v>0.4927808784955417</v>
      </c>
      <c r="O53" s="265">
        <f>IF(O$27=0,0,O$27/AGR_fec!O$27)</f>
        <v>0.49278087849554175</v>
      </c>
      <c r="P53" s="265">
        <f>IF(P$27=0,0,P$27/AGR_fec!P$27)</f>
        <v>0.4927808784955417</v>
      </c>
      <c r="Q53" s="265">
        <f>IF(Q$27=0,0,Q$27/AGR_fec!Q$27)</f>
        <v>0.4927808784955417</v>
      </c>
      <c r="R53" s="265">
        <f>IF(R$27=0,0,R$27/AGR_fec!R$27)</f>
        <v>0.4927808784955417</v>
      </c>
      <c r="S53" s="265">
        <f>IF(S$27=0,0,S$27/AGR_fec!S$27)</f>
        <v>0.49278087849554136</v>
      </c>
      <c r="T53" s="265">
        <f>IF(T$27=0,0,T$27/AGR_fec!T$27)</f>
        <v>0.49278087849554153</v>
      </c>
      <c r="U53" s="265">
        <f>IF(U$27=0,0,U$27/AGR_fec!U$27)</f>
        <v>0.49278087849554181</v>
      </c>
      <c r="V53" s="265">
        <f>IF(V$27=0,0,V$27/AGR_fec!V$27)</f>
        <v>0.49278087849554181</v>
      </c>
      <c r="W53" s="265">
        <f>IF(W$27=0,0,W$27/AGR_fec!W$27)</f>
        <v>0.49278087849554164</v>
      </c>
      <c r="X53" s="265">
        <f>IF(X$27=0,0,X$27/AGR_fec!X$27)</f>
        <v>0.49278087849554147</v>
      </c>
      <c r="Y53" s="265">
        <f>IF(Y$27=0,0,Y$27/AGR_fec!Y$27)</f>
        <v>0.4927808784955417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8855.469810259332</v>
      </c>
      <c r="C5" s="80">
        <f t="shared" ref="C5:W5" si="0">SUM(C6:C9,C16:C17,C25:C27)</f>
        <v>10007.239008356672</v>
      </c>
      <c r="D5" s="80">
        <f t="shared" si="0"/>
        <v>9036.4669716249209</v>
      </c>
      <c r="E5" s="80">
        <f t="shared" si="0"/>
        <v>9755.1216440200824</v>
      </c>
      <c r="F5" s="80">
        <f t="shared" si="0"/>
        <v>9027.4381500886066</v>
      </c>
      <c r="G5" s="80">
        <f t="shared" si="0"/>
        <v>9106.596432600265</v>
      </c>
      <c r="H5" s="80">
        <f t="shared" si="0"/>
        <v>9272.3446299772295</v>
      </c>
      <c r="I5" s="80">
        <f t="shared" si="0"/>
        <v>6546.1241932541079</v>
      </c>
      <c r="J5" s="80">
        <f t="shared" si="0"/>
        <v>8356.0773028775893</v>
      </c>
      <c r="K5" s="80">
        <f t="shared" si="0"/>
        <v>7919.9928253962935</v>
      </c>
      <c r="L5" s="80">
        <f t="shared" si="0"/>
        <v>8190.9346570049038</v>
      </c>
      <c r="M5" s="80">
        <f t="shared" si="0"/>
        <v>7692.5021255295187</v>
      </c>
      <c r="N5" s="80">
        <f t="shared" si="0"/>
        <v>7818.8013504006431</v>
      </c>
      <c r="O5" s="80">
        <f t="shared" si="0"/>
        <v>8259.677430386273</v>
      </c>
      <c r="P5" s="80">
        <f t="shared" si="0"/>
        <v>7726.0654492510894</v>
      </c>
      <c r="Q5" s="80">
        <f t="shared" si="0"/>
        <v>7396.652492111939</v>
      </c>
      <c r="R5" s="80">
        <f t="shared" si="0"/>
        <v>7483.6214174060951</v>
      </c>
      <c r="S5" s="80">
        <f t="shared" si="0"/>
        <v>7121.5004352143369</v>
      </c>
      <c r="T5" s="80">
        <f t="shared" si="0"/>
        <v>7290.2810694579384</v>
      </c>
      <c r="U5" s="80">
        <f t="shared" si="0"/>
        <v>7276.615750438963</v>
      </c>
      <c r="V5" s="80">
        <f t="shared" si="0"/>
        <v>7250.0787727181205</v>
      </c>
      <c r="W5" s="80">
        <f t="shared" si="0"/>
        <v>7389.9076141960677</v>
      </c>
      <c r="X5" s="80">
        <f t="shared" ref="X5:Y5" si="1">SUM(X6:X9,X16:X17,X25:X27)</f>
        <v>7606.9072047028094</v>
      </c>
      <c r="Y5" s="80">
        <f t="shared" si="1"/>
        <v>7494.3224612707172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1811.1306847365297</v>
      </c>
      <c r="C9" s="243">
        <f t="shared" ref="C9:W9" si="2">SUM(C10:C15)</f>
        <v>2050.1537469537752</v>
      </c>
      <c r="D9" s="243">
        <f t="shared" si="2"/>
        <v>1852.7762253566425</v>
      </c>
      <c r="E9" s="243">
        <f t="shared" si="2"/>
        <v>1972.2947475928145</v>
      </c>
      <c r="F9" s="243">
        <f t="shared" si="2"/>
        <v>1824.7513124735831</v>
      </c>
      <c r="G9" s="243">
        <f t="shared" si="2"/>
        <v>1806.6744035010181</v>
      </c>
      <c r="H9" s="243">
        <f t="shared" si="2"/>
        <v>1856.3115029530736</v>
      </c>
      <c r="I9" s="243">
        <f t="shared" si="2"/>
        <v>1249.3865058655856</v>
      </c>
      <c r="J9" s="243">
        <f t="shared" si="2"/>
        <v>1632.947131492396</v>
      </c>
      <c r="K9" s="243">
        <f t="shared" si="2"/>
        <v>1515.5426564910767</v>
      </c>
      <c r="L9" s="243">
        <f t="shared" si="2"/>
        <v>1568.8405012389758</v>
      </c>
      <c r="M9" s="243">
        <f t="shared" si="2"/>
        <v>1441.6240953913809</v>
      </c>
      <c r="N9" s="243">
        <f t="shared" si="2"/>
        <v>1452.3263766221303</v>
      </c>
      <c r="O9" s="243">
        <f t="shared" si="2"/>
        <v>1573.6761639962849</v>
      </c>
      <c r="P9" s="243">
        <f t="shared" si="2"/>
        <v>1381.0680815498069</v>
      </c>
      <c r="Q9" s="243">
        <f t="shared" si="2"/>
        <v>1333.7195584914984</v>
      </c>
      <c r="R9" s="243">
        <f t="shared" si="2"/>
        <v>1334.8044181059774</v>
      </c>
      <c r="S9" s="243">
        <f t="shared" si="2"/>
        <v>1282.8483514165914</v>
      </c>
      <c r="T9" s="243">
        <f t="shared" si="2"/>
        <v>1300.2482481722923</v>
      </c>
      <c r="U9" s="243">
        <f t="shared" si="2"/>
        <v>1300.019523850001</v>
      </c>
      <c r="V9" s="243">
        <f t="shared" si="2"/>
        <v>1317.7087084570069</v>
      </c>
      <c r="W9" s="243">
        <f t="shared" si="2"/>
        <v>1318.7751618475684</v>
      </c>
      <c r="X9" s="243">
        <f t="shared" ref="X9:Y9" si="3">SUM(X10:X15)</f>
        <v>1398.711748241489</v>
      </c>
      <c r="Y9" s="243">
        <f t="shared" si="3"/>
        <v>1379.0413886591234</v>
      </c>
      <c r="DA9" s="269"/>
    </row>
    <row r="10" spans="1:105" x14ac:dyDescent="0.25">
      <c r="A10" s="253" t="s">
        <v>166</v>
      </c>
      <c r="B10" s="254">
        <v>1596.8258791042981</v>
      </c>
      <c r="C10" s="254">
        <v>1854.5073752897611</v>
      </c>
      <c r="D10" s="254">
        <v>1657.544386371613</v>
      </c>
      <c r="E10" s="254">
        <v>1874.827875104547</v>
      </c>
      <c r="F10" s="254">
        <v>1724.675876000942</v>
      </c>
      <c r="G10" s="254">
        <v>1722.5802144777581</v>
      </c>
      <c r="H10" s="254">
        <v>1757.8708146121021</v>
      </c>
      <c r="I10" s="254">
        <v>1186.6856287207511</v>
      </c>
      <c r="J10" s="254">
        <v>1532.3471718351409</v>
      </c>
      <c r="K10" s="254">
        <v>1321.04874319857</v>
      </c>
      <c r="L10" s="254">
        <v>1266.9151576248439</v>
      </c>
      <c r="M10" s="254">
        <v>1086.7521477619989</v>
      </c>
      <c r="N10" s="254">
        <v>1160.8425421399029</v>
      </c>
      <c r="O10" s="254">
        <v>1281.203376933772</v>
      </c>
      <c r="P10" s="254">
        <v>1053.513160261831</v>
      </c>
      <c r="Q10" s="254">
        <v>1049.9302212347859</v>
      </c>
      <c r="R10" s="254">
        <v>1032.893416353983</v>
      </c>
      <c r="S10" s="254">
        <v>1058.1865886308151</v>
      </c>
      <c r="T10" s="254">
        <v>1066.54684198064</v>
      </c>
      <c r="U10" s="254">
        <v>1063.3238729364721</v>
      </c>
      <c r="V10" s="254">
        <v>1090.342705525348</v>
      </c>
      <c r="W10" s="254">
        <v>1085.050232995545</v>
      </c>
      <c r="X10" s="254">
        <v>1078.858271698557</v>
      </c>
      <c r="Y10" s="254">
        <v>1052.8318183065301</v>
      </c>
      <c r="DA10" s="270" t="s">
        <v>1040</v>
      </c>
    </row>
    <row r="11" spans="1:105" x14ac:dyDescent="0.25">
      <c r="A11" s="253" t="s">
        <v>169</v>
      </c>
      <c r="B11" s="255">
        <v>214.30480563223151</v>
      </c>
      <c r="C11" s="255">
        <v>195.64637166401431</v>
      </c>
      <c r="D11" s="255">
        <v>195.2318389850295</v>
      </c>
      <c r="E11" s="255">
        <v>97.466872488267427</v>
      </c>
      <c r="F11" s="255">
        <v>100.075436472641</v>
      </c>
      <c r="G11" s="255">
        <v>84.094189023260014</v>
      </c>
      <c r="H11" s="255">
        <v>98.440688340971604</v>
      </c>
      <c r="I11" s="255">
        <v>62.700877144834507</v>
      </c>
      <c r="J11" s="255">
        <v>100.5999596572551</v>
      </c>
      <c r="K11" s="255">
        <v>194.4939132925067</v>
      </c>
      <c r="L11" s="255">
        <v>301.92534361413192</v>
      </c>
      <c r="M11" s="255">
        <v>354.87194762938208</v>
      </c>
      <c r="N11" s="255">
        <v>291.48383448222751</v>
      </c>
      <c r="O11" s="255">
        <v>292.47278706251291</v>
      </c>
      <c r="P11" s="255">
        <v>327.5549212879759</v>
      </c>
      <c r="Q11" s="255">
        <v>283.7893372567126</v>
      </c>
      <c r="R11" s="255">
        <v>301.91100175199449</v>
      </c>
      <c r="S11" s="255">
        <v>224.6617627857764</v>
      </c>
      <c r="T11" s="255">
        <v>233.7014061916523</v>
      </c>
      <c r="U11" s="255">
        <v>236.69565091352899</v>
      </c>
      <c r="V11" s="255">
        <v>227.36600293165881</v>
      </c>
      <c r="W11" s="255">
        <v>233.7249288520234</v>
      </c>
      <c r="X11" s="255">
        <v>319.85347654293201</v>
      </c>
      <c r="Y11" s="255">
        <v>326.20957035259329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2737.6819654890351</v>
      </c>
      <c r="C16" s="257">
        <v>3096.9750191110211</v>
      </c>
      <c r="D16" s="257">
        <v>2798.5567801633201</v>
      </c>
      <c r="E16" s="257">
        <v>3030.5741332086568</v>
      </c>
      <c r="F16" s="257">
        <v>2811.8482677866641</v>
      </c>
      <c r="G16" s="257">
        <v>2822.6605202135629</v>
      </c>
      <c r="H16" s="257">
        <v>2924.1446286681212</v>
      </c>
      <c r="I16" s="257">
        <v>2131.4086546743129</v>
      </c>
      <c r="J16" s="257">
        <v>2708.0339641259729</v>
      </c>
      <c r="K16" s="257">
        <v>2618.8359303712318</v>
      </c>
      <c r="L16" s="257">
        <v>2744.8572796810399</v>
      </c>
      <c r="M16" s="257">
        <v>2600.3427034883571</v>
      </c>
      <c r="N16" s="257">
        <v>2690.5100438940458</v>
      </c>
      <c r="O16" s="257">
        <v>2830.3417399256559</v>
      </c>
      <c r="P16" s="257">
        <v>2724.2505980810629</v>
      </c>
      <c r="Q16" s="257">
        <v>2660.287006499716</v>
      </c>
      <c r="R16" s="257">
        <v>2691.0198135432588</v>
      </c>
      <c r="S16" s="257">
        <v>2637.015561874799</v>
      </c>
      <c r="T16" s="257">
        <v>2579.3857743025692</v>
      </c>
      <c r="U16" s="257">
        <v>2572.773509527352</v>
      </c>
      <c r="V16" s="257">
        <v>2553.5538031704018</v>
      </c>
      <c r="W16" s="257">
        <v>2624.3634208414369</v>
      </c>
      <c r="X16" s="257">
        <v>2676.3424456621651</v>
      </c>
      <c r="Y16" s="257">
        <v>2619.7850868920709</v>
      </c>
      <c r="DA16" s="272" t="s">
        <v>1046</v>
      </c>
    </row>
    <row r="17" spans="1:105" x14ac:dyDescent="0.25">
      <c r="A17" s="256" t="s">
        <v>121</v>
      </c>
      <c r="B17" s="257">
        <f>SUM(B18:B24)</f>
        <v>3780.5887552758418</v>
      </c>
      <c r="C17" s="257">
        <f t="shared" ref="C17:W17" si="4">SUM(C18:C24)</f>
        <v>4265.0006830309067</v>
      </c>
      <c r="D17" s="257">
        <f t="shared" si="4"/>
        <v>3847.3679583933917</v>
      </c>
      <c r="E17" s="257">
        <f t="shared" si="4"/>
        <v>4169.9026875505169</v>
      </c>
      <c r="F17" s="257">
        <f t="shared" si="4"/>
        <v>3850.5184920023617</v>
      </c>
      <c r="G17" s="257">
        <f t="shared" si="4"/>
        <v>3934.8637666495169</v>
      </c>
      <c r="H17" s="257">
        <f t="shared" si="4"/>
        <v>3929.9897389396501</v>
      </c>
      <c r="I17" s="257">
        <f t="shared" si="4"/>
        <v>2755.761097144506</v>
      </c>
      <c r="J17" s="257">
        <f t="shared" si="4"/>
        <v>3494.724913041503</v>
      </c>
      <c r="K17" s="257">
        <f t="shared" si="4"/>
        <v>3282.3830898541437</v>
      </c>
      <c r="L17" s="257">
        <f t="shared" si="4"/>
        <v>3349.7896749078723</v>
      </c>
      <c r="M17" s="257">
        <f t="shared" si="4"/>
        <v>3150.8578056329548</v>
      </c>
      <c r="N17" s="257">
        <f t="shared" si="4"/>
        <v>3158.96100297885</v>
      </c>
      <c r="O17" s="257">
        <f t="shared" si="4"/>
        <v>3311.7857738473112</v>
      </c>
      <c r="P17" s="257">
        <f t="shared" si="4"/>
        <v>3097.2593140430608</v>
      </c>
      <c r="Q17" s="257">
        <f t="shared" si="4"/>
        <v>2891.4496087209168</v>
      </c>
      <c r="R17" s="257">
        <f t="shared" si="4"/>
        <v>2940.6953023648653</v>
      </c>
      <c r="S17" s="257">
        <f t="shared" si="4"/>
        <v>2694.9120055456415</v>
      </c>
      <c r="T17" s="257">
        <f t="shared" si="4"/>
        <v>2914.9965745585887</v>
      </c>
      <c r="U17" s="257">
        <f t="shared" si="4"/>
        <v>2909.4428464184784</v>
      </c>
      <c r="V17" s="257">
        <f t="shared" si="4"/>
        <v>2888.1296171958193</v>
      </c>
      <c r="W17" s="257">
        <f t="shared" si="4"/>
        <v>2942.4757294687843</v>
      </c>
      <c r="X17" s="257">
        <f t="shared" ref="X17:Y17" si="5">SUM(X18:X24)</f>
        <v>3017.571505962665</v>
      </c>
      <c r="Y17" s="257">
        <f t="shared" si="5"/>
        <v>2992.0824487041928</v>
      </c>
      <c r="DA17" s="272"/>
    </row>
    <row r="18" spans="1:105" x14ac:dyDescent="0.25">
      <c r="A18" s="61" t="s">
        <v>29</v>
      </c>
      <c r="B18" s="55">
        <v>133.82103478550451</v>
      </c>
      <c r="C18" s="55">
        <v>144.98583579708489</v>
      </c>
      <c r="D18" s="55">
        <v>121.58470347859151</v>
      </c>
      <c r="E18" s="55">
        <v>129.7969452826087</v>
      </c>
      <c r="F18" s="55">
        <v>126.3531226211277</v>
      </c>
      <c r="G18" s="55">
        <v>61.746805145842231</v>
      </c>
      <c r="H18" s="55">
        <v>33.065350419898358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320.16793730446801</v>
      </c>
      <c r="C19" s="55">
        <v>329.86995498722672</v>
      </c>
      <c r="D19" s="55">
        <v>291.06176118587871</v>
      </c>
      <c r="E19" s="55">
        <v>539.03173632534788</v>
      </c>
      <c r="F19" s="55">
        <v>534.87059923974391</v>
      </c>
      <c r="G19" s="55">
        <v>800.47177901736757</v>
      </c>
      <c r="H19" s="55">
        <v>616.03104838009722</v>
      </c>
      <c r="I19" s="55">
        <v>575.66527417731163</v>
      </c>
      <c r="J19" s="55">
        <v>627.94550465933764</v>
      </c>
      <c r="K19" s="55">
        <v>586.96302412026353</v>
      </c>
      <c r="L19" s="55">
        <v>522.44429270054684</v>
      </c>
      <c r="M19" s="55">
        <v>524.01799533914641</v>
      </c>
      <c r="N19" s="55">
        <v>549.19600685157377</v>
      </c>
      <c r="O19" s="55">
        <v>662.49718172816324</v>
      </c>
      <c r="P19" s="55">
        <v>570.58147746231543</v>
      </c>
      <c r="Q19" s="55">
        <v>479.22611323818529</v>
      </c>
      <c r="R19" s="55">
        <v>602.26831914971729</v>
      </c>
      <c r="S19" s="55">
        <v>394.64036560418242</v>
      </c>
      <c r="T19" s="55">
        <v>546.31184939982734</v>
      </c>
      <c r="U19" s="55">
        <v>557.18372699991153</v>
      </c>
      <c r="V19" s="55">
        <v>535.4399717998474</v>
      </c>
      <c r="W19" s="55">
        <v>513.69621659990821</v>
      </c>
      <c r="X19" s="55">
        <v>464.77276739988213</v>
      </c>
      <c r="Y19" s="55">
        <v>472.9266755998986</v>
      </c>
      <c r="DA19" s="101" t="s">
        <v>1048</v>
      </c>
    </row>
    <row r="20" spans="1:105" x14ac:dyDescent="0.25">
      <c r="A20" s="61" t="s">
        <v>166</v>
      </c>
      <c r="B20" s="55">
        <v>2919.1900197782702</v>
      </c>
      <c r="C20" s="55">
        <v>3411.4797567906771</v>
      </c>
      <c r="D20" s="55">
        <v>3058.808683674109</v>
      </c>
      <c r="E20" s="55">
        <v>2865.6969479506811</v>
      </c>
      <c r="F20" s="55">
        <v>2617.412271119415</v>
      </c>
      <c r="G20" s="55">
        <v>2448.3096500564338</v>
      </c>
      <c r="H20" s="55">
        <v>2683.4990257465811</v>
      </c>
      <c r="I20" s="55">
        <v>1737.689779002935</v>
      </c>
      <c r="J20" s="55">
        <v>2347.0174075100258</v>
      </c>
      <c r="K20" s="55">
        <v>2030.78566464287</v>
      </c>
      <c r="L20" s="55">
        <v>1985.418530581725</v>
      </c>
      <c r="M20" s="55">
        <v>1716.0271224834801</v>
      </c>
      <c r="N20" s="55">
        <v>1834.806276889778</v>
      </c>
      <c r="O20" s="55">
        <v>1911.066857861847</v>
      </c>
      <c r="P20" s="55">
        <v>1722.5484009888889</v>
      </c>
      <c r="Q20" s="55">
        <v>1709.807617579592</v>
      </c>
      <c r="R20" s="55">
        <v>1641.7299547673381</v>
      </c>
      <c r="S20" s="55">
        <v>1747.581118007447</v>
      </c>
      <c r="T20" s="55">
        <v>1673.7622366906601</v>
      </c>
      <c r="U20" s="55">
        <v>1655.563152492221</v>
      </c>
      <c r="V20" s="55">
        <v>1699.442308567847</v>
      </c>
      <c r="W20" s="55">
        <v>1682.517600683791</v>
      </c>
      <c r="X20" s="55">
        <v>1672.967574201381</v>
      </c>
      <c r="Y20" s="55">
        <v>1632.448214024912</v>
      </c>
      <c r="DA20" s="101" t="s">
        <v>1049</v>
      </c>
    </row>
    <row r="21" spans="1:105" x14ac:dyDescent="0.25">
      <c r="A21" s="61" t="s">
        <v>129</v>
      </c>
      <c r="B21" s="55">
        <v>15.634769039994421</v>
      </c>
      <c r="C21" s="55">
        <v>18.761667119997099</v>
      </c>
      <c r="D21" s="55">
        <v>15.63476903999435</v>
      </c>
      <c r="E21" s="55">
        <v>486.39777155986388</v>
      </c>
      <c r="F21" s="55">
        <v>420.00545411988332</v>
      </c>
      <c r="G21" s="55">
        <v>504.81214955986968</v>
      </c>
      <c r="H21" s="55">
        <v>447.11848691987478</v>
      </c>
      <c r="I21" s="55">
        <v>350.59177511990561</v>
      </c>
      <c r="J21" s="55">
        <v>365.6782130398966</v>
      </c>
      <c r="K21" s="55">
        <v>365.64811991989518</v>
      </c>
      <c r="L21" s="55">
        <v>368.77111703989118</v>
      </c>
      <c r="M21" s="55">
        <v>350.45503091989781</v>
      </c>
      <c r="N21" s="55">
        <v>314.24475527989802</v>
      </c>
      <c r="O21" s="55">
        <v>301.96386899993678</v>
      </c>
      <c r="P21" s="55">
        <v>268.56023039994801</v>
      </c>
      <c r="Q21" s="55">
        <v>240.26595515995501</v>
      </c>
      <c r="R21" s="55">
        <v>216.8253133199467</v>
      </c>
      <c r="S21" s="55">
        <v>181.6646000399399</v>
      </c>
      <c r="T21" s="55">
        <v>328.16823731989621</v>
      </c>
      <c r="U21" s="55">
        <v>328.16798783994773</v>
      </c>
      <c r="V21" s="55">
        <v>298.86755975991468</v>
      </c>
      <c r="W21" s="55">
        <v>383.8396993199313</v>
      </c>
      <c r="X21" s="55">
        <v>383.83969931990248</v>
      </c>
      <c r="Y21" s="55">
        <v>380.90955671991838</v>
      </c>
      <c r="DA21" s="101" t="s">
        <v>1050</v>
      </c>
    </row>
    <row r="22" spans="1:105" x14ac:dyDescent="0.25">
      <c r="A22" s="61" t="s">
        <v>169</v>
      </c>
      <c r="B22" s="55">
        <v>391.7749943676049</v>
      </c>
      <c r="C22" s="55">
        <v>359.90346833592059</v>
      </c>
      <c r="D22" s="55">
        <v>360.27804101481809</v>
      </c>
      <c r="E22" s="55">
        <v>148.9792864320149</v>
      </c>
      <c r="F22" s="55">
        <v>151.8770449021919</v>
      </c>
      <c r="G22" s="55">
        <v>119.5233828700033</v>
      </c>
      <c r="H22" s="55">
        <v>150.2758274731992</v>
      </c>
      <c r="I22" s="55">
        <v>91.814268844353407</v>
      </c>
      <c r="J22" s="55">
        <v>154.08378783224339</v>
      </c>
      <c r="K22" s="55">
        <v>298.98628117111508</v>
      </c>
      <c r="L22" s="55">
        <v>473.15573458570901</v>
      </c>
      <c r="M22" s="55">
        <v>560.35765689043058</v>
      </c>
      <c r="N22" s="55">
        <v>460.71396395760019</v>
      </c>
      <c r="O22" s="55">
        <v>436.25786525736447</v>
      </c>
      <c r="P22" s="55">
        <v>535.56920519190794</v>
      </c>
      <c r="Q22" s="55">
        <v>462.14992274318439</v>
      </c>
      <c r="R22" s="55">
        <v>479.87171512786279</v>
      </c>
      <c r="S22" s="55">
        <v>371.02592189407193</v>
      </c>
      <c r="T22" s="55">
        <v>366.75425114820501</v>
      </c>
      <c r="U22" s="55">
        <v>368.52797908639837</v>
      </c>
      <c r="V22" s="55">
        <v>354.37977706821022</v>
      </c>
      <c r="W22" s="55">
        <v>362.42221286515371</v>
      </c>
      <c r="X22" s="55">
        <v>495.99146504149951</v>
      </c>
      <c r="Y22" s="55">
        <v>505.79800235946391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526.0684047579258</v>
      </c>
      <c r="C25" s="257">
        <v>595.10955926096847</v>
      </c>
      <c r="D25" s="257">
        <v>537.76600771156723</v>
      </c>
      <c r="E25" s="257">
        <v>582.35007566809247</v>
      </c>
      <c r="F25" s="257">
        <v>540.32007782599817</v>
      </c>
      <c r="G25" s="257">
        <v>542.39774223616757</v>
      </c>
      <c r="H25" s="257">
        <v>561.89875941638377</v>
      </c>
      <c r="I25" s="257">
        <v>409.56793556970359</v>
      </c>
      <c r="J25" s="257">
        <v>520.37129421771726</v>
      </c>
      <c r="K25" s="257">
        <v>503.23114867984111</v>
      </c>
      <c r="L25" s="257">
        <v>527.44720117701627</v>
      </c>
      <c r="M25" s="257">
        <v>499.67752101682578</v>
      </c>
      <c r="N25" s="257">
        <v>517.00392690561671</v>
      </c>
      <c r="O25" s="257">
        <v>543.8737526170205</v>
      </c>
      <c r="P25" s="257">
        <v>523.48745557715881</v>
      </c>
      <c r="Q25" s="257">
        <v>511.19631839980741</v>
      </c>
      <c r="R25" s="257">
        <v>517.10188339199306</v>
      </c>
      <c r="S25" s="257">
        <v>506.72451637730501</v>
      </c>
      <c r="T25" s="257">
        <v>495.65047242448748</v>
      </c>
      <c r="U25" s="257">
        <v>494.37987064313182</v>
      </c>
      <c r="V25" s="257">
        <v>490.68664389489282</v>
      </c>
      <c r="W25" s="257">
        <v>504.293302038278</v>
      </c>
      <c r="X25" s="257">
        <v>514.28150483648994</v>
      </c>
      <c r="Y25" s="257">
        <v>503.41353701533018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</v>
      </c>
      <c r="D31" s="235">
        <f t="shared" si="6"/>
        <v>1</v>
      </c>
      <c r="E31" s="235">
        <f t="shared" si="6"/>
        <v>0.99999999999999978</v>
      </c>
      <c r="F31" s="235">
        <f t="shared" si="6"/>
        <v>1</v>
      </c>
      <c r="G31" s="235">
        <f t="shared" si="6"/>
        <v>1</v>
      </c>
      <c r="H31" s="235">
        <f t="shared" si="6"/>
        <v>0.99999999999999989</v>
      </c>
      <c r="I31" s="235">
        <f t="shared" si="6"/>
        <v>1</v>
      </c>
      <c r="J31" s="235">
        <f t="shared" si="6"/>
        <v>1</v>
      </c>
      <c r="K31" s="235">
        <f t="shared" si="6"/>
        <v>1</v>
      </c>
      <c r="L31" s="235">
        <f t="shared" si="6"/>
        <v>1</v>
      </c>
      <c r="M31" s="235">
        <f t="shared" si="6"/>
        <v>1</v>
      </c>
      <c r="N31" s="235">
        <f t="shared" si="6"/>
        <v>1</v>
      </c>
      <c r="O31" s="235">
        <f t="shared" si="6"/>
        <v>1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1</v>
      </c>
      <c r="S31" s="235">
        <f t="shared" si="7"/>
        <v>1</v>
      </c>
      <c r="T31" s="235">
        <f t="shared" si="7"/>
        <v>0.99999999999999989</v>
      </c>
      <c r="U31" s="235">
        <f t="shared" si="7"/>
        <v>1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0.99999999999999989</v>
      </c>
      <c r="Y31" s="235">
        <f t="shared" si="8"/>
        <v>0.99999999999999989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0.20452112914870757</v>
      </c>
      <c r="C35" s="246">
        <f t="shared" si="12"/>
        <v>0.20486707125129802</v>
      </c>
      <c r="D35" s="246">
        <f t="shared" si="12"/>
        <v>0.20503325372343831</v>
      </c>
      <c r="E35" s="246">
        <f t="shared" si="12"/>
        <v>0.20218043603811306</v>
      </c>
      <c r="F35" s="246">
        <f t="shared" si="12"/>
        <v>0.20213390356550631</v>
      </c>
      <c r="G35" s="246">
        <f t="shared" si="12"/>
        <v>0.19839183792458306</v>
      </c>
      <c r="H35" s="246">
        <f t="shared" si="12"/>
        <v>0.2001987174798994</v>
      </c>
      <c r="I35" s="246">
        <f t="shared" si="12"/>
        <v>0.19085896768550459</v>
      </c>
      <c r="J35" s="246">
        <f t="shared" si="12"/>
        <v>0.19542029977751124</v>
      </c>
      <c r="K35" s="246">
        <f t="shared" si="12"/>
        <v>0.19135656936851372</v>
      </c>
      <c r="L35" s="246">
        <f t="shared" si="12"/>
        <v>0.19153375859216509</v>
      </c>
      <c r="M35" s="246">
        <f t="shared" si="12"/>
        <v>0.18740639545707577</v>
      </c>
      <c r="N35" s="246">
        <f t="shared" si="12"/>
        <v>0.18574795694837695</v>
      </c>
      <c r="O35" s="246">
        <f t="shared" si="12"/>
        <v>0.19052513578883071</v>
      </c>
      <c r="P35" s="246">
        <f t="shared" si="12"/>
        <v>0.17875438547879219</v>
      </c>
      <c r="Q35" s="246">
        <f t="shared" si="12"/>
        <v>0.18031394065272444</v>
      </c>
      <c r="R35" s="246">
        <f t="shared" si="12"/>
        <v>0.1783634344465056</v>
      </c>
      <c r="S35" s="246">
        <f t="shared" si="12"/>
        <v>0.18013736895572924</v>
      </c>
      <c r="T35" s="246">
        <f t="shared" si="12"/>
        <v>0.17835365135914724</v>
      </c>
      <c r="U35" s="246">
        <f t="shared" si="12"/>
        <v>0.17865716267504947</v>
      </c>
      <c r="V35" s="246">
        <f t="shared" si="12"/>
        <v>0.18175095054353263</v>
      </c>
      <c r="W35" s="246">
        <f t="shared" si="12"/>
        <v>0.17845624474576535</v>
      </c>
      <c r="X35" s="246">
        <f t="shared" si="12"/>
        <v>0.18387390704289977</v>
      </c>
      <c r="Y35" s="246">
        <f t="shared" si="12"/>
        <v>0.184011482797245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0.30915152150565145</v>
      </c>
      <c r="C36" s="259">
        <f t="shared" si="13"/>
        <v>0.309473473804798</v>
      </c>
      <c r="D36" s="259">
        <f t="shared" si="13"/>
        <v>0.30969590094789984</v>
      </c>
      <c r="E36" s="259">
        <f t="shared" si="13"/>
        <v>0.31066492492857917</v>
      </c>
      <c r="F36" s="259">
        <f t="shared" si="13"/>
        <v>0.31147798755719697</v>
      </c>
      <c r="G36" s="259">
        <f t="shared" si="13"/>
        <v>0.30995779170677384</v>
      </c>
      <c r="H36" s="259">
        <f t="shared" si="13"/>
        <v>0.31536194407770868</v>
      </c>
      <c r="I36" s="259">
        <f t="shared" si="13"/>
        <v>0.32559856668634024</v>
      </c>
      <c r="J36" s="259">
        <f t="shared" si="13"/>
        <v>0.324079572982577</v>
      </c>
      <c r="K36" s="259">
        <f t="shared" si="13"/>
        <v>0.33066140186057463</v>
      </c>
      <c r="L36" s="259">
        <f t="shared" si="13"/>
        <v>0.33510916575724753</v>
      </c>
      <c r="M36" s="259">
        <f t="shared" si="13"/>
        <v>0.33803600714759124</v>
      </c>
      <c r="N36" s="259">
        <f t="shared" si="13"/>
        <v>0.34410773765932567</v>
      </c>
      <c r="O36" s="259">
        <f t="shared" si="13"/>
        <v>0.34266976692251916</v>
      </c>
      <c r="P36" s="259">
        <f t="shared" si="13"/>
        <v>0.35260516701228989</v>
      </c>
      <c r="Q36" s="259">
        <f t="shared" si="13"/>
        <v>0.35966094247860686</v>
      </c>
      <c r="R36" s="259">
        <f t="shared" si="13"/>
        <v>0.35958791385200717</v>
      </c>
      <c r="S36" s="259">
        <f t="shared" si="13"/>
        <v>0.3702893211710423</v>
      </c>
      <c r="T36" s="259">
        <f t="shared" si="13"/>
        <v>0.35381156771975553</v>
      </c>
      <c r="U36" s="259">
        <f t="shared" si="13"/>
        <v>0.35356731724801449</v>
      </c>
      <c r="V36" s="259">
        <f t="shared" si="13"/>
        <v>0.3522104908403707</v>
      </c>
      <c r="W36" s="259">
        <f t="shared" si="13"/>
        <v>0.35512804189865854</v>
      </c>
      <c r="X36" s="259">
        <f t="shared" si="13"/>
        <v>0.35183056315023442</v>
      </c>
      <c r="Y36" s="259">
        <f t="shared" si="13"/>
        <v>0.34956930402056213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0.42692130810450218</v>
      </c>
      <c r="C37" s="259">
        <f t="shared" si="14"/>
        <v>0.42619154788542213</v>
      </c>
      <c r="D37" s="259">
        <f t="shared" si="14"/>
        <v>0.42576019704098639</v>
      </c>
      <c r="E37" s="259">
        <f t="shared" si="14"/>
        <v>0.42745778471216495</v>
      </c>
      <c r="F37" s="259">
        <f t="shared" si="14"/>
        <v>0.42653501779622471</v>
      </c>
      <c r="G37" s="259">
        <f t="shared" si="14"/>
        <v>0.43208939758912429</v>
      </c>
      <c r="H37" s="259">
        <f t="shared" si="14"/>
        <v>0.42383991274807709</v>
      </c>
      <c r="I37" s="259">
        <f t="shared" si="14"/>
        <v>0.42097598759039195</v>
      </c>
      <c r="J37" s="259">
        <f t="shared" si="14"/>
        <v>0.41822553650120275</v>
      </c>
      <c r="K37" s="259">
        <f t="shared" si="14"/>
        <v>0.41444268476214219</v>
      </c>
      <c r="L37" s="259">
        <f t="shared" si="14"/>
        <v>0.40896305674263017</v>
      </c>
      <c r="M37" s="259">
        <f t="shared" si="14"/>
        <v>0.4096011615227293</v>
      </c>
      <c r="N37" s="259">
        <f t="shared" si="14"/>
        <v>0.40402113590173022</v>
      </c>
      <c r="O37" s="259">
        <f t="shared" si="14"/>
        <v>0.4009582458588134</v>
      </c>
      <c r="P37" s="259">
        <f t="shared" si="14"/>
        <v>0.40088442615293757</v>
      </c>
      <c r="Q37" s="259">
        <f t="shared" si="14"/>
        <v>0.39091326945594168</v>
      </c>
      <c r="R37" s="259">
        <f t="shared" si="14"/>
        <v>0.39295083734796171</v>
      </c>
      <c r="S37" s="259">
        <f t="shared" si="14"/>
        <v>0.37841913092076251</v>
      </c>
      <c r="T37" s="259">
        <f t="shared" si="14"/>
        <v>0.39984693961536527</v>
      </c>
      <c r="U37" s="259">
        <f t="shared" si="14"/>
        <v>0.39983461353486555</v>
      </c>
      <c r="V37" s="259">
        <f t="shared" si="14"/>
        <v>0.39835837757567333</v>
      </c>
      <c r="W37" s="259">
        <f t="shared" si="14"/>
        <v>0.39817490056523391</v>
      </c>
      <c r="X37" s="259">
        <f t="shared" si="14"/>
        <v>0.39668835503831507</v>
      </c>
      <c r="Y37" s="259">
        <f t="shared" si="14"/>
        <v>0.39924655820012089</v>
      </c>
      <c r="DA37" s="278"/>
    </row>
    <row r="38" spans="1:105" x14ac:dyDescent="0.25">
      <c r="A38" s="127" t="s">
        <v>167</v>
      </c>
      <c r="B38" s="259">
        <f t="shared" ref="B38:Y38" si="15">IF(B$25=0,0,B$25/B$5)</f>
        <v>5.9406041241138838E-2</v>
      </c>
      <c r="C38" s="259">
        <f t="shared" si="15"/>
        <v>5.9467907058481838E-2</v>
      </c>
      <c r="D38" s="259">
        <f t="shared" si="15"/>
        <v>5.9510648287675549E-2</v>
      </c>
      <c r="E38" s="259">
        <f t="shared" si="15"/>
        <v>5.9696854321142655E-2</v>
      </c>
      <c r="F38" s="259">
        <f t="shared" si="15"/>
        <v>5.9853091081072077E-2</v>
      </c>
      <c r="G38" s="259">
        <f t="shared" si="15"/>
        <v>5.9560972779518821E-2</v>
      </c>
      <c r="H38" s="259">
        <f t="shared" si="15"/>
        <v>6.0599425694314778E-2</v>
      </c>
      <c r="I38" s="259">
        <f t="shared" si="15"/>
        <v>6.2566478037763218E-2</v>
      </c>
      <c r="J38" s="259">
        <f t="shared" si="15"/>
        <v>6.2274590738709008E-2</v>
      </c>
      <c r="K38" s="259">
        <f t="shared" si="15"/>
        <v>6.3539344008769469E-2</v>
      </c>
      <c r="L38" s="259">
        <f t="shared" si="15"/>
        <v>6.4394018907957276E-2</v>
      </c>
      <c r="M38" s="259">
        <f t="shared" si="15"/>
        <v>6.4956435872603691E-2</v>
      </c>
      <c r="N38" s="259">
        <f t="shared" si="15"/>
        <v>6.612316949056711E-2</v>
      </c>
      <c r="O38" s="259">
        <f t="shared" si="15"/>
        <v>6.584685142983672E-2</v>
      </c>
      <c r="P38" s="259">
        <f t="shared" si="15"/>
        <v>6.7756021355980356E-2</v>
      </c>
      <c r="Q38" s="259">
        <f t="shared" si="15"/>
        <v>6.9111847412727023E-2</v>
      </c>
      <c r="R38" s="259">
        <f t="shared" si="15"/>
        <v>6.9097814353525411E-2</v>
      </c>
      <c r="S38" s="259">
        <f t="shared" si="15"/>
        <v>7.1154178952465938E-2</v>
      </c>
      <c r="T38" s="259">
        <f t="shared" si="15"/>
        <v>6.7987841305731864E-2</v>
      </c>
      <c r="U38" s="259">
        <f t="shared" si="15"/>
        <v>6.7940906542070509E-2</v>
      </c>
      <c r="V38" s="259">
        <f t="shared" si="15"/>
        <v>6.7680181040423365E-2</v>
      </c>
      <c r="W38" s="259">
        <f t="shared" si="15"/>
        <v>6.8240812790342165E-2</v>
      </c>
      <c r="X38" s="259">
        <f t="shared" si="15"/>
        <v>6.7607174768550646E-2</v>
      </c>
      <c r="Y38" s="259">
        <f t="shared" si="15"/>
        <v>6.717265498207195E-2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2.6169191624716408</v>
      </c>
      <c r="C44" s="237">
        <f>IF(C$5=0,0,C$5/AGR_fec!C$5)</f>
        <v>2.6283585679869907</v>
      </c>
      <c r="D44" s="237">
        <f>IF(D$5=0,0,D$5/AGR_fec!D$5)</f>
        <v>2.6232291769958738</v>
      </c>
      <c r="E44" s="237">
        <f>IF(E$5=0,0,E$5/AGR_fec!E$5)</f>
        <v>2.5118767152330177</v>
      </c>
      <c r="F44" s="237">
        <f>IF(F$5=0,0,F$5/AGR_fec!F$5)</f>
        <v>2.4889278919845936</v>
      </c>
      <c r="G44" s="237">
        <f>IF(G$5=0,0,G$5/AGR_fec!G$5)</f>
        <v>2.46484203623926</v>
      </c>
      <c r="H44" s="237">
        <f>IF(H$5=0,0,H$5/AGR_fec!H$5)</f>
        <v>2.4432664060213418</v>
      </c>
      <c r="I44" s="237">
        <f>IF(I$5=0,0,I$5/AGR_fec!I$5)</f>
        <v>2.242205213802916</v>
      </c>
      <c r="J44" s="237">
        <f>IF(J$5=0,0,J$5/AGR_fec!J$5)</f>
        <v>2.3226173641164936</v>
      </c>
      <c r="K44" s="237">
        <f>IF(K$5=0,0,K$5/AGR_fec!K$5)</f>
        <v>2.244601049409698</v>
      </c>
      <c r="L44" s="237">
        <f>IF(L$5=0,0,L$5/AGR_fec!L$5)</f>
        <v>2.2051407961443239</v>
      </c>
      <c r="M44" s="237">
        <f>IF(M$5=0,0,M$5/AGR_fec!M$5)</f>
        <v>2.1679805360633013</v>
      </c>
      <c r="N44" s="237">
        <f>IF(N$5=0,0,N$5/AGR_fec!N$5)</f>
        <v>2.1524214250197464</v>
      </c>
      <c r="O44" s="237">
        <f>IF(O$5=0,0,O$5/AGR_fec!O$5)</f>
        <v>2.2156673162735574</v>
      </c>
      <c r="P44" s="237">
        <f>IF(P$5=0,0,P$5/AGR_fec!P$5)</f>
        <v>2.0524688342297135</v>
      </c>
      <c r="Q44" s="237">
        <f>IF(Q$5=0,0,Q$5/AGR_fec!Q$5)</f>
        <v>2.0392529919322993</v>
      </c>
      <c r="R44" s="237">
        <f>IF(R$5=0,0,R$5/AGR_fec!R$5)</f>
        <v>2.0243783768302901</v>
      </c>
      <c r="S44" s="237">
        <f>IF(S$5=0,0,S$5/AGR_fec!S$5)</f>
        <v>2.0074021761100527</v>
      </c>
      <c r="T44" s="237">
        <f>IF(T$5=0,0,T$5/AGR_fec!T$5)</f>
        <v>1.9900155064478984</v>
      </c>
      <c r="U44" s="237">
        <f>IF(U$5=0,0,U$5/AGR_fec!U$5)</f>
        <v>1.9900500409994544</v>
      </c>
      <c r="V44" s="237">
        <f>IF(V$5=0,0,V$5/AGR_fec!V$5)</f>
        <v>1.9802416486627352</v>
      </c>
      <c r="W44" s="237">
        <f>IF(W$5=0,0,W$5/AGR_fec!W$5)</f>
        <v>1.9626171370483005</v>
      </c>
      <c r="X44" s="237">
        <f>IF(X$5=0,0,X$5/AGR_fec!X$5)</f>
        <v>2.0093635973236981</v>
      </c>
      <c r="Y44" s="237">
        <f>IF(Y$5=0,0,Y$5/AGR_fec!Y$5)</f>
        <v>2.005687332721628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2.7151450405106088</v>
      </c>
      <c r="C48" s="252">
        <f>IF(C$9=0,0,C$9/AGR_fec!C$9)</f>
        <v>2.7346735276028076</v>
      </c>
      <c r="D48" s="252">
        <f>IF(D$9=0,0,D$9/AGR_fec!D$9)</f>
        <v>2.7273466592671993</v>
      </c>
      <c r="E48" s="252">
        <f>IF(E$9=0,0,E$9/AGR_fec!E$9)</f>
        <v>2.6839647343360489</v>
      </c>
      <c r="F48" s="252">
        <f>IF(F$9=0,0,F$9/AGR_fec!F$9)</f>
        <v>2.6607317933933405</v>
      </c>
      <c r="G48" s="252">
        <f>IF(G$9=0,0,G$9/AGR_fec!G$9)</f>
        <v>2.6216888850488829</v>
      </c>
      <c r="H48" s="252">
        <f>IF(H$9=0,0,H$9/AGR_fec!H$9)</f>
        <v>2.5788833316684094</v>
      </c>
      <c r="I48" s="252">
        <f>IF(I$9=0,0,I$9/AGR_fec!I$9)</f>
        <v>2.2595441359438948</v>
      </c>
      <c r="J48" s="252">
        <f>IF(J$9=0,0,J$9/AGR_fec!J$9)</f>
        <v>2.377752086144163</v>
      </c>
      <c r="K48" s="252">
        <f>IF(K$9=0,0,K$9/AGR_fec!K$9)</f>
        <v>2.2235203580754641</v>
      </c>
      <c r="L48" s="252">
        <f>IF(L$9=0,0,L$9/AGR_fec!L$9)</f>
        <v>2.1589025075209971</v>
      </c>
      <c r="M48" s="252">
        <f>IF(M$9=0,0,M$9/AGR_fec!M$9)</f>
        <v>2.0537022953503201</v>
      </c>
      <c r="N48" s="252">
        <f>IF(N$9=0,0,N$9/AGR_fec!N$9)</f>
        <v>2.024207922977709</v>
      </c>
      <c r="O48" s="252">
        <f>IF(O$9=0,0,O$9/AGR_fec!O$9)</f>
        <v>2.1013762438384211</v>
      </c>
      <c r="P48" s="252">
        <f>IF(P$9=0,0,P$9/AGR_fec!P$9)</f>
        <v>1.8381815422686849</v>
      </c>
      <c r="Q48" s="252">
        <f>IF(Q$9=0,0,Q$9/AGR_fec!Q$9)</f>
        <v>1.8282434880305047</v>
      </c>
      <c r="R48" s="252">
        <f>IF(R$9=0,0,R$9/AGR_fec!R$9)</f>
        <v>1.7906368976949496</v>
      </c>
      <c r="S48" s="252">
        <f>IF(S$9=0,0,S$9/AGR_fec!S$9)</f>
        <v>1.7823377040127601</v>
      </c>
      <c r="T48" s="252">
        <f>IF(T$9=0,0,T$9/AGR_fec!T$9)</f>
        <v>1.7708410014646063</v>
      </c>
      <c r="U48" s="252">
        <f>IF(U$9=0,0,U$9/AGR_fec!U$9)</f>
        <v>1.7725032418687849</v>
      </c>
      <c r="V48" s="252">
        <f>IF(V$9=0,0,V$9/AGR_fec!V$9)</f>
        <v>1.7831590088874636</v>
      </c>
      <c r="W48" s="252">
        <f>IF(W$9=0,0,W$9/AGR_fec!W$9)</f>
        <v>1.7442193990230033</v>
      </c>
      <c r="X48" s="252">
        <f>IF(X$9=0,0,X$9/AGR_fec!X$9)</f>
        <v>1.7992224633517397</v>
      </c>
      <c r="Y48" s="252">
        <f>IF(Y$9=0,0,Y$9/AGR_fec!Y$9)</f>
        <v>1.8024820798150298</v>
      </c>
      <c r="DA48" s="289"/>
    </row>
    <row r="49" spans="1:105" x14ac:dyDescent="0.25">
      <c r="A49" s="127" t="s">
        <v>168</v>
      </c>
      <c r="B49" s="264">
        <f>IF(B$16=0,0,B$16/AGR_fec!B$16)</f>
        <v>3.1024188000000001</v>
      </c>
      <c r="C49" s="264">
        <f>IF(C$16=0,0,C$16/AGR_fec!C$16)</f>
        <v>3.1024188000000006</v>
      </c>
      <c r="D49" s="264">
        <f>IF(D$16=0,0,D$16/AGR_fec!D$16)</f>
        <v>3.1024188000000001</v>
      </c>
      <c r="E49" s="264">
        <f>IF(E$16=0,0,E$16/AGR_fec!E$16)</f>
        <v>3.0614583120299832</v>
      </c>
      <c r="F49" s="264">
        <f>IF(F$16=0,0,F$16/AGR_fec!F$16)</f>
        <v>3.0501103318692557</v>
      </c>
      <c r="G49" s="264">
        <f>IF(G$16=0,0,G$16/AGR_fec!G$16)</f>
        <v>3.0472260942545319</v>
      </c>
      <c r="H49" s="264">
        <f>IF(H$16=0,0,H$16/AGR_fec!H$16)</f>
        <v>3.0387661085466471</v>
      </c>
      <c r="I49" s="264">
        <f>IF(I$16=0,0,I$16/AGR_fec!I$16)</f>
        <v>2.9437600159752857</v>
      </c>
      <c r="J49" s="264">
        <f>IF(J$16=0,0,J$16/AGR_fec!J$16)</f>
        <v>2.9990234012008994</v>
      </c>
      <c r="K49" s="264">
        <f>IF(K$16=0,0,K$16/AGR_fec!K$16)</f>
        <v>3.0197405762086054</v>
      </c>
      <c r="L49" s="264">
        <f>IF(L$16=0,0,L$16/AGR_fec!L$16)</f>
        <v>3.0480238076980548</v>
      </c>
      <c r="M49" s="264">
        <f>IF(M$16=0,0,M$16/AGR_fec!M$16)</f>
        <v>3.0822012400305083</v>
      </c>
      <c r="N49" s="264">
        <f>IF(N$16=0,0,N$16/AGR_fec!N$16)</f>
        <v>3.089317407889085</v>
      </c>
      <c r="O49" s="264">
        <f>IF(O$16=0,0,O$16/AGR_fec!O$16)</f>
        <v>3.0904082974202223</v>
      </c>
      <c r="P49" s="264">
        <f>IF(P$16=0,0,P$16/AGR_fec!P$16)</f>
        <v>3.088683321534075</v>
      </c>
      <c r="Q49" s="264">
        <f>IF(Q$16=0,0,Q$16/AGR_fec!Q$16)</f>
        <v>3.0887276705090216</v>
      </c>
      <c r="R49" s="264">
        <f>IF(R$16=0,0,R$16/AGR_fec!R$16)</f>
        <v>3.0896501578470281</v>
      </c>
      <c r="S49" s="264">
        <f>IF(S$16=0,0,S$16/AGR_fec!S$16)</f>
        <v>3.0885872965397145</v>
      </c>
      <c r="T49" s="264">
        <f>IF(T$16=0,0,T$16/AGR_fec!T$16)</f>
        <v>2.9381289077971187</v>
      </c>
      <c r="U49" s="264">
        <f>IF(U$16=0,0,U$16/AGR_fec!U$16)</f>
        <v>2.9361011120227976</v>
      </c>
      <c r="V49" s="264">
        <f>IF(V$16=0,0,V$16/AGR_fec!V$16)</f>
        <v>2.8678972165552876</v>
      </c>
      <c r="W49" s="264">
        <f>IF(W$16=0,0,W$16/AGR_fec!W$16)</f>
        <v>2.9062904340689526</v>
      </c>
      <c r="X49" s="264">
        <f>IF(X$16=0,0,X$16/AGR_fec!X$16)</f>
        <v>2.9197005928792636</v>
      </c>
      <c r="Y49" s="264">
        <f>IF(Y$16=0,0,Y$16/AGR_fec!Y$16)</f>
        <v>2.9044496072747146</v>
      </c>
      <c r="DA49" s="290"/>
    </row>
    <row r="50" spans="1:105" x14ac:dyDescent="0.25">
      <c r="A50" s="127" t="s">
        <v>121</v>
      </c>
      <c r="B50" s="264">
        <f>IF(B$17=0,0,B$17/AGR_fec!B$17)</f>
        <v>2.986975082157163</v>
      </c>
      <c r="C50" s="264">
        <f>IF(C$17=0,0,C$17/AGR_fec!C$17)</f>
        <v>3.0069254452549119</v>
      </c>
      <c r="D50" s="264">
        <f>IF(D$17=0,0,D$17/AGR_fec!D$17)</f>
        <v>2.9977198393246365</v>
      </c>
      <c r="E50" s="264">
        <f>IF(E$17=0,0,E$17/AGR_fec!E$17)</f>
        <v>2.7469565378855831</v>
      </c>
      <c r="F50" s="264">
        <f>IF(F$17=0,0,F$17/AGR_fec!F$17)</f>
        <v>2.7085971633430037</v>
      </c>
      <c r="G50" s="264">
        <f>IF(G$17=0,0,G$17/AGR_fec!G$17)</f>
        <v>2.6670882865624197</v>
      </c>
      <c r="H50" s="264">
        <f>IF(H$17=0,0,H$17/AGR_fec!H$17)</f>
        <v>2.6417830024152331</v>
      </c>
      <c r="I50" s="264">
        <f>IF(I$17=0,0,I$17/AGR_fec!I$17)</f>
        <v>2.3642647073859449</v>
      </c>
      <c r="J50" s="264">
        <f>IF(J$17=0,0,J$17/AGR_fec!J$17)</f>
        <v>2.4671321639520234</v>
      </c>
      <c r="K50" s="264">
        <f>IF(K$17=0,0,K$17/AGR_fec!K$17)</f>
        <v>2.3405384084648242</v>
      </c>
      <c r="L50" s="264">
        <f>IF(L$17=0,0,L$17/AGR_fec!L$17)</f>
        <v>2.2621827081351484</v>
      </c>
      <c r="M50" s="264">
        <f>IF(M$17=0,0,M$17/AGR_fec!M$17)</f>
        <v>2.211471383403373</v>
      </c>
      <c r="N50" s="264">
        <f>IF(N$17=0,0,N$17/AGR_fec!N$17)</f>
        <v>2.1711900444789305</v>
      </c>
      <c r="O50" s="264">
        <f>IF(O$17=0,0,O$17/AGR_fec!O$17)</f>
        <v>2.1544863948756796</v>
      </c>
      <c r="P50" s="264">
        <f>IF(P$17=0,0,P$17/AGR_fec!P$17)</f>
        <v>2.0599146022650645</v>
      </c>
      <c r="Q50" s="264">
        <f>IF(Q$17=0,0,Q$17/AGR_fec!Q$17)</f>
        <v>1.9854928550077839</v>
      </c>
      <c r="R50" s="264">
        <f>IF(R$17=0,0,R$17/AGR_fec!R$17)</f>
        <v>1.9581413893493047</v>
      </c>
      <c r="S50" s="264">
        <f>IF(S$17=0,0,S$17/AGR_fec!S$17)</f>
        <v>1.8939424049948106</v>
      </c>
      <c r="T50" s="264">
        <f>IF(T$17=0,0,T$17/AGR_fec!T$17)</f>
        <v>1.9618093212198098</v>
      </c>
      <c r="U50" s="264">
        <f>IF(U$17=0,0,U$17/AGR_fec!U$17)</f>
        <v>1.9550804811985729</v>
      </c>
      <c r="V50" s="264">
        <f>IF(V$17=0,0,V$17/AGR_fec!V$17)</f>
        <v>1.9350984075296713</v>
      </c>
      <c r="W50" s="264">
        <f>IF(W$17=0,0,W$17/AGR_fec!W$17)</f>
        <v>1.916090425611872</v>
      </c>
      <c r="X50" s="264">
        <f>IF(X$17=0,0,X$17/AGR_fec!X$17)</f>
        <v>1.9290499691651704</v>
      </c>
      <c r="Y50" s="264">
        <f>IF(Y$17=0,0,Y$17/AGR_fec!Y$17)</f>
        <v>1.9405927233160338</v>
      </c>
      <c r="DA50" s="290"/>
    </row>
    <row r="51" spans="1:105" x14ac:dyDescent="0.25">
      <c r="A51" s="127" t="s">
        <v>167</v>
      </c>
      <c r="B51" s="264">
        <f>IF(B$25=0,0,B$25/AGR_fec!B$25)</f>
        <v>3.1024188000000006</v>
      </c>
      <c r="C51" s="264">
        <f>IF(C$25=0,0,C$25/AGR_fec!C$25)</f>
        <v>3.1024188000000006</v>
      </c>
      <c r="D51" s="264">
        <f>IF(D$25=0,0,D$25/AGR_fec!D$25)</f>
        <v>3.1024187999999993</v>
      </c>
      <c r="E51" s="264">
        <f>IF(E$25=0,0,E$25/AGR_fec!E$25)</f>
        <v>3.0614583120299836</v>
      </c>
      <c r="F51" s="264">
        <f>IF(F$25=0,0,F$25/AGR_fec!F$25)</f>
        <v>3.0501103318692553</v>
      </c>
      <c r="G51" s="264">
        <f>IF(G$25=0,0,G$25/AGR_fec!G$25)</f>
        <v>3.0472260942545315</v>
      </c>
      <c r="H51" s="264">
        <f>IF(H$25=0,0,H$25/AGR_fec!H$25)</f>
        <v>3.0387661085466466</v>
      </c>
      <c r="I51" s="264">
        <f>IF(I$25=0,0,I$25/AGR_fec!I$25)</f>
        <v>2.9437600159752852</v>
      </c>
      <c r="J51" s="264">
        <f>IF(J$25=0,0,J$25/AGR_fec!J$25)</f>
        <v>2.9990234012008998</v>
      </c>
      <c r="K51" s="264">
        <f>IF(K$25=0,0,K$25/AGR_fec!K$25)</f>
        <v>3.0197405762086054</v>
      </c>
      <c r="L51" s="264">
        <f>IF(L$25=0,0,L$25/AGR_fec!L$25)</f>
        <v>3.0480238076980544</v>
      </c>
      <c r="M51" s="264">
        <f>IF(M$25=0,0,M$25/AGR_fec!M$25)</f>
        <v>3.0822012400305079</v>
      </c>
      <c r="N51" s="264">
        <f>IF(N$25=0,0,N$25/AGR_fec!N$25)</f>
        <v>3.0893174078890846</v>
      </c>
      <c r="O51" s="264">
        <f>IF(O$25=0,0,O$25/AGR_fec!O$25)</f>
        <v>3.0904082974202232</v>
      </c>
      <c r="P51" s="264">
        <f>IF(P$25=0,0,P$25/AGR_fec!P$25)</f>
        <v>3.0886833215340759</v>
      </c>
      <c r="Q51" s="264">
        <f>IF(Q$25=0,0,Q$25/AGR_fec!Q$25)</f>
        <v>3.0887276705090212</v>
      </c>
      <c r="R51" s="264">
        <f>IF(R$25=0,0,R$25/AGR_fec!R$25)</f>
        <v>3.0896501578470286</v>
      </c>
      <c r="S51" s="264">
        <f>IF(S$25=0,0,S$25/AGR_fec!S$25)</f>
        <v>3.0885872965397154</v>
      </c>
      <c r="T51" s="264">
        <f>IF(T$25=0,0,T$25/AGR_fec!T$25)</f>
        <v>2.9381289077971191</v>
      </c>
      <c r="U51" s="264">
        <f>IF(U$25=0,0,U$25/AGR_fec!U$25)</f>
        <v>2.9361011120227971</v>
      </c>
      <c r="V51" s="264">
        <f>IF(V$25=0,0,V$25/AGR_fec!V$25)</f>
        <v>2.8678972165552881</v>
      </c>
      <c r="W51" s="264">
        <f>IF(W$25=0,0,W$25/AGR_fec!W$25)</f>
        <v>2.9062904340689535</v>
      </c>
      <c r="X51" s="264">
        <f>IF(X$25=0,0,X$25/AGR_fec!X$25)</f>
        <v>2.9197005928792636</v>
      </c>
      <c r="Y51" s="264">
        <f>IF(Y$25=0,0,Y$25/AGR_fec!Y$25)</f>
        <v>2.9044496072747132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2025-11-06T10:21:27Z</dcterms:created>
  <dcterms:modified xsi:type="dcterms:W3CDTF">2025-11-06T10:21:27Z</dcterms:modified>
</cp:coreProperties>
</file>