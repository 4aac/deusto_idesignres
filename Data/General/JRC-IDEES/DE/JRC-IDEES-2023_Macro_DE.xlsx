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DE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121" i="59" l="1"/>
  <c r="AA88" i="59"/>
  <c r="AA117" i="59"/>
  <c r="AA84" i="59"/>
  <c r="AA82" i="59"/>
  <c r="AA81" i="59"/>
  <c r="AA79" i="59"/>
  <c r="AA78" i="59"/>
  <c r="AA109" i="59"/>
  <c r="AA74" i="59"/>
  <c r="AA70" i="59"/>
  <c r="AA66" i="59"/>
  <c r="AA93" i="59"/>
  <c r="AA5" i="59"/>
  <c r="Z111" i="59"/>
  <c r="Q75" i="57"/>
  <c r="J75" i="57"/>
  <c r="O75" i="57"/>
  <c r="T75" i="57"/>
  <c r="P54" i="57"/>
  <c r="L54" i="57"/>
  <c r="J54" i="57"/>
  <c r="I54" i="57"/>
  <c r="E39" i="57"/>
  <c r="O39" i="57"/>
  <c r="H39" i="57"/>
  <c r="Q16" i="57"/>
  <c r="M16" i="57"/>
  <c r="I16" i="57"/>
  <c r="W16" i="57"/>
  <c r="S16" i="57"/>
  <c r="G16" i="57"/>
  <c r="K75" i="57"/>
  <c r="Y75" i="57"/>
  <c r="D75" i="57"/>
  <c r="U75" i="57"/>
  <c r="F75" i="57"/>
  <c r="S54" i="57"/>
  <c r="R54" i="57"/>
  <c r="Q54" i="57"/>
  <c r="I39" i="57"/>
  <c r="U39" i="57"/>
  <c r="Y16" i="57"/>
  <c r="O16" i="57"/>
  <c r="AA89" i="59" l="1"/>
  <c r="AA80" i="59"/>
  <c r="AA98" i="59"/>
  <c r="AA102" i="59"/>
  <c r="AA106" i="59"/>
  <c r="AA113" i="59"/>
  <c r="AA114" i="59"/>
  <c r="Z54" i="55"/>
  <c r="Z99" i="59"/>
  <c r="Z103" i="59"/>
  <c r="Z107" i="59"/>
  <c r="Z115" i="59"/>
  <c r="E16" i="57"/>
  <c r="Q39" i="57"/>
  <c r="K54" i="57"/>
  <c r="E75" i="57"/>
  <c r="AA94" i="59"/>
  <c r="F16" i="57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K16" i="57"/>
  <c r="U16" i="57"/>
  <c r="K39" i="57"/>
  <c r="S39" i="57"/>
  <c r="M39" i="57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97" i="59"/>
  <c r="AA101" i="59"/>
  <c r="AA105" i="59"/>
  <c r="AA110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7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<sst xmlns="http://schemas.openxmlformats.org/spreadsheetml/2006/main" count="722" uniqueCount="281">
  <si>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</si>
  <si>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</si>
  <si>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</si>
  <si>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</si>
  <si>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</si>
  <si>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</si>
  <si>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</si>
  <si>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</si>
  <si>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</si>
  <si>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</si>
  <si>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</si>
  <si>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</si>
  <si>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</si>
  <si>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</si>
  <si>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</si>
  <si>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</si>
  <si>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</si>
  <si>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</si>
  <si>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</si>
  <si>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</si>
  <si>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</si>
  <si>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</si>
  <si>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</si>
  <si>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</si>
  <si>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</si>
  <si>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</si>
  <si>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</si>
  <si>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</si>
  <si>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</si>
  <si>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</si>
  <si>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</si>
  <si>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</si>
  <si>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</si>
  <si>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</si>
  <si>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</si>
  <si>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</si>
  <si>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</si>
  <si>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</si>
  <si>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</si>
  <si>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</si>
  <si>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</si>
  <si>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</si>
  <si>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</si>
  <si>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</si>
  <si>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</si>
  <si>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</si>
  <si>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</si>
  <si>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</si>
  <si>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</si>
  <si>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</si>
  <si>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</si>
  <si>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</si>
  <si>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</si>
  <si>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</si>
  <si>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</si>
  <si>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</si>
  <si>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</si>
  <si>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</si>
  <si>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</si>
  <si>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</si>
  <si>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</si>
  <si>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</si>
  <si>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</si>
  <si>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</si>
  <si>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</si>
  <si>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</si>
  <si>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</si>
  <si>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</si>
  <si>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</si>
  <si>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</si>
  <si>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</si>
  <si>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</si>
  <si>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</si>
  <si>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</si>
  <si>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</si>
  <si>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</si>
  <si>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</si>
  <si>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</si>
  <si>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</si>
  <si>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</si>
  <si>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</si>
  <si>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</si>
  <si>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</si>
  <si>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</si>
  <si>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</si>
  <si>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</si>
  <si>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</si>
  <si>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</si>
  <si>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</si>
  <si>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</si>
  <si>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</si>
  <si>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</si>
  <si>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</si>
  <si>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</si>
  <si>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</si>
  <si>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</si>
  <si>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</si>
  <si>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</si>
  <si>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</si>
  <si>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</si>
  <si>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</si>
  <si>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</si>
  <si>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</si>
  <si>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</si>
  <si>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</si>
  <si>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</si>
  <si>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</si>
  <si>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</si>
  <si>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</si>
  <si>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</si>
  <si>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</si>
  <si>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</si>
  <si>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</si>
  <si>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</si>
  <si>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</si>
  <si>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</si>
  <si>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</si>
  <si>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</si>
  <si>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</si>
  <si>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</si>
  <si>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</si>
  <si>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</si>
  <si>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</si>
  <si>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</si>
  <si>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</si>
  <si>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</si>
  <si>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</si>
  <si>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</si>
  <si>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</si>
  <si>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</si>
  <si>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</si>
  <si>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</si>
  <si>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</si>
  <si>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</si>
  <si>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</si>
  <si>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</si>
  <si>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</si>
  <si>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</si>
  <si>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</si>
  <si>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</si>
  <si>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</si>
  <si>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</si>
  <si>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</si>
  <si>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</si>
  <si>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</si>
  <si>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</si>
  <si>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</si>
  <si>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</si>
  <si>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</si>
  <si>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</si>
  <si>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</si>
  <si>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</si>
  <si>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</si>
  <si>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</si>
  <si>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</si>
  <si>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</si>
  <si>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</si>
  <si>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</si>
  <si>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</si>
  <si>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</si>
  <si>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</si>
  <si>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</si>
  <si>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</si>
  <si>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</si>
  <si>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</si>
  <si>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</si>
  <si>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</si>
  <si>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</si>
  <si>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</si>
  <si>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</si>
  <si>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</si>
  <si>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</si>
  <si>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</si>
  <si>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</si>
  <si>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</si>
  <si>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</si>
  <si>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</si>
  <si>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</si>
  <si>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</si>
  <si>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</si>
  <si>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</si>
  <si>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</si>
  <si>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</si>
  <si>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</si>
  <si>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</si>
  <si>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</si>
  <si>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</si>
  <si>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</si>
  <si>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</si>
  <si>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</si>
  <si>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</si>
  <si>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</si>
  <si>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</si>
  <si>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</si>
  <si>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</si>
  <si>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</si>
  <si>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</si>
  <si>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</si>
  <si>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</si>
  <si>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</si>
  <si>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</si>
  <si>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</si>
  <si>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</si>
  <si>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</si>
  <si>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</si>
  <si>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</si>
  <si>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</si>
  <si>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</si>
  <si>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</si>
  <si>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</si>
  <si>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</si>
  <si>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</si>
  <si>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</si>
  <si>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</si>
  <si>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</si>
  <si>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</si>
  <si>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</si>
  <si>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</si>
  <si>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</si>
  <si>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</si>
  <si>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</si>
  <si>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</si>
  <si>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</si>
  <si>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</si>
  <si>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</si>
  <si>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</si>
  <si>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</si>
  <si>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</si>
  <si>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</si>
  <si>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</si>
  <si>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</si>
  <si>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</si>
  <si>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</si>
  <si>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</si>
  <si>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</si>
  <si>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</si>
  <si>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</si>
  <si>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</si>
  <si>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</si>
  <si>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</si>
  <si>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</si>
  <si>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</si>
  <si>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</si>
  <si>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</si>
  <si>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</si>
  <si>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</si>
  <si>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</si>
  <si>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</si>
  <si>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</si>
  <si>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</si>
  <si>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</si>
  <si>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</si>
  <si>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</si>
  <si>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</si>
  <si>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</si>
  <si>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</si>
  <si>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</si>
  <si>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</si>
  <si>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</si>
  <si>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</si>
  <si>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</si>
  <si>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</si>
  <si>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</si>
  <si>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</si>
  <si>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</si>
  <si>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</si>
  <si>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</si>
  <si>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</si>
  <si>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</si>
  <si>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</si>
  <si>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</si>
  <si>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</si>
  <si>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</si>
  <si>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</si>
  <si>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</si>
  <si>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</si>
  <si>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</si>
  <si>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</si>
  <si>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</si>
  <si>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DE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</si>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</sst>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45967.473055555558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2129660</v>
      </c>
      <c r="E2" s="19">
        <v>2195530</v>
      </c>
      <c r="F2" s="19">
        <v>2223360</v>
      </c>
      <c r="G2" s="19">
        <v>2240810</v>
      </c>
      <c r="H2" s="19">
        <v>2293040</v>
      </c>
      <c r="I2" s="19">
        <v>2325710</v>
      </c>
      <c r="J2" s="19">
        <v>2426180</v>
      </c>
      <c r="K2" s="19">
        <v>2542220</v>
      </c>
      <c r="L2" s="19">
        <v>2589280</v>
      </c>
      <c r="M2" s="19">
        <v>2493970</v>
      </c>
      <c r="N2" s="19">
        <v>2615260</v>
      </c>
      <c r="O2" s="19">
        <v>2746910</v>
      </c>
      <c r="P2" s="19">
        <v>2799280</v>
      </c>
      <c r="Q2" s="19">
        <v>2866480</v>
      </c>
      <c r="R2" s="19">
        <v>2984470</v>
      </c>
      <c r="S2" s="19">
        <v>3087030</v>
      </c>
      <c r="T2" s="19">
        <v>3195210</v>
      </c>
      <c r="U2" s="19">
        <v>3333110</v>
      </c>
      <c r="V2" s="19">
        <v>3434030</v>
      </c>
      <c r="W2" s="19">
        <v>3537280</v>
      </c>
      <c r="X2" s="19">
        <v>3450720</v>
      </c>
      <c r="Y2" s="19">
        <v>3682340</v>
      </c>
      <c r="Z2" s="19">
        <v>3989390</v>
      </c>
      <c r="AA2" s="19">
        <v>4219310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1201814</v>
      </c>
      <c r="E3" s="23">
        <v>1238791</v>
      </c>
      <c r="F3" s="23">
        <v>1250939</v>
      </c>
      <c r="G3" s="23">
        <v>1282424</v>
      </c>
      <c r="H3" s="23">
        <v>1306221</v>
      </c>
      <c r="I3" s="23">
        <v>1334453</v>
      </c>
      <c r="J3" s="23">
        <v>1369999</v>
      </c>
      <c r="K3" s="23">
        <v>1394366</v>
      </c>
      <c r="L3" s="23">
        <v>1423468</v>
      </c>
      <c r="M3" s="23">
        <v>1427145</v>
      </c>
      <c r="N3" s="23">
        <v>1458929</v>
      </c>
      <c r="O3" s="23">
        <v>1505962</v>
      </c>
      <c r="P3" s="23">
        <v>1546258</v>
      </c>
      <c r="Q3" s="23">
        <v>1571749</v>
      </c>
      <c r="R3" s="23">
        <v>1604736</v>
      </c>
      <c r="S3" s="23">
        <v>1650306</v>
      </c>
      <c r="T3" s="23">
        <v>1699336</v>
      </c>
      <c r="U3" s="23">
        <v>1753780</v>
      </c>
      <c r="V3" s="23">
        <v>1808497</v>
      </c>
      <c r="W3" s="23">
        <v>1865115</v>
      </c>
      <c r="X3" s="23">
        <v>1748769</v>
      </c>
      <c r="Y3" s="23">
        <v>1841679</v>
      </c>
      <c r="Z3" s="23">
        <v>2094029</v>
      </c>
      <c r="AA3" s="23">
        <v>2218511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1915279</v>
      </c>
      <c r="E4" s="27">
        <v>1977509</v>
      </c>
      <c r="F4" s="27">
        <v>2003527</v>
      </c>
      <c r="G4" s="27">
        <v>2015904</v>
      </c>
      <c r="H4" s="27">
        <v>2069017</v>
      </c>
      <c r="I4" s="27">
        <v>2095171</v>
      </c>
      <c r="J4" s="27">
        <v>2184869</v>
      </c>
      <c r="K4" s="27">
        <v>2275687</v>
      </c>
      <c r="L4" s="27">
        <v>2316889</v>
      </c>
      <c r="M4" s="27">
        <v>2223746</v>
      </c>
      <c r="N4" s="27">
        <v>2341162</v>
      </c>
      <c r="O4" s="27">
        <v>2451563</v>
      </c>
      <c r="P4" s="27">
        <v>2499101</v>
      </c>
      <c r="Q4" s="27">
        <v>2555938</v>
      </c>
      <c r="R4" s="27">
        <v>2662091</v>
      </c>
      <c r="S4" s="27">
        <v>2753317</v>
      </c>
      <c r="T4" s="27">
        <v>2852146</v>
      </c>
      <c r="U4" s="27">
        <v>2977318</v>
      </c>
      <c r="V4" s="27">
        <v>3069316</v>
      </c>
      <c r="W4" s="27">
        <v>3161673</v>
      </c>
      <c r="X4" s="27">
        <v>3100097</v>
      </c>
      <c r="Y4" s="27">
        <v>3294085</v>
      </c>
      <c r="Z4" s="27">
        <v>3591874</v>
      </c>
      <c r="AA4" s="27">
        <v>3853937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21215</v>
      </c>
      <c r="E6" s="19">
        <v>23785</v>
      </c>
      <c r="F6" s="19">
        <v>20040</v>
      </c>
      <c r="G6" s="19">
        <v>18584</v>
      </c>
      <c r="H6" s="19">
        <v>21758</v>
      </c>
      <c r="I6" s="19">
        <v>16886</v>
      </c>
      <c r="J6" s="19">
        <v>17386</v>
      </c>
      <c r="K6" s="19">
        <v>20899</v>
      </c>
      <c r="L6" s="19">
        <v>21673</v>
      </c>
      <c r="M6" s="19">
        <v>16720</v>
      </c>
      <c r="N6" s="19">
        <v>20294</v>
      </c>
      <c r="O6" s="19">
        <v>25399</v>
      </c>
      <c r="P6" s="19">
        <v>25513</v>
      </c>
      <c r="Q6" s="19">
        <v>26576</v>
      </c>
      <c r="R6" s="19">
        <v>27326</v>
      </c>
      <c r="S6" s="19">
        <v>21872</v>
      </c>
      <c r="T6" s="19">
        <v>23342</v>
      </c>
      <c r="U6" s="19">
        <v>28665</v>
      </c>
      <c r="V6" s="19">
        <v>25496</v>
      </c>
      <c r="W6" s="19">
        <v>29470</v>
      </c>
      <c r="X6" s="19">
        <v>25144</v>
      </c>
      <c r="Y6" s="19">
        <v>27761</v>
      </c>
      <c r="Z6" s="19">
        <v>39680</v>
      </c>
      <c r="AA6" s="19">
        <v>39204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483438</v>
      </c>
      <c r="E7" s="23">
        <v>491554</v>
      </c>
      <c r="F7" s="23">
        <v>485669</v>
      </c>
      <c r="G7" s="23">
        <v>489975</v>
      </c>
      <c r="H7" s="23">
        <v>510829</v>
      </c>
      <c r="I7" s="23">
        <v>518508</v>
      </c>
      <c r="J7" s="23">
        <v>555602</v>
      </c>
      <c r="K7" s="23">
        <v>587119</v>
      </c>
      <c r="L7" s="23">
        <v>586083</v>
      </c>
      <c r="M7" s="23">
        <v>505113</v>
      </c>
      <c r="N7" s="23">
        <v>586538</v>
      </c>
      <c r="O7" s="23">
        <v>621874</v>
      </c>
      <c r="P7" s="23">
        <v>638585</v>
      </c>
      <c r="Q7" s="23">
        <v>633977</v>
      </c>
      <c r="R7" s="23">
        <v>663715</v>
      </c>
      <c r="S7" s="23">
        <v>684747</v>
      </c>
      <c r="T7" s="23">
        <v>715533</v>
      </c>
      <c r="U7" s="23">
        <v>738434</v>
      </c>
      <c r="V7" s="23">
        <v>750664</v>
      </c>
      <c r="W7" s="23">
        <v>760058</v>
      </c>
      <c r="X7" s="23">
        <v>716084</v>
      </c>
      <c r="Y7" s="23">
        <v>764213</v>
      </c>
      <c r="Z7" s="23">
        <v>845760</v>
      </c>
      <c r="AA7" s="23">
        <v>943392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96972</v>
      </c>
      <c r="E8" s="23">
        <v>91986</v>
      </c>
      <c r="F8" s="23">
        <v>87922</v>
      </c>
      <c r="G8" s="23">
        <v>84137</v>
      </c>
      <c r="H8" s="23">
        <v>81661</v>
      </c>
      <c r="I8" s="23">
        <v>78899</v>
      </c>
      <c r="J8" s="23">
        <v>81514</v>
      </c>
      <c r="K8" s="23">
        <v>85545</v>
      </c>
      <c r="L8" s="23">
        <v>88250</v>
      </c>
      <c r="M8" s="23">
        <v>89402</v>
      </c>
      <c r="N8" s="23">
        <v>94401</v>
      </c>
      <c r="O8" s="23">
        <v>100001</v>
      </c>
      <c r="P8" s="23">
        <v>104485</v>
      </c>
      <c r="Q8" s="23">
        <v>107809</v>
      </c>
      <c r="R8" s="23">
        <v>111828</v>
      </c>
      <c r="S8" s="23">
        <v>113982</v>
      </c>
      <c r="T8" s="23">
        <v>120757</v>
      </c>
      <c r="U8" s="23">
        <v>127357</v>
      </c>
      <c r="V8" s="23">
        <v>137055</v>
      </c>
      <c r="W8" s="23">
        <v>143419</v>
      </c>
      <c r="X8" s="23">
        <v>154717</v>
      </c>
      <c r="Y8" s="23">
        <v>162155</v>
      </c>
      <c r="Z8" s="23">
        <v>173942</v>
      </c>
      <c r="AA8" s="23">
        <v>187208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308728</v>
      </c>
      <c r="E9" s="23">
        <v>325977</v>
      </c>
      <c r="F9" s="23">
        <v>329902</v>
      </c>
      <c r="G9" s="23">
        <v>335089</v>
      </c>
      <c r="H9" s="23">
        <v>339252</v>
      </c>
      <c r="I9" s="23">
        <v>347983</v>
      </c>
      <c r="J9" s="23">
        <v>361001</v>
      </c>
      <c r="K9" s="23">
        <v>376118</v>
      </c>
      <c r="L9" s="23">
        <v>386760</v>
      </c>
      <c r="M9" s="23">
        <v>380437</v>
      </c>
      <c r="N9" s="23">
        <v>375793</v>
      </c>
      <c r="O9" s="23">
        <v>392010</v>
      </c>
      <c r="P9" s="23">
        <v>390479</v>
      </c>
      <c r="Q9" s="23">
        <v>400105</v>
      </c>
      <c r="R9" s="23">
        <v>423519</v>
      </c>
      <c r="S9" s="23">
        <v>445162</v>
      </c>
      <c r="T9" s="23">
        <v>460880</v>
      </c>
      <c r="U9" s="23">
        <v>492244</v>
      </c>
      <c r="V9" s="23">
        <v>508202</v>
      </c>
      <c r="W9" s="23">
        <v>526578</v>
      </c>
      <c r="X9" s="23">
        <v>500139</v>
      </c>
      <c r="Y9" s="23">
        <v>545791</v>
      </c>
      <c r="Z9" s="23">
        <v>641858</v>
      </c>
      <c r="AA9" s="23">
        <v>647138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88773</v>
      </c>
      <c r="E10" s="23">
        <v>97122</v>
      </c>
      <c r="F10" s="23">
        <v>99656</v>
      </c>
      <c r="G10" s="23">
        <v>91980</v>
      </c>
      <c r="H10" s="23">
        <v>98624</v>
      </c>
      <c r="I10" s="23">
        <v>97866</v>
      </c>
      <c r="J10" s="23">
        <v>103816</v>
      </c>
      <c r="K10" s="23">
        <v>109219</v>
      </c>
      <c r="L10" s="23">
        <v>108572</v>
      </c>
      <c r="M10" s="23">
        <v>103915</v>
      </c>
      <c r="N10" s="23">
        <v>101827</v>
      </c>
      <c r="O10" s="23">
        <v>111020</v>
      </c>
      <c r="P10" s="23">
        <v>115349</v>
      </c>
      <c r="Q10" s="23">
        <v>120807</v>
      </c>
      <c r="R10" s="23">
        <v>125427</v>
      </c>
      <c r="S10" s="23">
        <v>128329</v>
      </c>
      <c r="T10" s="23">
        <v>129800</v>
      </c>
      <c r="U10" s="23">
        <v>137066</v>
      </c>
      <c r="V10" s="23">
        <v>148381</v>
      </c>
      <c r="W10" s="23">
        <v>155567</v>
      </c>
      <c r="X10" s="23">
        <v>155462</v>
      </c>
      <c r="Y10" s="23">
        <v>167800</v>
      </c>
      <c r="Z10" s="23">
        <v>168244</v>
      </c>
      <c r="AA10" s="23">
        <v>185650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81120</v>
      </c>
      <c r="E11" s="23">
        <v>83222</v>
      </c>
      <c r="F11" s="23">
        <v>90726</v>
      </c>
      <c r="G11" s="23">
        <v>101168</v>
      </c>
      <c r="H11" s="23">
        <v>114215</v>
      </c>
      <c r="I11" s="23">
        <v>112020</v>
      </c>
      <c r="J11" s="23">
        <v>111765</v>
      </c>
      <c r="K11" s="23">
        <v>105857</v>
      </c>
      <c r="L11" s="23">
        <v>98179</v>
      </c>
      <c r="M11" s="23">
        <v>110761</v>
      </c>
      <c r="N11" s="23">
        <v>115367</v>
      </c>
      <c r="O11" s="23">
        <v>118868</v>
      </c>
      <c r="P11" s="23">
        <v>121913</v>
      </c>
      <c r="Q11" s="23">
        <v>119300</v>
      </c>
      <c r="R11" s="23">
        <v>120155</v>
      </c>
      <c r="S11" s="23">
        <v>124832</v>
      </c>
      <c r="T11" s="23">
        <v>122325</v>
      </c>
      <c r="U11" s="23">
        <v>121140</v>
      </c>
      <c r="V11" s="23">
        <v>120446</v>
      </c>
      <c r="W11" s="23">
        <v>125949</v>
      </c>
      <c r="X11" s="23">
        <v>128334</v>
      </c>
      <c r="Y11" s="23">
        <v>138836</v>
      </c>
      <c r="Z11" s="23">
        <v>135040</v>
      </c>
      <c r="AA11" s="23">
        <v>149169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206688</v>
      </c>
      <c r="E12" s="23">
        <v>217079</v>
      </c>
      <c r="F12" s="23">
        <v>223394</v>
      </c>
      <c r="G12" s="23">
        <v>223920</v>
      </c>
      <c r="H12" s="23">
        <v>225336</v>
      </c>
      <c r="I12" s="23">
        <v>232110</v>
      </c>
      <c r="J12" s="23">
        <v>245382</v>
      </c>
      <c r="K12" s="23">
        <v>257835</v>
      </c>
      <c r="L12" s="23">
        <v>267636</v>
      </c>
      <c r="M12" s="23">
        <v>263427</v>
      </c>
      <c r="N12" s="23">
        <v>264734</v>
      </c>
      <c r="O12" s="23">
        <v>281022</v>
      </c>
      <c r="P12" s="23">
        <v>276608</v>
      </c>
      <c r="Q12" s="23">
        <v>287595</v>
      </c>
      <c r="R12" s="23">
        <v>293879</v>
      </c>
      <c r="S12" s="23">
        <v>304542</v>
      </c>
      <c r="T12" s="23">
        <v>311455</v>
      </c>
      <c r="U12" s="23">
        <v>317987</v>
      </c>
      <c r="V12" s="23">
        <v>322425</v>
      </c>
      <c r="W12" s="23">
        <v>329105</v>
      </c>
      <c r="X12" s="23">
        <v>333172</v>
      </c>
      <c r="Y12" s="23">
        <v>339710</v>
      </c>
      <c r="Z12" s="23">
        <v>346060</v>
      </c>
      <c r="AA12" s="23">
        <v>374433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209114</v>
      </c>
      <c r="E13" s="23">
        <v>216736</v>
      </c>
      <c r="F13" s="23">
        <v>221641</v>
      </c>
      <c r="G13" s="23">
        <v>221406</v>
      </c>
      <c r="H13" s="23">
        <v>220264</v>
      </c>
      <c r="I13" s="23">
        <v>227314</v>
      </c>
      <c r="J13" s="23">
        <v>235777</v>
      </c>
      <c r="K13" s="23">
        <v>253238</v>
      </c>
      <c r="L13" s="23">
        <v>262575</v>
      </c>
      <c r="M13" s="23">
        <v>240710</v>
      </c>
      <c r="N13" s="23">
        <v>255033</v>
      </c>
      <c r="O13" s="23">
        <v>259644</v>
      </c>
      <c r="P13" s="23">
        <v>268385</v>
      </c>
      <c r="Q13" s="23">
        <v>286317</v>
      </c>
      <c r="R13" s="23">
        <v>300200</v>
      </c>
      <c r="S13" s="23">
        <v>313807</v>
      </c>
      <c r="T13" s="23">
        <v>330260</v>
      </c>
      <c r="U13" s="23">
        <v>350540</v>
      </c>
      <c r="V13" s="23">
        <v>369643</v>
      </c>
      <c r="W13" s="23">
        <v>368028</v>
      </c>
      <c r="X13" s="23">
        <v>359083</v>
      </c>
      <c r="Y13" s="23">
        <v>397006</v>
      </c>
      <c r="Z13" s="23">
        <v>429659</v>
      </c>
      <c r="AA13" s="23">
        <v>465179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339843</v>
      </c>
      <c r="E14" s="23">
        <v>348960</v>
      </c>
      <c r="F14" s="23">
        <v>362543</v>
      </c>
      <c r="G14" s="23">
        <v>367270</v>
      </c>
      <c r="H14" s="23">
        <v>372203</v>
      </c>
      <c r="I14" s="23">
        <v>376956</v>
      </c>
      <c r="J14" s="23">
        <v>382468</v>
      </c>
      <c r="K14" s="23">
        <v>388176</v>
      </c>
      <c r="L14" s="23">
        <v>401583</v>
      </c>
      <c r="M14" s="23">
        <v>418566</v>
      </c>
      <c r="N14" s="23">
        <v>432262</v>
      </c>
      <c r="O14" s="23">
        <v>444837</v>
      </c>
      <c r="P14" s="23">
        <v>459448</v>
      </c>
      <c r="Q14" s="23">
        <v>474901</v>
      </c>
      <c r="R14" s="23">
        <v>494743</v>
      </c>
      <c r="S14" s="23">
        <v>511493</v>
      </c>
      <c r="T14" s="23">
        <v>532449</v>
      </c>
      <c r="U14" s="23">
        <v>556881</v>
      </c>
      <c r="V14" s="23">
        <v>578195</v>
      </c>
      <c r="W14" s="23">
        <v>610279</v>
      </c>
      <c r="X14" s="23">
        <v>629685</v>
      </c>
      <c r="Y14" s="23">
        <v>651072</v>
      </c>
      <c r="Z14" s="23">
        <v>691997</v>
      </c>
      <c r="AA14" s="23">
        <v>733621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79388</v>
      </c>
      <c r="E15" s="23">
        <v>81088</v>
      </c>
      <c r="F15" s="23">
        <v>82034</v>
      </c>
      <c r="G15" s="23">
        <v>82375</v>
      </c>
      <c r="H15" s="23">
        <v>84875</v>
      </c>
      <c r="I15" s="23">
        <v>86629</v>
      </c>
      <c r="J15" s="23">
        <v>90158</v>
      </c>
      <c r="K15" s="23">
        <v>91681</v>
      </c>
      <c r="L15" s="23">
        <v>95578</v>
      </c>
      <c r="M15" s="23">
        <v>94695</v>
      </c>
      <c r="N15" s="23">
        <v>94913</v>
      </c>
      <c r="O15" s="23">
        <v>96888</v>
      </c>
      <c r="P15" s="23">
        <v>98336</v>
      </c>
      <c r="Q15" s="23">
        <v>98551</v>
      </c>
      <c r="R15" s="23">
        <v>101299</v>
      </c>
      <c r="S15" s="23">
        <v>104551</v>
      </c>
      <c r="T15" s="23">
        <v>105345</v>
      </c>
      <c r="U15" s="23">
        <v>107004</v>
      </c>
      <c r="V15" s="23">
        <v>108809</v>
      </c>
      <c r="W15" s="23">
        <v>113220</v>
      </c>
      <c r="X15" s="23">
        <v>98277</v>
      </c>
      <c r="Y15" s="23">
        <v>99741</v>
      </c>
      <c r="Z15" s="23">
        <v>119634</v>
      </c>
      <c r="AA15" s="23">
        <v>128943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1915279</v>
      </c>
      <c r="E16" s="30">
        <f t="shared" ref="E16:Y16" si="0">SUM(E6:E15)</f>
        <v>1977509</v>
      </c>
      <c r="F16" s="30">
        <f t="shared" si="0"/>
        <v>2003527</v>
      </c>
      <c r="G16" s="30">
        <f t="shared" si="0"/>
        <v>2015904</v>
      </c>
      <c r="H16" s="30">
        <f t="shared" si="0"/>
        <v>2069017</v>
      </c>
      <c r="I16" s="30">
        <f t="shared" si="0"/>
        <v>2095171</v>
      </c>
      <c r="J16" s="30">
        <f t="shared" si="0"/>
        <v>2184869</v>
      </c>
      <c r="K16" s="30">
        <f t="shared" si="0"/>
        <v>2275687</v>
      </c>
      <c r="L16" s="30">
        <f t="shared" si="0"/>
        <v>2316889</v>
      </c>
      <c r="M16" s="30">
        <f t="shared" si="0"/>
        <v>2223746</v>
      </c>
      <c r="N16" s="30">
        <f t="shared" si="0"/>
        <v>2341162</v>
      </c>
      <c r="O16" s="30">
        <f t="shared" si="0"/>
        <v>2451563</v>
      </c>
      <c r="P16" s="30">
        <f t="shared" si="0"/>
        <v>2499101</v>
      </c>
      <c r="Q16" s="30">
        <f t="shared" si="0"/>
        <v>2555938</v>
      </c>
      <c r="R16" s="30">
        <f t="shared" si="0"/>
        <v>2662091</v>
      </c>
      <c r="S16" s="30">
        <f t="shared" si="0"/>
        <v>2753317</v>
      </c>
      <c r="T16" s="30">
        <f t="shared" si="0"/>
        <v>2852146</v>
      </c>
      <c r="U16" s="30">
        <f t="shared" si="0"/>
        <v>2977318</v>
      </c>
      <c r="V16" s="30">
        <f t="shared" si="0"/>
        <v>3069316</v>
      </c>
      <c r="W16" s="30">
        <f t="shared" si="0"/>
        <v>3161673</v>
      </c>
      <c r="X16" s="30">
        <f t="shared" si="0"/>
        <v>3100097</v>
      </c>
      <c r="Y16" s="30">
        <f t="shared" si="0"/>
        <v>3294085</v>
      </c>
      <c r="Z16" s="30">
        <f t="shared" ref="Z16:AA16" si="1">SUM(Z6:Z15)</f>
        <v>3591874</v>
      </c>
      <c r="AA16" s="30">
        <f t="shared" si="1"/>
        <v>3853937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21215</v>
      </c>
      <c r="E18" s="19">
        <v>23785</v>
      </c>
      <c r="F18" s="19">
        <v>20040</v>
      </c>
      <c r="G18" s="19">
        <v>18584</v>
      </c>
      <c r="H18" s="19">
        <v>21758</v>
      </c>
      <c r="I18" s="19">
        <v>16886</v>
      </c>
      <c r="J18" s="19">
        <v>17386</v>
      </c>
      <c r="K18" s="19">
        <v>20899</v>
      </c>
      <c r="L18" s="19">
        <v>21673</v>
      </c>
      <c r="M18" s="19">
        <v>16720</v>
      </c>
      <c r="N18" s="19">
        <v>20294</v>
      </c>
      <c r="O18" s="19">
        <v>25399</v>
      </c>
      <c r="P18" s="19">
        <v>25513</v>
      </c>
      <c r="Q18" s="19">
        <v>26576</v>
      </c>
      <c r="R18" s="19">
        <v>27326</v>
      </c>
      <c r="S18" s="19">
        <v>21872</v>
      </c>
      <c r="T18" s="19">
        <v>23342</v>
      </c>
      <c r="U18" s="19">
        <v>28665</v>
      </c>
      <c r="V18" s="19">
        <v>25496</v>
      </c>
      <c r="W18" s="19">
        <v>29470</v>
      </c>
      <c r="X18" s="19">
        <v>25144</v>
      </c>
      <c r="Y18" s="19">
        <v>27761</v>
      </c>
      <c r="Z18" s="19">
        <v>39680</v>
      </c>
      <c r="AA18" s="19">
        <v>39204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5030</v>
      </c>
      <c r="E19" s="23">
        <v>4159</v>
      </c>
      <c r="F19" s="23">
        <v>4391</v>
      </c>
      <c r="G19" s="23">
        <v>3750</v>
      </c>
      <c r="H19" s="23">
        <v>3902.9999999999995</v>
      </c>
      <c r="I19" s="23">
        <v>3924.9999999999995</v>
      </c>
      <c r="J19" s="23">
        <v>4909</v>
      </c>
      <c r="K19" s="23">
        <v>4943</v>
      </c>
      <c r="L19" s="23">
        <v>6321.3579716373015</v>
      </c>
      <c r="M19" s="23">
        <v>5104.8260115606945</v>
      </c>
      <c r="N19" s="23">
        <v>5228.9995409509966</v>
      </c>
      <c r="O19" s="23">
        <v>5432.2793000130278</v>
      </c>
      <c r="P19" s="23">
        <v>5817.2546042003232</v>
      </c>
      <c r="Q19" s="23">
        <v>5161.1390472523726</v>
      </c>
      <c r="R19" s="23">
        <v>4948.6357581483226</v>
      </c>
      <c r="S19" s="23">
        <v>4654.4835074260172</v>
      </c>
      <c r="T19" s="23">
        <v>4102.2314342157251</v>
      </c>
      <c r="U19" s="23">
        <v>4333.2797970399224</v>
      </c>
      <c r="V19" s="23">
        <v>4389.9292562546088</v>
      </c>
      <c r="W19" s="23">
        <v>4617.7193829853541</v>
      </c>
      <c r="X19" s="23">
        <v>4411.2528365791704</v>
      </c>
      <c r="Y19" s="23">
        <v>4753.8308136699552</v>
      </c>
      <c r="Z19" s="23">
        <v>5922.9449613705074</v>
      </c>
      <c r="AA19" s="23">
        <v>4713.8231282968991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431981</v>
      </c>
      <c r="E20" s="23">
        <v>441002</v>
      </c>
      <c r="F20" s="23">
        <v>433029</v>
      </c>
      <c r="G20" s="23">
        <v>438145</v>
      </c>
      <c r="H20" s="23">
        <v>453784</v>
      </c>
      <c r="I20" s="23">
        <v>459778</v>
      </c>
      <c r="J20" s="23">
        <v>493457</v>
      </c>
      <c r="K20" s="23">
        <v>521915</v>
      </c>
      <c r="L20" s="23">
        <v>511603</v>
      </c>
      <c r="M20" s="23">
        <v>432427</v>
      </c>
      <c r="N20" s="23">
        <v>508085</v>
      </c>
      <c r="O20" s="23">
        <v>552758</v>
      </c>
      <c r="P20" s="23">
        <v>561180</v>
      </c>
      <c r="Q20" s="23">
        <v>566418</v>
      </c>
      <c r="R20" s="23">
        <v>600184</v>
      </c>
      <c r="S20" s="23">
        <v>621665</v>
      </c>
      <c r="T20" s="23">
        <v>652239</v>
      </c>
      <c r="U20" s="23">
        <v>669711</v>
      </c>
      <c r="V20" s="23">
        <v>680125</v>
      </c>
      <c r="W20" s="23">
        <v>683030</v>
      </c>
      <c r="X20" s="23">
        <v>639332</v>
      </c>
      <c r="Y20" s="23">
        <v>683907</v>
      </c>
      <c r="Z20" s="23">
        <v>730927</v>
      </c>
      <c r="AA20" s="23">
        <v>799148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27915</v>
      </c>
      <c r="E21" s="23">
        <v>28014</v>
      </c>
      <c r="F21" s="23">
        <v>29694.000000000004</v>
      </c>
      <c r="G21" s="23">
        <v>28775</v>
      </c>
      <c r="H21" s="23">
        <v>32811</v>
      </c>
      <c r="I21" s="23">
        <v>33677</v>
      </c>
      <c r="J21" s="23">
        <v>35744</v>
      </c>
      <c r="K21" s="23">
        <v>37866</v>
      </c>
      <c r="L21" s="23">
        <v>44610.583369144821</v>
      </c>
      <c r="M21" s="23">
        <v>45044.112413982934</v>
      </c>
      <c r="N21" s="23">
        <v>49529.939979342795</v>
      </c>
      <c r="O21" s="23">
        <v>38050.965594105983</v>
      </c>
      <c r="P21" s="23">
        <v>45441.611890145396</v>
      </c>
      <c r="Q21" s="23">
        <v>36186.997793605893</v>
      </c>
      <c r="R21" s="23">
        <v>30557.100566839868</v>
      </c>
      <c r="S21" s="23">
        <v>29181.761796826704</v>
      </c>
      <c r="T21" s="23">
        <v>29271.786993283287</v>
      </c>
      <c r="U21" s="23">
        <v>33288.421258468785</v>
      </c>
      <c r="V21" s="23">
        <v>33625.777628070573</v>
      </c>
      <c r="W21" s="23">
        <v>38531.002648800248</v>
      </c>
      <c r="X21" s="23">
        <v>37894.581541066895</v>
      </c>
      <c r="Y21" s="23">
        <v>40526.056220379891</v>
      </c>
      <c r="Z21" s="23">
        <v>71923.954249244198</v>
      </c>
      <c r="AA21" s="23">
        <v>99623.800577798043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18512</v>
      </c>
      <c r="E22" s="23">
        <v>18379</v>
      </c>
      <c r="F22" s="23">
        <v>18555</v>
      </c>
      <c r="G22" s="23">
        <v>19305</v>
      </c>
      <c r="H22" s="23">
        <v>20331</v>
      </c>
      <c r="I22" s="23">
        <v>21128</v>
      </c>
      <c r="J22" s="23">
        <v>21492</v>
      </c>
      <c r="K22" s="23">
        <v>22395</v>
      </c>
      <c r="L22" s="23">
        <v>23548.058659217877</v>
      </c>
      <c r="M22" s="23">
        <v>22537.061574456373</v>
      </c>
      <c r="N22" s="23">
        <v>23694.060479706208</v>
      </c>
      <c r="O22" s="23">
        <v>25632.755105880991</v>
      </c>
      <c r="P22" s="23">
        <v>26146.133505654281</v>
      </c>
      <c r="Q22" s="23">
        <v>26210.863159141725</v>
      </c>
      <c r="R22" s="23">
        <v>28025.263675011807</v>
      </c>
      <c r="S22" s="23">
        <v>29245.754695747277</v>
      </c>
      <c r="T22" s="23">
        <v>29919.98157250099</v>
      </c>
      <c r="U22" s="23">
        <v>31101.298944491293</v>
      </c>
      <c r="V22" s="23">
        <v>32523.293115674816</v>
      </c>
      <c r="W22" s="23">
        <v>33879.277968214396</v>
      </c>
      <c r="X22" s="23">
        <v>34446.165622353939</v>
      </c>
      <c r="Y22" s="23">
        <v>35026.11296595016</v>
      </c>
      <c r="Z22" s="23">
        <v>36986.100789385287</v>
      </c>
      <c r="AA22" s="23">
        <v>39906.37629390505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96972</v>
      </c>
      <c r="E23" s="23">
        <v>91986</v>
      </c>
      <c r="F23" s="23">
        <v>87922</v>
      </c>
      <c r="G23" s="23">
        <v>84137</v>
      </c>
      <c r="H23" s="23">
        <v>81661</v>
      </c>
      <c r="I23" s="23">
        <v>78899</v>
      </c>
      <c r="J23" s="23">
        <v>81514</v>
      </c>
      <c r="K23" s="23">
        <v>85545</v>
      </c>
      <c r="L23" s="23">
        <v>88250</v>
      </c>
      <c r="M23" s="23">
        <v>89402</v>
      </c>
      <c r="N23" s="23">
        <v>94401</v>
      </c>
      <c r="O23" s="23">
        <v>100001</v>
      </c>
      <c r="P23" s="23">
        <v>104485</v>
      </c>
      <c r="Q23" s="23">
        <v>107809</v>
      </c>
      <c r="R23" s="23">
        <v>111828</v>
      </c>
      <c r="S23" s="23">
        <v>113982</v>
      </c>
      <c r="T23" s="23">
        <v>120757</v>
      </c>
      <c r="U23" s="23">
        <v>127357</v>
      </c>
      <c r="V23" s="23">
        <v>137055</v>
      </c>
      <c r="W23" s="23">
        <v>143419</v>
      </c>
      <c r="X23" s="23">
        <v>154717</v>
      </c>
      <c r="Y23" s="23">
        <v>162155</v>
      </c>
      <c r="Z23" s="23">
        <v>173942</v>
      </c>
      <c r="AA23" s="23">
        <v>187208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195063</v>
      </c>
      <c r="E24" s="23">
        <v>206888</v>
      </c>
      <c r="F24" s="23">
        <v>209781</v>
      </c>
      <c r="G24" s="23">
        <v>213703</v>
      </c>
      <c r="H24" s="23">
        <v>215254</v>
      </c>
      <c r="I24" s="23">
        <v>219037</v>
      </c>
      <c r="J24" s="23">
        <v>225837</v>
      </c>
      <c r="K24" s="23">
        <v>233261</v>
      </c>
      <c r="L24" s="23">
        <v>241651</v>
      </c>
      <c r="M24" s="23">
        <v>240651</v>
      </c>
      <c r="N24" s="23">
        <v>232131</v>
      </c>
      <c r="O24" s="23">
        <v>243893</v>
      </c>
      <c r="P24" s="23">
        <v>238064</v>
      </c>
      <c r="Q24" s="23">
        <v>241373</v>
      </c>
      <c r="R24" s="23">
        <v>261020</v>
      </c>
      <c r="S24" s="23">
        <v>272438</v>
      </c>
      <c r="T24" s="23">
        <v>286251</v>
      </c>
      <c r="U24" s="23">
        <v>308468</v>
      </c>
      <c r="V24" s="23">
        <v>316416</v>
      </c>
      <c r="W24" s="23">
        <v>327958</v>
      </c>
      <c r="X24" s="23">
        <v>341581</v>
      </c>
      <c r="Y24" s="23">
        <v>362179</v>
      </c>
      <c r="Z24" s="23">
        <v>417721</v>
      </c>
      <c r="AA24" s="23">
        <v>414133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82514</v>
      </c>
      <c r="E25" s="23">
        <v>86914</v>
      </c>
      <c r="F25" s="23">
        <v>88671</v>
      </c>
      <c r="G25" s="23">
        <v>90275</v>
      </c>
      <c r="H25" s="23">
        <v>92424</v>
      </c>
      <c r="I25" s="23">
        <v>96882</v>
      </c>
      <c r="J25" s="23">
        <v>102647</v>
      </c>
      <c r="K25" s="23">
        <v>108276</v>
      </c>
      <c r="L25" s="23">
        <v>110771</v>
      </c>
      <c r="M25" s="23">
        <v>106725</v>
      </c>
      <c r="N25" s="23">
        <v>108838</v>
      </c>
      <c r="O25" s="23">
        <v>110896</v>
      </c>
      <c r="P25" s="23">
        <v>112959</v>
      </c>
      <c r="Q25" s="23">
        <v>119792</v>
      </c>
      <c r="R25" s="23">
        <v>120706</v>
      </c>
      <c r="S25" s="23">
        <v>127795</v>
      </c>
      <c r="T25" s="23">
        <v>126912</v>
      </c>
      <c r="U25" s="23">
        <v>133085</v>
      </c>
      <c r="V25" s="23">
        <v>138071</v>
      </c>
      <c r="W25" s="23">
        <v>141158</v>
      </c>
      <c r="X25" s="23">
        <v>127533</v>
      </c>
      <c r="Y25" s="23">
        <v>152050</v>
      </c>
      <c r="Z25" s="23">
        <v>172664</v>
      </c>
      <c r="AA25" s="23">
        <v>175525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31151</v>
      </c>
      <c r="E26" s="23">
        <v>32175</v>
      </c>
      <c r="F26" s="23">
        <v>31450</v>
      </c>
      <c r="G26" s="23">
        <v>31111</v>
      </c>
      <c r="H26" s="23">
        <v>31574</v>
      </c>
      <c r="I26" s="23">
        <v>32064</v>
      </c>
      <c r="J26" s="23">
        <v>32517</v>
      </c>
      <c r="K26" s="23">
        <v>34581</v>
      </c>
      <c r="L26" s="23">
        <v>34338</v>
      </c>
      <c r="M26" s="23">
        <v>33061</v>
      </c>
      <c r="N26" s="23">
        <v>34824</v>
      </c>
      <c r="O26" s="23">
        <v>37221</v>
      </c>
      <c r="P26" s="23">
        <v>39456</v>
      </c>
      <c r="Q26" s="23">
        <v>38940</v>
      </c>
      <c r="R26" s="23">
        <v>41793</v>
      </c>
      <c r="S26" s="23">
        <v>44929</v>
      </c>
      <c r="T26" s="23">
        <v>47717</v>
      </c>
      <c r="U26" s="23">
        <v>50691</v>
      </c>
      <c r="V26" s="23">
        <v>53715</v>
      </c>
      <c r="W26" s="23">
        <v>57462</v>
      </c>
      <c r="X26" s="23">
        <v>31025</v>
      </c>
      <c r="Y26" s="23">
        <v>31562</v>
      </c>
      <c r="Z26" s="23">
        <v>51473</v>
      </c>
      <c r="AA26" s="23">
        <v>57480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88773</v>
      </c>
      <c r="E27" s="23">
        <v>97122</v>
      </c>
      <c r="F27" s="23">
        <v>99656</v>
      </c>
      <c r="G27" s="23">
        <v>91980</v>
      </c>
      <c r="H27" s="23">
        <v>98624</v>
      </c>
      <c r="I27" s="23">
        <v>97866</v>
      </c>
      <c r="J27" s="23">
        <v>103816</v>
      </c>
      <c r="K27" s="23">
        <v>109219</v>
      </c>
      <c r="L27" s="23">
        <v>108572</v>
      </c>
      <c r="M27" s="23">
        <v>103915</v>
      </c>
      <c r="N27" s="23">
        <v>101827</v>
      </c>
      <c r="O27" s="23">
        <v>111020</v>
      </c>
      <c r="P27" s="23">
        <v>115349</v>
      </c>
      <c r="Q27" s="23">
        <v>120807</v>
      </c>
      <c r="R27" s="23">
        <v>125427</v>
      </c>
      <c r="S27" s="23">
        <v>128329</v>
      </c>
      <c r="T27" s="23">
        <v>129800</v>
      </c>
      <c r="U27" s="23">
        <v>137066</v>
      </c>
      <c r="V27" s="23">
        <v>148381</v>
      </c>
      <c r="W27" s="23">
        <v>155567</v>
      </c>
      <c r="X27" s="23">
        <v>155462</v>
      </c>
      <c r="Y27" s="23">
        <v>167800</v>
      </c>
      <c r="Z27" s="23">
        <v>168244</v>
      </c>
      <c r="AA27" s="23">
        <v>185650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81120</v>
      </c>
      <c r="E28" s="23">
        <v>83222</v>
      </c>
      <c r="F28" s="23">
        <v>90726</v>
      </c>
      <c r="G28" s="23">
        <v>101168</v>
      </c>
      <c r="H28" s="23">
        <v>114215</v>
      </c>
      <c r="I28" s="23">
        <v>112020</v>
      </c>
      <c r="J28" s="23">
        <v>111765</v>
      </c>
      <c r="K28" s="23">
        <v>105857</v>
      </c>
      <c r="L28" s="23">
        <v>98179</v>
      </c>
      <c r="M28" s="23">
        <v>110761</v>
      </c>
      <c r="N28" s="23">
        <v>115367</v>
      </c>
      <c r="O28" s="23">
        <v>118868</v>
      </c>
      <c r="P28" s="23">
        <v>121913</v>
      </c>
      <c r="Q28" s="23">
        <v>119300</v>
      </c>
      <c r="R28" s="23">
        <v>120155</v>
      </c>
      <c r="S28" s="23">
        <v>124832</v>
      </c>
      <c r="T28" s="23">
        <v>122325</v>
      </c>
      <c r="U28" s="23">
        <v>121140</v>
      </c>
      <c r="V28" s="23">
        <v>120446</v>
      </c>
      <c r="W28" s="23">
        <v>125949</v>
      </c>
      <c r="X28" s="23">
        <v>128334</v>
      </c>
      <c r="Y28" s="23">
        <v>138836</v>
      </c>
      <c r="Z28" s="23">
        <v>135040</v>
      </c>
      <c r="AA28" s="23">
        <v>149169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206688</v>
      </c>
      <c r="E29" s="23">
        <v>217079</v>
      </c>
      <c r="F29" s="23">
        <v>223394</v>
      </c>
      <c r="G29" s="23">
        <v>223920</v>
      </c>
      <c r="H29" s="23">
        <v>225336</v>
      </c>
      <c r="I29" s="23">
        <v>232110</v>
      </c>
      <c r="J29" s="23">
        <v>245382</v>
      </c>
      <c r="K29" s="23">
        <v>257835</v>
      </c>
      <c r="L29" s="23">
        <v>267636</v>
      </c>
      <c r="M29" s="23">
        <v>263427</v>
      </c>
      <c r="N29" s="23">
        <v>264734</v>
      </c>
      <c r="O29" s="23">
        <v>281022</v>
      </c>
      <c r="P29" s="23">
        <v>276608</v>
      </c>
      <c r="Q29" s="23">
        <v>287595</v>
      </c>
      <c r="R29" s="23">
        <v>293879</v>
      </c>
      <c r="S29" s="23">
        <v>304542</v>
      </c>
      <c r="T29" s="23">
        <v>311455</v>
      </c>
      <c r="U29" s="23">
        <v>317987</v>
      </c>
      <c r="V29" s="23">
        <v>322425</v>
      </c>
      <c r="W29" s="23">
        <v>329105</v>
      </c>
      <c r="X29" s="23">
        <v>333172</v>
      </c>
      <c r="Y29" s="23">
        <v>339710</v>
      </c>
      <c r="Z29" s="23">
        <v>346060</v>
      </c>
      <c r="AA29" s="23">
        <v>374433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132486</v>
      </c>
      <c r="E30" s="23">
        <v>138402</v>
      </c>
      <c r="F30" s="23">
        <v>139761</v>
      </c>
      <c r="G30" s="23">
        <v>138171</v>
      </c>
      <c r="H30" s="23">
        <v>134795</v>
      </c>
      <c r="I30" s="23">
        <v>138157</v>
      </c>
      <c r="J30" s="23">
        <v>143702</v>
      </c>
      <c r="K30" s="23">
        <v>151912</v>
      </c>
      <c r="L30" s="23">
        <v>158781</v>
      </c>
      <c r="M30" s="23">
        <v>139170</v>
      </c>
      <c r="N30" s="23">
        <v>146198</v>
      </c>
      <c r="O30" s="23">
        <v>152031</v>
      </c>
      <c r="P30" s="23">
        <v>156418</v>
      </c>
      <c r="Q30" s="23">
        <v>165539</v>
      </c>
      <c r="R30" s="23">
        <v>168384</v>
      </c>
      <c r="S30" s="23">
        <v>178261</v>
      </c>
      <c r="T30" s="23">
        <v>190471</v>
      </c>
      <c r="U30" s="23">
        <v>207347</v>
      </c>
      <c r="V30" s="23">
        <v>217257</v>
      </c>
      <c r="W30" s="23">
        <v>214108</v>
      </c>
      <c r="X30" s="23">
        <v>216807</v>
      </c>
      <c r="Y30" s="23">
        <v>239848</v>
      </c>
      <c r="Z30" s="23">
        <v>247857</v>
      </c>
      <c r="AA30" s="23">
        <v>268973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76628</v>
      </c>
      <c r="E31" s="23">
        <v>78334</v>
      </c>
      <c r="F31" s="23">
        <v>81880</v>
      </c>
      <c r="G31" s="23">
        <v>83235</v>
      </c>
      <c r="H31" s="23">
        <v>85469</v>
      </c>
      <c r="I31" s="23">
        <v>89157</v>
      </c>
      <c r="J31" s="23">
        <v>92075</v>
      </c>
      <c r="K31" s="23">
        <v>101326</v>
      </c>
      <c r="L31" s="23">
        <v>103794</v>
      </c>
      <c r="M31" s="23">
        <v>101540</v>
      </c>
      <c r="N31" s="23">
        <v>108835</v>
      </c>
      <c r="O31" s="23">
        <v>107613</v>
      </c>
      <c r="P31" s="23">
        <v>111967</v>
      </c>
      <c r="Q31" s="23">
        <v>120778</v>
      </c>
      <c r="R31" s="23">
        <v>131816</v>
      </c>
      <c r="S31" s="23">
        <v>135546</v>
      </c>
      <c r="T31" s="23">
        <v>139789</v>
      </c>
      <c r="U31" s="23">
        <v>143193</v>
      </c>
      <c r="V31" s="23">
        <v>152386</v>
      </c>
      <c r="W31" s="23">
        <v>153920</v>
      </c>
      <c r="X31" s="23">
        <v>142276</v>
      </c>
      <c r="Y31" s="23">
        <v>157158</v>
      </c>
      <c r="Z31" s="23">
        <v>181802</v>
      </c>
      <c r="AA31" s="23">
        <v>196206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125117</v>
      </c>
      <c r="E32" s="23">
        <v>126988</v>
      </c>
      <c r="F32" s="23">
        <v>129456</v>
      </c>
      <c r="G32" s="23">
        <v>130703</v>
      </c>
      <c r="H32" s="23">
        <v>130626</v>
      </c>
      <c r="I32" s="23">
        <v>130563</v>
      </c>
      <c r="J32" s="23">
        <v>131864</v>
      </c>
      <c r="K32" s="23">
        <v>133482</v>
      </c>
      <c r="L32" s="23">
        <v>137868</v>
      </c>
      <c r="M32" s="23">
        <v>143057</v>
      </c>
      <c r="N32" s="23">
        <v>146471</v>
      </c>
      <c r="O32" s="23">
        <v>148580</v>
      </c>
      <c r="P32" s="23">
        <v>151314</v>
      </c>
      <c r="Q32" s="23">
        <v>155170</v>
      </c>
      <c r="R32" s="23">
        <v>158922</v>
      </c>
      <c r="S32" s="23">
        <v>162232</v>
      </c>
      <c r="T32" s="23">
        <v>167747</v>
      </c>
      <c r="U32" s="23">
        <v>174705</v>
      </c>
      <c r="V32" s="23">
        <v>182382</v>
      </c>
      <c r="W32" s="23">
        <v>191767</v>
      </c>
      <c r="X32" s="23">
        <v>198551</v>
      </c>
      <c r="Y32" s="23">
        <v>204691</v>
      </c>
      <c r="Z32" s="23">
        <v>215399</v>
      </c>
      <c r="AA32" s="23">
        <v>229991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84686</v>
      </c>
      <c r="E33" s="23">
        <v>88198</v>
      </c>
      <c r="F33" s="23">
        <v>91795</v>
      </c>
      <c r="G33" s="23">
        <v>92798</v>
      </c>
      <c r="H33" s="23">
        <v>94431</v>
      </c>
      <c r="I33" s="23">
        <v>95809</v>
      </c>
      <c r="J33" s="23">
        <v>96501</v>
      </c>
      <c r="K33" s="23">
        <v>99016</v>
      </c>
      <c r="L33" s="23">
        <v>101700</v>
      </c>
      <c r="M33" s="23">
        <v>104509</v>
      </c>
      <c r="N33" s="23">
        <v>107470</v>
      </c>
      <c r="O33" s="23">
        <v>111359</v>
      </c>
      <c r="P33" s="23">
        <v>115513</v>
      </c>
      <c r="Q33" s="23">
        <v>118859</v>
      </c>
      <c r="R33" s="23">
        <v>123699</v>
      </c>
      <c r="S33" s="23">
        <v>127081</v>
      </c>
      <c r="T33" s="23">
        <v>132577</v>
      </c>
      <c r="U33" s="23">
        <v>137214</v>
      </c>
      <c r="V33" s="23">
        <v>142766</v>
      </c>
      <c r="W33" s="23">
        <v>150026</v>
      </c>
      <c r="X33" s="23">
        <v>152691</v>
      </c>
      <c r="Y33" s="23">
        <v>159089</v>
      </c>
      <c r="Z33" s="23">
        <v>171096</v>
      </c>
      <c r="AA33" s="23">
        <v>178855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130040</v>
      </c>
      <c r="E34" s="23">
        <v>133774</v>
      </c>
      <c r="F34" s="23">
        <v>141292</v>
      </c>
      <c r="G34" s="23">
        <v>143769</v>
      </c>
      <c r="H34" s="23">
        <v>147146</v>
      </c>
      <c r="I34" s="23">
        <v>150584</v>
      </c>
      <c r="J34" s="23">
        <v>154103</v>
      </c>
      <c r="K34" s="23">
        <v>155678</v>
      </c>
      <c r="L34" s="23">
        <v>162015</v>
      </c>
      <c r="M34" s="23">
        <v>171000</v>
      </c>
      <c r="N34" s="23">
        <v>178321</v>
      </c>
      <c r="O34" s="23">
        <v>184898</v>
      </c>
      <c r="P34" s="23">
        <v>192621</v>
      </c>
      <c r="Q34" s="23">
        <v>200872</v>
      </c>
      <c r="R34" s="23">
        <v>212122</v>
      </c>
      <c r="S34" s="23">
        <v>222180</v>
      </c>
      <c r="T34" s="23">
        <v>232125</v>
      </c>
      <c r="U34" s="23">
        <v>244962</v>
      </c>
      <c r="V34" s="23">
        <v>253047</v>
      </c>
      <c r="W34" s="23">
        <v>268486</v>
      </c>
      <c r="X34" s="23">
        <v>278443</v>
      </c>
      <c r="Y34" s="23">
        <v>287292</v>
      </c>
      <c r="Z34" s="23">
        <v>305502</v>
      </c>
      <c r="AA34" s="23">
        <v>324775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24052</v>
      </c>
      <c r="E35" s="23">
        <v>24085</v>
      </c>
      <c r="F35" s="23">
        <v>24357</v>
      </c>
      <c r="G35" s="23">
        <v>24216</v>
      </c>
      <c r="H35" s="23">
        <v>24530</v>
      </c>
      <c r="I35" s="23">
        <v>25029</v>
      </c>
      <c r="J35" s="23">
        <v>25201</v>
      </c>
      <c r="K35" s="23">
        <v>26192</v>
      </c>
      <c r="L35" s="23">
        <v>27067</v>
      </c>
      <c r="M35" s="23">
        <v>27233</v>
      </c>
      <c r="N35" s="23">
        <v>27296</v>
      </c>
      <c r="O35" s="23">
        <v>28367</v>
      </c>
      <c r="P35" s="23">
        <v>29052</v>
      </c>
      <c r="Q35" s="23">
        <v>29702</v>
      </c>
      <c r="R35" s="23">
        <v>30612</v>
      </c>
      <c r="S35" s="23">
        <v>32143</v>
      </c>
      <c r="T35" s="23">
        <v>32791</v>
      </c>
      <c r="U35" s="23">
        <v>33980</v>
      </c>
      <c r="V35" s="23">
        <v>34867</v>
      </c>
      <c r="W35" s="23">
        <v>36311</v>
      </c>
      <c r="X35" s="23">
        <v>29180</v>
      </c>
      <c r="Y35" s="23">
        <v>28626</v>
      </c>
      <c r="Z35" s="23">
        <v>38020</v>
      </c>
      <c r="AA35" s="23">
        <v>41675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49847</v>
      </c>
      <c r="E36" s="23">
        <v>51464</v>
      </c>
      <c r="F36" s="23">
        <v>52169</v>
      </c>
      <c r="G36" s="23">
        <v>52393</v>
      </c>
      <c r="H36" s="23">
        <v>54472</v>
      </c>
      <c r="I36" s="23">
        <v>55678</v>
      </c>
      <c r="J36" s="23">
        <v>58927</v>
      </c>
      <c r="K36" s="23">
        <v>59306</v>
      </c>
      <c r="L36" s="23">
        <v>62328</v>
      </c>
      <c r="M36" s="23">
        <v>61258</v>
      </c>
      <c r="N36" s="23">
        <v>61453</v>
      </c>
      <c r="O36" s="23">
        <v>62269</v>
      </c>
      <c r="P36" s="23">
        <v>62958</v>
      </c>
      <c r="Q36" s="23">
        <v>62367</v>
      </c>
      <c r="R36" s="23">
        <v>64089</v>
      </c>
      <c r="S36" s="23">
        <v>65614</v>
      </c>
      <c r="T36" s="23">
        <v>65576</v>
      </c>
      <c r="U36" s="23">
        <v>65873</v>
      </c>
      <c r="V36" s="23">
        <v>66600</v>
      </c>
      <c r="W36" s="23">
        <v>69165</v>
      </c>
      <c r="X36" s="23">
        <v>61262</v>
      </c>
      <c r="Y36" s="23">
        <v>62970</v>
      </c>
      <c r="Z36" s="23">
        <v>72888</v>
      </c>
      <c r="AA36" s="23">
        <v>77665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5489</v>
      </c>
      <c r="E37" s="23">
        <v>5539</v>
      </c>
      <c r="F37" s="23">
        <v>5508</v>
      </c>
      <c r="G37" s="23">
        <v>5766</v>
      </c>
      <c r="H37" s="23">
        <v>5873</v>
      </c>
      <c r="I37" s="23">
        <v>5922</v>
      </c>
      <c r="J37" s="23">
        <v>6030</v>
      </c>
      <c r="K37" s="23">
        <v>6183</v>
      </c>
      <c r="L37" s="23">
        <v>6183</v>
      </c>
      <c r="M37" s="23">
        <v>6204</v>
      </c>
      <c r="N37" s="23">
        <v>6164</v>
      </c>
      <c r="O37" s="23">
        <v>6252</v>
      </c>
      <c r="P37" s="23">
        <v>6326</v>
      </c>
      <c r="Q37" s="23">
        <v>6482</v>
      </c>
      <c r="R37" s="23">
        <v>6598</v>
      </c>
      <c r="S37" s="23">
        <v>6794</v>
      </c>
      <c r="T37" s="23">
        <v>6978</v>
      </c>
      <c r="U37" s="23">
        <v>7151</v>
      </c>
      <c r="V37" s="23">
        <v>7342</v>
      </c>
      <c r="W37" s="23">
        <v>7744</v>
      </c>
      <c r="X37" s="23">
        <v>7835</v>
      </c>
      <c r="Y37" s="23">
        <v>8145</v>
      </c>
      <c r="Z37" s="23">
        <v>8726</v>
      </c>
      <c r="AA37" s="23">
        <v>9603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1915279</v>
      </c>
      <c r="E39" s="30">
        <f t="shared" ref="E39:Y39" si="2">SUM(E18:E38)</f>
        <v>1977509</v>
      </c>
      <c r="F39" s="30">
        <f t="shared" si="2"/>
        <v>2003527</v>
      </c>
      <c r="G39" s="30">
        <f t="shared" si="2"/>
        <v>2015904</v>
      </c>
      <c r="H39" s="30">
        <f t="shared" si="2"/>
        <v>2069017</v>
      </c>
      <c r="I39" s="30">
        <f t="shared" si="2"/>
        <v>2095171</v>
      </c>
      <c r="J39" s="30">
        <f t="shared" si="2"/>
        <v>2184869</v>
      </c>
      <c r="K39" s="30">
        <f t="shared" si="2"/>
        <v>2275687</v>
      </c>
      <c r="L39" s="30">
        <f t="shared" si="2"/>
        <v>2316889</v>
      </c>
      <c r="M39" s="30">
        <f t="shared" si="2"/>
        <v>2223746</v>
      </c>
      <c r="N39" s="30">
        <f t="shared" si="2"/>
        <v>2341162</v>
      </c>
      <c r="O39" s="30">
        <f t="shared" si="2"/>
        <v>2451563</v>
      </c>
      <c r="P39" s="30">
        <f t="shared" si="2"/>
        <v>2499101</v>
      </c>
      <c r="Q39" s="30">
        <f t="shared" si="2"/>
        <v>2555938</v>
      </c>
      <c r="R39" s="30">
        <f t="shared" si="2"/>
        <v>2662091</v>
      </c>
      <c r="S39" s="30">
        <f t="shared" si="2"/>
        <v>2753317</v>
      </c>
      <c r="T39" s="30">
        <f t="shared" si="2"/>
        <v>2852146</v>
      </c>
      <c r="U39" s="30">
        <f t="shared" si="2"/>
        <v>2977318</v>
      </c>
      <c r="V39" s="30">
        <f t="shared" si="2"/>
        <v>3069316</v>
      </c>
      <c r="W39" s="30">
        <f t="shared" si="2"/>
        <v>3161673</v>
      </c>
      <c r="X39" s="30">
        <f t="shared" si="2"/>
        <v>3100097</v>
      </c>
      <c r="Y39" s="30">
        <f t="shared" si="2"/>
        <v>3294085</v>
      </c>
      <c r="Z39" s="30">
        <f t="shared" ref="Z39:AA39" si="3">SUM(Z18:Z38)</f>
        <v>3591874</v>
      </c>
      <c r="AA39" s="30">
        <f t="shared" si="3"/>
        <v>3853937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36055</v>
      </c>
      <c r="E41" s="19">
        <v>36538</v>
      </c>
      <c r="F41" s="19">
        <v>36653</v>
      </c>
      <c r="G41" s="19">
        <v>37038</v>
      </c>
      <c r="H41" s="19">
        <v>37544</v>
      </c>
      <c r="I41" s="19">
        <v>36348</v>
      </c>
      <c r="J41" s="19">
        <v>36876</v>
      </c>
      <c r="K41" s="19">
        <v>37135</v>
      </c>
      <c r="L41" s="19">
        <v>36128</v>
      </c>
      <c r="M41" s="19">
        <v>36182</v>
      </c>
      <c r="N41" s="19">
        <v>37688</v>
      </c>
      <c r="O41" s="19">
        <v>37968</v>
      </c>
      <c r="P41" s="19">
        <v>39005</v>
      </c>
      <c r="Q41" s="19">
        <v>40259</v>
      </c>
      <c r="R41" s="19">
        <v>41443</v>
      </c>
      <c r="S41" s="19">
        <v>44002</v>
      </c>
      <c r="T41" s="19">
        <v>45760</v>
      </c>
      <c r="U41" s="19">
        <v>45992</v>
      </c>
      <c r="V41" s="19">
        <v>46732</v>
      </c>
      <c r="W41" s="19">
        <v>47874</v>
      </c>
      <c r="X41" s="19">
        <v>52782</v>
      </c>
      <c r="Y41" s="19">
        <v>51244</v>
      </c>
      <c r="Z41" s="19">
        <v>49103</v>
      </c>
      <c r="AA41" s="19">
        <v>50645.188500766279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9070</v>
      </c>
      <c r="E42" s="23">
        <v>8710</v>
      </c>
      <c r="F42" s="23">
        <v>8207</v>
      </c>
      <c r="G42" s="23">
        <v>7866</v>
      </c>
      <c r="H42" s="23">
        <v>7878</v>
      </c>
      <c r="I42" s="23">
        <v>7510</v>
      </c>
      <c r="J42" s="23">
        <v>7683</v>
      </c>
      <c r="K42" s="23">
        <v>7738</v>
      </c>
      <c r="L42" s="23">
        <v>7406</v>
      </c>
      <c r="M42" s="23">
        <v>6188</v>
      </c>
      <c r="N42" s="23">
        <v>6918</v>
      </c>
      <c r="O42" s="23">
        <v>7507</v>
      </c>
      <c r="P42" s="23">
        <v>7259</v>
      </c>
      <c r="Q42" s="23">
        <v>7234</v>
      </c>
      <c r="R42" s="23">
        <v>7795</v>
      </c>
      <c r="S42" s="23">
        <v>7347</v>
      </c>
      <c r="T42" s="23">
        <v>7548</v>
      </c>
      <c r="U42" s="23">
        <v>7756</v>
      </c>
      <c r="V42" s="23">
        <v>7593</v>
      </c>
      <c r="W42" s="23">
        <v>7540</v>
      </c>
      <c r="X42" s="23">
        <v>6820</v>
      </c>
      <c r="Y42" s="23">
        <v>7346</v>
      </c>
      <c r="Z42" s="23">
        <v>7740</v>
      </c>
      <c r="AA42" s="23">
        <v>8406.9243971300293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28556</v>
      </c>
      <c r="E43" s="23">
        <v>27743</v>
      </c>
      <c r="F43" s="23">
        <v>26583</v>
      </c>
      <c r="G43" s="23">
        <v>24712</v>
      </c>
      <c r="H43" s="23">
        <v>25928</v>
      </c>
      <c r="I43" s="23">
        <v>25816</v>
      </c>
      <c r="J43" s="23">
        <v>26405</v>
      </c>
      <c r="K43" s="23">
        <v>26588</v>
      </c>
      <c r="L43" s="23">
        <v>24941</v>
      </c>
      <c r="M43" s="23">
        <v>22737</v>
      </c>
      <c r="N43" s="23">
        <v>24017</v>
      </c>
      <c r="O43" s="23">
        <v>24241</v>
      </c>
      <c r="P43" s="23">
        <v>24605</v>
      </c>
      <c r="Q43" s="23">
        <v>24309</v>
      </c>
      <c r="R43" s="23">
        <v>24531</v>
      </c>
      <c r="S43" s="23">
        <v>25554</v>
      </c>
      <c r="T43" s="23">
        <v>25754</v>
      </c>
      <c r="U43" s="23">
        <v>25379</v>
      </c>
      <c r="V43" s="23">
        <v>25336</v>
      </c>
      <c r="W43" s="23">
        <v>26454</v>
      </c>
      <c r="X43" s="23">
        <v>27383</v>
      </c>
      <c r="Y43" s="23">
        <v>26106</v>
      </c>
      <c r="Z43" s="23">
        <v>28427</v>
      </c>
      <c r="AA43" s="23">
        <v>31389.004352093838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5156</v>
      </c>
      <c r="E44" s="23">
        <v>7051</v>
      </c>
      <c r="F44" s="23">
        <v>4672</v>
      </c>
      <c r="G44" s="23">
        <v>4303</v>
      </c>
      <c r="H44" s="23">
        <v>4698</v>
      </c>
      <c r="I44" s="23">
        <v>4620</v>
      </c>
      <c r="J44" s="23">
        <v>6017</v>
      </c>
      <c r="K44" s="23">
        <v>4754</v>
      </c>
      <c r="L44" s="23">
        <v>3368</v>
      </c>
      <c r="M44" s="23">
        <v>3047</v>
      </c>
      <c r="N44" s="23">
        <v>6848</v>
      </c>
      <c r="O44" s="23">
        <v>8860</v>
      </c>
      <c r="P44" s="23">
        <v>10312</v>
      </c>
      <c r="Q44" s="23">
        <v>9078</v>
      </c>
      <c r="R44" s="23">
        <v>8106</v>
      </c>
      <c r="S44" s="23">
        <v>7635</v>
      </c>
      <c r="T44" s="23">
        <v>6027</v>
      </c>
      <c r="U44" s="23">
        <v>7445</v>
      </c>
      <c r="V44" s="23">
        <v>9487</v>
      </c>
      <c r="W44" s="23">
        <v>7594</v>
      </c>
      <c r="X44" s="23">
        <v>5154</v>
      </c>
      <c r="Y44" s="23">
        <v>3750</v>
      </c>
      <c r="Z44" s="23">
        <v>11505</v>
      </c>
      <c r="AA44" s="23">
        <v>17040.97316001945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33576</v>
      </c>
      <c r="E45" s="23">
        <v>34154</v>
      </c>
      <c r="F45" s="23">
        <v>34793</v>
      </c>
      <c r="G45" s="23">
        <v>34012</v>
      </c>
      <c r="H45" s="23">
        <v>34584</v>
      </c>
      <c r="I45" s="23">
        <v>34551</v>
      </c>
      <c r="J45" s="23">
        <v>35664</v>
      </c>
      <c r="K45" s="23">
        <v>37758</v>
      </c>
      <c r="L45" s="23">
        <v>37825</v>
      </c>
      <c r="M45" s="23">
        <v>34564</v>
      </c>
      <c r="N45" s="23">
        <v>40771</v>
      </c>
      <c r="O45" s="23">
        <v>41132</v>
      </c>
      <c r="P45" s="23">
        <v>40394</v>
      </c>
      <c r="Q45" s="23">
        <v>39710</v>
      </c>
      <c r="R45" s="23">
        <v>42716</v>
      </c>
      <c r="S45" s="23">
        <v>46959</v>
      </c>
      <c r="T45" s="23">
        <v>47645</v>
      </c>
      <c r="U45" s="23">
        <v>50731</v>
      </c>
      <c r="V45" s="23">
        <v>46558</v>
      </c>
      <c r="W45" s="23">
        <v>47158</v>
      </c>
      <c r="X45" s="23">
        <v>49845</v>
      </c>
      <c r="Y45" s="23">
        <v>50304</v>
      </c>
      <c r="Z45" s="23">
        <v>47956</v>
      </c>
      <c r="AA45" s="23">
        <v>49546.65390982393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12112</v>
      </c>
      <c r="E46" s="23">
        <v>13042</v>
      </c>
      <c r="F46" s="23">
        <v>13078</v>
      </c>
      <c r="G46" s="23">
        <v>14441</v>
      </c>
      <c r="H46" s="23">
        <v>15553</v>
      </c>
      <c r="I46" s="23">
        <v>17514</v>
      </c>
      <c r="J46" s="23">
        <v>18492</v>
      </c>
      <c r="K46" s="23">
        <v>19888</v>
      </c>
      <c r="L46" s="23">
        <v>21471</v>
      </c>
      <c r="M46" s="23">
        <v>20252</v>
      </c>
      <c r="N46" s="23">
        <v>19813</v>
      </c>
      <c r="O46" s="23">
        <v>21166</v>
      </c>
      <c r="P46" s="23">
        <v>21642</v>
      </c>
      <c r="Q46" s="23">
        <v>21827</v>
      </c>
      <c r="R46" s="23">
        <v>23088</v>
      </c>
      <c r="S46" s="23">
        <v>21954</v>
      </c>
      <c r="T46" s="23">
        <v>24569</v>
      </c>
      <c r="U46" s="23">
        <v>22705</v>
      </c>
      <c r="V46" s="23">
        <v>23601</v>
      </c>
      <c r="W46" s="23">
        <v>25910</v>
      </c>
      <c r="X46" s="23">
        <v>24786</v>
      </c>
      <c r="Y46" s="23">
        <v>28844</v>
      </c>
      <c r="Z46" s="23">
        <v>28081</v>
      </c>
      <c r="AA46" s="23">
        <v>29161.757231140538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36754</v>
      </c>
      <c r="E47" s="23">
        <v>35875</v>
      </c>
      <c r="F47" s="23">
        <v>35384</v>
      </c>
      <c r="G47" s="23">
        <v>34592</v>
      </c>
      <c r="H47" s="23">
        <v>35882</v>
      </c>
      <c r="I47" s="23">
        <v>35469</v>
      </c>
      <c r="J47" s="23">
        <v>37610</v>
      </c>
      <c r="K47" s="23">
        <v>39009</v>
      </c>
      <c r="L47" s="23">
        <v>38806</v>
      </c>
      <c r="M47" s="23">
        <v>34388</v>
      </c>
      <c r="N47" s="23">
        <v>37427</v>
      </c>
      <c r="O47" s="23">
        <v>40277</v>
      </c>
      <c r="P47" s="23">
        <v>40678</v>
      </c>
      <c r="Q47" s="23">
        <v>42106</v>
      </c>
      <c r="R47" s="23">
        <v>44161</v>
      </c>
      <c r="S47" s="23">
        <v>45478</v>
      </c>
      <c r="T47" s="23">
        <v>48478</v>
      </c>
      <c r="U47" s="23">
        <v>47969</v>
      </c>
      <c r="V47" s="23">
        <v>49208</v>
      </c>
      <c r="W47" s="23">
        <v>50614</v>
      </c>
      <c r="X47" s="23">
        <v>49704</v>
      </c>
      <c r="Y47" s="23">
        <v>50384</v>
      </c>
      <c r="Z47" s="23">
        <v>50854</v>
      </c>
      <c r="AA47" s="23">
        <v>54062.051169120976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55634</v>
      </c>
      <c r="E48" s="23">
        <v>56610</v>
      </c>
      <c r="F48" s="23">
        <v>54181</v>
      </c>
      <c r="G48" s="23">
        <v>55001</v>
      </c>
      <c r="H48" s="23">
        <v>57354</v>
      </c>
      <c r="I48" s="23">
        <v>60668</v>
      </c>
      <c r="J48" s="23">
        <v>66943</v>
      </c>
      <c r="K48" s="23">
        <v>71998</v>
      </c>
      <c r="L48" s="23">
        <v>72531</v>
      </c>
      <c r="M48" s="23">
        <v>55059</v>
      </c>
      <c r="N48" s="23">
        <v>61935</v>
      </c>
      <c r="O48" s="23">
        <v>69850</v>
      </c>
      <c r="P48" s="23">
        <v>70937</v>
      </c>
      <c r="Q48" s="23">
        <v>71547</v>
      </c>
      <c r="R48" s="23">
        <v>73657</v>
      </c>
      <c r="S48" s="23">
        <v>74880</v>
      </c>
      <c r="T48" s="23">
        <v>76945</v>
      </c>
      <c r="U48" s="23">
        <v>77805</v>
      </c>
      <c r="V48" s="23">
        <v>81365</v>
      </c>
      <c r="W48" s="23">
        <v>78974</v>
      </c>
      <c r="X48" s="23">
        <v>71547</v>
      </c>
      <c r="Y48" s="23">
        <v>75145</v>
      </c>
      <c r="Z48" s="23">
        <v>79602</v>
      </c>
      <c r="AA48" s="23">
        <v>86693.609996914936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29249</v>
      </c>
      <c r="E49" s="23">
        <v>25644</v>
      </c>
      <c r="F49" s="23">
        <v>25812</v>
      </c>
      <c r="G49" s="23">
        <v>27452</v>
      </c>
      <c r="H49" s="23">
        <v>29709</v>
      </c>
      <c r="I49" s="23">
        <v>29254</v>
      </c>
      <c r="J49" s="23">
        <v>30539</v>
      </c>
      <c r="K49" s="23">
        <v>35209</v>
      </c>
      <c r="L49" s="23">
        <v>32329</v>
      </c>
      <c r="M49" s="23">
        <v>25108</v>
      </c>
      <c r="N49" s="23">
        <v>30299</v>
      </c>
      <c r="O49" s="23">
        <v>32850</v>
      </c>
      <c r="P49" s="23">
        <v>32605</v>
      </c>
      <c r="Q49" s="23">
        <v>33933</v>
      </c>
      <c r="R49" s="23">
        <v>35400</v>
      </c>
      <c r="S49" s="23">
        <v>39594</v>
      </c>
      <c r="T49" s="23">
        <v>42079</v>
      </c>
      <c r="U49" s="23">
        <v>42124</v>
      </c>
      <c r="V49" s="23">
        <v>45519</v>
      </c>
      <c r="W49" s="23">
        <v>46082</v>
      </c>
      <c r="X49" s="23">
        <v>44190</v>
      </c>
      <c r="Y49" s="23">
        <v>47005</v>
      </c>
      <c r="Z49" s="23">
        <v>49016</v>
      </c>
      <c r="AA49" s="23">
        <v>52964.629094432064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34115</v>
      </c>
      <c r="E50" s="23">
        <v>31071</v>
      </c>
      <c r="F50" s="23">
        <v>31039</v>
      </c>
      <c r="G50" s="23">
        <v>31188</v>
      </c>
      <c r="H50" s="23">
        <v>33101</v>
      </c>
      <c r="I50" s="23">
        <v>31967</v>
      </c>
      <c r="J50" s="23">
        <v>35843</v>
      </c>
      <c r="K50" s="23">
        <v>34654</v>
      </c>
      <c r="L50" s="23">
        <v>36241</v>
      </c>
      <c r="M50" s="23">
        <v>33157</v>
      </c>
      <c r="N50" s="23">
        <v>38687</v>
      </c>
      <c r="O50" s="23">
        <v>40683</v>
      </c>
      <c r="P50" s="23">
        <v>40135</v>
      </c>
      <c r="Q50" s="23">
        <v>40607</v>
      </c>
      <c r="R50" s="23">
        <v>42745</v>
      </c>
      <c r="S50" s="23">
        <v>40804</v>
      </c>
      <c r="T50" s="23">
        <v>42602</v>
      </c>
      <c r="U50" s="23">
        <v>44969</v>
      </c>
      <c r="V50" s="23">
        <v>45495</v>
      </c>
      <c r="W50" s="23">
        <v>44398</v>
      </c>
      <c r="X50" s="23">
        <v>43311</v>
      </c>
      <c r="Y50" s="23">
        <v>46257</v>
      </c>
      <c r="Z50" s="23">
        <v>46172</v>
      </c>
      <c r="AA50" s="23">
        <v>48812.433744974856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61636</v>
      </c>
      <c r="E51" s="23">
        <v>64193</v>
      </c>
      <c r="F51" s="23">
        <v>62916</v>
      </c>
      <c r="G51" s="23">
        <v>63600</v>
      </c>
      <c r="H51" s="23">
        <v>67413</v>
      </c>
      <c r="I51" s="23">
        <v>68911</v>
      </c>
      <c r="J51" s="23">
        <v>74343</v>
      </c>
      <c r="K51" s="23">
        <v>81904</v>
      </c>
      <c r="L51" s="23">
        <v>84989</v>
      </c>
      <c r="M51" s="23">
        <v>66156</v>
      </c>
      <c r="N51" s="23">
        <v>77058</v>
      </c>
      <c r="O51" s="23">
        <v>86272</v>
      </c>
      <c r="P51" s="23">
        <v>88079</v>
      </c>
      <c r="Q51" s="23">
        <v>88822</v>
      </c>
      <c r="R51" s="23">
        <v>93674</v>
      </c>
      <c r="S51" s="23">
        <v>95453</v>
      </c>
      <c r="T51" s="23">
        <v>100538</v>
      </c>
      <c r="U51" s="23">
        <v>107056</v>
      </c>
      <c r="V51" s="23">
        <v>109984</v>
      </c>
      <c r="W51" s="23">
        <v>109653</v>
      </c>
      <c r="X51" s="23">
        <v>97382</v>
      </c>
      <c r="Y51" s="23">
        <v>106747</v>
      </c>
      <c r="Z51" s="23">
        <v>107139</v>
      </c>
      <c r="AA51" s="23">
        <v>113578.1279919082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62671</v>
      </c>
      <c r="E52" s="23">
        <v>72748</v>
      </c>
      <c r="F52" s="23">
        <v>73127</v>
      </c>
      <c r="G52" s="23">
        <v>76568</v>
      </c>
      <c r="H52" s="23">
        <v>76381</v>
      </c>
      <c r="I52" s="23">
        <v>77878</v>
      </c>
      <c r="J52" s="23">
        <v>85725</v>
      </c>
      <c r="K52" s="23">
        <v>92324</v>
      </c>
      <c r="L52" s="23">
        <v>83015</v>
      </c>
      <c r="M52" s="23">
        <v>65519</v>
      </c>
      <c r="N52" s="23">
        <v>93443</v>
      </c>
      <c r="O52" s="23">
        <v>105950</v>
      </c>
      <c r="P52" s="23">
        <v>109061</v>
      </c>
      <c r="Q52" s="23">
        <v>110721</v>
      </c>
      <c r="R52" s="23">
        <v>124790</v>
      </c>
      <c r="S52" s="23">
        <v>132055</v>
      </c>
      <c r="T52" s="23">
        <v>144753</v>
      </c>
      <c r="U52" s="23">
        <v>151451</v>
      </c>
      <c r="V52" s="23">
        <v>150713</v>
      </c>
      <c r="W52" s="23">
        <v>148279</v>
      </c>
      <c r="X52" s="23">
        <v>125970</v>
      </c>
      <c r="Y52" s="23">
        <v>148940</v>
      </c>
      <c r="Z52" s="23">
        <v>167762</v>
      </c>
      <c r="AA52" s="23">
        <v>192940.02464959389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27397</v>
      </c>
      <c r="E53" s="23">
        <v>27623</v>
      </c>
      <c r="F53" s="23">
        <v>26584</v>
      </c>
      <c r="G53" s="23">
        <v>27372</v>
      </c>
      <c r="H53" s="23">
        <v>27759</v>
      </c>
      <c r="I53" s="23">
        <v>29272</v>
      </c>
      <c r="J53" s="23">
        <v>31317</v>
      </c>
      <c r="K53" s="23">
        <v>32956</v>
      </c>
      <c r="L53" s="23">
        <v>32553</v>
      </c>
      <c r="M53" s="23">
        <v>30070</v>
      </c>
      <c r="N53" s="23">
        <v>33181</v>
      </c>
      <c r="O53" s="23">
        <v>36002</v>
      </c>
      <c r="P53" s="23">
        <v>36468</v>
      </c>
      <c r="Q53" s="23">
        <v>36265</v>
      </c>
      <c r="R53" s="23">
        <v>38078</v>
      </c>
      <c r="S53" s="23">
        <v>39950</v>
      </c>
      <c r="T53" s="23">
        <v>39541</v>
      </c>
      <c r="U53" s="23">
        <v>38329</v>
      </c>
      <c r="V53" s="23">
        <v>38534</v>
      </c>
      <c r="W53" s="23">
        <v>42500</v>
      </c>
      <c r="X53" s="23">
        <v>40458</v>
      </c>
      <c r="Y53" s="23">
        <v>41835</v>
      </c>
      <c r="Z53" s="23">
        <v>57570</v>
      </c>
      <c r="AA53" s="23">
        <v>63906.621802081121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431981</v>
      </c>
      <c r="E54" s="30">
        <f t="shared" ref="E54:Y54" si="4">SUM(E41:E53)</f>
        <v>441002</v>
      </c>
      <c r="F54" s="30">
        <f t="shared" si="4"/>
        <v>433029</v>
      </c>
      <c r="G54" s="30">
        <f t="shared" si="4"/>
        <v>438145</v>
      </c>
      <c r="H54" s="30">
        <f t="shared" si="4"/>
        <v>453784</v>
      </c>
      <c r="I54" s="30">
        <f t="shared" si="4"/>
        <v>459778</v>
      </c>
      <c r="J54" s="30">
        <f t="shared" si="4"/>
        <v>493457</v>
      </c>
      <c r="K54" s="30">
        <f t="shared" si="4"/>
        <v>521915</v>
      </c>
      <c r="L54" s="30">
        <f t="shared" si="4"/>
        <v>511603</v>
      </c>
      <c r="M54" s="30">
        <f t="shared" si="4"/>
        <v>432427</v>
      </c>
      <c r="N54" s="30">
        <f t="shared" si="4"/>
        <v>508085</v>
      </c>
      <c r="O54" s="30">
        <f t="shared" si="4"/>
        <v>552758</v>
      </c>
      <c r="P54" s="30">
        <f t="shared" si="4"/>
        <v>561180</v>
      </c>
      <c r="Q54" s="30">
        <f t="shared" si="4"/>
        <v>566418</v>
      </c>
      <c r="R54" s="30">
        <f t="shared" si="4"/>
        <v>600184</v>
      </c>
      <c r="S54" s="30">
        <f t="shared" si="4"/>
        <v>621665</v>
      </c>
      <c r="T54" s="30">
        <f t="shared" si="4"/>
        <v>652239</v>
      </c>
      <c r="U54" s="30">
        <f t="shared" si="4"/>
        <v>669711</v>
      </c>
      <c r="V54" s="30">
        <f t="shared" si="4"/>
        <v>680125</v>
      </c>
      <c r="W54" s="30">
        <f t="shared" si="4"/>
        <v>683030</v>
      </c>
      <c r="X54" s="30">
        <f t="shared" si="4"/>
        <v>639332</v>
      </c>
      <c r="Y54" s="30">
        <f t="shared" si="4"/>
        <v>683907</v>
      </c>
      <c r="Z54" s="30">
        <f t="shared" ref="Z54:AA54" si="5">SUM(Z41:Z53)</f>
        <v>730927</v>
      </c>
      <c r="AA54" s="30">
        <f t="shared" si="5"/>
        <v>799148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36055</v>
      </c>
      <c r="E56" s="19">
        <v>36538</v>
      </c>
      <c r="F56" s="19">
        <v>36653</v>
      </c>
      <c r="G56" s="19">
        <v>37038</v>
      </c>
      <c r="H56" s="19">
        <v>37544</v>
      </c>
      <c r="I56" s="19">
        <v>36348</v>
      </c>
      <c r="J56" s="19">
        <v>36876</v>
      </c>
      <c r="K56" s="19">
        <v>37135</v>
      </c>
      <c r="L56" s="19">
        <v>36128</v>
      </c>
      <c r="M56" s="19">
        <v>36182</v>
      </c>
      <c r="N56" s="19">
        <v>37688</v>
      </c>
      <c r="O56" s="19">
        <v>37968</v>
      </c>
      <c r="P56" s="19">
        <v>39005</v>
      </c>
      <c r="Q56" s="19">
        <v>40259</v>
      </c>
      <c r="R56" s="19">
        <v>41443</v>
      </c>
      <c r="S56" s="19">
        <v>44002</v>
      </c>
      <c r="T56" s="19">
        <v>45760</v>
      </c>
      <c r="U56" s="19">
        <v>45992</v>
      </c>
      <c r="V56" s="19">
        <v>46732</v>
      </c>
      <c r="W56" s="19">
        <v>47874</v>
      </c>
      <c r="X56" s="19">
        <v>52782</v>
      </c>
      <c r="Y56" s="19">
        <v>51244</v>
      </c>
      <c r="Z56" s="19">
        <v>49103</v>
      </c>
      <c r="AA56" s="19">
        <v>50645.188500766279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9070</v>
      </c>
      <c r="E57" s="23">
        <v>8710</v>
      </c>
      <c r="F57" s="23">
        <v>8207</v>
      </c>
      <c r="G57" s="23">
        <v>7866</v>
      </c>
      <c r="H57" s="23">
        <v>7878</v>
      </c>
      <c r="I57" s="23">
        <v>7510</v>
      </c>
      <c r="J57" s="23">
        <v>7683</v>
      </c>
      <c r="K57" s="23">
        <v>7738</v>
      </c>
      <c r="L57" s="23">
        <v>7406</v>
      </c>
      <c r="M57" s="23">
        <v>6188</v>
      </c>
      <c r="N57" s="23">
        <v>6918</v>
      </c>
      <c r="O57" s="23">
        <v>7507</v>
      </c>
      <c r="P57" s="23">
        <v>7259</v>
      </c>
      <c r="Q57" s="23">
        <v>7234</v>
      </c>
      <c r="R57" s="23">
        <v>7795</v>
      </c>
      <c r="S57" s="23">
        <v>7347</v>
      </c>
      <c r="T57" s="23">
        <v>7548</v>
      </c>
      <c r="U57" s="23">
        <v>7756</v>
      </c>
      <c r="V57" s="23">
        <v>7593</v>
      </c>
      <c r="W57" s="23">
        <v>7540</v>
      </c>
      <c r="X57" s="23">
        <v>6820</v>
      </c>
      <c r="Y57" s="23">
        <v>7346</v>
      </c>
      <c r="Z57" s="23">
        <v>7740</v>
      </c>
      <c r="AA57" s="23">
        <v>8406.9243971300293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7336</v>
      </c>
      <c r="E58" s="23">
        <v>6652</v>
      </c>
      <c r="F58" s="23">
        <v>6372</v>
      </c>
      <c r="G58" s="23">
        <v>6128</v>
      </c>
      <c r="H58" s="23">
        <v>6557</v>
      </c>
      <c r="I58" s="23">
        <v>6260</v>
      </c>
      <c r="J58" s="23">
        <v>6541</v>
      </c>
      <c r="K58" s="23">
        <v>6778</v>
      </c>
      <c r="L58" s="23">
        <v>6009</v>
      </c>
      <c r="M58" s="23">
        <v>5220</v>
      </c>
      <c r="N58" s="23">
        <v>6114</v>
      </c>
      <c r="O58" s="23">
        <v>6356</v>
      </c>
      <c r="P58" s="23">
        <v>6072</v>
      </c>
      <c r="Q58" s="23">
        <v>6197</v>
      </c>
      <c r="R58" s="23">
        <v>6293</v>
      </c>
      <c r="S58" s="23">
        <v>7074</v>
      </c>
      <c r="T58" s="23">
        <v>6943</v>
      </c>
      <c r="U58" s="23">
        <v>6919</v>
      </c>
      <c r="V58" s="23">
        <v>6950</v>
      </c>
      <c r="W58" s="23">
        <v>7888</v>
      </c>
      <c r="X58" s="23">
        <v>9128</v>
      </c>
      <c r="Y58" s="23">
        <v>9383</v>
      </c>
      <c r="Z58" s="23">
        <v>10614</v>
      </c>
      <c r="AA58" s="23">
        <v>11919.10590160529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9729</v>
      </c>
      <c r="E59" s="23">
        <v>10165</v>
      </c>
      <c r="F59" s="23">
        <v>10139</v>
      </c>
      <c r="G59" s="23">
        <v>9752</v>
      </c>
      <c r="H59" s="23">
        <v>9900</v>
      </c>
      <c r="I59" s="23">
        <v>9837</v>
      </c>
      <c r="J59" s="23">
        <v>10145</v>
      </c>
      <c r="K59" s="23">
        <v>10416</v>
      </c>
      <c r="L59" s="23">
        <v>9880</v>
      </c>
      <c r="M59" s="23">
        <v>9478</v>
      </c>
      <c r="N59" s="23">
        <v>9477</v>
      </c>
      <c r="O59" s="23">
        <v>9615</v>
      </c>
      <c r="P59" s="23">
        <v>10217</v>
      </c>
      <c r="Q59" s="23">
        <v>10176</v>
      </c>
      <c r="R59" s="23">
        <v>10645</v>
      </c>
      <c r="S59" s="23">
        <v>10983</v>
      </c>
      <c r="T59" s="23">
        <v>11159</v>
      </c>
      <c r="U59" s="23">
        <v>11096</v>
      </c>
      <c r="V59" s="23">
        <v>11793</v>
      </c>
      <c r="W59" s="23">
        <v>11958</v>
      </c>
      <c r="X59" s="23">
        <v>11389</v>
      </c>
      <c r="Y59" s="23">
        <v>10025</v>
      </c>
      <c r="Z59" s="23">
        <v>11462</v>
      </c>
      <c r="AA59" s="23">
        <v>12940.299475697035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11491</v>
      </c>
      <c r="E60" s="23">
        <v>10926</v>
      </c>
      <c r="F60" s="23">
        <v>10072</v>
      </c>
      <c r="G60" s="23">
        <v>8832</v>
      </c>
      <c r="H60" s="23">
        <v>9471</v>
      </c>
      <c r="I60" s="23">
        <v>9719</v>
      </c>
      <c r="J60" s="23">
        <v>9719</v>
      </c>
      <c r="K60" s="23">
        <v>9394</v>
      </c>
      <c r="L60" s="23">
        <v>9052</v>
      </c>
      <c r="M60" s="23">
        <v>8039</v>
      </c>
      <c r="N60" s="23">
        <v>8426</v>
      </c>
      <c r="O60" s="23">
        <v>8270</v>
      </c>
      <c r="P60" s="23">
        <v>8316</v>
      </c>
      <c r="Q60" s="23">
        <v>7936</v>
      </c>
      <c r="R60" s="23">
        <v>7593</v>
      </c>
      <c r="S60" s="23">
        <v>7497</v>
      </c>
      <c r="T60" s="23">
        <v>7652</v>
      </c>
      <c r="U60" s="23">
        <v>7364</v>
      </c>
      <c r="V60" s="23">
        <v>6593</v>
      </c>
      <c r="W60" s="23">
        <v>6608</v>
      </c>
      <c r="X60" s="23">
        <v>6866</v>
      </c>
      <c r="Y60" s="23">
        <v>6698</v>
      </c>
      <c r="Z60" s="23">
        <v>6351</v>
      </c>
      <c r="AA60" s="23">
        <v>6529.5989747915119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5156</v>
      </c>
      <c r="E61" s="23">
        <v>7051</v>
      </c>
      <c r="F61" s="23">
        <v>4672</v>
      </c>
      <c r="G61" s="23">
        <v>4303</v>
      </c>
      <c r="H61" s="23">
        <v>4698</v>
      </c>
      <c r="I61" s="23">
        <v>4620</v>
      </c>
      <c r="J61" s="23">
        <v>6017</v>
      </c>
      <c r="K61" s="23">
        <v>4754</v>
      </c>
      <c r="L61" s="23">
        <v>3368</v>
      </c>
      <c r="M61" s="23">
        <v>3047</v>
      </c>
      <c r="N61" s="23">
        <v>6848</v>
      </c>
      <c r="O61" s="23">
        <v>8860</v>
      </c>
      <c r="P61" s="23">
        <v>10312</v>
      </c>
      <c r="Q61" s="23">
        <v>9078</v>
      </c>
      <c r="R61" s="23">
        <v>8106</v>
      </c>
      <c r="S61" s="23">
        <v>7635</v>
      </c>
      <c r="T61" s="23">
        <v>6027</v>
      </c>
      <c r="U61" s="23">
        <v>7445</v>
      </c>
      <c r="V61" s="23">
        <v>9487</v>
      </c>
      <c r="W61" s="23">
        <v>7594</v>
      </c>
      <c r="X61" s="23">
        <v>5154</v>
      </c>
      <c r="Y61" s="23">
        <v>3750</v>
      </c>
      <c r="Z61" s="23">
        <v>11505</v>
      </c>
      <c r="AA61" s="23">
        <v>17040.97316001945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33576</v>
      </c>
      <c r="E62" s="23">
        <v>34154</v>
      </c>
      <c r="F62" s="23">
        <v>34793</v>
      </c>
      <c r="G62" s="23">
        <v>34012</v>
      </c>
      <c r="H62" s="23">
        <v>34584</v>
      </c>
      <c r="I62" s="23">
        <v>34551</v>
      </c>
      <c r="J62" s="23">
        <v>35664</v>
      </c>
      <c r="K62" s="23">
        <v>37758</v>
      </c>
      <c r="L62" s="23">
        <v>37825</v>
      </c>
      <c r="M62" s="23">
        <v>34564</v>
      </c>
      <c r="N62" s="23">
        <v>40771</v>
      </c>
      <c r="O62" s="23">
        <v>41132</v>
      </c>
      <c r="P62" s="23">
        <v>40394</v>
      </c>
      <c r="Q62" s="23">
        <v>39710</v>
      </c>
      <c r="R62" s="23">
        <v>42716</v>
      </c>
      <c r="S62" s="23">
        <v>46959</v>
      </c>
      <c r="T62" s="23">
        <v>47645</v>
      </c>
      <c r="U62" s="23">
        <v>50731</v>
      </c>
      <c r="V62" s="23">
        <v>46558</v>
      </c>
      <c r="W62" s="23">
        <v>47158</v>
      </c>
      <c r="X62" s="23">
        <v>49845</v>
      </c>
      <c r="Y62" s="23">
        <v>50304</v>
      </c>
      <c r="Z62" s="23">
        <v>47956</v>
      </c>
      <c r="AA62" s="23">
        <v>49546.65390982393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12112</v>
      </c>
      <c r="E63" s="23">
        <v>13042</v>
      </c>
      <c r="F63" s="23">
        <v>13078</v>
      </c>
      <c r="G63" s="23">
        <v>14441</v>
      </c>
      <c r="H63" s="23">
        <v>15553</v>
      </c>
      <c r="I63" s="23">
        <v>17514</v>
      </c>
      <c r="J63" s="23">
        <v>18492</v>
      </c>
      <c r="K63" s="23">
        <v>19888</v>
      </c>
      <c r="L63" s="23">
        <v>21471</v>
      </c>
      <c r="M63" s="23">
        <v>20252</v>
      </c>
      <c r="N63" s="23">
        <v>19813</v>
      </c>
      <c r="O63" s="23">
        <v>21166</v>
      </c>
      <c r="P63" s="23">
        <v>21642</v>
      </c>
      <c r="Q63" s="23">
        <v>21827</v>
      </c>
      <c r="R63" s="23">
        <v>23088</v>
      </c>
      <c r="S63" s="23">
        <v>21954</v>
      </c>
      <c r="T63" s="23">
        <v>24569</v>
      </c>
      <c r="U63" s="23">
        <v>22705</v>
      </c>
      <c r="V63" s="23">
        <v>23601</v>
      </c>
      <c r="W63" s="23">
        <v>25910</v>
      </c>
      <c r="X63" s="23">
        <v>24786</v>
      </c>
      <c r="Y63" s="23">
        <v>28844</v>
      </c>
      <c r="Z63" s="23">
        <v>28081</v>
      </c>
      <c r="AA63" s="23">
        <v>29161.757231140538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20243</v>
      </c>
      <c r="E64" s="23">
        <v>20627</v>
      </c>
      <c r="F64" s="23">
        <v>21027</v>
      </c>
      <c r="G64" s="23">
        <v>20855</v>
      </c>
      <c r="H64" s="23">
        <v>21795</v>
      </c>
      <c r="I64" s="23">
        <v>21829</v>
      </c>
      <c r="J64" s="23">
        <v>22927</v>
      </c>
      <c r="K64" s="23">
        <v>23398</v>
      </c>
      <c r="L64" s="23">
        <v>23812</v>
      </c>
      <c r="M64" s="23">
        <v>21164</v>
      </c>
      <c r="N64" s="23">
        <v>23240</v>
      </c>
      <c r="O64" s="23">
        <v>25062</v>
      </c>
      <c r="P64" s="23">
        <v>25268</v>
      </c>
      <c r="Q64" s="23">
        <v>26271</v>
      </c>
      <c r="R64" s="23">
        <v>27225</v>
      </c>
      <c r="S64" s="23">
        <v>28857</v>
      </c>
      <c r="T64" s="23">
        <v>30501</v>
      </c>
      <c r="U64" s="23">
        <v>30134</v>
      </c>
      <c r="V64" s="23">
        <v>30635</v>
      </c>
      <c r="W64" s="23">
        <v>31446</v>
      </c>
      <c r="X64" s="23">
        <v>30439</v>
      </c>
      <c r="Y64" s="23">
        <v>31223</v>
      </c>
      <c r="Z64" s="23">
        <v>31183</v>
      </c>
      <c r="AA64" s="23">
        <v>33079.435267406763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16511</v>
      </c>
      <c r="E65" s="23">
        <v>15248</v>
      </c>
      <c r="F65" s="23">
        <v>14357</v>
      </c>
      <c r="G65" s="23">
        <v>13737</v>
      </c>
      <c r="H65" s="23">
        <v>14087</v>
      </c>
      <c r="I65" s="23">
        <v>13640</v>
      </c>
      <c r="J65" s="23">
        <v>14683</v>
      </c>
      <c r="K65" s="23">
        <v>15611</v>
      </c>
      <c r="L65" s="23">
        <v>14994</v>
      </c>
      <c r="M65" s="23">
        <v>13224</v>
      </c>
      <c r="N65" s="23">
        <v>14187</v>
      </c>
      <c r="O65" s="23">
        <v>15215</v>
      </c>
      <c r="P65" s="23">
        <v>15410</v>
      </c>
      <c r="Q65" s="23">
        <v>15835</v>
      </c>
      <c r="R65" s="23">
        <v>16936</v>
      </c>
      <c r="S65" s="23">
        <v>16621</v>
      </c>
      <c r="T65" s="23">
        <v>17977</v>
      </c>
      <c r="U65" s="23">
        <v>17835</v>
      </c>
      <c r="V65" s="23">
        <v>18573</v>
      </c>
      <c r="W65" s="23">
        <v>19168</v>
      </c>
      <c r="X65" s="23">
        <v>19265</v>
      </c>
      <c r="Y65" s="23">
        <v>19161</v>
      </c>
      <c r="Z65" s="23">
        <v>19671</v>
      </c>
      <c r="AA65" s="23">
        <v>20982.615901714213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17090</v>
      </c>
      <c r="E66" s="23">
        <v>17423</v>
      </c>
      <c r="F66" s="23">
        <v>17406</v>
      </c>
      <c r="G66" s="23">
        <v>17239</v>
      </c>
      <c r="H66" s="23">
        <v>18923</v>
      </c>
      <c r="I66" s="23">
        <v>20450</v>
      </c>
      <c r="J66" s="23">
        <v>22086</v>
      </c>
      <c r="K66" s="23">
        <v>25716</v>
      </c>
      <c r="L66" s="23">
        <v>25258</v>
      </c>
      <c r="M66" s="23">
        <v>17676</v>
      </c>
      <c r="N66" s="23">
        <v>17534</v>
      </c>
      <c r="O66" s="23">
        <v>20438</v>
      </c>
      <c r="P66" s="23">
        <v>21121</v>
      </c>
      <c r="Q66" s="23">
        <v>20456</v>
      </c>
      <c r="R66" s="23">
        <v>20797</v>
      </c>
      <c r="S66" s="23">
        <v>21321</v>
      </c>
      <c r="T66" s="23">
        <v>20915</v>
      </c>
      <c r="U66" s="23">
        <v>21088</v>
      </c>
      <c r="V66" s="23">
        <v>23210</v>
      </c>
      <c r="W66" s="23">
        <v>21000</v>
      </c>
      <c r="X66" s="23">
        <v>18128</v>
      </c>
      <c r="Y66" s="23">
        <v>17436</v>
      </c>
      <c r="Z66" s="23">
        <v>21592</v>
      </c>
      <c r="AA66" s="23">
        <v>24369.64208682871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38544</v>
      </c>
      <c r="E67" s="23">
        <v>39187</v>
      </c>
      <c r="F67" s="23">
        <v>36775</v>
      </c>
      <c r="G67" s="23">
        <v>37762</v>
      </c>
      <c r="H67" s="23">
        <v>38431</v>
      </c>
      <c r="I67" s="23">
        <v>40218</v>
      </c>
      <c r="J67" s="23">
        <v>44857</v>
      </c>
      <c r="K67" s="23">
        <v>46282</v>
      </c>
      <c r="L67" s="23">
        <v>47273</v>
      </c>
      <c r="M67" s="23">
        <v>37383</v>
      </c>
      <c r="N67" s="23">
        <v>44401</v>
      </c>
      <c r="O67" s="23">
        <v>49412</v>
      </c>
      <c r="P67" s="23">
        <v>49816</v>
      </c>
      <c r="Q67" s="23">
        <v>51091</v>
      </c>
      <c r="R67" s="23">
        <v>52860</v>
      </c>
      <c r="S67" s="23">
        <v>53559</v>
      </c>
      <c r="T67" s="23">
        <v>56030</v>
      </c>
      <c r="U67" s="23">
        <v>56717</v>
      </c>
      <c r="V67" s="23">
        <v>58155</v>
      </c>
      <c r="W67" s="23">
        <v>57974</v>
      </c>
      <c r="X67" s="23">
        <v>53419</v>
      </c>
      <c r="Y67" s="23">
        <v>57709</v>
      </c>
      <c r="Z67" s="23">
        <v>58010</v>
      </c>
      <c r="AA67" s="23">
        <v>62323.967910086227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29249</v>
      </c>
      <c r="E68" s="23">
        <v>25644</v>
      </c>
      <c r="F68" s="23">
        <v>25812</v>
      </c>
      <c r="G68" s="23">
        <v>27452</v>
      </c>
      <c r="H68" s="23">
        <v>29709</v>
      </c>
      <c r="I68" s="23">
        <v>29254</v>
      </c>
      <c r="J68" s="23">
        <v>30539</v>
      </c>
      <c r="K68" s="23">
        <v>35209</v>
      </c>
      <c r="L68" s="23">
        <v>32329</v>
      </c>
      <c r="M68" s="23">
        <v>25108</v>
      </c>
      <c r="N68" s="23">
        <v>30299</v>
      </c>
      <c r="O68" s="23">
        <v>32850</v>
      </c>
      <c r="P68" s="23">
        <v>32605</v>
      </c>
      <c r="Q68" s="23">
        <v>33933</v>
      </c>
      <c r="R68" s="23">
        <v>35400</v>
      </c>
      <c r="S68" s="23">
        <v>39594</v>
      </c>
      <c r="T68" s="23">
        <v>42079</v>
      </c>
      <c r="U68" s="23">
        <v>42124</v>
      </c>
      <c r="V68" s="23">
        <v>45519</v>
      </c>
      <c r="W68" s="23">
        <v>46082</v>
      </c>
      <c r="X68" s="23">
        <v>44190</v>
      </c>
      <c r="Y68" s="23">
        <v>47005</v>
      </c>
      <c r="Z68" s="23">
        <v>49016</v>
      </c>
      <c r="AA68" s="23">
        <v>52964.629094432064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34115</v>
      </c>
      <c r="E69" s="23">
        <v>31071</v>
      </c>
      <c r="F69" s="23">
        <v>31039</v>
      </c>
      <c r="G69" s="23">
        <v>31188</v>
      </c>
      <c r="H69" s="23">
        <v>33101</v>
      </c>
      <c r="I69" s="23">
        <v>31967</v>
      </c>
      <c r="J69" s="23">
        <v>35843</v>
      </c>
      <c r="K69" s="23">
        <v>34654</v>
      </c>
      <c r="L69" s="23">
        <v>36241</v>
      </c>
      <c r="M69" s="23">
        <v>33157</v>
      </c>
      <c r="N69" s="23">
        <v>38687</v>
      </c>
      <c r="O69" s="23">
        <v>40683</v>
      </c>
      <c r="P69" s="23">
        <v>40135</v>
      </c>
      <c r="Q69" s="23">
        <v>40607</v>
      </c>
      <c r="R69" s="23">
        <v>42745</v>
      </c>
      <c r="S69" s="23">
        <v>40804</v>
      </c>
      <c r="T69" s="23">
        <v>42602</v>
      </c>
      <c r="U69" s="23">
        <v>44969</v>
      </c>
      <c r="V69" s="23">
        <v>45495</v>
      </c>
      <c r="W69" s="23">
        <v>44398</v>
      </c>
      <c r="X69" s="23">
        <v>43311</v>
      </c>
      <c r="Y69" s="23">
        <v>46257</v>
      </c>
      <c r="Z69" s="23">
        <v>46172</v>
      </c>
      <c r="AA69" s="23">
        <v>48812.433744974856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61636</v>
      </c>
      <c r="E70" s="23">
        <v>64193</v>
      </c>
      <c r="F70" s="23">
        <v>62916</v>
      </c>
      <c r="G70" s="23">
        <v>63600</v>
      </c>
      <c r="H70" s="23">
        <v>67413</v>
      </c>
      <c r="I70" s="23">
        <v>68911</v>
      </c>
      <c r="J70" s="23">
        <v>74343</v>
      </c>
      <c r="K70" s="23">
        <v>81904</v>
      </c>
      <c r="L70" s="23">
        <v>84989</v>
      </c>
      <c r="M70" s="23">
        <v>66156</v>
      </c>
      <c r="N70" s="23">
        <v>77058</v>
      </c>
      <c r="O70" s="23">
        <v>86272</v>
      </c>
      <c r="P70" s="23">
        <v>88079</v>
      </c>
      <c r="Q70" s="23">
        <v>88822</v>
      </c>
      <c r="R70" s="23">
        <v>93674</v>
      </c>
      <c r="S70" s="23">
        <v>95453</v>
      </c>
      <c r="T70" s="23">
        <v>100538</v>
      </c>
      <c r="U70" s="23">
        <v>107056</v>
      </c>
      <c r="V70" s="23">
        <v>109984</v>
      </c>
      <c r="W70" s="23">
        <v>109653</v>
      </c>
      <c r="X70" s="23">
        <v>97382</v>
      </c>
      <c r="Y70" s="23">
        <v>106747</v>
      </c>
      <c r="Z70" s="23">
        <v>107139</v>
      </c>
      <c r="AA70" s="23">
        <v>113578.1279919082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56007</v>
      </c>
      <c r="E71" s="23">
        <v>64992</v>
      </c>
      <c r="F71" s="23">
        <v>65659</v>
      </c>
      <c r="G71" s="23">
        <v>69396</v>
      </c>
      <c r="H71" s="23">
        <v>69581</v>
      </c>
      <c r="I71" s="23">
        <v>69469</v>
      </c>
      <c r="J71" s="23">
        <v>77451</v>
      </c>
      <c r="K71" s="23">
        <v>83460</v>
      </c>
      <c r="L71" s="23">
        <v>73762</v>
      </c>
      <c r="M71" s="23">
        <v>57082</v>
      </c>
      <c r="N71" s="23">
        <v>83423</v>
      </c>
      <c r="O71" s="23">
        <v>95541</v>
      </c>
      <c r="P71" s="23">
        <v>97549</v>
      </c>
      <c r="Q71" s="23">
        <v>99261</v>
      </c>
      <c r="R71" s="23">
        <v>112012</v>
      </c>
      <c r="S71" s="23">
        <v>119052</v>
      </c>
      <c r="T71" s="23">
        <v>130920</v>
      </c>
      <c r="U71" s="23">
        <v>135188</v>
      </c>
      <c r="V71" s="23">
        <v>135145</v>
      </c>
      <c r="W71" s="23">
        <v>132208</v>
      </c>
      <c r="X71" s="23">
        <v>113385</v>
      </c>
      <c r="Y71" s="23">
        <v>136035</v>
      </c>
      <c r="Z71" s="23">
        <v>150620</v>
      </c>
      <c r="AA71" s="23">
        <v>173121.36741876206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6664</v>
      </c>
      <c r="E72" s="23">
        <v>7756</v>
      </c>
      <c r="F72" s="23">
        <v>7468</v>
      </c>
      <c r="G72" s="23">
        <v>7172</v>
      </c>
      <c r="H72" s="23">
        <v>6800</v>
      </c>
      <c r="I72" s="23">
        <v>8409</v>
      </c>
      <c r="J72" s="23">
        <v>8274</v>
      </c>
      <c r="K72" s="23">
        <v>8864</v>
      </c>
      <c r="L72" s="23">
        <v>9253</v>
      </c>
      <c r="M72" s="23">
        <v>8437</v>
      </c>
      <c r="N72" s="23">
        <v>10020</v>
      </c>
      <c r="O72" s="23">
        <v>10409</v>
      </c>
      <c r="P72" s="23">
        <v>11512</v>
      </c>
      <c r="Q72" s="23">
        <v>11460</v>
      </c>
      <c r="R72" s="23">
        <v>12778</v>
      </c>
      <c r="S72" s="23">
        <v>13003</v>
      </c>
      <c r="T72" s="23">
        <v>13833</v>
      </c>
      <c r="U72" s="23">
        <v>16263</v>
      </c>
      <c r="V72" s="23">
        <v>15568</v>
      </c>
      <c r="W72" s="23">
        <v>16071</v>
      </c>
      <c r="X72" s="23">
        <v>12585</v>
      </c>
      <c r="Y72" s="23">
        <v>12905</v>
      </c>
      <c r="Z72" s="23">
        <v>17142</v>
      </c>
      <c r="AA72" s="23">
        <v>19818.657230831828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17353</v>
      </c>
      <c r="E73" s="23">
        <v>17821</v>
      </c>
      <c r="F73" s="23">
        <v>16688</v>
      </c>
      <c r="G73" s="23">
        <v>17199</v>
      </c>
      <c r="H73" s="23">
        <v>17184</v>
      </c>
      <c r="I73" s="23">
        <v>17736</v>
      </c>
      <c r="J73" s="23">
        <v>19507</v>
      </c>
      <c r="K73" s="23">
        <v>19694</v>
      </c>
      <c r="L73" s="23">
        <v>19597</v>
      </c>
      <c r="M73" s="23">
        <v>18031</v>
      </c>
      <c r="N73" s="23">
        <v>20708</v>
      </c>
      <c r="O73" s="23">
        <v>22992</v>
      </c>
      <c r="P73" s="23">
        <v>22798</v>
      </c>
      <c r="Q73" s="23">
        <v>22099</v>
      </c>
      <c r="R73" s="23">
        <v>23225</v>
      </c>
      <c r="S73" s="23">
        <v>23989</v>
      </c>
      <c r="T73" s="23">
        <v>24258</v>
      </c>
      <c r="U73" s="23">
        <v>26681</v>
      </c>
      <c r="V73" s="23">
        <v>25572</v>
      </c>
      <c r="W73" s="23">
        <v>26981</v>
      </c>
      <c r="X73" s="23">
        <v>27409</v>
      </c>
      <c r="Y73" s="23">
        <v>28307</v>
      </c>
      <c r="Z73" s="23">
        <v>29490</v>
      </c>
      <c r="AA73" s="23">
        <v>31700.125620605482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10044</v>
      </c>
      <c r="E74" s="23">
        <v>9802</v>
      </c>
      <c r="F74" s="23">
        <v>9896</v>
      </c>
      <c r="G74" s="23">
        <v>10173</v>
      </c>
      <c r="H74" s="23">
        <v>10575</v>
      </c>
      <c r="I74" s="23">
        <v>11536</v>
      </c>
      <c r="J74" s="23">
        <v>11810</v>
      </c>
      <c r="K74" s="23">
        <v>13262</v>
      </c>
      <c r="L74" s="23">
        <v>12956</v>
      </c>
      <c r="M74" s="23">
        <v>12039</v>
      </c>
      <c r="N74" s="23">
        <v>12473</v>
      </c>
      <c r="O74" s="23">
        <v>13010</v>
      </c>
      <c r="P74" s="23">
        <v>13670</v>
      </c>
      <c r="Q74" s="23">
        <v>14166</v>
      </c>
      <c r="R74" s="23">
        <v>14853</v>
      </c>
      <c r="S74" s="23">
        <v>15961</v>
      </c>
      <c r="T74" s="23">
        <v>15283</v>
      </c>
      <c r="U74" s="23">
        <v>11648</v>
      </c>
      <c r="V74" s="23">
        <v>12962</v>
      </c>
      <c r="W74" s="23">
        <v>15519</v>
      </c>
      <c r="X74" s="23">
        <v>13049</v>
      </c>
      <c r="Y74" s="23">
        <v>13528</v>
      </c>
      <c r="Z74" s="23">
        <v>28080</v>
      </c>
      <c r="AA74" s="23">
        <v>32206.496181475639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431981</v>
      </c>
      <c r="E75" s="30">
        <f t="shared" ref="E75:Y75" si="6">SUM(E56:E74)</f>
        <v>441002</v>
      </c>
      <c r="F75" s="30">
        <f t="shared" si="6"/>
        <v>433029</v>
      </c>
      <c r="G75" s="30">
        <f t="shared" si="6"/>
        <v>438145</v>
      </c>
      <c r="H75" s="30">
        <f t="shared" si="6"/>
        <v>453784</v>
      </c>
      <c r="I75" s="30">
        <f t="shared" si="6"/>
        <v>459778</v>
      </c>
      <c r="J75" s="30">
        <f t="shared" si="6"/>
        <v>493457</v>
      </c>
      <c r="K75" s="30">
        <f t="shared" si="6"/>
        <v>521915</v>
      </c>
      <c r="L75" s="30">
        <f t="shared" si="6"/>
        <v>511603</v>
      </c>
      <c r="M75" s="30">
        <f t="shared" si="6"/>
        <v>432427</v>
      </c>
      <c r="N75" s="30">
        <f t="shared" si="6"/>
        <v>508085</v>
      </c>
      <c r="O75" s="30">
        <f t="shared" si="6"/>
        <v>552758</v>
      </c>
      <c r="P75" s="30">
        <f t="shared" si="6"/>
        <v>561180</v>
      </c>
      <c r="Q75" s="30">
        <f t="shared" si="6"/>
        <v>566418</v>
      </c>
      <c r="R75" s="30">
        <f t="shared" si="6"/>
        <v>600184</v>
      </c>
      <c r="S75" s="30">
        <f t="shared" si="6"/>
        <v>621665</v>
      </c>
      <c r="T75" s="30">
        <f t="shared" si="6"/>
        <v>652239</v>
      </c>
      <c r="U75" s="30">
        <f t="shared" si="6"/>
        <v>669711</v>
      </c>
      <c r="V75" s="30">
        <f t="shared" si="6"/>
        <v>680125</v>
      </c>
      <c r="W75" s="30">
        <f t="shared" si="6"/>
        <v>683030</v>
      </c>
      <c r="X75" s="30">
        <f t="shared" si="6"/>
        <v>639332</v>
      </c>
      <c r="Y75" s="30">
        <f t="shared" si="6"/>
        <v>683907</v>
      </c>
      <c r="Z75" s="30">
        <f t="shared" ref="Z75:AA75" si="7">SUM(Z56:Z74)</f>
        <v>730927</v>
      </c>
      <c r="AA75" s="30">
        <f t="shared" si="7"/>
        <v>799148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3295140.0075725191</v>
      </c>
      <c r="E2" s="19">
        <v>3349036.4900239618</v>
      </c>
      <c r="F2" s="19">
        <v>3341396.6773435837</v>
      </c>
      <c r="G2" s="19">
        <v>3323696.754636568</v>
      </c>
      <c r="H2" s="19">
        <v>3362311.3985763066</v>
      </c>
      <c r="I2" s="19">
        <v>3392115.6191857788</v>
      </c>
      <c r="J2" s="19">
        <v>3523280.0453946241</v>
      </c>
      <c r="K2" s="19">
        <v>3625055.031348139</v>
      </c>
      <c r="L2" s="19">
        <v>3657250.8218399137</v>
      </c>
      <c r="M2" s="19">
        <v>3454456.177522168</v>
      </c>
      <c r="N2" s="19">
        <v>3597285.1748661762</v>
      </c>
      <c r="O2" s="19">
        <v>3732492.9757269584</v>
      </c>
      <c r="P2" s="19">
        <v>3749758.2658531689</v>
      </c>
      <c r="Q2" s="19">
        <v>3764658.3939123764</v>
      </c>
      <c r="R2" s="19">
        <v>3846758.1883298573</v>
      </c>
      <c r="S2" s="19">
        <v>3910711.3446</v>
      </c>
      <c r="T2" s="19">
        <v>3997625.705848658</v>
      </c>
      <c r="U2" s="19">
        <v>4109480.7834626134</v>
      </c>
      <c r="V2" s="19">
        <v>4156123.7815270559</v>
      </c>
      <c r="W2" s="19">
        <v>4196766.1433856236</v>
      </c>
      <c r="X2" s="19">
        <v>4023378.6255073585</v>
      </c>
      <c r="Y2" s="19">
        <v>4180695.6012224304</v>
      </c>
      <c r="Z2" s="19">
        <v>4256330.4107397022</v>
      </c>
      <c r="AA2" s="19">
        <v>4219310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1853218.3844329719</v>
      </c>
      <c r="E3" s="23">
        <v>1871497.4848261175</v>
      </c>
      <c r="F3" s="23">
        <v>1861025.5366769144</v>
      </c>
      <c r="G3" s="23">
        <v>1875000.5132036584</v>
      </c>
      <c r="H3" s="23">
        <v>1886923.1970079141</v>
      </c>
      <c r="I3" s="23">
        <v>1903980.2468773215</v>
      </c>
      <c r="J3" s="23">
        <v>1931127.3768417013</v>
      </c>
      <c r="K3" s="23">
        <v>1928247.7262164524</v>
      </c>
      <c r="L3" s="23">
        <v>1929468.3827638996</v>
      </c>
      <c r="M3" s="23">
        <v>1936470.7203873366</v>
      </c>
      <c r="N3" s="23">
        <v>1947365.1276406946</v>
      </c>
      <c r="O3" s="23">
        <v>1970393.5284155812</v>
      </c>
      <c r="P3" s="23">
        <v>1992587.6818702586</v>
      </c>
      <c r="Q3" s="23">
        <v>1994232.1155171189</v>
      </c>
      <c r="R3" s="23">
        <v>2013961.2627007903</v>
      </c>
      <c r="S3" s="23">
        <v>2060423.54406</v>
      </c>
      <c r="T3" s="23">
        <v>2106471.3953137412</v>
      </c>
      <c r="U3" s="23">
        <v>2138125.7985704243</v>
      </c>
      <c r="V3" s="23">
        <v>2168351.969605593</v>
      </c>
      <c r="W3" s="23">
        <v>2204522.1753969081</v>
      </c>
      <c r="X3" s="23">
        <v>2055696.8121551645</v>
      </c>
      <c r="Y3" s="23">
        <v>2096191.7444207417</v>
      </c>
      <c r="Z3" s="23">
        <v>2233093.1589651168</v>
      </c>
      <c r="AA3" s="23">
        <v>2218511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2954132.6342910458</v>
      </c>
      <c r="E4" s="27">
        <v>3012070.100073236</v>
      </c>
      <c r="F4" s="27">
        <v>3013891.7358376109</v>
      </c>
      <c r="G4" s="27">
        <v>2997506.820631681</v>
      </c>
      <c r="H4" s="27">
        <v>3044881.9816710609</v>
      </c>
      <c r="I4" s="27">
        <v>3071837.5225469018</v>
      </c>
      <c r="J4" s="27">
        <v>3192820.5781051684</v>
      </c>
      <c r="K4" s="27">
        <v>3299993.1094992296</v>
      </c>
      <c r="L4" s="27">
        <v>3331306.2016012133</v>
      </c>
      <c r="M4" s="27">
        <v>3124326.9071138282</v>
      </c>
      <c r="N4" s="27">
        <v>3267895.1891751462</v>
      </c>
      <c r="O4" s="27">
        <v>3390362.129984342</v>
      </c>
      <c r="P4" s="27">
        <v>3407499.8493000045</v>
      </c>
      <c r="Q4" s="27">
        <v>3423172.9665974244</v>
      </c>
      <c r="R4" s="27">
        <v>3500054.1444186149</v>
      </c>
      <c r="S4" s="27">
        <v>3550347.2051600004</v>
      </c>
      <c r="T4" s="27">
        <v>3632344.5932188323</v>
      </c>
      <c r="U4" s="27">
        <v>3737676.7150589982</v>
      </c>
      <c r="V4" s="27">
        <v>3783225.7283181194</v>
      </c>
      <c r="W4" s="27">
        <v>3809096.5234745075</v>
      </c>
      <c r="X4" s="27">
        <v>3644373.3061901727</v>
      </c>
      <c r="Y4" s="27">
        <v>3792347.4865632202</v>
      </c>
      <c r="Z4" s="27">
        <v>3874690.2067327001</v>
      </c>
      <c r="AA4" s="27">
        <v>3853937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32722.085835267098</v>
      </c>
      <c r="E6" s="19">
        <v>36228.450707552744</v>
      </c>
      <c r="F6" s="19">
        <v>30146.032664489037</v>
      </c>
      <c r="G6" s="19">
        <v>27633.095005823274</v>
      </c>
      <c r="H6" s="19">
        <v>32020.298604215888</v>
      </c>
      <c r="I6" s="19">
        <v>24757.429539511086</v>
      </c>
      <c r="J6" s="19">
        <v>25406.730825022671</v>
      </c>
      <c r="K6" s="19">
        <v>30305.817977351191</v>
      </c>
      <c r="L6" s="19">
        <v>31162.217657946971</v>
      </c>
      <c r="M6" s="19">
        <v>23491.327645757749</v>
      </c>
      <c r="N6" s="19">
        <v>28327.243039618967</v>
      </c>
      <c r="O6" s="19">
        <v>35125.268140966517</v>
      </c>
      <c r="P6" s="19">
        <v>34786.726769022549</v>
      </c>
      <c r="Q6" s="19">
        <v>35593.290901537184</v>
      </c>
      <c r="R6" s="19">
        <v>35927.577062686083</v>
      </c>
      <c r="S6" s="19">
        <v>28203.506560000005</v>
      </c>
      <c r="T6" s="19">
        <v>29727.155445378317</v>
      </c>
      <c r="U6" s="19">
        <v>35985.575957007677</v>
      </c>
      <c r="V6" s="19">
        <v>31426.260173015347</v>
      </c>
      <c r="W6" s="19">
        <v>35504.644075081051</v>
      </c>
      <c r="X6" s="19">
        <v>29558.469432035738</v>
      </c>
      <c r="Y6" s="19">
        <v>31960.122029177011</v>
      </c>
      <c r="Z6" s="19">
        <v>42804.3153526971</v>
      </c>
      <c r="AA6" s="19">
        <v>39204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745656.36257505801</v>
      </c>
      <c r="E7" s="23">
        <v>748717.2528526542</v>
      </c>
      <c r="F7" s="23">
        <v>730588.49990667298</v>
      </c>
      <c r="G7" s="23">
        <v>728558.20735461998</v>
      </c>
      <c r="H7" s="23">
        <v>751764.73553143663</v>
      </c>
      <c r="I7" s="23">
        <v>760211.13796475274</v>
      </c>
      <c r="J7" s="23">
        <v>811919.38685403462</v>
      </c>
      <c r="K7" s="23">
        <v>851386.26465593826</v>
      </c>
      <c r="L7" s="23">
        <v>842691.18311366835</v>
      </c>
      <c r="M7" s="23">
        <v>709675.53714902105</v>
      </c>
      <c r="N7" s="23">
        <v>818715.11175579135</v>
      </c>
      <c r="O7" s="23">
        <v>860013.81943759252</v>
      </c>
      <c r="P7" s="23">
        <v>870704.42181618244</v>
      </c>
      <c r="Q7" s="23">
        <v>849086.68670544249</v>
      </c>
      <c r="R7" s="23">
        <v>872636.74925567943</v>
      </c>
      <c r="S7" s="23">
        <v>882967.56156000018</v>
      </c>
      <c r="T7" s="23">
        <v>911265.56067594397</v>
      </c>
      <c r="U7" s="23">
        <v>927018.06370964611</v>
      </c>
      <c r="V7" s="23">
        <v>925265.22460450232</v>
      </c>
      <c r="W7" s="23">
        <v>915696.93812073139</v>
      </c>
      <c r="X7" s="23">
        <v>841805.08370863344</v>
      </c>
      <c r="Y7" s="23">
        <v>879807.67033908912</v>
      </c>
      <c r="Z7" s="23">
        <v>912353.26997724536</v>
      </c>
      <c r="AA7" s="23">
        <v>943392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149569.9320111959</v>
      </c>
      <c r="E8" s="23">
        <v>140109.74424153654</v>
      </c>
      <c r="F8" s="23">
        <v>132260.45328978068</v>
      </c>
      <c r="G8" s="23">
        <v>125105.77456440769</v>
      </c>
      <c r="H8" s="23">
        <v>120176.92822496891</v>
      </c>
      <c r="I8" s="23">
        <v>115677.86528709494</v>
      </c>
      <c r="J8" s="23">
        <v>119119.07606527653</v>
      </c>
      <c r="K8" s="23">
        <v>124049.53341655141</v>
      </c>
      <c r="L8" s="23">
        <v>126889.01897816731</v>
      </c>
      <c r="M8" s="23">
        <v>125608.35371926041</v>
      </c>
      <c r="N8" s="23">
        <v>131768.99922061054</v>
      </c>
      <c r="O8" s="23">
        <v>138295.28482872527</v>
      </c>
      <c r="P8" s="23">
        <v>142464.27885632112</v>
      </c>
      <c r="Q8" s="23">
        <v>144388.81316992108</v>
      </c>
      <c r="R8" s="23">
        <v>147028.80362168117</v>
      </c>
      <c r="S8" s="23">
        <v>146977.50936000003</v>
      </c>
      <c r="T8" s="23">
        <v>153789.82564122824</v>
      </c>
      <c r="U8" s="23">
        <v>159881.91163986138</v>
      </c>
      <c r="V8" s="23">
        <v>168933.40476987051</v>
      </c>
      <c r="W8" s="23">
        <v>172787.25987797929</v>
      </c>
      <c r="X8" s="23">
        <v>181880.27820220622</v>
      </c>
      <c r="Y8" s="23">
        <v>186682.52540042502</v>
      </c>
      <c r="Z8" s="23">
        <v>187637.80799089815</v>
      </c>
      <c r="AA8" s="23">
        <v>187208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476183.08346690272</v>
      </c>
      <c r="E9" s="23">
        <v>496516.3622575539</v>
      </c>
      <c r="F9" s="23">
        <v>496269.28483434441</v>
      </c>
      <c r="G9" s="23">
        <v>498253.66833869537</v>
      </c>
      <c r="H9" s="23">
        <v>499262.35601054545</v>
      </c>
      <c r="I9" s="23">
        <v>510195.70078453666</v>
      </c>
      <c r="J9" s="23">
        <v>527542.57647325483</v>
      </c>
      <c r="K9" s="23">
        <v>545411.91664698673</v>
      </c>
      <c r="L9" s="23">
        <v>556097.4162039205</v>
      </c>
      <c r="M9" s="23">
        <v>534507.78801250842</v>
      </c>
      <c r="N9" s="23">
        <v>524548.12474561599</v>
      </c>
      <c r="O9" s="23">
        <v>542125.92479783786</v>
      </c>
      <c r="P9" s="23">
        <v>532414.30964767595</v>
      </c>
      <c r="Q9" s="23">
        <v>535861.44100540096</v>
      </c>
      <c r="R9" s="23">
        <v>556832.74207757262</v>
      </c>
      <c r="S9" s="23">
        <v>574027.49576000008</v>
      </c>
      <c r="T9" s="23">
        <v>586952.76333073247</v>
      </c>
      <c r="U9" s="23">
        <v>617955.13174189033</v>
      </c>
      <c r="V9" s="23">
        <v>626407.60403383849</v>
      </c>
      <c r="W9" s="23">
        <v>634406.66670403897</v>
      </c>
      <c r="X9" s="23">
        <v>587947.15810010035</v>
      </c>
      <c r="Y9" s="23">
        <v>628347.21236362343</v>
      </c>
      <c r="Z9" s="23">
        <v>692396.47791460319</v>
      </c>
      <c r="AA9" s="23">
        <v>647138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136923.76742183202</v>
      </c>
      <c r="E10" s="23">
        <v>147932.71345885799</v>
      </c>
      <c r="F10" s="23">
        <v>149911.82790480636</v>
      </c>
      <c r="G10" s="23">
        <v>136767.7614418653</v>
      </c>
      <c r="H10" s="23">
        <v>145140.63468803142</v>
      </c>
      <c r="I10" s="23">
        <v>143486.35552018191</v>
      </c>
      <c r="J10" s="23">
        <v>151709.71858567547</v>
      </c>
      <c r="K10" s="23">
        <v>158379.40253927556</v>
      </c>
      <c r="L10" s="23">
        <v>156108.72032291876</v>
      </c>
      <c r="M10" s="23">
        <v>145998.88231512657</v>
      </c>
      <c r="N10" s="23">
        <v>142134.53124052827</v>
      </c>
      <c r="O10" s="23">
        <v>153533.889877952</v>
      </c>
      <c r="P10" s="23">
        <v>157277.23694116654</v>
      </c>
      <c r="Q10" s="23">
        <v>161797.06103032822</v>
      </c>
      <c r="R10" s="23">
        <v>164908.44647008445</v>
      </c>
      <c r="S10" s="23">
        <v>165477.67892000003</v>
      </c>
      <c r="T10" s="23">
        <v>165306.51944178328</v>
      </c>
      <c r="U10" s="23">
        <v>172070.43272713115</v>
      </c>
      <c r="V10" s="23">
        <v>182893.78375949914</v>
      </c>
      <c r="W10" s="23">
        <v>187422.83558968897</v>
      </c>
      <c r="X10" s="23">
        <v>182756.07599598871</v>
      </c>
      <c r="Y10" s="23">
        <v>193181.3867114262</v>
      </c>
      <c r="Z10" s="23">
        <v>181491.1600856646</v>
      </c>
      <c r="AA10" s="23">
        <v>185650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125119.75502978398</v>
      </c>
      <c r="E11" s="23">
        <v>126760.7367998299</v>
      </c>
      <c r="F11" s="23">
        <v>136478.49099393375</v>
      </c>
      <c r="G11" s="23">
        <v>150429.66829257042</v>
      </c>
      <c r="H11" s="23">
        <v>168085.22865523107</v>
      </c>
      <c r="I11" s="23">
        <v>164238.25992040933</v>
      </c>
      <c r="J11" s="23">
        <v>163325.85244786946</v>
      </c>
      <c r="K11" s="23">
        <v>153504.13769216064</v>
      </c>
      <c r="L11" s="23">
        <v>141165.29171963158</v>
      </c>
      <c r="M11" s="23">
        <v>155617.40079974724</v>
      </c>
      <c r="N11" s="23">
        <v>161034.24892833948</v>
      </c>
      <c r="O11" s="23">
        <v>164387.19529825615</v>
      </c>
      <c r="P11" s="23">
        <v>166227.1869475109</v>
      </c>
      <c r="Q11" s="23">
        <v>159778.73286248444</v>
      </c>
      <c r="R11" s="23">
        <v>157976.94583792164</v>
      </c>
      <c r="S11" s="23">
        <v>160968.36736000003</v>
      </c>
      <c r="T11" s="23">
        <v>155786.74877285163</v>
      </c>
      <c r="U11" s="23">
        <v>152077.19070057248</v>
      </c>
      <c r="V11" s="23">
        <v>148461.22265449507</v>
      </c>
      <c r="W11" s="23">
        <v>151739.88519214059</v>
      </c>
      <c r="X11" s="23">
        <v>150865.28062722218</v>
      </c>
      <c r="Y11" s="23">
        <v>159836.29919825727</v>
      </c>
      <c r="Z11" s="23">
        <v>145672.75063579174</v>
      </c>
      <c r="AA11" s="23">
        <v>149169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318796.25157292892</v>
      </c>
      <c r="E12" s="23">
        <v>330646.87202627043</v>
      </c>
      <c r="F12" s="23">
        <v>336050.04097060196</v>
      </c>
      <c r="G12" s="23">
        <v>332953.21963538241</v>
      </c>
      <c r="H12" s="23">
        <v>331617.15260040405</v>
      </c>
      <c r="I12" s="23">
        <v>340308.36020466173</v>
      </c>
      <c r="J12" s="23">
        <v>358584.74768812337</v>
      </c>
      <c r="K12" s="23">
        <v>373888.73047468037</v>
      </c>
      <c r="L12" s="23">
        <v>384816.65136816754</v>
      </c>
      <c r="M12" s="23">
        <v>370110.64400353027</v>
      </c>
      <c r="N12" s="23">
        <v>369527.16856462439</v>
      </c>
      <c r="O12" s="23">
        <v>388636.28896849061</v>
      </c>
      <c r="P12" s="23">
        <v>377152.31129721273</v>
      </c>
      <c r="Q12" s="23">
        <v>385176.56896551728</v>
      </c>
      <c r="R12" s="23">
        <v>386385.14307271916</v>
      </c>
      <c r="S12" s="23">
        <v>392700.81816000008</v>
      </c>
      <c r="T12" s="23">
        <v>396652.86604576744</v>
      </c>
      <c r="U12" s="23">
        <v>399195.72097823129</v>
      </c>
      <c r="V12" s="23">
        <v>397419.67117526173</v>
      </c>
      <c r="W12" s="23">
        <v>396496.63686221751</v>
      </c>
      <c r="X12" s="23">
        <v>391666.1779195916</v>
      </c>
      <c r="Y12" s="23">
        <v>391094.451011553</v>
      </c>
      <c r="Z12" s="23">
        <v>373307.99825993844</v>
      </c>
      <c r="AA12" s="23">
        <v>374433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322538.12195880484</v>
      </c>
      <c r="E13" s="23">
        <v>330124.42684684257</v>
      </c>
      <c r="F13" s="23">
        <v>333413.01525898278</v>
      </c>
      <c r="G13" s="23">
        <v>329215.07925415988</v>
      </c>
      <c r="H13" s="23">
        <v>324152.91165359906</v>
      </c>
      <c r="I13" s="23">
        <v>333276.69894258102</v>
      </c>
      <c r="J13" s="23">
        <v>344548.64682683593</v>
      </c>
      <c r="K13" s="23">
        <v>367222.58160430938</v>
      </c>
      <c r="L13" s="23">
        <v>377539.76383220713</v>
      </c>
      <c r="M13" s="23">
        <v>338193.62904368108</v>
      </c>
      <c r="N13" s="23">
        <v>355986.09313704266</v>
      </c>
      <c r="O13" s="23">
        <v>359071.81862250919</v>
      </c>
      <c r="P13" s="23">
        <v>365940.33096476761</v>
      </c>
      <c r="Q13" s="23">
        <v>383464.94096385542</v>
      </c>
      <c r="R13" s="23">
        <v>394695.84403931652</v>
      </c>
      <c r="S13" s="23">
        <v>404647.85036000004</v>
      </c>
      <c r="T13" s="23">
        <v>420601.9345981768</v>
      </c>
      <c r="U13" s="23">
        <v>440062.22905876406</v>
      </c>
      <c r="V13" s="23">
        <v>455620.37531902699</v>
      </c>
      <c r="W13" s="23">
        <v>443389.99489867419</v>
      </c>
      <c r="X13" s="23">
        <v>422126.30763059534</v>
      </c>
      <c r="Y13" s="23">
        <v>457057.0298733997</v>
      </c>
      <c r="Z13" s="23">
        <v>463489.39844063716</v>
      </c>
      <c r="AA13" s="23">
        <v>465179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524174.96189086389</v>
      </c>
      <c r="E14" s="23">
        <v>531523.23560679436</v>
      </c>
      <c r="F14" s="23">
        <v>545370.91418572096</v>
      </c>
      <c r="G14" s="23">
        <v>546104.54169117054</v>
      </c>
      <c r="H14" s="23">
        <v>547754.9040070303</v>
      </c>
      <c r="I14" s="23">
        <v>552674.50014781125</v>
      </c>
      <c r="J14" s="23">
        <v>558913.00616500457</v>
      </c>
      <c r="K14" s="23">
        <v>562897.32519145776</v>
      </c>
      <c r="L14" s="23">
        <v>577410.4578845253</v>
      </c>
      <c r="M14" s="23">
        <v>588078.41192429652</v>
      </c>
      <c r="N14" s="23">
        <v>603369.99757523276</v>
      </c>
      <c r="O14" s="23">
        <v>615182.44434911304</v>
      </c>
      <c r="P14" s="23">
        <v>626452.86875608005</v>
      </c>
      <c r="Q14" s="23">
        <v>636035.87606979639</v>
      </c>
      <c r="R14" s="23">
        <v>650476.36897915916</v>
      </c>
      <c r="S14" s="23">
        <v>659559.99364000012</v>
      </c>
      <c r="T14" s="23">
        <v>678099.31410060148</v>
      </c>
      <c r="U14" s="23">
        <v>699099.37291171786</v>
      </c>
      <c r="V14" s="23">
        <v>712680.67542895384</v>
      </c>
      <c r="W14" s="23">
        <v>735247.32546645368</v>
      </c>
      <c r="X14" s="23">
        <v>740237.22654754308</v>
      </c>
      <c r="Y14" s="23">
        <v>749552.99051836517</v>
      </c>
      <c r="Z14" s="23">
        <v>746483.31177218584</v>
      </c>
      <c r="AA14" s="23">
        <v>733621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122448.31252840841</v>
      </c>
      <c r="E15" s="23">
        <v>123510.30527534314</v>
      </c>
      <c r="F15" s="23">
        <v>123403.17582827812</v>
      </c>
      <c r="G15" s="23">
        <v>122485.80505298602</v>
      </c>
      <c r="H15" s="23">
        <v>124906.8316955981</v>
      </c>
      <c r="I15" s="23">
        <v>127011.214235361</v>
      </c>
      <c r="J15" s="23">
        <v>131750.83617407075</v>
      </c>
      <c r="K15" s="23">
        <v>132947.39930051842</v>
      </c>
      <c r="L15" s="23">
        <v>137425.48052005976</v>
      </c>
      <c r="M15" s="23">
        <v>133044.93250089893</v>
      </c>
      <c r="N15" s="23">
        <v>132483.67096774196</v>
      </c>
      <c r="O15" s="23">
        <v>133990.19566289871</v>
      </c>
      <c r="P15" s="23">
        <v>134080.17730406465</v>
      </c>
      <c r="Q15" s="23">
        <v>131989.55492314085</v>
      </c>
      <c r="R15" s="23">
        <v>133185.52400179455</v>
      </c>
      <c r="S15" s="23">
        <v>134816.42348000003</v>
      </c>
      <c r="T15" s="23">
        <v>134161.90516636873</v>
      </c>
      <c r="U15" s="23">
        <v>134331.0856341758</v>
      </c>
      <c r="V15" s="23">
        <v>134117.50639965589</v>
      </c>
      <c r="W15" s="23">
        <v>136404.33668750175</v>
      </c>
      <c r="X15" s="23">
        <v>115531.24802625582</v>
      </c>
      <c r="Y15" s="23">
        <v>114827.79911790442</v>
      </c>
      <c r="Z15" s="23">
        <v>129053.71630303843</v>
      </c>
      <c r="AA15" s="23">
        <v>128943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2954132.6342910458</v>
      </c>
      <c r="E16" s="30">
        <f t="shared" ref="E16:S16" si="0">SUM(E6:E15)</f>
        <v>3012070.100073236</v>
      </c>
      <c r="F16" s="30">
        <f t="shared" si="0"/>
        <v>3013891.7358376109</v>
      </c>
      <c r="G16" s="30">
        <f t="shared" si="0"/>
        <v>2997506.8206316805</v>
      </c>
      <c r="H16" s="30">
        <f t="shared" si="0"/>
        <v>3044881.9816710609</v>
      </c>
      <c r="I16" s="30">
        <f t="shared" si="0"/>
        <v>3071837.5225469018</v>
      </c>
      <c r="J16" s="30">
        <f t="shared" si="0"/>
        <v>3192820.5781051684</v>
      </c>
      <c r="K16" s="30">
        <f t="shared" si="0"/>
        <v>3299993.1094992296</v>
      </c>
      <c r="L16" s="30">
        <f t="shared" si="0"/>
        <v>3331306.2016012138</v>
      </c>
      <c r="M16" s="30">
        <f t="shared" si="0"/>
        <v>3124326.9071138282</v>
      </c>
      <c r="N16" s="30">
        <f t="shared" si="0"/>
        <v>3267895.1891751462</v>
      </c>
      <c r="O16" s="30">
        <f t="shared" si="0"/>
        <v>3390362.1299843416</v>
      </c>
      <c r="P16" s="30">
        <f t="shared" si="0"/>
        <v>3407499.8493000045</v>
      </c>
      <c r="Q16" s="30">
        <f t="shared" si="0"/>
        <v>3423172.9665974244</v>
      </c>
      <c r="R16" s="30">
        <f t="shared" si="0"/>
        <v>3500054.1444186149</v>
      </c>
      <c r="S16" s="30">
        <f t="shared" si="0"/>
        <v>3550347.2051600004</v>
      </c>
      <c r="T16" s="30">
        <f t="shared" ref="T16:Y16" si="1">SUM(T6:T15)</f>
        <v>3632344.5932188323</v>
      </c>
      <c r="U16" s="30">
        <f t="shared" si="1"/>
        <v>3737676.7150589977</v>
      </c>
      <c r="V16" s="30">
        <f t="shared" si="1"/>
        <v>3783225.728318119</v>
      </c>
      <c r="W16" s="30">
        <f t="shared" si="1"/>
        <v>3809096.523474507</v>
      </c>
      <c r="X16" s="30">
        <f t="shared" si="1"/>
        <v>3644373.3061901727</v>
      </c>
      <c r="Y16" s="30">
        <f t="shared" si="1"/>
        <v>3792347.4865632202</v>
      </c>
      <c r="Z16" s="30">
        <f t="shared" ref="Z16:AA16" si="2">SUM(Z6:Z15)</f>
        <v>3874690.2067326996</v>
      </c>
      <c r="AA16" s="30">
        <f t="shared" si="2"/>
        <v>3853937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32722.085835267098</v>
      </c>
      <c r="E18" s="19">
        <v>36228.450707552744</v>
      </c>
      <c r="F18" s="19">
        <v>30146.032664489037</v>
      </c>
      <c r="G18" s="19">
        <v>27633.095005823274</v>
      </c>
      <c r="H18" s="19">
        <v>32020.298604215888</v>
      </c>
      <c r="I18" s="19">
        <v>24757.429539511086</v>
      </c>
      <c r="J18" s="19">
        <v>25406.730825022671</v>
      </c>
      <c r="K18" s="19">
        <v>30305.817977351191</v>
      </c>
      <c r="L18" s="19">
        <v>31162.217657946971</v>
      </c>
      <c r="M18" s="19">
        <v>23491.327645757749</v>
      </c>
      <c r="N18" s="19">
        <v>28327.243039618967</v>
      </c>
      <c r="O18" s="19">
        <v>35125.268140966517</v>
      </c>
      <c r="P18" s="19">
        <v>34786.726769022549</v>
      </c>
      <c r="Q18" s="19">
        <v>35593.290901537184</v>
      </c>
      <c r="R18" s="19">
        <v>35927.577062686083</v>
      </c>
      <c r="S18" s="19">
        <v>28203.506560000005</v>
      </c>
      <c r="T18" s="19">
        <v>29727.155445378317</v>
      </c>
      <c r="U18" s="19">
        <v>35985.575957007677</v>
      </c>
      <c r="V18" s="19">
        <v>31426.260173015347</v>
      </c>
      <c r="W18" s="19">
        <v>35504.644075081051</v>
      </c>
      <c r="X18" s="19">
        <v>29558.469432035738</v>
      </c>
      <c r="Y18" s="19">
        <v>31960.122029177011</v>
      </c>
      <c r="Z18" s="19">
        <v>42804.3153526971</v>
      </c>
      <c r="AA18" s="19">
        <v>39204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7758.288557690008</v>
      </c>
      <c r="E19" s="23">
        <v>6334.8381960358147</v>
      </c>
      <c r="F19" s="23">
        <v>6605.3507699486709</v>
      </c>
      <c r="G19" s="23">
        <v>5575.9850555228841</v>
      </c>
      <c r="H19" s="23">
        <v>5743.8746875748966</v>
      </c>
      <c r="I19" s="23">
        <v>5754.643547470153</v>
      </c>
      <c r="J19" s="23">
        <v>7173.6823662737997</v>
      </c>
      <c r="K19" s="23">
        <v>7167.8864185868679</v>
      </c>
      <c r="L19" s="23">
        <v>9089.0754859022636</v>
      </c>
      <c r="M19" s="23">
        <v>7172.1973930717104</v>
      </c>
      <c r="N19" s="23">
        <v>7298.8637454703312</v>
      </c>
      <c r="O19" s="23">
        <v>7512.5110055348441</v>
      </c>
      <c r="P19" s="23">
        <v>7931.7699393311268</v>
      </c>
      <c r="Q19" s="23">
        <v>6912.3240326661717</v>
      </c>
      <c r="R19" s="23">
        <v>6506.3489920236352</v>
      </c>
      <c r="S19" s="23">
        <v>6001.8633931557015</v>
      </c>
      <c r="T19" s="23">
        <v>5224.3882922563662</v>
      </c>
      <c r="U19" s="23">
        <v>5439.9291567886603</v>
      </c>
      <c r="V19" s="23">
        <v>5411.0079600011413</v>
      </c>
      <c r="W19" s="23">
        <v>5563.3010903121103</v>
      </c>
      <c r="X19" s="23">
        <v>5185.7255061647447</v>
      </c>
      <c r="Y19" s="23">
        <v>5472.8940928263974</v>
      </c>
      <c r="Z19" s="23">
        <v>6389.3045348581536</v>
      </c>
      <c r="AA19" s="23">
        <v>4713.8231282968991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666288.91638956009</v>
      </c>
      <c r="E20" s="23">
        <v>671718.27702048246</v>
      </c>
      <c r="F20" s="23">
        <v>651402.51390573964</v>
      </c>
      <c r="G20" s="23">
        <v>651490.65924055304</v>
      </c>
      <c r="H20" s="23">
        <v>667814.09972495178</v>
      </c>
      <c r="I20" s="23">
        <v>674104.07667993172</v>
      </c>
      <c r="J20" s="23">
        <v>721104.86441523128</v>
      </c>
      <c r="K20" s="23">
        <v>756833.38866210089</v>
      </c>
      <c r="L20" s="23">
        <v>735601.1646038224</v>
      </c>
      <c r="M20" s="23">
        <v>607552.89114067494</v>
      </c>
      <c r="N20" s="23">
        <v>709207.02078371949</v>
      </c>
      <c r="O20" s="23">
        <v>764430.60620750312</v>
      </c>
      <c r="P20" s="23">
        <v>765163.45895190968</v>
      </c>
      <c r="Q20" s="23">
        <v>758604.78047361865</v>
      </c>
      <c r="R20" s="23">
        <v>789107.6963987113</v>
      </c>
      <c r="S20" s="23">
        <v>801624.58420000016</v>
      </c>
      <c r="T20" s="23">
        <v>830657.61890746758</v>
      </c>
      <c r="U20" s="23">
        <v>840744.32442852145</v>
      </c>
      <c r="V20" s="23">
        <v>838319.15595277934</v>
      </c>
      <c r="W20" s="23">
        <v>822895.72591118456</v>
      </c>
      <c r="X20" s="23">
        <v>751577.92630139482</v>
      </c>
      <c r="Y20" s="23">
        <v>787354.60453904269</v>
      </c>
      <c r="Z20" s="23">
        <v>788478.57378530328</v>
      </c>
      <c r="AA20" s="23">
        <v>799148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43056.187890241861</v>
      </c>
      <c r="E21" s="23">
        <v>42669.910368777906</v>
      </c>
      <c r="F21" s="23">
        <v>44668.477741483912</v>
      </c>
      <c r="G21" s="23">
        <v>42786.391992712262</v>
      </c>
      <c r="H21" s="23">
        <v>48286.516109151918</v>
      </c>
      <c r="I21" s="23">
        <v>49375.574712905058</v>
      </c>
      <c r="J21" s="23">
        <v>52233.877062556669</v>
      </c>
      <c r="K21" s="23">
        <v>54909.809250700047</v>
      </c>
      <c r="L21" s="23">
        <v>64142.698694102342</v>
      </c>
      <c r="M21" s="23">
        <v>63286.244212273741</v>
      </c>
      <c r="N21" s="23">
        <v>69136.032695998001</v>
      </c>
      <c r="O21" s="23">
        <v>52622.165026798852</v>
      </c>
      <c r="P21" s="23">
        <v>61959.194793495633</v>
      </c>
      <c r="Q21" s="23">
        <v>48465.319811901667</v>
      </c>
      <c r="R21" s="23">
        <v>40175.751497745303</v>
      </c>
      <c r="S21" s="23">
        <v>37629.298201772101</v>
      </c>
      <c r="T21" s="23">
        <v>37279.023310484765</v>
      </c>
      <c r="U21" s="23">
        <v>41789.743997400925</v>
      </c>
      <c r="V21" s="23">
        <v>41446.989184958606</v>
      </c>
      <c r="W21" s="23">
        <v>46421.090427609706</v>
      </c>
      <c r="X21" s="23">
        <v>44547.638805337716</v>
      </c>
      <c r="Y21" s="23">
        <v>46656.017512504215</v>
      </c>
      <c r="Z21" s="23">
        <v>77587.087174838889</v>
      </c>
      <c r="AA21" s="23">
        <v>99623.800577798043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28552.969737566087</v>
      </c>
      <c r="E22" s="23">
        <v>27994.227267358077</v>
      </c>
      <c r="F22" s="23">
        <v>27912.157489500703</v>
      </c>
      <c r="G22" s="23">
        <v>28705.171065831804</v>
      </c>
      <c r="H22" s="23">
        <v>29920.245009757939</v>
      </c>
      <c r="I22" s="23">
        <v>30976.843024445709</v>
      </c>
      <c r="J22" s="23">
        <v>31406.963009972806</v>
      </c>
      <c r="K22" s="23">
        <v>32475.180324550456</v>
      </c>
      <c r="L22" s="23">
        <v>33858.244329841291</v>
      </c>
      <c r="M22" s="23">
        <v>31664.204403000695</v>
      </c>
      <c r="N22" s="23">
        <v>33073.194530603556</v>
      </c>
      <c r="O22" s="23">
        <v>35448.537197755759</v>
      </c>
      <c r="P22" s="23">
        <v>35649.998131445973</v>
      </c>
      <c r="Q22" s="23">
        <v>35104.262387255993</v>
      </c>
      <c r="R22" s="23">
        <v>36846.952367199141</v>
      </c>
      <c r="S22" s="23">
        <v>37711.815765072206</v>
      </c>
      <c r="T22" s="23">
        <v>38104.530165735232</v>
      </c>
      <c r="U22" s="23">
        <v>39044.066126935082</v>
      </c>
      <c r="V22" s="23">
        <v>40088.071506763248</v>
      </c>
      <c r="W22" s="23">
        <v>40816.820691624947</v>
      </c>
      <c r="X22" s="23">
        <v>40493.793095736131</v>
      </c>
      <c r="Y22" s="23">
        <v>40324.154194715833</v>
      </c>
      <c r="Z22" s="23">
        <v>39898.304482245134</v>
      </c>
      <c r="AA22" s="23">
        <v>39906.37629390505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149569.9320111959</v>
      </c>
      <c r="E23" s="23">
        <v>140109.74424153654</v>
      </c>
      <c r="F23" s="23">
        <v>132260.45328978068</v>
      </c>
      <c r="G23" s="23">
        <v>125105.77456440769</v>
      </c>
      <c r="H23" s="23">
        <v>120176.92822496891</v>
      </c>
      <c r="I23" s="23">
        <v>115677.86528709494</v>
      </c>
      <c r="J23" s="23">
        <v>119119.07606527653</v>
      </c>
      <c r="K23" s="23">
        <v>124049.53341655141</v>
      </c>
      <c r="L23" s="23">
        <v>126889.01897816731</v>
      </c>
      <c r="M23" s="23">
        <v>125608.35371926041</v>
      </c>
      <c r="N23" s="23">
        <v>131768.99922061054</v>
      </c>
      <c r="O23" s="23">
        <v>138295.28482872527</v>
      </c>
      <c r="P23" s="23">
        <v>142464.27885632112</v>
      </c>
      <c r="Q23" s="23">
        <v>144388.81316992108</v>
      </c>
      <c r="R23" s="23">
        <v>147028.80362168117</v>
      </c>
      <c r="S23" s="23">
        <v>146977.50936000003</v>
      </c>
      <c r="T23" s="23">
        <v>153789.82564122824</v>
      </c>
      <c r="U23" s="23">
        <v>159881.91163986138</v>
      </c>
      <c r="V23" s="23">
        <v>168933.40476987051</v>
      </c>
      <c r="W23" s="23">
        <v>172787.25987797929</v>
      </c>
      <c r="X23" s="23">
        <v>181880.27820220622</v>
      </c>
      <c r="Y23" s="23">
        <v>186682.52540042502</v>
      </c>
      <c r="Z23" s="23">
        <v>187637.80799089815</v>
      </c>
      <c r="AA23" s="23">
        <v>187208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300865.81330590177</v>
      </c>
      <c r="E24" s="23">
        <v>315124.30985848943</v>
      </c>
      <c r="F24" s="23">
        <v>315572.09972001868</v>
      </c>
      <c r="G24" s="23">
        <v>317761.26248544181</v>
      </c>
      <c r="H24" s="23">
        <v>316779.91339975578</v>
      </c>
      <c r="I24" s="23">
        <v>321141.36527572485</v>
      </c>
      <c r="J24" s="23">
        <v>330022.99950136</v>
      </c>
      <c r="K24" s="23">
        <v>338253.76368318661</v>
      </c>
      <c r="L24" s="23">
        <v>347454.48527017684</v>
      </c>
      <c r="M24" s="23">
        <v>338110.73500473966</v>
      </c>
      <c r="N24" s="23">
        <v>324018.49088547309</v>
      </c>
      <c r="O24" s="23">
        <v>337289.14613586152</v>
      </c>
      <c r="P24" s="23">
        <v>324597.94306983042</v>
      </c>
      <c r="Q24" s="23">
        <v>323271.35027004569</v>
      </c>
      <c r="R24" s="23">
        <v>343182.90876463155</v>
      </c>
      <c r="S24" s="23">
        <v>351303.35224000004</v>
      </c>
      <c r="T24" s="23">
        <v>364554.36438158638</v>
      </c>
      <c r="U24" s="23">
        <v>387245.72280852066</v>
      </c>
      <c r="V24" s="23">
        <v>390013.00356545433</v>
      </c>
      <c r="W24" s="23">
        <v>395114.76286309573</v>
      </c>
      <c r="X24" s="23">
        <v>401551.52509800351</v>
      </c>
      <c r="Y24" s="23">
        <v>416962.10642287025</v>
      </c>
      <c r="Z24" s="23">
        <v>450611.42675010039</v>
      </c>
      <c r="AA24" s="23">
        <v>414133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127269.86521853544</v>
      </c>
      <c r="E25" s="23">
        <v>132384.25750667392</v>
      </c>
      <c r="F25" s="23">
        <v>133387.16878208119</v>
      </c>
      <c r="G25" s="23">
        <v>134232.54690328756</v>
      </c>
      <c r="H25" s="23">
        <v>136016.36539185813</v>
      </c>
      <c r="I25" s="23">
        <v>142043.66271745309</v>
      </c>
      <c r="J25" s="23">
        <v>150001.42062556665</v>
      </c>
      <c r="K25" s="23">
        <v>157011.95020410916</v>
      </c>
      <c r="L25" s="23">
        <v>159270.52148703198</v>
      </c>
      <c r="M25" s="23">
        <v>149946.88654267316</v>
      </c>
      <c r="N25" s="23">
        <v>151920.78830915783</v>
      </c>
      <c r="O25" s="23">
        <v>153362.40543960876</v>
      </c>
      <c r="P25" s="23">
        <v>154018.49524172061</v>
      </c>
      <c r="Q25" s="23">
        <v>160437.66946406316</v>
      </c>
      <c r="R25" s="23">
        <v>158701.38757698116</v>
      </c>
      <c r="S25" s="23">
        <v>164789.09660000002</v>
      </c>
      <c r="T25" s="23">
        <v>161628.5130615994</v>
      </c>
      <c r="U25" s="23">
        <v>167072.7499123798</v>
      </c>
      <c r="V25" s="23">
        <v>170185.72200927211</v>
      </c>
      <c r="W25" s="23">
        <v>170063.2693705562</v>
      </c>
      <c r="X25" s="23">
        <v>149923.65105296747</v>
      </c>
      <c r="Y25" s="23">
        <v>175049.0455868436</v>
      </c>
      <c r="Z25" s="23">
        <v>186259.18110025433</v>
      </c>
      <c r="AA25" s="23">
        <v>175525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48047.404942465495</v>
      </c>
      <c r="E26" s="23">
        <v>49007.794892390557</v>
      </c>
      <c r="F26" s="23">
        <v>47310.016332244522</v>
      </c>
      <c r="G26" s="23">
        <v>46259.858949965987</v>
      </c>
      <c r="H26" s="23">
        <v>46466.077218931539</v>
      </c>
      <c r="I26" s="23">
        <v>47010.672791358724</v>
      </c>
      <c r="J26" s="23">
        <v>47518.1563463282</v>
      </c>
      <c r="K26" s="23">
        <v>50146.202759690968</v>
      </c>
      <c r="L26" s="23">
        <v>49372.409446711717</v>
      </c>
      <c r="M26" s="23">
        <v>46450.166465095506</v>
      </c>
      <c r="N26" s="23">
        <v>48608.845550985068</v>
      </c>
      <c r="O26" s="23">
        <v>51474.373222367605</v>
      </c>
      <c r="P26" s="23">
        <v>53797.871336124859</v>
      </c>
      <c r="Q26" s="23">
        <v>52152.421271292063</v>
      </c>
      <c r="R26" s="23">
        <v>54948.445735959875</v>
      </c>
      <c r="S26" s="23">
        <v>57935.046920000008</v>
      </c>
      <c r="T26" s="23">
        <v>60769.885887546792</v>
      </c>
      <c r="U26" s="23">
        <v>63636.659020989922</v>
      </c>
      <c r="V26" s="23">
        <v>66208.878459111991</v>
      </c>
      <c r="W26" s="23">
        <v>69228.634470387085</v>
      </c>
      <c r="X26" s="23">
        <v>36471.981949129367</v>
      </c>
      <c r="Y26" s="23">
        <v>36336.060353909619</v>
      </c>
      <c r="Z26" s="23">
        <v>55525.870064248433</v>
      </c>
      <c r="AA26" s="23">
        <v>57480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136923.76742183202</v>
      </c>
      <c r="E27" s="23">
        <v>147932.71345885799</v>
      </c>
      <c r="F27" s="23">
        <v>149911.82790480636</v>
      </c>
      <c r="G27" s="23">
        <v>136767.7614418653</v>
      </c>
      <c r="H27" s="23">
        <v>145140.63468803142</v>
      </c>
      <c r="I27" s="23">
        <v>143486.35552018191</v>
      </c>
      <c r="J27" s="23">
        <v>151709.71858567547</v>
      </c>
      <c r="K27" s="23">
        <v>158379.40253927556</v>
      </c>
      <c r="L27" s="23">
        <v>156108.72032291876</v>
      </c>
      <c r="M27" s="23">
        <v>145998.88231512657</v>
      </c>
      <c r="N27" s="23">
        <v>142134.53124052827</v>
      </c>
      <c r="O27" s="23">
        <v>153533.889877952</v>
      </c>
      <c r="P27" s="23">
        <v>157277.23694116654</v>
      </c>
      <c r="Q27" s="23">
        <v>161797.06103032822</v>
      </c>
      <c r="R27" s="23">
        <v>164908.44647008445</v>
      </c>
      <c r="S27" s="23">
        <v>165477.67892000003</v>
      </c>
      <c r="T27" s="23">
        <v>165306.51944178328</v>
      </c>
      <c r="U27" s="23">
        <v>172070.43272713115</v>
      </c>
      <c r="V27" s="23">
        <v>182893.78375949914</v>
      </c>
      <c r="W27" s="23">
        <v>187422.83558968897</v>
      </c>
      <c r="X27" s="23">
        <v>182756.07599598871</v>
      </c>
      <c r="Y27" s="23">
        <v>193181.3867114262</v>
      </c>
      <c r="Z27" s="23">
        <v>181491.1600856646</v>
      </c>
      <c r="AA27" s="23">
        <v>185650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125119.75502978398</v>
      </c>
      <c r="E28" s="23">
        <v>126760.7367998299</v>
      </c>
      <c r="F28" s="23">
        <v>136478.49099393375</v>
      </c>
      <c r="G28" s="23">
        <v>150429.66829257042</v>
      </c>
      <c r="H28" s="23">
        <v>168085.22865523107</v>
      </c>
      <c r="I28" s="23">
        <v>164238.25992040933</v>
      </c>
      <c r="J28" s="23">
        <v>163325.85244786946</v>
      </c>
      <c r="K28" s="23">
        <v>153504.13769216064</v>
      </c>
      <c r="L28" s="23">
        <v>141165.29171963158</v>
      </c>
      <c r="M28" s="23">
        <v>155617.40079974724</v>
      </c>
      <c r="N28" s="23">
        <v>161034.24892833948</v>
      </c>
      <c r="O28" s="23">
        <v>164387.19529825615</v>
      </c>
      <c r="P28" s="23">
        <v>166227.1869475109</v>
      </c>
      <c r="Q28" s="23">
        <v>159778.73286248444</v>
      </c>
      <c r="R28" s="23">
        <v>157976.94583792164</v>
      </c>
      <c r="S28" s="23">
        <v>160968.36736000003</v>
      </c>
      <c r="T28" s="23">
        <v>155786.74877285163</v>
      </c>
      <c r="U28" s="23">
        <v>152077.19070057248</v>
      </c>
      <c r="V28" s="23">
        <v>148461.22265449507</v>
      </c>
      <c r="W28" s="23">
        <v>151739.88519214059</v>
      </c>
      <c r="X28" s="23">
        <v>150865.28062722218</v>
      </c>
      <c r="Y28" s="23">
        <v>159836.29919825727</v>
      </c>
      <c r="Z28" s="23">
        <v>145672.75063579174</v>
      </c>
      <c r="AA28" s="23">
        <v>149169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318796.25157292892</v>
      </c>
      <c r="E29" s="23">
        <v>330646.87202627043</v>
      </c>
      <c r="F29" s="23">
        <v>336050.04097060196</v>
      </c>
      <c r="G29" s="23">
        <v>332953.21963538241</v>
      </c>
      <c r="H29" s="23">
        <v>331617.15260040405</v>
      </c>
      <c r="I29" s="23">
        <v>340308.36020466173</v>
      </c>
      <c r="J29" s="23">
        <v>358584.74768812337</v>
      </c>
      <c r="K29" s="23">
        <v>373888.73047468037</v>
      </c>
      <c r="L29" s="23">
        <v>384816.65136816754</v>
      </c>
      <c r="M29" s="23">
        <v>370110.64400353027</v>
      </c>
      <c r="N29" s="23">
        <v>369527.16856462439</v>
      </c>
      <c r="O29" s="23">
        <v>388636.28896849061</v>
      </c>
      <c r="P29" s="23">
        <v>377152.31129721273</v>
      </c>
      <c r="Q29" s="23">
        <v>385176.56896551728</v>
      </c>
      <c r="R29" s="23">
        <v>386385.14307271916</v>
      </c>
      <c r="S29" s="23">
        <v>392700.81816000008</v>
      </c>
      <c r="T29" s="23">
        <v>396652.86604576744</v>
      </c>
      <c r="U29" s="23">
        <v>399195.72097823129</v>
      </c>
      <c r="V29" s="23">
        <v>397419.67117526173</v>
      </c>
      <c r="W29" s="23">
        <v>396496.63686221751</v>
      </c>
      <c r="X29" s="23">
        <v>391666.1779195916</v>
      </c>
      <c r="Y29" s="23">
        <v>391094.451011553</v>
      </c>
      <c r="Z29" s="23">
        <v>373307.99825993844</v>
      </c>
      <c r="AA29" s="23">
        <v>374433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204346.84251572931</v>
      </c>
      <c r="E30" s="23">
        <v>210808.91464480615</v>
      </c>
      <c r="F30" s="23">
        <v>210241.50055996267</v>
      </c>
      <c r="G30" s="23">
        <v>205450.51496177397</v>
      </c>
      <c r="H30" s="23">
        <v>198371.91609317402</v>
      </c>
      <c r="I30" s="23">
        <v>202559.05441728255</v>
      </c>
      <c r="J30" s="23">
        <v>209996.43581142343</v>
      </c>
      <c r="K30" s="23">
        <v>220288.88562014326</v>
      </c>
      <c r="L30" s="23">
        <v>228301.02348297319</v>
      </c>
      <c r="M30" s="23">
        <v>195531.58304187233</v>
      </c>
      <c r="N30" s="23">
        <v>204069.49235765319</v>
      </c>
      <c r="O30" s="23">
        <v>210249.60198193949</v>
      </c>
      <c r="P30" s="23">
        <v>213274.41805185471</v>
      </c>
      <c r="Q30" s="23">
        <v>221706.71969256338</v>
      </c>
      <c r="R30" s="23">
        <v>221387.29181451123</v>
      </c>
      <c r="S30" s="23">
        <v>229863.99428000004</v>
      </c>
      <c r="T30" s="23">
        <v>242573.94502770342</v>
      </c>
      <c r="U30" s="23">
        <v>260300.0599322404</v>
      </c>
      <c r="V30" s="23">
        <v>267790.04574869765</v>
      </c>
      <c r="W30" s="23">
        <v>257951.41953265877</v>
      </c>
      <c r="X30" s="23">
        <v>254871.26480080228</v>
      </c>
      <c r="Y30" s="23">
        <v>276127.34946342162</v>
      </c>
      <c r="Z30" s="23">
        <v>267372.71145094367</v>
      </c>
      <c r="AA30" s="23">
        <v>268973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118191.27944307553</v>
      </c>
      <c r="E31" s="23">
        <v>119315.51220203644</v>
      </c>
      <c r="F31" s="23">
        <v>123171.51469902007</v>
      </c>
      <c r="G31" s="23">
        <v>123764.56429238593</v>
      </c>
      <c r="H31" s="23">
        <v>125780.99556042503</v>
      </c>
      <c r="I31" s="23">
        <v>130717.64452529847</v>
      </c>
      <c r="J31" s="23">
        <v>134552.21101541253</v>
      </c>
      <c r="K31" s="23">
        <v>146933.69598416609</v>
      </c>
      <c r="L31" s="23">
        <v>149238.74034923397</v>
      </c>
      <c r="M31" s="23">
        <v>142662.04600180872</v>
      </c>
      <c r="N31" s="23">
        <v>151916.6007793895</v>
      </c>
      <c r="O31" s="23">
        <v>148822.21664056971</v>
      </c>
      <c r="P31" s="23">
        <v>152665.91291291293</v>
      </c>
      <c r="Q31" s="23">
        <v>161758.22127129207</v>
      </c>
      <c r="R31" s="23">
        <v>173308.55222480529</v>
      </c>
      <c r="S31" s="23">
        <v>174783.85608000003</v>
      </c>
      <c r="T31" s="23">
        <v>178027.98957047338</v>
      </c>
      <c r="U31" s="23">
        <v>179762.16912652366</v>
      </c>
      <c r="V31" s="23">
        <v>187830.32957032934</v>
      </c>
      <c r="W31" s="23">
        <v>185438.57536601546</v>
      </c>
      <c r="X31" s="23">
        <v>167255.04282979306</v>
      </c>
      <c r="Y31" s="23">
        <v>180929.68040997806</v>
      </c>
      <c r="Z31" s="23">
        <v>196116.68698969349</v>
      </c>
      <c r="AA31" s="23">
        <v>196206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192980.87265854885</v>
      </c>
      <c r="E32" s="23">
        <v>193423.52316378843</v>
      </c>
      <c r="F32" s="23">
        <v>194739.76070928606</v>
      </c>
      <c r="G32" s="23">
        <v>194346.12658986865</v>
      </c>
      <c r="H32" s="23">
        <v>192236.58081966653</v>
      </c>
      <c r="I32" s="23">
        <v>191425.10203524728</v>
      </c>
      <c r="J32" s="23">
        <v>192697.17896645516</v>
      </c>
      <c r="K32" s="23">
        <v>193563.38558078339</v>
      </c>
      <c r="L32" s="23">
        <v>198231.56111594301</v>
      </c>
      <c r="M32" s="23">
        <v>200992.75472602667</v>
      </c>
      <c r="N32" s="23">
        <v>204450.55756657285</v>
      </c>
      <c r="O32" s="23">
        <v>205477.07942772572</v>
      </c>
      <c r="P32" s="23">
        <v>206315.16381169905</v>
      </c>
      <c r="Q32" s="23">
        <v>207819.49688408809</v>
      </c>
      <c r="R32" s="23">
        <v>208946.87850238595</v>
      </c>
      <c r="S32" s="23">
        <v>209194.91936000003</v>
      </c>
      <c r="T32" s="23">
        <v>213633.84219415116</v>
      </c>
      <c r="U32" s="23">
        <v>219321.82269558788</v>
      </c>
      <c r="V32" s="23">
        <v>224803.27042967072</v>
      </c>
      <c r="W32" s="23">
        <v>231035.59824723678</v>
      </c>
      <c r="X32" s="23">
        <v>233410.10436685206</v>
      </c>
      <c r="Y32" s="23">
        <v>235652.51029409142</v>
      </c>
      <c r="Z32" s="23">
        <v>232359.04038950612</v>
      </c>
      <c r="AA32" s="23">
        <v>229991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130619.96516829741</v>
      </c>
      <c r="E33" s="23">
        <v>134339.99981100427</v>
      </c>
      <c r="F33" s="23">
        <v>138086.58026131592</v>
      </c>
      <c r="G33" s="23">
        <v>137984.06964864334</v>
      </c>
      <c r="H33" s="23">
        <v>138969.97966240972</v>
      </c>
      <c r="I33" s="23">
        <v>140470.48245594089</v>
      </c>
      <c r="J33" s="23">
        <v>141020.06967361743</v>
      </c>
      <c r="K33" s="23">
        <v>143583.94530099074</v>
      </c>
      <c r="L33" s="23">
        <v>146227.91195557636</v>
      </c>
      <c r="M33" s="23">
        <v>146833.44263938375</v>
      </c>
      <c r="N33" s="23">
        <v>150011.27473479111</v>
      </c>
      <c r="O33" s="23">
        <v>154002.70620535812</v>
      </c>
      <c r="P33" s="23">
        <v>157500.84934230006</v>
      </c>
      <c r="Q33" s="23">
        <v>159188.10066472788</v>
      </c>
      <c r="R33" s="23">
        <v>162636.51303071089</v>
      </c>
      <c r="S33" s="23">
        <v>163868.40788000001</v>
      </c>
      <c r="T33" s="23">
        <v>168843.16200333825</v>
      </c>
      <c r="U33" s="23">
        <v>172256.22952607193</v>
      </c>
      <c r="V33" s="23">
        <v>175972.75885867231</v>
      </c>
      <c r="W33" s="23">
        <v>180747.19144920629</v>
      </c>
      <c r="X33" s="23">
        <v>179498.57843012127</v>
      </c>
      <c r="Y33" s="23">
        <v>183152.76299483958</v>
      </c>
      <c r="Z33" s="23">
        <v>184567.72025163969</v>
      </c>
      <c r="AA33" s="23">
        <v>178855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200574.12406401761</v>
      </c>
      <c r="E34" s="23">
        <v>203759.7126320017</v>
      </c>
      <c r="F34" s="23">
        <v>212544.57321511902</v>
      </c>
      <c r="G34" s="23">
        <v>213774.34545265854</v>
      </c>
      <c r="H34" s="23">
        <v>216548.34352495408</v>
      </c>
      <c r="I34" s="23">
        <v>220778.91565662308</v>
      </c>
      <c r="J34" s="23">
        <v>225195.75752493204</v>
      </c>
      <c r="K34" s="23">
        <v>225749.99430968365</v>
      </c>
      <c r="L34" s="23">
        <v>232950.98481300595</v>
      </c>
      <c r="M34" s="23">
        <v>240252.21455888604</v>
      </c>
      <c r="N34" s="23">
        <v>248908.16527386883</v>
      </c>
      <c r="O34" s="23">
        <v>255702.65871602925</v>
      </c>
      <c r="P34" s="23">
        <v>262636.85560208099</v>
      </c>
      <c r="Q34" s="23">
        <v>269028.2785209805</v>
      </c>
      <c r="R34" s="23">
        <v>278892.97744606226</v>
      </c>
      <c r="S34" s="23">
        <v>286496.66640000005</v>
      </c>
      <c r="T34" s="23">
        <v>295622.30990311207</v>
      </c>
      <c r="U34" s="23">
        <v>307521.32069005806</v>
      </c>
      <c r="V34" s="23">
        <v>311904.64614061086</v>
      </c>
      <c r="W34" s="23">
        <v>323464.53577001055</v>
      </c>
      <c r="X34" s="23">
        <v>327328.54375056981</v>
      </c>
      <c r="Y34" s="23">
        <v>330747.71722943417</v>
      </c>
      <c r="Z34" s="23">
        <v>329556.55113104003</v>
      </c>
      <c r="AA34" s="23">
        <v>324775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37097.883974067605</v>
      </c>
      <c r="E35" s="23">
        <v>36685.399844078529</v>
      </c>
      <c r="F35" s="23">
        <v>36640.065748950074</v>
      </c>
      <c r="G35" s="23">
        <v>36007.481094544572</v>
      </c>
      <c r="H35" s="23">
        <v>36099.729973408204</v>
      </c>
      <c r="I35" s="23">
        <v>36696.298942581008</v>
      </c>
      <c r="J35" s="23">
        <v>36827.046101541258</v>
      </c>
      <c r="K35" s="23">
        <v>37981.242378237352</v>
      </c>
      <c r="L35" s="23">
        <v>38917.904551638014</v>
      </c>
      <c r="M35" s="23">
        <v>38261.921398141189</v>
      </c>
      <c r="N35" s="23">
        <v>38100.937518943494</v>
      </c>
      <c r="O35" s="23">
        <v>39229.831149053003</v>
      </c>
      <c r="P35" s="23">
        <v>39612.118766653984</v>
      </c>
      <c r="Q35" s="23">
        <v>39779.949065226421</v>
      </c>
      <c r="R35" s="23">
        <v>40247.931971124439</v>
      </c>
      <c r="S35" s="23">
        <v>41447.755640000003</v>
      </c>
      <c r="T35" s="23">
        <v>41760.909699657284</v>
      </c>
      <c r="U35" s="23">
        <v>42657.940729779206</v>
      </c>
      <c r="V35" s="23">
        <v>42976.914553362338</v>
      </c>
      <c r="W35" s="23">
        <v>43746.492399398303</v>
      </c>
      <c r="X35" s="23">
        <v>34303.059896070743</v>
      </c>
      <c r="Y35" s="23">
        <v>32955.961716336627</v>
      </c>
      <c r="Z35" s="23">
        <v>41013.610627760674</v>
      </c>
      <c r="AA35" s="23">
        <v>41675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76884.176885720444</v>
      </c>
      <c r="E36" s="23">
        <v>78388.101207210188</v>
      </c>
      <c r="F36" s="23">
        <v>78477.463975734951</v>
      </c>
      <c r="G36" s="23">
        <v>77904.68933706946</v>
      </c>
      <c r="H36" s="23">
        <v>80164.064048572836</v>
      </c>
      <c r="I36" s="23">
        <v>81632.367754405917</v>
      </c>
      <c r="J36" s="23">
        <v>86111.953717135097</v>
      </c>
      <c r="K36" s="23">
        <v>86000.135937833853</v>
      </c>
      <c r="L36" s="23">
        <v>89617.436542449999</v>
      </c>
      <c r="M36" s="23">
        <v>86066.492160516034</v>
      </c>
      <c r="N36" s="23">
        <v>85778.755618099167</v>
      </c>
      <c r="O36" s="23">
        <v>86114.229767701254</v>
      </c>
      <c r="P36" s="23">
        <v>85842.619210760065</v>
      </c>
      <c r="Q36" s="23">
        <v>83528.250062318242</v>
      </c>
      <c r="R36" s="23">
        <v>84262.698030099127</v>
      </c>
      <c r="S36" s="23">
        <v>84607.940720000013</v>
      </c>
      <c r="T36" s="23">
        <v>83514.178111821122</v>
      </c>
      <c r="U36" s="23">
        <v>82695.895517738245</v>
      </c>
      <c r="V36" s="23">
        <v>82090.874157625585</v>
      </c>
      <c r="W36" s="23">
        <v>83328.086442245709</v>
      </c>
      <c r="X36" s="23">
        <v>72017.616701613646</v>
      </c>
      <c r="Y36" s="23">
        <v>72494.826705712199</v>
      </c>
      <c r="Z36" s="23">
        <v>78627.039753714373</v>
      </c>
      <c r="AA36" s="23">
        <v>77665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8466.2516686203689</v>
      </c>
      <c r="E37" s="23">
        <v>8436.804224054431</v>
      </c>
      <c r="F37" s="23">
        <v>8285.6461035930952</v>
      </c>
      <c r="G37" s="23">
        <v>8573.6346213719862</v>
      </c>
      <c r="H37" s="23">
        <v>8643.0376736170565</v>
      </c>
      <c r="I37" s="23">
        <v>8682.5475383740759</v>
      </c>
      <c r="J37" s="23">
        <v>8811.83635539438</v>
      </c>
      <c r="K37" s="23">
        <v>8966.0209844472192</v>
      </c>
      <c r="L37" s="23">
        <v>8890.1394259717672</v>
      </c>
      <c r="M37" s="23">
        <v>8716.5189422416897</v>
      </c>
      <c r="N37" s="23">
        <v>8603.9778306992866</v>
      </c>
      <c r="O37" s="23">
        <v>8646.134746144442</v>
      </c>
      <c r="P37" s="23">
        <v>8625.4393266505958</v>
      </c>
      <c r="Q37" s="23">
        <v>8681.3557955961787</v>
      </c>
      <c r="R37" s="23">
        <v>8674.8940005709865</v>
      </c>
      <c r="S37" s="23">
        <v>8760.7271200000014</v>
      </c>
      <c r="T37" s="23">
        <v>8886.8173548903214</v>
      </c>
      <c r="U37" s="23">
        <v>8977.2493866583609</v>
      </c>
      <c r="V37" s="23">
        <v>9049.7176886679736</v>
      </c>
      <c r="W37" s="23">
        <v>9329.7578458577427</v>
      </c>
      <c r="X37" s="23">
        <v>9210.5714285714294</v>
      </c>
      <c r="Y37" s="23">
        <v>9377.0106958555807</v>
      </c>
      <c r="Z37" s="23">
        <v>9413.0659215633787</v>
      </c>
      <c r="AA37" s="23">
        <v>9603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2954132.6342910454</v>
      </c>
      <c r="E39" s="30">
        <f t="shared" ref="E39:S39" si="3">SUM(E18:E38)</f>
        <v>3012070.100073236</v>
      </c>
      <c r="F39" s="30">
        <f t="shared" si="3"/>
        <v>3013891.7358376109</v>
      </c>
      <c r="G39" s="30">
        <f t="shared" si="3"/>
        <v>2997506.820631681</v>
      </c>
      <c r="H39" s="30">
        <f t="shared" si="3"/>
        <v>3044881.9816710614</v>
      </c>
      <c r="I39" s="30">
        <f t="shared" si="3"/>
        <v>3071837.5225469014</v>
      </c>
      <c r="J39" s="30">
        <f t="shared" si="3"/>
        <v>3192820.578105168</v>
      </c>
      <c r="K39" s="30">
        <f t="shared" si="3"/>
        <v>3299993.1094992291</v>
      </c>
      <c r="L39" s="30">
        <f t="shared" si="3"/>
        <v>3331306.2016012133</v>
      </c>
      <c r="M39" s="30">
        <f t="shared" si="3"/>
        <v>3124326.9071138278</v>
      </c>
      <c r="N39" s="30">
        <f t="shared" si="3"/>
        <v>3267895.1891751462</v>
      </c>
      <c r="O39" s="30">
        <f t="shared" si="3"/>
        <v>3390362.1299843411</v>
      </c>
      <c r="P39" s="30">
        <f t="shared" si="3"/>
        <v>3407499.8493000041</v>
      </c>
      <c r="Q39" s="30">
        <f t="shared" si="3"/>
        <v>3423172.9665974244</v>
      </c>
      <c r="R39" s="30">
        <f t="shared" si="3"/>
        <v>3500054.1444186145</v>
      </c>
      <c r="S39" s="30">
        <f t="shared" si="3"/>
        <v>3550347.2051600008</v>
      </c>
      <c r="T39" s="30">
        <f t="shared" ref="T39:Y39" si="4">SUM(T18:T38)</f>
        <v>3632344.5932188323</v>
      </c>
      <c r="U39" s="30">
        <f t="shared" si="4"/>
        <v>3737676.7150589977</v>
      </c>
      <c r="V39" s="30">
        <f t="shared" si="4"/>
        <v>3783225.7283181199</v>
      </c>
      <c r="W39" s="30">
        <f t="shared" si="4"/>
        <v>3809096.5234745075</v>
      </c>
      <c r="X39" s="30">
        <f t="shared" si="4"/>
        <v>3644373.3061901722</v>
      </c>
      <c r="Y39" s="30">
        <f t="shared" si="4"/>
        <v>3792347.4865632202</v>
      </c>
      <c r="Z39" s="30">
        <f t="shared" ref="Z39:AA39" si="5">SUM(Z18:Z38)</f>
        <v>3874690.2067327001</v>
      </c>
      <c r="AA39" s="30">
        <f t="shared" si="5"/>
        <v>3853937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55611.350685390302</v>
      </c>
      <c r="E41" s="19">
        <v>55653.358501263909</v>
      </c>
      <c r="F41" s="19">
        <v>55136.853056462904</v>
      </c>
      <c r="G41" s="19">
        <v>55072.889196388416</v>
      </c>
      <c r="H41" s="19">
        <v>55251.865557343561</v>
      </c>
      <c r="I41" s="19">
        <v>53291.664627629332</v>
      </c>
      <c r="J41" s="19">
        <v>53888.105711695382</v>
      </c>
      <c r="K41" s="19">
        <v>53849.779921954949</v>
      </c>
      <c r="L41" s="19">
        <v>51946.13572400259</v>
      </c>
      <c r="M41" s="19">
        <v>50835.120626722892</v>
      </c>
      <c r="N41" s="19">
        <v>52606.540636501413</v>
      </c>
      <c r="O41" s="19">
        <v>52507.428669483714</v>
      </c>
      <c r="P41" s="19">
        <v>53182.937233007659</v>
      </c>
      <c r="Q41" s="19">
        <v>53918.960656418778</v>
      </c>
      <c r="R41" s="19">
        <v>54488.274032383059</v>
      </c>
      <c r="S41" s="19">
        <v>56739.698960000009</v>
      </c>
      <c r="T41" s="19">
        <v>58277.552616764275</v>
      </c>
      <c r="U41" s="19">
        <v>57737.610654620519</v>
      </c>
      <c r="V41" s="19">
        <v>57601.662629642029</v>
      </c>
      <c r="W41" s="19">
        <v>57677.276228382434</v>
      </c>
      <c r="X41" s="19">
        <v>62048.804230103022</v>
      </c>
      <c r="Y41" s="19">
        <v>58995.154830991203</v>
      </c>
      <c r="Z41" s="19">
        <v>52969.261511176555</v>
      </c>
      <c r="AA41" s="19">
        <v>50645.188500766279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13989.597856510611</v>
      </c>
      <c r="E42" s="23">
        <v>13266.756597131989</v>
      </c>
      <c r="F42" s="23">
        <v>12345.733037797481</v>
      </c>
      <c r="G42" s="23">
        <v>11696.1862524648</v>
      </c>
      <c r="H42" s="23">
        <v>11593.708631492451</v>
      </c>
      <c r="I42" s="23">
        <v>11010.795679363275</v>
      </c>
      <c r="J42" s="23">
        <v>11227.419356300999</v>
      </c>
      <c r="K42" s="23">
        <v>11220.939734376932</v>
      </c>
      <c r="L42" s="23">
        <v>10648.612742802346</v>
      </c>
      <c r="M42" s="23">
        <v>8694.0392028677597</v>
      </c>
      <c r="N42" s="23">
        <v>9656.443645810783</v>
      </c>
      <c r="O42" s="23">
        <v>10381.723214860256</v>
      </c>
      <c r="P42" s="23">
        <v>9897.5757306602391</v>
      </c>
      <c r="Q42" s="23">
        <v>9688.5109264644798</v>
      </c>
      <c r="R42" s="23">
        <v>10248.681226803705</v>
      </c>
      <c r="S42" s="23">
        <v>9473.8095600000015</v>
      </c>
      <c r="T42" s="23">
        <v>9612.7396667687226</v>
      </c>
      <c r="U42" s="23">
        <v>9736.7565715175842</v>
      </c>
      <c r="V42" s="23">
        <v>9359.0992113941611</v>
      </c>
      <c r="W42" s="23">
        <v>9083.9842662406227</v>
      </c>
      <c r="X42" s="23">
        <v>8017.3704075120795</v>
      </c>
      <c r="Y42" s="23">
        <v>8457.1541524561198</v>
      </c>
      <c r="Z42" s="23">
        <v>8349.43046446259</v>
      </c>
      <c r="AA42" s="23">
        <v>8406.9243971300293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44044.868400277504</v>
      </c>
      <c r="E43" s="23">
        <v>42257.13298211628</v>
      </c>
      <c r="F43" s="23">
        <v>39988.622071861879</v>
      </c>
      <c r="G43" s="23">
        <v>36744.998051221737</v>
      </c>
      <c r="H43" s="23">
        <v>38157.105534061469</v>
      </c>
      <c r="I43" s="23">
        <v>37850.159954519615</v>
      </c>
      <c r="J43" s="23">
        <v>38586.490707162287</v>
      </c>
      <c r="K43" s="23">
        <v>38555.485352495984</v>
      </c>
      <c r="L43" s="23">
        <v>35861.06540888919</v>
      </c>
      <c r="M43" s="23">
        <v>31945.11463406662</v>
      </c>
      <c r="N43" s="23">
        <v>33523.967482138993</v>
      </c>
      <c r="O43" s="23">
        <v>33523.824757083719</v>
      </c>
      <c r="P43" s="23">
        <v>33548.677621283256</v>
      </c>
      <c r="Q43" s="23">
        <v>32557.093186539263</v>
      </c>
      <c r="R43" s="23">
        <v>32252.777315551211</v>
      </c>
      <c r="S43" s="23">
        <v>32951.371920000005</v>
      </c>
      <c r="T43" s="23">
        <v>32798.953017747976</v>
      </c>
      <c r="U43" s="23">
        <v>31860.384867011959</v>
      </c>
      <c r="V43" s="23">
        <v>31229.044859723752</v>
      </c>
      <c r="W43" s="23">
        <v>31871.050368584802</v>
      </c>
      <c r="X43" s="23">
        <v>32190.565083416903</v>
      </c>
      <c r="Y43" s="23">
        <v>30054.787136403411</v>
      </c>
      <c r="Z43" s="23">
        <v>30665.279045643154</v>
      </c>
      <c r="AA43" s="23">
        <v>31389.004352093838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7952.6313724552047</v>
      </c>
      <c r="E44" s="23">
        <v>10739.827872144393</v>
      </c>
      <c r="F44" s="23">
        <v>7028.0571161922544</v>
      </c>
      <c r="G44" s="23">
        <v>6398.2569850439913</v>
      </c>
      <c r="H44" s="23">
        <v>6913.8414763584078</v>
      </c>
      <c r="I44" s="23">
        <v>6773.6186469584991</v>
      </c>
      <c r="J44" s="23">
        <v>8792.8390299184048</v>
      </c>
      <c r="K44" s="23">
        <v>6893.8159081452495</v>
      </c>
      <c r="L44" s="23">
        <v>4842.6313418523232</v>
      </c>
      <c r="M44" s="23">
        <v>4280.9853670229577</v>
      </c>
      <c r="N44" s="23">
        <v>9558.7346178826592</v>
      </c>
      <c r="O44" s="23">
        <v>12252.839707427984</v>
      </c>
      <c r="P44" s="23">
        <v>14060.311466395975</v>
      </c>
      <c r="Q44" s="23">
        <v>12158.183880348983</v>
      </c>
      <c r="R44" s="23">
        <v>10657.576654839106</v>
      </c>
      <c r="S44" s="23">
        <v>9845.1798000000017</v>
      </c>
      <c r="T44" s="23">
        <v>7675.6732871774102</v>
      </c>
      <c r="U44" s="23">
        <v>9346.3322169866442</v>
      </c>
      <c r="V44" s="23">
        <v>11693.635482483392</v>
      </c>
      <c r="W44" s="23">
        <v>9149.0419784922124</v>
      </c>
      <c r="X44" s="23">
        <v>6058.8749384629409</v>
      </c>
      <c r="Y44" s="23">
        <v>4317.2240772815749</v>
      </c>
      <c r="Z44" s="23">
        <v>12410.878229152724</v>
      </c>
      <c r="AA44" s="23">
        <v>17040.97316001945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51787.73292504964</v>
      </c>
      <c r="E45" s="23">
        <v>52022.136029672329</v>
      </c>
      <c r="F45" s="23">
        <v>52338.867988800746</v>
      </c>
      <c r="G45" s="23">
        <v>50573.440988918483</v>
      </c>
      <c r="H45" s="23">
        <v>50895.762796589865</v>
      </c>
      <c r="I45" s="23">
        <v>50656.990881182486</v>
      </c>
      <c r="J45" s="23">
        <v>52116.970444242979</v>
      </c>
      <c r="K45" s="23">
        <v>54753.197530447695</v>
      </c>
      <c r="L45" s="23">
        <v>54386.143261747064</v>
      </c>
      <c r="M45" s="23">
        <v>48561.856982534133</v>
      </c>
      <c r="N45" s="23">
        <v>56909.925395107173</v>
      </c>
      <c r="O45" s="23">
        <v>56883.047725274024</v>
      </c>
      <c r="P45" s="23">
        <v>55076.825191388576</v>
      </c>
      <c r="Q45" s="23">
        <v>53183.683838803488</v>
      </c>
      <c r="R45" s="23">
        <v>56161.984257106742</v>
      </c>
      <c r="S45" s="23">
        <v>60552.691320000005</v>
      </c>
      <c r="T45" s="23">
        <v>60678.190437625308</v>
      </c>
      <c r="U45" s="23">
        <v>63686.874372054997</v>
      </c>
      <c r="V45" s="23">
        <v>57387.190976437421</v>
      </c>
      <c r="W45" s="23">
        <v>56814.659154824301</v>
      </c>
      <c r="X45" s="23">
        <v>58596.162457835722</v>
      </c>
      <c r="Y45" s="23">
        <v>57912.970662285959</v>
      </c>
      <c r="Z45" s="23">
        <v>51731.949270512654</v>
      </c>
      <c r="AA45" s="23">
        <v>49546.65390982393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18681.588670127509</v>
      </c>
      <c r="E46" s="23">
        <v>19865.10212856434</v>
      </c>
      <c r="F46" s="23">
        <v>19673.144470368643</v>
      </c>
      <c r="G46" s="23">
        <v>21472.74671648159</v>
      </c>
      <c r="H46" s="23">
        <v>22888.671026352131</v>
      </c>
      <c r="I46" s="23">
        <v>25678.172507106308</v>
      </c>
      <c r="J46" s="23">
        <v>27022.964823209433</v>
      </c>
      <c r="K46" s="23">
        <v>28839.758262766663</v>
      </c>
      <c r="L46" s="23">
        <v>30871.774804308559</v>
      </c>
      <c r="M46" s="23">
        <v>28453.730112552985</v>
      </c>
      <c r="N46" s="23">
        <v>27655.842433427151</v>
      </c>
      <c r="O46" s="23">
        <v>29271.287273975249</v>
      </c>
      <c r="P46" s="23">
        <v>29508.656008120801</v>
      </c>
      <c r="Q46" s="23">
        <v>29232.945533859576</v>
      </c>
      <c r="R46" s="23">
        <v>30355.555120518788</v>
      </c>
      <c r="S46" s="23">
        <v>28309.243920000004</v>
      </c>
      <c r="T46" s="23">
        <v>31289.798737790243</v>
      </c>
      <c r="U46" s="23">
        <v>28503.488648311853</v>
      </c>
      <c r="V46" s="23">
        <v>29090.491306218042</v>
      </c>
      <c r="W46" s="23">
        <v>31215.654156272481</v>
      </c>
      <c r="X46" s="23">
        <v>29137.616264016775</v>
      </c>
      <c r="Y46" s="23">
        <v>33206.936342695932</v>
      </c>
      <c r="Z46" s="23">
        <v>30292.035771650382</v>
      </c>
      <c r="AA46" s="23">
        <v>29161.757231140538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56689.49058634961</v>
      </c>
      <c r="E47" s="23">
        <v>54643.500909541923</v>
      </c>
      <c r="F47" s="23">
        <v>53227.905179654692</v>
      </c>
      <c r="G47" s="23">
        <v>51435.860010839358</v>
      </c>
      <c r="H47" s="23">
        <v>52805.972723433886</v>
      </c>
      <c r="I47" s="23">
        <v>52002.917703240477</v>
      </c>
      <c r="J47" s="23">
        <v>54960.723934723486</v>
      </c>
      <c r="K47" s="23">
        <v>56567.283290037449</v>
      </c>
      <c r="L47" s="23">
        <v>55796.660288575193</v>
      </c>
      <c r="M47" s="23">
        <v>48314.579849420894</v>
      </c>
      <c r="N47" s="23">
        <v>52242.225546655121</v>
      </c>
      <c r="O47" s="23">
        <v>55700.634864117033</v>
      </c>
      <c r="P47" s="23">
        <v>55464.056422619811</v>
      </c>
      <c r="Q47" s="23">
        <v>56392.651516410471</v>
      </c>
      <c r="R47" s="23">
        <v>58061.836004731034</v>
      </c>
      <c r="S47" s="23">
        <v>58642.971440000008</v>
      </c>
      <c r="T47" s="23">
        <v>61739.055851300232</v>
      </c>
      <c r="U47" s="23">
        <v>60219.504381011728</v>
      </c>
      <c r="V47" s="23">
        <v>60653.569602829433</v>
      </c>
      <c r="W47" s="23">
        <v>60978.352738926107</v>
      </c>
      <c r="X47" s="23">
        <v>58430.407439146686</v>
      </c>
      <c r="Y47" s="23">
        <v>58005.0714426013</v>
      </c>
      <c r="Z47" s="23">
        <v>54858.131374648648</v>
      </c>
      <c r="AA47" s="23">
        <v>54062.051169120976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85810.064735293417</v>
      </c>
      <c r="E48" s="23">
        <v>86226.302062415838</v>
      </c>
      <c r="F48" s="23">
        <v>81504.101586560908</v>
      </c>
      <c r="G48" s="23">
        <v>81782.601077017098</v>
      </c>
      <c r="H48" s="23">
        <v>84405.377614955331</v>
      </c>
      <c r="I48" s="23">
        <v>88948.462353610012</v>
      </c>
      <c r="J48" s="23">
        <v>97825.996872166827</v>
      </c>
      <c r="K48" s="23">
        <v>104404.91328452707</v>
      </c>
      <c r="L48" s="23">
        <v>104287.67632300797</v>
      </c>
      <c r="M48" s="23">
        <v>77356.998136828697</v>
      </c>
      <c r="N48" s="23">
        <v>86451.552067547091</v>
      </c>
      <c r="O48" s="23">
        <v>96598.290469959888</v>
      </c>
      <c r="P48" s="23">
        <v>96721.907922006518</v>
      </c>
      <c r="Q48" s="23">
        <v>95823.042750311593</v>
      </c>
      <c r="R48" s="23">
        <v>96842.477629593399</v>
      </c>
      <c r="S48" s="23">
        <v>96556.262400000007</v>
      </c>
      <c r="T48" s="23">
        <v>97993.144364006279</v>
      </c>
      <c r="U48" s="23">
        <v>97675.134740449415</v>
      </c>
      <c r="V48" s="23">
        <v>100290.14978731541</v>
      </c>
      <c r="W48" s="23">
        <v>95145.699395502234</v>
      </c>
      <c r="X48" s="23">
        <v>84108.328525845573</v>
      </c>
      <c r="Y48" s="23">
        <v>86511.414209953044</v>
      </c>
      <c r="Z48" s="23">
        <v>85869.685249631919</v>
      </c>
      <c r="AA48" s="23">
        <v>86693.609996914936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45113.753881486089</v>
      </c>
      <c r="E49" s="23">
        <v>39060.012190224195</v>
      </c>
      <c r="F49" s="23">
        <v>38828.812132524501</v>
      </c>
      <c r="G49" s="23">
        <v>40819.184465123792</v>
      </c>
      <c r="H49" s="23">
        <v>43721.43814838909</v>
      </c>
      <c r="I49" s="23">
        <v>42890.787856736781</v>
      </c>
      <c r="J49" s="23">
        <v>44627.640208522222</v>
      </c>
      <c r="K49" s="23">
        <v>51056.870910787984</v>
      </c>
      <c r="L49" s="23">
        <v>46483.797105327714</v>
      </c>
      <c r="M49" s="23">
        <v>35276.331012540999</v>
      </c>
      <c r="N49" s="23">
        <v>42292.654817059971</v>
      </c>
      <c r="O49" s="23">
        <v>45429.546770768538</v>
      </c>
      <c r="P49" s="23">
        <v>44456.599627796815</v>
      </c>
      <c r="Q49" s="23">
        <v>45446.535978396343</v>
      </c>
      <c r="R49" s="23">
        <v>46543.080876055312</v>
      </c>
      <c r="S49" s="23">
        <v>51055.671120000006</v>
      </c>
      <c r="T49" s="23">
        <v>53589.622739528495</v>
      </c>
      <c r="U49" s="23">
        <v>52881.786206627992</v>
      </c>
      <c r="V49" s="23">
        <v>56106.524035750139</v>
      </c>
      <c r="W49" s="23">
        <v>55518.323999588902</v>
      </c>
      <c r="X49" s="23">
        <v>51948.328197647919</v>
      </c>
      <c r="Y49" s="23">
        <v>54114.96473403211</v>
      </c>
      <c r="Z49" s="23">
        <v>52875.411323785309</v>
      </c>
      <c r="AA49" s="23">
        <v>52964.629094432064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52619.088299322982</v>
      </c>
      <c r="E50" s="23">
        <v>47326.222069975665</v>
      </c>
      <c r="F50" s="23">
        <v>46691.751889874009</v>
      </c>
      <c r="G50" s="23">
        <v>46374.352509772718</v>
      </c>
      <c r="H50" s="23">
        <v>48713.296447198736</v>
      </c>
      <c r="I50" s="23">
        <v>46868.456122797041</v>
      </c>
      <c r="J50" s="23">
        <v>52378.549002719861</v>
      </c>
      <c r="K50" s="23">
        <v>50252.060681713396</v>
      </c>
      <c r="L50" s="23">
        <v>52108.611181731008</v>
      </c>
      <c r="M50" s="23">
        <v>46585.04490133909</v>
      </c>
      <c r="N50" s="23">
        <v>54000.988049361338</v>
      </c>
      <c r="O50" s="23">
        <v>56262.108105789237</v>
      </c>
      <c r="P50" s="23">
        <v>54723.6812164277</v>
      </c>
      <c r="Q50" s="23">
        <v>54385.037764852517</v>
      </c>
      <c r="R50" s="23">
        <v>56200.112769688822</v>
      </c>
      <c r="S50" s="23">
        <v>52615.941920000005</v>
      </c>
      <c r="T50" s="23">
        <v>54255.688299374822</v>
      </c>
      <c r="U50" s="23">
        <v>56453.353051131286</v>
      </c>
      <c r="V50" s="23">
        <v>56076.941738756403</v>
      </c>
      <c r="W50" s="23">
        <v>53489.487195298556</v>
      </c>
      <c r="X50" s="23">
        <v>50915.004357735437</v>
      </c>
      <c r="Y50" s="23">
        <v>53253.822438083684</v>
      </c>
      <c r="Z50" s="23">
        <v>49807.481060099053</v>
      </c>
      <c r="AA50" s="23">
        <v>48812.433744974856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95067.56929260066</v>
      </c>
      <c r="E51" s="23">
        <v>97776.45306999929</v>
      </c>
      <c r="F51" s="23">
        <v>94644.101353243124</v>
      </c>
      <c r="G51" s="23">
        <v>94568.706541668114</v>
      </c>
      <c r="H51" s="23">
        <v>99208.768719827451</v>
      </c>
      <c r="I51" s="23">
        <v>101033.94687890846</v>
      </c>
      <c r="J51" s="23">
        <v>108639.85906618315</v>
      </c>
      <c r="K51" s="23">
        <v>118769.68829211791</v>
      </c>
      <c r="L51" s="23">
        <v>122200.2360785888</v>
      </c>
      <c r="M51" s="23">
        <v>92948.102376360621</v>
      </c>
      <c r="N51" s="23">
        <v>107560.88962979001</v>
      </c>
      <c r="O51" s="23">
        <v>119308.91503828746</v>
      </c>
      <c r="P51" s="23">
        <v>120094.85780146344</v>
      </c>
      <c r="Q51" s="23">
        <v>118959.4854175322</v>
      </c>
      <c r="R51" s="23">
        <v>123160.35474529958</v>
      </c>
      <c r="S51" s="23">
        <v>123084.73444000001</v>
      </c>
      <c r="T51" s="23">
        <v>128039.96033619421</v>
      </c>
      <c r="U51" s="23">
        <v>134396.3655905604</v>
      </c>
      <c r="V51" s="23">
        <v>135565.80635664103</v>
      </c>
      <c r="W51" s="23">
        <v>132106.91336154946</v>
      </c>
      <c r="X51" s="23">
        <v>114479.11510620841</v>
      </c>
      <c r="Y51" s="23">
        <v>122893.52495402034</v>
      </c>
      <c r="Z51" s="23">
        <v>115574.88766564049</v>
      </c>
      <c r="AA51" s="23">
        <v>113578.1279919082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96663.956699600487</v>
      </c>
      <c r="E52" s="23">
        <v>110807.11927992629</v>
      </c>
      <c r="F52" s="23">
        <v>110004.43765748951</v>
      </c>
      <c r="G52" s="23">
        <v>113851.20632834031</v>
      </c>
      <c r="H52" s="23">
        <v>112406.58275984069</v>
      </c>
      <c r="I52" s="23">
        <v>114180.92488914156</v>
      </c>
      <c r="J52" s="23">
        <v>125272.74818676339</v>
      </c>
      <c r="K52" s="23">
        <v>133879.81907942827</v>
      </c>
      <c r="L52" s="23">
        <v>119361.94799402333</v>
      </c>
      <c r="M52" s="23">
        <v>92053.127752535991</v>
      </c>
      <c r="N52" s="23">
        <v>130431.78138125136</v>
      </c>
      <c r="O52" s="23">
        <v>146522.3890521439</v>
      </c>
      <c r="P52" s="23">
        <v>148703.61024404687</v>
      </c>
      <c r="Q52" s="23">
        <v>148288.86069796426</v>
      </c>
      <c r="R52" s="23">
        <v>164070.93396957463</v>
      </c>
      <c r="S52" s="23">
        <v>170282.28140000004</v>
      </c>
      <c r="T52" s="23">
        <v>184349.88142339335</v>
      </c>
      <c r="U52" s="23">
        <v>190129.1283539079</v>
      </c>
      <c r="V52" s="23">
        <v>185768.19695072412</v>
      </c>
      <c r="W52" s="23">
        <v>178642.45398062243</v>
      </c>
      <c r="X52" s="23">
        <v>148086.2390372869</v>
      </c>
      <c r="Y52" s="23">
        <v>171468.62775208472</v>
      </c>
      <c r="Z52" s="23">
        <v>180971.20847276135</v>
      </c>
      <c r="AA52" s="23">
        <v>192940.02464959389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42257.22298509605</v>
      </c>
      <c r="E53" s="23">
        <v>42074.353327505967</v>
      </c>
      <c r="F53" s="23">
        <v>39990.126364909011</v>
      </c>
      <c r="G53" s="23">
        <v>40700.230117272637</v>
      </c>
      <c r="H53" s="23">
        <v>40851.708289108778</v>
      </c>
      <c r="I53" s="23">
        <v>42917.178578737919</v>
      </c>
      <c r="J53" s="23">
        <v>45764.557071622854</v>
      </c>
      <c r="K53" s="23">
        <v>47789.776413301399</v>
      </c>
      <c r="L53" s="23">
        <v>46805.872348966346</v>
      </c>
      <c r="M53" s="23">
        <v>42247.860185881305</v>
      </c>
      <c r="N53" s="23">
        <v>46315.475081186407</v>
      </c>
      <c r="O53" s="23">
        <v>49788.570558332081</v>
      </c>
      <c r="P53" s="23">
        <v>49723.762466692053</v>
      </c>
      <c r="Q53" s="23">
        <v>48569.788325716661</v>
      </c>
      <c r="R53" s="23">
        <v>50064.051796565938</v>
      </c>
      <c r="S53" s="23">
        <v>51514.72600000001</v>
      </c>
      <c r="T53" s="23">
        <v>50357.358129796252</v>
      </c>
      <c r="U53" s="23">
        <v>48117.604774329229</v>
      </c>
      <c r="V53" s="23">
        <v>47496.843014864033</v>
      </c>
      <c r="W53" s="23">
        <v>51202.829086900056</v>
      </c>
      <c r="X53" s="23">
        <v>47561.1102561765</v>
      </c>
      <c r="Y53" s="23">
        <v>48162.951806153251</v>
      </c>
      <c r="Z53" s="23">
        <v>62102.934346138405</v>
      </c>
      <c r="AA53" s="23">
        <v>63906.621802081121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666288.91638955998</v>
      </c>
      <c r="E54" s="30">
        <f t="shared" ref="E54:S54" si="6">SUM(E41:E53)</f>
        <v>671718.27702048246</v>
      </c>
      <c r="F54" s="30">
        <f t="shared" si="6"/>
        <v>651402.51390573964</v>
      </c>
      <c r="G54" s="30">
        <f t="shared" si="6"/>
        <v>651490.65924055292</v>
      </c>
      <c r="H54" s="30">
        <f t="shared" si="6"/>
        <v>667814.0997249519</v>
      </c>
      <c r="I54" s="30">
        <f t="shared" si="6"/>
        <v>674104.07667993172</v>
      </c>
      <c r="J54" s="30">
        <f t="shared" si="6"/>
        <v>721104.86441523128</v>
      </c>
      <c r="K54" s="30">
        <f t="shared" si="6"/>
        <v>756833.38866210089</v>
      </c>
      <c r="L54" s="30">
        <f t="shared" si="6"/>
        <v>735601.16460382228</v>
      </c>
      <c r="M54" s="30">
        <f t="shared" si="6"/>
        <v>607552.89114067494</v>
      </c>
      <c r="N54" s="30">
        <f t="shared" si="6"/>
        <v>709207.02078371949</v>
      </c>
      <c r="O54" s="30">
        <f t="shared" si="6"/>
        <v>764430.60620750301</v>
      </c>
      <c r="P54" s="30">
        <f t="shared" si="6"/>
        <v>765163.45895190968</v>
      </c>
      <c r="Q54" s="30">
        <f t="shared" si="6"/>
        <v>758604.78047361865</v>
      </c>
      <c r="R54" s="30">
        <f t="shared" si="6"/>
        <v>789107.6963987113</v>
      </c>
      <c r="S54" s="30">
        <f t="shared" si="6"/>
        <v>801624.58420000016</v>
      </c>
      <c r="T54" s="30">
        <f t="shared" ref="T54:Y54" si="7">SUM(T41:T53)</f>
        <v>830657.61890746758</v>
      </c>
      <c r="U54" s="30">
        <f t="shared" si="7"/>
        <v>840744.32442852145</v>
      </c>
      <c r="V54" s="30">
        <f t="shared" si="7"/>
        <v>838319.15595277934</v>
      </c>
      <c r="W54" s="30">
        <f t="shared" si="7"/>
        <v>822895.72591118468</v>
      </c>
      <c r="X54" s="30">
        <f t="shared" si="7"/>
        <v>751577.92630139482</v>
      </c>
      <c r="Y54" s="30">
        <f t="shared" si="7"/>
        <v>787354.60453904269</v>
      </c>
      <c r="Z54" s="30">
        <f t="shared" ref="Z54:AA54" si="8">SUM(Z41:Z53)</f>
        <v>788478.57378530316</v>
      </c>
      <c r="AA54" s="30">
        <f t="shared" si="8"/>
        <v>799148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55611.350685390302</v>
      </c>
      <c r="E56" s="19">
        <v>55653.358501263909</v>
      </c>
      <c r="F56" s="19">
        <v>55136.853056462904</v>
      </c>
      <c r="G56" s="19">
        <v>55072.889196388416</v>
      </c>
      <c r="H56" s="19">
        <v>55251.865557343561</v>
      </c>
      <c r="I56" s="19">
        <v>53291.664627629332</v>
      </c>
      <c r="J56" s="19">
        <v>53888.105711695382</v>
      </c>
      <c r="K56" s="19">
        <v>53849.779921954949</v>
      </c>
      <c r="L56" s="19">
        <v>51946.13572400259</v>
      </c>
      <c r="M56" s="19">
        <v>50835.120626722892</v>
      </c>
      <c r="N56" s="19">
        <v>52606.540636501413</v>
      </c>
      <c r="O56" s="19">
        <v>52507.428669483714</v>
      </c>
      <c r="P56" s="19">
        <v>53182.937233007659</v>
      </c>
      <c r="Q56" s="19">
        <v>53918.960656418778</v>
      </c>
      <c r="R56" s="19">
        <v>54488.274032383059</v>
      </c>
      <c r="S56" s="19">
        <v>56739.698960000009</v>
      </c>
      <c r="T56" s="19">
        <v>58277.552616764275</v>
      </c>
      <c r="U56" s="19">
        <v>57737.610654620519</v>
      </c>
      <c r="V56" s="19">
        <v>57601.662629642029</v>
      </c>
      <c r="W56" s="19">
        <v>57677.276228382434</v>
      </c>
      <c r="X56" s="19">
        <v>62048.804230103022</v>
      </c>
      <c r="Y56" s="19">
        <v>58995.154830991203</v>
      </c>
      <c r="Z56" s="19">
        <v>52969.261511176555</v>
      </c>
      <c r="AA56" s="19">
        <v>50645.188500766279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13989.597856510611</v>
      </c>
      <c r="E57" s="23">
        <v>13266.756597131989</v>
      </c>
      <c r="F57" s="23">
        <v>12345.733037797481</v>
      </c>
      <c r="G57" s="23">
        <v>11696.1862524648</v>
      </c>
      <c r="H57" s="23">
        <v>11593.708631492451</v>
      </c>
      <c r="I57" s="23">
        <v>11010.795679363275</v>
      </c>
      <c r="J57" s="23">
        <v>11227.419356300999</v>
      </c>
      <c r="K57" s="23">
        <v>11220.939734376932</v>
      </c>
      <c r="L57" s="23">
        <v>10648.612742802346</v>
      </c>
      <c r="M57" s="23">
        <v>8694.0392028677597</v>
      </c>
      <c r="N57" s="23">
        <v>9656.443645810783</v>
      </c>
      <c r="O57" s="23">
        <v>10381.723214860256</v>
      </c>
      <c r="P57" s="23">
        <v>9897.5757306602391</v>
      </c>
      <c r="Q57" s="23">
        <v>9688.5109264644798</v>
      </c>
      <c r="R57" s="23">
        <v>10248.681226803705</v>
      </c>
      <c r="S57" s="23">
        <v>9473.8095600000015</v>
      </c>
      <c r="T57" s="23">
        <v>9612.7396667687226</v>
      </c>
      <c r="U57" s="23">
        <v>9736.7565715175842</v>
      </c>
      <c r="V57" s="23">
        <v>9359.0992113941611</v>
      </c>
      <c r="W57" s="23">
        <v>9083.9842662406227</v>
      </c>
      <c r="X57" s="23">
        <v>8017.3704075120795</v>
      </c>
      <c r="Y57" s="23">
        <v>8457.1541524561198</v>
      </c>
      <c r="Z57" s="23">
        <v>8349.43046446259</v>
      </c>
      <c r="AA57" s="23">
        <v>8406.9243971300293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11315.07054855147</v>
      </c>
      <c r="E58" s="23">
        <v>10132.085520565097</v>
      </c>
      <c r="F58" s="23">
        <v>9585.3552963135789</v>
      </c>
      <c r="G58" s="23">
        <v>9111.9030453984615</v>
      </c>
      <c r="H58" s="23">
        <v>9649.6506088723036</v>
      </c>
      <c r="I58" s="23">
        <v>9178.1066515065377</v>
      </c>
      <c r="J58" s="23">
        <v>9558.5773798730752</v>
      </c>
      <c r="K58" s="23">
        <v>9828.8355543560156</v>
      </c>
      <c r="L58" s="23">
        <v>8639.9559777881859</v>
      </c>
      <c r="M58" s="23">
        <v>7334.0149707449427</v>
      </c>
      <c r="N58" s="23">
        <v>8534.1856678934837</v>
      </c>
      <c r="O58" s="23">
        <v>8789.9604041097355</v>
      </c>
      <c r="P58" s="23">
        <v>8279.1128029437896</v>
      </c>
      <c r="Q58" s="23">
        <v>8299.6547154133787</v>
      </c>
      <c r="R58" s="23">
        <v>8273.8872303111893</v>
      </c>
      <c r="S58" s="23">
        <v>9121.7815200000005</v>
      </c>
      <c r="T58" s="23">
        <v>8842.2431778451573</v>
      </c>
      <c r="U58" s="23">
        <v>8686.0003504809392</v>
      </c>
      <c r="V58" s="23">
        <v>8566.540171103572</v>
      </c>
      <c r="W58" s="23">
        <v>9503.245078528651</v>
      </c>
      <c r="X58" s="23">
        <v>10730.580216975111</v>
      </c>
      <c r="Y58" s="23">
        <v>10802.270271235471</v>
      </c>
      <c r="Z58" s="23">
        <v>11449.722861732031</v>
      </c>
      <c r="AA58" s="23">
        <v>11919.10590160529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15006.041625798427</v>
      </c>
      <c r="E59" s="23">
        <v>15482.959909282052</v>
      </c>
      <c r="F59" s="23">
        <v>15252.027204853011</v>
      </c>
      <c r="G59" s="23">
        <v>14500.535003055777</v>
      </c>
      <c r="H59" s="23">
        <v>14569.397747115419</v>
      </c>
      <c r="I59" s="23">
        <v>14422.529573621376</v>
      </c>
      <c r="J59" s="23">
        <v>14825.220534904807</v>
      </c>
      <c r="K59" s="23">
        <v>15104.330353226949</v>
      </c>
      <c r="L59" s="23">
        <v>14205.818781918335</v>
      </c>
      <c r="M59" s="23">
        <v>13316.435611632292</v>
      </c>
      <c r="N59" s="23">
        <v>13228.406538211735</v>
      </c>
      <c r="O59" s="23">
        <v>13296.958666695267</v>
      </c>
      <c r="P59" s="23">
        <v>13930.779892568626</v>
      </c>
      <c r="Q59" s="23">
        <v>13628.73751557956</v>
      </c>
      <c r="R59" s="23">
        <v>13995.793670214938</v>
      </c>
      <c r="S59" s="23">
        <v>14162.358840000003</v>
      </c>
      <c r="T59" s="23">
        <v>14211.521189914174</v>
      </c>
      <c r="U59" s="23">
        <v>13929.73838545115</v>
      </c>
      <c r="V59" s="23">
        <v>14536.001185298477</v>
      </c>
      <c r="W59" s="23">
        <v>14406.668946380021</v>
      </c>
      <c r="X59" s="23">
        <v>13388.5383535418</v>
      </c>
      <c r="Y59" s="23">
        <v>11541.379033266077</v>
      </c>
      <c r="Z59" s="23">
        <v>12364.492504350155</v>
      </c>
      <c r="AA59" s="23">
        <v>12940.299475697035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17723.756225927609</v>
      </c>
      <c r="E60" s="23">
        <v>16642.087552269131</v>
      </c>
      <c r="F60" s="23">
        <v>15151.239570695288</v>
      </c>
      <c r="G60" s="23">
        <v>13132.560002767495</v>
      </c>
      <c r="H60" s="23">
        <v>13938.05717807375</v>
      </c>
      <c r="I60" s="23">
        <v>14249.5237293917</v>
      </c>
      <c r="J60" s="23">
        <v>14202.692792384409</v>
      </c>
      <c r="K60" s="23">
        <v>13622.319444913015</v>
      </c>
      <c r="L60" s="23">
        <v>13015.290649182669</v>
      </c>
      <c r="M60" s="23">
        <v>11294.664051689386</v>
      </c>
      <c r="N60" s="23">
        <v>11761.375276033774</v>
      </c>
      <c r="O60" s="23">
        <v>11436.905686278717</v>
      </c>
      <c r="P60" s="23">
        <v>11338.784925770842</v>
      </c>
      <c r="Q60" s="23">
        <v>10628.700955546323</v>
      </c>
      <c r="R60" s="23">
        <v>9983.0964150250838</v>
      </c>
      <c r="S60" s="23">
        <v>9667.231560000002</v>
      </c>
      <c r="T60" s="23">
        <v>9745.1886499886423</v>
      </c>
      <c r="U60" s="23">
        <v>9244.6461310798713</v>
      </c>
      <c r="V60" s="23">
        <v>8126.5035033217046</v>
      </c>
      <c r="W60" s="23">
        <v>7961.1363436761312</v>
      </c>
      <c r="X60" s="23">
        <v>8071.4465128999909</v>
      </c>
      <c r="Y60" s="23">
        <v>7711.1378319018631</v>
      </c>
      <c r="Z60" s="23">
        <v>6851.0636795609698</v>
      </c>
      <c r="AA60" s="23">
        <v>6529.5989747915119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7952.6313724552047</v>
      </c>
      <c r="E61" s="23">
        <v>10739.827872144393</v>
      </c>
      <c r="F61" s="23">
        <v>7028.0571161922544</v>
      </c>
      <c r="G61" s="23">
        <v>6398.2569850439913</v>
      </c>
      <c r="H61" s="23">
        <v>6913.8414763584078</v>
      </c>
      <c r="I61" s="23">
        <v>6773.6186469584991</v>
      </c>
      <c r="J61" s="23">
        <v>8792.8390299184048</v>
      </c>
      <c r="K61" s="23">
        <v>6893.8159081452495</v>
      </c>
      <c r="L61" s="23">
        <v>4842.6313418523232</v>
      </c>
      <c r="M61" s="23">
        <v>4280.9853670229577</v>
      </c>
      <c r="N61" s="23">
        <v>9558.7346178826592</v>
      </c>
      <c r="O61" s="23">
        <v>12252.839707427984</v>
      </c>
      <c r="P61" s="23">
        <v>14060.311466395975</v>
      </c>
      <c r="Q61" s="23">
        <v>12158.183880348983</v>
      </c>
      <c r="R61" s="23">
        <v>10657.576654839106</v>
      </c>
      <c r="S61" s="23">
        <v>9845.1798000000017</v>
      </c>
      <c r="T61" s="23">
        <v>7675.6732871774102</v>
      </c>
      <c r="U61" s="23">
        <v>9346.3322169866442</v>
      </c>
      <c r="V61" s="23">
        <v>11693.635482483392</v>
      </c>
      <c r="W61" s="23">
        <v>9149.0419784922124</v>
      </c>
      <c r="X61" s="23">
        <v>6058.8749384629409</v>
      </c>
      <c r="Y61" s="23">
        <v>4317.2240772815749</v>
      </c>
      <c r="Z61" s="23">
        <v>12410.878229152724</v>
      </c>
      <c r="AA61" s="23">
        <v>17040.97316001945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51787.73292504964</v>
      </c>
      <c r="E62" s="23">
        <v>52022.136029672329</v>
      </c>
      <c r="F62" s="23">
        <v>52338.867988800746</v>
      </c>
      <c r="G62" s="23">
        <v>50573.440988918483</v>
      </c>
      <c r="H62" s="23">
        <v>50895.762796589865</v>
      </c>
      <c r="I62" s="23">
        <v>50656.990881182486</v>
      </c>
      <c r="J62" s="23">
        <v>52116.970444242979</v>
      </c>
      <c r="K62" s="23">
        <v>54753.197530447695</v>
      </c>
      <c r="L62" s="23">
        <v>54386.143261747064</v>
      </c>
      <c r="M62" s="23">
        <v>48561.856982534133</v>
      </c>
      <c r="N62" s="23">
        <v>56909.925395107173</v>
      </c>
      <c r="O62" s="23">
        <v>56883.047725274024</v>
      </c>
      <c r="P62" s="23">
        <v>55076.825191388576</v>
      </c>
      <c r="Q62" s="23">
        <v>53183.683838803488</v>
      </c>
      <c r="R62" s="23">
        <v>56161.984257106742</v>
      </c>
      <c r="S62" s="23">
        <v>60552.691320000005</v>
      </c>
      <c r="T62" s="23">
        <v>60678.190437625308</v>
      </c>
      <c r="U62" s="23">
        <v>63686.874372054997</v>
      </c>
      <c r="V62" s="23">
        <v>57387.190976437421</v>
      </c>
      <c r="W62" s="23">
        <v>56814.659154824301</v>
      </c>
      <c r="X62" s="23">
        <v>58596.162457835722</v>
      </c>
      <c r="Y62" s="23">
        <v>57912.970662285959</v>
      </c>
      <c r="Z62" s="23">
        <v>51731.949270512654</v>
      </c>
      <c r="AA62" s="23">
        <v>49546.65390982393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18681.588670127509</v>
      </c>
      <c r="E63" s="23">
        <v>19865.10212856434</v>
      </c>
      <c r="F63" s="23">
        <v>19673.144470368643</v>
      </c>
      <c r="G63" s="23">
        <v>21472.74671648159</v>
      </c>
      <c r="H63" s="23">
        <v>22888.671026352131</v>
      </c>
      <c r="I63" s="23">
        <v>25678.172507106308</v>
      </c>
      <c r="J63" s="23">
        <v>27022.964823209433</v>
      </c>
      <c r="K63" s="23">
        <v>28839.758262766663</v>
      </c>
      <c r="L63" s="23">
        <v>30871.774804308559</v>
      </c>
      <c r="M63" s="23">
        <v>28453.730112552985</v>
      </c>
      <c r="N63" s="23">
        <v>27655.842433427151</v>
      </c>
      <c r="O63" s="23">
        <v>29271.287273975249</v>
      </c>
      <c r="P63" s="23">
        <v>29508.656008120801</v>
      </c>
      <c r="Q63" s="23">
        <v>29232.945533859576</v>
      </c>
      <c r="R63" s="23">
        <v>30355.555120518788</v>
      </c>
      <c r="S63" s="23">
        <v>28309.243920000004</v>
      </c>
      <c r="T63" s="23">
        <v>31289.798737790243</v>
      </c>
      <c r="U63" s="23">
        <v>28503.488648311853</v>
      </c>
      <c r="V63" s="23">
        <v>29090.491306218042</v>
      </c>
      <c r="W63" s="23">
        <v>31215.654156272481</v>
      </c>
      <c r="X63" s="23">
        <v>29137.616264016775</v>
      </c>
      <c r="Y63" s="23">
        <v>33206.936342695932</v>
      </c>
      <c r="Z63" s="23">
        <v>30292.035771650382</v>
      </c>
      <c r="AA63" s="23">
        <v>29161.757231140538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31222.869835649864</v>
      </c>
      <c r="E64" s="23">
        <v>31418.299463724634</v>
      </c>
      <c r="F64" s="23">
        <v>31630.769902006534</v>
      </c>
      <c r="G64" s="23">
        <v>31009.911555447932</v>
      </c>
      <c r="H64" s="23">
        <v>32074.74988872531</v>
      </c>
      <c r="I64" s="23">
        <v>32004.615031267764</v>
      </c>
      <c r="J64" s="23">
        <v>33503.975475974621</v>
      </c>
      <c r="K64" s="23">
        <v>33929.639170968141</v>
      </c>
      <c r="L64" s="23">
        <v>34237.748667514104</v>
      </c>
      <c r="M64" s="23">
        <v>29735.075256867043</v>
      </c>
      <c r="N64" s="23">
        <v>32439.39727213683</v>
      </c>
      <c r="O64" s="23">
        <v>34659.217691598205</v>
      </c>
      <c r="P64" s="23">
        <v>34452.671657573068</v>
      </c>
      <c r="Q64" s="23">
        <v>35184.803780639799</v>
      </c>
      <c r="R64" s="23">
        <v>35794.784656796779</v>
      </c>
      <c r="S64" s="23">
        <v>37210.524360000003</v>
      </c>
      <c r="T64" s="23">
        <v>38844.484972987921</v>
      </c>
      <c r="U64" s="23">
        <v>37829.734724872469</v>
      </c>
      <c r="V64" s="23">
        <v>37760.569516799696</v>
      </c>
      <c r="W64" s="23">
        <v>37885.274434509629</v>
      </c>
      <c r="X64" s="23">
        <v>35783.099389187715</v>
      </c>
      <c r="Y64" s="23">
        <v>35945.78329732336</v>
      </c>
      <c r="Z64" s="23">
        <v>33638.280384152058</v>
      </c>
      <c r="AA64" s="23">
        <v>33079.435267406763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25466.620750699745</v>
      </c>
      <c r="E65" s="23">
        <v>23225.201445817289</v>
      </c>
      <c r="F65" s="23">
        <v>21597.135277648158</v>
      </c>
      <c r="G65" s="23">
        <v>20425.948455391426</v>
      </c>
      <c r="H65" s="23">
        <v>20731.222834708577</v>
      </c>
      <c r="I65" s="23">
        <v>19998.302671972713</v>
      </c>
      <c r="J65" s="23">
        <v>21456.748458748869</v>
      </c>
      <c r="K65" s="23">
        <v>22637.644119069308</v>
      </c>
      <c r="L65" s="23">
        <v>21558.911621061085</v>
      </c>
      <c r="M65" s="23">
        <v>18579.504592553854</v>
      </c>
      <c r="N65" s="23">
        <v>19802.828274518295</v>
      </c>
      <c r="O65" s="23">
        <v>21041.417172518824</v>
      </c>
      <c r="P65" s="23">
        <v>21011.38476504674</v>
      </c>
      <c r="Q65" s="23">
        <v>21207.847735770669</v>
      </c>
      <c r="R65" s="23">
        <v>22267.051347934259</v>
      </c>
      <c r="S65" s="23">
        <v>21432.447080000002</v>
      </c>
      <c r="T65" s="23">
        <v>22894.570878312312</v>
      </c>
      <c r="U65" s="23">
        <v>22389.769656139262</v>
      </c>
      <c r="V65" s="23">
        <v>22893.000086029733</v>
      </c>
      <c r="W65" s="23">
        <v>23093.078304416478</v>
      </c>
      <c r="X65" s="23">
        <v>22647.308049958978</v>
      </c>
      <c r="Y65" s="23">
        <v>22059.288145277933</v>
      </c>
      <c r="Z65" s="23">
        <v>21219.850990496587</v>
      </c>
      <c r="AA65" s="23">
        <v>20982.615901714213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26359.672256644579</v>
      </c>
      <c r="E66" s="23">
        <v>26538.082685629237</v>
      </c>
      <c r="F66" s="23">
        <v>26183.724778348111</v>
      </c>
      <c r="G66" s="23">
        <v>25633.175032575731</v>
      </c>
      <c r="H66" s="23">
        <v>27848.152885723743</v>
      </c>
      <c r="I66" s="23">
        <v>29982.792495736212</v>
      </c>
      <c r="J66" s="23">
        <v>32274.994650951954</v>
      </c>
      <c r="K66" s="23">
        <v>37290.990722310315</v>
      </c>
      <c r="L66" s="23">
        <v>36316.859392074221</v>
      </c>
      <c r="M66" s="23">
        <v>24834.492073350117</v>
      </c>
      <c r="N66" s="23">
        <v>24474.715652738691</v>
      </c>
      <c r="O66" s="23">
        <v>28264.507668218186</v>
      </c>
      <c r="P66" s="23">
        <v>28798.277587446606</v>
      </c>
      <c r="Q66" s="23">
        <v>27396.762442874948</v>
      </c>
      <c r="R66" s="23">
        <v>27343.402626534527</v>
      </c>
      <c r="S66" s="23">
        <v>27493.003080000002</v>
      </c>
      <c r="T66" s="23">
        <v>26636.254654275021</v>
      </c>
      <c r="U66" s="23">
        <v>26473.533081506292</v>
      </c>
      <c r="V66" s="23">
        <v>28608.546384361711</v>
      </c>
      <c r="W66" s="23">
        <v>25300.221431174145</v>
      </c>
      <c r="X66" s="23">
        <v>21310.68779287082</v>
      </c>
      <c r="Y66" s="23">
        <v>20073.36506972841</v>
      </c>
      <c r="Z66" s="23">
        <v>23292.106277606748</v>
      </c>
      <c r="AA66" s="23">
        <v>24369.64208682871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59450.392478648835</v>
      </c>
      <c r="E67" s="23">
        <v>59688.219376786597</v>
      </c>
      <c r="F67" s="23">
        <v>55320.376808212786</v>
      </c>
      <c r="G67" s="23">
        <v>56149.426044441367</v>
      </c>
      <c r="H67" s="23">
        <v>56557.224729231581</v>
      </c>
      <c r="I67" s="23">
        <v>58965.669857873792</v>
      </c>
      <c r="J67" s="23">
        <v>65551.002221214876</v>
      </c>
      <c r="K67" s="23">
        <v>67113.922562216758</v>
      </c>
      <c r="L67" s="23">
        <v>67970.816930933739</v>
      </c>
      <c r="M67" s="23">
        <v>52522.506063478577</v>
      </c>
      <c r="N67" s="23">
        <v>61976.836414808407</v>
      </c>
      <c r="O67" s="23">
        <v>68333.782801741705</v>
      </c>
      <c r="P67" s="23">
        <v>67923.630334559915</v>
      </c>
      <c r="Q67" s="23">
        <v>68426.280307436638</v>
      </c>
      <c r="R67" s="23">
        <v>69499.075003058868</v>
      </c>
      <c r="S67" s="23">
        <v>69063.259320000012</v>
      </c>
      <c r="T67" s="23">
        <v>71356.889709731258</v>
      </c>
      <c r="U67" s="23">
        <v>71201.601658943109</v>
      </c>
      <c r="V67" s="23">
        <v>71681.603402953697</v>
      </c>
      <c r="W67" s="23">
        <v>69845.477964328093</v>
      </c>
      <c r="X67" s="23">
        <v>62797.640732974753</v>
      </c>
      <c r="Y67" s="23">
        <v>66438.049140224641</v>
      </c>
      <c r="Z67" s="23">
        <v>62577.578972025171</v>
      </c>
      <c r="AA67" s="23">
        <v>62323.967910086227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45113.753881486089</v>
      </c>
      <c r="E68" s="23">
        <v>39060.012190224195</v>
      </c>
      <c r="F68" s="23">
        <v>38828.812132524501</v>
      </c>
      <c r="G68" s="23">
        <v>40819.184465123792</v>
      </c>
      <c r="H68" s="23">
        <v>43721.43814838909</v>
      </c>
      <c r="I68" s="23">
        <v>42890.787856736781</v>
      </c>
      <c r="J68" s="23">
        <v>44627.640208522222</v>
      </c>
      <c r="K68" s="23">
        <v>51056.870910787984</v>
      </c>
      <c r="L68" s="23">
        <v>46483.797105327714</v>
      </c>
      <c r="M68" s="23">
        <v>35276.331012540999</v>
      </c>
      <c r="N68" s="23">
        <v>42292.654817059971</v>
      </c>
      <c r="O68" s="23">
        <v>45429.546770768538</v>
      </c>
      <c r="P68" s="23">
        <v>44456.599627796815</v>
      </c>
      <c r="Q68" s="23">
        <v>45446.535978396343</v>
      </c>
      <c r="R68" s="23">
        <v>46543.080876055312</v>
      </c>
      <c r="S68" s="23">
        <v>51055.671120000006</v>
      </c>
      <c r="T68" s="23">
        <v>53589.622739528495</v>
      </c>
      <c r="U68" s="23">
        <v>52881.786206627992</v>
      </c>
      <c r="V68" s="23">
        <v>56106.524035750139</v>
      </c>
      <c r="W68" s="23">
        <v>55518.323999588902</v>
      </c>
      <c r="X68" s="23">
        <v>51948.328197647919</v>
      </c>
      <c r="Y68" s="23">
        <v>54114.96473403211</v>
      </c>
      <c r="Z68" s="23">
        <v>52875.411323785309</v>
      </c>
      <c r="AA68" s="23">
        <v>52964.629094432064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52619.088299322982</v>
      </c>
      <c r="E69" s="23">
        <v>47326.222069975665</v>
      </c>
      <c r="F69" s="23">
        <v>46691.751889874009</v>
      </c>
      <c r="G69" s="23">
        <v>46374.352509772718</v>
      </c>
      <c r="H69" s="23">
        <v>48713.296447198736</v>
      </c>
      <c r="I69" s="23">
        <v>46868.456122797041</v>
      </c>
      <c r="J69" s="23">
        <v>52378.549002719861</v>
      </c>
      <c r="K69" s="23">
        <v>50252.060681713396</v>
      </c>
      <c r="L69" s="23">
        <v>52108.611181731008</v>
      </c>
      <c r="M69" s="23">
        <v>46585.04490133909</v>
      </c>
      <c r="N69" s="23">
        <v>54000.988049361338</v>
      </c>
      <c r="O69" s="23">
        <v>56262.108105789237</v>
      </c>
      <c r="P69" s="23">
        <v>54723.6812164277</v>
      </c>
      <c r="Q69" s="23">
        <v>54385.037764852517</v>
      </c>
      <c r="R69" s="23">
        <v>56200.112769688822</v>
      </c>
      <c r="S69" s="23">
        <v>52615.941920000005</v>
      </c>
      <c r="T69" s="23">
        <v>54255.688299374822</v>
      </c>
      <c r="U69" s="23">
        <v>56453.353051131286</v>
      </c>
      <c r="V69" s="23">
        <v>56076.941738756403</v>
      </c>
      <c r="W69" s="23">
        <v>53489.487195298556</v>
      </c>
      <c r="X69" s="23">
        <v>50915.004357735437</v>
      </c>
      <c r="Y69" s="23">
        <v>53253.822438083684</v>
      </c>
      <c r="Z69" s="23">
        <v>49807.481060099053</v>
      </c>
      <c r="AA69" s="23">
        <v>48812.433744974856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95067.56929260066</v>
      </c>
      <c r="E70" s="23">
        <v>97776.45306999929</v>
      </c>
      <c r="F70" s="23">
        <v>94644.101353243124</v>
      </c>
      <c r="G70" s="23">
        <v>94568.706541668114</v>
      </c>
      <c r="H70" s="23">
        <v>99208.768719827451</v>
      </c>
      <c r="I70" s="23">
        <v>101033.94687890846</v>
      </c>
      <c r="J70" s="23">
        <v>108639.85906618315</v>
      </c>
      <c r="K70" s="23">
        <v>118769.68829211791</v>
      </c>
      <c r="L70" s="23">
        <v>122200.2360785888</v>
      </c>
      <c r="M70" s="23">
        <v>92948.102376360621</v>
      </c>
      <c r="N70" s="23">
        <v>107560.88962979001</v>
      </c>
      <c r="O70" s="23">
        <v>119308.91503828746</v>
      </c>
      <c r="P70" s="23">
        <v>120094.85780146344</v>
      </c>
      <c r="Q70" s="23">
        <v>118959.4854175322</v>
      </c>
      <c r="R70" s="23">
        <v>123160.35474529958</v>
      </c>
      <c r="S70" s="23">
        <v>123084.73444000001</v>
      </c>
      <c r="T70" s="23">
        <v>128039.96033619421</v>
      </c>
      <c r="U70" s="23">
        <v>134396.3655905604</v>
      </c>
      <c r="V70" s="23">
        <v>135565.80635664103</v>
      </c>
      <c r="W70" s="23">
        <v>132106.91336154946</v>
      </c>
      <c r="X70" s="23">
        <v>114479.11510620841</v>
      </c>
      <c r="Y70" s="23">
        <v>122893.52495402034</v>
      </c>
      <c r="Z70" s="23">
        <v>115574.88766564049</v>
      </c>
      <c r="AA70" s="23">
        <v>113578.1279919082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86385.381163130078</v>
      </c>
      <c r="E71" s="23">
        <v>98993.4609369463</v>
      </c>
      <c r="F71" s="23">
        <v>98770.377181521239</v>
      </c>
      <c r="G71" s="23">
        <v>103186.94904348427</v>
      </c>
      <c r="H71" s="23">
        <v>102399.31966081192</v>
      </c>
      <c r="I71" s="23">
        <v>101852.05926094372</v>
      </c>
      <c r="J71" s="23">
        <v>113181.68118767001</v>
      </c>
      <c r="K71" s="23">
        <v>121026.05715056848</v>
      </c>
      <c r="L71" s="23">
        <v>106057.65232711135</v>
      </c>
      <c r="M71" s="23">
        <v>80199.280183920084</v>
      </c>
      <c r="N71" s="23">
        <v>116445.43195496862</v>
      </c>
      <c r="O71" s="23">
        <v>132127.37680444436</v>
      </c>
      <c r="P71" s="23">
        <v>133007.11047667387</v>
      </c>
      <c r="Q71" s="23">
        <v>132940.45936850851</v>
      </c>
      <c r="R71" s="23">
        <v>147270.72246013299</v>
      </c>
      <c r="S71" s="23">
        <v>153515.17296000003</v>
      </c>
      <c r="T71" s="23">
        <v>166732.89310722856</v>
      </c>
      <c r="U71" s="23">
        <v>169712.82199462599</v>
      </c>
      <c r="V71" s="23">
        <v>166579.14696745211</v>
      </c>
      <c r="W71" s="23">
        <v>159280.55595107959</v>
      </c>
      <c r="X71" s="23">
        <v>133291.72194365942</v>
      </c>
      <c r="Y71" s="23">
        <v>156611.62062746641</v>
      </c>
      <c r="Z71" s="23">
        <v>162479.48534332754</v>
      </c>
      <c r="AA71" s="23">
        <v>173121.36741876206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10278.57553647042</v>
      </c>
      <c r="E72" s="23">
        <v>11813.65834297999</v>
      </c>
      <c r="F72" s="23">
        <v>11234.06047596827</v>
      </c>
      <c r="G72" s="23">
        <v>10664.257284856032</v>
      </c>
      <c r="H72" s="23">
        <v>10007.263099028773</v>
      </c>
      <c r="I72" s="23">
        <v>12328.86562819784</v>
      </c>
      <c r="J72" s="23">
        <v>12091.066999093384</v>
      </c>
      <c r="K72" s="23">
        <v>12853.7619288598</v>
      </c>
      <c r="L72" s="23">
        <v>13304.295666911978</v>
      </c>
      <c r="M72" s="23">
        <v>11853.847568615916</v>
      </c>
      <c r="N72" s="23">
        <v>13986.349426282746</v>
      </c>
      <c r="O72" s="23">
        <v>14395.012247699535</v>
      </c>
      <c r="P72" s="23">
        <v>15696.499767373009</v>
      </c>
      <c r="Q72" s="23">
        <v>15348.401329455755</v>
      </c>
      <c r="R72" s="23">
        <v>16800.211509441662</v>
      </c>
      <c r="S72" s="23">
        <v>16767.108440000004</v>
      </c>
      <c r="T72" s="23">
        <v>17616.988316164778</v>
      </c>
      <c r="U72" s="23">
        <v>20416.306359281905</v>
      </c>
      <c r="V72" s="23">
        <v>19189.049983272002</v>
      </c>
      <c r="W72" s="23">
        <v>19361.898029542845</v>
      </c>
      <c r="X72" s="23">
        <v>14794.517093627497</v>
      </c>
      <c r="Y72" s="23">
        <v>14857.007124618327</v>
      </c>
      <c r="Z72" s="23">
        <v>18491.723129433813</v>
      </c>
      <c r="AA72" s="23">
        <v>19818.657230831828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26765.324322384633</v>
      </c>
      <c r="E73" s="23">
        <v>27144.301873420114</v>
      </c>
      <c r="F73" s="23">
        <v>25103.642370508634</v>
      </c>
      <c r="G73" s="23">
        <v>25573.697858650154</v>
      </c>
      <c r="H73" s="23">
        <v>25288.942513780945</v>
      </c>
      <c r="I73" s="23">
        <v>26003.658078453667</v>
      </c>
      <c r="J73" s="23">
        <v>28506.217543064373</v>
      </c>
      <c r="K73" s="23">
        <v>28558.437209720771</v>
      </c>
      <c r="L73" s="23">
        <v>28177.270310653199</v>
      </c>
      <c r="M73" s="23">
        <v>25333.261290709208</v>
      </c>
      <c r="N73" s="23">
        <v>28905.122147651007</v>
      </c>
      <c r="O73" s="23">
        <v>31796.533922481285</v>
      </c>
      <c r="P73" s="23">
        <v>31084.85073806201</v>
      </c>
      <c r="Q73" s="23">
        <v>29597.235687577897</v>
      </c>
      <c r="R73" s="23">
        <v>30535.679473061711</v>
      </c>
      <c r="S73" s="23">
        <v>30933.335720000003</v>
      </c>
      <c r="T73" s="23">
        <v>30893.725336046064</v>
      </c>
      <c r="U73" s="23">
        <v>33494.894544180075</v>
      </c>
      <c r="V73" s="23">
        <v>31519.937446828852</v>
      </c>
      <c r="W73" s="23">
        <v>32505.965449262363</v>
      </c>
      <c r="X73" s="23">
        <v>32221.12983863616</v>
      </c>
      <c r="Y73" s="23">
        <v>32588.709854829209</v>
      </c>
      <c r="Z73" s="23">
        <v>31811.977312274128</v>
      </c>
      <c r="AA73" s="23">
        <v>31700.125620605482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15491.898662711419</v>
      </c>
      <c r="E74" s="23">
        <v>14930.051454085851</v>
      </c>
      <c r="F74" s="23">
        <v>14886.483994400374</v>
      </c>
      <c r="G74" s="23">
        <v>15126.532258622479</v>
      </c>
      <c r="H74" s="23">
        <v>15562.765775327834</v>
      </c>
      <c r="I74" s="23">
        <v>16913.520500284252</v>
      </c>
      <c r="J74" s="23">
        <v>17258.339528558481</v>
      </c>
      <c r="K74" s="23">
        <v>19231.339203580625</v>
      </c>
      <c r="L74" s="23">
        <v>18628.602038313151</v>
      </c>
      <c r="M74" s="23">
        <v>16914.598895172101</v>
      </c>
      <c r="N74" s="23">
        <v>17410.3529335354</v>
      </c>
      <c r="O74" s="23">
        <v>17992.036635850796</v>
      </c>
      <c r="P74" s="23">
        <v>18638.911728630039</v>
      </c>
      <c r="Q74" s="23">
        <v>18972.552638138761</v>
      </c>
      <c r="R74" s="23">
        <v>19528.372323504223</v>
      </c>
      <c r="S74" s="23">
        <v>20581.390280000003</v>
      </c>
      <c r="T74" s="23">
        <v>19463.632793750185</v>
      </c>
      <c r="U74" s="23">
        <v>14622.710230149152</v>
      </c>
      <c r="V74" s="23">
        <v>15976.905568035179</v>
      </c>
      <c r="W74" s="23">
        <v>18696.863637637693</v>
      </c>
      <c r="X74" s="23">
        <v>15339.980417540342</v>
      </c>
      <c r="Y74" s="23">
        <v>15574.241951324038</v>
      </c>
      <c r="Z74" s="23">
        <v>30290.957033864277</v>
      </c>
      <c r="AA74" s="23">
        <v>32206.496181475639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666288.91638955998</v>
      </c>
      <c r="E75" s="30">
        <f t="shared" ref="E75:S75" si="9">SUM(E56:E74)</f>
        <v>671718.27702048246</v>
      </c>
      <c r="F75" s="30">
        <f t="shared" si="9"/>
        <v>651402.51390573964</v>
      </c>
      <c r="G75" s="30">
        <f t="shared" si="9"/>
        <v>651490.65924055292</v>
      </c>
      <c r="H75" s="30">
        <f t="shared" si="9"/>
        <v>667814.09972495167</v>
      </c>
      <c r="I75" s="30">
        <f t="shared" si="9"/>
        <v>674104.07667993172</v>
      </c>
      <c r="J75" s="30">
        <f t="shared" si="9"/>
        <v>721104.86441523128</v>
      </c>
      <c r="K75" s="30">
        <f t="shared" si="9"/>
        <v>756833.38866210089</v>
      </c>
      <c r="L75" s="30">
        <f t="shared" si="9"/>
        <v>735601.1646038224</v>
      </c>
      <c r="M75" s="30">
        <f t="shared" si="9"/>
        <v>607552.89114067506</v>
      </c>
      <c r="N75" s="30">
        <f t="shared" si="9"/>
        <v>709207.02078371949</v>
      </c>
      <c r="O75" s="30">
        <f t="shared" si="9"/>
        <v>764430.60620750301</v>
      </c>
      <c r="P75" s="30">
        <f t="shared" si="9"/>
        <v>765163.45895190968</v>
      </c>
      <c r="Q75" s="30">
        <f t="shared" si="9"/>
        <v>758604.78047361865</v>
      </c>
      <c r="R75" s="30">
        <f t="shared" si="9"/>
        <v>789107.6963987113</v>
      </c>
      <c r="S75" s="30">
        <f t="shared" si="9"/>
        <v>801624.58420000004</v>
      </c>
      <c r="T75" s="30">
        <f t="shared" ref="T75:Y75" si="10">SUM(T56:T74)</f>
        <v>830657.61890746758</v>
      </c>
      <c r="U75" s="30">
        <f t="shared" si="10"/>
        <v>840744.32442852133</v>
      </c>
      <c r="V75" s="30">
        <f t="shared" si="10"/>
        <v>838319.15595277934</v>
      </c>
      <c r="W75" s="30">
        <f t="shared" si="10"/>
        <v>822895.72591118468</v>
      </c>
      <c r="X75" s="30">
        <f t="shared" si="10"/>
        <v>751577.92630139482</v>
      </c>
      <c r="Y75" s="30">
        <f t="shared" si="10"/>
        <v>787354.60453904257</v>
      </c>
      <c r="Z75" s="30">
        <f t="shared" ref="Z75:AA75" si="11">SUM(Z56:Z74)</f>
        <v>788478.57378530316</v>
      </c>
      <c r="AA75" s="30">
        <f t="shared" si="11"/>
        <v>799148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82163475</v>
      </c>
      <c r="E3" s="42">
        <v>82259540</v>
      </c>
      <c r="F3" s="42">
        <v>82440309</v>
      </c>
      <c r="G3" s="42">
        <v>82536680</v>
      </c>
      <c r="H3" s="42">
        <v>82531671</v>
      </c>
      <c r="I3" s="42">
        <v>82500849</v>
      </c>
      <c r="J3" s="42">
        <v>82437995</v>
      </c>
      <c r="K3" s="42">
        <v>82314906</v>
      </c>
      <c r="L3" s="42">
        <v>82217837</v>
      </c>
      <c r="M3" s="42">
        <v>82002356</v>
      </c>
      <c r="N3" s="42">
        <v>81802257</v>
      </c>
      <c r="O3" s="42">
        <v>80222065</v>
      </c>
      <c r="P3" s="42">
        <v>80327900</v>
      </c>
      <c r="Q3" s="42">
        <v>80523746</v>
      </c>
      <c r="R3" s="42">
        <v>80767463</v>
      </c>
      <c r="S3" s="42">
        <v>81197537</v>
      </c>
      <c r="T3" s="42">
        <v>82175684</v>
      </c>
      <c r="U3" s="42">
        <v>82521653</v>
      </c>
      <c r="V3" s="42">
        <v>82792351</v>
      </c>
      <c r="W3" s="42">
        <v>83019213</v>
      </c>
      <c r="X3" s="42">
        <v>83166711</v>
      </c>
      <c r="Y3" s="42">
        <v>83155031</v>
      </c>
      <c r="Z3" s="42">
        <v>83237124</v>
      </c>
      <c r="AA3" s="42">
        <v>83118501</v>
      </c>
    </row>
    <row r="4" spans="1:27" x14ac:dyDescent="0.25">
      <c r="A4" s="43" t="s">
        <v>239</v>
      </c>
      <c r="B4" s="44"/>
      <c r="C4" s="44"/>
      <c r="D4" s="45">
        <v>38136234</v>
      </c>
      <c r="E4" s="45">
        <v>38317671</v>
      </c>
      <c r="F4" s="45">
        <v>38540012</v>
      </c>
      <c r="G4" s="45">
        <v>38724361</v>
      </c>
      <c r="H4" s="45">
        <v>38862308</v>
      </c>
      <c r="I4" s="45">
        <v>38989059</v>
      </c>
      <c r="J4" s="45">
        <v>39331104</v>
      </c>
      <c r="K4" s="45">
        <v>39593509</v>
      </c>
      <c r="L4" s="45">
        <v>40008680</v>
      </c>
      <c r="M4" s="45">
        <v>40079353</v>
      </c>
      <c r="N4" s="45">
        <v>40296678</v>
      </c>
      <c r="O4" s="45">
        <v>39733564</v>
      </c>
      <c r="P4" s="45">
        <v>39984022</v>
      </c>
      <c r="Q4" s="45">
        <v>39823811</v>
      </c>
      <c r="R4" s="45">
        <v>40023520</v>
      </c>
      <c r="S4" s="45">
        <v>40558210</v>
      </c>
      <c r="T4" s="45">
        <v>40822496</v>
      </c>
      <c r="U4" s="45">
        <v>41178470</v>
      </c>
      <c r="V4" s="45">
        <v>41437613</v>
      </c>
      <c r="W4" s="45">
        <v>41551158</v>
      </c>
      <c r="X4" s="45">
        <v>41467181</v>
      </c>
      <c r="Y4" s="45">
        <v>41473831</v>
      </c>
      <c r="Z4" s="45">
        <v>41514775</v>
      </c>
      <c r="AA4" s="45">
        <v>41086753</v>
      </c>
    </row>
    <row r="5" spans="1:27" x14ac:dyDescent="0.25">
      <c r="A5" s="46" t="s">
        <v>240</v>
      </c>
      <c r="B5" s="47"/>
      <c r="C5" s="47"/>
      <c r="D5" s="48">
        <f>D3/D4</f>
        <v>2.1544726991133945</v>
      </c>
      <c r="E5" s="48">
        <f t="shared" ref="E5:S5" si="0">E3/E4</f>
        <v>2.1467781797072165</v>
      </c>
      <c r="F5" s="48">
        <f t="shared" si="0"/>
        <v>2.1390836359884893</v>
      </c>
      <c r="G5" s="48">
        <f t="shared" si="0"/>
        <v>2.1313890757293579</v>
      </c>
      <c r="H5" s="48">
        <f t="shared" si="0"/>
        <v>2.1236945319871379</v>
      </c>
      <c r="I5" s="48">
        <f t="shared" si="0"/>
        <v>2.1160000040011226</v>
      </c>
      <c r="J5" s="48">
        <f t="shared" si="0"/>
        <v>2.0960000258319726</v>
      </c>
      <c r="K5" s="48">
        <f t="shared" si="0"/>
        <v>2.0790000199275087</v>
      </c>
      <c r="L5" s="48">
        <f t="shared" si="0"/>
        <v>2.0549999900021696</v>
      </c>
      <c r="M5" s="48">
        <f t="shared" si="0"/>
        <v>2.0459999940617806</v>
      </c>
      <c r="N5" s="48">
        <f t="shared" si="0"/>
        <v>2.0300000163785215</v>
      </c>
      <c r="O5" s="48">
        <f t="shared" si="0"/>
        <v>2.0189999819799702</v>
      </c>
      <c r="P5" s="48">
        <f t="shared" si="0"/>
        <v>2.008999995048022</v>
      </c>
      <c r="Q5" s="48">
        <f t="shared" si="0"/>
        <v>2.0220000039674755</v>
      </c>
      <c r="R5" s="48">
        <f t="shared" si="0"/>
        <v>2.017999991005289</v>
      </c>
      <c r="S5" s="48">
        <f t="shared" si="0"/>
        <v>2.0020000143004339</v>
      </c>
      <c r="T5" s="48">
        <f t="shared" ref="T5:Y5" si="1">T3/T4</f>
        <v>2.0129999890256589</v>
      </c>
      <c r="U5" s="48">
        <f t="shared" si="1"/>
        <v>2.0039999786296092</v>
      </c>
      <c r="V5" s="48">
        <f t="shared" si="1"/>
        <v>1.9980000054539822</v>
      </c>
      <c r="W5" s="48">
        <f t="shared" si="1"/>
        <v>1.9979999835383648</v>
      </c>
      <c r="X5" s="48">
        <f t="shared" si="1"/>
        <v>2.0056032022046542</v>
      </c>
      <c r="Y5" s="48">
        <f t="shared" si="1"/>
        <v>2.0049999962627036</v>
      </c>
      <c r="Z5" s="48">
        <f t="shared" ref="Z5:AA5" si="2">Z3/Z4</f>
        <v>2.0050000030109763</v>
      </c>
      <c r="AA5" s="48">
        <f t="shared" si="2"/>
        <v>2.0229999922359405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3636.65</v>
      </c>
      <c r="E8" s="42">
        <v>3423.87</v>
      </c>
      <c r="F8" s="42">
        <v>3210.62</v>
      </c>
      <c r="G8" s="42">
        <v>3215.86</v>
      </c>
      <c r="H8" s="42">
        <v>3501.02</v>
      </c>
      <c r="I8" s="42">
        <v>3663.45</v>
      </c>
      <c r="J8" s="42">
        <v>3555.26</v>
      </c>
      <c r="K8" s="42">
        <v>3693.15</v>
      </c>
      <c r="L8" s="42">
        <v>3079.76</v>
      </c>
      <c r="M8" s="42">
        <v>2989.94</v>
      </c>
      <c r="N8" s="42">
        <v>2963.5</v>
      </c>
      <c r="O8" s="42">
        <v>3400.57</v>
      </c>
      <c r="P8" s="42">
        <v>3076.83</v>
      </c>
      <c r="Q8" s="42">
        <v>3278.21</v>
      </c>
      <c r="R8" s="42">
        <v>2994.5</v>
      </c>
      <c r="S8" s="42">
        <v>3261.4</v>
      </c>
      <c r="T8" s="42">
        <v>3815.5</v>
      </c>
      <c r="U8" s="42">
        <v>3227.46</v>
      </c>
      <c r="V8" s="42">
        <v>3111.72</v>
      </c>
      <c r="W8" s="42">
        <v>2974.45</v>
      </c>
      <c r="X8" s="42">
        <v>2842.27</v>
      </c>
      <c r="Y8" s="42">
        <v>3216.74</v>
      </c>
      <c r="Z8" s="42">
        <v>3052.98</v>
      </c>
      <c r="AA8" s="42">
        <v>3221.84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3281.7138095238106</v>
      </c>
      <c r="E9" s="45">
        <f t="shared" si="3"/>
        <v>3281.7138095238106</v>
      </c>
      <c r="F9" s="45">
        <f t="shared" si="3"/>
        <v>3281.7138095238106</v>
      </c>
      <c r="G9" s="45">
        <f t="shared" si="3"/>
        <v>3281.7138095238106</v>
      </c>
      <c r="H9" s="45">
        <f t="shared" si="3"/>
        <v>3281.7138095238106</v>
      </c>
      <c r="I9" s="45">
        <f t="shared" si="3"/>
        <v>3281.7138095238106</v>
      </c>
      <c r="J9" s="45">
        <f t="shared" si="3"/>
        <v>3281.7138095238106</v>
      </c>
      <c r="K9" s="45">
        <f t="shared" si="3"/>
        <v>3281.7138095238106</v>
      </c>
      <c r="L9" s="45">
        <f t="shared" si="3"/>
        <v>3281.7138095238106</v>
      </c>
      <c r="M9" s="45">
        <f t="shared" si="3"/>
        <v>3281.7138095238106</v>
      </c>
      <c r="N9" s="45">
        <f t="shared" si="3"/>
        <v>3281.7138095238106</v>
      </c>
      <c r="O9" s="45">
        <f t="shared" si="3"/>
        <v>3281.7138095238106</v>
      </c>
      <c r="P9" s="45">
        <f t="shared" si="3"/>
        <v>3281.7138095238106</v>
      </c>
      <c r="Q9" s="45">
        <f t="shared" si="3"/>
        <v>3281.7138095238106</v>
      </c>
      <c r="R9" s="45">
        <f t="shared" si="3"/>
        <v>3281.7138095238106</v>
      </c>
      <c r="S9" s="45">
        <f t="shared" si="3"/>
        <v>3281.7138095238106</v>
      </c>
      <c r="T9" s="45">
        <f t="shared" si="3"/>
        <v>3281.7138095238106</v>
      </c>
      <c r="U9" s="45">
        <f t="shared" si="3"/>
        <v>3281.7138095238106</v>
      </c>
      <c r="V9" s="45">
        <f t="shared" si="3"/>
        <v>3281.7138095238106</v>
      </c>
      <c r="W9" s="45">
        <f t="shared" si="3"/>
        <v>3281.7138095238106</v>
      </c>
      <c r="X9" s="45">
        <f>AVERAGE($D8:$X8)</f>
        <v>3281.7138095238106</v>
      </c>
      <c r="Y9" s="45">
        <f t="shared" ref="Y9:AA9" si="4">AVERAGE($D8:$X8)</f>
        <v>3281.7138095238106</v>
      </c>
      <c r="Z9" s="45">
        <f t="shared" si="4"/>
        <v>3281.7138095238106</v>
      </c>
      <c r="AA9" s="45">
        <f t="shared" si="4"/>
        <v>3281.7138095238106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1.1081557415049827</v>
      </c>
      <c r="E10" s="53">
        <f t="shared" si="5"/>
        <v>1.0433176683669489</v>
      </c>
      <c r="F10" s="53">
        <f t="shared" si="5"/>
        <v>0.9783363773777316</v>
      </c>
      <c r="G10" s="53">
        <f t="shared" si="5"/>
        <v>0.97993310405901413</v>
      </c>
      <c r="H10" s="53">
        <f t="shared" si="5"/>
        <v>1.0668267262793436</v>
      </c>
      <c r="I10" s="53">
        <f t="shared" si="5"/>
        <v>1.1163222062107787</v>
      </c>
      <c r="J10" s="53">
        <f t="shared" si="5"/>
        <v>1.0833546757436117</v>
      </c>
      <c r="K10" s="53">
        <f t="shared" si="5"/>
        <v>1.1253723555302619</v>
      </c>
      <c r="L10" s="53">
        <f t="shared" si="5"/>
        <v>0.93846087098219122</v>
      </c>
      <c r="M10" s="53">
        <f t="shared" si="5"/>
        <v>0.91109102546448195</v>
      </c>
      <c r="N10" s="53">
        <f t="shared" si="5"/>
        <v>0.90303425953831584</v>
      </c>
      <c r="O10" s="53">
        <f t="shared" si="5"/>
        <v>1.0362177195742233</v>
      </c>
      <c r="P10" s="53">
        <f t="shared" si="5"/>
        <v>0.93756804480353506</v>
      </c>
      <c r="Q10" s="53">
        <f t="shared" si="5"/>
        <v>0.99893232325328241</v>
      </c>
      <c r="R10" s="53">
        <f t="shared" si="5"/>
        <v>0.91248054333979645</v>
      </c>
      <c r="S10" s="53">
        <f t="shared" si="5"/>
        <v>0.9938099996822215</v>
      </c>
      <c r="T10" s="53">
        <f t="shared" ref="T10:Y10" si="6">IF(T8=0,0,T8/T9)</f>
        <v>1.1626547046628797</v>
      </c>
      <c r="U10" s="53">
        <f t="shared" si="6"/>
        <v>0.98346784251376174</v>
      </c>
      <c r="V10" s="53">
        <f t="shared" si="6"/>
        <v>0.94819968486268535</v>
      </c>
      <c r="W10" s="53">
        <f t="shared" si="6"/>
        <v>0.90637093075206454</v>
      </c>
      <c r="X10" s="53">
        <f t="shared" si="6"/>
        <v>0.86609319549788055</v>
      </c>
      <c r="Y10" s="53">
        <f t="shared" si="6"/>
        <v>0.9802012566314432</v>
      </c>
      <c r="Z10" s="53">
        <f t="shared" ref="Z10:AA10" si="7">IF(Z8=0,0,Z8/Z9)</f>
        <v>0.93030050065304115</v>
      </c>
      <c r="AA10" s="53">
        <f t="shared" si="7"/>
        <v>0.98175532267620302</v>
      </c>
    </row>
    <row r="11" spans="1:27" x14ac:dyDescent="0.25">
      <c r="A11" s="43" t="s">
        <v>251</v>
      </c>
      <c r="B11" s="44"/>
      <c r="C11" s="44"/>
      <c r="D11" s="45">
        <v>1.1499999999999999</v>
      </c>
      <c r="E11" s="45">
        <v>0.93</v>
      </c>
      <c r="F11" s="45">
        <v>7.66</v>
      </c>
      <c r="G11" s="45">
        <v>17.75</v>
      </c>
      <c r="H11" s="45">
        <v>7</v>
      </c>
      <c r="I11" s="45">
        <v>1.92</v>
      </c>
      <c r="J11" s="45">
        <v>6.77</v>
      </c>
      <c r="K11" s="45">
        <v>3.21</v>
      </c>
      <c r="L11" s="45">
        <v>3.41</v>
      </c>
      <c r="M11" s="45">
        <v>7.57</v>
      </c>
      <c r="N11" s="45">
        <v>6.5</v>
      </c>
      <c r="O11" s="45">
        <v>7.59</v>
      </c>
      <c r="P11" s="45">
        <v>25.72</v>
      </c>
      <c r="Q11" s="45">
        <v>0.51</v>
      </c>
      <c r="R11" s="45">
        <v>48.96</v>
      </c>
      <c r="S11" s="45">
        <v>15.84</v>
      </c>
      <c r="T11" s="45">
        <v>3.27</v>
      </c>
      <c r="U11" s="45">
        <v>7.77</v>
      </c>
      <c r="V11" s="45">
        <v>14</v>
      </c>
      <c r="W11" s="45">
        <v>5.47</v>
      </c>
      <c r="X11" s="45">
        <v>7.21</v>
      </c>
      <c r="Y11" s="45">
        <v>12.09</v>
      </c>
      <c r="Z11" s="45">
        <v>13.6</v>
      </c>
      <c r="AA11" s="45">
        <v>51.71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9.5338095238095253</v>
      </c>
      <c r="E12" s="45">
        <f t="shared" ref="E12" si="9">AVERAGE($D11:$X11)</f>
        <v>9.5338095238095253</v>
      </c>
      <c r="F12" s="45">
        <f t="shared" ref="F12" si="10">AVERAGE($D11:$X11)</f>
        <v>9.5338095238095253</v>
      </c>
      <c r="G12" s="45">
        <f t="shared" ref="G12" si="11">AVERAGE($D11:$X11)</f>
        <v>9.5338095238095253</v>
      </c>
      <c r="H12" s="45">
        <f t="shared" ref="H12" si="12">AVERAGE($D11:$X11)</f>
        <v>9.5338095238095253</v>
      </c>
      <c r="I12" s="45">
        <f t="shared" ref="I12" si="13">AVERAGE($D11:$X11)</f>
        <v>9.5338095238095253</v>
      </c>
      <c r="J12" s="45">
        <f t="shared" ref="J12" si="14">AVERAGE($D11:$X11)</f>
        <v>9.5338095238095253</v>
      </c>
      <c r="K12" s="45">
        <f t="shared" ref="K12" si="15">AVERAGE($D11:$X11)</f>
        <v>9.5338095238095253</v>
      </c>
      <c r="L12" s="45">
        <f t="shared" ref="L12" si="16">AVERAGE($D11:$X11)</f>
        <v>9.5338095238095253</v>
      </c>
      <c r="M12" s="45">
        <f t="shared" ref="M12" si="17">AVERAGE($D11:$X11)</f>
        <v>9.5338095238095253</v>
      </c>
      <c r="N12" s="45">
        <f t="shared" ref="N12" si="18">AVERAGE($D11:$X11)</f>
        <v>9.5338095238095253</v>
      </c>
      <c r="O12" s="45">
        <f t="shared" ref="O12" si="19">AVERAGE($D11:$X11)</f>
        <v>9.5338095238095253</v>
      </c>
      <c r="P12" s="45">
        <f t="shared" ref="P12" si="20">AVERAGE($D11:$X11)</f>
        <v>9.5338095238095253</v>
      </c>
      <c r="Q12" s="45">
        <f t="shared" ref="Q12" si="21">AVERAGE($D11:$X11)</f>
        <v>9.5338095238095253</v>
      </c>
      <c r="R12" s="45">
        <f t="shared" ref="R12" si="22">AVERAGE($D11:$X11)</f>
        <v>9.5338095238095253</v>
      </c>
      <c r="S12" s="45">
        <f t="shared" ref="S12" si="23">AVERAGE($D11:$X11)</f>
        <v>9.5338095238095253</v>
      </c>
      <c r="T12" s="45">
        <f t="shared" ref="T12" si="24">AVERAGE($D11:$X11)</f>
        <v>9.5338095238095253</v>
      </c>
      <c r="U12" s="45">
        <f t="shared" ref="U12" si="25">AVERAGE($D11:$X11)</f>
        <v>9.5338095238095253</v>
      </c>
      <c r="V12" s="45">
        <f t="shared" ref="V12" si="26">AVERAGE($D11:$X11)</f>
        <v>9.5338095238095253</v>
      </c>
      <c r="W12" s="45">
        <f t="shared" ref="W12" si="27">AVERAGE($D11:$X11)</f>
        <v>9.5338095238095253</v>
      </c>
      <c r="X12" s="45">
        <f>AVERAGE($D11:$X11)</f>
        <v>9.5338095238095253</v>
      </c>
      <c r="Y12" s="45">
        <f t="shared" ref="Y12:AA12" si="28">AVERAGE($D11:$X11)</f>
        <v>9.5338095238095253</v>
      </c>
      <c r="Z12" s="45">
        <f t="shared" si="28"/>
        <v>9.5338095238095253</v>
      </c>
      <c r="AA12" s="45">
        <f t="shared" si="28"/>
        <v>9.5338095238095253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0.12062334548723837</v>
      </c>
      <c r="E13" s="55">
        <f t="shared" si="29"/>
        <v>9.7547575046201485E-2</v>
      </c>
      <c r="F13" s="55">
        <f t="shared" ref="F13" si="30">IF(F11=0,0,F11/F12)</f>
        <v>0.80345637081064869</v>
      </c>
      <c r="G13" s="55">
        <f t="shared" ref="G13" si="31">IF(G11=0,0,G11/G12)</f>
        <v>1.8617951151291141</v>
      </c>
      <c r="H13" s="55">
        <f t="shared" ref="H13" si="32">IF(H11=0,0,H11/H12)</f>
        <v>0.73422905948753792</v>
      </c>
      <c r="I13" s="55">
        <f t="shared" ref="I13" si="33">IF(I11=0,0,I11/I12)</f>
        <v>0.20138854203086756</v>
      </c>
      <c r="J13" s="55">
        <f t="shared" ref="J13" si="34">IF(J11=0,0,J11/J12)</f>
        <v>0.71010439039009021</v>
      </c>
      <c r="K13" s="55">
        <f t="shared" ref="K13" si="35">IF(K11=0,0,K11/K12)</f>
        <v>0.33669646870785669</v>
      </c>
      <c r="L13" s="55">
        <f t="shared" ref="L13" si="36">IF(L11=0,0,L11/L12)</f>
        <v>0.35767444183607211</v>
      </c>
      <c r="M13" s="55">
        <f t="shared" ref="M13" si="37">IF(M11=0,0,M11/M12)</f>
        <v>0.79401628290295179</v>
      </c>
      <c r="N13" s="55">
        <f t="shared" ref="N13" si="38">IF(N11=0,0,N11/N12)</f>
        <v>0.6817841266669995</v>
      </c>
      <c r="O13" s="55">
        <f t="shared" ref="O13" si="39">IF(O11=0,0,O11/O12)</f>
        <v>0.79611408021577335</v>
      </c>
      <c r="P13" s="55">
        <f t="shared" ref="P13" si="40">IF(P11=0,0,P11/P12)</f>
        <v>2.6977673442884966</v>
      </c>
      <c r="Q13" s="55">
        <f t="shared" ref="Q13" si="41">IF(Q11=0,0,Q11/Q12)</f>
        <v>5.3493831476949194E-2</v>
      </c>
      <c r="R13" s="55">
        <f t="shared" ref="R13" si="42">IF(R11=0,0,R11/R12)</f>
        <v>5.1354078217871226</v>
      </c>
      <c r="S13" s="55">
        <f t="shared" ref="S13:Y13" si="43">IF(S11=0,0,S11/S12)</f>
        <v>1.6614554717546572</v>
      </c>
      <c r="T13" s="55">
        <f t="shared" si="43"/>
        <v>0.34298986064632131</v>
      </c>
      <c r="U13" s="55">
        <f t="shared" si="43"/>
        <v>0.81499425603116715</v>
      </c>
      <c r="V13" s="55">
        <f t="shared" si="43"/>
        <v>1.4684581189750758</v>
      </c>
      <c r="W13" s="55">
        <f t="shared" si="43"/>
        <v>0.57374756505669033</v>
      </c>
      <c r="X13" s="55">
        <f t="shared" si="43"/>
        <v>0.75625593127216406</v>
      </c>
      <c r="Y13" s="55">
        <f t="shared" si="43"/>
        <v>1.2681184756006192</v>
      </c>
      <c r="Z13" s="55">
        <f t="shared" ref="Z13:AA13" si="44">IF(Z11=0,0,Z11/Z12)</f>
        <v>1.4265021727186451</v>
      </c>
      <c r="AA13" s="55">
        <f t="shared" si="44"/>
        <v>5.4238549523000845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3295140.0075725191</v>
      </c>
      <c r="E16" s="42">
        <v>3349036.4900239618</v>
      </c>
      <c r="F16" s="42">
        <v>3341396.6773435837</v>
      </c>
      <c r="G16" s="42">
        <v>3323696.754636568</v>
      </c>
      <c r="H16" s="42">
        <v>3362311.3985763066</v>
      </c>
      <c r="I16" s="42">
        <v>3392115.6191857788</v>
      </c>
      <c r="J16" s="42">
        <v>3523280.0453946241</v>
      </c>
      <c r="K16" s="42">
        <v>3625055.031348139</v>
      </c>
      <c r="L16" s="42">
        <v>3657250.8218399137</v>
      </c>
      <c r="M16" s="42">
        <v>3454456.177522168</v>
      </c>
      <c r="N16" s="42">
        <v>3597285.1748661762</v>
      </c>
      <c r="O16" s="42">
        <v>3732492.9757269584</v>
      </c>
      <c r="P16" s="42">
        <v>3749758.2658531689</v>
      </c>
      <c r="Q16" s="42">
        <v>3764658.3939123764</v>
      </c>
      <c r="R16" s="42">
        <v>3846758.1883298573</v>
      </c>
      <c r="S16" s="42">
        <v>3910711.3446</v>
      </c>
      <c r="T16" s="42">
        <v>3997625.705848658</v>
      </c>
      <c r="U16" s="42">
        <v>4109480.7834626134</v>
      </c>
      <c r="V16" s="42">
        <v>4156123.7815270559</v>
      </c>
      <c r="W16" s="42">
        <v>4196766.1433856236</v>
      </c>
      <c r="X16" s="42">
        <v>4023378.6255073585</v>
      </c>
      <c r="Y16" s="42">
        <v>4180695.6012224304</v>
      </c>
      <c r="Z16" s="42">
        <v>4256330.4107397022</v>
      </c>
      <c r="AA16" s="42">
        <v>4219310</v>
      </c>
    </row>
    <row r="17" spans="1:27" x14ac:dyDescent="0.25">
      <c r="A17" s="46" t="s">
        <v>141</v>
      </c>
      <c r="B17" s="47"/>
      <c r="C17" s="47"/>
      <c r="D17" s="57">
        <v>1853218.3844329719</v>
      </c>
      <c r="E17" s="57">
        <v>1871497.4848261175</v>
      </c>
      <c r="F17" s="57">
        <v>1861025.5366769144</v>
      </c>
      <c r="G17" s="57">
        <v>1875000.5132036584</v>
      </c>
      <c r="H17" s="57">
        <v>1886923.1970079141</v>
      </c>
      <c r="I17" s="57">
        <v>1903980.2468773215</v>
      </c>
      <c r="J17" s="57">
        <v>1931127.3768417013</v>
      </c>
      <c r="K17" s="57">
        <v>1928247.7262164524</v>
      </c>
      <c r="L17" s="57">
        <v>1929468.3827638996</v>
      </c>
      <c r="M17" s="57">
        <v>1936470.7203873366</v>
      </c>
      <c r="N17" s="57">
        <v>1947365.1276406946</v>
      </c>
      <c r="O17" s="57">
        <v>1970393.5284155812</v>
      </c>
      <c r="P17" s="57">
        <v>1992587.6818702586</v>
      </c>
      <c r="Q17" s="57">
        <v>1994232.1155171189</v>
      </c>
      <c r="R17" s="57">
        <v>2013961.2627007903</v>
      </c>
      <c r="S17" s="57">
        <v>2060423.54406</v>
      </c>
      <c r="T17" s="57">
        <v>2106471.3953137412</v>
      </c>
      <c r="U17" s="57">
        <v>2138125.7985704243</v>
      </c>
      <c r="V17" s="57">
        <v>2168351.969605593</v>
      </c>
      <c r="W17" s="57">
        <v>2204522.1753969081</v>
      </c>
      <c r="X17" s="57">
        <v>2055696.8121551645</v>
      </c>
      <c r="Y17" s="57">
        <v>2096191.7444207417</v>
      </c>
      <c r="Z17" s="57">
        <v>2233093.1589651168</v>
      </c>
      <c r="AA17" s="57">
        <v>2218511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40104.681643181706</v>
      </c>
      <c r="E20" s="42">
        <f t="shared" ref="E20:S20" si="45">1000000*E16/E$3</f>
        <v>40713.046657250474</v>
      </c>
      <c r="F20" s="42">
        <f t="shared" si="45"/>
        <v>40531.103265801481</v>
      </c>
      <c r="G20" s="42">
        <f t="shared" si="45"/>
        <v>40269.329401625655</v>
      </c>
      <c r="H20" s="42">
        <f t="shared" si="45"/>
        <v>40739.650098400489</v>
      </c>
      <c r="I20" s="42">
        <f t="shared" si="45"/>
        <v>41116.129837473294</v>
      </c>
      <c r="J20" s="42">
        <f t="shared" si="45"/>
        <v>42738.546047785661</v>
      </c>
      <c r="K20" s="42">
        <f t="shared" si="45"/>
        <v>44038.864982098617</v>
      </c>
      <c r="L20" s="42">
        <f t="shared" si="45"/>
        <v>44482.449980287289</v>
      </c>
      <c r="M20" s="42">
        <f t="shared" si="45"/>
        <v>42126.30399938958</v>
      </c>
      <c r="N20" s="42">
        <f t="shared" si="45"/>
        <v>43975.378024914105</v>
      </c>
      <c r="O20" s="42">
        <f t="shared" si="45"/>
        <v>46527.011935269409</v>
      </c>
      <c r="P20" s="42">
        <f t="shared" si="45"/>
        <v>46680.646025268543</v>
      </c>
      <c r="Q20" s="42">
        <f t="shared" si="45"/>
        <v>46752.151767906777</v>
      </c>
      <c r="R20" s="42">
        <f t="shared" si="45"/>
        <v>47627.572359550992</v>
      </c>
      <c r="S20" s="42">
        <f t="shared" si="45"/>
        <v>48162.930663771243</v>
      </c>
      <c r="T20" s="42">
        <f t="shared" ref="T20:Y20" si="46">1000000*T16/T$3</f>
        <v>48647.306736730759</v>
      </c>
      <c r="U20" s="42">
        <f t="shared" si="46"/>
        <v>49798.818056427124</v>
      </c>
      <c r="V20" s="42">
        <f t="shared" si="46"/>
        <v>50199.36903986524</v>
      </c>
      <c r="W20" s="42">
        <f t="shared" si="46"/>
        <v>50551.745695127509</v>
      </c>
      <c r="X20" s="42">
        <f t="shared" si="46"/>
        <v>48377.272314007445</v>
      </c>
      <c r="Y20" s="42">
        <f t="shared" si="46"/>
        <v>50275.918978641595</v>
      </c>
      <c r="Z20" s="42">
        <f t="shared" ref="Z20:AA20" si="47">1000000*Z16/Z$3</f>
        <v>51135.000901036685</v>
      </c>
      <c r="AA20" s="42">
        <f t="shared" si="47"/>
        <v>50762.585335844786</v>
      </c>
    </row>
    <row r="21" spans="1:27" x14ac:dyDescent="0.25">
      <c r="A21" s="46" t="s">
        <v>141</v>
      </c>
      <c r="B21" s="47"/>
      <c r="C21" s="47"/>
      <c r="D21" s="57">
        <f>1000000*D17/D$3</f>
        <v>22555.258092880955</v>
      </c>
      <c r="E21" s="57">
        <f t="shared" ref="E21:S21" si="48">1000000*E17/E$3</f>
        <v>22751.129958009944</v>
      </c>
      <c r="F21" s="57">
        <f t="shared" si="48"/>
        <v>22574.218355694356</v>
      </c>
      <c r="G21" s="57">
        <f t="shared" si="48"/>
        <v>22717.178752569867</v>
      </c>
      <c r="H21" s="57">
        <f t="shared" si="48"/>
        <v>22863.019422058158</v>
      </c>
      <c r="I21" s="57">
        <f t="shared" si="48"/>
        <v>23078.310950197876</v>
      </c>
      <c r="J21" s="57">
        <f t="shared" si="48"/>
        <v>23425.210388021947</v>
      </c>
      <c r="K21" s="57">
        <f t="shared" si="48"/>
        <v>23425.255763718571</v>
      </c>
      <c r="L21" s="57">
        <f t="shared" si="48"/>
        <v>23467.758982322772</v>
      </c>
      <c r="M21" s="57">
        <f t="shared" si="48"/>
        <v>23614.818096047591</v>
      </c>
      <c r="N21" s="57">
        <f t="shared" si="48"/>
        <v>23805.762812151926</v>
      </c>
      <c r="O21" s="57">
        <f t="shared" si="48"/>
        <v>24561.740319394437</v>
      </c>
      <c r="P21" s="57">
        <f t="shared" si="48"/>
        <v>24805.673768021552</v>
      </c>
      <c r="Q21" s="57">
        <f t="shared" si="48"/>
        <v>24765.764318976402</v>
      </c>
      <c r="R21" s="57">
        <f t="shared" si="48"/>
        <v>24935.304241273374</v>
      </c>
      <c r="S21" s="57">
        <f t="shared" si="48"/>
        <v>25375.443888895301</v>
      </c>
      <c r="T21" s="57">
        <f t="shared" ref="T21:Y21" si="49">1000000*T17/T$3</f>
        <v>25633.75554396044</v>
      </c>
      <c r="U21" s="57">
        <f t="shared" si="49"/>
        <v>25909.876024543817</v>
      </c>
      <c r="V21" s="57">
        <f t="shared" si="49"/>
        <v>26190.245154478016</v>
      </c>
      <c r="W21" s="57">
        <f t="shared" si="49"/>
        <v>26554.361282573325</v>
      </c>
      <c r="X21" s="57">
        <f t="shared" si="49"/>
        <v>24717.78416432946</v>
      </c>
      <c r="Y21" s="57">
        <f t="shared" si="49"/>
        <v>25208.237183156623</v>
      </c>
      <c r="Z21" s="57">
        <f t="shared" ref="Z21:AA21" si="50">1000000*Z17/Z$3</f>
        <v>26828.09126087918</v>
      </c>
      <c r="AA21" s="57">
        <f t="shared" si="50"/>
        <v>26690.940925414427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2954132.6342910458</v>
      </c>
      <c r="E23" s="60">
        <v>3012070.100073236</v>
      </c>
      <c r="F23" s="60">
        <v>3013891.7358376109</v>
      </c>
      <c r="G23" s="60">
        <v>2997506.820631681</v>
      </c>
      <c r="H23" s="60">
        <v>3044881.9816710609</v>
      </c>
      <c r="I23" s="60">
        <v>3071837.5225469018</v>
      </c>
      <c r="J23" s="60">
        <v>3192820.5781051684</v>
      </c>
      <c r="K23" s="60">
        <v>3299993.1094992296</v>
      </c>
      <c r="L23" s="60">
        <v>3331306.2016012133</v>
      </c>
      <c r="M23" s="60">
        <v>3124326.9071138282</v>
      </c>
      <c r="N23" s="60">
        <v>3267895.1891751462</v>
      </c>
      <c r="O23" s="60">
        <v>3390362.129984342</v>
      </c>
      <c r="P23" s="60">
        <v>3407499.8493000045</v>
      </c>
      <c r="Q23" s="60">
        <v>3423172.9665974244</v>
      </c>
      <c r="R23" s="60">
        <v>3500054.1444186149</v>
      </c>
      <c r="S23" s="60">
        <v>3550347.2051600004</v>
      </c>
      <c r="T23" s="60">
        <v>3632344.5932188323</v>
      </c>
      <c r="U23" s="60">
        <v>3737676.7150589982</v>
      </c>
      <c r="V23" s="60">
        <v>3783225.7283181194</v>
      </c>
      <c r="W23" s="60">
        <v>3809096.5234745075</v>
      </c>
      <c r="X23" s="60">
        <v>3644373.3061901727</v>
      </c>
      <c r="Y23" s="60">
        <v>3792347.4865632202</v>
      </c>
      <c r="Z23" s="60">
        <v>3874690.2067327001</v>
      </c>
      <c r="AA23" s="60">
        <v>3853937</v>
      </c>
    </row>
    <row r="24" spans="1:27" x14ac:dyDescent="0.25">
      <c r="A24" s="61" t="s">
        <v>33</v>
      </c>
      <c r="B24" s="62"/>
      <c r="C24" s="62"/>
      <c r="D24" s="63">
        <v>32722.085835267098</v>
      </c>
      <c r="E24" s="63">
        <v>36228.450707552744</v>
      </c>
      <c r="F24" s="63">
        <v>30146.032664489037</v>
      </c>
      <c r="G24" s="63">
        <v>27633.095005823274</v>
      </c>
      <c r="H24" s="63">
        <v>32020.298604215888</v>
      </c>
      <c r="I24" s="63">
        <v>24757.429539511086</v>
      </c>
      <c r="J24" s="63">
        <v>25406.730825022671</v>
      </c>
      <c r="K24" s="63">
        <v>30305.817977351191</v>
      </c>
      <c r="L24" s="63">
        <v>31162.217657946971</v>
      </c>
      <c r="M24" s="63">
        <v>23491.327645757749</v>
      </c>
      <c r="N24" s="63">
        <v>28327.243039618967</v>
      </c>
      <c r="O24" s="63">
        <v>35125.268140966517</v>
      </c>
      <c r="P24" s="63">
        <v>34786.726769022549</v>
      </c>
      <c r="Q24" s="63">
        <v>35593.290901537184</v>
      </c>
      <c r="R24" s="63">
        <v>35927.577062686083</v>
      </c>
      <c r="S24" s="63">
        <v>28203.506560000005</v>
      </c>
      <c r="T24" s="63">
        <v>29727.155445378317</v>
      </c>
      <c r="U24" s="63">
        <v>35985.575957007677</v>
      </c>
      <c r="V24" s="63">
        <v>31426.260173015347</v>
      </c>
      <c r="W24" s="63">
        <v>35504.644075081051</v>
      </c>
      <c r="X24" s="63">
        <v>29558.469432035738</v>
      </c>
      <c r="Y24" s="63">
        <v>31960.122029177011</v>
      </c>
      <c r="Z24" s="63">
        <v>42804.3153526971</v>
      </c>
      <c r="AA24" s="63">
        <v>39204</v>
      </c>
    </row>
    <row r="25" spans="1:27" x14ac:dyDescent="0.25">
      <c r="A25" s="64" t="s">
        <v>56</v>
      </c>
      <c r="B25" s="65"/>
      <c r="C25" s="65"/>
      <c r="D25" s="66">
        <v>7758.288557690008</v>
      </c>
      <c r="E25" s="66">
        <v>6334.8381960358147</v>
      </c>
      <c r="F25" s="66">
        <v>6605.3507699486709</v>
      </c>
      <c r="G25" s="66">
        <v>5575.9850555228841</v>
      </c>
      <c r="H25" s="66">
        <v>5743.8746875748966</v>
      </c>
      <c r="I25" s="66">
        <v>5754.643547470153</v>
      </c>
      <c r="J25" s="66">
        <v>7173.6823662737997</v>
      </c>
      <c r="K25" s="66">
        <v>7167.8864185868679</v>
      </c>
      <c r="L25" s="66">
        <v>9089.0754859022636</v>
      </c>
      <c r="M25" s="66">
        <v>7172.1973930717104</v>
      </c>
      <c r="N25" s="66">
        <v>7298.8637454703312</v>
      </c>
      <c r="O25" s="66">
        <v>7512.5110055348441</v>
      </c>
      <c r="P25" s="66">
        <v>7931.7699393311268</v>
      </c>
      <c r="Q25" s="66">
        <v>6912.3240326661717</v>
      </c>
      <c r="R25" s="66">
        <v>6506.3489920236352</v>
      </c>
      <c r="S25" s="66">
        <v>6001.8633931557015</v>
      </c>
      <c r="T25" s="66">
        <v>5224.3882922563662</v>
      </c>
      <c r="U25" s="66">
        <v>5439.9291567886603</v>
      </c>
      <c r="V25" s="66">
        <v>5411.0079600011413</v>
      </c>
      <c r="W25" s="66">
        <v>5563.3010903121103</v>
      </c>
      <c r="X25" s="66">
        <v>5185.7255061647447</v>
      </c>
      <c r="Y25" s="66">
        <v>5472.8940928263974</v>
      </c>
      <c r="Z25" s="66">
        <v>6389.3045348581536</v>
      </c>
      <c r="AA25" s="66">
        <v>4713.8231282968991</v>
      </c>
    </row>
    <row r="26" spans="1:27" x14ac:dyDescent="0.25">
      <c r="A26" s="67" t="s">
        <v>146</v>
      </c>
      <c r="B26" s="44"/>
      <c r="C26" s="44"/>
      <c r="D26" s="45">
        <v>2070229.1222698023</v>
      </c>
      <c r="E26" s="45">
        <v>2129938.9309929362</v>
      </c>
      <c r="F26" s="45">
        <v>2163695.3914605696</v>
      </c>
      <c r="G26" s="45">
        <v>2160041.4470312842</v>
      </c>
      <c r="H26" s="45">
        <v>2186403.0300955256</v>
      </c>
      <c r="I26" s="45">
        <v>2219081.4532802729</v>
      </c>
      <c r="J26" s="45">
        <v>2285040.6868993649</v>
      </c>
      <c r="K26" s="45">
        <v>2345958.01297752</v>
      </c>
      <c r="L26" s="45">
        <v>2383050.6282195849</v>
      </c>
      <c r="M26" s="45">
        <v>2314130.4918979621</v>
      </c>
      <c r="N26" s="45">
        <v>2339567.3826232641</v>
      </c>
      <c r="O26" s="45">
        <v>2410368.3314106646</v>
      </c>
      <c r="P26" s="45">
        <v>2413833.3317185543</v>
      </c>
      <c r="Q26" s="45">
        <v>2448180.9908459182</v>
      </c>
      <c r="R26" s="45">
        <v>2500836.3391692713</v>
      </c>
      <c r="S26" s="45">
        <v>2550491.8337250724</v>
      </c>
      <c r="T26" s="45">
        <v>2595130.2144157672</v>
      </c>
      <c r="U26" s="45">
        <v>2668457.9401095673</v>
      </c>
      <c r="V26" s="45">
        <v>2713665.8158455295</v>
      </c>
      <c r="W26" s="45">
        <v>2744621.3657299783</v>
      </c>
      <c r="X26" s="45">
        <v>2646963.2483605738</v>
      </c>
      <c r="Y26" s="45">
        <v>2749795.5649405695</v>
      </c>
      <c r="Z26" s="45">
        <v>2802084.0749279689</v>
      </c>
      <c r="AA26" s="45">
        <v>2756245.8724753805</v>
      </c>
    </row>
    <row r="27" spans="1:27" x14ac:dyDescent="0.25">
      <c r="A27" s="68" t="s">
        <v>148</v>
      </c>
      <c r="B27" s="69"/>
      <c r="C27" s="69"/>
      <c r="D27" s="70">
        <v>736590.11602593237</v>
      </c>
      <c r="E27" s="70">
        <v>749600.68784993747</v>
      </c>
      <c r="F27" s="70">
        <v>762708.1650489968</v>
      </c>
      <c r="G27" s="70">
        <v>762604.42863896862</v>
      </c>
      <c r="H27" s="70">
        <v>766337.07659122813</v>
      </c>
      <c r="I27" s="70">
        <v>778425.13459920418</v>
      </c>
      <c r="J27" s="70">
        <v>793259.62923844066</v>
      </c>
      <c r="K27" s="70">
        <v>808036.72053349519</v>
      </c>
      <c r="L27" s="70">
        <v>824971.29336990719</v>
      </c>
      <c r="M27" s="70">
        <v>822737.3863302063</v>
      </c>
      <c r="N27" s="70">
        <v>842000.56895431911</v>
      </c>
      <c r="O27" s="70">
        <v>859249.05416014255</v>
      </c>
      <c r="P27" s="70">
        <v>873881.35410057951</v>
      </c>
      <c r="Q27" s="70">
        <v>888405.91587037803</v>
      </c>
      <c r="R27" s="70">
        <v>904374.13426322455</v>
      </c>
      <c r="S27" s="70">
        <v>923731.89280000015</v>
      </c>
      <c r="T27" s="70">
        <v>942258.62274940498</v>
      </c>
      <c r="U27" s="70">
        <v>972466.72257486673</v>
      </c>
      <c r="V27" s="70">
        <v>992052.19045070035</v>
      </c>
      <c r="W27" s="70">
        <v>1018285.7217067953</v>
      </c>
      <c r="X27" s="70">
        <v>960935.91944571072</v>
      </c>
      <c r="Y27" s="70">
        <v>993894.05817545508</v>
      </c>
      <c r="Z27" s="70">
        <v>1029281.9735644492</v>
      </c>
      <c r="AA27" s="70">
        <v>1008301</v>
      </c>
    </row>
    <row r="28" spans="1:27" x14ac:dyDescent="0.25">
      <c r="A28" s="68" t="s">
        <v>150</v>
      </c>
      <c r="B28" s="71"/>
      <c r="C28" s="71"/>
      <c r="D28" s="70">
        <v>988728.32453769073</v>
      </c>
      <c r="E28" s="70">
        <v>1022289.6545630656</v>
      </c>
      <c r="F28" s="70">
        <v>1042616.4852076529</v>
      </c>
      <c r="G28" s="70">
        <v>1035844.0525824195</v>
      </c>
      <c r="H28" s="70">
        <v>1057803.0293194554</v>
      </c>
      <c r="I28" s="70">
        <v>1071624.5898806141</v>
      </c>
      <c r="J28" s="70">
        <v>1113092.755621034</v>
      </c>
      <c r="K28" s="70">
        <v>1147961.0092327071</v>
      </c>
      <c r="L28" s="70">
        <v>1158138.0032113467</v>
      </c>
      <c r="M28" s="70">
        <v>1104703.567264843</v>
      </c>
      <c r="N28" s="70">
        <v>1123064.7753193332</v>
      </c>
      <c r="O28" s="70">
        <v>1160389.5572810539</v>
      </c>
      <c r="P28" s="70">
        <v>1161065.1246880686</v>
      </c>
      <c r="Q28" s="70">
        <v>1182426.9096800999</v>
      </c>
      <c r="R28" s="70">
        <v>1196903.9714507118</v>
      </c>
      <c r="S28" s="70">
        <v>1217163.3826400002</v>
      </c>
      <c r="T28" s="70">
        <v>1230749.0643252905</v>
      </c>
      <c r="U28" s="70">
        <v>1255078.7183690958</v>
      </c>
      <c r="V28" s="70">
        <v>1275535.6447545765</v>
      </c>
      <c r="W28" s="70">
        <v>1271707.1968308247</v>
      </c>
      <c r="X28" s="70">
        <v>1228642.030303583</v>
      </c>
      <c r="Y28" s="70">
        <v>1283041.004196204</v>
      </c>
      <c r="Z28" s="70">
        <v>1252001.4130973096</v>
      </c>
      <c r="AA28" s="70">
        <v>1261699</v>
      </c>
    </row>
    <row r="29" spans="1:27" x14ac:dyDescent="0.25">
      <c r="A29" s="68" t="s">
        <v>152</v>
      </c>
      <c r="B29" s="71"/>
      <c r="C29" s="71"/>
      <c r="D29" s="70">
        <v>344910.68170617928</v>
      </c>
      <c r="E29" s="70">
        <v>358048.58857993339</v>
      </c>
      <c r="F29" s="70">
        <v>358370.74120391975</v>
      </c>
      <c r="G29" s="70">
        <v>361592.96580989606</v>
      </c>
      <c r="H29" s="70">
        <v>362262.92418484157</v>
      </c>
      <c r="I29" s="70">
        <v>369031.72880045482</v>
      </c>
      <c r="J29" s="70">
        <v>378688.30203989131</v>
      </c>
      <c r="K29" s="70">
        <v>389960.28321131773</v>
      </c>
      <c r="L29" s="70">
        <v>399941.33163833129</v>
      </c>
      <c r="M29" s="70">
        <v>386689.53830291249</v>
      </c>
      <c r="N29" s="70">
        <v>374502.03834961203</v>
      </c>
      <c r="O29" s="70">
        <v>390729.71996946807</v>
      </c>
      <c r="P29" s="70">
        <v>378886.8529299064</v>
      </c>
      <c r="Q29" s="70">
        <v>377348.16529544047</v>
      </c>
      <c r="R29" s="70">
        <v>399558.23345533491</v>
      </c>
      <c r="S29" s="70">
        <v>409596.55828507221</v>
      </c>
      <c r="T29" s="70">
        <v>422122.52734107181</v>
      </c>
      <c r="U29" s="70">
        <v>440912.49916560488</v>
      </c>
      <c r="V29" s="70">
        <v>446077.98064025276</v>
      </c>
      <c r="W29" s="70">
        <v>454628.44719235838</v>
      </c>
      <c r="X29" s="70">
        <v>457385.29861127998</v>
      </c>
      <c r="Y29" s="70">
        <v>472860.50256891013</v>
      </c>
      <c r="Z29" s="70">
        <v>520800.68826620979</v>
      </c>
      <c r="AA29" s="70">
        <v>486245.87247538072</v>
      </c>
    </row>
    <row r="30" spans="1:27" x14ac:dyDescent="0.25">
      <c r="A30" s="64" t="s">
        <v>154</v>
      </c>
      <c r="B30" s="65"/>
      <c r="C30" s="65"/>
      <c r="D30" s="66">
        <v>51008.819262697063</v>
      </c>
      <c r="E30" s="66">
        <v>53409.738240922299</v>
      </c>
      <c r="F30" s="66">
        <v>51696.534857676168</v>
      </c>
      <c r="G30" s="66">
        <v>49184.648977756253</v>
      </c>
      <c r="H30" s="66">
        <v>55200.357585510326</v>
      </c>
      <c r="I30" s="66">
        <v>56149.193359863559</v>
      </c>
      <c r="J30" s="66">
        <v>61026.716092475071</v>
      </c>
      <c r="K30" s="66">
        <v>61803.625158845294</v>
      </c>
      <c r="L30" s="66">
        <v>68985.33003595467</v>
      </c>
      <c r="M30" s="66">
        <v>67567.229579296705</v>
      </c>
      <c r="N30" s="66">
        <v>78694.767313880657</v>
      </c>
      <c r="O30" s="66">
        <v>64875.004734226837</v>
      </c>
      <c r="P30" s="66">
        <v>76019.506259891612</v>
      </c>
      <c r="Q30" s="66">
        <v>60623.503692250648</v>
      </c>
      <c r="R30" s="66">
        <v>50833.328152584407</v>
      </c>
      <c r="S30" s="66">
        <v>47474.478001772106</v>
      </c>
      <c r="T30" s="66">
        <v>44954.696597662172</v>
      </c>
      <c r="U30" s="66">
        <v>51136.076214387569</v>
      </c>
      <c r="V30" s="66">
        <v>53140.624667441996</v>
      </c>
      <c r="W30" s="66">
        <v>55570.132406101919</v>
      </c>
      <c r="X30" s="66">
        <v>50606.513743800657</v>
      </c>
      <c r="Y30" s="66">
        <v>50973.241589785786</v>
      </c>
      <c r="Z30" s="66">
        <v>89997.965403991606</v>
      </c>
      <c r="AA30" s="66">
        <v>116664.77373781749</v>
      </c>
    </row>
    <row r="31" spans="1:27" x14ac:dyDescent="0.25">
      <c r="A31" s="64" t="s">
        <v>37</v>
      </c>
      <c r="B31" s="65"/>
      <c r="C31" s="65"/>
      <c r="D31" s="66">
        <v>149569.9320111959</v>
      </c>
      <c r="E31" s="66">
        <v>140109.74424153654</v>
      </c>
      <c r="F31" s="66">
        <v>132260.45328978068</v>
      </c>
      <c r="G31" s="66">
        <v>125105.77456440769</v>
      </c>
      <c r="H31" s="66">
        <v>120176.92822496891</v>
      </c>
      <c r="I31" s="66">
        <v>115677.86528709494</v>
      </c>
      <c r="J31" s="66">
        <v>119119.07606527653</v>
      </c>
      <c r="K31" s="66">
        <v>124049.53341655141</v>
      </c>
      <c r="L31" s="66">
        <v>126889.01897816731</v>
      </c>
      <c r="M31" s="66">
        <v>125608.35371926041</v>
      </c>
      <c r="N31" s="66">
        <v>131768.99922061054</v>
      </c>
      <c r="O31" s="66">
        <v>138295.28482872527</v>
      </c>
      <c r="P31" s="66">
        <v>142464.27885632112</v>
      </c>
      <c r="Q31" s="66">
        <v>144388.81316992108</v>
      </c>
      <c r="R31" s="66">
        <v>147028.80362168117</v>
      </c>
      <c r="S31" s="66">
        <v>146977.50936000003</v>
      </c>
      <c r="T31" s="66">
        <v>153789.82564122824</v>
      </c>
      <c r="U31" s="66">
        <v>159881.91163986138</v>
      </c>
      <c r="V31" s="66">
        <v>168933.40476987051</v>
      </c>
      <c r="W31" s="66">
        <v>172787.25987797929</v>
      </c>
      <c r="X31" s="66">
        <v>181880.27820220622</v>
      </c>
      <c r="Y31" s="66">
        <v>186682.52540042502</v>
      </c>
      <c r="Z31" s="66">
        <v>187637.80799089815</v>
      </c>
      <c r="AA31" s="66">
        <v>187208</v>
      </c>
    </row>
    <row r="32" spans="1:27" x14ac:dyDescent="0.25">
      <c r="A32" s="64" t="s">
        <v>58</v>
      </c>
      <c r="B32" s="65"/>
      <c r="C32" s="65"/>
      <c r="D32" s="66">
        <v>642844.38635439356</v>
      </c>
      <c r="E32" s="66">
        <v>646048.3976942522</v>
      </c>
      <c r="F32" s="66">
        <v>629487.97279514698</v>
      </c>
      <c r="G32" s="66">
        <v>629965.86999688658</v>
      </c>
      <c r="H32" s="66">
        <v>645337.49247326562</v>
      </c>
      <c r="I32" s="66">
        <v>650416.93753268896</v>
      </c>
      <c r="J32" s="66">
        <v>695053.68585675443</v>
      </c>
      <c r="K32" s="66">
        <v>730708.23355037498</v>
      </c>
      <c r="L32" s="66">
        <v>712129.93122365687</v>
      </c>
      <c r="M32" s="66">
        <v>586357.3068784799</v>
      </c>
      <c r="N32" s="66">
        <v>682237.9332323015</v>
      </c>
      <c r="O32" s="66">
        <v>734185.72986422433</v>
      </c>
      <c r="P32" s="66">
        <v>732464.23575688363</v>
      </c>
      <c r="Q32" s="66">
        <v>727474.04395513085</v>
      </c>
      <c r="R32" s="66">
        <v>758921.74742036802</v>
      </c>
      <c r="S32" s="66">
        <v>771198.01412000007</v>
      </c>
      <c r="T32" s="66">
        <v>803518.31282653997</v>
      </c>
      <c r="U32" s="66">
        <v>816775.28198138566</v>
      </c>
      <c r="V32" s="66">
        <v>810648.61490226071</v>
      </c>
      <c r="W32" s="66">
        <v>795049.8202950547</v>
      </c>
      <c r="X32" s="66">
        <v>730179.07094539155</v>
      </c>
      <c r="Y32" s="66">
        <v>767463.1385104371</v>
      </c>
      <c r="Z32" s="66">
        <v>745776.73852228629</v>
      </c>
      <c r="AA32" s="66">
        <v>749900.53065850481</v>
      </c>
    </row>
    <row r="33" spans="1:27" x14ac:dyDescent="0.25">
      <c r="A33" s="72" t="s">
        <v>158</v>
      </c>
      <c r="B33" s="65"/>
      <c r="C33" s="65"/>
      <c r="D33" s="66">
        <v>26359.672256644579</v>
      </c>
      <c r="E33" s="66">
        <v>26538.082685629237</v>
      </c>
      <c r="F33" s="66">
        <v>26183.724778348111</v>
      </c>
      <c r="G33" s="66">
        <v>25633.175032575731</v>
      </c>
      <c r="H33" s="66">
        <v>27848.152885723743</v>
      </c>
      <c r="I33" s="66">
        <v>29982.792495736212</v>
      </c>
      <c r="J33" s="66">
        <v>32274.994650951954</v>
      </c>
      <c r="K33" s="66">
        <v>37290.990722310315</v>
      </c>
      <c r="L33" s="66">
        <v>36316.859392074221</v>
      </c>
      <c r="M33" s="66">
        <v>24834.492073350117</v>
      </c>
      <c r="N33" s="66">
        <v>24474.715652738691</v>
      </c>
      <c r="O33" s="66">
        <v>28264.507668218186</v>
      </c>
      <c r="P33" s="66">
        <v>28798.277587446606</v>
      </c>
      <c r="Q33" s="66">
        <v>27396.762442874948</v>
      </c>
      <c r="R33" s="66">
        <v>27343.402626534527</v>
      </c>
      <c r="S33" s="66">
        <v>27493.003080000002</v>
      </c>
      <c r="T33" s="66">
        <v>26636.254654275021</v>
      </c>
      <c r="U33" s="66">
        <v>26473.533081506292</v>
      </c>
      <c r="V33" s="66">
        <v>28608.546384361711</v>
      </c>
      <c r="W33" s="66">
        <v>25300.221431174145</v>
      </c>
      <c r="X33" s="66">
        <v>21310.68779287082</v>
      </c>
      <c r="Y33" s="66">
        <v>20073.36506972841</v>
      </c>
      <c r="Z33" s="66">
        <v>23292.106277606748</v>
      </c>
      <c r="AA33" s="66">
        <v>24369.64208682871</v>
      </c>
    </row>
    <row r="34" spans="1:27" x14ac:dyDescent="0.25">
      <c r="A34" s="73" t="s">
        <v>5</v>
      </c>
      <c r="B34" s="65"/>
      <c r="C34" s="65"/>
      <c r="D34" s="66">
        <v>18838.338622372492</v>
      </c>
      <c r="E34" s="66">
        <v>18965.842334947236</v>
      </c>
      <c r="F34" s="66">
        <v>18712.595094773587</v>
      </c>
      <c r="G34" s="66">
        <v>18319.136388673523</v>
      </c>
      <c r="H34" s="66">
        <v>19902.103825916209</v>
      </c>
      <c r="I34" s="66">
        <v>21427.65632211644</v>
      </c>
      <c r="J34" s="66">
        <v>23065.813275300912</v>
      </c>
      <c r="K34" s="66">
        <v>26650.570763965046</v>
      </c>
      <c r="L34" s="66">
        <v>25954.393069379945</v>
      </c>
      <c r="M34" s="66">
        <v>16269.461763370235</v>
      </c>
      <c r="N34" s="66">
        <v>15977.142294977701</v>
      </c>
      <c r="O34" s="66">
        <v>18897.086121098542</v>
      </c>
      <c r="P34" s="66">
        <v>18614.237485369238</v>
      </c>
      <c r="Q34" s="66">
        <v>17701.449617001861</v>
      </c>
      <c r="R34" s="66">
        <v>17908.37190021473</v>
      </c>
      <c r="S34" s="66">
        <v>17409.022326749389</v>
      </c>
      <c r="T34" s="66">
        <v>16463.916154120649</v>
      </c>
      <c r="U34" s="66">
        <v>16710.011954280068</v>
      </c>
      <c r="V34" s="66">
        <v>18049.977010973322</v>
      </c>
      <c r="W34" s="66">
        <v>15118.653546612266</v>
      </c>
      <c r="X34" s="66">
        <v>12078.799930317133</v>
      </c>
      <c r="Y34" s="66">
        <v>11857.235708670718</v>
      </c>
      <c r="Z34" s="66">
        <v>14574.455560987337</v>
      </c>
      <c r="AA34" s="66">
        <v>13755.560651635175</v>
      </c>
    </row>
    <row r="35" spans="1:27" x14ac:dyDescent="0.25">
      <c r="A35" s="74" t="s">
        <v>264</v>
      </c>
      <c r="B35" s="44"/>
      <c r="C35" s="44"/>
      <c r="D35" s="45">
        <v>14042.83772979772</v>
      </c>
      <c r="E35" s="45">
        <v>14015.21224891917</v>
      </c>
      <c r="F35" s="45">
        <v>13835.220356377675</v>
      </c>
      <c r="G35" s="45">
        <v>13437.828813324002</v>
      </c>
      <c r="H35" s="45">
        <v>14456.185833525256</v>
      </c>
      <c r="I35" s="45">
        <v>15520.469949083066</v>
      </c>
      <c r="J35" s="45">
        <v>16619.588969682434</v>
      </c>
      <c r="K35" s="45">
        <v>19194.748720951033</v>
      </c>
      <c r="L35" s="45">
        <v>18432.383664348781</v>
      </c>
      <c r="M35" s="45">
        <v>11155.81543464077</v>
      </c>
      <c r="N35" s="45">
        <v>11720.138355802721</v>
      </c>
      <c r="O35" s="45">
        <v>13472.117840013076</v>
      </c>
      <c r="P35" s="45">
        <v>13220.882057314824</v>
      </c>
      <c r="Q35" s="45">
        <v>12713.637727959176</v>
      </c>
      <c r="R35" s="45">
        <v>13056.266330582466</v>
      </c>
      <c r="S35" s="45">
        <v>12836.800259228474</v>
      </c>
      <c r="T35" s="45">
        <v>12095.024713219869</v>
      </c>
      <c r="U35" s="45">
        <v>12261.23424075923</v>
      </c>
      <c r="V35" s="45">
        <v>13236.760676573964</v>
      </c>
      <c r="W35" s="45">
        <v>11095.770827002922</v>
      </c>
      <c r="X35" s="45">
        <v>8625.2270556839812</v>
      </c>
      <c r="Y35" s="45">
        <v>8490.5528457790679</v>
      </c>
      <c r="Z35" s="45">
        <v>10722.412639393151</v>
      </c>
      <c r="AA35" s="45">
        <v>10397.246000821886</v>
      </c>
    </row>
    <row r="36" spans="1:27" x14ac:dyDescent="0.25">
      <c r="A36" s="74" t="s">
        <v>15</v>
      </c>
      <c r="B36" s="44"/>
      <c r="C36" s="44"/>
      <c r="D36" s="45">
        <v>4795.5008925747716</v>
      </c>
      <c r="E36" s="45">
        <v>4950.6300860280662</v>
      </c>
      <c r="F36" s="45">
        <v>4877.3747383959126</v>
      </c>
      <c r="G36" s="45">
        <v>4881.3075753495214</v>
      </c>
      <c r="H36" s="45">
        <v>5445.9179923909523</v>
      </c>
      <c r="I36" s="45">
        <v>5907.1863730333735</v>
      </c>
      <c r="J36" s="45">
        <v>6446.224305618478</v>
      </c>
      <c r="K36" s="45">
        <v>7455.8220430140136</v>
      </c>
      <c r="L36" s="45">
        <v>7522.0094050311636</v>
      </c>
      <c r="M36" s="45">
        <v>5113.6463287294646</v>
      </c>
      <c r="N36" s="45">
        <v>4257.0039391749797</v>
      </c>
      <c r="O36" s="45">
        <v>5424.9682810854665</v>
      </c>
      <c r="P36" s="45">
        <v>5393.355428054414</v>
      </c>
      <c r="Q36" s="45">
        <v>4987.8118890426849</v>
      </c>
      <c r="R36" s="45">
        <v>4852.1055696322637</v>
      </c>
      <c r="S36" s="45">
        <v>4572.2220675209155</v>
      </c>
      <c r="T36" s="45">
        <v>4368.8914409007793</v>
      </c>
      <c r="U36" s="45">
        <v>4448.777713520838</v>
      </c>
      <c r="V36" s="45">
        <v>4813.2163343993579</v>
      </c>
      <c r="W36" s="45">
        <v>4022.8827196093443</v>
      </c>
      <c r="X36" s="45">
        <v>3453.5728746331515</v>
      </c>
      <c r="Y36" s="45">
        <v>3366.6828628916501</v>
      </c>
      <c r="Z36" s="45">
        <v>3852.0429215941858</v>
      </c>
      <c r="AA36" s="45">
        <v>3358.3146508132886</v>
      </c>
    </row>
    <row r="37" spans="1:27" x14ac:dyDescent="0.25">
      <c r="A37" s="73" t="s">
        <v>263</v>
      </c>
      <c r="B37" s="65"/>
      <c r="C37" s="65"/>
      <c r="D37" s="66">
        <v>7521.3336342720868</v>
      </c>
      <c r="E37" s="66">
        <v>7572.240350682001</v>
      </c>
      <c r="F37" s="66">
        <v>7471.1296835745234</v>
      </c>
      <c r="G37" s="66">
        <v>7314.0386439022077</v>
      </c>
      <c r="H37" s="66">
        <v>7946.0490598075303</v>
      </c>
      <c r="I37" s="66">
        <v>8555.1361736197723</v>
      </c>
      <c r="J37" s="66">
        <v>9209.1813756510419</v>
      </c>
      <c r="K37" s="66">
        <v>10640.419958345268</v>
      </c>
      <c r="L37" s="66">
        <v>10362.466322694276</v>
      </c>
      <c r="M37" s="66">
        <v>8565.0303099798839</v>
      </c>
      <c r="N37" s="66">
        <v>8497.5733577609899</v>
      </c>
      <c r="O37" s="66">
        <v>9367.4215471196439</v>
      </c>
      <c r="P37" s="66">
        <v>10184.040102077368</v>
      </c>
      <c r="Q37" s="66">
        <v>9695.3128258730867</v>
      </c>
      <c r="R37" s="66">
        <v>9435.0307263197974</v>
      </c>
      <c r="S37" s="66">
        <v>10083.980753250613</v>
      </c>
      <c r="T37" s="66">
        <v>10172.338500154372</v>
      </c>
      <c r="U37" s="66">
        <v>9763.5211272262241</v>
      </c>
      <c r="V37" s="66">
        <v>10558.569373388389</v>
      </c>
      <c r="W37" s="66">
        <v>10181.567884561879</v>
      </c>
      <c r="X37" s="66">
        <v>9231.8878625536854</v>
      </c>
      <c r="Y37" s="66">
        <v>8216.1293610576922</v>
      </c>
      <c r="Z37" s="66">
        <v>8717.6507166194096</v>
      </c>
      <c r="AA37" s="66">
        <v>10614.081435193535</v>
      </c>
    </row>
    <row r="38" spans="1:27" x14ac:dyDescent="0.25">
      <c r="A38" s="74" t="s">
        <v>14</v>
      </c>
      <c r="B38" s="44"/>
      <c r="C38" s="44"/>
      <c r="D38" s="45">
        <v>579.16145331147152</v>
      </c>
      <c r="E38" s="45">
        <v>583.08139747203052</v>
      </c>
      <c r="F38" s="45">
        <v>575.29562386395321</v>
      </c>
      <c r="G38" s="45">
        <v>563.19922191413684</v>
      </c>
      <c r="H38" s="45">
        <v>611.86560061535749</v>
      </c>
      <c r="I38" s="45">
        <v>658.76682786864478</v>
      </c>
      <c r="J38" s="45">
        <v>709.12994007174882</v>
      </c>
      <c r="K38" s="45">
        <v>819.33888145038259</v>
      </c>
      <c r="L38" s="45">
        <v>797.93575809426579</v>
      </c>
      <c r="M38" s="45">
        <v>730.69450038406308</v>
      </c>
      <c r="N38" s="45">
        <v>747.1687649382776</v>
      </c>
      <c r="O38" s="45">
        <v>829.86445611412114</v>
      </c>
      <c r="P38" s="45">
        <v>859.24994430872221</v>
      </c>
      <c r="Q38" s="45">
        <v>857.6359311846187</v>
      </c>
      <c r="R38" s="45">
        <v>833.51537873597385</v>
      </c>
      <c r="S38" s="45">
        <v>884.39069960237202</v>
      </c>
      <c r="T38" s="45">
        <v>895.46642705138663</v>
      </c>
      <c r="U38" s="45">
        <v>856.23150060305727</v>
      </c>
      <c r="V38" s="45">
        <v>928.90241153584668</v>
      </c>
      <c r="W38" s="45">
        <v>876.97900247136181</v>
      </c>
      <c r="X38" s="45">
        <v>763.47687260576208</v>
      </c>
      <c r="Y38" s="45">
        <v>682.94407949264985</v>
      </c>
      <c r="Z38" s="45">
        <v>630.7204435810562</v>
      </c>
      <c r="AA38" s="45">
        <v>629.88496631549651</v>
      </c>
    </row>
    <row r="39" spans="1:27" x14ac:dyDescent="0.25">
      <c r="A39" s="74" t="s">
        <v>19</v>
      </c>
      <c r="B39" s="44"/>
      <c r="C39" s="44"/>
      <c r="D39" s="45">
        <v>3281.9149020983396</v>
      </c>
      <c r="E39" s="45">
        <v>3304.1279190081736</v>
      </c>
      <c r="F39" s="45">
        <v>3260.0085352290694</v>
      </c>
      <c r="G39" s="45">
        <v>3191.4622575134431</v>
      </c>
      <c r="H39" s="45">
        <v>3467.238403487027</v>
      </c>
      <c r="I39" s="45">
        <v>3733.012024588988</v>
      </c>
      <c r="J39" s="45">
        <v>4018.4029937399109</v>
      </c>
      <c r="K39" s="45">
        <v>4642.9203282188355</v>
      </c>
      <c r="L39" s="45">
        <v>4521.6359625341729</v>
      </c>
      <c r="M39" s="45">
        <v>4140.6021688430246</v>
      </c>
      <c r="N39" s="45">
        <v>4233.95633465024</v>
      </c>
      <c r="O39" s="45">
        <v>4702.5652513133537</v>
      </c>
      <c r="P39" s="45">
        <v>4869.0830177494263</v>
      </c>
      <c r="Q39" s="45">
        <v>4859.9369433795055</v>
      </c>
      <c r="R39" s="45">
        <v>4723.2538128371853</v>
      </c>
      <c r="S39" s="45">
        <v>5011.5472977467743</v>
      </c>
      <c r="T39" s="45">
        <v>5074.3097532911906</v>
      </c>
      <c r="U39" s="45">
        <v>4851.9785034173246</v>
      </c>
      <c r="V39" s="45">
        <v>5263.7803320364646</v>
      </c>
      <c r="W39" s="45">
        <v>4969.5476806710503</v>
      </c>
      <c r="X39" s="45">
        <v>4326.3689447659854</v>
      </c>
      <c r="Y39" s="45">
        <v>3870.0164504583495</v>
      </c>
      <c r="Z39" s="45">
        <v>3574.082513625985</v>
      </c>
      <c r="AA39" s="45">
        <v>3569.3481424544802</v>
      </c>
    </row>
    <row r="40" spans="1:27" x14ac:dyDescent="0.25">
      <c r="A40" s="75" t="s">
        <v>267</v>
      </c>
      <c r="B40" s="76"/>
      <c r="C40" s="76"/>
      <c r="D40" s="45">
        <v>1908.5822199951028</v>
      </c>
      <c r="E40" s="45">
        <v>1863.4489955739648</v>
      </c>
      <c r="F40" s="45">
        <v>1786.8410298023957</v>
      </c>
      <c r="G40" s="45">
        <v>1743.3032727704269</v>
      </c>
      <c r="H40" s="45">
        <v>1871.360816756033</v>
      </c>
      <c r="I40" s="45">
        <v>1963.826365574271</v>
      </c>
      <c r="J40" s="45">
        <v>1774.321481886431</v>
      </c>
      <c r="K40" s="45">
        <v>2037.4088721072765</v>
      </c>
      <c r="L40" s="45">
        <v>2287.5400395127922</v>
      </c>
      <c r="M40" s="45">
        <v>1591.4989974386076</v>
      </c>
      <c r="N40" s="45">
        <v>1875.0166177755066</v>
      </c>
      <c r="O40" s="45">
        <v>2121.2865658417804</v>
      </c>
      <c r="P40" s="45">
        <v>2127.7969691754956</v>
      </c>
      <c r="Q40" s="45">
        <v>2421.5394687680282</v>
      </c>
      <c r="R40" s="45">
        <v>2443.0791987300677</v>
      </c>
      <c r="S40" s="45">
        <v>2570.6546199777117</v>
      </c>
      <c r="T40" s="45">
        <v>2424.9002336491289</v>
      </c>
      <c r="U40" s="45">
        <v>2263.3718456088832</v>
      </c>
      <c r="V40" s="45">
        <v>2401.2062400724303</v>
      </c>
      <c r="W40" s="45">
        <v>2335.6070579037914</v>
      </c>
      <c r="X40" s="45">
        <v>2332.0464428924415</v>
      </c>
      <c r="Y40" s="45">
        <v>2045.48466239868</v>
      </c>
      <c r="Z40" s="45">
        <v>1661.9960220811508</v>
      </c>
      <c r="AA40" s="45">
        <v>1147.8693940364415</v>
      </c>
    </row>
    <row r="41" spans="1:27" x14ac:dyDescent="0.25">
      <c r="A41" s="75" t="s">
        <v>268</v>
      </c>
      <c r="B41" s="76"/>
      <c r="C41" s="76"/>
      <c r="D41" s="45">
        <v>1373.3326821032367</v>
      </c>
      <c r="E41" s="45">
        <v>1440.6789234342089</v>
      </c>
      <c r="F41" s="45">
        <v>1473.1675054266736</v>
      </c>
      <c r="G41" s="45">
        <v>1448.1589847430162</v>
      </c>
      <c r="H41" s="45">
        <v>1595.8775867309939</v>
      </c>
      <c r="I41" s="45">
        <v>1769.185659014717</v>
      </c>
      <c r="J41" s="45">
        <v>2244.0815118534802</v>
      </c>
      <c r="K41" s="45">
        <v>2605.5114561115588</v>
      </c>
      <c r="L41" s="45">
        <v>2234.0959230213807</v>
      </c>
      <c r="M41" s="45">
        <v>2549.103171404417</v>
      </c>
      <c r="N41" s="45">
        <v>2358.9397168747337</v>
      </c>
      <c r="O41" s="45">
        <v>2581.2786854715732</v>
      </c>
      <c r="P41" s="45">
        <v>2741.2860485739307</v>
      </c>
      <c r="Q41" s="45">
        <v>2438.3974746114773</v>
      </c>
      <c r="R41" s="45">
        <v>2280.1746141071176</v>
      </c>
      <c r="S41" s="45">
        <v>2440.8926777690626</v>
      </c>
      <c r="T41" s="45">
        <v>2649.4095196420617</v>
      </c>
      <c r="U41" s="45">
        <v>2588.6066578084415</v>
      </c>
      <c r="V41" s="45">
        <v>2862.5740919640343</v>
      </c>
      <c r="W41" s="45">
        <v>2633.9406227672589</v>
      </c>
      <c r="X41" s="45">
        <v>1994.3225018735438</v>
      </c>
      <c r="Y41" s="45">
        <v>1824.5317880596695</v>
      </c>
      <c r="Z41" s="45">
        <v>1912.0864915448342</v>
      </c>
      <c r="AA41" s="45">
        <v>2421.4787484180388</v>
      </c>
    </row>
    <row r="42" spans="1:27" x14ac:dyDescent="0.25">
      <c r="A42" s="74" t="s">
        <v>13</v>
      </c>
      <c r="B42" s="44"/>
      <c r="C42" s="44"/>
      <c r="D42" s="45">
        <v>3660.2572788622756</v>
      </c>
      <c r="E42" s="45">
        <v>3685.031034201797</v>
      </c>
      <c r="F42" s="45">
        <v>3635.8255244815005</v>
      </c>
      <c r="G42" s="45">
        <v>3559.377164474628</v>
      </c>
      <c r="H42" s="45">
        <v>3866.9450557051455</v>
      </c>
      <c r="I42" s="45">
        <v>4163.3573211621388</v>
      </c>
      <c r="J42" s="45">
        <v>4481.648441839382</v>
      </c>
      <c r="K42" s="45">
        <v>5178.1607486760495</v>
      </c>
      <c r="L42" s="45">
        <v>5042.8946020658377</v>
      </c>
      <c r="M42" s="45">
        <v>3693.7336407527964</v>
      </c>
      <c r="N42" s="45">
        <v>3516.4482581724724</v>
      </c>
      <c r="O42" s="45">
        <v>3834.9918396921698</v>
      </c>
      <c r="P42" s="45">
        <v>4455.7071400192199</v>
      </c>
      <c r="Q42" s="45">
        <v>3977.7399513089622</v>
      </c>
      <c r="R42" s="45">
        <v>3878.2615347466381</v>
      </c>
      <c r="S42" s="45">
        <v>4188.0427559014661</v>
      </c>
      <c r="T42" s="45">
        <v>4202.5623198117955</v>
      </c>
      <c r="U42" s="45">
        <v>4055.3111232058427</v>
      </c>
      <c r="V42" s="45">
        <v>4365.8866298160783</v>
      </c>
      <c r="W42" s="45">
        <v>4335.0412014194662</v>
      </c>
      <c r="X42" s="45">
        <v>4142.0420451819391</v>
      </c>
      <c r="Y42" s="45">
        <v>3663.1688311066928</v>
      </c>
      <c r="Z42" s="45">
        <v>4512.8477594123697</v>
      </c>
      <c r="AA42" s="45">
        <v>6414.8483264235583</v>
      </c>
    </row>
    <row r="43" spans="1:27" x14ac:dyDescent="0.25">
      <c r="A43" s="72" t="s">
        <v>265</v>
      </c>
      <c r="B43" s="65"/>
      <c r="C43" s="65"/>
      <c r="D43" s="66">
        <v>70469.321595177142</v>
      </c>
      <c r="E43" s="66">
        <v>71887.238158236665</v>
      </c>
      <c r="F43" s="66">
        <v>72012.012459169389</v>
      </c>
      <c r="G43" s="66">
        <v>72046.18770540008</v>
      </c>
      <c r="H43" s="66">
        <v>73784.433822941995</v>
      </c>
      <c r="I43" s="66">
        <v>76335.163388288798</v>
      </c>
      <c r="J43" s="66">
        <v>79139.935267452413</v>
      </c>
      <c r="K43" s="66">
        <v>83592.955793214351</v>
      </c>
      <c r="L43" s="66">
        <v>85257.91806605563</v>
      </c>
      <c r="M43" s="66">
        <v>77015.587095087118</v>
      </c>
      <c r="N43" s="66">
        <v>84565.767828534328</v>
      </c>
      <c r="O43" s="66">
        <v>86154.334999249273</v>
      </c>
      <c r="P43" s="66">
        <v>84585.481199509377</v>
      </c>
      <c r="Q43" s="66">
        <v>82416.629372663068</v>
      </c>
      <c r="R43" s="66">
        <v>86517.539377625537</v>
      </c>
      <c r="S43" s="66">
        <v>88861.935240000006</v>
      </c>
      <c r="T43" s="66">
        <v>91967.989175415554</v>
      </c>
      <c r="U43" s="66">
        <v>92190.363020366844</v>
      </c>
      <c r="V43" s="66">
        <v>86477.682282655471</v>
      </c>
      <c r="W43" s="66">
        <v>88030.313311096776</v>
      </c>
      <c r="X43" s="66">
        <v>87733.77872185249</v>
      </c>
      <c r="Y43" s="66">
        <v>91119.907004981884</v>
      </c>
      <c r="Z43" s="66">
        <v>82023.98504216304</v>
      </c>
      <c r="AA43" s="66">
        <v>78708.411140964468</v>
      </c>
    </row>
    <row r="44" spans="1:27" x14ac:dyDescent="0.25">
      <c r="A44" s="73" t="s">
        <v>266</v>
      </c>
      <c r="B44" s="65"/>
      <c r="C44" s="65"/>
      <c r="D44" s="66">
        <v>51787.73292504964</v>
      </c>
      <c r="E44" s="66">
        <v>52022.136029672329</v>
      </c>
      <c r="F44" s="66">
        <v>52338.867988800746</v>
      </c>
      <c r="G44" s="66">
        <v>50573.440988918483</v>
      </c>
      <c r="H44" s="66">
        <v>50895.762796589865</v>
      </c>
      <c r="I44" s="66">
        <v>50656.990881182486</v>
      </c>
      <c r="J44" s="66">
        <v>52116.970444242979</v>
      </c>
      <c r="K44" s="66">
        <v>54753.197530447695</v>
      </c>
      <c r="L44" s="66">
        <v>54386.143261747064</v>
      </c>
      <c r="M44" s="66">
        <v>48561.856982534133</v>
      </c>
      <c r="N44" s="66">
        <v>56909.925395107173</v>
      </c>
      <c r="O44" s="66">
        <v>56883.047725274024</v>
      </c>
      <c r="P44" s="66">
        <v>55076.825191388576</v>
      </c>
      <c r="Q44" s="66">
        <v>53183.683838803488</v>
      </c>
      <c r="R44" s="66">
        <v>56161.984257106742</v>
      </c>
      <c r="S44" s="66">
        <v>60552.691320000005</v>
      </c>
      <c r="T44" s="66">
        <v>60678.190437625308</v>
      </c>
      <c r="U44" s="66">
        <v>63686.874372054997</v>
      </c>
      <c r="V44" s="66">
        <v>57387.190976437421</v>
      </c>
      <c r="W44" s="66">
        <v>56814.659154824301</v>
      </c>
      <c r="X44" s="66">
        <v>58596.162457835722</v>
      </c>
      <c r="Y44" s="66">
        <v>57912.970662285959</v>
      </c>
      <c r="Z44" s="66">
        <v>51731.949270512654</v>
      </c>
      <c r="AA44" s="66">
        <v>49546.65390982393</v>
      </c>
    </row>
    <row r="45" spans="1:27" x14ac:dyDescent="0.25">
      <c r="A45" s="74" t="s">
        <v>20</v>
      </c>
      <c r="B45" s="44"/>
      <c r="C45" s="44"/>
      <c r="D45" s="45">
        <v>28593.402070083295</v>
      </c>
      <c r="E45" s="45">
        <v>28658.039145565024</v>
      </c>
      <c r="F45" s="45">
        <v>28745.147667843725</v>
      </c>
      <c r="G45" s="45">
        <v>28256.192023206564</v>
      </c>
      <c r="H45" s="45">
        <v>28346.092189504936</v>
      </c>
      <c r="I45" s="45">
        <v>28279.522723240563</v>
      </c>
      <c r="J45" s="45">
        <v>28684.148520366893</v>
      </c>
      <c r="K45" s="45">
        <v>29400.66304076252</v>
      </c>
      <c r="L45" s="45">
        <v>32557.721443503226</v>
      </c>
      <c r="M45" s="45">
        <v>28702.172590593549</v>
      </c>
      <c r="N45" s="45">
        <v>33828.453548042431</v>
      </c>
      <c r="O45" s="45">
        <v>33386.742357680763</v>
      </c>
      <c r="P45" s="45">
        <v>32387.714193565971</v>
      </c>
      <c r="Q45" s="45">
        <v>31901.518571587108</v>
      </c>
      <c r="R45" s="45">
        <v>32475.645481028492</v>
      </c>
      <c r="S45" s="45">
        <v>36367.89651004663</v>
      </c>
      <c r="T45" s="45">
        <v>33346.527892717691</v>
      </c>
      <c r="U45" s="45">
        <v>37906.534069184112</v>
      </c>
      <c r="V45" s="45">
        <v>32517.256190466527</v>
      </c>
      <c r="W45" s="45">
        <v>31185.16666093373</v>
      </c>
      <c r="X45" s="45">
        <v>32026.748273842291</v>
      </c>
      <c r="Y45" s="45">
        <v>31622.442233852093</v>
      </c>
      <c r="Z45" s="45">
        <v>30108.795439303594</v>
      </c>
      <c r="AA45" s="45">
        <v>26603.887448039171</v>
      </c>
    </row>
    <row r="46" spans="1:27" x14ac:dyDescent="0.25">
      <c r="A46" s="74" t="s">
        <v>12</v>
      </c>
      <c r="B46" s="44"/>
      <c r="C46" s="44"/>
      <c r="D46" s="45">
        <v>23194.330854966345</v>
      </c>
      <c r="E46" s="45">
        <v>23364.096884107305</v>
      </c>
      <c r="F46" s="45">
        <v>23593.720320957022</v>
      </c>
      <c r="G46" s="45">
        <v>22317.248965711919</v>
      </c>
      <c r="H46" s="45">
        <v>22549.670607084929</v>
      </c>
      <c r="I46" s="45">
        <v>22377.468157941923</v>
      </c>
      <c r="J46" s="45">
        <v>23432.821923876087</v>
      </c>
      <c r="K46" s="45">
        <v>25352.534489685175</v>
      </c>
      <c r="L46" s="45">
        <v>21828.421818243838</v>
      </c>
      <c r="M46" s="45">
        <v>19859.684391940584</v>
      </c>
      <c r="N46" s="45">
        <v>23081.471847064742</v>
      </c>
      <c r="O46" s="45">
        <v>23496.305367593261</v>
      </c>
      <c r="P46" s="45">
        <v>22689.110997822605</v>
      </c>
      <c r="Q46" s="45">
        <v>21282.16526721638</v>
      </c>
      <c r="R46" s="45">
        <v>23686.33877607825</v>
      </c>
      <c r="S46" s="45">
        <v>24184.794809953375</v>
      </c>
      <c r="T46" s="45">
        <v>27331.662544907616</v>
      </c>
      <c r="U46" s="45">
        <v>25780.340302870885</v>
      </c>
      <c r="V46" s="45">
        <v>24869.934785970894</v>
      </c>
      <c r="W46" s="45">
        <v>25629.492493890571</v>
      </c>
      <c r="X46" s="45">
        <v>26569.414183993431</v>
      </c>
      <c r="Y46" s="45">
        <v>26290.528428433867</v>
      </c>
      <c r="Z46" s="45">
        <v>21623.15383120906</v>
      </c>
      <c r="AA46" s="45">
        <v>22942.766461784759</v>
      </c>
    </row>
    <row r="47" spans="1:27" x14ac:dyDescent="0.25">
      <c r="A47" s="73" t="s">
        <v>11</v>
      </c>
      <c r="B47" s="65"/>
      <c r="C47" s="65"/>
      <c r="D47" s="66">
        <v>18681.588670127509</v>
      </c>
      <c r="E47" s="66">
        <v>19865.10212856434</v>
      </c>
      <c r="F47" s="66">
        <v>19673.144470368643</v>
      </c>
      <c r="G47" s="66">
        <v>21472.74671648159</v>
      </c>
      <c r="H47" s="66">
        <v>22888.671026352131</v>
      </c>
      <c r="I47" s="66">
        <v>25678.172507106308</v>
      </c>
      <c r="J47" s="66">
        <v>27022.964823209433</v>
      </c>
      <c r="K47" s="66">
        <v>28839.758262766663</v>
      </c>
      <c r="L47" s="66">
        <v>30871.774804308559</v>
      </c>
      <c r="M47" s="66">
        <v>28453.730112552985</v>
      </c>
      <c r="N47" s="66">
        <v>27655.842433427151</v>
      </c>
      <c r="O47" s="66">
        <v>29271.287273975249</v>
      </c>
      <c r="P47" s="66">
        <v>29508.656008120801</v>
      </c>
      <c r="Q47" s="66">
        <v>29232.945533859576</v>
      </c>
      <c r="R47" s="66">
        <v>30355.555120518788</v>
      </c>
      <c r="S47" s="66">
        <v>28309.243920000004</v>
      </c>
      <c r="T47" s="66">
        <v>31289.798737790243</v>
      </c>
      <c r="U47" s="66">
        <v>28503.488648311853</v>
      </c>
      <c r="V47" s="66">
        <v>29090.491306218042</v>
      </c>
      <c r="W47" s="66">
        <v>31215.654156272481</v>
      </c>
      <c r="X47" s="66">
        <v>29137.616264016775</v>
      </c>
      <c r="Y47" s="66">
        <v>33206.936342695932</v>
      </c>
      <c r="Z47" s="66">
        <v>30292.035771650382</v>
      </c>
      <c r="AA47" s="66">
        <v>29161.757231140538</v>
      </c>
    </row>
    <row r="48" spans="1:27" x14ac:dyDescent="0.25">
      <c r="A48" s="72" t="s">
        <v>4</v>
      </c>
      <c r="B48" s="65"/>
      <c r="C48" s="65"/>
      <c r="D48" s="66">
        <v>25466.620750699745</v>
      </c>
      <c r="E48" s="66">
        <v>23225.201445817289</v>
      </c>
      <c r="F48" s="66">
        <v>21597.135277648158</v>
      </c>
      <c r="G48" s="66">
        <v>20425.948455391426</v>
      </c>
      <c r="H48" s="66">
        <v>20731.222834708577</v>
      </c>
      <c r="I48" s="66">
        <v>19998.302671972713</v>
      </c>
      <c r="J48" s="66">
        <v>21456.748458748869</v>
      </c>
      <c r="K48" s="66">
        <v>22637.644119069308</v>
      </c>
      <c r="L48" s="66">
        <v>21558.911621061085</v>
      </c>
      <c r="M48" s="66">
        <v>18579.504592553854</v>
      </c>
      <c r="N48" s="66">
        <v>19802.828274518295</v>
      </c>
      <c r="O48" s="66">
        <v>21041.417172518824</v>
      </c>
      <c r="P48" s="66">
        <v>21011.38476504674</v>
      </c>
      <c r="Q48" s="66">
        <v>21207.847735770669</v>
      </c>
      <c r="R48" s="66">
        <v>22267.051347934259</v>
      </c>
      <c r="S48" s="66">
        <v>21432.447080000002</v>
      </c>
      <c r="T48" s="66">
        <v>22894.570878312312</v>
      </c>
      <c r="U48" s="66">
        <v>22389.769656139262</v>
      </c>
      <c r="V48" s="66">
        <v>22893.000086029733</v>
      </c>
      <c r="W48" s="66">
        <v>23093.078304416478</v>
      </c>
      <c r="X48" s="66">
        <v>22647.308049958978</v>
      </c>
      <c r="Y48" s="66">
        <v>22059.288145277933</v>
      </c>
      <c r="Z48" s="66">
        <v>21219.850990496587</v>
      </c>
      <c r="AA48" s="66">
        <v>20982.615901714213</v>
      </c>
    </row>
    <row r="49" spans="1:27" x14ac:dyDescent="0.25">
      <c r="A49" s="77" t="s">
        <v>10</v>
      </c>
      <c r="B49" s="44"/>
      <c r="C49" s="44"/>
      <c r="D49" s="45">
        <v>9499.4481590790783</v>
      </c>
      <c r="E49" s="45">
        <v>8826.9761351691341</v>
      </c>
      <c r="F49" s="45">
        <v>7883.1265317325251</v>
      </c>
      <c r="G49" s="45">
        <v>7514.3855070610234</v>
      </c>
      <c r="H49" s="45">
        <v>7495.490838928501</v>
      </c>
      <c r="I49" s="45">
        <v>7315.701063229837</v>
      </c>
      <c r="J49" s="45">
        <v>8354.8085111544042</v>
      </c>
      <c r="K49" s="45">
        <v>7927.702233287695</v>
      </c>
      <c r="L49" s="45">
        <v>7656.2262480862755</v>
      </c>
      <c r="M49" s="45">
        <v>7728.4810090847732</v>
      </c>
      <c r="N49" s="45">
        <v>7273.781859467631</v>
      </c>
      <c r="O49" s="45">
        <v>8007.7674396726161</v>
      </c>
      <c r="P49" s="45">
        <v>7878.1489605537645</v>
      </c>
      <c r="Q49" s="45">
        <v>8131.4607755352972</v>
      </c>
      <c r="R49" s="45">
        <v>8428.3549842258253</v>
      </c>
      <c r="S49" s="45">
        <v>8400.1066843425106</v>
      </c>
      <c r="T49" s="45">
        <v>8627.3126156325707</v>
      </c>
      <c r="U49" s="45">
        <v>8629.8121379065215</v>
      </c>
      <c r="V49" s="45">
        <v>8603.0683909415657</v>
      </c>
      <c r="W49" s="45">
        <v>9083.1388088778604</v>
      </c>
      <c r="X49" s="45">
        <v>9745.9165449435241</v>
      </c>
      <c r="Y49" s="45">
        <v>8986.8522735880979</v>
      </c>
      <c r="Z49" s="45">
        <v>8431.5880352306376</v>
      </c>
      <c r="AA49" s="45">
        <v>8735.2786068846144</v>
      </c>
    </row>
    <row r="50" spans="1:27" x14ac:dyDescent="0.25">
      <c r="A50" s="77" t="s">
        <v>18</v>
      </c>
      <c r="B50" s="44"/>
      <c r="C50" s="44"/>
      <c r="D50" s="45">
        <v>6557.9780690550097</v>
      </c>
      <c r="E50" s="45">
        <v>6529.2837339021316</v>
      </c>
      <c r="F50" s="45">
        <v>5866.5821740254678</v>
      </c>
      <c r="G50" s="45">
        <v>5386.0289087832352</v>
      </c>
      <c r="H50" s="45">
        <v>5433.8897333060349</v>
      </c>
      <c r="I50" s="45">
        <v>5340.0936180422195</v>
      </c>
      <c r="J50" s="45">
        <v>5896.181259433135</v>
      </c>
      <c r="K50" s="45">
        <v>5829.5011656382767</v>
      </c>
      <c r="L50" s="45">
        <v>5773.1673163568848</v>
      </c>
      <c r="M50" s="45">
        <v>4754.063122952336</v>
      </c>
      <c r="N50" s="45">
        <v>5114.6774697437868</v>
      </c>
      <c r="O50" s="45">
        <v>5280.387548919809</v>
      </c>
      <c r="P50" s="45">
        <v>4960.0537967548598</v>
      </c>
      <c r="Q50" s="45">
        <v>4909.739696148039</v>
      </c>
      <c r="R50" s="45">
        <v>5174.273243118545</v>
      </c>
      <c r="S50" s="45">
        <v>5072.3455162690643</v>
      </c>
      <c r="T50" s="45">
        <v>5493.2383901434723</v>
      </c>
      <c r="U50" s="45">
        <v>5662.5977501547686</v>
      </c>
      <c r="V50" s="45">
        <v>5892.1202871851747</v>
      </c>
      <c r="W50" s="45">
        <v>6009.617664727698</v>
      </c>
      <c r="X50" s="45">
        <v>5707.1966089212001</v>
      </c>
      <c r="Y50" s="45">
        <v>5515.9388448986201</v>
      </c>
      <c r="Z50" s="45">
        <v>5347.813393121467</v>
      </c>
      <c r="AA50" s="45">
        <v>5420.4681455467016</v>
      </c>
    </row>
    <row r="51" spans="1:27" x14ac:dyDescent="0.25">
      <c r="A51" s="77" t="s">
        <v>9</v>
      </c>
      <c r="B51" s="44"/>
      <c r="C51" s="44"/>
      <c r="D51" s="45">
        <v>9409.1945225656564</v>
      </c>
      <c r="E51" s="45">
        <v>7868.9415767460232</v>
      </c>
      <c r="F51" s="45">
        <v>7847.4265718901652</v>
      </c>
      <c r="G51" s="45">
        <v>7525.5340395471685</v>
      </c>
      <c r="H51" s="45">
        <v>7801.8422624740406</v>
      </c>
      <c r="I51" s="45">
        <v>7342.5079907006566</v>
      </c>
      <c r="J51" s="45">
        <v>7205.7586881613297</v>
      </c>
      <c r="K51" s="45">
        <v>8880.4407201433351</v>
      </c>
      <c r="L51" s="45">
        <v>8129.5180566179242</v>
      </c>
      <c r="M51" s="45">
        <v>6096.9604605167451</v>
      </c>
      <c r="N51" s="45">
        <v>7414.3689453068764</v>
      </c>
      <c r="O51" s="45">
        <v>7753.2621839263993</v>
      </c>
      <c r="P51" s="45">
        <v>8173.1820077381153</v>
      </c>
      <c r="Q51" s="45">
        <v>8166.6472640873326</v>
      </c>
      <c r="R51" s="45">
        <v>8664.4231205898886</v>
      </c>
      <c r="S51" s="45">
        <v>7959.9948793884269</v>
      </c>
      <c r="T51" s="45">
        <v>8774.0198725362679</v>
      </c>
      <c r="U51" s="45">
        <v>8097.3597680779721</v>
      </c>
      <c r="V51" s="45">
        <v>8397.8114079029929</v>
      </c>
      <c r="W51" s="45">
        <v>8000.3218308109199</v>
      </c>
      <c r="X51" s="45">
        <v>7194.1948960942536</v>
      </c>
      <c r="Y51" s="45">
        <v>7556.4970267912149</v>
      </c>
      <c r="Z51" s="45">
        <v>7440.4495621444821</v>
      </c>
      <c r="AA51" s="45">
        <v>6826.8691492828966</v>
      </c>
    </row>
    <row r="52" spans="1:27" x14ac:dyDescent="0.25">
      <c r="A52" s="72" t="s">
        <v>3</v>
      </c>
      <c r="B52" s="65"/>
      <c r="C52" s="65"/>
      <c r="D52" s="66">
        <v>32729.797851726034</v>
      </c>
      <c r="E52" s="66">
        <v>32125.047461551185</v>
      </c>
      <c r="F52" s="66">
        <v>30403.266775548298</v>
      </c>
      <c r="G52" s="66">
        <v>27633.09500582327</v>
      </c>
      <c r="H52" s="66">
        <v>28507.454925189169</v>
      </c>
      <c r="I52" s="66">
        <v>28672.053303013075</v>
      </c>
      <c r="J52" s="66">
        <v>29027.913327289214</v>
      </c>
      <c r="K52" s="66">
        <v>28726.649798139966</v>
      </c>
      <c r="L52" s="66">
        <v>27221.109431101002</v>
      </c>
      <c r="M52" s="66">
        <v>24611.099663321678</v>
      </c>
      <c r="N52" s="66">
        <v>24989.781814245507</v>
      </c>
      <c r="O52" s="66">
        <v>24733.864352973986</v>
      </c>
      <c r="P52" s="66">
        <v>25269.564818339466</v>
      </c>
      <c r="Q52" s="66">
        <v>24257.438471125883</v>
      </c>
      <c r="R52" s="66">
        <v>23978.890085240022</v>
      </c>
      <c r="S52" s="66">
        <v>23829.590400000005</v>
      </c>
      <c r="T52" s="66">
        <v>23956.709839902818</v>
      </c>
      <c r="U52" s="66">
        <v>23174.384516531019</v>
      </c>
      <c r="V52" s="66">
        <v>22662.504688620182</v>
      </c>
      <c r="W52" s="66">
        <v>22367.805290056152</v>
      </c>
      <c r="X52" s="66">
        <v>21459.984866441791</v>
      </c>
      <c r="Y52" s="66">
        <v>19252.516865167941</v>
      </c>
      <c r="Z52" s="66">
        <v>19215.556183911125</v>
      </c>
      <c r="AA52" s="66">
        <v>19469.898450488545</v>
      </c>
    </row>
    <row r="53" spans="1:27" x14ac:dyDescent="0.25">
      <c r="A53" s="73" t="s">
        <v>21</v>
      </c>
      <c r="B53" s="65"/>
      <c r="C53" s="65"/>
      <c r="D53" s="66">
        <v>15006.041625798427</v>
      </c>
      <c r="E53" s="66">
        <v>15482.959909282052</v>
      </c>
      <c r="F53" s="66">
        <v>15252.027204853011</v>
      </c>
      <c r="G53" s="66">
        <v>14500.535003055777</v>
      </c>
      <c r="H53" s="66">
        <v>14569.397747115419</v>
      </c>
      <c r="I53" s="66">
        <v>14422.529573621376</v>
      </c>
      <c r="J53" s="66">
        <v>14825.220534904807</v>
      </c>
      <c r="K53" s="66">
        <v>15104.330353226949</v>
      </c>
      <c r="L53" s="66">
        <v>14205.818781918335</v>
      </c>
      <c r="M53" s="66">
        <v>13316.435611632292</v>
      </c>
      <c r="N53" s="66">
        <v>13228.406538211735</v>
      </c>
      <c r="O53" s="66">
        <v>13296.958666695267</v>
      </c>
      <c r="P53" s="66">
        <v>13930.779892568626</v>
      </c>
      <c r="Q53" s="66">
        <v>13628.73751557956</v>
      </c>
      <c r="R53" s="66">
        <v>13995.793670214938</v>
      </c>
      <c r="S53" s="66">
        <v>14162.358840000003</v>
      </c>
      <c r="T53" s="66">
        <v>14211.521189914174</v>
      </c>
      <c r="U53" s="66">
        <v>13929.73838545115</v>
      </c>
      <c r="V53" s="66">
        <v>14536.001185298477</v>
      </c>
      <c r="W53" s="66">
        <v>14406.668946380021</v>
      </c>
      <c r="X53" s="66">
        <v>13388.5383535418</v>
      </c>
      <c r="Y53" s="66">
        <v>11541.379033266077</v>
      </c>
      <c r="Z53" s="66">
        <v>12364.492504350155</v>
      </c>
      <c r="AA53" s="66">
        <v>12940.299475697035</v>
      </c>
    </row>
    <row r="54" spans="1:27" x14ac:dyDescent="0.25">
      <c r="A54" s="74" t="s">
        <v>8</v>
      </c>
      <c r="B54" s="44"/>
      <c r="C54" s="44"/>
      <c r="D54" s="45">
        <v>315.33489319917794</v>
      </c>
      <c r="E54" s="45">
        <v>314.14043705093644</v>
      </c>
      <c r="F54" s="45">
        <v>305.03803499394053</v>
      </c>
      <c r="G54" s="45">
        <v>317.35229448156372</v>
      </c>
      <c r="H54" s="45">
        <v>308.36436636912362</v>
      </c>
      <c r="I54" s="45">
        <v>330.38297817584225</v>
      </c>
      <c r="J54" s="45">
        <v>331.62214494181029</v>
      </c>
      <c r="K54" s="45">
        <v>335.32706249037147</v>
      </c>
      <c r="L54" s="45">
        <v>312.23822827188741</v>
      </c>
      <c r="M54" s="45">
        <v>278.70028589939966</v>
      </c>
      <c r="N54" s="45">
        <v>283.75540071751425</v>
      </c>
      <c r="O54" s="45">
        <v>307.48266744454332</v>
      </c>
      <c r="P54" s="45">
        <v>328.31635632992823</v>
      </c>
      <c r="Q54" s="45">
        <v>311.77739113416004</v>
      </c>
      <c r="R54" s="45">
        <v>404.17282468929534</v>
      </c>
      <c r="S54" s="45">
        <v>455.10979913393788</v>
      </c>
      <c r="T54" s="45">
        <v>445.30731788311869</v>
      </c>
      <c r="U54" s="45">
        <v>465.31831906795344</v>
      </c>
      <c r="V54" s="45">
        <v>440.3002066185615</v>
      </c>
      <c r="W54" s="45">
        <v>433.23614021573849</v>
      </c>
      <c r="X54" s="45">
        <v>378.55984194552906</v>
      </c>
      <c r="Y54" s="45">
        <v>377.84070978804561</v>
      </c>
      <c r="Z54" s="45">
        <v>440.19477665162685</v>
      </c>
      <c r="AA54" s="45">
        <v>306.41835941447863</v>
      </c>
    </row>
    <row r="55" spans="1:27" x14ac:dyDescent="0.25">
      <c r="A55" s="74" t="s">
        <v>17</v>
      </c>
      <c r="B55" s="44"/>
      <c r="C55" s="44"/>
      <c r="D55" s="45">
        <v>14690.706732599248</v>
      </c>
      <c r="E55" s="45">
        <v>15168.819472231115</v>
      </c>
      <c r="F55" s="45">
        <v>14946.989169859071</v>
      </c>
      <c r="G55" s="45">
        <v>14183.182708574213</v>
      </c>
      <c r="H55" s="45">
        <v>14261.033380746296</v>
      </c>
      <c r="I55" s="45">
        <v>14092.146595445534</v>
      </c>
      <c r="J55" s="45">
        <v>14493.598389962997</v>
      </c>
      <c r="K55" s="45">
        <v>14769.003290736578</v>
      </c>
      <c r="L55" s="45">
        <v>13893.580553646447</v>
      </c>
      <c r="M55" s="45">
        <v>13037.735325732892</v>
      </c>
      <c r="N55" s="45">
        <v>12944.65113749422</v>
      </c>
      <c r="O55" s="45">
        <v>12989.475999250724</v>
      </c>
      <c r="P55" s="45">
        <v>13602.463536238698</v>
      </c>
      <c r="Q55" s="45">
        <v>13316.960124445401</v>
      </c>
      <c r="R55" s="45">
        <v>13591.620845525642</v>
      </c>
      <c r="S55" s="45">
        <v>13707.249040866065</v>
      </c>
      <c r="T55" s="45">
        <v>13766.213872031056</v>
      </c>
      <c r="U55" s="45">
        <v>13464.420066383196</v>
      </c>
      <c r="V55" s="45">
        <v>14095.700978679915</v>
      </c>
      <c r="W55" s="45">
        <v>13973.432806164283</v>
      </c>
      <c r="X55" s="45">
        <v>13009.978511596271</v>
      </c>
      <c r="Y55" s="45">
        <v>11163.538323478031</v>
      </c>
      <c r="Z55" s="45">
        <v>11924.297727698529</v>
      </c>
      <c r="AA55" s="45">
        <v>12633.881116282557</v>
      </c>
    </row>
    <row r="56" spans="1:27" x14ac:dyDescent="0.25">
      <c r="A56" s="73" t="s">
        <v>16</v>
      </c>
      <c r="B56" s="65"/>
      <c r="C56" s="65"/>
      <c r="D56" s="66">
        <v>17723.756225927609</v>
      </c>
      <c r="E56" s="66">
        <v>16642.087552269131</v>
      </c>
      <c r="F56" s="66">
        <v>15151.239570695288</v>
      </c>
      <c r="G56" s="66">
        <v>13132.560002767495</v>
      </c>
      <c r="H56" s="66">
        <v>13938.05717807375</v>
      </c>
      <c r="I56" s="66">
        <v>14249.5237293917</v>
      </c>
      <c r="J56" s="66">
        <v>14202.692792384409</v>
      </c>
      <c r="K56" s="66">
        <v>13622.319444913015</v>
      </c>
      <c r="L56" s="66">
        <v>13015.290649182669</v>
      </c>
      <c r="M56" s="66">
        <v>11294.664051689386</v>
      </c>
      <c r="N56" s="66">
        <v>11761.375276033774</v>
      </c>
      <c r="O56" s="66">
        <v>11436.905686278717</v>
      </c>
      <c r="P56" s="66">
        <v>11338.784925770842</v>
      </c>
      <c r="Q56" s="66">
        <v>10628.700955546323</v>
      </c>
      <c r="R56" s="66">
        <v>9983.0964150250838</v>
      </c>
      <c r="S56" s="66">
        <v>9667.231560000002</v>
      </c>
      <c r="T56" s="66">
        <v>9745.1886499886423</v>
      </c>
      <c r="U56" s="66">
        <v>9244.6461310798713</v>
      </c>
      <c r="V56" s="66">
        <v>8126.5035033217046</v>
      </c>
      <c r="W56" s="66">
        <v>7961.1363436761312</v>
      </c>
      <c r="X56" s="66">
        <v>8071.4465128999909</v>
      </c>
      <c r="Y56" s="66">
        <v>7711.1378319018631</v>
      </c>
      <c r="Z56" s="66">
        <v>6851.0636795609698</v>
      </c>
      <c r="AA56" s="66">
        <v>6529.5989747915119</v>
      </c>
    </row>
    <row r="57" spans="1:27" x14ac:dyDescent="0.25">
      <c r="A57" s="72" t="s">
        <v>2</v>
      </c>
      <c r="B57" s="65"/>
      <c r="C57" s="65"/>
      <c r="D57" s="66">
        <v>55611.350685390302</v>
      </c>
      <c r="E57" s="66">
        <v>55653.358501263909</v>
      </c>
      <c r="F57" s="66">
        <v>55136.853056462904</v>
      </c>
      <c r="G57" s="66">
        <v>55072.889196388416</v>
      </c>
      <c r="H57" s="66">
        <v>55251.865557343561</v>
      </c>
      <c r="I57" s="66">
        <v>53291.664627629332</v>
      </c>
      <c r="J57" s="66">
        <v>53888.105711695382</v>
      </c>
      <c r="K57" s="66">
        <v>53849.779921954949</v>
      </c>
      <c r="L57" s="66">
        <v>51946.13572400259</v>
      </c>
      <c r="M57" s="66">
        <v>50835.120626722892</v>
      </c>
      <c r="N57" s="66">
        <v>52606.540636501413</v>
      </c>
      <c r="O57" s="66">
        <v>52507.428669483714</v>
      </c>
      <c r="P57" s="66">
        <v>53182.937233007659</v>
      </c>
      <c r="Q57" s="66">
        <v>53918.960656418778</v>
      </c>
      <c r="R57" s="66">
        <v>54488.274032383059</v>
      </c>
      <c r="S57" s="66">
        <v>56739.698960000009</v>
      </c>
      <c r="T57" s="66">
        <v>58277.552616764275</v>
      </c>
      <c r="U57" s="66">
        <v>57737.610654620519</v>
      </c>
      <c r="V57" s="66">
        <v>57601.662629642029</v>
      </c>
      <c r="W57" s="66">
        <v>57677.276228382434</v>
      </c>
      <c r="X57" s="66">
        <v>62048.804230103022</v>
      </c>
      <c r="Y57" s="66">
        <v>58995.154830991203</v>
      </c>
      <c r="Z57" s="66">
        <v>52969.261511176555</v>
      </c>
      <c r="AA57" s="66">
        <v>50645.188500766279</v>
      </c>
    </row>
    <row r="58" spans="1:27" x14ac:dyDescent="0.25">
      <c r="A58" s="72" t="s">
        <v>269</v>
      </c>
      <c r="B58" s="65"/>
      <c r="C58" s="65"/>
      <c r="D58" s="66">
        <v>96663.956699600487</v>
      </c>
      <c r="E58" s="66">
        <v>110807.11927992629</v>
      </c>
      <c r="F58" s="66">
        <v>110004.43765748951</v>
      </c>
      <c r="G58" s="66">
        <v>113851.20632834031</v>
      </c>
      <c r="H58" s="66">
        <v>112406.58275984069</v>
      </c>
      <c r="I58" s="66">
        <v>114180.92488914156</v>
      </c>
      <c r="J58" s="66">
        <v>125272.74818676339</v>
      </c>
      <c r="K58" s="66">
        <v>133879.81907942827</v>
      </c>
      <c r="L58" s="66">
        <v>119361.94799402333</v>
      </c>
      <c r="M58" s="66">
        <v>92053.127752535991</v>
      </c>
      <c r="N58" s="66">
        <v>130431.78138125136</v>
      </c>
      <c r="O58" s="66">
        <v>146522.3890521439</v>
      </c>
      <c r="P58" s="66">
        <v>148703.61024404687</v>
      </c>
      <c r="Q58" s="66">
        <v>148288.86069796426</v>
      </c>
      <c r="R58" s="66">
        <v>164070.93396957463</v>
      </c>
      <c r="S58" s="66">
        <v>170282.28140000004</v>
      </c>
      <c r="T58" s="66">
        <v>184349.88142339335</v>
      </c>
      <c r="U58" s="66">
        <v>190129.1283539079</v>
      </c>
      <c r="V58" s="66">
        <v>185768.19695072412</v>
      </c>
      <c r="W58" s="66">
        <v>178642.45398062243</v>
      </c>
      <c r="X58" s="66">
        <v>148086.2390372869</v>
      </c>
      <c r="Y58" s="66">
        <v>171468.62775208472</v>
      </c>
      <c r="Z58" s="66">
        <v>180971.20847276135</v>
      </c>
      <c r="AA58" s="66">
        <v>192940.02464959389</v>
      </c>
    </row>
    <row r="59" spans="1:27" x14ac:dyDescent="0.25">
      <c r="A59" s="72" t="s">
        <v>270</v>
      </c>
      <c r="B59" s="65"/>
      <c r="C59" s="65"/>
      <c r="D59" s="66">
        <v>252250.80395205857</v>
      </c>
      <c r="E59" s="66">
        <v>243850.90670698573</v>
      </c>
      <c r="F59" s="66">
        <v>235485.04218385441</v>
      </c>
      <c r="G59" s="66">
        <v>237911.66956100595</v>
      </c>
      <c r="H59" s="66">
        <v>248200.72804464688</v>
      </c>
      <c r="I59" s="66">
        <v>249758.86071631606</v>
      </c>
      <c r="J59" s="66">
        <v>271197.05049864011</v>
      </c>
      <c r="K59" s="66">
        <v>287192.54244683601</v>
      </c>
      <c r="L59" s="66">
        <v>288763.46129658126</v>
      </c>
      <c r="M59" s="66">
        <v>227331.98435371928</v>
      </c>
      <c r="N59" s="66">
        <v>265831.36891101976</v>
      </c>
      <c r="O59" s="66">
        <v>289334.3527165869</v>
      </c>
      <c r="P59" s="66">
        <v>287198.7689802479</v>
      </c>
      <c r="Q59" s="66">
        <v>287217.33946821769</v>
      </c>
      <c r="R59" s="66">
        <v>295402.62339410261</v>
      </c>
      <c r="S59" s="66">
        <v>295819.60680000007</v>
      </c>
      <c r="T59" s="66">
        <v>307242.16108482878</v>
      </c>
      <c r="U59" s="66">
        <v>314933.1065072628</v>
      </c>
      <c r="V59" s="66">
        <v>319430.87553410127</v>
      </c>
      <c r="W59" s="66">
        <v>310960.20252076501</v>
      </c>
      <c r="X59" s="66">
        <v>280140.0883945665</v>
      </c>
      <c r="Y59" s="66">
        <v>296700.36126636073</v>
      </c>
      <c r="Z59" s="66">
        <v>280835.35902155004</v>
      </c>
      <c r="AA59" s="66">
        <v>277679.15874140133</v>
      </c>
    </row>
    <row r="60" spans="1:27" x14ac:dyDescent="0.25">
      <c r="A60" s="72" t="s">
        <v>1</v>
      </c>
      <c r="B60" s="65"/>
      <c r="C60" s="65"/>
      <c r="D60" s="66">
        <v>13989.597856510611</v>
      </c>
      <c r="E60" s="66">
        <v>13266.756597131989</v>
      </c>
      <c r="F60" s="66">
        <v>12345.733037797481</v>
      </c>
      <c r="G60" s="66">
        <v>11696.1862524648</v>
      </c>
      <c r="H60" s="66">
        <v>11593.708631492451</v>
      </c>
      <c r="I60" s="66">
        <v>11010.795679363275</v>
      </c>
      <c r="J60" s="66">
        <v>11227.419356300999</v>
      </c>
      <c r="K60" s="66">
        <v>11220.939734376932</v>
      </c>
      <c r="L60" s="66">
        <v>10648.612742802346</v>
      </c>
      <c r="M60" s="66">
        <v>8694.0392028677597</v>
      </c>
      <c r="N60" s="66">
        <v>9656.443645810783</v>
      </c>
      <c r="O60" s="66">
        <v>10381.723214860256</v>
      </c>
      <c r="P60" s="66">
        <v>9897.5757306602391</v>
      </c>
      <c r="Q60" s="66">
        <v>9688.5109264644798</v>
      </c>
      <c r="R60" s="66">
        <v>10248.681226803705</v>
      </c>
      <c r="S60" s="66">
        <v>9473.8095600000015</v>
      </c>
      <c r="T60" s="66">
        <v>9612.7396667687226</v>
      </c>
      <c r="U60" s="66">
        <v>9736.7565715175842</v>
      </c>
      <c r="V60" s="66">
        <v>9359.0992113941611</v>
      </c>
      <c r="W60" s="66">
        <v>9083.9842662406227</v>
      </c>
      <c r="X60" s="66">
        <v>8017.3704075120795</v>
      </c>
      <c r="Y60" s="66">
        <v>8457.1541524561198</v>
      </c>
      <c r="Z60" s="66">
        <v>8349.43046446259</v>
      </c>
      <c r="AA60" s="66">
        <v>8406.9243971300293</v>
      </c>
    </row>
    <row r="61" spans="1:27" x14ac:dyDescent="0.25">
      <c r="A61" s="72" t="s">
        <v>0</v>
      </c>
      <c r="B61" s="65"/>
      <c r="C61" s="65"/>
      <c r="D61" s="66">
        <v>11315.07054855147</v>
      </c>
      <c r="E61" s="66">
        <v>10132.085520565097</v>
      </c>
      <c r="F61" s="66">
        <v>9585.3552963135789</v>
      </c>
      <c r="G61" s="66">
        <v>9111.9030453984615</v>
      </c>
      <c r="H61" s="66">
        <v>9649.6506088723036</v>
      </c>
      <c r="I61" s="66">
        <v>9178.1066515065377</v>
      </c>
      <c r="J61" s="66">
        <v>9558.5773798730752</v>
      </c>
      <c r="K61" s="66">
        <v>9828.8355543560156</v>
      </c>
      <c r="L61" s="66">
        <v>8639.9559777881859</v>
      </c>
      <c r="M61" s="66">
        <v>7334.0149707449427</v>
      </c>
      <c r="N61" s="66">
        <v>8534.1856678934837</v>
      </c>
      <c r="O61" s="66">
        <v>8789.9604041097355</v>
      </c>
      <c r="P61" s="66">
        <v>8279.1128029437896</v>
      </c>
      <c r="Q61" s="66">
        <v>8299.6547154133787</v>
      </c>
      <c r="R61" s="66">
        <v>8273.8872303111893</v>
      </c>
      <c r="S61" s="66">
        <v>9121.7815200000005</v>
      </c>
      <c r="T61" s="66">
        <v>8842.2431778451573</v>
      </c>
      <c r="U61" s="66">
        <v>8686.0003504809392</v>
      </c>
      <c r="V61" s="66">
        <v>8566.540171103572</v>
      </c>
      <c r="W61" s="66">
        <v>9503.245078528651</v>
      </c>
      <c r="X61" s="66">
        <v>10730.580216975111</v>
      </c>
      <c r="Y61" s="66">
        <v>10802.270271235471</v>
      </c>
      <c r="Z61" s="66">
        <v>11449.722861732031</v>
      </c>
      <c r="AA61" s="66">
        <v>11919.10590160529</v>
      </c>
    </row>
    <row r="62" spans="1:27" x14ac:dyDescent="0.25">
      <c r="A62" s="78" t="s">
        <v>271</v>
      </c>
      <c r="B62" s="79"/>
      <c r="C62" s="79"/>
      <c r="D62" s="80">
        <v>57988.194158034501</v>
      </c>
      <c r="E62" s="80">
        <v>58562.601337144748</v>
      </c>
      <c r="F62" s="80">
        <v>56734.412272515168</v>
      </c>
      <c r="G62" s="80">
        <v>56583.609414098086</v>
      </c>
      <c r="H62" s="80">
        <v>57363.692402506254</v>
      </c>
      <c r="I62" s="80">
        <v>58008.273109721427</v>
      </c>
      <c r="J62" s="80">
        <v>62010.193019038998</v>
      </c>
      <c r="K62" s="80">
        <v>62488.076380688915</v>
      </c>
      <c r="L62" s="80">
        <v>62415.018978167303</v>
      </c>
      <c r="M62" s="80">
        <v>55068.336547576255</v>
      </c>
      <c r="N62" s="80">
        <v>61344.519419787837</v>
      </c>
      <c r="O62" s="80">
        <v>66455.751614079491</v>
      </c>
      <c r="P62" s="80">
        <v>65537.522395635082</v>
      </c>
      <c r="Q62" s="80">
        <v>64782.039468217699</v>
      </c>
      <c r="R62" s="80">
        <v>66330.46412985849</v>
      </c>
      <c r="S62" s="80">
        <v>68143.860080000013</v>
      </c>
      <c r="T62" s="80">
        <v>69738.210309033981</v>
      </c>
      <c r="U62" s="80">
        <v>71324.629269052544</v>
      </c>
      <c r="V62" s="80">
        <v>69280.506963628548</v>
      </c>
      <c r="W62" s="80">
        <v>70391.239883771996</v>
      </c>
      <c r="X62" s="80">
        <v>68004.229227823875</v>
      </c>
      <c r="Y62" s="80">
        <v>68534.493152152572</v>
      </c>
      <c r="Z62" s="80">
        <v>65450.257696426183</v>
      </c>
      <c r="AA62" s="80">
        <v>64779.560888012245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1.107671519397435E-2</v>
      </c>
      <c r="E66" s="83">
        <f t="shared" ref="E66:S66" si="55">E24/E$23</f>
        <v>1.2027758154324455E-2</v>
      </c>
      <c r="F66" s="83">
        <f t="shared" si="55"/>
        <v>1.0002360836664543E-2</v>
      </c>
      <c r="G66" s="83">
        <f t="shared" si="55"/>
        <v>9.2186929536327133E-3</v>
      </c>
      <c r="H66" s="83">
        <f t="shared" si="55"/>
        <v>1.0516104990920809E-2</v>
      </c>
      <c r="I66" s="83">
        <f t="shared" si="55"/>
        <v>8.0594853594288963E-3</v>
      </c>
      <c r="J66" s="83">
        <f t="shared" si="55"/>
        <v>7.9574564882379673E-3</v>
      </c>
      <c r="K66" s="83">
        <f t="shared" si="55"/>
        <v>9.1836003808959676E-3</v>
      </c>
      <c r="L66" s="83">
        <f t="shared" si="55"/>
        <v>9.3543540497624186E-3</v>
      </c>
      <c r="M66" s="83">
        <f t="shared" si="55"/>
        <v>7.5188443284439866E-3</v>
      </c>
      <c r="N66" s="83">
        <f t="shared" si="55"/>
        <v>8.6683450354994654E-3</v>
      </c>
      <c r="O66" s="83">
        <f t="shared" si="55"/>
        <v>1.0360329308282103E-2</v>
      </c>
      <c r="P66" s="83">
        <f t="shared" si="55"/>
        <v>1.0208871110051174E-2</v>
      </c>
      <c r="Q66" s="83">
        <f t="shared" si="55"/>
        <v>1.0397748302188864E-2</v>
      </c>
      <c r="R66" s="83">
        <f t="shared" si="55"/>
        <v>1.0264863222181359E-2</v>
      </c>
      <c r="S66" s="83">
        <f t="shared" si="55"/>
        <v>7.943872790528661E-3</v>
      </c>
      <c r="T66" s="83">
        <f t="shared" ref="T66:Y66" si="56">T24/T$23</f>
        <v>8.1840130203713283E-3</v>
      </c>
      <c r="U66" s="83">
        <f t="shared" si="56"/>
        <v>9.6277925300555737E-3</v>
      </c>
      <c r="V66" s="83">
        <f t="shared" si="56"/>
        <v>8.3067367452552953E-3</v>
      </c>
      <c r="W66" s="83">
        <f t="shared" si="56"/>
        <v>9.3210145388216929E-3</v>
      </c>
      <c r="X66" s="83">
        <f t="shared" si="56"/>
        <v>8.1107139550794689E-3</v>
      </c>
      <c r="Y66" s="83">
        <f t="shared" si="56"/>
        <v>8.4275299514129116E-3</v>
      </c>
      <c r="Z66" s="83">
        <f t="shared" ref="Z66:AA66" si="57">Z24/Z$23</f>
        <v>1.1047158113007305E-2</v>
      </c>
      <c r="AA66" s="83">
        <f t="shared" si="57"/>
        <v>1.0172454816983256E-2</v>
      </c>
    </row>
    <row r="67" spans="1:27" x14ac:dyDescent="0.25">
      <c r="A67" s="64" t="s">
        <v>56</v>
      </c>
      <c r="B67" s="65"/>
      <c r="C67" s="65"/>
      <c r="D67" s="83">
        <f t="shared" si="51"/>
        <v>2.6262492305298602E-3</v>
      </c>
      <c r="E67" s="83">
        <f t="shared" ref="E67:S67" si="58">E25/E$23</f>
        <v>2.1031509843950141E-3</v>
      </c>
      <c r="F67" s="83">
        <f t="shared" si="58"/>
        <v>2.1916350515865275E-3</v>
      </c>
      <c r="G67" s="83">
        <f t="shared" si="58"/>
        <v>1.8602076289347112E-3</v>
      </c>
      <c r="H67" s="83">
        <f t="shared" si="58"/>
        <v>1.8864030600038567E-3</v>
      </c>
      <c r="I67" s="83">
        <f t="shared" si="58"/>
        <v>1.8733554444959383E-3</v>
      </c>
      <c r="J67" s="83">
        <f t="shared" si="58"/>
        <v>2.2468166283653619E-3</v>
      </c>
      <c r="K67" s="83">
        <f t="shared" si="58"/>
        <v>2.1720913289041948E-3</v>
      </c>
      <c r="L67" s="83">
        <f t="shared" si="58"/>
        <v>2.728381882618158E-3</v>
      </c>
      <c r="M67" s="83">
        <f t="shared" si="58"/>
        <v>2.2955976139184485E-3</v>
      </c>
      <c r="N67" s="83">
        <f t="shared" si="58"/>
        <v>2.2335060713231281E-3</v>
      </c>
      <c r="O67" s="83">
        <f t="shared" si="58"/>
        <v>2.2158432396038883E-3</v>
      </c>
      <c r="P67" s="83">
        <f t="shared" si="58"/>
        <v>2.3277388965873419E-3</v>
      </c>
      <c r="Q67" s="83">
        <f t="shared" si="58"/>
        <v>2.0192739601869736E-3</v>
      </c>
      <c r="R67" s="83">
        <f t="shared" si="58"/>
        <v>1.8589280975550133E-3</v>
      </c>
      <c r="S67" s="83">
        <f t="shared" si="58"/>
        <v>1.6905004063920055E-3</v>
      </c>
      <c r="T67" s="83">
        <f t="shared" ref="T67:Y67" si="59">T25/T$23</f>
        <v>1.4382964386170012E-3</v>
      </c>
      <c r="U67" s="83">
        <f t="shared" si="59"/>
        <v>1.4554306248240607E-3</v>
      </c>
      <c r="V67" s="83">
        <f t="shared" si="59"/>
        <v>1.4302630476153674E-3</v>
      </c>
      <c r="W67" s="83">
        <f t="shared" si="59"/>
        <v>1.4605303530710969E-3</v>
      </c>
      <c r="X67" s="83">
        <f t="shared" si="59"/>
        <v>1.4229402617334779E-3</v>
      </c>
      <c r="Y67" s="83">
        <f t="shared" si="59"/>
        <v>1.4431415138558828E-3</v>
      </c>
      <c r="Z67" s="83">
        <f t="shared" ref="Z67:AA67" si="60">Z25/Z$23</f>
        <v>1.6489846139843734E-3</v>
      </c>
      <c r="AA67" s="83">
        <f t="shared" si="60"/>
        <v>1.2231188855180816E-3</v>
      </c>
    </row>
    <row r="68" spans="1:27" x14ac:dyDescent="0.25">
      <c r="A68" s="64" t="s">
        <v>146</v>
      </c>
      <c r="B68" s="65"/>
      <c r="C68" s="65"/>
      <c r="D68" s="83">
        <f t="shared" si="51"/>
        <v>0.70079085083687542</v>
      </c>
      <c r="E68" s="83">
        <f t="shared" ref="E68:S68" si="61">E26/E$23</f>
        <v>0.70713458194121992</v>
      </c>
      <c r="F68" s="83">
        <f t="shared" si="61"/>
        <v>0.71790747017634404</v>
      </c>
      <c r="G68" s="83">
        <f t="shared" si="61"/>
        <v>0.72061268790577326</v>
      </c>
      <c r="H68" s="83">
        <f t="shared" si="61"/>
        <v>0.71805838231392016</v>
      </c>
      <c r="I68" s="83">
        <f t="shared" si="61"/>
        <v>0.72239545125433668</v>
      </c>
      <c r="J68" s="83">
        <f t="shared" si="61"/>
        <v>0.7156808943694104</v>
      </c>
      <c r="K68" s="83">
        <f t="shared" si="61"/>
        <v>0.7108978519453687</v>
      </c>
      <c r="L68" s="83">
        <f t="shared" si="61"/>
        <v>0.71535022120577108</v>
      </c>
      <c r="M68" s="83">
        <f t="shared" si="61"/>
        <v>0.74068129254620652</v>
      </c>
      <c r="N68" s="83">
        <f t="shared" si="61"/>
        <v>0.71592485290625174</v>
      </c>
      <c r="O68" s="83">
        <f t="shared" si="61"/>
        <v>0.71094716109921763</v>
      </c>
      <c r="P68" s="83">
        <f t="shared" si="61"/>
        <v>0.70838838986725794</v>
      </c>
      <c r="Q68" s="83">
        <f t="shared" si="61"/>
        <v>0.71517887490195053</v>
      </c>
      <c r="R68" s="83">
        <f t="shared" si="61"/>
        <v>0.71451361492714249</v>
      </c>
      <c r="S68" s="83">
        <f t="shared" si="61"/>
        <v>0.71837814341601325</v>
      </c>
      <c r="T68" s="83">
        <f t="shared" ref="T68:Y68" si="62">T26/T$23</f>
        <v>0.71445044593527152</v>
      </c>
      <c r="U68" s="83">
        <f t="shared" si="62"/>
        <v>0.71393492362740274</v>
      </c>
      <c r="V68" s="83">
        <f t="shared" si="62"/>
        <v>0.71728889860661948</v>
      </c>
      <c r="W68" s="83">
        <f t="shared" si="62"/>
        <v>0.72054392657564981</v>
      </c>
      <c r="X68" s="83">
        <f t="shared" si="62"/>
        <v>0.726315068729254</v>
      </c>
      <c r="Y68" s="83">
        <f t="shared" si="62"/>
        <v>0.72509061331627767</v>
      </c>
      <c r="Z68" s="83">
        <f t="shared" ref="Z68:AA68" si="63">Z26/Z$23</f>
        <v>0.72317628647034538</v>
      </c>
      <c r="AA68" s="83">
        <f t="shared" si="63"/>
        <v>0.71517668100837672</v>
      </c>
    </row>
    <row r="69" spans="1:27" x14ac:dyDescent="0.25">
      <c r="A69" s="68" t="s">
        <v>148</v>
      </c>
      <c r="B69" s="69"/>
      <c r="C69" s="69"/>
      <c r="D69" s="84">
        <f t="shared" si="51"/>
        <v>0.24934226292879522</v>
      </c>
      <c r="E69" s="84">
        <f t="shared" ref="E69:S69" si="64">E27/E$23</f>
        <v>0.24886561831071313</v>
      </c>
      <c r="F69" s="84">
        <f t="shared" si="64"/>
        <v>0.253064221245833</v>
      </c>
      <c r="G69" s="84">
        <f t="shared" si="64"/>
        <v>0.25441290855120086</v>
      </c>
      <c r="H69" s="84">
        <f t="shared" si="64"/>
        <v>0.251680387353028</v>
      </c>
      <c r="I69" s="84">
        <f t="shared" si="64"/>
        <v>0.25340700114692311</v>
      </c>
      <c r="J69" s="84">
        <f t="shared" si="64"/>
        <v>0.24845105129872772</v>
      </c>
      <c r="K69" s="84">
        <f t="shared" si="64"/>
        <v>0.24486012355829248</v>
      </c>
      <c r="L69" s="84">
        <f t="shared" si="64"/>
        <v>0.24764198889113812</v>
      </c>
      <c r="M69" s="84">
        <f t="shared" si="64"/>
        <v>0.26333268277941813</v>
      </c>
      <c r="N69" s="84">
        <f t="shared" si="64"/>
        <v>0.25765837648142248</v>
      </c>
      <c r="O69" s="84">
        <f t="shared" si="64"/>
        <v>0.25343872460140737</v>
      </c>
      <c r="P69" s="84">
        <f t="shared" si="64"/>
        <v>0.25645822237676669</v>
      </c>
      <c r="Q69" s="84">
        <f t="shared" si="64"/>
        <v>0.2595270307808718</v>
      </c>
      <c r="R69" s="84">
        <f t="shared" si="64"/>
        <v>0.25838861256057738</v>
      </c>
      <c r="S69" s="84">
        <f t="shared" si="64"/>
        <v>0.26018072020039829</v>
      </c>
      <c r="T69" s="84">
        <f t="shared" ref="T69:Y69" si="65">T27/T$23</f>
        <v>0.25940782835100307</v>
      </c>
      <c r="U69" s="84">
        <f t="shared" si="65"/>
        <v>0.26017946353060034</v>
      </c>
      <c r="V69" s="84">
        <f t="shared" si="65"/>
        <v>0.26222389613842301</v>
      </c>
      <c r="W69" s="84">
        <f t="shared" si="65"/>
        <v>0.26732998637113958</v>
      </c>
      <c r="X69" s="84">
        <f t="shared" si="65"/>
        <v>0.26367658818417616</v>
      </c>
      <c r="Y69" s="84">
        <f t="shared" si="65"/>
        <v>0.26207884738857684</v>
      </c>
      <c r="Z69" s="84">
        <f t="shared" ref="Z69:AA69" si="66">Z27/Z$23</f>
        <v>0.26564239168745896</v>
      </c>
      <c r="AA69" s="84">
        <f t="shared" si="66"/>
        <v>0.26162882268184456</v>
      </c>
    </row>
    <row r="70" spans="1:27" x14ac:dyDescent="0.25">
      <c r="A70" s="68" t="s">
        <v>150</v>
      </c>
      <c r="B70" s="71"/>
      <c r="C70" s="71"/>
      <c r="D70" s="84">
        <f t="shared" si="51"/>
        <v>0.33469327445244274</v>
      </c>
      <c r="E70" s="84">
        <f t="shared" ref="E70:S70" si="67">E28/E$23</f>
        <v>0.33939769679935716</v>
      </c>
      <c r="F70" s="84">
        <f t="shared" si="67"/>
        <v>0.34593694020594684</v>
      </c>
      <c r="G70" s="84">
        <f t="shared" si="67"/>
        <v>0.34556853897804657</v>
      </c>
      <c r="H70" s="84">
        <f t="shared" si="67"/>
        <v>0.34740362210653652</v>
      </c>
      <c r="I70" s="84">
        <f t="shared" si="67"/>
        <v>0.34885458036599398</v>
      </c>
      <c r="J70" s="84">
        <f t="shared" si="67"/>
        <v>0.34862364745895524</v>
      </c>
      <c r="K70" s="84">
        <f t="shared" si="67"/>
        <v>0.34786769885313756</v>
      </c>
      <c r="L70" s="84">
        <f t="shared" si="67"/>
        <v>0.34765282238380862</v>
      </c>
      <c r="M70" s="84">
        <f t="shared" si="67"/>
        <v>0.35358129930306792</v>
      </c>
      <c r="N70" s="84">
        <f t="shared" si="67"/>
        <v>0.34366609401656101</v>
      </c>
      <c r="O70" s="84">
        <f t="shared" si="67"/>
        <v>0.34226124313346223</v>
      </c>
      <c r="P70" s="84">
        <f t="shared" si="67"/>
        <v>0.34073812943134357</v>
      </c>
      <c r="Q70" s="84">
        <f t="shared" si="67"/>
        <v>0.34541839434289884</v>
      </c>
      <c r="R70" s="84">
        <f t="shared" si="67"/>
        <v>0.34196727309472136</v>
      </c>
      <c r="S70" s="84">
        <f t="shared" si="67"/>
        <v>0.34282939450851468</v>
      </c>
      <c r="T70" s="84">
        <f t="shared" ref="T70:Y70" si="68">T28/T$23</f>
        <v>0.33883048062756954</v>
      </c>
      <c r="U70" s="84">
        <f t="shared" si="68"/>
        <v>0.33579113819887568</v>
      </c>
      <c r="V70" s="84">
        <f t="shared" si="68"/>
        <v>0.33715557472739854</v>
      </c>
      <c r="W70" s="84">
        <f t="shared" si="68"/>
        <v>0.33386058583541056</v>
      </c>
      <c r="X70" s="84">
        <f t="shared" si="68"/>
        <v>0.33713396709844889</v>
      </c>
      <c r="Y70" s="84">
        <f t="shared" si="68"/>
        <v>0.33832369231516496</v>
      </c>
      <c r="Z70" s="84">
        <f t="shared" ref="Z70:AA70" si="69">Z28/Z$23</f>
        <v>0.32312297146280744</v>
      </c>
      <c r="AA70" s="84">
        <f t="shared" si="69"/>
        <v>0.32737924880453417</v>
      </c>
    </row>
    <row r="71" spans="1:27" x14ac:dyDescent="0.25">
      <c r="A71" s="68" t="s">
        <v>152</v>
      </c>
      <c r="B71" s="71"/>
      <c r="C71" s="71"/>
      <c r="D71" s="84">
        <f t="shared" si="51"/>
        <v>0.11675531345563753</v>
      </c>
      <c r="E71" s="84">
        <f t="shared" ref="E71:S71" si="70">E29/E$23</f>
        <v>0.11887126683114969</v>
      </c>
      <c r="F71" s="84">
        <f t="shared" si="70"/>
        <v>0.11890630872456423</v>
      </c>
      <c r="G71" s="84">
        <f t="shared" si="70"/>
        <v>0.12063124037652585</v>
      </c>
      <c r="H71" s="84">
        <f t="shared" si="70"/>
        <v>0.11897437285435547</v>
      </c>
      <c r="I71" s="84">
        <f t="shared" si="70"/>
        <v>0.12013386974141967</v>
      </c>
      <c r="J71" s="84">
        <f t="shared" si="70"/>
        <v>0.11860619561172776</v>
      </c>
      <c r="K71" s="84">
        <f t="shared" si="70"/>
        <v>0.11817002953393857</v>
      </c>
      <c r="L71" s="84">
        <f t="shared" si="70"/>
        <v>0.12005540993082442</v>
      </c>
      <c r="M71" s="84">
        <f t="shared" si="70"/>
        <v>0.1237673104637204</v>
      </c>
      <c r="N71" s="84">
        <f t="shared" si="70"/>
        <v>0.11460038240826829</v>
      </c>
      <c r="O71" s="84">
        <f t="shared" si="70"/>
        <v>0.11524719336434795</v>
      </c>
      <c r="P71" s="84">
        <f t="shared" si="70"/>
        <v>0.11119203805914776</v>
      </c>
      <c r="Q71" s="84">
        <f t="shared" si="70"/>
        <v>0.11023344977817996</v>
      </c>
      <c r="R71" s="84">
        <f t="shared" si="70"/>
        <v>0.11415772927184374</v>
      </c>
      <c r="S71" s="84">
        <f t="shared" si="70"/>
        <v>0.11536802870710029</v>
      </c>
      <c r="T71" s="84">
        <f t="shared" ref="T71:Y71" si="71">T29/T$23</f>
        <v>0.11621213695669894</v>
      </c>
      <c r="U71" s="84">
        <f t="shared" si="71"/>
        <v>0.11796432189792669</v>
      </c>
      <c r="V71" s="84">
        <f t="shared" si="71"/>
        <v>0.11790942774079789</v>
      </c>
      <c r="W71" s="84">
        <f t="shared" si="71"/>
        <v>0.11935335436909965</v>
      </c>
      <c r="X71" s="84">
        <f t="shared" si="71"/>
        <v>0.12550451344662891</v>
      </c>
      <c r="Y71" s="84">
        <f t="shared" si="71"/>
        <v>0.12468807361253585</v>
      </c>
      <c r="Z71" s="84">
        <f t="shared" ref="Z71:AA71" si="72">Z29/Z$23</f>
        <v>0.13441092332007895</v>
      </c>
      <c r="AA71" s="84">
        <f t="shared" si="72"/>
        <v>0.12616860952199807</v>
      </c>
    </row>
    <row r="72" spans="1:27" x14ac:dyDescent="0.25">
      <c r="A72" s="64" t="s">
        <v>154</v>
      </c>
      <c r="B72" s="65"/>
      <c r="C72" s="65"/>
      <c r="D72" s="83">
        <f t="shared" si="51"/>
        <v>1.7266936044304772E-2</v>
      </c>
      <c r="E72" s="83">
        <f t="shared" ref="E72:S72" si="73">E30/E$23</f>
        <v>1.7731904127869961E-2</v>
      </c>
      <c r="F72" s="83">
        <f t="shared" si="73"/>
        <v>1.71527511233939E-2</v>
      </c>
      <c r="G72" s="83">
        <f t="shared" si="73"/>
        <v>1.6408519453307301E-2</v>
      </c>
      <c r="H72" s="83">
        <f t="shared" si="73"/>
        <v>1.812889889256589E-2</v>
      </c>
      <c r="I72" s="83">
        <f t="shared" si="73"/>
        <v>1.8278698970155657E-2</v>
      </c>
      <c r="J72" s="83">
        <f t="shared" si="73"/>
        <v>1.9113731761492333E-2</v>
      </c>
      <c r="K72" s="83">
        <f t="shared" si="73"/>
        <v>1.8728410365748894E-2</v>
      </c>
      <c r="L72" s="83">
        <f t="shared" si="73"/>
        <v>2.0708192481014336E-2</v>
      </c>
      <c r="M72" s="83">
        <f t="shared" si="73"/>
        <v>2.1626171520480728E-2</v>
      </c>
      <c r="N72" s="83">
        <f t="shared" si="73"/>
        <v>2.4081178482882774E-2</v>
      </c>
      <c r="O72" s="83">
        <f t="shared" si="73"/>
        <v>1.9135125466531344E-2</v>
      </c>
      <c r="P72" s="83">
        <f t="shared" si="73"/>
        <v>2.2309467240477835E-2</v>
      </c>
      <c r="Q72" s="83">
        <f t="shared" si="73"/>
        <v>1.770974013986485E-2</v>
      </c>
      <c r="R72" s="83">
        <f t="shared" si="73"/>
        <v>1.4523583366173383E-2</v>
      </c>
      <c r="S72" s="83">
        <f t="shared" si="73"/>
        <v>1.3371784577230558E-2</v>
      </c>
      <c r="T72" s="83">
        <f t="shared" ref="T72:Y72" si="74">T30/T$23</f>
        <v>1.2376220219190491E-2</v>
      </c>
      <c r="U72" s="83">
        <f t="shared" si="74"/>
        <v>1.3681246429998E-2</v>
      </c>
      <c r="V72" s="83">
        <f t="shared" si="74"/>
        <v>1.4046379593391677E-2</v>
      </c>
      <c r="W72" s="83">
        <f t="shared" si="74"/>
        <v>1.4588796073724337E-2</v>
      </c>
      <c r="X72" s="83">
        <f t="shared" si="74"/>
        <v>1.3886204702971194E-2</v>
      </c>
      <c r="Y72" s="83">
        <f t="shared" si="74"/>
        <v>1.3441078849021775E-2</v>
      </c>
      <c r="Z72" s="83">
        <f t="shared" ref="Z72:AA72" si="75">Z30/Z$23</f>
        <v>2.3227138326468076E-2</v>
      </c>
      <c r="AA72" s="83">
        <f t="shared" si="75"/>
        <v>3.027158299106018E-2</v>
      </c>
    </row>
    <row r="73" spans="1:27" x14ac:dyDescent="0.25">
      <c r="A73" s="64" t="s">
        <v>37</v>
      </c>
      <c r="B73" s="65"/>
      <c r="C73" s="65"/>
      <c r="D73" s="83">
        <f t="shared" si="51"/>
        <v>5.0630743614898922E-2</v>
      </c>
      <c r="E73" s="83">
        <f t="shared" ref="E73:S73" si="76">E31/E$23</f>
        <v>4.6516096766184123E-2</v>
      </c>
      <c r="F73" s="83">
        <f t="shared" si="76"/>
        <v>4.3883611251557875E-2</v>
      </c>
      <c r="G73" s="83">
        <f t="shared" si="76"/>
        <v>4.173661047351461E-2</v>
      </c>
      <c r="H73" s="83">
        <f t="shared" si="76"/>
        <v>3.9468501225461174E-2</v>
      </c>
      <c r="I73" s="83">
        <f t="shared" si="76"/>
        <v>3.7657546806442052E-2</v>
      </c>
      <c r="J73" s="83">
        <f t="shared" si="76"/>
        <v>3.7308415287140781E-2</v>
      </c>
      <c r="K73" s="83">
        <f t="shared" si="76"/>
        <v>3.7590846192820021E-2</v>
      </c>
      <c r="L73" s="83">
        <f t="shared" si="76"/>
        <v>3.8089869648481219E-2</v>
      </c>
      <c r="M73" s="83">
        <f t="shared" si="76"/>
        <v>4.0203332574853423E-2</v>
      </c>
      <c r="N73" s="83">
        <f t="shared" si="76"/>
        <v>4.0322284404069438E-2</v>
      </c>
      <c r="O73" s="83">
        <f t="shared" si="76"/>
        <v>4.0790711884622181E-2</v>
      </c>
      <c r="P73" s="83">
        <f t="shared" si="76"/>
        <v>4.1809034528816562E-2</v>
      </c>
      <c r="Q73" s="83">
        <f t="shared" si="76"/>
        <v>4.2179818133303702E-2</v>
      </c>
      <c r="R73" s="83">
        <f t="shared" si="76"/>
        <v>4.2007579755913675E-2</v>
      </c>
      <c r="S73" s="83">
        <f t="shared" si="76"/>
        <v>4.1398066404994417E-2</v>
      </c>
      <c r="T73" s="83">
        <f t="shared" ref="T73:Y73" si="77">T31/T$23</f>
        <v>4.2338996671278398E-2</v>
      </c>
      <c r="U73" s="83">
        <f t="shared" si="77"/>
        <v>4.2775746493992239E-2</v>
      </c>
      <c r="V73" s="83">
        <f t="shared" si="77"/>
        <v>4.4653271282591951E-2</v>
      </c>
      <c r="W73" s="83">
        <f t="shared" si="77"/>
        <v>4.5361743608526246E-2</v>
      </c>
      <c r="X73" s="83">
        <f t="shared" si="77"/>
        <v>4.9907148066657261E-2</v>
      </c>
      <c r="Y73" s="83">
        <f t="shared" si="77"/>
        <v>4.9226112865940017E-2</v>
      </c>
      <c r="Z73" s="83">
        <f t="shared" ref="Z73:AA73" si="78">Z31/Z$23</f>
        <v>4.8426531665643056E-2</v>
      </c>
      <c r="AA73" s="83">
        <f t="shared" si="78"/>
        <v>4.8575781077895147E-2</v>
      </c>
    </row>
    <row r="74" spans="1:27" x14ac:dyDescent="0.25">
      <c r="A74" s="64" t="s">
        <v>58</v>
      </c>
      <c r="B74" s="65"/>
      <c r="C74" s="65"/>
      <c r="D74" s="83">
        <f t="shared" si="51"/>
        <v>0.21760850507941665</v>
      </c>
      <c r="E74" s="83">
        <f t="shared" ref="E74:S74" si="79">E32/E$23</f>
        <v>0.21448650802600644</v>
      </c>
      <c r="F74" s="83">
        <f t="shared" si="79"/>
        <v>0.20886217156045314</v>
      </c>
      <c r="G74" s="83">
        <f t="shared" si="79"/>
        <v>0.21016328158483738</v>
      </c>
      <c r="H74" s="83">
        <f t="shared" si="79"/>
        <v>0.21194170951712818</v>
      </c>
      <c r="I74" s="83">
        <f t="shared" si="79"/>
        <v>0.21173546216514066</v>
      </c>
      <c r="J74" s="83">
        <f t="shared" si="79"/>
        <v>0.21769268546535284</v>
      </c>
      <c r="K74" s="83">
        <f t="shared" si="79"/>
        <v>0.22142719978626232</v>
      </c>
      <c r="L74" s="83">
        <f t="shared" si="79"/>
        <v>0.2137689807323527</v>
      </c>
      <c r="M74" s="83">
        <f t="shared" si="79"/>
        <v>0.18767476141609699</v>
      </c>
      <c r="N74" s="83">
        <f t="shared" si="79"/>
        <v>0.20876983309997346</v>
      </c>
      <c r="O74" s="83">
        <f t="shared" si="79"/>
        <v>0.21655082900174297</v>
      </c>
      <c r="P74" s="83">
        <f t="shared" si="79"/>
        <v>0.21495649835680908</v>
      </c>
      <c r="Q74" s="83">
        <f t="shared" si="79"/>
        <v>0.21251454456250501</v>
      </c>
      <c r="R74" s="83">
        <f t="shared" si="79"/>
        <v>0.21683143063103402</v>
      </c>
      <c r="S74" s="83">
        <f t="shared" si="79"/>
        <v>0.21721763240484113</v>
      </c>
      <c r="T74" s="83">
        <f t="shared" ref="T74:Y74" si="80">T32/T$23</f>
        <v>0.22121202771527124</v>
      </c>
      <c r="U74" s="83">
        <f t="shared" si="80"/>
        <v>0.21852486029372745</v>
      </c>
      <c r="V74" s="83">
        <f t="shared" si="80"/>
        <v>0.21427445072452622</v>
      </c>
      <c r="W74" s="83">
        <f t="shared" si="80"/>
        <v>0.20872398885020682</v>
      </c>
      <c r="X74" s="83">
        <f t="shared" si="80"/>
        <v>0.20035792428430463</v>
      </c>
      <c r="Y74" s="83">
        <f t="shared" si="80"/>
        <v>0.20237152350349188</v>
      </c>
      <c r="Z74" s="83">
        <f t="shared" ref="Z74:AA74" si="81">Z32/Z$23</f>
        <v>0.19247390081055182</v>
      </c>
      <c r="AA74" s="83">
        <f t="shared" si="81"/>
        <v>0.19458038122016649</v>
      </c>
    </row>
    <row r="75" spans="1:27" x14ac:dyDescent="0.25">
      <c r="A75" s="85" t="s">
        <v>158</v>
      </c>
      <c r="B75" s="86"/>
      <c r="C75" s="86"/>
      <c r="D75" s="87">
        <f t="shared" si="51"/>
        <v>8.9229819780825663E-3</v>
      </c>
      <c r="E75" s="87">
        <f t="shared" ref="E75:S75" si="82">E33/E$23</f>
        <v>8.8105793703088069E-3</v>
      </c>
      <c r="F75" s="87">
        <f t="shared" si="82"/>
        <v>8.6876792775939637E-3</v>
      </c>
      <c r="G75" s="87">
        <f t="shared" si="82"/>
        <v>8.5514984840547956E-3</v>
      </c>
      <c r="H75" s="87">
        <f t="shared" si="82"/>
        <v>9.1458890864598973E-3</v>
      </c>
      <c r="I75" s="87">
        <f t="shared" si="82"/>
        <v>9.7605398318323412E-3</v>
      </c>
      <c r="J75" s="87">
        <f t="shared" si="82"/>
        <v>1.0108615207593681E-2</v>
      </c>
      <c r="K75" s="87">
        <f t="shared" si="82"/>
        <v>1.130032381430311E-2</v>
      </c>
      <c r="L75" s="87">
        <f t="shared" si="82"/>
        <v>1.0901687564661061E-2</v>
      </c>
      <c r="M75" s="87">
        <f t="shared" si="82"/>
        <v>7.9487495424387499E-3</v>
      </c>
      <c r="N75" s="87">
        <f t="shared" si="82"/>
        <v>7.4894432764584431E-3</v>
      </c>
      <c r="O75" s="87">
        <f t="shared" si="82"/>
        <v>8.3367223277558029E-3</v>
      </c>
      <c r="P75" s="87">
        <f t="shared" si="82"/>
        <v>8.4514391375138508E-3</v>
      </c>
      <c r="Q75" s="87">
        <f t="shared" si="82"/>
        <v>8.0033240242916685E-3</v>
      </c>
      <c r="R75" s="87">
        <f t="shared" si="82"/>
        <v>7.8122798957661471E-3</v>
      </c>
      <c r="S75" s="87">
        <f t="shared" si="82"/>
        <v>7.743750537987453E-3</v>
      </c>
      <c r="T75" s="87">
        <f t="shared" ref="T75:Y75" si="83">T33/T$23</f>
        <v>7.3330748145431553E-3</v>
      </c>
      <c r="U75" s="87">
        <f t="shared" si="83"/>
        <v>7.0828846633110738E-3</v>
      </c>
      <c r="V75" s="87">
        <f t="shared" si="83"/>
        <v>7.561945397606502E-3</v>
      </c>
      <c r="W75" s="87">
        <f t="shared" si="83"/>
        <v>6.6420531155498997E-3</v>
      </c>
      <c r="X75" s="87">
        <f t="shared" si="83"/>
        <v>5.8475589634775947E-3</v>
      </c>
      <c r="Y75" s="87">
        <f t="shared" si="83"/>
        <v>5.2931238872099542E-3</v>
      </c>
      <c r="Z75" s="87">
        <f t="shared" ref="Z75:AA75" si="84">Z33/Z$23</f>
        <v>6.0113467231868375E-3</v>
      </c>
      <c r="AA75" s="87">
        <f t="shared" si="84"/>
        <v>6.3233109640424088E-3</v>
      </c>
    </row>
    <row r="76" spans="1:27" x14ac:dyDescent="0.25">
      <c r="A76" s="88" t="s">
        <v>5</v>
      </c>
      <c r="B76" s="44"/>
      <c r="C76" s="44"/>
      <c r="D76" s="89">
        <f t="shared" si="51"/>
        <v>6.37694408290962E-3</v>
      </c>
      <c r="E76" s="89">
        <f t="shared" ref="E76:S76" si="85">E34/E$23</f>
        <v>6.2966138585174684E-3</v>
      </c>
      <c r="F76" s="89">
        <f t="shared" si="85"/>
        <v>6.2087814476763361E-3</v>
      </c>
      <c r="G76" s="89">
        <f t="shared" si="85"/>
        <v>6.1114577830428526E-3</v>
      </c>
      <c r="H76" s="89">
        <f t="shared" si="85"/>
        <v>6.5362480206847757E-3</v>
      </c>
      <c r="I76" s="89">
        <f t="shared" si="85"/>
        <v>6.9755174760514288E-3</v>
      </c>
      <c r="J76" s="89">
        <f t="shared" si="85"/>
        <v>7.2242748100144411E-3</v>
      </c>
      <c r="K76" s="89">
        <f t="shared" si="85"/>
        <v>8.07594739735964E-3</v>
      </c>
      <c r="L76" s="89">
        <f t="shared" si="85"/>
        <v>7.7910559698489449E-3</v>
      </c>
      <c r="M76" s="89">
        <f t="shared" si="85"/>
        <v>5.2073493738206602E-3</v>
      </c>
      <c r="N76" s="89">
        <f t="shared" si="85"/>
        <v>4.8891232337872235E-3</v>
      </c>
      <c r="O76" s="89">
        <f t="shared" si="85"/>
        <v>5.5737662811806525E-3</v>
      </c>
      <c r="P76" s="89">
        <f t="shared" si="85"/>
        <v>5.4627258425831247E-3</v>
      </c>
      <c r="Q76" s="89">
        <f t="shared" si="85"/>
        <v>5.1710649125033259E-3</v>
      </c>
      <c r="R76" s="89">
        <f t="shared" si="85"/>
        <v>5.1165985328462523E-3</v>
      </c>
      <c r="S76" s="89">
        <f t="shared" si="85"/>
        <v>4.9034703708548504E-3</v>
      </c>
      <c r="T76" s="89">
        <f t="shared" ref="T76:Y76" si="86">T34/T$23</f>
        <v>4.5325865241026076E-3</v>
      </c>
      <c r="U76" s="89">
        <f t="shared" si="86"/>
        <v>4.4706948268040097E-3</v>
      </c>
      <c r="V76" s="89">
        <f t="shared" si="86"/>
        <v>4.7710547313806907E-3</v>
      </c>
      <c r="W76" s="89">
        <f t="shared" si="86"/>
        <v>3.9690917395870098E-3</v>
      </c>
      <c r="X76" s="89">
        <f t="shared" si="86"/>
        <v>3.3143695542387527E-3</v>
      </c>
      <c r="Y76" s="89">
        <f t="shared" si="86"/>
        <v>3.126621637569459E-3</v>
      </c>
      <c r="Z76" s="89">
        <f t="shared" ref="Z76:AA76" si="87">Z34/Z$23</f>
        <v>3.7614505375584912E-3</v>
      </c>
      <c r="AA76" s="89">
        <f t="shared" si="87"/>
        <v>3.5692230183407706E-3</v>
      </c>
    </row>
    <row r="77" spans="1:27" x14ac:dyDescent="0.25">
      <c r="A77" s="88" t="s">
        <v>263</v>
      </c>
      <c r="B77" s="44"/>
      <c r="C77" s="44"/>
      <c r="D77" s="89">
        <f>D37/D$23</f>
        <v>2.5460378951729467E-3</v>
      </c>
      <c r="E77" s="89">
        <f t="shared" ref="E77:S77" si="88">E37/E$23</f>
        <v>2.5139655117913384E-3</v>
      </c>
      <c r="F77" s="89">
        <f t="shared" si="88"/>
        <v>2.4788978299176271E-3</v>
      </c>
      <c r="G77" s="89">
        <f t="shared" si="88"/>
        <v>2.440040701011943E-3</v>
      </c>
      <c r="H77" s="89">
        <f t="shared" si="88"/>
        <v>2.6096410657751212E-3</v>
      </c>
      <c r="I77" s="89">
        <f t="shared" si="88"/>
        <v>2.785022355780912E-3</v>
      </c>
      <c r="J77" s="89">
        <f t="shared" si="88"/>
        <v>2.8843403975792404E-3</v>
      </c>
      <c r="K77" s="89">
        <f t="shared" si="88"/>
        <v>3.2243764169434708E-3</v>
      </c>
      <c r="L77" s="89">
        <f t="shared" si="88"/>
        <v>3.1106315948121162E-3</v>
      </c>
      <c r="M77" s="89">
        <f t="shared" si="88"/>
        <v>2.7414001686180897E-3</v>
      </c>
      <c r="N77" s="89">
        <f t="shared" si="88"/>
        <v>2.6003200426712196E-3</v>
      </c>
      <c r="O77" s="89">
        <f t="shared" si="88"/>
        <v>2.7629560465751504E-3</v>
      </c>
      <c r="P77" s="89">
        <f t="shared" si="88"/>
        <v>2.9887132949307257E-3</v>
      </c>
      <c r="Q77" s="89">
        <f t="shared" si="88"/>
        <v>2.8322591117883426E-3</v>
      </c>
      <c r="R77" s="89">
        <f t="shared" si="88"/>
        <v>2.6956813629198948E-3</v>
      </c>
      <c r="S77" s="89">
        <f t="shared" si="88"/>
        <v>2.8402801671326022E-3</v>
      </c>
      <c r="T77" s="89">
        <f t="shared" ref="T77:Y77" si="89">T37/T$23</f>
        <v>2.8004882904405469E-3</v>
      </c>
      <c r="U77" s="89">
        <f t="shared" si="89"/>
        <v>2.6121898365070637E-3</v>
      </c>
      <c r="V77" s="89">
        <f t="shared" si="89"/>
        <v>2.7908906662258118E-3</v>
      </c>
      <c r="W77" s="89">
        <f t="shared" si="89"/>
        <v>2.6729613759628895E-3</v>
      </c>
      <c r="X77" s="89">
        <f t="shared" si="89"/>
        <v>2.5331894092388411E-3</v>
      </c>
      <c r="Y77" s="89">
        <f t="shared" si="89"/>
        <v>2.1665022496404947E-3</v>
      </c>
      <c r="Z77" s="89">
        <f t="shared" ref="Z77:AA77" si="90">Z37/Z$23</f>
        <v>2.249896185628346E-3</v>
      </c>
      <c r="AA77" s="89">
        <f t="shared" si="90"/>
        <v>2.7540879457016382E-3</v>
      </c>
    </row>
    <row r="78" spans="1:27" x14ac:dyDescent="0.25">
      <c r="A78" s="68" t="s">
        <v>265</v>
      </c>
      <c r="B78" s="44"/>
      <c r="C78" s="44"/>
      <c r="D78" s="89">
        <f>D43/D$23</f>
        <v>2.3854488040645772E-2</v>
      </c>
      <c r="E78" s="89">
        <f t="shared" ref="E78:S78" si="91">E43/E$23</f>
        <v>2.3866389482930288E-2</v>
      </c>
      <c r="F78" s="89">
        <f t="shared" si="91"/>
        <v>2.3893364052493427E-2</v>
      </c>
      <c r="G78" s="89">
        <f t="shared" si="91"/>
        <v>2.4035370731939617E-2</v>
      </c>
      <c r="H78" s="89">
        <f t="shared" si="91"/>
        <v>2.4232280353423872E-2</v>
      </c>
      <c r="I78" s="89">
        <f t="shared" si="91"/>
        <v>2.4850000310237205E-2</v>
      </c>
      <c r="J78" s="89">
        <f t="shared" si="91"/>
        <v>2.478684076711235E-2</v>
      </c>
      <c r="K78" s="89">
        <f t="shared" si="91"/>
        <v>2.5331251617643376E-2</v>
      </c>
      <c r="L78" s="89">
        <f t="shared" si="91"/>
        <v>2.5592939497748924E-2</v>
      </c>
      <c r="M78" s="89">
        <f t="shared" si="91"/>
        <v>2.4650297291147458E-2</v>
      </c>
      <c r="N78" s="89">
        <f t="shared" si="91"/>
        <v>2.5877747887587451E-2</v>
      </c>
      <c r="O78" s="89">
        <f t="shared" si="91"/>
        <v>2.541154357444618E-2</v>
      </c>
      <c r="P78" s="89">
        <f t="shared" si="91"/>
        <v>2.4823326468197963E-2</v>
      </c>
      <c r="Q78" s="89">
        <f t="shared" si="91"/>
        <v>2.4076092612575109E-2</v>
      </c>
      <c r="R78" s="89">
        <f t="shared" si="91"/>
        <v>2.4718914567533567E-2</v>
      </c>
      <c r="S78" s="89">
        <f t="shared" si="91"/>
        <v>2.502908310230896E-2</v>
      </c>
      <c r="T78" s="89">
        <f t="shared" ref="T78:Y78" si="92">T43/T$23</f>
        <v>2.5319180715152732E-2</v>
      </c>
      <c r="U78" s="89">
        <f t="shared" si="92"/>
        <v>2.4665151656625188E-2</v>
      </c>
      <c r="V78" s="89">
        <f t="shared" si="92"/>
        <v>2.2858187296453024E-2</v>
      </c>
      <c r="W78" s="89">
        <f t="shared" si="92"/>
        <v>2.3110549383190477E-2</v>
      </c>
      <c r="X78" s="89">
        <f t="shared" si="92"/>
        <v>2.4073762853226849E-2</v>
      </c>
      <c r="Y78" s="89">
        <f t="shared" si="92"/>
        <v>2.4027309556371498E-2</v>
      </c>
      <c r="Z78" s="89">
        <f t="shared" ref="Z78:AA78" si="93">Z43/Z$23</f>
        <v>2.1169172415290736E-2</v>
      </c>
      <c r="AA78" s="89">
        <f t="shared" si="93"/>
        <v>2.0422858791143826E-2</v>
      </c>
    </row>
    <row r="79" spans="1:27" x14ac:dyDescent="0.25">
      <c r="A79" s="88" t="s">
        <v>266</v>
      </c>
      <c r="B79" s="44"/>
      <c r="C79" s="44"/>
      <c r="D79" s="89">
        <f>D44/D$23</f>
        <v>1.7530605201644251E-2</v>
      </c>
      <c r="E79" s="89">
        <f t="shared" ref="E79:S79" si="94">E44/E$23</f>
        <v>1.7271223544368192E-2</v>
      </c>
      <c r="F79" s="89">
        <f t="shared" si="94"/>
        <v>1.7365875278945578E-2</v>
      </c>
      <c r="G79" s="89">
        <f t="shared" si="94"/>
        <v>1.687183516675397E-2</v>
      </c>
      <c r="H79" s="89">
        <f t="shared" si="94"/>
        <v>1.6715184070503045E-2</v>
      </c>
      <c r="I79" s="89">
        <f t="shared" si="94"/>
        <v>1.6490778079688958E-2</v>
      </c>
      <c r="J79" s="89">
        <f t="shared" si="94"/>
        <v>1.6323175439808976E-2</v>
      </c>
      <c r="K79" s="89">
        <f t="shared" si="94"/>
        <v>1.6591912683949946E-2</v>
      </c>
      <c r="L79" s="89">
        <f t="shared" si="94"/>
        <v>1.6325771325255548E-2</v>
      </c>
      <c r="M79" s="89">
        <f t="shared" si="94"/>
        <v>1.5543142067484325E-2</v>
      </c>
      <c r="N79" s="89">
        <f t="shared" si="94"/>
        <v>1.7414856383283175E-2</v>
      </c>
      <c r="O79" s="89">
        <f t="shared" si="94"/>
        <v>1.6777867833704458E-2</v>
      </c>
      <c r="P79" s="89">
        <f t="shared" si="94"/>
        <v>1.6163412363085765E-2</v>
      </c>
      <c r="Q79" s="89">
        <f t="shared" si="94"/>
        <v>1.5536370600538823E-2</v>
      </c>
      <c r="R79" s="89">
        <f t="shared" si="94"/>
        <v>1.6046032986851311E-2</v>
      </c>
      <c r="S79" s="89">
        <f t="shared" si="94"/>
        <v>1.7055428052781426E-2</v>
      </c>
      <c r="T79" s="89">
        <f t="shared" ref="T79:Y79" si="95">T44/T$23</f>
        <v>1.6704965313837371E-2</v>
      </c>
      <c r="U79" s="89">
        <f t="shared" si="95"/>
        <v>1.7039160748028932E-2</v>
      </c>
      <c r="V79" s="89">
        <f t="shared" si="95"/>
        <v>1.5168851952682617E-2</v>
      </c>
      <c r="W79" s="89">
        <f t="shared" si="95"/>
        <v>1.4915520991576295E-2</v>
      </c>
      <c r="X79" s="89">
        <f t="shared" si="95"/>
        <v>1.607852915570061E-2</v>
      </c>
      <c r="Y79" s="89">
        <f t="shared" si="95"/>
        <v>1.5271008489459137E-2</v>
      </c>
      <c r="Z79" s="89">
        <f t="shared" ref="Z79:AA79" si="96">Z44/Z$23</f>
        <v>1.3351247844439978E-2</v>
      </c>
      <c r="AA79" s="89">
        <f t="shared" si="96"/>
        <v>1.2856114126884775E-2</v>
      </c>
    </row>
    <row r="80" spans="1:27" x14ac:dyDescent="0.25">
      <c r="A80" s="88" t="s">
        <v>11</v>
      </c>
      <c r="B80" s="44"/>
      <c r="C80" s="44"/>
      <c r="D80" s="89">
        <f>D47/D$23</f>
        <v>6.3238828390015239E-3</v>
      </c>
      <c r="E80" s="89">
        <f t="shared" ref="E80:S80" si="97">E47/E$23</f>
        <v>6.5951659385620996E-3</v>
      </c>
      <c r="F80" s="89">
        <f t="shared" si="97"/>
        <v>6.5274887735478487E-3</v>
      </c>
      <c r="G80" s="89">
        <f t="shared" si="97"/>
        <v>7.1635355651856435E-3</v>
      </c>
      <c r="H80" s="89">
        <f t="shared" si="97"/>
        <v>7.5170962829208257E-3</v>
      </c>
      <c r="I80" s="89">
        <f t="shared" si="97"/>
        <v>8.3592222305482449E-3</v>
      </c>
      <c r="J80" s="89">
        <f t="shared" si="97"/>
        <v>8.4636653273033758E-3</v>
      </c>
      <c r="K80" s="89">
        <f t="shared" si="97"/>
        <v>8.7393389336934291E-3</v>
      </c>
      <c r="L80" s="89">
        <f t="shared" si="97"/>
        <v>9.2671681724933747E-3</v>
      </c>
      <c r="M80" s="89">
        <f t="shared" si="97"/>
        <v>9.1071552236631336E-3</v>
      </c>
      <c r="N80" s="89">
        <f t="shared" si="97"/>
        <v>8.4628915043042739E-3</v>
      </c>
      <c r="O80" s="89">
        <f t="shared" si="97"/>
        <v>8.6336757407417235E-3</v>
      </c>
      <c r="P80" s="89">
        <f t="shared" si="97"/>
        <v>8.6599141051121979E-3</v>
      </c>
      <c r="Q80" s="89">
        <f t="shared" si="97"/>
        <v>8.5397220120362848E-3</v>
      </c>
      <c r="R80" s="89">
        <f t="shared" si="97"/>
        <v>8.6728815806822526E-3</v>
      </c>
      <c r="S80" s="89">
        <f t="shared" si="97"/>
        <v>7.9736550495275345E-3</v>
      </c>
      <c r="T80" s="89">
        <f t="shared" ref="T80:Y80" si="98">T47/T$23</f>
        <v>8.6142154013153609E-3</v>
      </c>
      <c r="U80" s="89">
        <f t="shared" si="98"/>
        <v>7.6259909085962599E-3</v>
      </c>
      <c r="V80" s="89">
        <f t="shared" si="98"/>
        <v>7.6893353437704039E-3</v>
      </c>
      <c r="W80" s="89">
        <f t="shared" si="98"/>
        <v>8.1950283916141856E-3</v>
      </c>
      <c r="X80" s="89">
        <f t="shared" si="98"/>
        <v>7.9952336975262373E-3</v>
      </c>
      <c r="Y80" s="89">
        <f t="shared" si="98"/>
        <v>8.7563010669123604E-3</v>
      </c>
      <c r="Z80" s="89">
        <f t="shared" ref="Z80:AA80" si="99">Z47/Z$23</f>
        <v>7.8179245708507594E-3</v>
      </c>
      <c r="AA80" s="89">
        <f t="shared" si="99"/>
        <v>7.5667446642590517E-3</v>
      </c>
    </row>
    <row r="81" spans="1:27" x14ac:dyDescent="0.25">
      <c r="A81" s="68" t="s">
        <v>4</v>
      </c>
      <c r="B81" s="44"/>
      <c r="C81" s="44"/>
      <c r="D81" s="89">
        <f>D48/D$23</f>
        <v>8.6206761521428477E-3</v>
      </c>
      <c r="E81" s="89">
        <f t="shared" ref="E81:S81" si="100">E48/E$23</f>
        <v>7.710710798282081E-3</v>
      </c>
      <c r="F81" s="89">
        <f t="shared" si="100"/>
        <v>7.1658630005984447E-3</v>
      </c>
      <c r="G81" s="89">
        <f t="shared" si="100"/>
        <v>6.8143125863136334E-3</v>
      </c>
      <c r="H81" s="89">
        <f t="shared" si="100"/>
        <v>6.8085472473159957E-3</v>
      </c>
      <c r="I81" s="89">
        <f t="shared" si="100"/>
        <v>6.510208474630472E-3</v>
      </c>
      <c r="J81" s="89">
        <f t="shared" si="100"/>
        <v>6.7203113779361594E-3</v>
      </c>
      <c r="K81" s="89">
        <f t="shared" si="100"/>
        <v>6.8599064809879394E-3</v>
      </c>
      <c r="L81" s="89">
        <f t="shared" si="100"/>
        <v>6.4716091275844462E-3</v>
      </c>
      <c r="M81" s="89">
        <f t="shared" si="100"/>
        <v>5.9467223324966073E-3</v>
      </c>
      <c r="N81" s="89">
        <f t="shared" si="100"/>
        <v>6.0598113244619556E-3</v>
      </c>
      <c r="O81" s="89">
        <f t="shared" si="100"/>
        <v>6.2062447507977569E-3</v>
      </c>
      <c r="P81" s="89">
        <f t="shared" si="100"/>
        <v>6.166217371766888E-3</v>
      </c>
      <c r="Q81" s="89">
        <f t="shared" si="100"/>
        <v>6.19537719616047E-3</v>
      </c>
      <c r="R81" s="89">
        <f t="shared" si="100"/>
        <v>6.3619162530507032E-3</v>
      </c>
      <c r="S81" s="89">
        <f t="shared" si="100"/>
        <v>6.0367186197593662E-3</v>
      </c>
      <c r="T81" s="89">
        <f t="shared" ref="T81:Y81" si="101">T48/T$23</f>
        <v>6.3029732699518186E-3</v>
      </c>
      <c r="U81" s="89">
        <f t="shared" si="101"/>
        <v>5.9902905903904125E-3</v>
      </c>
      <c r="V81" s="89">
        <f t="shared" si="101"/>
        <v>6.0511853455297538E-3</v>
      </c>
      <c r="W81" s="89">
        <f t="shared" si="101"/>
        <v>6.0626130532790709E-3</v>
      </c>
      <c r="X81" s="89">
        <f t="shared" si="101"/>
        <v>6.2143216809022427E-3</v>
      </c>
      <c r="Y81" s="89">
        <f t="shared" si="101"/>
        <v>5.8167897913988251E-3</v>
      </c>
      <c r="Z81" s="89">
        <f t="shared" ref="Z81:AA81" si="102">Z48/Z$23</f>
        <v>5.4765284082904904E-3</v>
      </c>
      <c r="AA81" s="89">
        <f t="shared" si="102"/>
        <v>5.4444626110167899E-3</v>
      </c>
    </row>
    <row r="82" spans="1:27" x14ac:dyDescent="0.25">
      <c r="A82" s="68" t="s">
        <v>3</v>
      </c>
      <c r="B82" s="44"/>
      <c r="C82" s="44"/>
      <c r="D82" s="89">
        <f>D52/D$23</f>
        <v>1.1079325779690582E-2</v>
      </c>
      <c r="E82" s="89">
        <f t="shared" ref="E82:S82" si="103">E52/E$23</f>
        <v>1.0665438185110662E-2</v>
      </c>
      <c r="F82" s="89">
        <f t="shared" si="103"/>
        <v>1.0087710322845661E-2</v>
      </c>
      <c r="G82" s="89">
        <f t="shared" si="103"/>
        <v>9.2186929536327115E-3</v>
      </c>
      <c r="H82" s="89">
        <f t="shared" si="103"/>
        <v>9.3624170318561909E-3</v>
      </c>
      <c r="I82" s="89">
        <f t="shared" si="103"/>
        <v>9.3338443496974698E-3</v>
      </c>
      <c r="J82" s="89">
        <f t="shared" si="103"/>
        <v>9.0916205960174263E-3</v>
      </c>
      <c r="K82" s="89">
        <f t="shared" si="103"/>
        <v>8.7050635698143024E-3</v>
      </c>
      <c r="L82" s="89">
        <f t="shared" si="103"/>
        <v>8.1713021210770131E-3</v>
      </c>
      <c r="M82" s="89">
        <f t="shared" si="103"/>
        <v>7.8772485706551012E-3</v>
      </c>
      <c r="N82" s="89">
        <f t="shared" si="103"/>
        <v>7.6470573159824048E-3</v>
      </c>
      <c r="O82" s="89">
        <f t="shared" si="103"/>
        <v>7.2953458671060059E-3</v>
      </c>
      <c r="P82" s="89">
        <f t="shared" si="103"/>
        <v>7.4158667456817465E-3</v>
      </c>
      <c r="Q82" s="89">
        <f t="shared" si="103"/>
        <v>7.0862438760251611E-3</v>
      </c>
      <c r="R82" s="89">
        <f t="shared" si="103"/>
        <v>6.8510054690091356E-3</v>
      </c>
      <c r="S82" s="89">
        <f t="shared" si="103"/>
        <v>6.7119042231606465E-3</v>
      </c>
      <c r="T82" s="89">
        <f t="shared" ref="T82:Y82" si="104">T52/T$23</f>
        <v>6.595384668246297E-3</v>
      </c>
      <c r="U82" s="89">
        <f t="shared" si="104"/>
        <v>6.2002110624394162E-3</v>
      </c>
      <c r="V82" s="89">
        <f t="shared" si="104"/>
        <v>5.9902597191035393E-3</v>
      </c>
      <c r="W82" s="89">
        <f t="shared" si="104"/>
        <v>5.8722075306333072E-3</v>
      </c>
      <c r="X82" s="89">
        <f t="shared" si="104"/>
        <v>5.8885254235593269E-3</v>
      </c>
      <c r="Y82" s="89">
        <f t="shared" si="104"/>
        <v>5.076675313478554E-3</v>
      </c>
      <c r="Z82" s="89">
        <f t="shared" ref="Z82:AA82" si="105">Z52/Z$23</f>
        <v>4.9592496841481632E-3</v>
      </c>
      <c r="AA82" s="89">
        <f t="shared" si="105"/>
        <v>5.0519503693206569E-3</v>
      </c>
    </row>
    <row r="83" spans="1:27" x14ac:dyDescent="0.25">
      <c r="A83" s="88" t="s">
        <v>21</v>
      </c>
      <c r="B83" s="44"/>
      <c r="C83" s="44"/>
      <c r="D83" s="89">
        <f>D53/D$23</f>
        <v>5.0796776866451308E-3</v>
      </c>
      <c r="E83" s="89">
        <f t="shared" ref="E83:S83" si="106">E53/E$23</f>
        <v>5.1403053032881259E-3</v>
      </c>
      <c r="F83" s="89">
        <f t="shared" si="106"/>
        <v>5.0605756747974951E-3</v>
      </c>
      <c r="G83" s="89">
        <f t="shared" si="106"/>
        <v>4.8375319459656807E-3</v>
      </c>
      <c r="H83" s="89">
        <f t="shared" si="106"/>
        <v>4.7848809362127038E-3</v>
      </c>
      <c r="I83" s="89">
        <f t="shared" si="106"/>
        <v>4.6950821675175915E-3</v>
      </c>
      <c r="J83" s="89">
        <f t="shared" si="106"/>
        <v>4.6432989803965362E-3</v>
      </c>
      <c r="K83" s="89">
        <f t="shared" si="106"/>
        <v>4.5770793610896403E-3</v>
      </c>
      <c r="L83" s="89">
        <f t="shared" si="106"/>
        <v>4.2643389476146676E-3</v>
      </c>
      <c r="M83" s="89">
        <f t="shared" si="106"/>
        <v>4.2621774249397186E-3</v>
      </c>
      <c r="N83" s="89">
        <f t="shared" si="106"/>
        <v>4.0479898443593395E-3</v>
      </c>
      <c r="O83" s="89">
        <f t="shared" si="106"/>
        <v>3.9219877278291442E-3</v>
      </c>
      <c r="P83" s="89">
        <f t="shared" si="106"/>
        <v>4.0882701419430421E-3</v>
      </c>
      <c r="Q83" s="89">
        <f t="shared" si="106"/>
        <v>3.9813172306996493E-3</v>
      </c>
      <c r="R83" s="89">
        <f t="shared" si="106"/>
        <v>3.9987363317031607E-3</v>
      </c>
      <c r="S83" s="89">
        <f t="shared" si="106"/>
        <v>3.989006714446611E-3</v>
      </c>
      <c r="T83" s="89">
        <f t="shared" ref="T83:Y83" si="107">T53/T$23</f>
        <v>3.912492558235098E-3</v>
      </c>
      <c r="U83" s="89">
        <f t="shared" si="107"/>
        <v>3.7268440925692188E-3</v>
      </c>
      <c r="V83" s="89">
        <f t="shared" si="107"/>
        <v>3.8422241307183749E-3</v>
      </c>
      <c r="W83" s="89">
        <f t="shared" si="107"/>
        <v>3.7821748169402716E-3</v>
      </c>
      <c r="X83" s="89">
        <f t="shared" si="107"/>
        <v>3.6737560147311519E-3</v>
      </c>
      <c r="Y83" s="89">
        <f t="shared" si="107"/>
        <v>3.0433337330396759E-3</v>
      </c>
      <c r="Z83" s="89">
        <f t="shared" ref="Z83:AA83" si="108">Z53/Z$23</f>
        <v>3.1910918924216163E-3</v>
      </c>
      <c r="AA83" s="89">
        <f t="shared" si="108"/>
        <v>3.3576831888266555E-3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5.9996480930454513E-3</v>
      </c>
      <c r="E84" s="89">
        <f t="shared" ref="E84:S84" si="110">E56/E$23</f>
        <v>5.5251328818225354E-3</v>
      </c>
      <c r="F84" s="89">
        <f t="shared" si="110"/>
        <v>5.0271346480481672E-3</v>
      </c>
      <c r="G84" s="89">
        <f t="shared" si="110"/>
        <v>4.3811610076670317E-3</v>
      </c>
      <c r="H84" s="89">
        <f t="shared" si="110"/>
        <v>4.5775360956434863E-3</v>
      </c>
      <c r="I84" s="89">
        <f t="shared" si="110"/>
        <v>4.6387621821798791E-3</v>
      </c>
      <c r="J84" s="89">
        <f t="shared" si="110"/>
        <v>4.4483216156208909E-3</v>
      </c>
      <c r="K84" s="89">
        <f t="shared" si="110"/>
        <v>4.127984208724662E-3</v>
      </c>
      <c r="L84" s="89">
        <f t="shared" si="110"/>
        <v>3.9069631734623455E-3</v>
      </c>
      <c r="M84" s="89">
        <f t="shared" si="110"/>
        <v>3.615071145715383E-3</v>
      </c>
      <c r="N84" s="89">
        <f t="shared" si="110"/>
        <v>3.5990674716230658E-3</v>
      </c>
      <c r="O84" s="89">
        <f t="shared" si="110"/>
        <v>3.3733581392768612E-3</v>
      </c>
      <c r="P84" s="89">
        <f t="shared" si="110"/>
        <v>3.3275966037387044E-3</v>
      </c>
      <c r="Q84" s="89">
        <f t="shared" si="110"/>
        <v>3.1049266453255123E-3</v>
      </c>
      <c r="R84" s="89">
        <f t="shared" si="110"/>
        <v>2.8522691373059745E-3</v>
      </c>
      <c r="S84" s="89">
        <f t="shared" si="110"/>
        <v>2.722897508714035E-3</v>
      </c>
      <c r="T84" s="89">
        <f t="shared" ref="T84:Y84" si="111">T56/T$23</f>
        <v>2.6828921100111986E-3</v>
      </c>
      <c r="U84" s="89">
        <f t="shared" si="111"/>
        <v>2.4733669698701983E-3</v>
      </c>
      <c r="V84" s="89">
        <f t="shared" si="111"/>
        <v>2.1480355883851648E-3</v>
      </c>
      <c r="W84" s="89">
        <f t="shared" si="111"/>
        <v>2.0900327136930351E-3</v>
      </c>
      <c r="X84" s="89">
        <f t="shared" si="111"/>
        <v>2.214769408828175E-3</v>
      </c>
      <c r="Y84" s="89">
        <f t="shared" si="111"/>
        <v>2.0333415804388777E-3</v>
      </c>
      <c r="Z84" s="89">
        <f t="shared" ref="Z84:AA84" si="112">Z56/Z$23</f>
        <v>1.7681577917265472E-3</v>
      </c>
      <c r="AA84" s="89">
        <f t="shared" si="112"/>
        <v>1.6942671804940019E-3</v>
      </c>
    </row>
    <row r="85" spans="1:27" x14ac:dyDescent="0.25">
      <c r="A85" s="68" t="s">
        <v>2</v>
      </c>
      <c r="B85" s="44"/>
      <c r="C85" s="44"/>
      <c r="D85" s="89">
        <f t="shared" si="109"/>
        <v>1.8824933599752305E-2</v>
      </c>
      <c r="E85" s="89">
        <f t="shared" ref="E85:S85" si="113">E57/E$23</f>
        <v>1.847678063664944E-2</v>
      </c>
      <c r="F85" s="89">
        <f t="shared" si="113"/>
        <v>1.8294238111091092E-2</v>
      </c>
      <c r="G85" s="89">
        <f t="shared" si="113"/>
        <v>1.8372898709462356E-2</v>
      </c>
      <c r="H85" s="89">
        <f t="shared" si="113"/>
        <v>1.8145815138299975E-2</v>
      </c>
      <c r="I85" s="89">
        <f t="shared" si="113"/>
        <v>1.7348464636060729E-2</v>
      </c>
      <c r="J85" s="89">
        <f t="shared" si="113"/>
        <v>1.6877899773396023E-2</v>
      </c>
      <c r="K85" s="89">
        <f t="shared" si="113"/>
        <v>1.6318149200658966E-2</v>
      </c>
      <c r="L85" s="89">
        <f t="shared" si="113"/>
        <v>1.559332363354481E-2</v>
      </c>
      <c r="M85" s="89">
        <f t="shared" si="113"/>
        <v>1.6270743151421071E-2</v>
      </c>
      <c r="N85" s="89">
        <f t="shared" si="113"/>
        <v>1.6097988947368871E-2</v>
      </c>
      <c r="O85" s="89">
        <f t="shared" si="113"/>
        <v>1.5487262615727191E-2</v>
      </c>
      <c r="P85" s="89">
        <f t="shared" si="113"/>
        <v>1.5607612497454085E-2</v>
      </c>
      <c r="Q85" s="89">
        <f t="shared" si="113"/>
        <v>1.5751164543114895E-2</v>
      </c>
      <c r="R85" s="89">
        <f t="shared" si="113"/>
        <v>1.5567837463107007E-2</v>
      </c>
      <c r="S85" s="89">
        <f t="shared" si="113"/>
        <v>1.598145073741963E-2</v>
      </c>
      <c r="T85" s="89">
        <f t="shared" ref="T85:Y85" si="114">T57/T$23</f>
        <v>1.6044059455581867E-2</v>
      </c>
      <c r="U85" s="89">
        <f t="shared" si="114"/>
        <v>1.5447459760764554E-2</v>
      </c>
      <c r="V85" s="89">
        <f t="shared" si="114"/>
        <v>1.5225542107752997E-2</v>
      </c>
      <c r="W85" s="89">
        <f t="shared" si="114"/>
        <v>1.5141983373992187E-2</v>
      </c>
      <c r="X85" s="89">
        <f t="shared" si="114"/>
        <v>1.7025918866409664E-2</v>
      </c>
      <c r="Y85" s="89">
        <f t="shared" si="114"/>
        <v>1.555636846043742E-2</v>
      </c>
      <c r="Z85" s="89">
        <f t="shared" ref="Z85:AA85" si="115">Z57/Z$23</f>
        <v>1.3670579758644096E-2</v>
      </c>
      <c r="AA85" s="89">
        <f t="shared" si="115"/>
        <v>1.3141156303480384E-2</v>
      </c>
    </row>
    <row r="86" spans="1:27" x14ac:dyDescent="0.25">
      <c r="A86" s="68" t="s">
        <v>269</v>
      </c>
      <c r="B86" s="44"/>
      <c r="C86" s="44"/>
      <c r="D86" s="89">
        <f t="shared" si="109"/>
        <v>3.2721603484400966E-2</v>
      </c>
      <c r="E86" s="89">
        <f t="shared" ref="E86:S86" si="116">E58/E$23</f>
        <v>3.678769603577025E-2</v>
      </c>
      <c r="F86" s="89">
        <f t="shared" si="116"/>
        <v>3.6499133777583237E-2</v>
      </c>
      <c r="G86" s="89">
        <f t="shared" si="116"/>
        <v>3.7981967395272792E-2</v>
      </c>
      <c r="H86" s="89">
        <f t="shared" si="116"/>
        <v>3.6916564726147731E-2</v>
      </c>
      <c r="I86" s="89">
        <f t="shared" si="116"/>
        <v>3.7170235746867439E-2</v>
      </c>
      <c r="J86" s="89">
        <f t="shared" si="116"/>
        <v>3.9235761961014595E-2</v>
      </c>
      <c r="K86" s="89">
        <f t="shared" si="116"/>
        <v>4.0569726856109829E-2</v>
      </c>
      <c r="L86" s="89">
        <f t="shared" si="116"/>
        <v>3.583037426480077E-2</v>
      </c>
      <c r="M86" s="89">
        <f t="shared" si="116"/>
        <v>2.9463346982973773E-2</v>
      </c>
      <c r="N86" s="89">
        <f t="shared" si="116"/>
        <v>3.9913085894953022E-2</v>
      </c>
      <c r="O86" s="89">
        <f t="shared" si="116"/>
        <v>4.3217327068486515E-2</v>
      </c>
      <c r="P86" s="89">
        <f t="shared" si="116"/>
        <v>4.364009297743468E-2</v>
      </c>
      <c r="Q86" s="89">
        <f t="shared" si="116"/>
        <v>4.3319125894290079E-2</v>
      </c>
      <c r="R86" s="89">
        <f t="shared" si="116"/>
        <v>4.6876684531069746E-2</v>
      </c>
      <c r="S86" s="89">
        <f t="shared" si="116"/>
        <v>4.7962148928002123E-2</v>
      </c>
      <c r="T86" s="89">
        <f t="shared" ref="T86:Y86" si="117">T58/T$23</f>
        <v>5.0752310716211585E-2</v>
      </c>
      <c r="U86" s="89">
        <f t="shared" si="117"/>
        <v>5.0868264659670218E-2</v>
      </c>
      <c r="V86" s="89">
        <f t="shared" si="117"/>
        <v>4.9103122650127909E-2</v>
      </c>
      <c r="W86" s="89">
        <f t="shared" si="117"/>
        <v>4.689890447241065E-2</v>
      </c>
      <c r="X86" s="89">
        <f t="shared" si="117"/>
        <v>4.0634212413353514E-2</v>
      </c>
      <c r="Y86" s="89">
        <f t="shared" si="117"/>
        <v>4.5214376678197436E-2</v>
      </c>
      <c r="Z86" s="89">
        <f t="shared" ref="Z86:AA86" si="118">Z58/Z$23</f>
        <v>4.670598133453456E-2</v>
      </c>
      <c r="AA86" s="89">
        <f t="shared" si="118"/>
        <v>5.0063097723080034E-2</v>
      </c>
    </row>
    <row r="87" spans="1:27" x14ac:dyDescent="0.25">
      <c r="A87" s="68" t="s">
        <v>270</v>
      </c>
      <c r="B87" s="44"/>
      <c r="C87" s="44"/>
      <c r="D87" s="89">
        <f t="shared" si="109"/>
        <v>8.538912607510446E-2</v>
      </c>
      <c r="E87" s="89">
        <f t="shared" ref="E87:S87" si="119">E59/E$23</f>
        <v>8.095791220166379E-2</v>
      </c>
      <c r="F87" s="89">
        <f t="shared" si="119"/>
        <v>7.8133212080496048E-2</v>
      </c>
      <c r="G87" s="89">
        <f t="shared" si="119"/>
        <v>7.9369850945283094E-2</v>
      </c>
      <c r="H87" s="89">
        <f t="shared" si="119"/>
        <v>8.1514071658183584E-2</v>
      </c>
      <c r="I87" s="89">
        <f t="shared" si="119"/>
        <v>8.1306012731180405E-2</v>
      </c>
      <c r="J87" s="89">
        <f t="shared" si="119"/>
        <v>8.4939646267121735E-2</v>
      </c>
      <c r="K87" s="89">
        <f t="shared" si="119"/>
        <v>8.7028224883298977E-2</v>
      </c>
      <c r="L87" s="89">
        <f t="shared" si="119"/>
        <v>8.6681752988598065E-2</v>
      </c>
      <c r="M87" s="89">
        <f t="shared" si="119"/>
        <v>7.2761907160260209E-2</v>
      </c>
      <c r="N87" s="89">
        <f t="shared" si="119"/>
        <v>8.1346357065423078E-2</v>
      </c>
      <c r="O87" s="89">
        <f t="shared" si="119"/>
        <v>8.5340250281147154E-2</v>
      </c>
      <c r="P87" s="89">
        <f t="shared" si="119"/>
        <v>8.4284308637386007E-2</v>
      </c>
      <c r="Q87" s="89">
        <f t="shared" si="119"/>
        <v>8.3903834913053435E-2</v>
      </c>
      <c r="R87" s="89">
        <f t="shared" si="119"/>
        <v>8.4399443895794707E-2</v>
      </c>
      <c r="S87" s="89">
        <f t="shared" si="119"/>
        <v>8.3321317523554331E-2</v>
      </c>
      <c r="T87" s="89">
        <f t="shared" ref="T87:Y87" si="120">T59/T$23</f>
        <v>8.4585080847894886E-2</v>
      </c>
      <c r="U87" s="89">
        <f t="shared" si="120"/>
        <v>8.425905462567318E-2</v>
      </c>
      <c r="V87" s="89">
        <f t="shared" si="120"/>
        <v>8.4433469867553554E-2</v>
      </c>
      <c r="W87" s="89">
        <f t="shared" si="120"/>
        <v>8.1636209690249428E-2</v>
      </c>
      <c r="X87" s="89">
        <f t="shared" si="120"/>
        <v>7.6869207640922199E-2</v>
      </c>
      <c r="Y87" s="89">
        <f t="shared" si="120"/>
        <v>7.8236596809129089E-2</v>
      </c>
      <c r="Z87" s="89">
        <f t="shared" ref="Z87:AA87" si="121">Z59/Z$23</f>
        <v>7.2479435525856423E-2</v>
      </c>
      <c r="AA87" s="89">
        <f t="shared" si="121"/>
        <v>7.2050777877635599E-2</v>
      </c>
    </row>
    <row r="88" spans="1:27" x14ac:dyDescent="0.25">
      <c r="A88" s="68" t="s">
        <v>1</v>
      </c>
      <c r="B88" s="44"/>
      <c r="C88" s="44"/>
      <c r="D88" s="89">
        <f t="shared" si="109"/>
        <v>4.7356024892456919E-3</v>
      </c>
      <c r="E88" s="89">
        <f t="shared" ref="E88:S88" si="122">E60/E$23</f>
        <v>4.40453115510473E-3</v>
      </c>
      <c r="F88" s="89">
        <f t="shared" si="122"/>
        <v>4.096276216891512E-3</v>
      </c>
      <c r="G88" s="89">
        <f t="shared" si="122"/>
        <v>3.90197152245345E-3</v>
      </c>
      <c r="H88" s="89">
        <f t="shared" si="122"/>
        <v>3.8076052540892604E-3</v>
      </c>
      <c r="I88" s="89">
        <f t="shared" si="122"/>
        <v>3.5844329651374515E-3</v>
      </c>
      <c r="J88" s="89">
        <f t="shared" si="122"/>
        <v>3.5164579661297771E-3</v>
      </c>
      <c r="K88" s="89">
        <f t="shared" si="122"/>
        <v>3.4002918679062631E-3</v>
      </c>
      <c r="L88" s="89">
        <f t="shared" si="122"/>
        <v>3.1965277576957722E-3</v>
      </c>
      <c r="M88" s="89">
        <f t="shared" si="122"/>
        <v>2.7826919081585756E-3</v>
      </c>
      <c r="N88" s="89">
        <f t="shared" si="122"/>
        <v>2.9549428873354346E-3</v>
      </c>
      <c r="O88" s="89">
        <f t="shared" si="122"/>
        <v>3.0621281198973879E-3</v>
      </c>
      <c r="P88" s="89">
        <f t="shared" si="122"/>
        <v>2.9046445101658558E-3</v>
      </c>
      <c r="Q88" s="89">
        <f t="shared" si="122"/>
        <v>2.8302720958020109E-3</v>
      </c>
      <c r="R88" s="89">
        <f t="shared" si="122"/>
        <v>2.9281493382457622E-3</v>
      </c>
      <c r="S88" s="89">
        <f t="shared" si="122"/>
        <v>2.668417766642926E-3</v>
      </c>
      <c r="T88" s="89">
        <f t="shared" ref="T88:Y88" si="123">T60/T$23</f>
        <v>2.6464283385212398E-3</v>
      </c>
      <c r="U88" s="89">
        <f t="shared" si="123"/>
        <v>2.6050290899393347E-3</v>
      </c>
      <c r="V88" s="89">
        <f t="shared" si="123"/>
        <v>2.4738410772953976E-3</v>
      </c>
      <c r="W88" s="89">
        <f t="shared" si="123"/>
        <v>2.384813356726012E-3</v>
      </c>
      <c r="X88" s="89">
        <f t="shared" si="123"/>
        <v>2.1999311634442404E-3</v>
      </c>
      <c r="Y88" s="89">
        <f t="shared" si="123"/>
        <v>2.2300578157515671E-3</v>
      </c>
      <c r="Z88" s="89">
        <f t="shared" ref="Z88:AA88" si="124">Z60/Z$23</f>
        <v>2.154864006922292E-3</v>
      </c>
      <c r="AA88" s="89">
        <f t="shared" si="124"/>
        <v>2.1813860468217383E-3</v>
      </c>
    </row>
    <row r="89" spans="1:27" x14ac:dyDescent="0.25">
      <c r="A89" s="68" t="s">
        <v>0</v>
      </c>
      <c r="B89" s="44"/>
      <c r="C89" s="44"/>
      <c r="D89" s="89">
        <f t="shared" si="109"/>
        <v>3.830251362856273E-3</v>
      </c>
      <c r="E89" s="89">
        <f t="shared" ref="E89:S89" si="125">E61/E$23</f>
        <v>3.3638279269525445E-3</v>
      </c>
      <c r="F89" s="89">
        <f t="shared" si="125"/>
        <v>3.1803913798017194E-3</v>
      </c>
      <c r="G89" s="89">
        <f t="shared" si="125"/>
        <v>3.0398272933631759E-3</v>
      </c>
      <c r="H89" s="89">
        <f t="shared" si="125"/>
        <v>3.169137807954212E-3</v>
      </c>
      <c r="I89" s="89">
        <f t="shared" si="125"/>
        <v>2.9878229509667704E-3</v>
      </c>
      <c r="J89" s="89">
        <f t="shared" si="125"/>
        <v>2.9937721666607928E-3</v>
      </c>
      <c r="K89" s="89">
        <f t="shared" si="125"/>
        <v>2.978441235547771E-3</v>
      </c>
      <c r="L89" s="89">
        <f t="shared" si="125"/>
        <v>2.5935640421271802E-3</v>
      </c>
      <c r="M89" s="89">
        <f t="shared" si="125"/>
        <v>2.3473903944065556E-3</v>
      </c>
      <c r="N89" s="89">
        <f t="shared" si="125"/>
        <v>2.6115236792669623E-3</v>
      </c>
      <c r="O89" s="89">
        <f t="shared" si="125"/>
        <v>2.5926317210693745E-3</v>
      </c>
      <c r="P89" s="89">
        <f t="shared" si="125"/>
        <v>2.4296737106663554E-3</v>
      </c>
      <c r="Q89" s="89">
        <f t="shared" si="125"/>
        <v>2.4245502042694309E-3</v>
      </c>
      <c r="R89" s="89">
        <f t="shared" si="125"/>
        <v>2.3639312104657582E-3</v>
      </c>
      <c r="S89" s="89">
        <f t="shared" si="125"/>
        <v>2.5692646360735067E-3</v>
      </c>
      <c r="T89" s="89">
        <f t="shared" ref="T89:Y89" si="126">T61/T$23</f>
        <v>2.4343073601421528E-3</v>
      </c>
      <c r="U89" s="89">
        <f t="shared" si="126"/>
        <v>2.3239035937713069E-3</v>
      </c>
      <c r="V89" s="89">
        <f t="shared" si="126"/>
        <v>2.2643481479261178E-3</v>
      </c>
      <c r="W89" s="89">
        <f t="shared" si="126"/>
        <v>2.4948816654979818E-3</v>
      </c>
      <c r="X89" s="89">
        <f t="shared" si="126"/>
        <v>2.9444239970555755E-3</v>
      </c>
      <c r="Y89" s="89">
        <f t="shared" si="126"/>
        <v>2.8484389443502521E-3</v>
      </c>
      <c r="Z89" s="89">
        <f t="shared" ref="Z89:AA89" si="127">Z61/Z$23</f>
        <v>2.9550034327484758E-3</v>
      </c>
      <c r="AA89" s="89">
        <f t="shared" si="127"/>
        <v>3.092709066496232E-3</v>
      </c>
    </row>
    <row r="90" spans="1:27" x14ac:dyDescent="0.25">
      <c r="A90" s="90" t="s">
        <v>272</v>
      </c>
      <c r="B90" s="47"/>
      <c r="C90" s="47"/>
      <c r="D90" s="91">
        <f t="shared" si="109"/>
        <v>1.9629516117495152E-2</v>
      </c>
      <c r="E90" s="91">
        <f t="shared" ref="E90:S90" si="128">E62/E$23</f>
        <v>1.9442642233233831E-2</v>
      </c>
      <c r="F90" s="91">
        <f t="shared" si="128"/>
        <v>1.8824303341058043E-2</v>
      </c>
      <c r="G90" s="91">
        <f t="shared" si="128"/>
        <v>1.8876890963061731E-2</v>
      </c>
      <c r="H90" s="91">
        <f t="shared" si="128"/>
        <v>1.8839381213397472E-2</v>
      </c>
      <c r="I90" s="91">
        <f t="shared" si="128"/>
        <v>1.8883900168530393E-2</v>
      </c>
      <c r="J90" s="91">
        <f t="shared" si="128"/>
        <v>1.9421759382370292E-2</v>
      </c>
      <c r="K90" s="91">
        <f t="shared" si="128"/>
        <v>1.8935820259991819E-2</v>
      </c>
      <c r="L90" s="91">
        <f t="shared" si="128"/>
        <v>1.8735899734514685E-2</v>
      </c>
      <c r="M90" s="91">
        <f t="shared" si="128"/>
        <v>1.7625664082138878E-2</v>
      </c>
      <c r="N90" s="91">
        <f t="shared" si="128"/>
        <v>1.877187482113583E-2</v>
      </c>
      <c r="O90" s="91">
        <f t="shared" si="128"/>
        <v>1.9601372675309585E-2</v>
      </c>
      <c r="P90" s="91">
        <f t="shared" si="128"/>
        <v>1.9233316300541675E-2</v>
      </c>
      <c r="Q90" s="91">
        <f t="shared" si="128"/>
        <v>1.8924559202922762E-2</v>
      </c>
      <c r="R90" s="91">
        <f t="shared" si="128"/>
        <v>1.8951268006991494E-2</v>
      </c>
      <c r="S90" s="91">
        <f t="shared" si="128"/>
        <v>1.9193576329932224E-2</v>
      </c>
      <c r="T90" s="91">
        <f t="shared" ref="T90:Y90" si="129">T62/T$23</f>
        <v>1.9199227529025514E-2</v>
      </c>
      <c r="U90" s="91">
        <f t="shared" si="129"/>
        <v>1.9082610591142767E-2</v>
      </c>
      <c r="V90" s="91">
        <f t="shared" si="129"/>
        <v>1.8312549115177452E-2</v>
      </c>
      <c r="W90" s="91">
        <f t="shared" si="129"/>
        <v>1.8479773208677813E-2</v>
      </c>
      <c r="X90" s="91">
        <f t="shared" si="129"/>
        <v>1.8660061281953435E-2</v>
      </c>
      <c r="Y90" s="91">
        <f t="shared" si="129"/>
        <v>1.8071786247167272E-2</v>
      </c>
      <c r="Z90" s="91">
        <f t="shared" ref="Z90:AA90" si="130">Z62/Z$23</f>
        <v>1.6891739520929743E-2</v>
      </c>
      <c r="AA90" s="91">
        <f t="shared" si="130"/>
        <v>1.6808671467128871E-2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1.6356355823298419E-2</v>
      </c>
      <c r="F93" s="92">
        <f t="shared" ref="F93:F94" si="132">IF(E16=0,"",F16/E16-1)</f>
        <v>-2.2811972049678886E-3</v>
      </c>
      <c r="G93" s="92">
        <f t="shared" ref="G93:G94" si="133">IF(F16=0,"",G16/F16-1)</f>
        <v>-5.2971629579422475E-3</v>
      </c>
      <c r="H93" s="92">
        <f t="shared" ref="H93:H94" si="134">IF(G16=0,"",H16/G16-1)</f>
        <v>1.1617980456812393E-2</v>
      </c>
      <c r="I93" s="92">
        <f t="shared" ref="I93:I94" si="135">IF(H16=0,"",I16/H16-1)</f>
        <v>8.8642059215848779E-3</v>
      </c>
      <c r="J93" s="92">
        <f t="shared" ref="J93:J94" si="136">IF(I16=0,"",J16/I16-1)</f>
        <v>3.8667439714312968E-2</v>
      </c>
      <c r="K93" s="92">
        <f t="shared" ref="K93:K94" si="137">IF(J16=0,"",K16/J16-1)</f>
        <v>2.8886431008102287E-2</v>
      </c>
      <c r="L93" s="92">
        <f t="shared" ref="L93:L94" si="138">IF(K16=0,"",L16/K16-1)</f>
        <v>8.8814625470117203E-3</v>
      </c>
      <c r="M93" s="92">
        <f t="shared" ref="M93:M94" si="139">IF(L16=0,"",M16/L16-1)</f>
        <v>-5.5450023582392038E-2</v>
      </c>
      <c r="N93" s="92">
        <f t="shared" ref="N93:N94" si="140">IF(M16=0,"",N16/M16-1)</f>
        <v>4.1346304600238915E-2</v>
      </c>
      <c r="O93" s="92">
        <f t="shared" ref="O93:O94" si="141">IF(N16=0,"",O16/N16-1)</f>
        <v>3.7586066794332407E-2</v>
      </c>
      <c r="P93" s="92">
        <f t="shared" ref="P93:P94" si="142">IF(O16=0,"",P16/O16-1)</f>
        <v>4.6256725032007839E-3</v>
      </c>
      <c r="Q93" s="92">
        <f t="shared" ref="Q93:Q94" si="143">IF(P16=0,"",Q16/P16-1)</f>
        <v>3.9736236319269924E-3</v>
      </c>
      <c r="R93" s="92">
        <f t="shared" ref="R93:R94" si="144">IF(Q16=0,"",R16/Q16-1)</f>
        <v>2.180803298122358E-2</v>
      </c>
      <c r="S93" s="92">
        <f t="shared" ref="S93:S94" si="145">IF(R16=0,"",S16/R16-1)</f>
        <v>1.6625208328446828E-2</v>
      </c>
      <c r="T93" s="92">
        <f t="shared" ref="T93:T94" si="146">IF(S16=0,"",T16/S16-1)</f>
        <v>2.2224693563402731E-2</v>
      </c>
      <c r="U93" s="92">
        <f t="shared" ref="U93:U94" si="147">IF(T16=0,"",U16/T16-1)</f>
        <v>2.7980377815338686E-2</v>
      </c>
      <c r="V93" s="92">
        <f t="shared" ref="V93:V94" si="148">IF(U16=0,"",V16/U16-1)</f>
        <v>1.1350095187728781E-2</v>
      </c>
      <c r="W93" s="92">
        <f t="shared" ref="W93:W94" si="149">IF(V16=0,"",W16/V16-1)</f>
        <v>9.778910348920089E-3</v>
      </c>
      <c r="X93" s="92">
        <f t="shared" ref="X93:X94" si="150">IF(W16=0,"",X16/W16-1)</f>
        <v>-4.1314553147435928E-2</v>
      </c>
      <c r="Y93" s="92">
        <f t="shared" ref="Y93:Y94" si="151">IF(X16=0,"",Y16/X16-1)</f>
        <v>3.9100713693142275E-2</v>
      </c>
      <c r="Z93" s="92">
        <f t="shared" ref="Z93:Z94" si="152">IF(Y16=0,"",Z16/Y16-1)</f>
        <v>1.8091441408734976E-2</v>
      </c>
      <c r="AA93" s="92">
        <f t="shared" ref="AA93:AA94" si="153">IF(Z16=0,"",AA16/Z16-1)</f>
        <v>-8.6977295386398978E-3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9.8634357109177451E-3</v>
      </c>
      <c r="F94" s="93">
        <f t="shared" si="132"/>
        <v>-5.5954914361939778E-3</v>
      </c>
      <c r="G94" s="93">
        <f t="shared" si="133"/>
        <v>7.5092878906422023E-3</v>
      </c>
      <c r="H94" s="93">
        <f t="shared" si="134"/>
        <v>6.3587629551549174E-3</v>
      </c>
      <c r="I94" s="93">
        <f t="shared" si="135"/>
        <v>9.0396100363039356E-3</v>
      </c>
      <c r="J94" s="93">
        <f t="shared" si="136"/>
        <v>1.4258094331022209E-2</v>
      </c>
      <c r="K94" s="93">
        <f t="shared" si="137"/>
        <v>-1.4911759109119682E-3</v>
      </c>
      <c r="L94" s="93">
        <f t="shared" si="138"/>
        <v>6.3303927750113509E-4</v>
      </c>
      <c r="M94" s="93">
        <f t="shared" si="139"/>
        <v>3.6291538570880633E-3</v>
      </c>
      <c r="N94" s="93">
        <f t="shared" si="140"/>
        <v>5.6259085865129066E-3</v>
      </c>
      <c r="O94" s="93">
        <f t="shared" si="141"/>
        <v>1.1825414991787575E-2</v>
      </c>
      <c r="P94" s="93">
        <f t="shared" si="142"/>
        <v>1.1263817676321786E-2</v>
      </c>
      <c r="Q94" s="93">
        <f t="shared" si="143"/>
        <v>8.2527542542920607E-4</v>
      </c>
      <c r="R94" s="93">
        <f t="shared" si="144"/>
        <v>9.8931047344783529E-3</v>
      </c>
      <c r="S94" s="93">
        <f t="shared" si="145"/>
        <v>2.3070096838358367E-2</v>
      </c>
      <c r="T94" s="93">
        <f t="shared" si="146"/>
        <v>2.2348730864822697E-2</v>
      </c>
      <c r="U94" s="93">
        <f t="shared" si="147"/>
        <v>1.5027217234995227E-2</v>
      </c>
      <c r="V94" s="93">
        <f t="shared" si="148"/>
        <v>1.4136759892882989E-2</v>
      </c>
      <c r="W94" s="93">
        <f t="shared" si="149"/>
        <v>1.6680966143099996E-2</v>
      </c>
      <c r="X94" s="93">
        <f t="shared" si="150"/>
        <v>-6.7509125062417907E-2</v>
      </c>
      <c r="Y94" s="93">
        <f t="shared" si="151"/>
        <v>1.9698883622397023E-2</v>
      </c>
      <c r="Z94" s="93">
        <f t="shared" si="152"/>
        <v>6.530958578038204E-2</v>
      </c>
      <c r="AA94" s="93">
        <f t="shared" si="153"/>
        <v>-6.5300271538490939E-3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1.5169426339834757E-2</v>
      </c>
      <c r="F95" s="92">
        <f t="shared" ref="F95:F96" si="155">IF(E20=0,"",F20/E20-1)</f>
        <v>-4.4689210557173897E-3</v>
      </c>
      <c r="G95" s="92">
        <f t="shared" ref="G95:G96" si="156">IF(F20=0,"",G20/F20-1)</f>
        <v>-6.4585921202076069E-3</v>
      </c>
      <c r="H95" s="92">
        <f t="shared" ref="H95:H96" si="157">IF(G20=0,"",H20/G20-1)</f>
        <v>1.1679377426033088E-2</v>
      </c>
      <c r="I95" s="92">
        <f t="shared" ref="I95:I96" si="158">IF(H20=0,"",I20/H20-1)</f>
        <v>9.2411137101933161E-3</v>
      </c>
      <c r="J95" s="92">
        <f t="shared" ref="J95:J96" si="159">IF(I20=0,"",J20/I20-1)</f>
        <v>3.945936100322589E-2</v>
      </c>
      <c r="K95" s="92">
        <f t="shared" ref="K95:K96" si="160">IF(J20=0,"",K20/J20-1)</f>
        <v>3.0424968899481986E-2</v>
      </c>
      <c r="L95" s="92">
        <f t="shared" ref="L95:L96" si="161">IF(K20=0,"",L20/K20-1)</f>
        <v>1.007258017137791E-2</v>
      </c>
      <c r="M95" s="92">
        <f t="shared" ref="M95:M96" si="162">IF(L20=0,"",M20/L20-1)</f>
        <v>-5.2967990340951343E-2</v>
      </c>
      <c r="N95" s="92">
        <f t="shared" ref="N95:N96" si="163">IF(M20=0,"",N20/M20-1)</f>
        <v>4.3893573610239267E-2</v>
      </c>
      <c r="O95" s="92">
        <f t="shared" ref="O95:O96" si="164">IF(N20=0,"",O20/N20-1)</f>
        <v>5.8024149534534608E-2</v>
      </c>
      <c r="P95" s="92">
        <f t="shared" ref="P95:P96" si="165">IF(O20=0,"",P20/O20-1)</f>
        <v>3.3020407631780824E-3</v>
      </c>
      <c r="Q95" s="92">
        <f t="shared" ref="Q95:Q96" si="166">IF(P20=0,"",Q20/P20-1)</f>
        <v>1.5318070491039393E-3</v>
      </c>
      <c r="R95" s="92">
        <f t="shared" ref="R95:R96" si="167">IF(Q20=0,"",R20/Q20-1)</f>
        <v>1.8724712308218372E-2</v>
      </c>
      <c r="S95" s="92">
        <f t="shared" ref="S95:S96" si="168">IF(R20=0,"",S20/R20-1)</f>
        <v>1.1240512117197898E-2</v>
      </c>
      <c r="T95" s="92">
        <f t="shared" ref="T95:T96" si="169">IF(S20=0,"",T20/S20-1)</f>
        <v>1.0057030713952475E-2</v>
      </c>
      <c r="U95" s="92">
        <f t="shared" ref="U95:U96" si="170">IF(T20=0,"",U20/T20-1)</f>
        <v>2.3670607828879531E-2</v>
      </c>
      <c r="V95" s="92">
        <f t="shared" ref="V95:V96" si="171">IF(U20=0,"",V20/U20-1)</f>
        <v>8.0433833386215348E-3</v>
      </c>
      <c r="W95" s="92">
        <f t="shared" ref="W95:W96" si="172">IF(V20=0,"",W20/V20-1)</f>
        <v>7.0195435122388794E-3</v>
      </c>
      <c r="X95" s="92">
        <f t="shared" ref="X95:X96" si="173">IF(W20=0,"",X20/W20-1)</f>
        <v>-4.301480297503657E-2</v>
      </c>
      <c r="Y95" s="92">
        <f t="shared" ref="Y95:Y96" si="174">IF(X20=0,"",Y20/X20-1)</f>
        <v>3.9246666333529578E-2</v>
      </c>
      <c r="Z95" s="92">
        <f t="shared" ref="Z95:Z96" si="175">IF(Y20=0,"",Z20/Y20-1)</f>
        <v>1.7087343997830295E-2</v>
      </c>
      <c r="AA95" s="92">
        <f t="shared" ref="AA95:AA96" si="176">IF(Z20=0,"",AA20/Z20-1)</f>
        <v>-7.2829873595318118E-3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8.6840888418302509E-3</v>
      </c>
      <c r="F96" s="93">
        <f t="shared" si="155"/>
        <v>-7.7759479481722682E-3</v>
      </c>
      <c r="G96" s="93">
        <f t="shared" si="156"/>
        <v>6.3329057344503337E-3</v>
      </c>
      <c r="H96" s="93">
        <f t="shared" si="157"/>
        <v>6.4198407327227258E-3</v>
      </c>
      <c r="I96" s="93">
        <f t="shared" si="158"/>
        <v>9.4165833552153355E-3</v>
      </c>
      <c r="J96" s="93">
        <f t="shared" si="159"/>
        <v>1.5031404966016293E-2</v>
      </c>
      <c r="K96" s="93">
        <f t="shared" si="160"/>
        <v>1.9370454253930802E-6</v>
      </c>
      <c r="L96" s="93">
        <f t="shared" si="161"/>
        <v>1.8144185503421451E-3</v>
      </c>
      <c r="M96" s="93">
        <f t="shared" si="162"/>
        <v>6.2664319092244902E-3</v>
      </c>
      <c r="N96" s="93">
        <f t="shared" si="163"/>
        <v>8.0858008445254814E-3</v>
      </c>
      <c r="O96" s="93">
        <f t="shared" si="164"/>
        <v>3.1756071553254994E-2</v>
      </c>
      <c r="P96" s="93">
        <f t="shared" si="165"/>
        <v>9.9314399328007674E-3</v>
      </c>
      <c r="Q96" s="93">
        <f t="shared" si="166"/>
        <v>-1.6088838956109797E-3</v>
      </c>
      <c r="R96" s="93">
        <f t="shared" si="167"/>
        <v>6.845737531591789E-3</v>
      </c>
      <c r="S96" s="93">
        <f t="shared" si="168"/>
        <v>1.7651264382545495E-2</v>
      </c>
      <c r="T96" s="93">
        <f t="shared" si="169"/>
        <v>1.0179591584531078E-2</v>
      </c>
      <c r="U96" s="93">
        <f t="shared" si="170"/>
        <v>1.0771752898627973E-2</v>
      </c>
      <c r="V96" s="93">
        <f t="shared" si="171"/>
        <v>1.0820936760508326E-2</v>
      </c>
      <c r="W96" s="93">
        <f t="shared" si="172"/>
        <v>1.3902738441264662E-2</v>
      </c>
      <c r="X96" s="93">
        <f t="shared" si="173"/>
        <v>-6.9162918237809179E-2</v>
      </c>
      <c r="Y96" s="93">
        <f t="shared" si="174"/>
        <v>1.9842111071385782E-2</v>
      </c>
      <c r="Z96" s="93">
        <f t="shared" si="175"/>
        <v>6.425891925536531E-2</v>
      </c>
      <c r="AA96" s="93">
        <f t="shared" si="176"/>
        <v>-5.1121913270344432E-3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1.9612344114026126E-2</v>
      </c>
      <c r="F97" s="89">
        <f t="shared" ref="F97:F106" si="178">IF(E23=0,"",F23/E23-1)</f>
        <v>6.0477867508157424E-4</v>
      </c>
      <c r="G97" s="89">
        <f t="shared" ref="G97:G106" si="179">IF(F23=0,"",G23/F23-1)</f>
        <v>-5.4364644260773698E-3</v>
      </c>
      <c r="H97" s="89">
        <f t="shared" ref="H97:H106" si="180">IF(G23=0,"",H23/G23-1)</f>
        <v>1.5804855126033024E-2</v>
      </c>
      <c r="I97" s="89">
        <f t="shared" ref="I97:I106" si="181">IF(H23=0,"",I23/H23-1)</f>
        <v>8.8527374913387469E-3</v>
      </c>
      <c r="J97" s="89">
        <f t="shared" ref="J97:J106" si="182">IF(I23=0,"",J23/I23-1)</f>
        <v>3.9384588107367779E-2</v>
      </c>
      <c r="K97" s="89">
        <f t="shared" ref="K97:K106" si="183">IF(J23=0,"",K23/J23-1)</f>
        <v>3.356672533652505E-2</v>
      </c>
      <c r="L97" s="89">
        <f t="shared" ref="L97:L106" si="184">IF(K23=0,"",L23/K23-1)</f>
        <v>9.4888356014584119E-3</v>
      </c>
      <c r="M97" s="89">
        <f t="shared" ref="M97:M106" si="185">IF(L23=0,"",M23/L23-1)</f>
        <v>-6.2131573011180774E-2</v>
      </c>
      <c r="N97" s="89">
        <f t="shared" ref="N97:N106" si="186">IF(M23=0,"",N23/M23-1)</f>
        <v>4.5951747793876896E-2</v>
      </c>
      <c r="O97" s="89">
        <f t="shared" ref="O97:O106" si="187">IF(N23=0,"",O23/N23-1)</f>
        <v>3.7475786008947187E-2</v>
      </c>
      <c r="P97" s="89">
        <f t="shared" ref="P97:P106" si="188">IF(O23=0,"",P23/O23-1)</f>
        <v>5.0548344567964421E-3</v>
      </c>
      <c r="Q97" s="89">
        <f t="shared" ref="Q97:Q106" si="189">IF(P23=0,"",Q23/P23-1)</f>
        <v>4.5995944212997575E-3</v>
      </c>
      <c r="R97" s="89">
        <f t="shared" ref="R97:R106" si="190">IF(Q23=0,"",R23/Q23-1)</f>
        <v>2.2459039777241951E-2</v>
      </c>
      <c r="S97" s="89">
        <f t="shared" ref="S97:S106" si="191">IF(R23=0,"",S23/R23-1)</f>
        <v>1.4369223636607309E-2</v>
      </c>
      <c r="T97" s="89">
        <f t="shared" ref="T97:T106" si="192">IF(S23=0,"",T23/S23-1)</f>
        <v>2.3095596943211172E-2</v>
      </c>
      <c r="U97" s="89">
        <f t="shared" ref="U97:U106" si="193">IF(T23=0,"",U23/T23-1)</f>
        <v>2.8998383588608068E-2</v>
      </c>
      <c r="V97" s="89">
        <f t="shared" ref="V97:V106" si="194">IF(U23=0,"",V23/U23-1)</f>
        <v>1.2186450763814083E-2</v>
      </c>
      <c r="W97" s="89">
        <f t="shared" ref="W97:W106" si="195">IF(V23=0,"",W23/V23-1)</f>
        <v>6.8382901297008303E-3</v>
      </c>
      <c r="X97" s="89">
        <f t="shared" ref="X97:X106" si="196">IF(W23=0,"",X23/W23-1)</f>
        <v>-4.3244694974040931E-2</v>
      </c>
      <c r="Y97" s="89">
        <f t="shared" ref="Y97:Y106" si="197">IF(X23=0,"",Y23/X23-1)</f>
        <v>4.0603464008943657E-2</v>
      </c>
      <c r="Z97" s="89">
        <f t="shared" ref="Z97:Z108" si="198">IF(Y23=0,"",Z23/Y23-1)</f>
        <v>2.1712862669159616E-2</v>
      </c>
      <c r="AA97" s="89">
        <f t="shared" ref="AA97:AA108" si="199">IF(Z23=0,"",AA23/Z23-1)</f>
        <v>-5.3560944554068568E-3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0.10715590961828503</v>
      </c>
      <c r="F98" s="83">
        <f t="shared" si="178"/>
        <v>-0.16789064738547244</v>
      </c>
      <c r="G98" s="83">
        <f t="shared" si="179"/>
        <v>-8.3358818277468272E-2</v>
      </c>
      <c r="H98" s="83">
        <f t="shared" si="180"/>
        <v>0.15876627636057683</v>
      </c>
      <c r="I98" s="83">
        <f t="shared" si="181"/>
        <v>-0.22682077873404194</v>
      </c>
      <c r="J98" s="83">
        <f t="shared" si="182"/>
        <v>2.6226522607096348E-2</v>
      </c>
      <c r="K98" s="83">
        <f t="shared" si="183"/>
        <v>0.19282634928786235</v>
      </c>
      <c r="L98" s="83">
        <f t="shared" si="184"/>
        <v>2.8258589860066019E-2</v>
      </c>
      <c r="M98" s="83">
        <f t="shared" si="185"/>
        <v>-0.24615995229829213</v>
      </c>
      <c r="N98" s="83">
        <f t="shared" si="186"/>
        <v>0.20585960345815213</v>
      </c>
      <c r="O98" s="83">
        <f t="shared" si="187"/>
        <v>0.23998188217045047</v>
      </c>
      <c r="P98" s="83">
        <f t="shared" si="188"/>
        <v>-9.6381149486266526E-3</v>
      </c>
      <c r="Q98" s="83">
        <f t="shared" si="189"/>
        <v>2.3185973715494246E-2</v>
      </c>
      <c r="R98" s="83">
        <f t="shared" si="190"/>
        <v>9.3918306703824062E-3</v>
      </c>
      <c r="S98" s="83">
        <f t="shared" si="191"/>
        <v>-0.21499001976139931</v>
      </c>
      <c r="T98" s="83">
        <f t="shared" si="192"/>
        <v>5.4023384721219259E-2</v>
      </c>
      <c r="U98" s="83">
        <f t="shared" si="193"/>
        <v>0.21052873771016523</v>
      </c>
      <c r="V98" s="83">
        <f t="shared" si="194"/>
        <v>-0.12669842465323855</v>
      </c>
      <c r="W98" s="83">
        <f t="shared" si="195"/>
        <v>0.12977630426313569</v>
      </c>
      <c r="X98" s="83">
        <f t="shared" si="196"/>
        <v>-0.16747596822745336</v>
      </c>
      <c r="Y98" s="83">
        <f t="shared" si="197"/>
        <v>8.1250911948043569E-2</v>
      </c>
      <c r="Z98" s="83">
        <f t="shared" si="198"/>
        <v>0.33930387730122602</v>
      </c>
      <c r="AA98" s="83">
        <f t="shared" si="199"/>
        <v>-8.4111037007165823E-2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-0.18347478971290265</v>
      </c>
      <c r="F99" s="83">
        <f t="shared" si="178"/>
        <v>4.270236516571746E-2</v>
      </c>
      <c r="G99" s="83">
        <f t="shared" si="179"/>
        <v>-0.15583816064832323</v>
      </c>
      <c r="H99" s="83">
        <f t="shared" si="180"/>
        <v>3.010941212722984E-2</v>
      </c>
      <c r="I99" s="83">
        <f t="shared" si="181"/>
        <v>1.8748424157915E-3</v>
      </c>
      <c r="J99" s="83">
        <f t="shared" si="182"/>
        <v>0.24659022007149023</v>
      </c>
      <c r="K99" s="83">
        <f t="shared" si="183"/>
        <v>-8.0794596010835829E-4</v>
      </c>
      <c r="L99" s="83">
        <f t="shared" si="184"/>
        <v>0.26802727542300442</v>
      </c>
      <c r="M99" s="83">
        <f t="shared" si="185"/>
        <v>-0.21089912783800213</v>
      </c>
      <c r="N99" s="83">
        <f t="shared" si="186"/>
        <v>1.7660745439184389E-2</v>
      </c>
      <c r="O99" s="83">
        <f t="shared" si="187"/>
        <v>2.9271304070733306E-2</v>
      </c>
      <c r="P99" s="83">
        <f t="shared" si="188"/>
        <v>5.5808095786800571E-2</v>
      </c>
      <c r="Q99" s="83">
        <f t="shared" si="189"/>
        <v>-0.12852691321893328</v>
      </c>
      <c r="R99" s="83">
        <f t="shared" si="190"/>
        <v>-5.8732061564820248E-2</v>
      </c>
      <c r="S99" s="83">
        <f t="shared" si="191"/>
        <v>-7.7537432972993092E-2</v>
      </c>
      <c r="T99" s="83">
        <f t="shared" si="192"/>
        <v>-0.12953895315010644</v>
      </c>
      <c r="U99" s="83">
        <f t="shared" si="193"/>
        <v>4.1256670154431463E-2</v>
      </c>
      <c r="V99" s="83">
        <f t="shared" si="194"/>
        <v>-5.3164657027614526E-3</v>
      </c>
      <c r="W99" s="83">
        <f t="shared" si="195"/>
        <v>2.8145057526571593E-2</v>
      </c>
      <c r="X99" s="83">
        <f t="shared" si="196"/>
        <v>-6.7868982465261962E-2</v>
      </c>
      <c r="Y99" s="83">
        <f t="shared" si="197"/>
        <v>5.5376742621696673E-2</v>
      </c>
      <c r="Z99" s="83">
        <f t="shared" si="198"/>
        <v>0.1674453089148833</v>
      </c>
      <c r="AA99" s="83">
        <f t="shared" si="199"/>
        <v>-0.26223220343001719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2.8842125772855498E-2</v>
      </c>
      <c r="F100" s="83">
        <f t="shared" si="178"/>
        <v>1.5848557898275883E-2</v>
      </c>
      <c r="G100" s="83">
        <f t="shared" si="179"/>
        <v>-1.688751773334829E-3</v>
      </c>
      <c r="H100" s="83">
        <f t="shared" si="180"/>
        <v>1.2204202424204391E-2</v>
      </c>
      <c r="I100" s="83">
        <f t="shared" si="181"/>
        <v>1.494620284317838E-2</v>
      </c>
      <c r="J100" s="83">
        <f t="shared" si="182"/>
        <v>2.9723664952266748E-2</v>
      </c>
      <c r="K100" s="83">
        <f t="shared" si="183"/>
        <v>2.6659186607663976E-2</v>
      </c>
      <c r="L100" s="83">
        <f t="shared" si="184"/>
        <v>1.5811286918552492E-2</v>
      </c>
      <c r="M100" s="83">
        <f t="shared" si="185"/>
        <v>-2.8920970249429523E-2</v>
      </c>
      <c r="N100" s="83">
        <f t="shared" si="186"/>
        <v>1.0991986326769121E-2</v>
      </c>
      <c r="O100" s="83">
        <f t="shared" si="187"/>
        <v>3.0262410612005519E-2</v>
      </c>
      <c r="P100" s="83">
        <f t="shared" si="188"/>
        <v>1.437539758025963E-3</v>
      </c>
      <c r="Q100" s="83">
        <f t="shared" si="189"/>
        <v>1.4229507346685599E-2</v>
      </c>
      <c r="R100" s="83">
        <f t="shared" si="190"/>
        <v>2.1507947541557826E-2</v>
      </c>
      <c r="S100" s="83">
        <f t="shared" si="191"/>
        <v>1.9855555430826621E-2</v>
      </c>
      <c r="T100" s="83">
        <f t="shared" si="192"/>
        <v>1.7501871639204136E-2</v>
      </c>
      <c r="U100" s="83">
        <f t="shared" si="193"/>
        <v>2.8255894554527483E-2</v>
      </c>
      <c r="V100" s="83">
        <f t="shared" si="194"/>
        <v>1.6941573279624533E-2</v>
      </c>
      <c r="W100" s="83">
        <f t="shared" si="195"/>
        <v>1.1407281509644429E-2</v>
      </c>
      <c r="X100" s="83">
        <f t="shared" si="196"/>
        <v>-3.5581635626971364E-2</v>
      </c>
      <c r="Y100" s="83">
        <f t="shared" si="197"/>
        <v>3.8849166736140361E-2</v>
      </c>
      <c r="Z100" s="83">
        <f t="shared" si="198"/>
        <v>1.9015417238310128E-2</v>
      </c>
      <c r="AA100" s="83">
        <f t="shared" si="199"/>
        <v>-1.6358610672224994E-2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1.7663245190147281E-2</v>
      </c>
      <c r="F101" s="84">
        <f t="shared" si="178"/>
        <v>1.7485946066371882E-2</v>
      </c>
      <c r="G101" s="84">
        <f t="shared" si="179"/>
        <v>-1.3601061950285764E-4</v>
      </c>
      <c r="H101" s="84">
        <f t="shared" si="180"/>
        <v>4.8946056593470733E-3</v>
      </c>
      <c r="I101" s="84">
        <f t="shared" si="181"/>
        <v>1.5773813348227028E-2</v>
      </c>
      <c r="J101" s="84">
        <f t="shared" si="182"/>
        <v>1.9057060184566765E-2</v>
      </c>
      <c r="K101" s="84">
        <f t="shared" si="183"/>
        <v>1.8628316317119475E-2</v>
      </c>
      <c r="L101" s="84">
        <f t="shared" si="184"/>
        <v>2.095767730113951E-2</v>
      </c>
      <c r="M101" s="84">
        <f t="shared" si="185"/>
        <v>-2.7078603312069571E-3</v>
      </c>
      <c r="N101" s="84">
        <f t="shared" si="186"/>
        <v>2.3413525317034223E-2</v>
      </c>
      <c r="O101" s="84">
        <f t="shared" si="187"/>
        <v>2.0485122981857673E-2</v>
      </c>
      <c r="P101" s="84">
        <f t="shared" si="188"/>
        <v>1.7029172007339666E-2</v>
      </c>
      <c r="Q101" s="84">
        <f t="shared" si="189"/>
        <v>1.6620748001595187E-2</v>
      </c>
      <c r="R101" s="84">
        <f t="shared" si="190"/>
        <v>1.7974011775014231E-2</v>
      </c>
      <c r="S101" s="84">
        <f t="shared" si="191"/>
        <v>2.1404591090551151E-2</v>
      </c>
      <c r="T101" s="84">
        <f t="shared" si="192"/>
        <v>2.0056393087443336E-2</v>
      </c>
      <c r="U101" s="84">
        <f t="shared" si="193"/>
        <v>3.2059244772223883E-2</v>
      </c>
      <c r="V101" s="84">
        <f t="shared" si="194"/>
        <v>2.0139987745776855E-2</v>
      </c>
      <c r="W101" s="84">
        <f t="shared" si="195"/>
        <v>2.644370075346214E-2</v>
      </c>
      <c r="X101" s="84">
        <f t="shared" si="196"/>
        <v>-5.6319951304981353E-2</v>
      </c>
      <c r="Y101" s="84">
        <f t="shared" si="197"/>
        <v>3.4297956880158464E-2</v>
      </c>
      <c r="Z101" s="84">
        <f t="shared" si="198"/>
        <v>3.5605319397882029E-2</v>
      </c>
      <c r="AA101" s="84">
        <f t="shared" si="199"/>
        <v>-2.0384087260161721E-2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3.3943935045117168E-2</v>
      </c>
      <c r="F102" s="84">
        <f t="shared" si="178"/>
        <v>1.9883631369893129E-2</v>
      </c>
      <c r="G102" s="84">
        <f t="shared" si="179"/>
        <v>-6.4956124532067339E-3</v>
      </c>
      <c r="H102" s="84">
        <f t="shared" si="180"/>
        <v>2.1199114560044974E-2</v>
      </c>
      <c r="I102" s="84">
        <f t="shared" si="181"/>
        <v>1.3066289449039425E-2</v>
      </c>
      <c r="J102" s="84">
        <f t="shared" si="182"/>
        <v>3.869654180391624E-2</v>
      </c>
      <c r="K102" s="84">
        <f t="shared" si="183"/>
        <v>3.1325559739375786E-2</v>
      </c>
      <c r="L102" s="84">
        <f t="shared" si="184"/>
        <v>8.8652784343623559E-3</v>
      </c>
      <c r="M102" s="84">
        <f t="shared" si="185"/>
        <v>-4.6138228603446074E-2</v>
      </c>
      <c r="N102" s="84">
        <f t="shared" si="186"/>
        <v>1.662093669159681E-2</v>
      </c>
      <c r="O102" s="84">
        <f t="shared" si="187"/>
        <v>3.3234754381026521E-2</v>
      </c>
      <c r="P102" s="84">
        <f t="shared" si="188"/>
        <v>5.8219018154370694E-4</v>
      </c>
      <c r="Q102" s="84">
        <f t="shared" si="189"/>
        <v>1.8398438242446025E-2</v>
      </c>
      <c r="R102" s="84">
        <f t="shared" si="190"/>
        <v>1.2243515140000216E-2</v>
      </c>
      <c r="S102" s="84">
        <f t="shared" si="191"/>
        <v>1.6926513465180371E-2</v>
      </c>
      <c r="T102" s="84">
        <f t="shared" si="192"/>
        <v>1.1161756818401258E-2</v>
      </c>
      <c r="U102" s="84">
        <f t="shared" si="193"/>
        <v>1.9768167816680782E-2</v>
      </c>
      <c r="V102" s="84">
        <f t="shared" si="194"/>
        <v>1.6299317394261381E-2</v>
      </c>
      <c r="W102" s="84">
        <f t="shared" si="195"/>
        <v>-3.0014433069711632E-3</v>
      </c>
      <c r="X102" s="84">
        <f t="shared" si="196"/>
        <v>-3.3864058200317571E-2</v>
      </c>
      <c r="Y102" s="84">
        <f t="shared" si="197"/>
        <v>4.4275690193652073E-2</v>
      </c>
      <c r="Z102" s="84">
        <f t="shared" si="198"/>
        <v>-2.4192205079478279E-2</v>
      </c>
      <c r="AA102" s="84">
        <f t="shared" si="199"/>
        <v>7.7456676975304894E-3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3.8090750940981133E-2</v>
      </c>
      <c r="F103" s="84">
        <f t="shared" si="178"/>
        <v>8.997455492396611E-4</v>
      </c>
      <c r="G103" s="84">
        <f t="shared" si="179"/>
        <v>8.9913160743857468E-3</v>
      </c>
      <c r="H103" s="84">
        <f t="shared" si="180"/>
        <v>1.8527970350443734E-3</v>
      </c>
      <c r="I103" s="84">
        <f t="shared" si="181"/>
        <v>1.8684784347844374E-2</v>
      </c>
      <c r="J103" s="84">
        <f t="shared" si="182"/>
        <v>2.6167325153382714E-2</v>
      </c>
      <c r="K103" s="84">
        <f t="shared" si="183"/>
        <v>2.9765855218413906E-2</v>
      </c>
      <c r="L103" s="84">
        <f t="shared" si="184"/>
        <v>2.5595038409603532E-2</v>
      </c>
      <c r="M103" s="84">
        <f t="shared" si="185"/>
        <v>-3.3134343182620762E-2</v>
      </c>
      <c r="N103" s="84">
        <f t="shared" si="186"/>
        <v>-3.1517532144232474E-2</v>
      </c>
      <c r="O103" s="84">
        <f t="shared" si="187"/>
        <v>4.3331357264087433E-2</v>
      </c>
      <c r="P103" s="84">
        <f t="shared" si="188"/>
        <v>-3.0309614125301421E-2</v>
      </c>
      <c r="Q103" s="84">
        <f t="shared" si="189"/>
        <v>-4.0610742298587965E-3</v>
      </c>
      <c r="R103" s="84">
        <f t="shared" si="190"/>
        <v>5.8858291102343863E-2</v>
      </c>
      <c r="S103" s="84">
        <f t="shared" si="191"/>
        <v>2.5123558943904056E-2</v>
      </c>
      <c r="T103" s="84">
        <f t="shared" si="192"/>
        <v>3.0581236103262688E-2</v>
      </c>
      <c r="U103" s="84">
        <f t="shared" si="193"/>
        <v>4.4513075250662837E-2</v>
      </c>
      <c r="V103" s="84">
        <f t="shared" si="194"/>
        <v>1.1715434432961525E-2</v>
      </c>
      <c r="W103" s="84">
        <f t="shared" si="195"/>
        <v>1.9168098232136943E-2</v>
      </c>
      <c r="X103" s="84">
        <f t="shared" si="196"/>
        <v>6.0639659395425038E-3</v>
      </c>
      <c r="Y103" s="84">
        <f t="shared" si="197"/>
        <v>3.3834065075148301E-2</v>
      </c>
      <c r="Z103" s="84">
        <f t="shared" si="198"/>
        <v>0.10138335817192368</v>
      </c>
      <c r="AA103" s="84">
        <f t="shared" si="199"/>
        <v>-6.6349405001489226E-2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4.7068703273848156E-2</v>
      </c>
      <c r="F104" s="83">
        <f t="shared" si="178"/>
        <v>-3.2076610739377953E-2</v>
      </c>
      <c r="G104" s="83">
        <f t="shared" si="179"/>
        <v>-4.8589057019687965E-2</v>
      </c>
      <c r="H104" s="83">
        <f t="shared" si="180"/>
        <v>0.12230866200701507</v>
      </c>
      <c r="I104" s="83">
        <f t="shared" si="181"/>
        <v>1.7188942533268969E-2</v>
      </c>
      <c r="J104" s="83">
        <f t="shared" si="182"/>
        <v>8.6867191508009256E-2</v>
      </c>
      <c r="K104" s="83">
        <f t="shared" si="183"/>
        <v>1.2730638581190501E-2</v>
      </c>
      <c r="L104" s="83">
        <f t="shared" si="184"/>
        <v>0.11620200042717932</v>
      </c>
      <c r="M104" s="83">
        <f t="shared" si="185"/>
        <v>-2.0556551022063108E-2</v>
      </c>
      <c r="N104" s="83">
        <f t="shared" si="186"/>
        <v>0.16468838228041749</v>
      </c>
      <c r="O104" s="83">
        <f t="shared" si="187"/>
        <v>-0.17561221732230992</v>
      </c>
      <c r="P104" s="83">
        <f t="shared" si="188"/>
        <v>0.17178421136646405</v>
      </c>
      <c r="Q104" s="83">
        <f t="shared" si="189"/>
        <v>-0.20252700030707771</v>
      </c>
      <c r="R104" s="83">
        <f t="shared" si="190"/>
        <v>-0.16149141741073103</v>
      </c>
      <c r="S104" s="83">
        <f t="shared" si="191"/>
        <v>-6.6075747405917817E-2</v>
      </c>
      <c r="T104" s="83">
        <f t="shared" si="192"/>
        <v>-5.3076547866747981E-2</v>
      </c>
      <c r="U104" s="83">
        <f t="shared" si="193"/>
        <v>0.13750242098279131</v>
      </c>
      <c r="V104" s="83">
        <f t="shared" si="194"/>
        <v>3.9200278970376479E-2</v>
      </c>
      <c r="W104" s="83">
        <f t="shared" si="195"/>
        <v>4.5718464053894126E-2</v>
      </c>
      <c r="X104" s="83">
        <f t="shared" si="196"/>
        <v>-8.9321699398294596E-2</v>
      </c>
      <c r="Y104" s="83">
        <f t="shared" si="197"/>
        <v>7.2466530265593576E-3</v>
      </c>
      <c r="Z104" s="83">
        <f t="shared" si="198"/>
        <v>0.76559234996790448</v>
      </c>
      <c r="AA104" s="83">
        <f t="shared" si="199"/>
        <v>0.29630456882132084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-6.324926168283096E-2</v>
      </c>
      <c r="F105" s="83">
        <f t="shared" si="178"/>
        <v>-5.6022448647286005E-2</v>
      </c>
      <c r="G105" s="83">
        <f t="shared" si="179"/>
        <v>-5.4095374296783905E-2</v>
      </c>
      <c r="H105" s="83">
        <f t="shared" si="180"/>
        <v>-3.9397432745211014E-2</v>
      </c>
      <c r="I105" s="83">
        <f t="shared" si="181"/>
        <v>-3.7436993974848565E-2</v>
      </c>
      <c r="J105" s="83">
        <f t="shared" si="182"/>
        <v>2.9748221664023911E-2</v>
      </c>
      <c r="K105" s="83">
        <f t="shared" si="183"/>
        <v>4.1390997262042317E-2</v>
      </c>
      <c r="L105" s="83">
        <f t="shared" si="184"/>
        <v>2.2889933427488796E-2</v>
      </c>
      <c r="M105" s="83">
        <f t="shared" si="185"/>
        <v>-1.0092798172923412E-2</v>
      </c>
      <c r="N105" s="83">
        <f t="shared" si="186"/>
        <v>4.904646322424866E-2</v>
      </c>
      <c r="O105" s="83">
        <f t="shared" si="187"/>
        <v>4.9528232336258915E-2</v>
      </c>
      <c r="P105" s="83">
        <f t="shared" si="188"/>
        <v>3.0145597753090669E-2</v>
      </c>
      <c r="Q105" s="83">
        <f t="shared" si="189"/>
        <v>1.3508890292007081E-2</v>
      </c>
      <c r="R105" s="83">
        <f t="shared" si="190"/>
        <v>1.8283898827073708E-2</v>
      </c>
      <c r="S105" s="83">
        <f t="shared" si="191"/>
        <v>-3.4887219658763513E-4</v>
      </c>
      <c r="T105" s="83">
        <f t="shared" si="192"/>
        <v>4.6349378968876254E-2</v>
      </c>
      <c r="U105" s="83">
        <f t="shared" si="193"/>
        <v>3.961306265373632E-2</v>
      </c>
      <c r="V105" s="83">
        <f t="shared" si="194"/>
        <v>5.6613615869179013E-2</v>
      </c>
      <c r="W105" s="83">
        <f t="shared" si="195"/>
        <v>2.2812865894455303E-2</v>
      </c>
      <c r="X105" s="83">
        <f t="shared" si="196"/>
        <v>5.2625513771376031E-2</v>
      </c>
      <c r="Y105" s="83">
        <f t="shared" si="197"/>
        <v>2.6403342053830992E-2</v>
      </c>
      <c r="Z105" s="83">
        <f t="shared" si="198"/>
        <v>5.1171505657752192E-3</v>
      </c>
      <c r="AA105" s="83">
        <f t="shared" si="199"/>
        <v>-2.2906257299647459E-3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4.9841165418411659E-3</v>
      </c>
      <c r="F106" s="83">
        <f t="shared" si="178"/>
        <v>-2.5633412230739006E-2</v>
      </c>
      <c r="G106" s="83">
        <f t="shared" si="179"/>
        <v>7.5918400730934366E-4</v>
      </c>
      <c r="H106" s="83">
        <f t="shared" si="180"/>
        <v>2.4400722655744778E-2</v>
      </c>
      <c r="I106" s="83">
        <f t="shared" si="181"/>
        <v>7.8709901697424645E-3</v>
      </c>
      <c r="J106" s="83">
        <f t="shared" si="182"/>
        <v>6.8627899656783065E-2</v>
      </c>
      <c r="K106" s="83">
        <f t="shared" si="183"/>
        <v>5.1297544951036667E-2</v>
      </c>
      <c r="L106" s="83">
        <f t="shared" si="184"/>
        <v>-2.5425062252890762E-2</v>
      </c>
      <c r="M106" s="83">
        <f t="shared" si="185"/>
        <v>-0.17661471429667497</v>
      </c>
      <c r="N106" s="83">
        <f t="shared" si="186"/>
        <v>0.16351911237236871</v>
      </c>
      <c r="O106" s="83">
        <f t="shared" si="187"/>
        <v>7.6143225261317449E-2</v>
      </c>
      <c r="P106" s="83">
        <f t="shared" si="188"/>
        <v>-2.3447665043272448E-3</v>
      </c>
      <c r="Q106" s="83">
        <f t="shared" si="189"/>
        <v>-6.8128811730939765E-3</v>
      </c>
      <c r="R106" s="83">
        <f t="shared" si="190"/>
        <v>4.3228626129754755E-2</v>
      </c>
      <c r="S106" s="83">
        <f t="shared" si="191"/>
        <v>1.6175932158170481E-2</v>
      </c>
      <c r="T106" s="83">
        <f t="shared" si="192"/>
        <v>4.1909208938277764E-2</v>
      </c>
      <c r="U106" s="83">
        <f t="shared" si="193"/>
        <v>1.6498652169123051E-2</v>
      </c>
      <c r="V106" s="83">
        <f t="shared" si="194"/>
        <v>-7.5010436949836112E-3</v>
      </c>
      <c r="W106" s="83">
        <f t="shared" si="195"/>
        <v>-1.9242362622289511E-2</v>
      </c>
      <c r="X106" s="83">
        <f t="shared" si="196"/>
        <v>-8.1593313643651522E-2</v>
      </c>
      <c r="Y106" s="83">
        <f t="shared" si="197"/>
        <v>5.1061539625851582E-2</v>
      </c>
      <c r="Z106" s="83">
        <f t="shared" si="198"/>
        <v>-2.8257252889359319E-2</v>
      </c>
      <c r="AA106" s="83">
        <f t="shared" si="199"/>
        <v>5.5295263625272373E-3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6.768309835099906E-3</v>
      </c>
      <c r="F107" s="87">
        <f t="shared" ref="F107:F108" si="201">IF(E33=0,"",F33/E33-1)</f>
        <v>-1.3352807415624501E-2</v>
      </c>
      <c r="G107" s="87">
        <f t="shared" ref="G107:G108" si="202">IF(F33=0,"",G33/F33-1)</f>
        <v>-2.1026410506256199E-2</v>
      </c>
      <c r="H107" s="87">
        <f t="shared" ref="H107:H108" si="203">IF(G33=0,"",H33/G33-1)</f>
        <v>8.641059292628106E-2</v>
      </c>
      <c r="I107" s="87">
        <f t="shared" ref="I107:I108" si="204">IF(H33=0,"",I33/H33-1)</f>
        <v>7.6652825728588336E-2</v>
      </c>
      <c r="J107" s="87">
        <f t="shared" ref="J107:J108" si="205">IF(I33=0,"",J33/I33-1)</f>
        <v>7.6450589301904071E-2</v>
      </c>
      <c r="K107" s="87">
        <f t="shared" ref="K107:K108" si="206">IF(J33=0,"",K33/J33-1)</f>
        <v>0.15541431146946483</v>
      </c>
      <c r="L107" s="87">
        <f t="shared" ref="L107:L108" si="207">IF(K33=0,"",L33/K33-1)</f>
        <v>-2.6122430950950681E-2</v>
      </c>
      <c r="M107" s="87">
        <f t="shared" ref="M107:M108" si="208">IF(L33=0,"",M33/L33-1)</f>
        <v>-0.31617181416380991</v>
      </c>
      <c r="N107" s="87">
        <f t="shared" ref="N107:N108" si="209">IF(M33=0,"",N33/M33-1)</f>
        <v>-1.448696512692127E-2</v>
      </c>
      <c r="O107" s="87">
        <f t="shared" ref="O107:O108" si="210">IF(N33=0,"",O33/N33-1)</f>
        <v>0.15484519081860815</v>
      </c>
      <c r="P107" s="87">
        <f t="shared" ref="P107:P108" si="211">IF(O33=0,"",P33/O33-1)</f>
        <v>1.8884812199598811E-2</v>
      </c>
      <c r="Q107" s="87">
        <f t="shared" ref="Q107:Q108" si="212">IF(P33=0,"",Q33/P33-1)</f>
        <v>-4.8666630853735127E-2</v>
      </c>
      <c r="R107" s="87">
        <f t="shared" ref="R107:R108" si="213">IF(Q33=0,"",R33/Q33-1)</f>
        <v>-1.9476686871918725E-3</v>
      </c>
      <c r="S107" s="87">
        <f t="shared" ref="S107:S108" si="214">IF(R33=0,"",S33/R33-1)</f>
        <v>5.4711718036255519E-3</v>
      </c>
      <c r="T107" s="87">
        <f t="shared" ref="T107:T108" si="215">IF(S33=0,"",T33/S33-1)</f>
        <v>-3.1162416969582662E-2</v>
      </c>
      <c r="U107" s="87">
        <f t="shared" ref="U107:U108" si="216">IF(T33=0,"",U33/T33-1)</f>
        <v>-6.1090260203910951E-3</v>
      </c>
      <c r="V107" s="87">
        <f t="shared" ref="V107:V108" si="217">IF(U33=0,"",V33/U33-1)</f>
        <v>8.0647086140039237E-2</v>
      </c>
      <c r="W107" s="87">
        <f t="shared" ref="W107:W108" si="218">IF(V33=0,"",W33/V33-1)</f>
        <v>-0.11564114124288383</v>
      </c>
      <c r="X107" s="87">
        <f t="shared" ref="X107:X108" si="219">IF(W33=0,"",X33/W33-1)</f>
        <v>-0.15768769649531789</v>
      </c>
      <c r="Y107" s="87">
        <f t="shared" ref="Y107:Y108" si="220">IF(X33=0,"",Y33/X33-1)</f>
        <v>-5.8061135105941464E-2</v>
      </c>
      <c r="Z107" s="87">
        <f t="shared" si="198"/>
        <v>0.16034886012870619</v>
      </c>
      <c r="AA107" s="87">
        <f t="shared" si="199"/>
        <v>4.6261844952077746E-2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6.768309835099684E-3</v>
      </c>
      <c r="F108" s="89">
        <f t="shared" si="201"/>
        <v>-1.3352807415624501E-2</v>
      </c>
      <c r="G108" s="89">
        <f t="shared" si="202"/>
        <v>-2.1026410506256088E-2</v>
      </c>
      <c r="H108" s="89">
        <f t="shared" si="203"/>
        <v>8.6410592926280838E-2</v>
      </c>
      <c r="I108" s="89">
        <f t="shared" si="204"/>
        <v>7.6652825728588558E-2</v>
      </c>
      <c r="J108" s="89">
        <f t="shared" si="205"/>
        <v>7.6450589301904071E-2</v>
      </c>
      <c r="K108" s="89">
        <f t="shared" si="206"/>
        <v>0.15541431146946483</v>
      </c>
      <c r="L108" s="89">
        <f t="shared" si="207"/>
        <v>-2.6122430950950681E-2</v>
      </c>
      <c r="M108" s="89">
        <f t="shared" si="208"/>
        <v>-0.37315190843108725</v>
      </c>
      <c r="N108" s="89">
        <f t="shared" si="209"/>
        <v>-1.7967371794110232E-2</v>
      </c>
      <c r="O108" s="89">
        <f t="shared" si="210"/>
        <v>0.1827575778078101</v>
      </c>
      <c r="P108" s="89">
        <f t="shared" si="211"/>
        <v>-1.4967843926662505E-2</v>
      </c>
      <c r="Q108" s="89">
        <f t="shared" si="212"/>
        <v>-4.9037080841201619E-2</v>
      </c>
      <c r="R108" s="89">
        <f t="shared" si="213"/>
        <v>1.1689567108341459E-2</v>
      </c>
      <c r="S108" s="89">
        <f t="shared" si="214"/>
        <v>-2.788358295481641E-2</v>
      </c>
      <c r="T108" s="89">
        <f t="shared" si="215"/>
        <v>-5.4288296889398624E-2</v>
      </c>
      <c r="U108" s="89">
        <f t="shared" si="216"/>
        <v>1.4947585851123657E-2</v>
      </c>
      <c r="V108" s="89">
        <f t="shared" si="217"/>
        <v>8.018935356596435E-2</v>
      </c>
      <c r="W108" s="89">
        <f t="shared" si="218"/>
        <v>-0.16240039876942691</v>
      </c>
      <c r="X108" s="89">
        <f t="shared" si="219"/>
        <v>-0.20106642479258963</v>
      </c>
      <c r="Y108" s="89">
        <f t="shared" si="220"/>
        <v>-1.8343231357802359E-2</v>
      </c>
      <c r="Z108" s="89">
        <f t="shared" si="198"/>
        <v>0.22916132554652902</v>
      </c>
      <c r="AA108" s="89">
        <f t="shared" si="199"/>
        <v>-5.6186998267308663E-2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6.7683098351003501E-3</v>
      </c>
      <c r="F109" s="89">
        <f t="shared" ref="F109" si="222">IF(E37=0,"",F37/E37-1)</f>
        <v>-1.3352807415624501E-2</v>
      </c>
      <c r="G109" s="89">
        <f t="shared" ref="G109" si="223">IF(F37=0,"",G37/F37-1)</f>
        <v>-2.1026410506256421E-2</v>
      </c>
      <c r="H109" s="89">
        <f t="shared" ref="H109" si="224">IF(G37=0,"",H37/G37-1)</f>
        <v>8.641059292628106E-2</v>
      </c>
      <c r="I109" s="89">
        <f t="shared" ref="I109" si="225">IF(H37=0,"",I37/H37-1)</f>
        <v>7.6652825728588558E-2</v>
      </c>
      <c r="J109" s="89">
        <f t="shared" ref="J109" si="226">IF(I37=0,"",J37/I37-1)</f>
        <v>7.6450589301904293E-2</v>
      </c>
      <c r="K109" s="89">
        <f t="shared" ref="K109" si="227">IF(J37=0,"",K37/J37-1)</f>
        <v>0.15541431146946483</v>
      </c>
      <c r="L109" s="89">
        <f t="shared" ref="L109" si="228">IF(K37=0,"",L37/K37-1)</f>
        <v>-2.6122430950950792E-2</v>
      </c>
      <c r="M109" s="89">
        <f t="shared" ref="M109" si="229">IF(L37=0,"",M37/L37-1)</f>
        <v>-0.17345639124326273</v>
      </c>
      <c r="N109" s="89">
        <f t="shared" ref="N109" si="230">IF(M37=0,"",N37/M37-1)</f>
        <v>-7.8758568011479957E-3</v>
      </c>
      <c r="O109" s="89">
        <f t="shared" ref="O109" si="231">IF(N37=0,"",O37/N37-1)</f>
        <v>0.10236430481229153</v>
      </c>
      <c r="P109" s="89">
        <f t="shared" ref="P109" si="232">IF(O37=0,"",P37/O37-1)</f>
        <v>8.7176449874706741E-2</v>
      </c>
      <c r="Q109" s="89">
        <f t="shared" ref="Q109" si="233">IF(P37=0,"",Q37/P37-1)</f>
        <v>-4.7989527859831349E-2</v>
      </c>
      <c r="R109" s="89">
        <f t="shared" ref="R109" si="234">IF(Q37=0,"",R37/Q37-1)</f>
        <v>-2.6846178584222224E-2</v>
      </c>
      <c r="S109" s="89">
        <f t="shared" ref="S109" si="235">IF(R37=0,"",S37/R37-1)</f>
        <v>6.8780912935504812E-2</v>
      </c>
      <c r="T109" s="89">
        <f t="shared" ref="T109" si="236">IF(S37=0,"",T37/S37-1)</f>
        <v>8.7621891657494455E-3</v>
      </c>
      <c r="U109" s="89">
        <f t="shared" ref="U109" si="237">IF(T37=0,"",U37/T37-1)</f>
        <v>-4.0189123958266237E-2</v>
      </c>
      <c r="V109" s="89">
        <f t="shared" ref="V109" si="238">IF(U37=0,"",V37/U37-1)</f>
        <v>8.1430483511232499E-2</v>
      </c>
      <c r="W109" s="89">
        <f t="shared" ref="W109" si="239">IF(V37=0,"",W37/V37-1)</f>
        <v>-3.5705735833558849E-2</v>
      </c>
      <c r="X109" s="89">
        <f t="shared" ref="X109" si="240">IF(W37=0,"",X37/W37-1)</f>
        <v>-9.3274437962366785E-2</v>
      </c>
      <c r="Y109" s="89">
        <f t="shared" ref="Y109" si="241">IF(X37=0,"",Y37/X37-1)</f>
        <v>-0.1100271706739534</v>
      </c>
      <c r="Z109" s="89">
        <f t="shared" ref="Z109" si="242">IF(Y37=0,"",Z37/Y37-1)</f>
        <v>6.1041073420630143E-2</v>
      </c>
      <c r="AA109" s="89">
        <f t="shared" ref="AA109" si="243">IF(Z37=0,"",AA37/Z37-1)</f>
        <v>0.2175391949299772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2.0121047442530848E-2</v>
      </c>
      <c r="F110" s="89">
        <f t="shared" ref="F110:F111" si="245">IF(E43=0,"",F43/E43-1)</f>
        <v>1.7356947370557041E-3</v>
      </c>
      <c r="G110" s="89">
        <f t="shared" ref="G110:G111" si="246">IF(F43=0,"",G43/F43-1)</f>
        <v>4.7457701935593732E-4</v>
      </c>
      <c r="H110" s="89">
        <f t="shared" ref="H110:H111" si="247">IF(G43=0,"",H43/G43-1)</f>
        <v>2.4126829925403825E-2</v>
      </c>
      <c r="I110" s="89">
        <f t="shared" ref="I110:I111" si="248">IF(H43=0,"",I43/H43-1)</f>
        <v>3.4570022878642748E-2</v>
      </c>
      <c r="J110" s="89">
        <f t="shared" ref="J110:J111" si="249">IF(I43=0,"",J43/I43-1)</f>
        <v>3.6742855515966788E-2</v>
      </c>
      <c r="K110" s="89">
        <f t="shared" ref="K110:K111" si="250">IF(J43=0,"",K43/J43-1)</f>
        <v>5.6267679657722836E-2</v>
      </c>
      <c r="L110" s="89">
        <f t="shared" ref="L110:L111" si="251">IF(K43=0,"",L43/K43-1)</f>
        <v>1.9917494925767887E-2</v>
      </c>
      <c r="M110" s="89">
        <f t="shared" ref="M110:M111" si="252">IF(L43=0,"",M43/L43-1)</f>
        <v>-9.6675255013646599E-2</v>
      </c>
      <c r="N110" s="89">
        <f t="shared" ref="N110:N111" si="253">IF(M43=0,"",N43/M43-1)</f>
        <v>9.8034450144818042E-2</v>
      </c>
      <c r="O110" s="89">
        <f t="shared" ref="O110:O111" si="254">IF(N43=0,"",O43/N43-1)</f>
        <v>1.8784990800721157E-2</v>
      </c>
      <c r="P110" s="89">
        <f t="shared" ref="P110:P111" si="255">IF(O43=0,"",P43/O43-1)</f>
        <v>-1.8209806851315902E-2</v>
      </c>
      <c r="Q110" s="89">
        <f t="shared" ref="Q110:Q111" si="256">IF(P43=0,"",Q43/P43-1)</f>
        <v>-2.5640946839691092E-2</v>
      </c>
      <c r="R110" s="89">
        <f t="shared" ref="R110:R111" si="257">IF(Q43=0,"",R43/Q43-1)</f>
        <v>4.9758283445679341E-2</v>
      </c>
      <c r="S110" s="89">
        <f t="shared" ref="S110:S111" si="258">IF(R43=0,"",S43/R43-1)</f>
        <v>2.7097347881587464E-2</v>
      </c>
      <c r="T110" s="89">
        <f t="shared" ref="T110:T111" si="259">IF(S43=0,"",T43/S43-1)</f>
        <v>3.4953705734932061E-2</v>
      </c>
      <c r="U110" s="89">
        <f t="shared" ref="U110:U111" si="260">IF(T43=0,"",U43/T43-1)</f>
        <v>2.4179483203350394E-3</v>
      </c>
      <c r="V110" s="89">
        <f t="shared" ref="V110:V111" si="261">IF(U43=0,"",V43/U43-1)</f>
        <v>-6.1966137788711406E-2</v>
      </c>
      <c r="W110" s="89">
        <f t="shared" ref="W110:W111" si="262">IF(V43=0,"",W43/V43-1)</f>
        <v>1.7954123971159142E-2</v>
      </c>
      <c r="X110" s="89">
        <f t="shared" ref="X110:X111" si="263">IF(W43=0,"",X43/W43-1)</f>
        <v>-3.3685508785631368E-3</v>
      </c>
      <c r="Y110" s="89">
        <f t="shared" ref="Y110:Y111" si="264">IF(X43=0,"",Y43/X43-1)</f>
        <v>3.8595491183214925E-2</v>
      </c>
      <c r="Z110" s="89">
        <f t="shared" ref="Z110:Z111" si="265">IF(Y43=0,"",Z43/Y43-1)</f>
        <v>-9.9823652830566822E-2</v>
      </c>
      <c r="AA110" s="89">
        <f t="shared" ref="AA110:AA111" si="266">IF(Z43=0,"",AA43/Z43-1)</f>
        <v>-4.0422004606265549E-2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4.5262283437264017E-3</v>
      </c>
      <c r="F111" s="89">
        <f t="shared" si="245"/>
        <v>6.0884074223279683E-3</v>
      </c>
      <c r="G111" s="89">
        <f t="shared" si="246"/>
        <v>-3.3730706599539473E-2</v>
      </c>
      <c r="H111" s="89">
        <f t="shared" si="247"/>
        <v>6.3733414489635098E-3</v>
      </c>
      <c r="I111" s="89">
        <f t="shared" si="248"/>
        <v>-4.6913908405628035E-3</v>
      </c>
      <c r="J111" s="89">
        <f t="shared" si="249"/>
        <v>2.8820890022562162E-2</v>
      </c>
      <c r="K111" s="89">
        <f t="shared" si="250"/>
        <v>5.0582891978056654E-2</v>
      </c>
      <c r="L111" s="89">
        <f t="shared" si="251"/>
        <v>-6.7037960385147866E-3</v>
      </c>
      <c r="M111" s="89">
        <f t="shared" si="252"/>
        <v>-0.10709136426869026</v>
      </c>
      <c r="N111" s="89">
        <f t="shared" si="253"/>
        <v>0.17190587286593106</v>
      </c>
      <c r="O111" s="89">
        <f t="shared" si="254"/>
        <v>-4.7228439760804708E-4</v>
      </c>
      <c r="P111" s="89">
        <f t="shared" si="255"/>
        <v>-3.1753265799133956E-2</v>
      </c>
      <c r="Q111" s="89">
        <f t="shared" si="256"/>
        <v>-3.4372739278390463E-2</v>
      </c>
      <c r="R111" s="89">
        <f t="shared" si="257"/>
        <v>5.6000265557577755E-2</v>
      </c>
      <c r="S111" s="89">
        <f t="shared" si="258"/>
        <v>7.8179343571495474E-2</v>
      </c>
      <c r="T111" s="89">
        <f t="shared" si="259"/>
        <v>2.0725605235625277E-3</v>
      </c>
      <c r="U111" s="89">
        <f t="shared" si="260"/>
        <v>4.9584272581801647E-2</v>
      </c>
      <c r="V111" s="89">
        <f t="shared" si="261"/>
        <v>-9.8916510783920608E-2</v>
      </c>
      <c r="W111" s="89">
        <f t="shared" si="262"/>
        <v>-9.9766483055111488E-3</v>
      </c>
      <c r="X111" s="89">
        <f t="shared" si="263"/>
        <v>3.1356402194663957E-2</v>
      </c>
      <c r="Y111" s="89">
        <f t="shared" si="264"/>
        <v>-1.1659326599098851E-2</v>
      </c>
      <c r="Z111" s="89">
        <f t="shared" si="265"/>
        <v>-0.10672948255093584</v>
      </c>
      <c r="AA111" s="89">
        <f t="shared" si="266"/>
        <v>-4.2242664185367373E-2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6.3351863662928665E-2</v>
      </c>
      <c r="F112" s="89">
        <f t="shared" ref="F112:F113" si="268">IF(E47=0,"",F47/E47-1)</f>
        <v>-9.6630592157730399E-3</v>
      </c>
      <c r="G112" s="89">
        <f t="shared" ref="G112:G113" si="269">IF(F47=0,"",G47/F47-1)</f>
        <v>9.1475068910487511E-2</v>
      </c>
      <c r="H112" s="89">
        <f t="shared" ref="H112:H113" si="270">IF(G47=0,"",H47/G47-1)</f>
        <v>6.5940530504359662E-2</v>
      </c>
      <c r="I112" s="89">
        <f t="shared" ref="I112:I113" si="271">IF(H47=0,"",I47/H47-1)</f>
        <v>0.12187258393213729</v>
      </c>
      <c r="J112" s="89">
        <f t="shared" ref="J112:J113" si="272">IF(I47=0,"",J47/I47-1)</f>
        <v>5.2371028963644539E-2</v>
      </c>
      <c r="K112" s="89">
        <f t="shared" ref="K112:K113" si="273">IF(J47=0,"",K47/J47-1)</f>
        <v>6.7231462256015062E-2</v>
      </c>
      <c r="L112" s="89">
        <f t="shared" ref="L112:L113" si="274">IF(K47=0,"",L47/K47-1)</f>
        <v>7.0458861791685479E-2</v>
      </c>
      <c r="M112" s="89">
        <f t="shared" ref="M112:M113" si="275">IF(L47=0,"",M47/L47-1)</f>
        <v>-7.8325418835916927E-2</v>
      </c>
      <c r="N112" s="89">
        <f t="shared" ref="N112:N113" si="276">IF(M47=0,"",N47/M47-1)</f>
        <v>-2.8041584564472588E-2</v>
      </c>
      <c r="O112" s="89">
        <f t="shared" ref="O112:O113" si="277">IF(N47=0,"",O47/N47-1)</f>
        <v>5.8412425672325075E-2</v>
      </c>
      <c r="P112" s="89">
        <f t="shared" ref="P112:P113" si="278">IF(O47=0,"",P47/O47-1)</f>
        <v>8.1092687152366505E-3</v>
      </c>
      <c r="Q112" s="89">
        <f t="shared" ref="Q112:Q113" si="279">IF(P47=0,"",Q47/P47-1)</f>
        <v>-9.3433762007103516E-3</v>
      </c>
      <c r="R112" s="89">
        <f t="shared" ref="R112:R113" si="280">IF(Q47=0,"",R47/Q47-1)</f>
        <v>3.8402205667537936E-2</v>
      </c>
      <c r="S112" s="89">
        <f t="shared" ref="S112:S113" si="281">IF(R47=0,"",S47/R47-1)</f>
        <v>-6.7411424116424201E-2</v>
      </c>
      <c r="T112" s="89">
        <f t="shared" ref="T112:T113" si="282">IF(S47=0,"",T47/S47-1)</f>
        <v>0.10528556771820119</v>
      </c>
      <c r="U112" s="89">
        <f t="shared" ref="U112:U113" si="283">IF(T47=0,"",U47/T47-1)</f>
        <v>-8.9048514272264234E-2</v>
      </c>
      <c r="V112" s="89">
        <f t="shared" ref="V112:V113" si="284">IF(U47=0,"",V47/U47-1)</f>
        <v>2.0594063595122503E-2</v>
      </c>
      <c r="W112" s="89">
        <f t="shared" ref="W112:W113" si="285">IF(V47=0,"",W47/V47-1)</f>
        <v>7.3053522117730196E-2</v>
      </c>
      <c r="X112" s="89">
        <f t="shared" ref="X112:X113" si="286">IF(W47=0,"",X47/W47-1)</f>
        <v>-6.6570377857615548E-2</v>
      </c>
      <c r="Y112" s="89">
        <f t="shared" ref="Y112:Y113" si="287">IF(X47=0,"",Y47/X47-1)</f>
        <v>0.13965864749562673</v>
      </c>
      <c r="Z112" s="89">
        <f t="shared" ref="Z112:Z113" si="288">IF(Y47=0,"",Z47/Y47-1)</f>
        <v>-8.7779870475365285E-2</v>
      </c>
      <c r="AA112" s="89">
        <f t="shared" ref="AA112:AA113" si="289">IF(Z47=0,"",AA47/Z47-1)</f>
        <v>-3.7312729624056629E-2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-8.8014005738113799E-2</v>
      </c>
      <c r="F113" s="89">
        <f t="shared" si="268"/>
        <v>-7.0099119353917771E-2</v>
      </c>
      <c r="G113" s="89">
        <f t="shared" si="269"/>
        <v>-5.422880429280108E-2</v>
      </c>
      <c r="H113" s="89">
        <f t="shared" si="270"/>
        <v>1.4945420036863499E-2</v>
      </c>
      <c r="I113" s="89">
        <f t="shared" si="271"/>
        <v>-3.5353445794272909E-2</v>
      </c>
      <c r="J113" s="89">
        <f t="shared" si="272"/>
        <v>7.2928478516336437E-2</v>
      </c>
      <c r="K113" s="89">
        <f t="shared" si="273"/>
        <v>5.503609564099321E-2</v>
      </c>
      <c r="L113" s="89">
        <f t="shared" si="274"/>
        <v>-4.7652153745960213E-2</v>
      </c>
      <c r="M113" s="89">
        <f t="shared" si="275"/>
        <v>-0.13819839706549109</v>
      </c>
      <c r="N113" s="89">
        <f t="shared" si="276"/>
        <v>6.5842642674913687E-2</v>
      </c>
      <c r="O113" s="89">
        <f t="shared" si="277"/>
        <v>6.2546060634899758E-2</v>
      </c>
      <c r="P113" s="89">
        <f t="shared" si="278"/>
        <v>-1.4272996550492856E-3</v>
      </c>
      <c r="Q113" s="89">
        <f t="shared" si="279"/>
        <v>9.3503104588685826E-3</v>
      </c>
      <c r="R113" s="89">
        <f t="shared" si="280"/>
        <v>4.9943946474920287E-2</v>
      </c>
      <c r="S113" s="89">
        <f t="shared" si="281"/>
        <v>-3.7481580066131448E-2</v>
      </c>
      <c r="T113" s="89">
        <f t="shared" si="282"/>
        <v>6.8220105378294038E-2</v>
      </c>
      <c r="U113" s="89">
        <f t="shared" si="283"/>
        <v>-2.2048948847136485E-2</v>
      </c>
      <c r="V113" s="89">
        <f t="shared" si="284"/>
        <v>2.24759092040272E-2</v>
      </c>
      <c r="W113" s="89">
        <f t="shared" si="285"/>
        <v>8.7397115989547025E-3</v>
      </c>
      <c r="X113" s="89">
        <f t="shared" si="286"/>
        <v>-1.9303197632697056E-2</v>
      </c>
      <c r="Y113" s="89">
        <f t="shared" si="287"/>
        <v>-2.5964229540389461E-2</v>
      </c>
      <c r="Z113" s="89">
        <f t="shared" si="288"/>
        <v>-3.805368284112276E-2</v>
      </c>
      <c r="AA113" s="89">
        <f t="shared" si="289"/>
        <v>-1.1179865913696574E-2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-1.8477058517578304E-2</v>
      </c>
      <c r="F114" s="89">
        <f t="shared" ref="F114:F115" si="291">IF(E52=0,"",F52/E52-1)</f>
        <v>-5.3596206762452137E-2</v>
      </c>
      <c r="G114" s="89">
        <f t="shared" ref="G114:G115" si="292">IF(F52=0,"",G52/F52-1)</f>
        <v>-9.1114280257308611E-2</v>
      </c>
      <c r="H114" s="89">
        <f t="shared" ref="H114:H115" si="293">IF(G52=0,"",H52/G52-1)</f>
        <v>3.1641765758835261E-2</v>
      </c>
      <c r="I114" s="89">
        <f t="shared" ref="I114:I115" si="294">IF(H52=0,"",I52/H52-1)</f>
        <v>5.7738713699926336E-3</v>
      </c>
      <c r="J114" s="89">
        <f t="shared" ref="J114:J115" si="295">IF(I52=0,"",J52/I52-1)</f>
        <v>1.2411389603504297E-2</v>
      </c>
      <c r="K114" s="89">
        <f t="shared" ref="K114:K115" si="296">IF(J52=0,"",K52/J52-1)</f>
        <v>-1.0378408043062115E-2</v>
      </c>
      <c r="L114" s="89">
        <f t="shared" ref="L114:L115" si="297">IF(K52=0,"",L52/K52-1)</f>
        <v>-5.240918720485277E-2</v>
      </c>
      <c r="M114" s="89">
        <f t="shared" ref="M114:M115" si="298">IF(L52=0,"",M52/L52-1)</f>
        <v>-9.5881829298158694E-2</v>
      </c>
      <c r="N114" s="89">
        <f t="shared" ref="N114:N115" si="299">IF(M52=0,"",N52/M52-1)</f>
        <v>1.5386640828901399E-2</v>
      </c>
      <c r="O114" s="89">
        <f t="shared" ref="O114:O115" si="300">IF(N52=0,"",O52/N52-1)</f>
        <v>-1.0240884181135002E-2</v>
      </c>
      <c r="P114" s="89">
        <f t="shared" ref="P114:P115" si="301">IF(O52=0,"",P52/O52-1)</f>
        <v>2.1658583459525982E-2</v>
      </c>
      <c r="Q114" s="89">
        <f t="shared" ref="Q114:Q115" si="302">IF(P52=0,"",Q52/P52-1)</f>
        <v>-4.0053176795471712E-2</v>
      </c>
      <c r="R114" s="89">
        <f t="shared" ref="R114:R115" si="303">IF(Q52=0,"",R52/Q52-1)</f>
        <v>-1.1483009066164285E-2</v>
      </c>
      <c r="S114" s="89">
        <f t="shared" ref="S114:S115" si="304">IF(R52=0,"",S52/R52-1)</f>
        <v>-6.2262967430639637E-3</v>
      </c>
      <c r="T114" s="89">
        <f t="shared" ref="T114:T115" si="305">IF(S52=0,"",T52/S52-1)</f>
        <v>5.334520559061362E-3</v>
      </c>
      <c r="U114" s="89">
        <f t="shared" ref="U114:U115" si="306">IF(T52=0,"",U52/T52-1)</f>
        <v>-3.2655791575717186E-2</v>
      </c>
      <c r="V114" s="89">
        <f t="shared" ref="V114:V115" si="307">IF(U52=0,"",V52/U52-1)</f>
        <v>-2.2088173584316695E-2</v>
      </c>
      <c r="W114" s="89">
        <f t="shared" ref="W114:W115" si="308">IF(V52=0,"",W52/V52-1)</f>
        <v>-1.3003831774693886E-2</v>
      </c>
      <c r="X114" s="89">
        <f t="shared" ref="X114:X115" si="309">IF(W52=0,"",X52/W52-1)</f>
        <v>-4.058603031643615E-2</v>
      </c>
      <c r="Y114" s="89">
        <f t="shared" ref="Y114:Y115" si="310">IF(X52=0,"",Y52/X52-1)</f>
        <v>-0.10286437828415218</v>
      </c>
      <c r="Z114" s="89">
        <f t="shared" ref="Z114:Z115" si="311">IF(Y52=0,"",Z52/Y52-1)</f>
        <v>-1.9197843853696606E-3</v>
      </c>
      <c r="AA114" s="89">
        <f t="shared" ref="AA114:AA115" si="312">IF(Z52=0,"",AA52/Z52-1)</f>
        <v>1.3236268788846095E-2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3.178175133565575E-2</v>
      </c>
      <c r="F115" s="89">
        <f t="shared" si="291"/>
        <v>-1.491528143081966E-2</v>
      </c>
      <c r="G115" s="89">
        <f t="shared" si="292"/>
        <v>-4.9271627417378228E-2</v>
      </c>
      <c r="H115" s="89">
        <f t="shared" si="293"/>
        <v>4.7489795407638091E-3</v>
      </c>
      <c r="I115" s="89">
        <f t="shared" si="294"/>
        <v>-1.0080593312316033E-2</v>
      </c>
      <c r="J115" s="89">
        <f t="shared" si="295"/>
        <v>2.79209662374309E-2</v>
      </c>
      <c r="K115" s="89">
        <f t="shared" si="296"/>
        <v>1.8826689131874907E-2</v>
      </c>
      <c r="L115" s="89">
        <f t="shared" si="297"/>
        <v>-5.9487017980684787E-2</v>
      </c>
      <c r="M115" s="89">
        <f t="shared" si="298"/>
        <v>-6.2606962959296686E-2</v>
      </c>
      <c r="N115" s="89">
        <f t="shared" si="299"/>
        <v>-6.6105582595736845E-3</v>
      </c>
      <c r="O115" s="89">
        <f t="shared" si="300"/>
        <v>5.1821909377756104E-3</v>
      </c>
      <c r="P115" s="89">
        <f t="shared" si="301"/>
        <v>4.7666631277186955E-2</v>
      </c>
      <c r="Q115" s="89">
        <f t="shared" si="302"/>
        <v>-2.1681655967458857E-2</v>
      </c>
      <c r="R115" s="89">
        <f t="shared" si="303"/>
        <v>2.6932513317230011E-2</v>
      </c>
      <c r="S115" s="89">
        <f t="shared" si="304"/>
        <v>1.1901087834664148E-2</v>
      </c>
      <c r="T115" s="89">
        <f t="shared" si="305"/>
        <v>3.4713390946794487E-3</v>
      </c>
      <c r="U115" s="89">
        <f t="shared" si="306"/>
        <v>-1.9827772178463432E-2</v>
      </c>
      <c r="V115" s="89">
        <f t="shared" si="307"/>
        <v>4.3522913573203592E-2</v>
      </c>
      <c r="W115" s="89">
        <f t="shared" si="308"/>
        <v>-8.8973739936992757E-3</v>
      </c>
      <c r="X115" s="89">
        <f t="shared" si="309"/>
        <v>-7.067078424773876E-2</v>
      </c>
      <c r="Y115" s="89">
        <f t="shared" si="310"/>
        <v>-0.1379657189977781</v>
      </c>
      <c r="Z115" s="89">
        <f t="shared" si="311"/>
        <v>7.1318467984769596E-2</v>
      </c>
      <c r="AA115" s="89">
        <f t="shared" si="312"/>
        <v>4.656939790648873E-2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-6.1029313418119235E-2</v>
      </c>
      <c r="F116" s="89">
        <f t="shared" ref="F116:F122" si="314">IF(E56=0,"",F56/E56-1)</f>
        <v>-8.9582991129653511E-2</v>
      </c>
      <c r="G116" s="89">
        <f t="shared" ref="G116:G122" si="315">IF(F56=0,"",G56/F56-1)</f>
        <v>-0.13323527481092801</v>
      </c>
      <c r="H116" s="89">
        <f t="shared" ref="H116:H122" si="316">IF(G56=0,"",H56/G56-1)</f>
        <v>6.1335883874622077E-2</v>
      </c>
      <c r="I116" s="89">
        <f t="shared" ref="I116:I122" si="317">IF(H56=0,"",I56/H56-1)</f>
        <v>2.2346482536168999E-2</v>
      </c>
      <c r="J116" s="89">
        <f t="shared" ref="J116:J122" si="318">IF(I56=0,"",J56/I56-1)</f>
        <v>-3.2864913871258894E-3</v>
      </c>
      <c r="K116" s="89">
        <f t="shared" ref="K116:K122" si="319">IF(J56=0,"",K56/J56-1)</f>
        <v>-4.0863613397495557E-2</v>
      </c>
      <c r="L116" s="89">
        <f t="shared" ref="L116:L122" si="320">IF(K56=0,"",L56/K56-1)</f>
        <v>-4.4561339071888306E-2</v>
      </c>
      <c r="M116" s="89">
        <f t="shared" ref="M116:M122" si="321">IF(L56=0,"",M56/L56-1)</f>
        <v>-0.13220039750716861</v>
      </c>
      <c r="N116" s="89">
        <f t="shared" ref="N116:N122" si="322">IF(M56=0,"",N56/M56-1)</f>
        <v>4.1321390544110992E-2</v>
      </c>
      <c r="O116" s="89">
        <f t="shared" ref="O116:O122" si="323">IF(N56=0,"",O56/N56-1)</f>
        <v>-2.7587725256605911E-2</v>
      </c>
      <c r="P116" s="89">
        <f t="shared" ref="P116:P122" si="324">IF(O56=0,"",P56/O56-1)</f>
        <v>-8.5793101035704922E-3</v>
      </c>
      <c r="Q116" s="89">
        <f t="shared" ref="Q116:Q122" si="325">IF(P56=0,"",Q56/P56-1)</f>
        <v>-6.2624344219691208E-2</v>
      </c>
      <c r="R116" s="89">
        <f t="shared" ref="R116:R122" si="326">IF(Q56=0,"",R56/Q56-1)</f>
        <v>-6.0741622444871468E-2</v>
      </c>
      <c r="S116" s="89">
        <f t="shared" ref="S116:S122" si="327">IF(R56=0,"",S56/R56-1)</f>
        <v>-3.1639968391939832E-2</v>
      </c>
      <c r="T116" s="89">
        <f t="shared" ref="T116:T122" si="328">IF(S56=0,"",T56/S56-1)</f>
        <v>8.0640553094024625E-3</v>
      </c>
      <c r="U116" s="89">
        <f t="shared" ref="U116:U122" si="329">IF(T56=0,"",U56/T56-1)</f>
        <v>-5.1363040458878628E-2</v>
      </c>
      <c r="V116" s="89">
        <f t="shared" ref="V116:V122" si="330">IF(U56=0,"",V56/U56-1)</f>
        <v>-0.12095028970325294</v>
      </c>
      <c r="W116" s="89">
        <f t="shared" ref="W116:W122" si="331">IF(V56=0,"",W56/V56-1)</f>
        <v>-2.0349115653242489E-2</v>
      </c>
      <c r="X116" s="89">
        <f t="shared" ref="X116:X122" si="332">IF(W56=0,"",X56/W56-1)</f>
        <v>1.3856083410942244E-2</v>
      </c>
      <c r="Y116" s="89">
        <f t="shared" ref="Y116:Y122" si="333">IF(X56=0,"",Y56/X56-1)</f>
        <v>-4.4639914347728515E-2</v>
      </c>
      <c r="Z116" s="89">
        <f t="shared" ref="Z116:Z122" si="334">IF(Y56=0,"",Z56/Y56-1)</f>
        <v>-0.11153660731917769</v>
      </c>
      <c r="AA116" s="89">
        <f t="shared" ref="AA116:AA122" si="335">IF(Z56=0,"",AA56/Z56-1)</f>
        <v>-4.6921867874107681E-2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7.5538204621672378E-4</v>
      </c>
      <c r="F117" s="89">
        <f t="shared" si="314"/>
        <v>-9.2807596650124058E-3</v>
      </c>
      <c r="G117" s="89">
        <f t="shared" si="315"/>
        <v>-1.1600926880789286E-3</v>
      </c>
      <c r="H117" s="89">
        <f t="shared" si="316"/>
        <v>3.24980881821757E-3</v>
      </c>
      <c r="I117" s="89">
        <f t="shared" si="317"/>
        <v>-3.5477551933152718E-2</v>
      </c>
      <c r="J117" s="89">
        <f t="shared" si="318"/>
        <v>1.1192014515471138E-2</v>
      </c>
      <c r="K117" s="89">
        <f t="shared" si="319"/>
        <v>-7.1121055814205025E-4</v>
      </c>
      <c r="L117" s="89">
        <f t="shared" si="320"/>
        <v>-3.5351011660796572E-2</v>
      </c>
      <c r="M117" s="89">
        <f t="shared" si="321"/>
        <v>-2.1387829562196536E-2</v>
      </c>
      <c r="N117" s="89">
        <f t="shared" si="322"/>
        <v>3.4846381555497352E-2</v>
      </c>
      <c r="O117" s="89">
        <f t="shared" si="323"/>
        <v>-1.8840236559658496E-3</v>
      </c>
      <c r="P117" s="89">
        <f t="shared" si="324"/>
        <v>1.2865009402308392E-2</v>
      </c>
      <c r="Q117" s="89">
        <f t="shared" si="325"/>
        <v>1.3839465469656531E-2</v>
      </c>
      <c r="R117" s="89">
        <f t="shared" si="326"/>
        <v>1.0558686017559715E-2</v>
      </c>
      <c r="S117" s="89">
        <f t="shared" si="327"/>
        <v>4.1319439229785537E-2</v>
      </c>
      <c r="T117" s="89">
        <f t="shared" si="328"/>
        <v>2.7103662602235623E-2</v>
      </c>
      <c r="U117" s="89">
        <f t="shared" si="329"/>
        <v>-9.2650075011632138E-3</v>
      </c>
      <c r="V117" s="89">
        <f t="shared" si="330"/>
        <v>-2.3545834931014697E-3</v>
      </c>
      <c r="W117" s="89">
        <f t="shared" si="331"/>
        <v>1.3126981980811081E-3</v>
      </c>
      <c r="X117" s="89">
        <f t="shared" si="332"/>
        <v>7.579289951922874E-2</v>
      </c>
      <c r="Y117" s="89">
        <f t="shared" si="333"/>
        <v>-4.9213670384164132E-2</v>
      </c>
      <c r="Z117" s="89">
        <f t="shared" si="334"/>
        <v>-0.10214217315095742</v>
      </c>
      <c r="AA117" s="89">
        <f t="shared" si="335"/>
        <v>-4.3875880918594512E-2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0.14631268016762511</v>
      </c>
      <c r="F118" s="89">
        <f t="shared" si="314"/>
        <v>-7.2439535262081023E-3</v>
      </c>
      <c r="G118" s="89">
        <f t="shared" si="315"/>
        <v>3.4969213540531063E-2</v>
      </c>
      <c r="H118" s="89">
        <f t="shared" si="316"/>
        <v>-1.2688697951371841E-2</v>
      </c>
      <c r="I118" s="89">
        <f t="shared" si="317"/>
        <v>1.5785037546170999E-2</v>
      </c>
      <c r="J118" s="89">
        <f t="shared" si="318"/>
        <v>9.714252453630845E-2</v>
      </c>
      <c r="K118" s="89">
        <f t="shared" si="319"/>
        <v>6.8706650227174704E-2</v>
      </c>
      <c r="L118" s="89">
        <f t="shared" si="320"/>
        <v>-0.1084395780128129</v>
      </c>
      <c r="M118" s="89">
        <f t="shared" si="321"/>
        <v>-0.22879000133991401</v>
      </c>
      <c r="N118" s="89">
        <f t="shared" si="322"/>
        <v>0.41691851831355153</v>
      </c>
      <c r="O118" s="89">
        <f t="shared" si="323"/>
        <v>0.1233641640135219</v>
      </c>
      <c r="P118" s="89">
        <f t="shared" si="324"/>
        <v>1.488660679103937E-2</v>
      </c>
      <c r="Q118" s="89">
        <f t="shared" si="325"/>
        <v>-2.7891020628344476E-3</v>
      </c>
      <c r="R118" s="89">
        <f t="shared" si="326"/>
        <v>0.10642790832249638</v>
      </c>
      <c r="S118" s="89">
        <f t="shared" si="327"/>
        <v>3.7857695328151308E-2</v>
      </c>
      <c r="T118" s="89">
        <f t="shared" si="328"/>
        <v>8.2613410554137179E-2</v>
      </c>
      <c r="U118" s="89">
        <f t="shared" si="329"/>
        <v>3.1349339017156419E-2</v>
      </c>
      <c r="V118" s="89">
        <f t="shared" si="330"/>
        <v>-2.2936682248215656E-2</v>
      </c>
      <c r="W118" s="89">
        <f t="shared" si="331"/>
        <v>-3.8358250158350926E-2</v>
      </c>
      <c r="X118" s="89">
        <f t="shared" si="332"/>
        <v>-0.1710467711479714</v>
      </c>
      <c r="Y118" s="89">
        <f t="shared" si="333"/>
        <v>0.15789710689397896</v>
      </c>
      <c r="Z118" s="89">
        <f t="shared" si="334"/>
        <v>5.5418771615853846E-2</v>
      </c>
      <c r="AA118" s="89">
        <f t="shared" si="335"/>
        <v>6.6136576518656565E-2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-3.3299783840012198E-2</v>
      </c>
      <c r="F119" s="89">
        <f t="shared" si="314"/>
        <v>-3.4307293075534262E-2</v>
      </c>
      <c r="G119" s="89">
        <f t="shared" si="315"/>
        <v>1.0304804732595096E-2</v>
      </c>
      <c r="H119" s="89">
        <f t="shared" si="316"/>
        <v>4.3247388842364343E-2</v>
      </c>
      <c r="I119" s="89">
        <f t="shared" si="317"/>
        <v>6.2777119307599882E-3</v>
      </c>
      <c r="J119" s="89">
        <f t="shared" si="318"/>
        <v>8.5835552423800587E-2</v>
      </c>
      <c r="K119" s="89">
        <f t="shared" si="319"/>
        <v>5.8981069000513031E-2</v>
      </c>
      <c r="L119" s="89">
        <f t="shared" si="320"/>
        <v>5.4699151877735108E-3</v>
      </c>
      <c r="M119" s="89">
        <f t="shared" si="321"/>
        <v>-0.21273978593769294</v>
      </c>
      <c r="N119" s="89">
        <f t="shared" si="322"/>
        <v>0.16935313641303118</v>
      </c>
      <c r="O119" s="89">
        <f t="shared" si="323"/>
        <v>8.8413131609889728E-2</v>
      </c>
      <c r="P119" s="89">
        <f t="shared" si="324"/>
        <v>-7.3810237750471241E-3</v>
      </c>
      <c r="Q119" s="89">
        <f t="shared" si="325"/>
        <v>6.4660750586531535E-5</v>
      </c>
      <c r="R119" s="89">
        <f t="shared" si="326"/>
        <v>2.8498571642784354E-2</v>
      </c>
      <c r="S119" s="89">
        <f t="shared" si="327"/>
        <v>1.4115765158291271E-3</v>
      </c>
      <c r="T119" s="89">
        <f t="shared" si="328"/>
        <v>3.8613242740706433E-2</v>
      </c>
      <c r="U119" s="89">
        <f t="shared" si="329"/>
        <v>2.5032194134028796E-2</v>
      </c>
      <c r="V119" s="89">
        <f t="shared" si="330"/>
        <v>1.428166468975145E-2</v>
      </c>
      <c r="W119" s="89">
        <f t="shared" si="331"/>
        <v>-2.6518015827909358E-2</v>
      </c>
      <c r="X119" s="89">
        <f t="shared" si="332"/>
        <v>-9.911272849824071E-2</v>
      </c>
      <c r="Y119" s="89">
        <f t="shared" si="333"/>
        <v>5.9114255894963996E-2</v>
      </c>
      <c r="Z119" s="89">
        <f t="shared" si="334"/>
        <v>-5.3471462512200918E-2</v>
      </c>
      <c r="AA119" s="89">
        <f t="shared" si="335"/>
        <v>-1.1238614293959004E-2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-5.1669909799602953E-2</v>
      </c>
      <c r="F120" s="89">
        <f t="shared" si="314"/>
        <v>-6.94234157829966E-2</v>
      </c>
      <c r="G120" s="89">
        <f t="shared" si="315"/>
        <v>-5.2613059373958548E-2</v>
      </c>
      <c r="H120" s="89">
        <f t="shared" si="316"/>
        <v>-8.7616269748400644E-3</v>
      </c>
      <c r="I120" s="89">
        <f t="shared" si="317"/>
        <v>-5.0278385515553414E-2</v>
      </c>
      <c r="J120" s="89">
        <f t="shared" si="318"/>
        <v>1.9673753218736545E-2</v>
      </c>
      <c r="K120" s="89">
        <f t="shared" si="319"/>
        <v>-5.7712477983029586E-4</v>
      </c>
      <c r="L120" s="89">
        <f t="shared" si="320"/>
        <v>-5.1005263830192549E-2</v>
      </c>
      <c r="M120" s="89">
        <f t="shared" si="321"/>
        <v>-0.18355194119118756</v>
      </c>
      <c r="N120" s="89">
        <f t="shared" si="322"/>
        <v>0.11069704431808525</v>
      </c>
      <c r="O120" s="89">
        <f t="shared" si="323"/>
        <v>7.510835206542299E-2</v>
      </c>
      <c r="P120" s="89">
        <f t="shared" si="324"/>
        <v>-4.6634597569218061E-2</v>
      </c>
      <c r="Q120" s="89">
        <f t="shared" si="325"/>
        <v>-2.1122829456927339E-2</v>
      </c>
      <c r="R120" s="89">
        <f t="shared" si="326"/>
        <v>5.7817997480820393E-2</v>
      </c>
      <c r="S120" s="89">
        <f t="shared" si="327"/>
        <v>-7.560696343810136E-2</v>
      </c>
      <c r="T120" s="89">
        <f t="shared" si="328"/>
        <v>1.4664650570485049E-2</v>
      </c>
      <c r="U120" s="89">
        <f t="shared" si="329"/>
        <v>1.2901306916444311E-2</v>
      </c>
      <c r="V120" s="89">
        <f t="shared" si="330"/>
        <v>-3.8786772304461592E-2</v>
      </c>
      <c r="W120" s="89">
        <f t="shared" si="331"/>
        <v>-2.9395451307814069E-2</v>
      </c>
      <c r="X120" s="89">
        <f t="shared" si="332"/>
        <v>-0.11741696456834105</v>
      </c>
      <c r="Y120" s="89">
        <f t="shared" si="333"/>
        <v>5.4853863871871633E-2</v>
      </c>
      <c r="Z120" s="89">
        <f t="shared" si="334"/>
        <v>-1.2737581230235051E-2</v>
      </c>
      <c r="AA120" s="89">
        <f t="shared" si="335"/>
        <v>6.8859705954973371E-3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-0.10454950527355011</v>
      </c>
      <c r="F121" s="89">
        <f t="shared" si="314"/>
        <v>-5.396028518924556E-2</v>
      </c>
      <c r="G121" s="89">
        <f t="shared" si="315"/>
        <v>-4.9393291774714077E-2</v>
      </c>
      <c r="H121" s="89">
        <f t="shared" si="316"/>
        <v>5.9015944396533682E-2</v>
      </c>
      <c r="I121" s="89">
        <f t="shared" si="317"/>
        <v>-4.8866428068619183E-2</v>
      </c>
      <c r="J121" s="89">
        <f t="shared" si="318"/>
        <v>4.1454162913228343E-2</v>
      </c>
      <c r="K121" s="89">
        <f t="shared" si="319"/>
        <v>2.8273890950760716E-2</v>
      </c>
      <c r="L121" s="89">
        <f t="shared" si="320"/>
        <v>-0.12095833428009006</v>
      </c>
      <c r="M121" s="89">
        <f t="shared" si="321"/>
        <v>-0.15115134965971921</v>
      </c>
      <c r="N121" s="89">
        <f t="shared" si="322"/>
        <v>0.16364442967950943</v>
      </c>
      <c r="O121" s="89">
        <f t="shared" si="323"/>
        <v>2.9970608347379191E-2</v>
      </c>
      <c r="P121" s="89">
        <f t="shared" si="324"/>
        <v>-5.8117167504770473E-2</v>
      </c>
      <c r="Q121" s="89">
        <f t="shared" si="325"/>
        <v>2.4811731593130659E-3</v>
      </c>
      <c r="R121" s="89">
        <f t="shared" si="326"/>
        <v>-3.1046454323377937E-3</v>
      </c>
      <c r="S121" s="89">
        <f t="shared" si="327"/>
        <v>0.10247834737009343</v>
      </c>
      <c r="T121" s="89">
        <f t="shared" si="328"/>
        <v>-3.0645147720534616E-2</v>
      </c>
      <c r="U121" s="89">
        <f t="shared" si="329"/>
        <v>-1.7670044153014874E-2</v>
      </c>
      <c r="V121" s="89">
        <f t="shared" si="330"/>
        <v>-1.3753186110653681E-2</v>
      </c>
      <c r="W121" s="89">
        <f t="shared" si="331"/>
        <v>0.10934459988698197</v>
      </c>
      <c r="X121" s="89">
        <f t="shared" si="332"/>
        <v>0.12914905680160405</v>
      </c>
      <c r="Y121" s="89">
        <f t="shared" si="333"/>
        <v>6.680911265818601E-3</v>
      </c>
      <c r="Z121" s="89">
        <f t="shared" si="334"/>
        <v>5.9936714620130394E-2</v>
      </c>
      <c r="AA121" s="89">
        <f t="shared" si="335"/>
        <v>4.0995144209303058E-2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9.9055883262173516E-3</v>
      </c>
      <c r="F122" s="91">
        <f t="shared" si="314"/>
        <v>-3.1217688813116373E-2</v>
      </c>
      <c r="G122" s="91">
        <f t="shared" si="315"/>
        <v>-2.658049187021172E-3</v>
      </c>
      <c r="H122" s="91">
        <f t="shared" si="316"/>
        <v>1.3786377300522679E-2</v>
      </c>
      <c r="I122" s="91">
        <f t="shared" si="317"/>
        <v>1.1236736692127769E-2</v>
      </c>
      <c r="J122" s="91">
        <f t="shared" si="318"/>
        <v>6.898877857901442E-2</v>
      </c>
      <c r="K122" s="91">
        <f t="shared" si="319"/>
        <v>7.7065291750211262E-3</v>
      </c>
      <c r="L122" s="91">
        <f t="shared" si="320"/>
        <v>-1.1691414867138761E-3</v>
      </c>
      <c r="M122" s="91">
        <f t="shared" si="321"/>
        <v>-0.11770696461953989</v>
      </c>
      <c r="N122" s="91">
        <f t="shared" si="322"/>
        <v>0.11397080910169266</v>
      </c>
      <c r="O122" s="91">
        <f t="shared" si="323"/>
        <v>8.3320111440027489E-2</v>
      </c>
      <c r="P122" s="91">
        <f t="shared" si="324"/>
        <v>-1.381715195663924E-2</v>
      </c>
      <c r="Q122" s="91">
        <f t="shared" si="325"/>
        <v>-1.1527486847255242E-2</v>
      </c>
      <c r="R122" s="91">
        <f t="shared" si="326"/>
        <v>2.3902067214176759E-2</v>
      </c>
      <c r="S122" s="91">
        <f t="shared" si="327"/>
        <v>2.733880991080273E-2</v>
      </c>
      <c r="T122" s="91">
        <f t="shared" si="328"/>
        <v>2.3396828814250092E-2</v>
      </c>
      <c r="U122" s="91">
        <f t="shared" si="329"/>
        <v>2.2748202929048444E-2</v>
      </c>
      <c r="V122" s="91">
        <f t="shared" si="330"/>
        <v>-2.8659417179907165E-2</v>
      </c>
      <c r="W122" s="91">
        <f t="shared" si="331"/>
        <v>1.6032401736415736E-2</v>
      </c>
      <c r="X122" s="91">
        <f t="shared" si="332"/>
        <v>-3.3910620979108796E-2</v>
      </c>
      <c r="Y122" s="91">
        <f t="shared" si="333"/>
        <v>7.7975139244979008E-3</v>
      </c>
      <c r="Z122" s="91">
        <f t="shared" si="334"/>
        <v>-4.5002674038591262E-2</v>
      </c>
      <c r="AA122" s="91">
        <f t="shared" si="335"/>
        <v>-1.0247428077744036E-2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2025-11-06T10:21:12Z</dcterms:created>
  <dcterms:modified xsi:type="dcterms:W3CDTF">2025-11-06T10:21:12Z</dcterms:modified>
</cp:coreProperties>
</file>